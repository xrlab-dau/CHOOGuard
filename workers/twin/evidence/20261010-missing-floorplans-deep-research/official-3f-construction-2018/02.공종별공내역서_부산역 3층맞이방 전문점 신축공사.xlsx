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170712 부산역 3층 상업시설 2단계\입찰의뢰\공고용\"/>
    </mc:Choice>
  </mc:AlternateContent>
  <bookViews>
    <workbookView xWindow="360" yWindow="90" windowWidth="28035" windowHeight="15255" firstSheet="1" activeTab="1"/>
  </bookViews>
  <sheets>
    <sheet name="표지" sheetId="11" r:id="rId1"/>
    <sheet name="원가계산서" sheetId="12" r:id="rId2"/>
    <sheet name="총괄표 " sheetId="13" r:id="rId3"/>
    <sheet name="공종별집계표" sheetId="9" r:id="rId4"/>
    <sheet name="공종별내역서" sheetId="8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EE1" localSheetId="2" hidden="1">{#N/A,#N/A,FALSE,"단가표지"}</definedName>
    <definedName name="____EE1" hidden="1">{#N/A,#N/A,FALSE,"단가표지"}</definedName>
    <definedName name="____gh1">#N/A</definedName>
    <definedName name="___gh1">#N/A</definedName>
    <definedName name="__EE1" localSheetId="2" hidden="1">{#N/A,#N/A,FALSE,"단가표지"}</definedName>
    <definedName name="__gh1" localSheetId="2">'총괄표 '!__gh1</definedName>
    <definedName name="__gh1">#N/A</definedName>
    <definedName name="__K1">#REF!</definedName>
    <definedName name="__K3">#REF!</definedName>
    <definedName name="__K6">#REF!</definedName>
    <definedName name="__p2">#REF!</definedName>
    <definedName name="__P22">#REF!</definedName>
    <definedName name="__P31">#REF!</definedName>
    <definedName name="__P33">#REF!</definedName>
    <definedName name="_1_______________________________________________________________________________________________________________________________________________________________________________123Grap" hidden="1">[1]공문!#REF!</definedName>
    <definedName name="_10______________________________________________________________________________________________________________________________________________________________________________S" hidden="1">#REF!</definedName>
    <definedName name="_10_____________________________________________________________________________________________________________________________________________________________________________\SM">'[2]#REF'!#REF!</definedName>
    <definedName name="_100____________________________________________________________________________________________________________________________________________________________________________ME">'[2]#REF'!#REF!</definedName>
    <definedName name="_100_________________________________________________________________________________________________________________________________________________________________________\LA">'[2]#REF'!#REF!</definedName>
    <definedName name="_1000_____________________________________________________________________________________________________________________________________________________0_0_S" hidden="1">[3]Sheet3!#REF!</definedName>
    <definedName name="_1000_________________________________________________________________________0_S" hidden="1">#REF!</definedName>
    <definedName name="_1001_________________________________________________________________________0_S" hidden="1">#REF!</definedName>
    <definedName name="_1002________________________________________________________________________________________________________________________________________________________123Grap" hidden="1">[1]공문!#REF!</definedName>
    <definedName name="_1002_________________________________________________________________________0\SM">'[4]#REF'!#REF!</definedName>
    <definedName name="_1003_______________________________________________________________________0_0__123Grap" hidden="1">[1]공문!#REF!</definedName>
    <definedName name="_1004_____________________________________________________________________________________________________________________________________________________3__Crite">#REF!</definedName>
    <definedName name="_1004_______________________________________________________________________0_0_F" hidden="1">[3]Sheet3!#REF!</definedName>
    <definedName name="_1005_______________________________________________________________________0_0_S" hidden="1">[3]Sheet3!#REF!</definedName>
    <definedName name="_1006_____________________________________________________________________________________________________________________________________________________3__Criteria">#REF!</definedName>
    <definedName name="_1006_______________________________________________________________________3__Crite">#REF!</definedName>
    <definedName name="_1007_______________________________________________________________________3__Criteria">#REF!</definedName>
    <definedName name="_1008________________________________________________________________________________________________________________________________________________________F" hidden="1">#REF!</definedName>
    <definedName name="_1008_______________________________________________________________________G_0Extract">#REF!</definedName>
    <definedName name="_1009_______________________________________________________________________G__Extr">#REF!</definedName>
    <definedName name="_101_________________________________________________________________________________________________________________________________________________________________________\MID">'[2]#REF'!#REF!</definedName>
    <definedName name="_1010________________________________________________________________________________________________________________________________________________________F" hidden="1">[3]Sheet3!#REF!</definedName>
    <definedName name="_1010__________________________________________________________________________________________________________________________________F" hidden="1">#REF!</definedName>
    <definedName name="_1010_______________________________________________________________________G__Extract">#REF!</definedName>
    <definedName name="_1011__________________________________________________________________________________________________________________________________F" hidden="1">[3]Sheet3!#REF!</definedName>
    <definedName name="_1011__________________________________________________________________________ME">'[2]#REF'!#REF!</definedName>
    <definedName name="_1012_____________________________________________________________________________________________________________________________________________________G_0Extract">#REF!</definedName>
    <definedName name="_1012__________________________________________________________________________ME">'[2]#REF'!#REF!</definedName>
    <definedName name="_1013________________________________________________________________________123Grap" hidden="1">[1]공문!#REF!</definedName>
    <definedName name="_1014_____________________________________________________________________________________________________________________________________________________G__Extr">#REF!</definedName>
    <definedName name="_1014_______________________________________________________________________F" hidden="1">#REF!</definedName>
    <definedName name="_1015_______________________________________________________________________F" hidden="1">[3]Sheet3!#REF!</definedName>
    <definedName name="_1016_____________________________________________________________________________________________________________________________________________________G__Extract">#REF!</definedName>
    <definedName name="_1016_______________________________________________________________________S" hidden="1">#REF!</definedName>
    <definedName name="_1017__________________________________________________________________________________________________________________________________S" hidden="1">#REF!</definedName>
    <definedName name="_1017_______________________________________________________________________S" hidden="1">[3]Sheet3!#REF!</definedName>
    <definedName name="_1018________________________________________________________________________________________________________________________________________________________ME">'[2]#REF'!#REF!</definedName>
    <definedName name="_1018__________________________________________________________________________________________________________________________________S" hidden="1">[3]Sheet3!#REF!</definedName>
    <definedName name="_1018_______________________________________________________________________S" hidden="1">#REF!</definedName>
    <definedName name="_1019__________________________________________________________________________________________________________________________________S" hidden="1">#REF!</definedName>
    <definedName name="_1019______________________________________________________________________\LA">'[2]#REF'!#REF!</definedName>
    <definedName name="_102____________________________________________________________________________________________________________________________________________________________________________S" hidden="1">#REF!</definedName>
    <definedName name="_102_________________________________________________________________________________________________________________________________________________________________________\SM">'[2]#REF'!#REF!</definedName>
    <definedName name="_1020________________________________________________________________________________________________________________________________________________________ME">'[2]#REF'!#REF!</definedName>
    <definedName name="_1020_________________________________________________________________________________________________________________________________\LA">'[2]#REF'!#REF!</definedName>
    <definedName name="_1020______________________________________________________________________\MID">'[2]#REF'!#REF!</definedName>
    <definedName name="_1021_________________________________________________________________________________________________________________________________\MID">'[2]#REF'!#REF!</definedName>
    <definedName name="_1021______________________________________________________________________\SM">'[2]#REF'!#REF!</definedName>
    <definedName name="_1022________________________________________________________________________________________________________________________________________________________S" hidden="1">#REF!</definedName>
    <definedName name="_1022_________________________________________________________________________________________________________________________________\SM">'[2]#REF'!#REF!</definedName>
    <definedName name="_1022_____________________________________________________________________0_F" hidden="1">#REF!</definedName>
    <definedName name="_1023________________________________________________________________________________________________________________________________0_F" hidden="1">#REF!</definedName>
    <definedName name="_1023_____________________________________________________________________0_S" hidden="1">#REF!</definedName>
    <definedName name="_1024________________________________________________________________________________________________________________________________________________________S" hidden="1">[3]Sheet3!#REF!</definedName>
    <definedName name="_1024________________________________________________________________________________________________________________________________0_S" hidden="1">#REF!</definedName>
    <definedName name="_1024_____________________________________________________________________0_S" hidden="1">#REF!</definedName>
    <definedName name="_1025________________________________________________________________________________________________________________________________0_S" hidden="1">#REF!</definedName>
    <definedName name="_1025_____________________________________________________________________0\SM">'[4]#REF'!#REF!</definedName>
    <definedName name="_1026________________________________________________________________________________________________________________________________________________________S" hidden="1">#REF!</definedName>
    <definedName name="_1026________________________________________________________________________________________________________________________________0\SM">'[4]#REF'!#REF!</definedName>
    <definedName name="_1026___________________________________________________________________0_0__123Grap" hidden="1">[1]공문!#REF!</definedName>
    <definedName name="_1027______________________________________________________________________________________________________________________________0_0__123Grap" hidden="1">[1]공문!#REF!</definedName>
    <definedName name="_1027___________________________________________________________________0_0_F" hidden="1">[3]Sheet3!#REF!</definedName>
    <definedName name="_1028_______________________________________________________________________________________________________________________________________________________\LA">'[2]#REF'!#REF!</definedName>
    <definedName name="_1028______________________________________________________________________________________________________________________________0_0_F" hidden="1">[3]Sheet3!#REF!</definedName>
    <definedName name="_1028___________________________________________________________________0_0_S" hidden="1">[3]Sheet3!#REF!</definedName>
    <definedName name="_1029______________________________________________________________________________________________________________________________0_0_S" hidden="1">[3]Sheet3!#REF!</definedName>
    <definedName name="_1029___________________________________________________________________3__Crite">#REF!</definedName>
    <definedName name="_103________________________________________________________________________________________________________________________________________________________________________0_F" hidden="1">#REF!</definedName>
    <definedName name="_1030_______________________________________________________________________________________________________________________________________________________\MID">'[2]#REF'!#REF!</definedName>
    <definedName name="_1030___________________________________________________________________3__Criteria">#REF!</definedName>
    <definedName name="_1031______________________________________________________________________________________________________________________________3__Crite">#REF!</definedName>
    <definedName name="_1031___________________________________________________________________G_0Extract">#REF!</definedName>
    <definedName name="_1032_______________________________________________________________________________________________________________________________________________________\SM">'[2]#REF'!#REF!</definedName>
    <definedName name="_1032______________________________________________________________________________________________________________________________3__Criteria">#REF!</definedName>
    <definedName name="_1032___________________________________________________________________G__Extr">#REF!</definedName>
    <definedName name="_1033___________________________________________________________________G__Extract">#REF!</definedName>
    <definedName name="_1034______________________________________________________________________________________________________________________________________________________0_F" hidden="1">#REF!</definedName>
    <definedName name="_1034______________________________________________________________________ME">'[2]#REF'!#REF!</definedName>
    <definedName name="_1035______________________________________________________________________________________________________________________________G_0Extract">#REF!</definedName>
    <definedName name="_1035______________________________________________________________________ME">'[2]#REF'!#REF!</definedName>
    <definedName name="_1036______________________________________________________________________________________________________________________________________________________0_S" hidden="1">#REF!</definedName>
    <definedName name="_1036______________________________________________________________________________________________________________________________G__Extr">#REF!</definedName>
    <definedName name="_1036____________________________________________________________________123Grap" hidden="1">[1]공문!#REF!</definedName>
    <definedName name="_1037______________________________________________________________________________________________________________________________G__Extract">#REF!</definedName>
    <definedName name="_1037___________________________________________________________________F" hidden="1">#REF!</definedName>
    <definedName name="_1038______________________________________________________________________________________________________________________________________________________0_S" hidden="1">#REF!</definedName>
    <definedName name="_1038_________________________________________________________________________________________________________________________________ME">'[2]#REF'!#REF!</definedName>
    <definedName name="_1038___________________________________________________________________F" hidden="1">[3]Sheet3!#REF!</definedName>
    <definedName name="_1039_________________________________________________________________________________________________________________________________ME">'[2]#REF'!#REF!</definedName>
    <definedName name="_1039___________________________________________________________________S" hidden="1">#REF!</definedName>
    <definedName name="_104____________________________________________________________________________________________________________________________________________________________________________S" hidden="1">[3]Sheet3!#REF!</definedName>
    <definedName name="_104________________________________________________________________________________________________________________________________________________________________________0_S" hidden="1">#REF!</definedName>
    <definedName name="_1040______________________________________________________________________________________________________________________________________________________0\SM">'[4]#REF'!#REF!</definedName>
    <definedName name="_1040___________________________________________________________________S" hidden="1">[3]Sheet3!#REF!</definedName>
    <definedName name="_1041___________________________________________________________________S" hidden="1">#REF!</definedName>
    <definedName name="_1042____________________________________________________________________________________________________________________________________________________0_0__123Grap" hidden="1">[1]공문!#REF!</definedName>
    <definedName name="_1042__________________________________________________________________\LA">'[2]#REF'!#REF!</definedName>
    <definedName name="_1043__________________________________________________________________\MID">'[2]#REF'!#REF!</definedName>
    <definedName name="_1044____________________________________________________________________________________________________________________________________________________0_0_F" hidden="1">[3]Sheet3!#REF!</definedName>
    <definedName name="_1044__________________________________________________________________\SM">'[2]#REF'!#REF!</definedName>
    <definedName name="_1045_________________________________________________________________0_F" hidden="1">#REF!</definedName>
    <definedName name="_1046____________________________________________________________________________________________________________________________________________________0_0_S" hidden="1">[3]Sheet3!#REF!</definedName>
    <definedName name="_1046_________________________________________________________________0_S" hidden="1">#REF!</definedName>
    <definedName name="_1047_________________________________________________________________0_S" hidden="1">#REF!</definedName>
    <definedName name="_1048_______________________________________________________________________________________________________________________________________________________123Grap" hidden="1">[1]공문!#REF!</definedName>
    <definedName name="_1048_________________________________________________________________0\SM">'[4]#REF'!#REF!</definedName>
    <definedName name="_1049_______________________________________________________________0_0__123Grap" hidden="1">[1]공문!#REF!</definedName>
    <definedName name="_105________________________________________________________________________________________________________________________________________________________________________0_S" hidden="1">#REF!</definedName>
    <definedName name="_1050____________________________________________________________________________________________________________________________________________________3__Crite">#REF!</definedName>
    <definedName name="_1050_______________________________________________________________0_0_F" hidden="1">[3]Sheet3!#REF!</definedName>
    <definedName name="_1051_______________________________________________________________0_0_S" hidden="1">[3]Sheet3!#REF!</definedName>
    <definedName name="_1052____________________________________________________________________________________________________________________________________________________3__Criteria">#REF!</definedName>
    <definedName name="_1052_______________________________________________________________3__Crite">#REF!</definedName>
    <definedName name="_1053_______________________________________________________________3__Criteria">#REF!</definedName>
    <definedName name="_1054_______________________________________________________________________________________________________________________________________________________F" hidden="1">#REF!</definedName>
    <definedName name="_1054_______________________________________________________________G_0Extract">#REF!</definedName>
    <definedName name="_1055_______________________________________________________________G__Extr">#REF!</definedName>
    <definedName name="_1056_______________________________________________________________________________________________________________________________________________________F" hidden="1">[3]Sheet3!#REF!</definedName>
    <definedName name="_1056_______________________________________________________________G__Extract">#REF!</definedName>
    <definedName name="_1057__________________________________________________________________ME">'[2]#REF'!#REF!</definedName>
    <definedName name="_1058____________________________________________________________________________________________________________________________________________________G_0Extract">#REF!</definedName>
    <definedName name="_1058__________________________________________________________________ME">'[2]#REF'!#REF!</definedName>
    <definedName name="_1059_________________________________________________________________123Grap" hidden="1">[1]공문!#REF!</definedName>
    <definedName name="_106____________________________________________________________________________________________________________________________________________________________________________S" hidden="1">#REF!</definedName>
    <definedName name="_106________________________________________________________________________________________________________________________________________________________________________0\SM">'[4]#REF'!#REF!</definedName>
    <definedName name="_1060____________________________________________________________________________________________________________________________________________________G__Extr">#REF!</definedName>
    <definedName name="_1060________________________________________________________________F" hidden="1">#REF!</definedName>
    <definedName name="_1061________________________________________________________________F" hidden="1">[3]Sheet3!#REF!</definedName>
    <definedName name="_1062____________________________________________________________________________________________________________________________________________________G__Extract">#REF!</definedName>
    <definedName name="_1062________________________________________________________________S" hidden="1">#REF!</definedName>
    <definedName name="_1063________________________________________________________________S" hidden="1">[3]Sheet3!#REF!</definedName>
    <definedName name="_1064_______________________________________________________________________________________________________________________________________________________ME">'[2]#REF'!#REF!</definedName>
    <definedName name="_1064________________________________________________________________S" hidden="1">#REF!</definedName>
    <definedName name="_1065_______________________________________________________________\LA">'[2]#REF'!#REF!</definedName>
    <definedName name="_1066_______________________________________________________________________________________________________________________________________________________ME">'[2]#REF'!#REF!</definedName>
    <definedName name="_1066_______________________________________________________________\MID">'[2]#REF'!#REF!</definedName>
    <definedName name="_1067_______________________________________________________________\SM">'[2]#REF'!#REF!</definedName>
    <definedName name="_1068_______________________________________________________________________________________________________________________________________________________S" hidden="1">#REF!</definedName>
    <definedName name="_1068______________________________________________________________0_F" hidden="1">#REF!</definedName>
    <definedName name="_1069______________________________________________________________0_S" hidden="1">#REF!</definedName>
    <definedName name="_107______________________________________________________________________________________________________________________________________________________________________0_0__123Grap" hidden="1">[1]공문!#REF!</definedName>
    <definedName name="_1070_______________________________________________________________________________________________________________________________________________________S" hidden="1">[3]Sheet3!#REF!</definedName>
    <definedName name="_1070______________________________________________________________0_S" hidden="1">#REF!</definedName>
    <definedName name="_1071______________________________________________________________0\SM">'[4]#REF'!#REF!</definedName>
    <definedName name="_1072_______________________________________________________________________________________________________________________________________________________S" hidden="1">#REF!</definedName>
    <definedName name="_1072____________________________________________________________0_0__123Grap" hidden="1">[1]공문!#REF!</definedName>
    <definedName name="_1073____________________________________________________________0_0_F" hidden="1">[3]Sheet3!#REF!</definedName>
    <definedName name="_1074______________________________________________________________________________________________________________________________________________________\LA">'[2]#REF'!#REF!</definedName>
    <definedName name="_1074____________________________________________________________0_0_S" hidden="1">[3]Sheet3!#REF!</definedName>
    <definedName name="_1075____________________________________________________________3__Crite">#REF!</definedName>
    <definedName name="_1076______________________________________________________________________________________________________________________________________________________\MID">'[2]#REF'!#REF!</definedName>
    <definedName name="_1076_______________________________________________________________________________________________________________________________123Grap" hidden="1">[1]공문!#REF!</definedName>
    <definedName name="_1076____________________________________________________________3__Criteria">#REF!</definedName>
    <definedName name="_1077____________________________________________________________G_0Extract">#REF!</definedName>
    <definedName name="_1078______________________________________________________________________________________________________________________________________________________\SM">'[2]#REF'!#REF!</definedName>
    <definedName name="_1078____________________________________________________________G__Extr">#REF!</definedName>
    <definedName name="_1079____________________________________________________________G__Extract">#REF!</definedName>
    <definedName name="_108___________________________________________________________________________________________________________________________________________________________________________\LA">'[2]#REF'!#REF!</definedName>
    <definedName name="_108______________________________________________________________________________________________________________________________________________________________________0_0_F" hidden="1">[3]Sheet3!#REF!</definedName>
    <definedName name="_1080_____________________________________________________________________________________________________________________________________________________0_F" hidden="1">#REF!</definedName>
    <definedName name="_1080_______________________________________________________________ME">'[2]#REF'!#REF!</definedName>
    <definedName name="_1081_______________________________________________________________ME">'[2]#REF'!#REF!</definedName>
    <definedName name="_1082_____________________________________________________________________________________________________________________________________________________0_S" hidden="1">#REF!</definedName>
    <definedName name="_1082______________________________________________________________123Grap" hidden="1">[1]공문!#REF!</definedName>
    <definedName name="_1083_____________________________________________________________F" hidden="1">#REF!</definedName>
    <definedName name="_1084_____________________________________________________________________________________________________________________________________________________0_S" hidden="1">#REF!</definedName>
    <definedName name="_1084_____________________________________________________________F" hidden="1">[3]Sheet3!#REF!</definedName>
    <definedName name="_1085_____________________________________________________________S" hidden="1">#REF!</definedName>
    <definedName name="_1086_____________________________________________________________________________________________________________________________________________________0\SM">'[4]#REF'!#REF!</definedName>
    <definedName name="_1086_____________________________________________________________S" hidden="1">[3]Sheet3!#REF!</definedName>
    <definedName name="_1087_____________________________________________________________S" hidden="1">#REF!</definedName>
    <definedName name="_1088___________________________________________________________________________________________________________________________________________________0_0__123Grap" hidden="1">[1]공문!#REF!</definedName>
    <definedName name="_1088____________________________________________________________\LA">'[2]#REF'!#REF!</definedName>
    <definedName name="_1089____________________________________________________________\MID">'[2]#REF'!#REF!</definedName>
    <definedName name="_109______________________________________________________________________________________________________________________________________________________________________0_0_S" hidden="1">[3]Sheet3!#REF!</definedName>
    <definedName name="_1090___________________________________________________________________________________________________________________________________________________0_0_F" hidden="1">[3]Sheet3!#REF!</definedName>
    <definedName name="_1090____________________________________________________________\SM">'[2]#REF'!#REF!</definedName>
    <definedName name="_1091___________________________________________________________0_F" hidden="1">#REF!</definedName>
    <definedName name="_1092___________________________________________________________________________________________________________________________________________________0_0_S" hidden="1">[3]Sheet3!#REF!</definedName>
    <definedName name="_1092___________________________________________________________0_S" hidden="1">#REF!</definedName>
    <definedName name="_1093___________________________________________________________0_S" hidden="1">#REF!</definedName>
    <definedName name="_1094___________________________________________________________0\SM">'[4]#REF'!#REF!</definedName>
    <definedName name="_1095___________________________________________________________________________________________________________________________________________________3__Crite">#REF!</definedName>
    <definedName name="_1095_________________________________________________________0_0__123Grap" hidden="1">[1]공문!#REF!</definedName>
    <definedName name="_1096___________________________________________________________________________________________________________________________________________________3__Crite">#REF!</definedName>
    <definedName name="_1096_________________________________________________________0_0_F" hidden="1">[3]Sheet3!#REF!</definedName>
    <definedName name="_1097___________________________________________________________________________________________________________________________________________________3__Criteria">#REF!</definedName>
    <definedName name="_1097_________________________________________________________0_0_S" hidden="1">[3]Sheet3!#REF!</definedName>
    <definedName name="_1098___________________________________________________________________________________________________________________________________________________3__Criteria">#REF!</definedName>
    <definedName name="_1098_________________________________________________________3__Crite">#REF!</definedName>
    <definedName name="_1099______________________________________________________________________________________________________________________________________________________F" hidden="1">#REF!</definedName>
    <definedName name="_1099_________________________________________________________3__Criteria">#REF!</definedName>
    <definedName name="_11____________________________________________________________________________________________________________________________________________________________________________0_F" hidden="1">#REF!</definedName>
    <definedName name="_110___________________________________________________________________________________________________________________________________________________________________________\MID">'[2]#REF'!#REF!</definedName>
    <definedName name="_110_________________________________________________________________________________________________________________________________________________________________________123Grap" hidden="1">[1]공문!#REF!</definedName>
    <definedName name="_1100______________________________________________________________________________________________________________________________________________________F" hidden="1">#REF!</definedName>
    <definedName name="_1100_________________________________________________________G_0Extract">#REF!</definedName>
    <definedName name="_1101______________________________________________________________________________________________________________________________________________________F" hidden="1">[3]Sheet3!#REF!</definedName>
    <definedName name="_1101_________________________________________________________G__Extr">#REF!</definedName>
    <definedName name="_1102______________________________________________________________________________________________________________________________________________________F" hidden="1">[3]Sheet3!#REF!</definedName>
    <definedName name="_1102______________________________________________________________________________________________________________________________F" hidden="1">#REF!</definedName>
    <definedName name="_1102_________________________________________________________G__Extract">#REF!</definedName>
    <definedName name="_1103___________________________________________________________________________________________________________________________________________________G_0Extract">#REF!</definedName>
    <definedName name="_1103______________________________________________________________________________________________________________________________F" hidden="1">[3]Sheet3!#REF!</definedName>
    <definedName name="_1103____________________________________________________________ME">'[2]#REF'!#REF!</definedName>
    <definedName name="_1104___________________________________________________________________________________________________________________________________________________G_0Extract">#REF!</definedName>
    <definedName name="_1104____________________________________________________________ME">'[2]#REF'!#REF!</definedName>
    <definedName name="_1105___________________________________________________________________________________________________________________________________________________G__Extr">#REF!</definedName>
    <definedName name="_1105___________________________________________________________123Grap" hidden="1">[1]공문!#REF!</definedName>
    <definedName name="_1106___________________________________________________________________________________________________________________________________________________G__Extr">#REF!</definedName>
    <definedName name="_1106__________________________________________________________F" hidden="1">#REF!</definedName>
    <definedName name="_1107___________________________________________________________________________________________________________________________________________________G__Extract">#REF!</definedName>
    <definedName name="_1107__________________________________________________________F" hidden="1">[3]Sheet3!#REF!</definedName>
    <definedName name="_1108___________________________________________________________________________________________________________________________________________________G__Extract">#REF!</definedName>
    <definedName name="_1108__________________________________________________________S" hidden="1">#REF!</definedName>
    <definedName name="_1109______________________________________________________________________________________________________________________________________________________ME">'[2]#REF'!#REF!</definedName>
    <definedName name="_1109______________________________________________________________________________________________________________________________S" hidden="1">#REF!</definedName>
    <definedName name="_1109__________________________________________________________S" hidden="1">[3]Sheet3!#REF!</definedName>
    <definedName name="_111______________________________________________________________________________________________________________________________________________________________________3__Crite">#REF!</definedName>
    <definedName name="_1110______________________________________________________________________________________________________________________________________________________ME">'[2]#REF'!#REF!</definedName>
    <definedName name="_1110______________________________________________________________________________________________________________________________S" hidden="1">[3]Sheet3!#REF!</definedName>
    <definedName name="_1110__________________________________________________________S" hidden="1">#REF!</definedName>
    <definedName name="_1111______________________________________________________________________________________________________________________________________________________ME">'[2]#REF'!#REF!</definedName>
    <definedName name="_1111______________________________________________________________________________________________________________________________S" hidden="1">#REF!</definedName>
    <definedName name="_1111_________________________________________________________\LA">'[2]#REF'!#REF!</definedName>
    <definedName name="_1112______________________________________________________________________________________________________________________________________________________ME">'[2]#REF'!#REF!</definedName>
    <definedName name="_1112_____________________________________________________________________________________________________________________________\LA">'[2]#REF'!#REF!</definedName>
    <definedName name="_1112_________________________________________________________\MID">'[2]#REF'!#REF!</definedName>
    <definedName name="_1113______________________________________________________________________________________________________________________________________________________S" hidden="1">#REF!</definedName>
    <definedName name="_1113_____________________________________________________________________________________________________________________________\MID">'[2]#REF'!#REF!</definedName>
    <definedName name="_1113_________________________________________________________\SM">'[2]#REF'!#REF!</definedName>
    <definedName name="_1114______________________________________________________________________________________________________________________________________________________S" hidden="1">#REF!</definedName>
    <definedName name="_1114_____________________________________________________________________________________________________________________________\SM">'[2]#REF'!#REF!</definedName>
    <definedName name="_1114________________________________________________________0_F" hidden="1">#REF!</definedName>
    <definedName name="_1115______________________________________________________________________________________________________________________________________________________S" hidden="1">[3]Sheet3!#REF!</definedName>
    <definedName name="_1115____________________________________________________________________________________________________________________________0_F" hidden="1">#REF!</definedName>
    <definedName name="_1115________________________________________________________0_S" hidden="1">#REF!</definedName>
    <definedName name="_1116______________________________________________________________________________________________________________________________________________________S" hidden="1">[3]Sheet3!#REF!</definedName>
    <definedName name="_1116____________________________________________________________________________________________________________________________0_S" hidden="1">#REF!</definedName>
    <definedName name="_1116________________________________________________________0_S" hidden="1">#REF!</definedName>
    <definedName name="_1117______________________________________________________________________________________________________________________________________________________S" hidden="1">#REF!</definedName>
    <definedName name="_1117____________________________________________________________________________________________________________________________0_S" hidden="1">#REF!</definedName>
    <definedName name="_1117________________________________________________________0\SM">'[4]#REF'!#REF!</definedName>
    <definedName name="_1118______________________________________________________________________________________________________________________________________________________S" hidden="1">#REF!</definedName>
    <definedName name="_1118____________________________________________________________________________________________________________________________0\SM">'[4]#REF'!#REF!</definedName>
    <definedName name="_1118______________________________________________________0_0__123Grap" hidden="1">[1]공문!#REF!</definedName>
    <definedName name="_1119_____________________________________________________________________________________________________________________________________________________\LA">'[2]#REF'!#REF!</definedName>
    <definedName name="_1119__________________________________________________________________________________________________________________________0_0__123Grap" hidden="1">[1]공문!#REF!</definedName>
    <definedName name="_1119______________________________________________________0_0_F" hidden="1">[3]Sheet3!#REF!</definedName>
    <definedName name="_112___________________________________________________________________________________________________________________________________________________________________________\SM">'[2]#REF'!#REF!</definedName>
    <definedName name="_112______________________________________________________________________________________________________________________________________________________________________3__Criteria">#REF!</definedName>
    <definedName name="_1120_____________________________________________________________________________________________________________________________________________________\LA">'[2]#REF'!#REF!</definedName>
    <definedName name="_1120__________________________________________________________________________________________________________________________0_0_F" hidden="1">[3]Sheet3!#REF!</definedName>
    <definedName name="_1120______________________________________________________0_0_S" hidden="1">[3]Sheet3!#REF!</definedName>
    <definedName name="_1121_____________________________________________________________________________________________________________________________________________________\MID">'[2]#REF'!#REF!</definedName>
    <definedName name="_1121__________________________________________________________________________________________________________________________0_0_S" hidden="1">[3]Sheet3!#REF!</definedName>
    <definedName name="_1121______________________________________________________3__Crite">#REF!</definedName>
    <definedName name="_1122_____________________________________________________________________________________________________________________________________________________\MID">'[2]#REF'!#REF!</definedName>
    <definedName name="_1122______________________________________________________3__Criteria">#REF!</definedName>
    <definedName name="_1123_____________________________________________________________________________________________________________________________________________________\SM">'[2]#REF'!#REF!</definedName>
    <definedName name="_1123__________________________________________________________________________________________________________________________3__Crite">#REF!</definedName>
    <definedName name="_1123______________________________________________________G_0Extract">#REF!</definedName>
    <definedName name="_1124_____________________________________________________________________________________________________________________________________________________\SM">'[2]#REF'!#REF!</definedName>
    <definedName name="_1124__________________________________________________________________________________________________________________________3__Criteria">#REF!</definedName>
    <definedName name="_1124______________________________________________________G__Extr">#REF!</definedName>
    <definedName name="_1125____________________________________________________________________________________________________________________________________________________0_F" hidden="1">#REF!</definedName>
    <definedName name="_1125______________________________________________________G__Extract">#REF!</definedName>
    <definedName name="_1126____________________________________________________________________________________________________________________________________________________0_F" hidden="1">#REF!</definedName>
    <definedName name="_1126_________________________________________________________ME">'[2]#REF'!#REF!</definedName>
    <definedName name="_1127____________________________________________________________________________________________________________________________________________________0_S" hidden="1">#REF!</definedName>
    <definedName name="_1127__________________________________________________________________________________________________________________________G_0Extract">#REF!</definedName>
    <definedName name="_1127_________________________________________________________ME">'[2]#REF'!#REF!</definedName>
    <definedName name="_1128____________________________________________________________________________________________________________________________________________________0_S" hidden="1">#REF!</definedName>
    <definedName name="_1128__________________________________________________________________________________________________________________________G__Extr">#REF!</definedName>
    <definedName name="_1129____________________________________________________________________________________________________________________________________________________0_S" hidden="1">#REF!</definedName>
    <definedName name="_1129__________________________________________________________________________________________________________________________G__Extract">#REF!</definedName>
    <definedName name="_113_________________________________________________________________________________________________________________________________________________________________________F" hidden="1">#REF!</definedName>
    <definedName name="_1130____________________________________________________________________________________________________________________________________________________0_S" hidden="1">#REF!</definedName>
    <definedName name="_1130_____________________________________________________________________________________________________________________________ME">'[2]#REF'!#REF!</definedName>
    <definedName name="_1131____________________________________________________________________________________________________________________________________________________0\SM">'[4]#REF'!#REF!</definedName>
    <definedName name="_1131_____________________________________________________________________________________________________________________________ME">'[2]#REF'!#REF!</definedName>
    <definedName name="_1132____________________________________________________________________________________________________________________________________________________0\SM">'[4]#REF'!#REF!</definedName>
    <definedName name="_1133__________________________________________________________________________________________________________________________________________________0_0__123Grap" hidden="1">[1]공문!#REF!</definedName>
    <definedName name="_1134__________________________________________________________________________________________________________________________________________________0_0__123Grap" hidden="1">[1]공문!#REF!</definedName>
    <definedName name="_1135__________________________________________________________________________________________________________________________________________________0_0_F" hidden="1">[3]Sheet3!#REF!</definedName>
    <definedName name="_1136__________________________________________________________________________________________________________________________________________________0_0_F" hidden="1">[3]Sheet3!#REF!</definedName>
    <definedName name="_1137__________________________________________________________________________________________________________________________________________________0_0_S" hidden="1">[3]Sheet3!#REF!</definedName>
    <definedName name="_1138__________________________________________________________________________________________________________________________________________________0_0_S" hidden="1">[3]Sheet3!#REF!</definedName>
    <definedName name="_1139__________________________________________________________________________________________________________________________________________________3__Crite">#REF!</definedName>
    <definedName name="_114__________________________________________________________________________________________________________________________________________________________________________0_F" hidden="1">#REF!</definedName>
    <definedName name="_114_________________________________________________________________________________________________________________________________________________________________________F" hidden="1">[3]Sheet3!#REF!</definedName>
    <definedName name="_1141__________________________________________________________________________________________________________________________________________________3__Crite">#REF!</definedName>
    <definedName name="_1141__________________________________________________________________________________________________________________________________________________3__Criteria">#REF!</definedName>
    <definedName name="_1143__________________________________________________________________________________________________________________________________________________3__Criteria">#REF!</definedName>
    <definedName name="_1145__________________________________________________________________________________________________________________________________________________G_0Extract">#REF!</definedName>
    <definedName name="_1147__________________________________________________________________________________________________________________________________________________G__Extr">#REF!</definedName>
    <definedName name="_1149__________________________________________________________________________________________________________________________________________________G__Extract">#REF!</definedName>
    <definedName name="_1149__________________________________________________________________________________________________________________________________________________G_0Extract">#REF!</definedName>
    <definedName name="_115______________________________________________________________________________________________________________________________________________________________________G_0Extract">#REF!</definedName>
    <definedName name="_1151_____________________________________________________________________________________________________________________________________________________ME">'[2]#REF'!#REF!</definedName>
    <definedName name="_1151__________________________________________________________________________________________________________________________________________________G__Extr">#REF!</definedName>
    <definedName name="_1153_____________________________________________________________________________________________________________________________________________________ME">'[2]#REF'!#REF!</definedName>
    <definedName name="_1153__________________________________________________________________________________________________________________________________________________G__Extract">#REF!</definedName>
    <definedName name="_1155_____________________________________________________________________________________________________________________________________________________ME">'[2]#REF'!#REF!</definedName>
    <definedName name="_1157_____________________________________________________________________________________________________________________________________________________ME">'[2]#REF'!#REF!</definedName>
    <definedName name="_116__________________________________________________________________________________________________________________________________________________________________________0_S" hidden="1">#REF!</definedName>
    <definedName name="_116______________________________________________________________________________________________________________________________________________________________________G__Extr">#REF!</definedName>
    <definedName name="_1168___________________________________________________________________________________________________________________________123Grap" hidden="1">[1]공문!#REF!</definedName>
    <definedName name="_117______________________________________________________________________________________________________________________________________________________________________G__Extract">#REF!</definedName>
    <definedName name="_1175___________________________________________________________________________________________________________________________________________________123Grap" hidden="1">[1]공문!#REF!</definedName>
    <definedName name="_1178__________________________________________________________________________________________________________________________________________________F" hidden="1">#REF!</definedName>
    <definedName name="_118__________________________________________________________________________________________________________________________________________________________________________0_S" hidden="1">#REF!</definedName>
    <definedName name="_118_________________________________________________________________________________________________________________________________________________________________________ME">'[2]#REF'!#REF!</definedName>
    <definedName name="_1180__________________________________________________________________________________________________________________________________________________F" hidden="1">[3]Sheet3!#REF!</definedName>
    <definedName name="_1182__________________________________________________________________________________________________________________________________________________S" hidden="1">#REF!</definedName>
    <definedName name="_1184__________________________________________________________________________________________________________________________________________________S" hidden="1">[3]Sheet3!#REF!</definedName>
    <definedName name="_1186__________________________________________________________________________________________________________________________________________________S" hidden="1">#REF!</definedName>
    <definedName name="_1188_________________________________________________________________________________________________________________________________________________\LA">'[2]#REF'!#REF!</definedName>
    <definedName name="_119_________________________________________________________________________________________________________________________________________________________________________ME">'[2]#REF'!#REF!</definedName>
    <definedName name="_1190_________________________________________________________________________________________________________________________________________________\MID">'[2]#REF'!#REF!</definedName>
    <definedName name="_1192_________________________________________________________________________________________________________________________________________________\SM">'[2]#REF'!#REF!</definedName>
    <definedName name="_1194________________________________________________________________________________________________________________________________________________0_F" hidden="1">#REF!</definedName>
    <definedName name="_1194__________________________________________________________________________________________________________________________F" hidden="1">#REF!</definedName>
    <definedName name="_1195__________________________________________________________________________________________________________________________F" hidden="1">[3]Sheet3!#REF!</definedName>
    <definedName name="_1196________________________________________________________________________________________________________________________________________________0_S" hidden="1">#REF!</definedName>
    <definedName name="_1198________________________________________________________________________________________________________________________________________________0_S" hidden="1">#REF!</definedName>
    <definedName name="_12______________________________________________________________________________________________________________________________________________________________________________S" hidden="1">[3]Sheet3!#REF!</definedName>
    <definedName name="_12____________________________________________________________________________________________________________________________________________________________________________0_S" hidden="1">#REF!</definedName>
    <definedName name="_120__________________________________________________________________________________________________________________________________________________________________________0\SM">'[4]#REF'!#REF!</definedName>
    <definedName name="_120_________________________________________________________________________________________________________________________________________________________________________S" hidden="1">#REF!</definedName>
    <definedName name="_1200________________________________________________________________________________________________________________________________________________0\SM">'[4]#REF'!#REF!</definedName>
    <definedName name="_1201__________________________________________________________________________________________________________________________S" hidden="1">#REF!</definedName>
    <definedName name="_1202______________________________________________________________________________________________________________________________________________0_0__123Grap" hidden="1">[1]공문!#REF!</definedName>
    <definedName name="_1202__________________________________________________________________________________________________________________________S" hidden="1">[3]Sheet3!#REF!</definedName>
    <definedName name="_1203__________________________________________________________________________________________________________________________S" hidden="1">#REF!</definedName>
    <definedName name="_1204______________________________________________________________________________________________________________________________________________0_0_F" hidden="1">[3]Sheet3!#REF!</definedName>
    <definedName name="_1204_________________________________________________________________________________________________________________________\LA">'[2]#REF'!#REF!</definedName>
    <definedName name="_1205_________________________________________________________________________________________________________________________\MID">'[2]#REF'!#REF!</definedName>
    <definedName name="_1206______________________________________________________________________________________________________________________________________________0_0_S" hidden="1">[3]Sheet3!#REF!</definedName>
    <definedName name="_1206_________________________________________________________________________________________________________________________\SM">'[2]#REF'!#REF!</definedName>
    <definedName name="_1207________________________________________________________________________________________________________________________0_F" hidden="1">#REF!</definedName>
    <definedName name="_1208______________________________________________________________________________________________________________________________________________3__Crite">#REF!</definedName>
    <definedName name="_1208________________________________________________________________________________________________________________________0_S" hidden="1">#REF!</definedName>
    <definedName name="_1209________________________________________________________________________________________________________________________0_S" hidden="1">#REF!</definedName>
    <definedName name="_121_________________________________________________________________________________________________________________________________________________________________________S" hidden="1">[3]Sheet3!#REF!</definedName>
    <definedName name="_1210______________________________________________________________________________________________________________________________________________3__Criteria">#REF!</definedName>
    <definedName name="_1210________________________________________________________________________________________________________________________0\SM">'[4]#REF'!#REF!</definedName>
    <definedName name="_1211______________________________________________________________________________________________________________________0_0__123Grap" hidden="1">[1]공문!#REF!</definedName>
    <definedName name="_1212______________________________________________________________________________________________________________________0_0_F" hidden="1">[3]Sheet3!#REF!</definedName>
    <definedName name="_1213______________________________________________________________________________________________________________________0_0_S" hidden="1">[3]Sheet3!#REF!</definedName>
    <definedName name="_1214______________________________________________________________________________________________________________________________________________G_0Extract">#REF!</definedName>
    <definedName name="_1215___________________________________________________________________________________________________________________________________________________123Grap" hidden="1">[1]공문!#REF!</definedName>
    <definedName name="_1215______________________________________________________________________________________________________________________3__Crite">#REF!</definedName>
    <definedName name="_1216______________________________________________________________________________________________________________________________________________G__Extr">#REF!</definedName>
    <definedName name="_1216______________________________________________________________________________________________________________________3__Criteria">#REF!</definedName>
    <definedName name="_1218______________________________________________________________________________________________________________________________________________G__Extract">#REF!</definedName>
    <definedName name="_1219______________________________________________________________________________________________________________________G_0Extract">#REF!</definedName>
    <definedName name="_122_________________________________________________________________________________________________________________________________________________________________________S" hidden="1">#REF!</definedName>
    <definedName name="_122________________________________________________________________________________________________________________________________________________________________________0_0__123Grap" hidden="1">[1]공문!#REF!</definedName>
    <definedName name="_1220_________________________________________________________________________________________________________________________________________________ME">'[2]#REF'!#REF!</definedName>
    <definedName name="_1220______________________________________________________________________________________________________________________G__Extr">#REF!</definedName>
    <definedName name="_1221______________________________________________________________________________________________________________________G__Extract">#REF!</definedName>
    <definedName name="_1222_________________________________________________________________________________________________________________________________________________ME">'[2]#REF'!#REF!</definedName>
    <definedName name="_1222_________________________________________________________________________________________________________________________ME">'[2]#REF'!#REF!</definedName>
    <definedName name="_1223_________________________________________________________________________________________________________________________ME">'[2]#REF'!#REF!</definedName>
    <definedName name="_123________________________________________________________________________________________________________________________________________________________________________\LA">'[2]#REF'!#REF!</definedName>
    <definedName name="_124________________________________________________________________________________________________________________________________________________________________________\MID">'[2]#REF'!#REF!</definedName>
    <definedName name="_124________________________________________________________________________________________________________________________________________________________________________0_0_F" hidden="1">[3]Sheet3!#REF!</definedName>
    <definedName name="_1243__________________________________________________________________________________________________________________________________________________F" hidden="1">#REF!</definedName>
    <definedName name="_1244_______________________________________________________________________________________________________________________________________________123Grap" hidden="1">[1]공문!#REF!</definedName>
    <definedName name="_1245__________________________________________________________________________________________________________________________________________________F" hidden="1">[3]Sheet3!#REF!</definedName>
    <definedName name="_1247______________________________________________________________________________________________________________________________________________F" hidden="1">#REF!</definedName>
    <definedName name="_1249______________________________________________________________________________________________________________________________________________F" hidden="1">[3]Sheet3!#REF!</definedName>
    <definedName name="_125________________________________________________________________________________________________________________________________________________________________________\SM">'[2]#REF'!#REF!</definedName>
    <definedName name="_1251______________________________________________________________________________________________________________________________________________S" hidden="1">#REF!</definedName>
    <definedName name="_1252__________________________________________________________________________________________________________________________________________________S" hidden="1">#REF!</definedName>
    <definedName name="_1253______________________________________________________________________________________________________________________________________________S" hidden="1">[3]Sheet3!#REF!</definedName>
    <definedName name="_1254__________________________________________________________________________________________________________________________________________________S" hidden="1">[3]Sheet3!#REF!</definedName>
    <definedName name="_1255______________________________________________________________________________________________________________________________________________S" hidden="1">#REF!</definedName>
    <definedName name="_1256__________________________________________________________________________________________________________________________________________________S" hidden="1">#REF!</definedName>
    <definedName name="_1257_____________________________________________________________________________________________________________________________________________\LA">'[2]#REF'!#REF!</definedName>
    <definedName name="_1258_________________________________________________________________________________________________________________________________________________\LA">'[2]#REF'!#REF!</definedName>
    <definedName name="_1259_____________________________________________________________________________________________________________________________________________\MID">'[2]#REF'!#REF!</definedName>
    <definedName name="_126________________________________________________________________________________________________________________________________________________________________________0_0_S" hidden="1">[3]Sheet3!#REF!</definedName>
    <definedName name="_126_______________________________________________________________________________________________________________________________________________________________________0_F" hidden="1">#REF!</definedName>
    <definedName name="_1260_________________________________________________________________________________________________________________________________________________\MID">'[2]#REF'!#REF!</definedName>
    <definedName name="_1260_______________________________________________________________________________________________________________________123Grap" hidden="1">[1]공문!#REF!</definedName>
    <definedName name="_1261_____________________________________________________________________________________________________________________________________________\SM">'[2]#REF'!#REF!</definedName>
    <definedName name="_1262_________________________________________________________________________________________________________________________________________________\SM">'[2]#REF'!#REF!</definedName>
    <definedName name="_1263____________________________________________________________________________________________________________________________________________0_F" hidden="1">#REF!</definedName>
    <definedName name="_1264________________________________________________________________________________________________________________________________________________0_F" hidden="1">#REF!</definedName>
    <definedName name="_1265____________________________________________________________________________________________________________________________________________0_S" hidden="1">#REF!</definedName>
    <definedName name="_1266________________________________________________________________________________________________________________________________________________0_S" hidden="1">#REF!</definedName>
    <definedName name="_1267____________________________________________________________________________________________________________________________________________0_S" hidden="1">#REF!</definedName>
    <definedName name="_1268________________________________________________________________________________________________________________________________________________0_S" hidden="1">#REF!</definedName>
    <definedName name="_1269____________________________________________________________________________________________________________________________________________0\SM">'[4]#REF'!#REF!</definedName>
    <definedName name="_127_______________________________________________________________________________________________________________________________________________________________________0_S" hidden="1">#REF!</definedName>
    <definedName name="_1270________________________________________________________________________________________________________________________________________________0\SM">'[4]#REF'!#REF!</definedName>
    <definedName name="_1271__________________________________________________________________________________________________________________________________________0_0__123Grap" hidden="1">[1]공문!#REF!</definedName>
    <definedName name="_1272______________________________________________________________________________________________________________________________________________0_0__123Grap" hidden="1">[1]공문!#REF!</definedName>
    <definedName name="_1273__________________________________________________________________________________________________________________________________________0_0_F" hidden="1">[3]Sheet3!#REF!</definedName>
    <definedName name="_1274______________________________________________________________________________________________________________________________________________0_0_F" hidden="1">[3]Sheet3!#REF!</definedName>
    <definedName name="_1275__________________________________________________________________________________________________________________________________________0_0_S" hidden="1">[3]Sheet3!#REF!</definedName>
    <definedName name="_1276______________________________________________________________________________________________________________________________________________0_0_S" hidden="1">[3]Sheet3!#REF!</definedName>
    <definedName name="_1277__________________________________________________________________________________________________________________________________________3__Crite">#REF!</definedName>
    <definedName name="_1279______________________________________________________________________________________________________________________________________________3__Crite">#REF!</definedName>
    <definedName name="_1279__________________________________________________________________________________________________________________________________________3__Criteria">#REF!</definedName>
    <definedName name="_128___________________________________________________________________________________________________________________________________________________________________________123Grap" hidden="1">[1]공문!#REF!</definedName>
    <definedName name="_128_______________________________________________________________________________________________________________________________________________________________________0_S" hidden="1">#REF!</definedName>
    <definedName name="_1281______________________________________________________________________________________________________________________________________________3__Criteria">#REF!</definedName>
    <definedName name="_1283__________________________________________________________________________________________________________________________________________G_0Extract">#REF!</definedName>
    <definedName name="_1285__________________________________________________________________________________________________________________________________________G__Extr">#REF!</definedName>
    <definedName name="_1286______________________________________________________________________________________________________________________F" hidden="1">#REF!</definedName>
    <definedName name="_1287______________________________________________________________________________________________________________________________________________G_0Extract">#REF!</definedName>
    <definedName name="_1287__________________________________________________________________________________________________________________________________________G__Extract">#REF!</definedName>
    <definedName name="_1287______________________________________________________________________________________________________________________F" hidden="1">[3]Sheet3!#REF!</definedName>
    <definedName name="_1289______________________________________________________________________________________________________________________________________________G__Extr">#REF!</definedName>
    <definedName name="_1289_____________________________________________________________________________________________________________________________________________ME">'[2]#REF'!#REF!</definedName>
    <definedName name="_129_______________________________________________________________________________________________________________________________________________________________________0\SM">'[4]#REF'!#REF!</definedName>
    <definedName name="_1291______________________________________________________________________________________________________________________________________________G__Extract">#REF!</definedName>
    <definedName name="_1291_____________________________________________________________________________________________________________________________________________ME">'[2]#REF'!#REF!</definedName>
    <definedName name="_1293_________________________________________________________________________________________________________________________________________________ME">'[2]#REF'!#REF!</definedName>
    <definedName name="_1293______________________________________________________________________________________________________________________S" hidden="1">#REF!</definedName>
    <definedName name="_1294______________________________________________________________________________________________________________________S" hidden="1">[3]Sheet3!#REF!</definedName>
    <definedName name="_1295_________________________________________________________________________________________________________________________________________________ME">'[2]#REF'!#REF!</definedName>
    <definedName name="_1295______________________________________________________________________________________________________________________S" hidden="1">#REF!</definedName>
    <definedName name="_1296_____________________________________________________________________________________________________________________\LA">'[2]#REF'!#REF!</definedName>
    <definedName name="_1297_____________________________________________________________________________________________________________________\MID">'[2]#REF'!#REF!</definedName>
    <definedName name="_1298_____________________________________________________________________________________________________________________\SM">'[2]#REF'!#REF!</definedName>
    <definedName name="_1299____________________________________________________________________________________________________________________0_F" hidden="1">#REF!</definedName>
    <definedName name="_13____________________________________________________________________________________________________________________________________________________________________________0_S" hidden="1">#REF!</definedName>
    <definedName name="_130________________________________________________________________________________________________________________________________________________________________________3__Crite">#REF!</definedName>
    <definedName name="_130_____________________________________________________________________________________________________________________________________________________________________0_0__123Grap" hidden="1">[1]공문!#REF!</definedName>
    <definedName name="_1300____________________________________________________________________________________________________________________0_S" hidden="1">#REF!</definedName>
    <definedName name="_1301____________________________________________________________________________________________________________________0_S" hidden="1">#REF!</definedName>
    <definedName name="_1302____________________________________________________________________________________________________________________0\SM">'[4]#REF'!#REF!</definedName>
    <definedName name="_1303__________________________________________________________________________________________________________________0_0__123Grap" hidden="1">[1]공문!#REF!</definedName>
    <definedName name="_1304__________________________________________________________________________________________________________________0_0_F" hidden="1">[3]Sheet3!#REF!</definedName>
    <definedName name="_1305__________________________________________________________________________________________________________________0_0_S" hidden="1">[3]Sheet3!#REF!</definedName>
    <definedName name="_1307__________________________________________________________________________________________________________________3__Crite">#REF!</definedName>
    <definedName name="_1308__________________________________________________________________________________________________________________3__Criteria">#REF!</definedName>
    <definedName name="_131_____________________________________________________________________________________________________________________________________________________________________0_0_F" hidden="1">[3]Sheet3!#REF!</definedName>
    <definedName name="_1311__________________________________________________________________________________________________________________G_0Extract">#REF!</definedName>
    <definedName name="_1312__________________________________________________________________________________________________________________G__Extr">#REF!</definedName>
    <definedName name="_1313___________________________________________________________________________________________________________________________________________123Grap" hidden="1">[1]공문!#REF!</definedName>
    <definedName name="_1313__________________________________________________________________________________________________________________G__Extract">#REF!</definedName>
    <definedName name="_1314_____________________________________________________________________________________________________________________ME">'[2]#REF'!#REF!</definedName>
    <definedName name="_1315_____________________________________________________________________________________________________________________ME">'[2]#REF'!#REF!</definedName>
    <definedName name="_1316__________________________________________________________________________________________________________________________________________F" hidden="1">#REF!</definedName>
    <definedName name="_1318__________________________________________________________________________________________________________________________________________F" hidden="1">[3]Sheet3!#REF!</definedName>
    <definedName name="_132________________________________________________________________________________________________________________________________________________________________________3__Criteria">#REF!</definedName>
    <definedName name="_132_____________________________________________________________________________________________________________________________________________________________________0_0_S" hidden="1">[3]Sheet3!#REF!</definedName>
    <definedName name="_1320__________________________________________________________________________________________________________________________________________S" hidden="1">#REF!</definedName>
    <definedName name="_1322__________________________________________________________________________________________________________________________________________S" hidden="1">[3]Sheet3!#REF!</definedName>
    <definedName name="_1324__________________________________________________________________________________________________________________________________________S" hidden="1">#REF!</definedName>
    <definedName name="_1326_________________________________________________________________________________________________________________________________________\LA">'[2]#REF'!#REF!</definedName>
    <definedName name="_1328_________________________________________________________________________________________________________________________________________\MID">'[2]#REF'!#REF!</definedName>
    <definedName name="_133________________________________________________________________________________________________________________________________________________________________________123Grap" hidden="1">[1]공문!#REF!</definedName>
    <definedName name="_1330_________________________________________________________________________________________________________________________________________\SM">'[2]#REF'!#REF!</definedName>
    <definedName name="_1332________________________________________________________________________________________________________________________________________0_F" hidden="1">#REF!</definedName>
    <definedName name="_1334________________________________________________________________________________________________________________________________________0_S" hidden="1">#REF!</definedName>
    <definedName name="_1336________________________________________________________________________________________________________________________________________0_S" hidden="1">#REF!</definedName>
    <definedName name="_1338________________________________________________________________________________________________________________________________________0\SM">'[4]#REF'!#REF!</definedName>
    <definedName name="_134___________________________________________________________________________________________________________________________________________________________________________F" hidden="1">#REF!</definedName>
    <definedName name="_134_____________________________________________________________________________________________________________________________________________________________________3__Crite">#REF!</definedName>
    <definedName name="_1340______________________________________________________________________________________________________________________________________0_0__123Grap" hidden="1">[1]공문!#REF!</definedName>
    <definedName name="_1342______________________________________________________________________________________________________________________________________0_0_F" hidden="1">[3]Sheet3!#REF!</definedName>
    <definedName name="_1344______________________________________________________________________________________________________________________________________0_0_S" hidden="1">[3]Sheet3!#REF!</definedName>
    <definedName name="_1346______________________________________________________________________________________________________________________________________3__Crite">#REF!</definedName>
    <definedName name="_1348______________________________________________________________________________________________________________________________________3__Criteria">#REF!</definedName>
    <definedName name="_135_____________________________________________________________________________________________________________________________________________________________________3__Criteria">#REF!</definedName>
    <definedName name="_1352______________________________________________________________________________________________________________________________________G_0Extract">#REF!</definedName>
    <definedName name="_1352___________________________________________________________________________________________________________________123Grap" hidden="1">[1]공문!#REF!</definedName>
    <definedName name="_1353_______________________________________________________________________________________________________________________________________________123Grap" hidden="1">[1]공문!#REF!</definedName>
    <definedName name="_1354______________________________________________________________________________________________________________________________________G__Extr">#REF!</definedName>
    <definedName name="_1356______________________________________________________________________________________________________________________________________G__Extract">#REF!</definedName>
    <definedName name="_1358_________________________________________________________________________________________________________________________________________ME">'[2]#REF'!#REF!</definedName>
    <definedName name="_136___________________________________________________________________________________________________________________________________________________________________________F" hidden="1">[3]Sheet3!#REF!</definedName>
    <definedName name="_136________________________________________________________________________________________________________________________________________________________________________F" hidden="1">#REF!</definedName>
    <definedName name="_1360_________________________________________________________________________________________________________________________________________ME">'[2]#REF'!#REF!</definedName>
    <definedName name="_137________________________________________________________________________________________________________________________________________________________________________F" hidden="1">[3]Sheet3!#REF!</definedName>
    <definedName name="_1378__________________________________________________________________________________________________________________F" hidden="1">#REF!</definedName>
    <definedName name="_1379__________________________________________________________________________________________________________________F" hidden="1">[3]Sheet3!#REF!</definedName>
    <definedName name="_138________________________________________________________________________________________________________________________________________________________________________G_0Extract">#REF!</definedName>
    <definedName name="_138_____________________________________________________________________________________________________________________________________________________________________G_0Extract">#REF!</definedName>
    <definedName name="_1381______________________________________________________________________________________________________________________________________________F" hidden="1">#REF!</definedName>
    <definedName name="_1382_______________________________________________________________________________________________________________________________________123Grap" hidden="1">[1]공문!#REF!</definedName>
    <definedName name="_1383______________________________________________________________________________________________________________________________________________F" hidden="1">[3]Sheet3!#REF!</definedName>
    <definedName name="_1385______________________________________________________________________________________________________________________________________F" hidden="1">#REF!</definedName>
    <definedName name="_1385__________________________________________________________________________________________________________________S" hidden="1">#REF!</definedName>
    <definedName name="_1386__________________________________________________________________________________________________________________S" hidden="1">[3]Sheet3!#REF!</definedName>
    <definedName name="_1387______________________________________________________________________________________________________________________________________F" hidden="1">[3]Sheet3!#REF!</definedName>
    <definedName name="_1387__________________________________________________________________________________________________________________S" hidden="1">#REF!</definedName>
    <definedName name="_1388_________________________________________________________________________________________________________________\LA">'[2]#REF'!#REF!</definedName>
    <definedName name="_1389______________________________________________________________________________________________________________________________________S" hidden="1">#REF!</definedName>
    <definedName name="_1389_________________________________________________________________________________________________________________\MID">'[2]#REF'!#REF!</definedName>
    <definedName name="_139_____________________________________________________________________________________________________________________________________________________________________G__Extr">#REF!</definedName>
    <definedName name="_1390______________________________________________________________________________________________________________________________________________S" hidden="1">#REF!</definedName>
    <definedName name="_1390_________________________________________________________________________________________________________________\SM">'[2]#REF'!#REF!</definedName>
    <definedName name="_1391______________________________________________________________________________________________________________________________________S" hidden="1">[3]Sheet3!#REF!</definedName>
    <definedName name="_1391________________________________________________________________________________________________________________0_F" hidden="1">#REF!</definedName>
    <definedName name="_1392______________________________________________________________________________________________________________________________________________S" hidden="1">[3]Sheet3!#REF!</definedName>
    <definedName name="_1392________________________________________________________________________________________________________________0_S" hidden="1">#REF!</definedName>
    <definedName name="_1393______________________________________________________________________________________________________________________________________S" hidden="1">#REF!</definedName>
    <definedName name="_1393________________________________________________________________________________________________________________0_S" hidden="1">#REF!</definedName>
    <definedName name="_1394______________________________________________________________________________________________________________________________________________S" hidden="1">#REF!</definedName>
    <definedName name="_1394________________________________________________________________________________________________________________0\SM">'[4]#REF'!#REF!</definedName>
    <definedName name="_1395_____________________________________________________________________________________________________________________________________\LA">'[2]#REF'!#REF!</definedName>
    <definedName name="_1395______________________________________________________________________________________________________________0_0__123Grap" hidden="1">[1]공문!#REF!</definedName>
    <definedName name="_1396_____________________________________________________________________________________________________________________________________________\LA">'[2]#REF'!#REF!</definedName>
    <definedName name="_1396______________________________________________________________________________________________________________0_0_F" hidden="1">[3]Sheet3!#REF!</definedName>
    <definedName name="_1397_____________________________________________________________________________________________________________________________________\MID">'[2]#REF'!#REF!</definedName>
    <definedName name="_1397______________________________________________________________________________________________________________0_0_S" hidden="1">[3]Sheet3!#REF!</definedName>
    <definedName name="_1398_____________________________________________________________________________________________________________________________________________\MID">'[2]#REF'!#REF!</definedName>
    <definedName name="_1399_____________________________________________________________________________________________________________________________________\SM">'[2]#REF'!#REF!</definedName>
    <definedName name="_1399______________________________________________________________________________________________________________3__Crite">#REF!</definedName>
    <definedName name="_14______________________________________________________________________________________________________________________________________________________________________________S" hidden="1">#REF!</definedName>
    <definedName name="_14____________________________________________________________________________________________________________________________________________________________________________0\SM">'[4]#REF'!#REF!</definedName>
    <definedName name="_140________________________________________________________________________________________________________________________________________________________________________G__Extr">#REF!</definedName>
    <definedName name="_140_____________________________________________________________________________________________________________________________________________________________________G__Extract">#REF!</definedName>
    <definedName name="_1400_____________________________________________________________________________________________________________________________________________\SM">'[2]#REF'!#REF!</definedName>
    <definedName name="_1400______________________________________________________________________________________________________________3__Criteria">#REF!</definedName>
    <definedName name="_1401____________________________________________________________________________________________________________________________________0_F" hidden="1">#REF!</definedName>
    <definedName name="_1402____________________________________________________________________________________________________________________________________________0_F" hidden="1">#REF!</definedName>
    <definedName name="_1403____________________________________________________________________________________________________________________________________0_S" hidden="1">#REF!</definedName>
    <definedName name="_1403______________________________________________________________________________________________________________G_0Extract">#REF!</definedName>
    <definedName name="_1404____________________________________________________________________________________________________________________________________________0_S" hidden="1">#REF!</definedName>
    <definedName name="_1404______________________________________________________________________________________________________________G__Extr">#REF!</definedName>
    <definedName name="_1405____________________________________________________________________________________________________________________________________0_S" hidden="1">#REF!</definedName>
    <definedName name="_1405______________________________________________________________________________________________________________G__Extract">#REF!</definedName>
    <definedName name="_1406____________________________________________________________________________________________________________________________________________0_S" hidden="1">#REF!</definedName>
    <definedName name="_1406_________________________________________________________________________________________________________________ME">'[2]#REF'!#REF!</definedName>
    <definedName name="_1407____________________________________________________________________________________________________________________________________0\SM">'[4]#REF'!#REF!</definedName>
    <definedName name="_1407_________________________________________________________________________________________________________________ME">'[2]#REF'!#REF!</definedName>
    <definedName name="_1408____________________________________________________________________________________________________________________________________________0\SM">'[4]#REF'!#REF!</definedName>
    <definedName name="_1409__________________________________________________________________________________________________________________________________0_0__123Grap" hidden="1">[1]공문!#REF!</definedName>
    <definedName name="_141________________________________________________________________________________________________________________________________________________________________________ME">'[2]#REF'!#REF!</definedName>
    <definedName name="_1410__________________________________________________________________________________________________________________________________________0_0__123Grap" hidden="1">[1]공문!#REF!</definedName>
    <definedName name="_1411__________________________________________________________________________________________________________________________________0_0_F" hidden="1">[3]Sheet3!#REF!</definedName>
    <definedName name="_1412__________________________________________________________________________________________________________________________________________0_0_F" hidden="1">[3]Sheet3!#REF!</definedName>
    <definedName name="_1413__________________________________________________________________________________________________________________________________0_0_S" hidden="1">[3]Sheet3!#REF!</definedName>
    <definedName name="_1414__________________________________________________________________________________________________________________________________________0_0_S" hidden="1">[3]Sheet3!#REF!</definedName>
    <definedName name="_1415__________________________________________________________________________________________________________________________________3__Crite">#REF!</definedName>
    <definedName name="_1417__________________________________________________________________________________________________________________________________________3__Crite">#REF!</definedName>
    <definedName name="_1417__________________________________________________________________________________________________________________________________3__Criteria">#REF!</definedName>
    <definedName name="_1419__________________________________________________________________________________________________________________________________________3__Criteria">#REF!</definedName>
    <definedName name="_142________________________________________________________________________________________________________________________________________________________________________G__Extract">#REF!</definedName>
    <definedName name="_142________________________________________________________________________________________________________________________________________________________________________ME">'[2]#REF'!#REF!</definedName>
    <definedName name="_1421__________________________________________________________________________________________________________________________________G_0Extract">#REF!</definedName>
    <definedName name="_1423__________________________________________________________________________________________________________________________________G__Extr">#REF!</definedName>
    <definedName name="_1425__________________________________________________________________________________________________________________________________________G_0Extract">#REF!</definedName>
    <definedName name="_1425__________________________________________________________________________________________________________________________________G__Extract">#REF!</definedName>
    <definedName name="_1427__________________________________________________________________________________________________________________________________________G__Extr">#REF!</definedName>
    <definedName name="_1427_____________________________________________________________________________________________________________________________________ME">'[2]#REF'!#REF!</definedName>
    <definedName name="_1429__________________________________________________________________________________________________________________________________________G__Extract">#REF!</definedName>
    <definedName name="_1429_____________________________________________________________________________________________________________________________________ME">'[2]#REF'!#REF!</definedName>
    <definedName name="_143________________________________________________________________________________________________________________________________________________________________________S" hidden="1">#REF!</definedName>
    <definedName name="_1431_____________________________________________________________________________________________________________________________________________ME">'[2]#REF'!#REF!</definedName>
    <definedName name="_1433_____________________________________________________________________________________________________________________________________________ME">'[2]#REF'!#REF!</definedName>
    <definedName name="_144___________________________________________________________________________________________________________________________________________________________________________ME">'[2]#REF'!#REF!</definedName>
    <definedName name="_144________________________________________________________________________________________________________________________________________________________________________S" hidden="1">[3]Sheet3!#REF!</definedName>
    <definedName name="_1444_______________________________________________________________________________________________________________123Grap" hidden="1">[1]공문!#REF!</definedName>
    <definedName name="_145________________________________________________________________________________________________________________________________________________________________________S" hidden="1">#REF!</definedName>
    <definedName name="_1451___________________________________________________________________________________________________________________________________123Grap" hidden="1">[1]공문!#REF!</definedName>
    <definedName name="_1454__________________________________________________________________________________________________________________________________F" hidden="1">#REF!</definedName>
    <definedName name="_1456__________________________________________________________________________________________________________________________________F" hidden="1">[3]Sheet3!#REF!</definedName>
    <definedName name="_1458__________________________________________________________________________________________________________________________________S" hidden="1">#REF!</definedName>
    <definedName name="_146___________________________________________________________________________________________________________________________________________________________________________ME">'[2]#REF'!#REF!</definedName>
    <definedName name="_146_______________________________________________________________________________________________________________________________________________________________________\LA">'[2]#REF'!#REF!</definedName>
    <definedName name="_1460__________________________________________________________________________________________________________________________________S" hidden="1">[3]Sheet3!#REF!</definedName>
    <definedName name="_1462__________________________________________________________________________________________________________________________________S" hidden="1">#REF!</definedName>
    <definedName name="_1464_________________________________________________________________________________________________________________________________\LA">'[2]#REF'!#REF!</definedName>
    <definedName name="_1466_________________________________________________________________________________________________________________________________\MID">'[2]#REF'!#REF!</definedName>
    <definedName name="_1468_________________________________________________________________________________________________________________________________\SM">'[2]#REF'!#REF!</definedName>
    <definedName name="_147_______________________________________________________________________________________________________________________________________________________________________\MID">'[2]#REF'!#REF!</definedName>
    <definedName name="_1470________________________________________________________________________________________________________________________________0_F" hidden="1">#REF!</definedName>
    <definedName name="_1470______________________________________________________________________________________________________________F" hidden="1">#REF!</definedName>
    <definedName name="_1471______________________________________________________________________________________________________________F" hidden="1">[3]Sheet3!#REF!</definedName>
    <definedName name="_1472________________________________________________________________________________________________________________________________0_S" hidden="1">#REF!</definedName>
    <definedName name="_1474________________________________________________________________________________________________________________________________0_S" hidden="1">#REF!</definedName>
    <definedName name="_1476________________________________________________________________________________________________________________________________0\SM">'[4]#REF'!#REF!</definedName>
    <definedName name="_1477______________________________________________________________________________________________________________S" hidden="1">#REF!</definedName>
    <definedName name="_1478______________________________________________________________________________________________________________________________0_0__123Grap" hidden="1">[1]공문!#REF!</definedName>
    <definedName name="_1478______________________________________________________________________________________________________________S" hidden="1">[3]Sheet3!#REF!</definedName>
    <definedName name="_1479______________________________________________________________________________________________________________S" hidden="1">#REF!</definedName>
    <definedName name="_148___________________________________________________________________________________________________________________________________________________________________________S" hidden="1">#REF!</definedName>
    <definedName name="_148_______________________________________________________________________________________________________________________________________________________________________\SM">'[2]#REF'!#REF!</definedName>
    <definedName name="_1480______________________________________________________________________________________________________________________________0_0_F" hidden="1">[3]Sheet3!#REF!</definedName>
    <definedName name="_1480_____________________________________________________________________________________________________________\LA">'[2]#REF'!#REF!</definedName>
    <definedName name="_1481_____________________________________________________________________________________________________________\MID">'[2]#REF'!#REF!</definedName>
    <definedName name="_1482______________________________________________________________________________________________________________________________0_0_S" hidden="1">[3]Sheet3!#REF!</definedName>
    <definedName name="_1482_____________________________________________________________________________________________________________\SM">'[2]#REF'!#REF!</definedName>
    <definedName name="_1483____________________________________________________________________________________________________________0_F" hidden="1">#REF!</definedName>
    <definedName name="_1484______________________________________________________________________________________________________________________________3__Crite">#REF!</definedName>
    <definedName name="_1484____________________________________________________________________________________________________________0_S" hidden="1">#REF!</definedName>
    <definedName name="_1485____________________________________________________________________________________________________________0_S" hidden="1">#REF!</definedName>
    <definedName name="_1486______________________________________________________________________________________________________________________________3__Criteria">#REF!</definedName>
    <definedName name="_1486____________________________________________________________________________________________________________0\SM">'[4]#REF'!#REF!</definedName>
    <definedName name="_1487__________________________________________________________________________________________________________0_0__123Grap" hidden="1">[1]공문!#REF!</definedName>
    <definedName name="_1488__________________________________________________________________________________________________________0_0_F" hidden="1">[3]Sheet3!#REF!</definedName>
    <definedName name="_1489__________________________________________________________________________________________________________0_0_S" hidden="1">[3]Sheet3!#REF!</definedName>
    <definedName name="_149______________________________________________________________________________________________________________________________________________________________________0_F" hidden="1">#REF!</definedName>
    <definedName name="_1490______________________________________________________________________________________________________________________________G_0Extract">#REF!</definedName>
    <definedName name="_1491___________________________________________________________________________________________________________________________________________123Grap" hidden="1">[1]공문!#REF!</definedName>
    <definedName name="_1491__________________________________________________________________________________________________________3__Crite">#REF!</definedName>
    <definedName name="_1492______________________________________________________________________________________________________________________________G__Extr">#REF!</definedName>
    <definedName name="_1492__________________________________________________________________________________________________________3__Criteria">#REF!</definedName>
    <definedName name="_1494______________________________________________________________________________________________________________________________G__Extract">#REF!</definedName>
    <definedName name="_1495__________________________________________________________________________________________________________G_0Extract">#REF!</definedName>
    <definedName name="_1496_________________________________________________________________________________________________________________________________ME">'[2]#REF'!#REF!</definedName>
    <definedName name="_1496__________________________________________________________________________________________________________G__Extr">#REF!</definedName>
    <definedName name="_1497__________________________________________________________________________________________________________G__Extract">#REF!</definedName>
    <definedName name="_1498_________________________________________________________________________________________________________________________________ME">'[2]#REF'!#REF!</definedName>
    <definedName name="_1498_____________________________________________________________________________________________________________ME">'[2]#REF'!#REF!</definedName>
    <definedName name="_1499_____________________________________________________________________________________________________________ME">'[2]#REF'!#REF!</definedName>
    <definedName name="_15__________________________________________________________________________________________________________________________________________________________________________0_0__123Grap" hidden="1">[1]공문!#REF!</definedName>
    <definedName name="_150___________________________________________________________________________________________________________________________________________________________________________S" hidden="1">[3]Sheet3!#REF!</definedName>
    <definedName name="_150______________________________________________________________________________________________________________________________________________________________________0_S" hidden="1">#REF!</definedName>
    <definedName name="_151______________________________________________________________________________________________________________________________________________________________________0_S" hidden="1">#REF!</definedName>
    <definedName name="_1519__________________________________________________________________________________________________________________________________________F" hidden="1">#REF!</definedName>
    <definedName name="_152___________________________________________________________________________________________________________________________________________________________________________S" hidden="1">#REF!</definedName>
    <definedName name="_152______________________________________________________________________________________________________________________________________________________________________0\SM">'[4]#REF'!#REF!</definedName>
    <definedName name="_1520_______________________________________________________________________________________________________________________________123Grap" hidden="1">[1]공문!#REF!</definedName>
    <definedName name="_1521__________________________________________________________________________________________________________________________________________F" hidden="1">[3]Sheet3!#REF!</definedName>
    <definedName name="_1523______________________________________________________________________________________________________________________________F" hidden="1">#REF!</definedName>
    <definedName name="_1525______________________________________________________________________________________________________________________________F" hidden="1">[3]Sheet3!#REF!</definedName>
    <definedName name="_1527______________________________________________________________________________________________________________________________S" hidden="1">#REF!</definedName>
    <definedName name="_1528__________________________________________________________________________________________________________________________________________S" hidden="1">#REF!</definedName>
    <definedName name="_1529______________________________________________________________________________________________________________________________S" hidden="1">[3]Sheet3!#REF!</definedName>
    <definedName name="_153____________________________________________________________________________________________________________________________________________________________________0_0__123Grap" hidden="1">[1]공문!#REF!</definedName>
    <definedName name="_1530__________________________________________________________________________________________________________________________________________S" hidden="1">[3]Sheet3!#REF!</definedName>
    <definedName name="_1531______________________________________________________________________________________________________________________________S" hidden="1">#REF!</definedName>
    <definedName name="_1532__________________________________________________________________________________________________________________________________________S" hidden="1">#REF!</definedName>
    <definedName name="_1533_____________________________________________________________________________________________________________________________\LA">'[2]#REF'!#REF!</definedName>
    <definedName name="_1534_________________________________________________________________________________________________________________________________________\LA">'[2]#REF'!#REF!</definedName>
    <definedName name="_1535_____________________________________________________________________________________________________________________________\MID">'[2]#REF'!#REF!</definedName>
    <definedName name="_1536_________________________________________________________________________________________________________________________________________\MID">'[2]#REF'!#REF!</definedName>
    <definedName name="_1537_____________________________________________________________________________________________________________________________\SM">'[2]#REF'!#REF!</definedName>
    <definedName name="_1538_________________________________________________________________________________________________________________________________________\SM">'[2]#REF'!#REF!</definedName>
    <definedName name="_1539____________________________________________________________________________________________________________________________0_F" hidden="1">#REF!</definedName>
    <definedName name="_154__________________________________________________________________________________________________________________________________________________________________________\LA">'[2]#REF'!#REF!</definedName>
    <definedName name="_154____________________________________________________________________________________________________________________________________________________________________0_0_F" hidden="1">[3]Sheet3!#REF!</definedName>
    <definedName name="_1540________________________________________________________________________________________________________________________________________0_F" hidden="1">#REF!</definedName>
    <definedName name="_1541____________________________________________________________________________________________________________________________0_S" hidden="1">#REF!</definedName>
    <definedName name="_1542________________________________________________________________________________________________________________________________________0_S" hidden="1">#REF!</definedName>
    <definedName name="_1543____________________________________________________________________________________________________________________________0_S" hidden="1">#REF!</definedName>
    <definedName name="_1544________________________________________________________________________________________________________________________________________0_S" hidden="1">#REF!</definedName>
    <definedName name="_1545____________________________________________________________________________________________________________________________0\SM">'[4]#REF'!#REF!</definedName>
    <definedName name="_1546________________________________________________________________________________________________________________________________________0\SM">'[4]#REF'!#REF!</definedName>
    <definedName name="_1547__________________________________________________________________________________________________________________________0_0__123Grap" hidden="1">[1]공문!#REF!</definedName>
    <definedName name="_1548______________________________________________________________________________________________________________________________________0_0__123Grap" hidden="1">[1]공문!#REF!</definedName>
    <definedName name="_1549__________________________________________________________________________________________________________________________0_0_F" hidden="1">[3]Sheet3!#REF!</definedName>
    <definedName name="_155____________________________________________________________________________________________________________________________________________________________________0_0_S" hidden="1">[3]Sheet3!#REF!</definedName>
    <definedName name="_1550______________________________________________________________________________________________________________________________________0_0_F" hidden="1">[3]Sheet3!#REF!</definedName>
    <definedName name="_1551__________________________________________________________________________________________________________________________0_0_S" hidden="1">[3]Sheet3!#REF!</definedName>
    <definedName name="_1552______________________________________________________________________________________________________________________________________0_0_S" hidden="1">[3]Sheet3!#REF!</definedName>
    <definedName name="_1553__________________________________________________________________________________________________________________________3__Crite">#REF!</definedName>
    <definedName name="_1555______________________________________________________________________________________________________________________________________3__Crite">#REF!</definedName>
    <definedName name="_1555__________________________________________________________________________________________________________________________3__Criteria">#REF!</definedName>
    <definedName name="_1557______________________________________________________________________________________________________________________________________3__Criteria">#REF!</definedName>
    <definedName name="_1559__________________________________________________________________________________________________________________________G_0Extract">#REF!</definedName>
    <definedName name="_156__________________________________________________________________________________________________________________________________________________________________________\MID">'[2]#REF'!#REF!</definedName>
    <definedName name="_156_______________________________________________________________________________________________________________________________________________________________________123Grap" hidden="1">[1]공문!#REF!</definedName>
    <definedName name="_1561__________________________________________________________________________________________________________________________G__Extr">#REF!</definedName>
    <definedName name="_1563______________________________________________________________________________________________________________________________________G_0Extract">#REF!</definedName>
    <definedName name="_1563__________________________________________________________________________________________________________________________G__Extract">#REF!</definedName>
    <definedName name="_1565______________________________________________________________________________________________________________________________________G__Extr">#REF!</definedName>
    <definedName name="_1565_____________________________________________________________________________________________________________________________ME">'[2]#REF'!#REF!</definedName>
    <definedName name="_1567______________________________________________________________________________________________________________________________________G__Extract">#REF!</definedName>
    <definedName name="_1567_____________________________________________________________________________________________________________________________ME">'[2]#REF'!#REF!</definedName>
    <definedName name="_1569_________________________________________________________________________________________________________________________________________ME">'[2]#REF'!#REF!</definedName>
    <definedName name="_157____________________________________________________________________________________________________________________________________________________________________3__Crite">#REF!</definedName>
    <definedName name="_1571_________________________________________________________________________________________________________________________________________ME">'[2]#REF'!#REF!</definedName>
    <definedName name="_158__________________________________________________________________________________________________________________________________________________________________________\SM">'[2]#REF'!#REF!</definedName>
    <definedName name="_158____________________________________________________________________________________________________________________________________________________________________3__Criteria">#REF!</definedName>
    <definedName name="_1589___________________________________________________________________________________________________________________________123Grap" hidden="1">[1]공문!#REF!</definedName>
    <definedName name="_159_______________________________________________________________________________________________________________________________________________________________________F" hidden="1">#REF!</definedName>
    <definedName name="_1592__________________________________________________________________________________________________________________________F" hidden="1">#REF!</definedName>
    <definedName name="_1594__________________________________________________________________________________________________________________________F" hidden="1">[3]Sheet3!#REF!</definedName>
    <definedName name="_1596__________________________________________________________________________________________________________________________S" hidden="1">#REF!</definedName>
    <definedName name="_1598__________________________________________________________________________________________________________________________S" hidden="1">[3]Sheet3!#REF!</definedName>
    <definedName name="_16_____________________________________________________________________________________________________________________________________________________________________________\LA">'[2]#REF'!#REF!</definedName>
    <definedName name="_16__________________________________________________________________________________________________________________________________________________________________________0_0_F" hidden="1">[3]Sheet3!#REF!</definedName>
    <definedName name="_160_________________________________________________________________________________________________________________________________________________________________________0_F" hidden="1">#REF!</definedName>
    <definedName name="_160_______________________________________________________________________________________________________________________________________________________________________F" hidden="1">[3]Sheet3!#REF!</definedName>
    <definedName name="_1600__________________________________________________________________________________________________________________________S" hidden="1">#REF!</definedName>
    <definedName name="_1602_________________________________________________________________________________________________________________________\LA">'[2]#REF'!#REF!</definedName>
    <definedName name="_1604_________________________________________________________________________________________________________________________\MID">'[2]#REF'!#REF!</definedName>
    <definedName name="_1606_________________________________________________________________________________________________________________________\SM">'[2]#REF'!#REF!</definedName>
    <definedName name="_1608________________________________________________________________________________________________________________________0_F" hidden="1">#REF!</definedName>
    <definedName name="_161____________________________________________________________________________________________________________________________________________________________________G_0Extract">#REF!</definedName>
    <definedName name="_1610________________________________________________________________________________________________________________________0_S" hidden="1">#REF!</definedName>
    <definedName name="_1612________________________________________________________________________________________________________________________0_S" hidden="1">#REF!</definedName>
    <definedName name="_1614________________________________________________________________________________________________________________________0\SM">'[4]#REF'!#REF!</definedName>
    <definedName name="_1616______________________________________________________________________________________________________________________0_0__123Grap" hidden="1">[1]공문!#REF!</definedName>
    <definedName name="_1618______________________________________________________________________________________________________________________0_0_F" hidden="1">[3]Sheet3!#REF!</definedName>
    <definedName name="_162_________________________________________________________________________________________________________________________________________________________________________0_S" hidden="1">#REF!</definedName>
    <definedName name="_162____________________________________________________________________________________________________________________________________________________________________G__Extr">#REF!</definedName>
    <definedName name="_1620______________________________________________________________________________________________________________________0_0_S" hidden="1">[3]Sheet3!#REF!</definedName>
    <definedName name="_1622______________________________________________________________________________________________________________________3__Crite">#REF!</definedName>
    <definedName name="_1624______________________________________________________________________________________________________________________3__Criteria">#REF!</definedName>
    <definedName name="_1628______________________________________________________________________________________________________________________G_0Extract">#REF!</definedName>
    <definedName name="_1628_______________________________________________________________________________________________________123Grap" hidden="1">[1]공문!#REF!</definedName>
    <definedName name="_1629_______________________________________________________________________________________________________________________________________123Grap" hidden="1">[1]공문!#REF!</definedName>
    <definedName name="_163____________________________________________________________________________________________________________________________________________________________________G__Extract">#REF!</definedName>
    <definedName name="_1630______________________________________________________________________________________________________________________G__Extr">#REF!</definedName>
    <definedName name="_1632______________________________________________________________________________________________________________________G__Extract">#REF!</definedName>
    <definedName name="_1634_________________________________________________________________________________________________________________________ME">'[2]#REF'!#REF!</definedName>
    <definedName name="_1636_________________________________________________________________________________________________________________________ME">'[2]#REF'!#REF!</definedName>
    <definedName name="_164_________________________________________________________________________________________________________________________________________________________________________0_S" hidden="1">#REF!</definedName>
    <definedName name="_164_______________________________________________________________________________________________________________________________________________________________________ME">'[2]#REF'!#REF!</definedName>
    <definedName name="_165_______________________________________________________________________________________________________________________________________________________________________ME">'[2]#REF'!#REF!</definedName>
    <definedName name="_1654______________________________________________________________________________________________________F" hidden="1">#REF!</definedName>
    <definedName name="_1655______________________________________________________________________________________________________F" hidden="1">[3]Sheet3!#REF!</definedName>
    <definedName name="_1657______________________________________________________________________________________________________________________________________F" hidden="1">#REF!</definedName>
    <definedName name="_1658_______________________________________________________________________________________________________________________123Grap" hidden="1">[1]공문!#REF!</definedName>
    <definedName name="_1659______________________________________________________________________________________________________________________________________F" hidden="1">[3]Sheet3!#REF!</definedName>
    <definedName name="_166_________________________________________________________________________________________________________________________________________________________________________0\SM">'[4]#REF'!#REF!</definedName>
    <definedName name="_166_______________________________________________________________________________________________________________________________________________________________________S" hidden="1">#REF!</definedName>
    <definedName name="_1661______________________________________________________________________________________________________________________F" hidden="1">#REF!</definedName>
    <definedName name="_1661______________________________________________________________________________________________________S" hidden="1">#REF!</definedName>
    <definedName name="_1662______________________________________________________________________________________________________S" hidden="1">[3]Sheet3!#REF!</definedName>
    <definedName name="_1663______________________________________________________________________________________________________________________F" hidden="1">[3]Sheet3!#REF!</definedName>
    <definedName name="_1663______________________________________________________________________________________________________S" hidden="1">#REF!</definedName>
    <definedName name="_1664_____________________________________________________________________________________________________\LA">'[2]#REF'!#REF!</definedName>
    <definedName name="_1665______________________________________________________________________________________________________________________S" hidden="1">#REF!</definedName>
    <definedName name="_1665_____________________________________________________________________________________________________\MID">'[2]#REF'!#REF!</definedName>
    <definedName name="_1666______________________________________________________________________________________________________________________________________S" hidden="1">#REF!</definedName>
    <definedName name="_1666_____________________________________________________________________________________________________\SM">'[2]#REF'!#REF!</definedName>
    <definedName name="_1667______________________________________________________________________________________________________________________S" hidden="1">[3]Sheet3!#REF!</definedName>
    <definedName name="_1667____________________________________________________________________________________________________0_F" hidden="1">#REF!</definedName>
    <definedName name="_1668______________________________________________________________________________________________________________________________________S" hidden="1">[3]Sheet3!#REF!</definedName>
    <definedName name="_1668____________________________________________________________________________________________________0_S" hidden="1">#REF!</definedName>
    <definedName name="_1669______________________________________________________________________________________________________________________S" hidden="1">#REF!</definedName>
    <definedName name="_1669____________________________________________________________________________________________________0_S" hidden="1">#REF!</definedName>
    <definedName name="_167_______________________________________________________________________________________________________________________________________________________________________S" hidden="1">[3]Sheet3!#REF!</definedName>
    <definedName name="_1670______________________________________________________________________________________________________________________________________S" hidden="1">#REF!</definedName>
    <definedName name="_1670____________________________________________________________________________________________________0\SM">'[4]#REF'!#REF!</definedName>
    <definedName name="_1671_____________________________________________________________________________________________________________________\LA">'[2]#REF'!#REF!</definedName>
    <definedName name="_1671__________________________________________________________________________________________________0_0__123Grap" hidden="1">[1]공문!#REF!</definedName>
    <definedName name="_1672_____________________________________________________________________________________________________________________________________\LA">'[2]#REF'!#REF!</definedName>
    <definedName name="_1672__________________________________________________________________________________________________0_0_F" hidden="1">[3]Sheet3!#REF!</definedName>
    <definedName name="_1673_____________________________________________________________________________________________________________________\MID">'[2]#REF'!#REF!</definedName>
    <definedName name="_1673__________________________________________________________________________________________________0_0_S" hidden="1">[3]Sheet3!#REF!</definedName>
    <definedName name="_1674_____________________________________________________________________________________________________________________________________\MID">'[2]#REF'!#REF!</definedName>
    <definedName name="_1675_____________________________________________________________________________________________________________________\SM">'[2]#REF'!#REF!</definedName>
    <definedName name="_1675__________________________________________________________________________________________________3__Crite">#REF!</definedName>
    <definedName name="_1676_____________________________________________________________________________________________________________________________________\SM">'[2]#REF'!#REF!</definedName>
    <definedName name="_1676__________________________________________________________________________________________________3__Criteria">#REF!</definedName>
    <definedName name="_1677____________________________________________________________________________________________________________________0_F" hidden="1">#REF!</definedName>
    <definedName name="_1678____________________________________________________________________________________________________________________________________0_F" hidden="1">#REF!</definedName>
    <definedName name="_1679____________________________________________________________________________________________________________________0_S" hidden="1">#REF!</definedName>
    <definedName name="_1679__________________________________________________________________________________________________G_0Extract">#REF!</definedName>
    <definedName name="_168_______________________________________________________________________________________________________________________________________________________________________0_0__123Grap" hidden="1">[1]공문!#REF!</definedName>
    <definedName name="_168_______________________________________________________________________________________________________________________________________________________________________S" hidden="1">#REF!</definedName>
    <definedName name="_1680____________________________________________________________________________________________________________________________________0_S" hidden="1">#REF!</definedName>
    <definedName name="_1680__________________________________________________________________________________________________G__Extr">#REF!</definedName>
    <definedName name="_1681____________________________________________________________________________________________________________________0_S" hidden="1">#REF!</definedName>
    <definedName name="_1681__________________________________________________________________________________________________G__Extract">#REF!</definedName>
    <definedName name="_1682____________________________________________________________________________________________________________________________________0_S" hidden="1">#REF!</definedName>
    <definedName name="_1682_____________________________________________________________________________________________________ME">'[2]#REF'!#REF!</definedName>
    <definedName name="_1683____________________________________________________________________________________________________________________0\SM">'[4]#REF'!#REF!</definedName>
    <definedName name="_1683_____________________________________________________________________________________________________ME">'[2]#REF'!#REF!</definedName>
    <definedName name="_1684____________________________________________________________________________________________________________________________________0\SM">'[4]#REF'!#REF!</definedName>
    <definedName name="_1685__________________________________________________________________________________________________________________0_0__123Grap" hidden="1">[1]공문!#REF!</definedName>
    <definedName name="_1686__________________________________________________________________________________________________________________________________0_0__123Grap" hidden="1">[1]공문!#REF!</definedName>
    <definedName name="_1687__________________________________________________________________________________________________________________0_0_F" hidden="1">[3]Sheet3!#REF!</definedName>
    <definedName name="_1688__________________________________________________________________________________________________________________________________0_0_F" hidden="1">[3]Sheet3!#REF!</definedName>
    <definedName name="_1689__________________________________________________________________________________________________________________0_0_S" hidden="1">[3]Sheet3!#REF!</definedName>
    <definedName name="_169______________________________________________________________________________________________________________________________________________________________________\LA">'[2]#REF'!#REF!</definedName>
    <definedName name="_1690__________________________________________________________________________________________________________________________________0_0_S" hidden="1">[3]Sheet3!#REF!</definedName>
    <definedName name="_1691__________________________________________________________________________________________________________________3__Crite">#REF!</definedName>
    <definedName name="_1693__________________________________________________________________________________________________________________________________3__Crite">#REF!</definedName>
    <definedName name="_1693__________________________________________________________________________________________________________________3__Criteria">#REF!</definedName>
    <definedName name="_1695__________________________________________________________________________________________________________________________________3__Criteria">#REF!</definedName>
    <definedName name="_1697__________________________________________________________________________________________________________________G_0Extract">#REF!</definedName>
    <definedName name="_1697____________________________________________________________________________________________________123Grap" hidden="1">[1]공문!#REF!</definedName>
    <definedName name="_1699__________________________________________________________________________________________________________________G__Extr">#REF!</definedName>
    <definedName name="_17__________________________________________________________________________________________________________________________________________________________________________0_0_S" hidden="1">[3]Sheet3!#REF!</definedName>
    <definedName name="_170_______________________________________________________________________________________________________________________________________________________________________0_0_F" hidden="1">[3]Sheet3!#REF!</definedName>
    <definedName name="_170______________________________________________________________________________________________________________________________________________________________________\MID">'[2]#REF'!#REF!</definedName>
    <definedName name="_1701__________________________________________________________________________________________________________________________________G_0Extract">#REF!</definedName>
    <definedName name="_1701__________________________________________________________________________________________________________________G__Extract">#REF!</definedName>
    <definedName name="_1703__________________________________________________________________________________________________________________________________G__Extr">#REF!</definedName>
    <definedName name="_1703_____________________________________________________________________________________________________________________ME">'[2]#REF'!#REF!</definedName>
    <definedName name="_1705__________________________________________________________________________________________________________________________________G__Extract">#REF!</definedName>
    <definedName name="_1705_____________________________________________________________________________________________________________________ME">'[2]#REF'!#REF!</definedName>
    <definedName name="_1707_____________________________________________________________________________________________________________________________________ME">'[2]#REF'!#REF!</definedName>
    <definedName name="_1709_____________________________________________________________________________________________________________________________________ME">'[2]#REF'!#REF!</definedName>
    <definedName name="_171______________________________________________________________________________________________________________________________________________________________________\SM">'[2]#REF'!#REF!</definedName>
    <definedName name="_172_______________________________________________________________________________________________________________________________________________________________________0_0_S" hidden="1">[3]Sheet3!#REF!</definedName>
    <definedName name="_172_____________________________________________________________________________________________________________________________________________________________________0_F" hidden="1">#REF!</definedName>
    <definedName name="_1723___________________________________________________________________________________________________F" hidden="1">#REF!</definedName>
    <definedName name="_1724___________________________________________________________________________________________________F" hidden="1">[3]Sheet3!#REF!</definedName>
    <definedName name="_1727___________________________________________________________________________________________________________________123Grap" hidden="1">[1]공문!#REF!</definedName>
    <definedName name="_173_____________________________________________________________________________________________________________________________________________________________________0_S" hidden="1">#REF!</definedName>
    <definedName name="_1730__________________________________________________________________________________________________________________F" hidden="1">#REF!</definedName>
    <definedName name="_1730___________________________________________________________________________________________________S" hidden="1">#REF!</definedName>
    <definedName name="_1731___________________________________________________________________________________________________S" hidden="1">[3]Sheet3!#REF!</definedName>
    <definedName name="_1732__________________________________________________________________________________________________________________F" hidden="1">[3]Sheet3!#REF!</definedName>
    <definedName name="_1732___________________________________________________________________________________________________S" hidden="1">#REF!</definedName>
    <definedName name="_1733__________________________________________________________________________________________________\LA">'[2]#REF'!#REF!</definedName>
    <definedName name="_1734__________________________________________________________________________________________________________________S" hidden="1">#REF!</definedName>
    <definedName name="_1734__________________________________________________________________________________________________\MID">'[2]#REF'!#REF!</definedName>
    <definedName name="_1735__________________________________________________________________________________________________\SM">'[2]#REF'!#REF!</definedName>
    <definedName name="_1736__________________________________________________________________________________________________________________S" hidden="1">[3]Sheet3!#REF!</definedName>
    <definedName name="_1736_________________________________________________________________________________________________0_F" hidden="1">#REF!</definedName>
    <definedName name="_1737_________________________________________________________________________________________________0_S" hidden="1">#REF!</definedName>
    <definedName name="_1738__________________________________________________________________________________________________________________S" hidden="1">#REF!</definedName>
    <definedName name="_1738_________________________________________________________________________________________________0_S" hidden="1">#REF!</definedName>
    <definedName name="_1739_________________________________________________________________________________________________0\SM">'[4]#REF'!#REF!</definedName>
    <definedName name="_174__________________________________________________________________________________________________________________________________________________________________________123Grap" hidden="1">[1]공문!#REF!</definedName>
    <definedName name="_174_____________________________________________________________________________________________________________________________________________________________________0_S" hidden="1">#REF!</definedName>
    <definedName name="_1740_________________________________________________________________________________________________________________\LA">'[2]#REF'!#REF!</definedName>
    <definedName name="_1740_______________________________________________________________________________________________0_0__123Grap" hidden="1">[1]공문!#REF!</definedName>
    <definedName name="_1741_______________________________________________________________________________________________0_0_F" hidden="1">[3]Sheet3!#REF!</definedName>
    <definedName name="_1742_________________________________________________________________________________________________________________\MID">'[2]#REF'!#REF!</definedName>
    <definedName name="_1742_______________________________________________________________________________________________0_0_S" hidden="1">[3]Sheet3!#REF!</definedName>
    <definedName name="_1744_________________________________________________________________________________________________________________\SM">'[2]#REF'!#REF!</definedName>
    <definedName name="_1744_______________________________________________________________________________________________3__Crite">#REF!</definedName>
    <definedName name="_1745_______________________________________________________________________________________________3__Criteria">#REF!</definedName>
    <definedName name="_1746________________________________________________________________________________________________________________0_F" hidden="1">#REF!</definedName>
    <definedName name="_1748________________________________________________________________________________________________________________0_S" hidden="1">#REF!</definedName>
    <definedName name="_1748_______________________________________________________________________________________________G_0Extract">#REF!</definedName>
    <definedName name="_1749_______________________________________________________________________________________________G__Extr">#REF!</definedName>
    <definedName name="_175_____________________________________________________________________________________________________________________________________________________________________0\SM">'[4]#REF'!#REF!</definedName>
    <definedName name="_1750________________________________________________________________________________________________________________0_S" hidden="1">#REF!</definedName>
    <definedName name="_1750_______________________________________________________________________________________________G__Extract">#REF!</definedName>
    <definedName name="_1751__________________________________________________________________________________________________ME">'[2]#REF'!#REF!</definedName>
    <definedName name="_1752________________________________________________________________________________________________________________0\SM">'[4]#REF'!#REF!</definedName>
    <definedName name="_1752__________________________________________________________________________________________________ME">'[2]#REF'!#REF!</definedName>
    <definedName name="_1754______________________________________________________________________________________________________________0_0__123Grap" hidden="1">[1]공문!#REF!</definedName>
    <definedName name="_1756______________________________________________________________________________________________________________0_0_F" hidden="1">[3]Sheet3!#REF!</definedName>
    <definedName name="_1758______________________________________________________________________________________________________________0_0_S" hidden="1">[3]Sheet3!#REF!</definedName>
    <definedName name="_176_______________________________________________________________________________________________________________________________________________________________________3__Crite">#REF!</definedName>
    <definedName name="_176___________________________________________________________________________________________________________________________________________________________________0_0__123Grap" hidden="1">[1]공문!#REF!</definedName>
    <definedName name="_1760______________________________________________________________________________________________________________3__Crite">#REF!</definedName>
    <definedName name="_1762______________________________________________________________________________________________________________3__Criteria">#REF!</definedName>
    <definedName name="_1766______________________________________________________________________________________________________________G_0Extract">#REF!</definedName>
    <definedName name="_1767___________________________________________________________________________________________________________________________________123Grap" hidden="1">[1]공문!#REF!</definedName>
    <definedName name="_1768______________________________________________________________________________________________________________G__Extr">#REF!</definedName>
    <definedName name="_177___________________________________________________________________________________________________________________________________________________________________0_0_F" hidden="1">[3]Sheet3!#REF!</definedName>
    <definedName name="_1770______________________________________________________________________________________________________________G__Extract">#REF!</definedName>
    <definedName name="_1772_________________________________________________________________________________________________________________ME">'[2]#REF'!#REF!</definedName>
    <definedName name="_1774_________________________________________________________________________________________________________________ME">'[2]#REF'!#REF!</definedName>
    <definedName name="_178_______________________________________________________________________________________________________________________________________________________________________3__Criteria">#REF!</definedName>
    <definedName name="_178___________________________________________________________________________________________________________________________________________________________________0_0_S" hidden="1">[3]Sheet3!#REF!</definedName>
    <definedName name="_1789________________________________________________________________________________________________123Grap" hidden="1">[1]공문!#REF!</definedName>
    <definedName name="_179______________________________________________________________________________________________________________________________________________________________________123Grap" hidden="1">[1]공문!#REF!</definedName>
    <definedName name="_1795__________________________________________________________________________________________________________________________________F" hidden="1">#REF!</definedName>
    <definedName name="_1796_______________________________________________________________________________________________________________123Grap" hidden="1">[1]공문!#REF!</definedName>
    <definedName name="_1797__________________________________________________________________________________________________________________________________F" hidden="1">[3]Sheet3!#REF!</definedName>
    <definedName name="_1799______________________________________________________________________________________________________________F" hidden="1">#REF!</definedName>
    <definedName name="_18_____________________________________________________________________________________________________________________________________________________________________________\MID">'[2]#REF'!#REF!</definedName>
    <definedName name="_18_____________________________________________________________________________________________________________________________________________________________________________123Grap" hidden="1">[1]공문!#REF!</definedName>
    <definedName name="_180__________________________________________________________________________________________________________________________________________________________________________F" hidden="1">#REF!</definedName>
    <definedName name="_180___________________________________________________________________________________________________________________________________________________________________3__Crite">#REF!</definedName>
    <definedName name="_1801______________________________________________________________________________________________________________F" hidden="1">[3]Sheet3!#REF!</definedName>
    <definedName name="_1803______________________________________________________________________________________________________________S" hidden="1">#REF!</definedName>
    <definedName name="_1804__________________________________________________________________________________________________________________________________S" hidden="1">#REF!</definedName>
    <definedName name="_1805______________________________________________________________________________________________________________S" hidden="1">[3]Sheet3!#REF!</definedName>
    <definedName name="_1806__________________________________________________________________________________________________________________________________S" hidden="1">[3]Sheet3!#REF!</definedName>
    <definedName name="_1807______________________________________________________________________________________________________________S" hidden="1">#REF!</definedName>
    <definedName name="_1808__________________________________________________________________________________________________________________________________S" hidden="1">#REF!</definedName>
    <definedName name="_1809_____________________________________________________________________________________________________________\LA">'[2]#REF'!#REF!</definedName>
    <definedName name="_181___________________________________________________________________________________________________________________________________________________________________3__Criteria">#REF!</definedName>
    <definedName name="_1810_________________________________________________________________________________________________________________________________\LA">'[2]#REF'!#REF!</definedName>
    <definedName name="_1811_____________________________________________________________________________________________________________\MID">'[2]#REF'!#REF!</definedName>
    <definedName name="_1812_________________________________________________________________________________________________________________________________\MID">'[2]#REF'!#REF!</definedName>
    <definedName name="_1813_____________________________________________________________________________________________________________\SM">'[2]#REF'!#REF!</definedName>
    <definedName name="_1814_________________________________________________________________________________________________________________________________\SM">'[2]#REF'!#REF!</definedName>
    <definedName name="_1815____________________________________________________________________________________________________________0_F" hidden="1">#REF!</definedName>
    <definedName name="_1815_______________________________________________________________________________________________F" hidden="1">#REF!</definedName>
    <definedName name="_1816________________________________________________________________________________________________________________________________0_F" hidden="1">#REF!</definedName>
    <definedName name="_1816_______________________________________________________________________________________________F" hidden="1">[3]Sheet3!#REF!</definedName>
    <definedName name="_1817____________________________________________________________________________________________________________0_S" hidden="1">#REF!</definedName>
    <definedName name="_1818________________________________________________________________________________________________________________________________0_S" hidden="1">#REF!</definedName>
    <definedName name="_1819____________________________________________________________________________________________________________0_S" hidden="1">#REF!</definedName>
    <definedName name="_182__________________________________________________________________________________________________________________________________________________________________________F" hidden="1">[3]Sheet3!#REF!</definedName>
    <definedName name="_182______________________________________________________________________________________________________________________________________________________________________F" hidden="1">#REF!</definedName>
    <definedName name="_1820________________________________________________________________________________________________________________________________0_S" hidden="1">#REF!</definedName>
    <definedName name="_1821____________________________________________________________________________________________________________0\SM">'[4]#REF'!#REF!</definedName>
    <definedName name="_1822________________________________________________________________________________________________________________________________0\SM">'[4]#REF'!#REF!</definedName>
    <definedName name="_1822_______________________________________________________________________________________________S" hidden="1">#REF!</definedName>
    <definedName name="_1823__________________________________________________________________________________________________________0_0__123Grap" hidden="1">[1]공문!#REF!</definedName>
    <definedName name="_1823_______________________________________________________________________________________________S" hidden="1">[3]Sheet3!#REF!</definedName>
    <definedName name="_1824______________________________________________________________________________________________________________________________0_0__123Grap" hidden="1">[1]공문!#REF!</definedName>
    <definedName name="_1824_______________________________________________________________________________________________S" hidden="1">#REF!</definedName>
    <definedName name="_1825__________________________________________________________________________________________________________0_0_F" hidden="1">[3]Sheet3!#REF!</definedName>
    <definedName name="_1825______________________________________________________________________________________________\LA">'[2]#REF'!#REF!</definedName>
    <definedName name="_1826______________________________________________________________________________________________________________________________0_0_F" hidden="1">[3]Sheet3!#REF!</definedName>
    <definedName name="_1826______________________________________________________________________________________________\MID">'[2]#REF'!#REF!</definedName>
    <definedName name="_1827__________________________________________________________________________________________________________0_0_S" hidden="1">[3]Sheet3!#REF!</definedName>
    <definedName name="_1827______________________________________________________________________________________________\SM">'[2]#REF'!#REF!</definedName>
    <definedName name="_1828______________________________________________________________________________________________________________________________0_0_S" hidden="1">[3]Sheet3!#REF!</definedName>
    <definedName name="_1828_____________________________________________________________________________________________0_F" hidden="1">#REF!</definedName>
    <definedName name="_1829__________________________________________________________________________________________________________3__Crite">#REF!</definedName>
    <definedName name="_1829_____________________________________________________________________________________________0_S" hidden="1">#REF!</definedName>
    <definedName name="_183______________________________________________________________________________________________________________________________________________________________________F" hidden="1">[3]Sheet3!#REF!</definedName>
    <definedName name="_1830_____________________________________________________________________________________________0_S" hidden="1">#REF!</definedName>
    <definedName name="_1831______________________________________________________________________________________________________________________________3__Crite">#REF!</definedName>
    <definedName name="_1831__________________________________________________________________________________________________________3__Criteria">#REF!</definedName>
    <definedName name="_1831_____________________________________________________________________________________________0\SM">'[4]#REF'!#REF!</definedName>
    <definedName name="_1832___________________________________________________________________________________________0_0__123Grap" hidden="1">[1]공문!#REF!</definedName>
    <definedName name="_1833______________________________________________________________________________________________________________________________3__Criteria">#REF!</definedName>
    <definedName name="_1833___________________________________________________________________________________________0_0_F" hidden="1">[3]Sheet3!#REF!</definedName>
    <definedName name="_1834___________________________________________________________________________________________0_0_S" hidden="1">[3]Sheet3!#REF!</definedName>
    <definedName name="_1835__________________________________________________________________________________________________________G_0Extract">#REF!</definedName>
    <definedName name="_1836___________________________________________________________________________________________3__Crite">#REF!</definedName>
    <definedName name="_1837__________________________________________________________________________________________________________G__Extr">#REF!</definedName>
    <definedName name="_1837___________________________________________________________________________________________3__Criteria">#REF!</definedName>
    <definedName name="_1839______________________________________________________________________________________________________________________________G_0Extract">#REF!</definedName>
    <definedName name="_1839__________________________________________________________________________________________________________G__Extract">#REF!</definedName>
    <definedName name="_184_______________________________________________________________________________________________________________________________________________________________________G_0Extract">#REF!</definedName>
    <definedName name="_184___________________________________________________________________________________________________________________________________________________________________G_0Extract">#REF!</definedName>
    <definedName name="_1840___________________________________________________________________________________________G_0Extract">#REF!</definedName>
    <definedName name="_1841______________________________________________________________________________________________________________________________G__Extr">#REF!</definedName>
    <definedName name="_1841_____________________________________________________________________________________________________________ME">'[2]#REF'!#REF!</definedName>
    <definedName name="_1841___________________________________________________________________________________________G__Extr">#REF!</definedName>
    <definedName name="_1842___________________________________________________________________________________________G__Extract">#REF!</definedName>
    <definedName name="_1843______________________________________________________________________________________________________________________________G__Extract">#REF!</definedName>
    <definedName name="_1843_____________________________________________________________________________________________________________ME">'[2]#REF'!#REF!</definedName>
    <definedName name="_1843______________________________________________________________________________________________ME">'[2]#REF'!#REF!</definedName>
    <definedName name="_1844______________________________________________________________________________________________ME">'[2]#REF'!#REF!</definedName>
    <definedName name="_1845_________________________________________________________________________________________________________________________________ME">'[2]#REF'!#REF!</definedName>
    <definedName name="_1847_________________________________________________________________________________________________________________________________ME">'[2]#REF'!#REF!</definedName>
    <definedName name="_185___________________________________________________________________________________________________________________________________________________________________G__Extr">#REF!</definedName>
    <definedName name="_186_______________________________________________________________________________________________________________________________________________________________________G__Extr">#REF!</definedName>
    <definedName name="_186___________________________________________________________________________________________________________________________________________________________________G__Extract">#REF!</definedName>
    <definedName name="_187______________________________________________________________________________________________________________________________________________________________________ME">'[2]#REF'!#REF!</definedName>
    <definedName name="_188_______________________________________________________________________________________________________________________________________________________________________G__Extract">#REF!</definedName>
    <definedName name="_188______________________________________________________________________________________________________________________________________________________________________ME">'[2]#REF'!#REF!</definedName>
    <definedName name="_1881____________________________________________________________________________________________123Grap" hidden="1">[1]공문!#REF!</definedName>
    <definedName name="_189______________________________________________________________________________________________________________________________________________________________________S" hidden="1">#REF!</definedName>
    <definedName name="_19__________________________________________________________________________________________________________________________________________________________________________3__Crite">#REF!</definedName>
    <definedName name="_190__________________________________________________________________________________________________________________________________________________________________________ME">'[2]#REF'!#REF!</definedName>
    <definedName name="_190______________________________________________________________________________________________________________________________________________________________________S" hidden="1">[3]Sheet3!#REF!</definedName>
    <definedName name="_1905_______________________________________________________________________________________________________________________________123Grap" hidden="1">[1]공문!#REF!</definedName>
    <definedName name="_1907___________________________________________________________________________________________F" hidden="1">#REF!</definedName>
    <definedName name="_1908___________________________________________________________________________________________F" hidden="1">[3]Sheet3!#REF!</definedName>
    <definedName name="_191______________________________________________________________________________________________________________________________________________________________________S" hidden="1">#REF!</definedName>
    <definedName name="_1911_______________________________________________________________________________________________________123Grap" hidden="1">[1]공문!#REF!</definedName>
    <definedName name="_1914______________________________________________________________________________________________________F" hidden="1">#REF!</definedName>
    <definedName name="_1914___________________________________________________________________________________________S" hidden="1">#REF!</definedName>
    <definedName name="_1915___________________________________________________________________________________________S" hidden="1">[3]Sheet3!#REF!</definedName>
    <definedName name="_1916______________________________________________________________________________________________________F" hidden="1">[3]Sheet3!#REF!</definedName>
    <definedName name="_1916___________________________________________________________________________________________S" hidden="1">#REF!</definedName>
    <definedName name="_1917__________________________________________________________________________________________\LA">'[2]#REF'!#REF!</definedName>
    <definedName name="_1918______________________________________________________________________________________________________S" hidden="1">#REF!</definedName>
    <definedName name="_1918__________________________________________________________________________________________\MID">'[2]#REF'!#REF!</definedName>
    <definedName name="_1919__________________________________________________________________________________________\SM">'[2]#REF'!#REF!</definedName>
    <definedName name="_192__________________________________________________________________________________________________________________________________________________________________________ME">'[2]#REF'!#REF!</definedName>
    <definedName name="_192_____________________________________________________________________________________________________________________________________________________________________\LA">'[2]#REF'!#REF!</definedName>
    <definedName name="_1920______________________________________________________________________________________________________S" hidden="1">[3]Sheet3!#REF!</definedName>
    <definedName name="_1920_________________________________________________________________________________________0_F" hidden="1">#REF!</definedName>
    <definedName name="_1921_________________________________________________________________________________________0_S" hidden="1">#REF!</definedName>
    <definedName name="_1922______________________________________________________________________________________________________S" hidden="1">#REF!</definedName>
    <definedName name="_1922_________________________________________________________________________________________0_S" hidden="1">#REF!</definedName>
    <definedName name="_1923_________________________________________________________________________________________0\SM">'[4]#REF'!#REF!</definedName>
    <definedName name="_1924_____________________________________________________________________________________________________\LA">'[2]#REF'!#REF!</definedName>
    <definedName name="_1924_______________________________________________________________________________________0_0__123Grap" hidden="1">[1]공문!#REF!</definedName>
    <definedName name="_1925_______________________________________________________________________________________0_0_F" hidden="1">[3]Sheet3!#REF!</definedName>
    <definedName name="_1926_____________________________________________________________________________________________________\MID">'[2]#REF'!#REF!</definedName>
    <definedName name="_1926_______________________________________________________________________________________0_0_S" hidden="1">[3]Sheet3!#REF!</definedName>
    <definedName name="_1928_____________________________________________________________________________________________________\SM">'[2]#REF'!#REF!</definedName>
    <definedName name="_1928_______________________________________________________________________________________3__Crite">#REF!</definedName>
    <definedName name="_1929_______________________________________________________________________________________3__Criteria">#REF!</definedName>
    <definedName name="_193_____________________________________________________________________________________________________________________________________________________________________\MID">'[2]#REF'!#REF!</definedName>
    <definedName name="_1930____________________________________________________________________________________________________0_F" hidden="1">#REF!</definedName>
    <definedName name="_1932____________________________________________________________________________________________________0_S" hidden="1">#REF!</definedName>
    <definedName name="_1932_______________________________________________________________________________________G_0Extract">#REF!</definedName>
    <definedName name="_1933______________________________________________________________________________________________________________________________F" hidden="1">#REF!</definedName>
    <definedName name="_1933_______________________________________________________________________________________G__Extr">#REF!</definedName>
    <definedName name="_1934____________________________________________________________________________________________________0_S" hidden="1">#REF!</definedName>
    <definedName name="_1934_______________________________________________________________________________________G__Extract">#REF!</definedName>
    <definedName name="_1935______________________________________________________________________________________________________________________________F" hidden="1">[3]Sheet3!#REF!</definedName>
    <definedName name="_1935__________________________________________________________________________________________ME">'[2]#REF'!#REF!</definedName>
    <definedName name="_1936____________________________________________________________________________________________________0\SM">'[4]#REF'!#REF!</definedName>
    <definedName name="_1936__________________________________________________________________________________________ME">'[2]#REF'!#REF!</definedName>
    <definedName name="_1938__________________________________________________________________________________________________0_0__123Grap" hidden="1">[1]공문!#REF!</definedName>
    <definedName name="_194__________________________________________________________________________________________________________________________________________________________________________S" hidden="1">#REF!</definedName>
    <definedName name="_194_____________________________________________________________________________________________________________________________________________________________________\SM">'[2]#REF'!#REF!</definedName>
    <definedName name="_1940__________________________________________________________________________________________________0_0_F" hidden="1">[3]Sheet3!#REF!</definedName>
    <definedName name="_1942______________________________________________________________________________________________________________________________S" hidden="1">#REF!</definedName>
    <definedName name="_1942__________________________________________________________________________________________________0_0_S" hidden="1">[3]Sheet3!#REF!</definedName>
    <definedName name="_1944______________________________________________________________________________________________________________________________S" hidden="1">[3]Sheet3!#REF!</definedName>
    <definedName name="_1944__________________________________________________________________________________________________3__Crite">#REF!</definedName>
    <definedName name="_1946______________________________________________________________________________________________________________________________S" hidden="1">#REF!</definedName>
    <definedName name="_1946__________________________________________________________________________________________________3__Criteria">#REF!</definedName>
    <definedName name="_1948_____________________________________________________________________________________________________________________________\LA">'[2]#REF'!#REF!</definedName>
    <definedName name="_195____________________________________________________________________________________________________________________________________________________________________0_F" hidden="1">#REF!</definedName>
    <definedName name="_1950_____________________________________________________________________________________________________________________________\MID">'[2]#REF'!#REF!</definedName>
    <definedName name="_1950__________________________________________________________________________________________________G_0Extract">#REF!</definedName>
    <definedName name="_1952_____________________________________________________________________________________________________________________________\SM">'[2]#REF'!#REF!</definedName>
    <definedName name="_1952__________________________________________________________________________________________________G__Extr">#REF!</definedName>
    <definedName name="_1954____________________________________________________________________________________________________________________________0_F" hidden="1">#REF!</definedName>
    <definedName name="_1954__________________________________________________________________________________________________G__Extract">#REF!</definedName>
    <definedName name="_1956____________________________________________________________________________________________________________________________0_S" hidden="1">#REF!</definedName>
    <definedName name="_1956_____________________________________________________________________________________________________ME">'[2]#REF'!#REF!</definedName>
    <definedName name="_1958____________________________________________________________________________________________________________________________0_S" hidden="1">#REF!</definedName>
    <definedName name="_1958_____________________________________________________________________________________________________ME">'[2]#REF'!#REF!</definedName>
    <definedName name="_196__________________________________________________________________________________________________________________________________________________________________________S" hidden="1">[3]Sheet3!#REF!</definedName>
    <definedName name="_196____________________________________________________________________________________________________________________________________________________________________0_S" hidden="1">#REF!</definedName>
    <definedName name="_1960____________________________________________________________________________________________________________________________0\SM">'[4]#REF'!#REF!</definedName>
    <definedName name="_1962__________________________________________________________________________________________________________________________0_0__123Grap" hidden="1">[1]공문!#REF!</definedName>
    <definedName name="_1964__________________________________________________________________________________________________________________________0_0_F" hidden="1">[3]Sheet3!#REF!</definedName>
    <definedName name="_1966__________________________________________________________________________________________________________________________0_0_S" hidden="1">[3]Sheet3!#REF!</definedName>
    <definedName name="_1969__________________________________________________________________________________________________________________________3__Crite">#REF!</definedName>
    <definedName name="_197____________________________________________________________________________________________________________________________________________________________________0_S" hidden="1">#REF!</definedName>
    <definedName name="_1971__________________________________________________________________________________________________________________________3__Criteria">#REF!</definedName>
    <definedName name="_1973____________________________________________________________________________________________________123Grap" hidden="1">[1]공문!#REF!</definedName>
    <definedName name="_1973________________________________________________________________________________________123Grap" hidden="1">[1]공문!#REF!</definedName>
    <definedName name="_1977__________________________________________________________________________________________________________________________G_0Extract">#REF!</definedName>
    <definedName name="_1979__________________________________________________________________________________________________________________________G__Extr">#REF!</definedName>
    <definedName name="_198__________________________________________________________________________________________________________________________________________________________________________S" hidden="1">#REF!</definedName>
    <definedName name="_198____________________________________________________________________________________________________________________________________________________________________0\SM">'[4]#REF'!#REF!</definedName>
    <definedName name="_1981__________________________________________________________________________________________________________________________G__Extract">#REF!</definedName>
    <definedName name="_1983_____________________________________________________________________________________________________________________________ME">'[2]#REF'!#REF!</definedName>
    <definedName name="_1983___________________________________________________________________________________________________F" hidden="1">#REF!</definedName>
    <definedName name="_1985_____________________________________________________________________________________________________________________________ME">'[2]#REF'!#REF!</definedName>
    <definedName name="_1985___________________________________________________________________________________________________F" hidden="1">[3]Sheet3!#REF!</definedName>
    <definedName name="_1987___________________________________________________________________________________________________S" hidden="1">#REF!</definedName>
    <definedName name="_1989___________________________________________________________________________________________________S" hidden="1">[3]Sheet3!#REF!</definedName>
    <definedName name="_199__________________________________________________________________________________________________________________________________________________________________0_0__123Grap" hidden="1">[1]공문!#REF!</definedName>
    <definedName name="_1991___________________________________________________________________________________________________S" hidden="1">#REF!</definedName>
    <definedName name="_1993__________________________________________________________________________________________________\LA">'[2]#REF'!#REF!</definedName>
    <definedName name="_1995__________________________________________________________________________________________________\MID">'[2]#REF'!#REF!</definedName>
    <definedName name="_1997__________________________________________________________________________________________________\SM">'[2]#REF'!#REF!</definedName>
    <definedName name="_1999_________________________________________________________________________________________________0_F" hidden="1">#REF!</definedName>
    <definedName name="_1999_______________________________________________________________________________________F" hidden="1">#REF!</definedName>
    <definedName name="_2_______________________________________________________________________________________________________________________________________________________________________________123Grap" hidden="1">[1]공문!#REF!</definedName>
    <definedName name="_2______________________________________________________________________________________________________________________________________________________________________________123Grap" hidden="1">[1]공문!#REF!</definedName>
    <definedName name="_20_____________________________________________________________________________________________________________________________________________________________________________\SM">'[2]#REF'!#REF!</definedName>
    <definedName name="_20__________________________________________________________________________________________________________________________________________________________________________3__Criteria">#REF!</definedName>
    <definedName name="_200_________________________________________________________________________________________________________________________________________________________________________\LA">'[2]#REF'!#REF!</definedName>
    <definedName name="_200__________________________________________________________________________________________________________________________________________________________________0_0_F" hidden="1">[3]Sheet3!#REF!</definedName>
    <definedName name="_2000_______________________________________________________________________________________F" hidden="1">[3]Sheet3!#REF!</definedName>
    <definedName name="_2001_________________________________________________________________________________________________0_S" hidden="1">#REF!</definedName>
    <definedName name="_2003_________________________________________________________________________________________________0_S" hidden="1">#REF!</definedName>
    <definedName name="_2005_________________________________________________________________________________________________0\SM">'[4]#REF'!#REF!</definedName>
    <definedName name="_2006_______________________________________________________________________________________S" hidden="1">#REF!</definedName>
    <definedName name="_2007_______________________________________________________________________________________________0_0__123Grap" hidden="1">[1]공문!#REF!</definedName>
    <definedName name="_2007_______________________________________________________________________________________S" hidden="1">[3]Sheet3!#REF!</definedName>
    <definedName name="_2008_______________________________________________________________________________________S" hidden="1">#REF!</definedName>
    <definedName name="_2009_______________________________________________________________________________________________0_0_F" hidden="1">[3]Sheet3!#REF!</definedName>
    <definedName name="_2009______________________________________________________________________________________\LA">'[2]#REF'!#REF!</definedName>
    <definedName name="_201__________________________________________________________________________________________________________________________________________________________________0_0_S" hidden="1">[3]Sheet3!#REF!</definedName>
    <definedName name="_2010______________________________________________________________________________________\MID">'[2]#REF'!#REF!</definedName>
    <definedName name="_2011_______________________________________________________________________________________________0_0_S" hidden="1">[3]Sheet3!#REF!</definedName>
    <definedName name="_2011______________________________________________________________________________________\SM">'[2]#REF'!#REF!</definedName>
    <definedName name="_2012_____________________________________________________________________________________0_F" hidden="1">#REF!</definedName>
    <definedName name="_2013_______________________________________________________________________________________________3__Crite">#REF!</definedName>
    <definedName name="_2013_____________________________________________________________________________________0_S" hidden="1">#REF!</definedName>
    <definedName name="_2014_____________________________________________________________________________________0_S" hidden="1">#REF!</definedName>
    <definedName name="_2015_______________________________________________________________________________________________3__Criteria">#REF!</definedName>
    <definedName name="_2015_____________________________________________________________________________________0\SM">'[4]#REF'!#REF!</definedName>
    <definedName name="_2016___________________________________________________________________________________0_0__123Grap" hidden="1">[1]공문!#REF!</definedName>
    <definedName name="_2017___________________________________________________________________________________0_0_F" hidden="1">[3]Sheet3!#REF!</definedName>
    <definedName name="_2018___________________________________________________________________________________0_0_S" hidden="1">[3]Sheet3!#REF!</definedName>
    <definedName name="_2019_______________________________________________________________________________________________G_0Extract">#REF!</definedName>
    <definedName name="_202_________________________________________________________________________________________________________________________________________________________________________\MID">'[2]#REF'!#REF!</definedName>
    <definedName name="_202_____________________________________________________________________________________________________________________________________________________________________123Grap" hidden="1">[1]공문!#REF!</definedName>
    <definedName name="_2020___________________________________________________________________________________3__Crite">#REF!</definedName>
    <definedName name="_2021_______________________________________________________________________________________________G__Extr">#REF!</definedName>
    <definedName name="_2021___________________________________________________________________________________3__Criteria">#REF!</definedName>
    <definedName name="_2023_______________________________________________________________________________________________G__Extract">#REF!</definedName>
    <definedName name="_2024___________________________________________________________________________________G_0Extract">#REF!</definedName>
    <definedName name="_2025__________________________________________________________________________________________________ME">'[2]#REF'!#REF!</definedName>
    <definedName name="_2025___________________________________________________________________________________G__Extr">#REF!</definedName>
    <definedName name="_2026___________________________________________________________________________________G__Extract">#REF!</definedName>
    <definedName name="_2027__________________________________________________________________________________________________ME">'[2]#REF'!#REF!</definedName>
    <definedName name="_2027______________________________________________________________________________________ME">'[2]#REF'!#REF!</definedName>
    <definedName name="_2028______________________________________________________________________________________ME">'[2]#REF'!#REF!</definedName>
    <definedName name="_203__________________________________________________________________________________________________________________________________________________________________3__Crite">#REF!</definedName>
    <definedName name="_204_________________________________________________________________________________________________________________________________________________________________________\SM">'[2]#REF'!#REF!</definedName>
    <definedName name="_204__________________________________________________________________________________________________________________________________________________________________3__Criteria">#REF!</definedName>
    <definedName name="_2043___________________________________________________________________________________________________________________________123Grap" hidden="1">[1]공문!#REF!</definedName>
    <definedName name="_2049________________________________________________________________________________________________123Grap" hidden="1">[1]공문!#REF!</definedName>
    <definedName name="_205_____________________________________________________________________________________________________________________________________________________________________F" hidden="1">#REF!</definedName>
    <definedName name="_2052_______________________________________________________________________________________________F" hidden="1">#REF!</definedName>
    <definedName name="_2054_______________________________________________________________________________________________F" hidden="1">[3]Sheet3!#REF!</definedName>
    <definedName name="_2056_______________________________________________________________________________________________S" hidden="1">#REF!</definedName>
    <definedName name="_2058_______________________________________________________________________________________________S" hidden="1">[3]Sheet3!#REF!</definedName>
    <definedName name="_206________________________________________________________________________________________________________________________________________________________________________0_F" hidden="1">#REF!</definedName>
    <definedName name="_206_____________________________________________________________________________________________________________________________________________________________________F" hidden="1">[3]Sheet3!#REF!</definedName>
    <definedName name="_2060_______________________________________________________________________________________________S" hidden="1">#REF!</definedName>
    <definedName name="_2062______________________________________________________________________________________________\LA">'[2]#REF'!#REF!</definedName>
    <definedName name="_2064______________________________________________________________________________________________\MID">'[2]#REF'!#REF!</definedName>
    <definedName name="_2065____________________________________________________________________________________123Grap" hidden="1">[1]공문!#REF!</definedName>
    <definedName name="_2066______________________________________________________________________________________________\SM">'[2]#REF'!#REF!</definedName>
    <definedName name="_2068_____________________________________________________________________________________________0_F" hidden="1">#REF!</definedName>
    <definedName name="_207__________________________________________________________________________________________________________________________________________________________________G_0Extract">#REF!</definedName>
    <definedName name="_2070_____________________________________________________________________________________________0_S" hidden="1">#REF!</definedName>
    <definedName name="_2071__________________________________________________________________________________________________________________________F" hidden="1">#REF!</definedName>
    <definedName name="_2072_____________________________________________________________________________________________0_S" hidden="1">#REF!</definedName>
    <definedName name="_2073__________________________________________________________________________________________________________________________F" hidden="1">[3]Sheet3!#REF!</definedName>
    <definedName name="_2074_____________________________________________________________________________________________0\SM">'[4]#REF'!#REF!</definedName>
    <definedName name="_2076___________________________________________________________________________________________0_0__123Grap" hidden="1">[1]공문!#REF!</definedName>
    <definedName name="_2078___________________________________________________________________________________________0_0_F" hidden="1">[3]Sheet3!#REF!</definedName>
    <definedName name="_208________________________________________________________________________________________________________________________________________________________________________0_S" hidden="1">#REF!</definedName>
    <definedName name="_208__________________________________________________________________________________________________________________________________________________________________G__Extr">#REF!</definedName>
    <definedName name="_2080__________________________________________________________________________________________________________________________S" hidden="1">#REF!</definedName>
    <definedName name="_2080___________________________________________________________________________________________0_0_S" hidden="1">[3]Sheet3!#REF!</definedName>
    <definedName name="_2082__________________________________________________________________________________________________________________________S" hidden="1">[3]Sheet3!#REF!</definedName>
    <definedName name="_2082___________________________________________________________________________________________3__Crite">#REF!</definedName>
    <definedName name="_2084__________________________________________________________________________________________________________________________S" hidden="1">#REF!</definedName>
    <definedName name="_2084___________________________________________________________________________________________3__Criteria">#REF!</definedName>
    <definedName name="_2086_________________________________________________________________________________________________________________________\LA">'[2]#REF'!#REF!</definedName>
    <definedName name="_2088_________________________________________________________________________________________________________________________\MID">'[2]#REF'!#REF!</definedName>
    <definedName name="_2088___________________________________________________________________________________________G_0Extract">#REF!</definedName>
    <definedName name="_209__________________________________________________________________________________________________________________________________________________________________G__Extract">#REF!</definedName>
    <definedName name="_2090_________________________________________________________________________________________________________________________\SM">'[2]#REF'!#REF!</definedName>
    <definedName name="_2090___________________________________________________________________________________________G__Extr">#REF!</definedName>
    <definedName name="_2091___________________________________________________________________________________F" hidden="1">#REF!</definedName>
    <definedName name="_2092________________________________________________________________________________________________________________________0_F" hidden="1">#REF!</definedName>
    <definedName name="_2092___________________________________________________________________________________________G__Extract">#REF!</definedName>
    <definedName name="_2092___________________________________________________________________________________F" hidden="1">[3]Sheet3!#REF!</definedName>
    <definedName name="_2094________________________________________________________________________________________________________________________0_S" hidden="1">#REF!</definedName>
    <definedName name="_2094______________________________________________________________________________________________ME">'[2]#REF'!#REF!</definedName>
    <definedName name="_2096________________________________________________________________________________________________________________________0_S" hidden="1">#REF!</definedName>
    <definedName name="_2096______________________________________________________________________________________________ME">'[2]#REF'!#REF!</definedName>
    <definedName name="_2098________________________________________________________________________________________________________________________0\SM">'[4]#REF'!#REF!</definedName>
    <definedName name="_2098___________________________________________________________________________________S" hidden="1">#REF!</definedName>
    <definedName name="_2099___________________________________________________________________________________S" hidden="1">[3]Sheet3!#REF!</definedName>
    <definedName name="_21_____________________________________________________________________________________________________________________________________________________________________________F" hidden="1">#REF!</definedName>
    <definedName name="_210________________________________________________________________________________________________________________________________________________________________________0_S" hidden="1">#REF!</definedName>
    <definedName name="_210_____________________________________________________________________________________________________________________________________________________________________ME">'[2]#REF'!#REF!</definedName>
    <definedName name="_2100______________________________________________________________________________________________________________________0_0__123Grap" hidden="1">[1]공문!#REF!</definedName>
    <definedName name="_2100___________________________________________________________________________________S" hidden="1">#REF!</definedName>
    <definedName name="_2101__________________________________________________________________________________\LA">'[2]#REF'!#REF!</definedName>
    <definedName name="_2102______________________________________________________________________________________________________________________0_0_F" hidden="1">[3]Sheet3!#REF!</definedName>
    <definedName name="_2102__________________________________________________________________________________\MID">'[2]#REF'!#REF!</definedName>
    <definedName name="_2103__________________________________________________________________________________\SM">'[2]#REF'!#REF!</definedName>
    <definedName name="_2104______________________________________________________________________________________________________________________0_0_S" hidden="1">[3]Sheet3!#REF!</definedName>
    <definedName name="_2104_________________________________________________________________________________0_F" hidden="1">#REF!</definedName>
    <definedName name="_2105_________________________________________________________________________________0_S" hidden="1">#REF!</definedName>
    <definedName name="_2106_________________________________________________________________________________0_S" hidden="1">#REF!</definedName>
    <definedName name="_2107______________________________________________________________________________________________________________________3__Crite">#REF!</definedName>
    <definedName name="_2107_________________________________________________________________________________0\SM">'[4]#REF'!#REF!</definedName>
    <definedName name="_2108_______________________________________________________________________________0_0__123Grap" hidden="1">[1]공문!#REF!</definedName>
    <definedName name="_2109______________________________________________________________________________________________________________________3__Criteria">#REF!</definedName>
    <definedName name="_2109_______________________________________________________________________________0_0_F" hidden="1">[3]Sheet3!#REF!</definedName>
    <definedName name="_211_____________________________________________________________________________________________________________________________________________________________________ME">'[2]#REF'!#REF!</definedName>
    <definedName name="_2110_______________________________________________________________________________0_0_S" hidden="1">[3]Sheet3!#REF!</definedName>
    <definedName name="_2112_______________________________________________________________________________3__Crite">#REF!</definedName>
    <definedName name="_2113_______________________________________________________________________________3__Criteria">#REF!</definedName>
    <definedName name="_2115______________________________________________________________________________________________________________________G_0Extract">#REF!</definedName>
    <definedName name="_2116_______________________________________________________________________________G_0Extract">#REF!</definedName>
    <definedName name="_2117______________________________________________________________________________________________________________________G__Extr">#REF!</definedName>
    <definedName name="_2117_______________________________________________________________________________G__Extr">#REF!</definedName>
    <definedName name="_2118____________________________________________________________________________________________123Grap" hidden="1">[1]공문!#REF!</definedName>
    <definedName name="_2118_______________________________________________________________________________G__Extract">#REF!</definedName>
    <definedName name="_2119______________________________________________________________________________________________________________________G__Extract">#REF!</definedName>
    <definedName name="_2119__________________________________________________________________________________ME">'[2]#REF'!#REF!</definedName>
    <definedName name="_212________________________________________________________________________________________________________________________________________________________________________0\SM">'[4]#REF'!#REF!</definedName>
    <definedName name="_212_____________________________________________________________________________________________________________________________________________________________________S" hidden="1">#REF!</definedName>
    <definedName name="_2120__________________________________________________________________________________ME">'[2]#REF'!#REF!</definedName>
    <definedName name="_2121_________________________________________________________________________________________________________________________ME">'[2]#REF'!#REF!</definedName>
    <definedName name="_2121___________________________________________________________________________________________F" hidden="1">#REF!</definedName>
    <definedName name="_2123_________________________________________________________________________________________________________________________ME">'[2]#REF'!#REF!</definedName>
    <definedName name="_2123___________________________________________________________________________________________F" hidden="1">[3]Sheet3!#REF!</definedName>
    <definedName name="_2125___________________________________________________________________________________________S" hidden="1">#REF!</definedName>
    <definedName name="_2127___________________________________________________________________________________________S" hidden="1">[3]Sheet3!#REF!</definedName>
    <definedName name="_2129___________________________________________________________________________________________S" hidden="1">#REF!</definedName>
    <definedName name="_213_____________________________________________________________________________________________________________________________________________________________________S" hidden="1">[3]Sheet3!#REF!</definedName>
    <definedName name="_2131__________________________________________________________________________________________\LA">'[2]#REF'!#REF!</definedName>
    <definedName name="_2133__________________________________________________________________________________________\MID">'[2]#REF'!#REF!</definedName>
    <definedName name="_2135__________________________________________________________________________________________\SM">'[2]#REF'!#REF!</definedName>
    <definedName name="_2137_________________________________________________________________________________________0_F" hidden="1">#REF!</definedName>
    <definedName name="_2139_________________________________________________________________________________________0_S" hidden="1">#REF!</definedName>
    <definedName name="_214______________________________________________________________________________________________________________________________________________________________________0_0__123Grap" hidden="1">[1]공문!#REF!</definedName>
    <definedName name="_214_____________________________________________________________________________________________________________________________________________________________________S" hidden="1">#REF!</definedName>
    <definedName name="_2141_________________________________________________________________________________________0_S" hidden="1">#REF!</definedName>
    <definedName name="_2143_________________________________________________________________________________________0\SM">'[4]#REF'!#REF!</definedName>
    <definedName name="_2145_______________________________________________________________________________________0_0__123Grap" hidden="1">[1]공문!#REF!</definedName>
    <definedName name="_2147_______________________________________________________________________________________0_0_F" hidden="1">[3]Sheet3!#REF!</definedName>
    <definedName name="_2149_______________________________________________________________________________________0_0_S" hidden="1">[3]Sheet3!#REF!</definedName>
    <definedName name="_215____________________________________________________________________________________________________________________________________________________________________\LA">'[2]#REF'!#REF!</definedName>
    <definedName name="_2151_______________________________________________________________________________________3__Crite">#REF!</definedName>
    <definedName name="_2153_______________________________________________________________________________________3__Criteria">#REF!</definedName>
    <definedName name="_2157_______________________________________________________________________________________G_0Extract">#REF!</definedName>
    <definedName name="_2157________________________________________________________________________________123Grap" hidden="1">[1]공문!#REF!</definedName>
    <definedName name="_2159_______________________________________________________________________________________G__Extr">#REF!</definedName>
    <definedName name="_216______________________________________________________________________________________________________________________________________________________________________0_0_F" hidden="1">[3]Sheet3!#REF!</definedName>
    <definedName name="_216____________________________________________________________________________________________________________________________________________________________________\MID">'[2]#REF'!#REF!</definedName>
    <definedName name="_2161_______________________________________________________________________________________G__Extract">#REF!</definedName>
    <definedName name="_2163__________________________________________________________________________________________ME">'[2]#REF'!#REF!</definedName>
    <definedName name="_2165__________________________________________________________________________________________ME">'[2]#REF'!#REF!</definedName>
    <definedName name="_217____________________________________________________________________________________________________________________________________________________________________\SM">'[2]#REF'!#REF!</definedName>
    <definedName name="_218______________________________________________________________________________________________________________________________________________________________________0_0_S" hidden="1">[3]Sheet3!#REF!</definedName>
    <definedName name="_218___________________________________________________________________________________________________________________________________________________________________0_F" hidden="1">#REF!</definedName>
    <definedName name="_2181_______________________________________________________________________________________________________________________123Grap" hidden="1">[1]공문!#REF!</definedName>
    <definedName name="_2183_______________________________________________________________________________F" hidden="1">#REF!</definedName>
    <definedName name="_2184_______________________________________________________________________________F" hidden="1">[3]Sheet3!#REF!</definedName>
    <definedName name="_2187________________________________________________________________________________________123Grap" hidden="1">[1]공문!#REF!</definedName>
    <definedName name="_219___________________________________________________________________________________________________________________________________________________________________0_S" hidden="1">#REF!</definedName>
    <definedName name="_2190_______________________________________________________________________________________F" hidden="1">#REF!</definedName>
    <definedName name="_2190_______________________________________________________________________________S" hidden="1">#REF!</definedName>
    <definedName name="_2191_______________________________________________________________________________S" hidden="1">[3]Sheet3!#REF!</definedName>
    <definedName name="_2192_______________________________________________________________________________________F" hidden="1">[3]Sheet3!#REF!</definedName>
    <definedName name="_2192_______________________________________________________________________________S" hidden="1">#REF!</definedName>
    <definedName name="_2193______________________________________________________________________________\LA">'[2]#REF'!#REF!</definedName>
    <definedName name="_2194_______________________________________________________________________________________S" hidden="1">#REF!</definedName>
    <definedName name="_2194______________________________________________________________________________\MID">'[2]#REF'!#REF!</definedName>
    <definedName name="_2195______________________________________________________________________________\SM">'[2]#REF'!#REF!</definedName>
    <definedName name="_2196_______________________________________________________________________________________S" hidden="1">[3]Sheet3!#REF!</definedName>
    <definedName name="_2196_____________________________________________________________________________0_F" hidden="1">#REF!</definedName>
    <definedName name="_2197_____________________________________________________________________________0_S" hidden="1">#REF!</definedName>
    <definedName name="_2198_______________________________________________________________________________________S" hidden="1">#REF!</definedName>
    <definedName name="_2198_____________________________________________________________________________0_S" hidden="1">#REF!</definedName>
    <definedName name="_2199_____________________________________________________________________________0\SM">'[4]#REF'!#REF!</definedName>
    <definedName name="_22_____________________________________________________________________________________________________________________________________________________________________________F" hidden="1">[3]Sheet3!#REF!</definedName>
    <definedName name="_22____________________________________________________________________________________________________________________________________________________________________________0_F" hidden="1">#REF!</definedName>
    <definedName name="_220_________________________________________________________________________________________________________________________________________________________________________123Grap" hidden="1">[1]공문!#REF!</definedName>
    <definedName name="_220___________________________________________________________________________________________________________________________________________________________________0_S" hidden="1">#REF!</definedName>
    <definedName name="_2200______________________________________________________________________________________\LA">'[2]#REF'!#REF!</definedName>
    <definedName name="_2200___________________________________________________________________________0_0__123Grap" hidden="1">[1]공문!#REF!</definedName>
    <definedName name="_2201___________________________________________________________________________0_0_F" hidden="1">[3]Sheet3!#REF!</definedName>
    <definedName name="_2202______________________________________________________________________________________\MID">'[2]#REF'!#REF!</definedName>
    <definedName name="_2202___________________________________________________________________________0_0_S" hidden="1">[3]Sheet3!#REF!</definedName>
    <definedName name="_2204______________________________________________________________________________________\SM">'[2]#REF'!#REF!</definedName>
    <definedName name="_2204___________________________________________________________________________3__Crite">#REF!</definedName>
    <definedName name="_2205___________________________________________________________________________3__Criteria">#REF!</definedName>
    <definedName name="_2206_____________________________________________________________________________________0_F" hidden="1">#REF!</definedName>
    <definedName name="_2208_____________________________________________________________________________________0_S" hidden="1">#REF!</definedName>
    <definedName name="_2208___________________________________________________________________________G_0Extract">#REF!</definedName>
    <definedName name="_2209______________________________________________________________________________________________________________________F" hidden="1">#REF!</definedName>
    <definedName name="_2209___________________________________________________________________________G__Extr">#REF!</definedName>
    <definedName name="_221___________________________________________________________________________________________________________________________________________________________________0\SM">'[4]#REF'!#REF!</definedName>
    <definedName name="_2210_____________________________________________________________________________________0_S" hidden="1">#REF!</definedName>
    <definedName name="_2210___________________________________________________________________________G__Extract">#REF!</definedName>
    <definedName name="_2211______________________________________________________________________________________________________________________F" hidden="1">[3]Sheet3!#REF!</definedName>
    <definedName name="_2211______________________________________________________________________________ME">'[2]#REF'!#REF!</definedName>
    <definedName name="_2212_____________________________________________________________________________________0\SM">'[4]#REF'!#REF!</definedName>
    <definedName name="_2212______________________________________________________________________________ME">'[2]#REF'!#REF!</definedName>
    <definedName name="_2214___________________________________________________________________________________0_0__123Grap" hidden="1">[1]공문!#REF!</definedName>
    <definedName name="_2216___________________________________________________________________________________0_0_F" hidden="1">[3]Sheet3!#REF!</definedName>
    <definedName name="_2218______________________________________________________________________________________________________________________S" hidden="1">#REF!</definedName>
    <definedName name="_2218___________________________________________________________________________________0_0_S" hidden="1">[3]Sheet3!#REF!</definedName>
    <definedName name="_222______________________________________________________________________________________________________________________________________________________________________3__Crite">#REF!</definedName>
    <definedName name="_222_________________________________________________________________________________________________________________________________________________________________0_0__123Grap" hidden="1">[1]공문!#REF!</definedName>
    <definedName name="_2220______________________________________________________________________________________________________________________S" hidden="1">[3]Sheet3!#REF!</definedName>
    <definedName name="_2220___________________________________________________________________________________3__Crite">#REF!</definedName>
    <definedName name="_2222______________________________________________________________________________________________________________________S" hidden="1">#REF!</definedName>
    <definedName name="_2222___________________________________________________________________________________3__Criteria">#REF!</definedName>
    <definedName name="_2224_____________________________________________________________________________________________________________________\LA">'[2]#REF'!#REF!</definedName>
    <definedName name="_2226_____________________________________________________________________________________________________________________\MID">'[2]#REF'!#REF!</definedName>
    <definedName name="_2226___________________________________________________________________________________G_0Extract">#REF!</definedName>
    <definedName name="_2228_____________________________________________________________________________________________________________________\SM">'[2]#REF'!#REF!</definedName>
    <definedName name="_2228___________________________________________________________________________________G__Extr">#REF!</definedName>
    <definedName name="_223_________________________________________________________________________________________________________________________________________________________________0_0_F" hidden="1">[3]Sheet3!#REF!</definedName>
    <definedName name="_2230____________________________________________________________________________________________________________________0_F" hidden="1">#REF!</definedName>
    <definedName name="_2230___________________________________________________________________________________G__Extract">#REF!</definedName>
    <definedName name="_2232____________________________________________________________________________________________________________________0_S" hidden="1">#REF!</definedName>
    <definedName name="_2232______________________________________________________________________________________ME">'[2]#REF'!#REF!</definedName>
    <definedName name="_2234____________________________________________________________________________________________________________________0_S" hidden="1">#REF!</definedName>
    <definedName name="_2234______________________________________________________________________________________ME">'[2]#REF'!#REF!</definedName>
    <definedName name="_2236____________________________________________________________________________________________________________________0\SM">'[4]#REF'!#REF!</definedName>
    <definedName name="_2238__________________________________________________________________________________________________________________0_0__123Grap" hidden="1">[1]공문!#REF!</definedName>
    <definedName name="_224______________________________________________________________________________________________________________________________________________________________________3__Criteria">#REF!</definedName>
    <definedName name="_224_________________________________________________________________________________________________________________________________________________________________0_0_S" hidden="1">[3]Sheet3!#REF!</definedName>
    <definedName name="_2240__________________________________________________________________________________________________________________0_0_F" hidden="1">[3]Sheet3!#REF!</definedName>
    <definedName name="_2242__________________________________________________________________________________________________________________0_0_S" hidden="1">[3]Sheet3!#REF!</definedName>
    <definedName name="_2245__________________________________________________________________________________________________________________3__Crite">#REF!</definedName>
    <definedName name="_2247__________________________________________________________________________________________________________________3__Criteria">#REF!</definedName>
    <definedName name="_2249____________________________________________________________________________123Grap" hidden="1">[1]공문!#REF!</definedName>
    <definedName name="_225____________________________________________________________________________________________________________________________________________________________________123Grap" hidden="1">[1]공문!#REF!</definedName>
    <definedName name="_2253__________________________________________________________________________________________________________________G_0Extract">#REF!</definedName>
    <definedName name="_2255__________________________________________________________________________________________________________________G__Extr">#REF!</definedName>
    <definedName name="_2256____________________________________________________________________________________123Grap" hidden="1">[1]공문!#REF!</definedName>
    <definedName name="_2257__________________________________________________________________________________________________________________G__Extract">#REF!</definedName>
    <definedName name="_2259_____________________________________________________________________________________________________________________ME">'[2]#REF'!#REF!</definedName>
    <definedName name="_2259___________________________________________________________________________________F" hidden="1">#REF!</definedName>
    <definedName name="_226_________________________________________________________________________________________________________________________________________________________________________F" hidden="1">#REF!</definedName>
    <definedName name="_226_________________________________________________________________________________________________________________________________________________________________3__Crite">#REF!</definedName>
    <definedName name="_2261_____________________________________________________________________________________________________________________ME">'[2]#REF'!#REF!</definedName>
    <definedName name="_2261___________________________________________________________________________________F" hidden="1">[3]Sheet3!#REF!</definedName>
    <definedName name="_2263___________________________________________________________________________________S" hidden="1">#REF!</definedName>
    <definedName name="_2265___________________________________________________________________________________S" hidden="1">[3]Sheet3!#REF!</definedName>
    <definedName name="_2267___________________________________________________________________________________S" hidden="1">#REF!</definedName>
    <definedName name="_2269__________________________________________________________________________________\LA">'[2]#REF'!#REF!</definedName>
    <definedName name="_227_________________________________________________________________________________________________________________________________________________________________3__Criteria">#REF!</definedName>
    <definedName name="_2271__________________________________________________________________________________\MID">'[2]#REF'!#REF!</definedName>
    <definedName name="_2273__________________________________________________________________________________\SM">'[2]#REF'!#REF!</definedName>
    <definedName name="_2275_________________________________________________________________________________0_F" hidden="1">#REF!</definedName>
    <definedName name="_2275___________________________________________________________________________F" hidden="1">#REF!</definedName>
    <definedName name="_2276___________________________________________________________________________F" hidden="1">[3]Sheet3!#REF!</definedName>
    <definedName name="_2277_________________________________________________________________________________0_S" hidden="1">#REF!</definedName>
    <definedName name="_2279_________________________________________________________________________________0_S" hidden="1">#REF!</definedName>
    <definedName name="_228_________________________________________________________________________________________________________________________________________________________________________F" hidden="1">[3]Sheet3!#REF!</definedName>
    <definedName name="_228____________________________________________________________________________________________________________________________________________________________________F" hidden="1">#REF!</definedName>
    <definedName name="_2281_________________________________________________________________________________0\SM">'[4]#REF'!#REF!</definedName>
    <definedName name="_2282___________________________________________________________________________S" hidden="1">#REF!</definedName>
    <definedName name="_2283_______________________________________________________________________________0_0__123Grap" hidden="1">[1]공문!#REF!</definedName>
    <definedName name="_2283___________________________________________________________________________S" hidden="1">[3]Sheet3!#REF!</definedName>
    <definedName name="_2284___________________________________________________________________________S" hidden="1">#REF!</definedName>
    <definedName name="_2285_______________________________________________________________________________0_0_F" hidden="1">[3]Sheet3!#REF!</definedName>
    <definedName name="_2285__________________________________________________________________________\LA">'[2]#REF'!#REF!</definedName>
    <definedName name="_2286__________________________________________________________________________\MID">'[2]#REF'!#REF!</definedName>
    <definedName name="_2287_______________________________________________________________________________0_0_S" hidden="1">[3]Sheet3!#REF!</definedName>
    <definedName name="_2287__________________________________________________________________________\SM">'[2]#REF'!#REF!</definedName>
    <definedName name="_2288_________________________________________________________________________0_F" hidden="1">#REF!</definedName>
    <definedName name="_2289_______________________________________________________________________________3__Crite">#REF!</definedName>
    <definedName name="_2289_________________________________________________________________________0_S" hidden="1">#REF!</definedName>
    <definedName name="_229____________________________________________________________________________________________________________________________________________________________________F" hidden="1">[3]Sheet3!#REF!</definedName>
    <definedName name="_2290_________________________________________________________________________0_S" hidden="1">#REF!</definedName>
    <definedName name="_2291_______________________________________________________________________________3__Criteria">#REF!</definedName>
    <definedName name="_2291_________________________________________________________________________0\SM">'[4]#REF'!#REF!</definedName>
    <definedName name="_2292_______________________________________________________________________0_0__123Grap" hidden="1">[1]공문!#REF!</definedName>
    <definedName name="_2293_______________________________________________________________________0_0_F" hidden="1">[3]Sheet3!#REF!</definedName>
    <definedName name="_2294_______________________________________________________________________0_0_S" hidden="1">[3]Sheet3!#REF!</definedName>
    <definedName name="_2295_______________________________________________________________________________G_0Extract">#REF!</definedName>
    <definedName name="_2296_______________________________________________________________________3__Crite">#REF!</definedName>
    <definedName name="_2297_______________________________________________________________________________G__Extr">#REF!</definedName>
    <definedName name="_2297_______________________________________________________________________3__Criteria">#REF!</definedName>
    <definedName name="_2299_______________________________________________________________________________G__Extract">#REF!</definedName>
    <definedName name="_23__________________________________________________________________________________________________________________________________________________________________________G_0Extract">#REF!</definedName>
    <definedName name="_230______________________________________________________________________________________________________________________________________________________________________G_0Extract">#REF!</definedName>
    <definedName name="_230_________________________________________________________________________________________________________________________________________________________________G_0Extract">#REF!</definedName>
    <definedName name="_2300_______________________________________________________________________G_0Extract">#REF!</definedName>
    <definedName name="_2301__________________________________________________________________________________ME">'[2]#REF'!#REF!</definedName>
    <definedName name="_2301_______________________________________________________________________G__Extr">#REF!</definedName>
    <definedName name="_2302_______________________________________________________________________G__Extract">#REF!</definedName>
    <definedName name="_2303__________________________________________________________________________________ME">'[2]#REF'!#REF!</definedName>
    <definedName name="_2303__________________________________________________________________________ME">'[2]#REF'!#REF!</definedName>
    <definedName name="_2304__________________________________________________________________________ME">'[2]#REF'!#REF!</definedName>
    <definedName name="_231_________________________________________________________________________________________________________________________________________________________________G__Extr">#REF!</definedName>
    <definedName name="_2319___________________________________________________________________________________________________________________123Grap" hidden="1">[1]공문!#REF!</definedName>
    <definedName name="_232______________________________________________________________________________________________________________________________________________________________________G__Extr">#REF!</definedName>
    <definedName name="_232_________________________________________________________________________________________________________________________________________________________________G__Extract">#REF!</definedName>
    <definedName name="_2325________________________________________________________________________________123Grap" hidden="1">[1]공문!#REF!</definedName>
    <definedName name="_2328_______________________________________________________________________________F" hidden="1">#REF!</definedName>
    <definedName name="_233____________________________________________________________________________________________________________________________________________________________________ME">'[2]#REF'!#REF!</definedName>
    <definedName name="_2330_______________________________________________________________________________F" hidden="1">[3]Sheet3!#REF!</definedName>
    <definedName name="_2332_______________________________________________________________________________S" hidden="1">#REF!</definedName>
    <definedName name="_2334_______________________________________________________________________________S" hidden="1">[3]Sheet3!#REF!</definedName>
    <definedName name="_2336_______________________________________________________________________________S" hidden="1">#REF!</definedName>
    <definedName name="_2338______________________________________________________________________________\LA">'[2]#REF'!#REF!</definedName>
    <definedName name="_234______________________________________________________________________________________________________________________________________________________________________G__Extract">#REF!</definedName>
    <definedName name="_234____________________________________________________________________________________________________________________________________________________________________ME">'[2]#REF'!#REF!</definedName>
    <definedName name="_2340______________________________________________________________________________\MID">'[2]#REF'!#REF!</definedName>
    <definedName name="_2341________________________________________________________________________123Grap" hidden="1">[1]공문!#REF!</definedName>
    <definedName name="_2342______________________________________________________________________________\SM">'[2]#REF'!#REF!</definedName>
    <definedName name="_2344_____________________________________________________________________________0_F" hidden="1">#REF!</definedName>
    <definedName name="_2346_____________________________________________________________________________0_S" hidden="1">#REF!</definedName>
    <definedName name="_2347__________________________________________________________________________________________________________________F" hidden="1">#REF!</definedName>
    <definedName name="_2348_____________________________________________________________________________0_S" hidden="1">#REF!</definedName>
    <definedName name="_2349__________________________________________________________________________________________________________________F" hidden="1">[3]Sheet3!#REF!</definedName>
    <definedName name="_235____________________________________________________________________________________________________________________________________________________________________S" hidden="1">#REF!</definedName>
    <definedName name="_2350_____________________________________________________________________________0\SM">'[4]#REF'!#REF!</definedName>
    <definedName name="_2352___________________________________________________________________________0_0__123Grap" hidden="1">[1]공문!#REF!</definedName>
    <definedName name="_2354___________________________________________________________________________0_0_F" hidden="1">[3]Sheet3!#REF!</definedName>
    <definedName name="_2356__________________________________________________________________________________________________________________S" hidden="1">#REF!</definedName>
    <definedName name="_2356___________________________________________________________________________0_0_S" hidden="1">[3]Sheet3!#REF!</definedName>
    <definedName name="_2358__________________________________________________________________________________________________________________S" hidden="1">[3]Sheet3!#REF!</definedName>
    <definedName name="_2358___________________________________________________________________________3__Crite">#REF!</definedName>
    <definedName name="_236_________________________________________________________________________________________________________________________________________________________________________ME">'[2]#REF'!#REF!</definedName>
    <definedName name="_236____________________________________________________________________________________________________________________________________________________________________S" hidden="1">[3]Sheet3!#REF!</definedName>
    <definedName name="_2360__________________________________________________________________________________________________________________S" hidden="1">#REF!</definedName>
    <definedName name="_2360___________________________________________________________________________3__Criteria">#REF!</definedName>
    <definedName name="_2362_________________________________________________________________________________________________________________\LA">'[2]#REF'!#REF!</definedName>
    <definedName name="_2364_________________________________________________________________________________________________________________\MID">'[2]#REF'!#REF!</definedName>
    <definedName name="_2364___________________________________________________________________________G_0Extract">#REF!</definedName>
    <definedName name="_2366_________________________________________________________________________________________________________________\SM">'[2]#REF'!#REF!</definedName>
    <definedName name="_2366___________________________________________________________________________G__Extr">#REF!</definedName>
    <definedName name="_2367_______________________________________________________________________F" hidden="1">#REF!</definedName>
    <definedName name="_2368________________________________________________________________________________________________________________0_F" hidden="1">#REF!</definedName>
    <definedName name="_2368___________________________________________________________________________G__Extract">#REF!</definedName>
    <definedName name="_2368_______________________________________________________________________F" hidden="1">[3]Sheet3!#REF!</definedName>
    <definedName name="_237____________________________________________________________________________________________________________________________________________________________________S" hidden="1">#REF!</definedName>
    <definedName name="_2370________________________________________________________________________________________________________________0_S" hidden="1">#REF!</definedName>
    <definedName name="_2370______________________________________________________________________________ME">'[2]#REF'!#REF!</definedName>
    <definedName name="_2372________________________________________________________________________________________________________________0_S" hidden="1">#REF!</definedName>
    <definedName name="_2372______________________________________________________________________________ME">'[2]#REF'!#REF!</definedName>
    <definedName name="_2374________________________________________________________________________________________________________________0\SM">'[4]#REF'!#REF!</definedName>
    <definedName name="_2374_______________________________________________________________________S" hidden="1">#REF!</definedName>
    <definedName name="_2375_______________________________________________________________________S" hidden="1">[3]Sheet3!#REF!</definedName>
    <definedName name="_2376______________________________________________________________________________________________________________0_0__123Grap" hidden="1">[1]공문!#REF!</definedName>
    <definedName name="_2376_______________________________________________________________________S" hidden="1">#REF!</definedName>
    <definedName name="_2377______________________________________________________________________\LA">'[2]#REF'!#REF!</definedName>
    <definedName name="_2378______________________________________________________________________________________________________________0_0_F" hidden="1">[3]Sheet3!#REF!</definedName>
    <definedName name="_2378______________________________________________________________________\MID">'[2]#REF'!#REF!</definedName>
    <definedName name="_2379______________________________________________________________________\SM">'[2]#REF'!#REF!</definedName>
    <definedName name="_238_________________________________________________________________________________________________________________________________________________________________________ME">'[2]#REF'!#REF!</definedName>
    <definedName name="_238___________________________________________________________________________________________________________________________________________________________________\LA">'[2]#REF'!#REF!</definedName>
    <definedName name="_2380______________________________________________________________________________________________________________0_0_S" hidden="1">[3]Sheet3!#REF!</definedName>
    <definedName name="_2380_____________________________________________________________________0_F" hidden="1">#REF!</definedName>
    <definedName name="_2381_____________________________________________________________________0_S" hidden="1">#REF!</definedName>
    <definedName name="_2382_____________________________________________________________________0_S" hidden="1">#REF!</definedName>
    <definedName name="_2383______________________________________________________________________________________________________________3__Crite">#REF!</definedName>
    <definedName name="_2383_____________________________________________________________________0\SM">'[4]#REF'!#REF!</definedName>
    <definedName name="_2384___________________________________________________________________0_0__123Grap" hidden="1">[1]공문!#REF!</definedName>
    <definedName name="_2385______________________________________________________________________________________________________________3__Criteria">#REF!</definedName>
    <definedName name="_2385___________________________________________________________________0_0_F" hidden="1">[3]Sheet3!#REF!</definedName>
    <definedName name="_2386___________________________________________________________________0_0_S" hidden="1">[3]Sheet3!#REF!</definedName>
    <definedName name="_2388___________________________________________________________________3__Crite">#REF!</definedName>
    <definedName name="_2389___________________________________________________________________3__Criteria">#REF!</definedName>
    <definedName name="_239___________________________________________________________________________________________________________________________________________________________________\MID">'[2]#REF'!#REF!</definedName>
    <definedName name="_2391______________________________________________________________________________________________________________G_0Extract">#REF!</definedName>
    <definedName name="_2392___________________________________________________________________G_0Extract">#REF!</definedName>
    <definedName name="_2393______________________________________________________________________________________________________________G__Extr">#REF!</definedName>
    <definedName name="_2393___________________________________________________________________G__Extr">#REF!</definedName>
    <definedName name="_2394____________________________________________________________________________123Grap" hidden="1">[1]공문!#REF!</definedName>
    <definedName name="_2394___________________________________________________________________G__Extract">#REF!</definedName>
    <definedName name="_2395______________________________________________________________________________________________________________G__Extract">#REF!</definedName>
    <definedName name="_2395______________________________________________________________________ME">'[2]#REF'!#REF!</definedName>
    <definedName name="_2396______________________________________________________________________ME">'[2]#REF'!#REF!</definedName>
    <definedName name="_2397_________________________________________________________________________________________________________________ME">'[2]#REF'!#REF!</definedName>
    <definedName name="_2397___________________________________________________________________________F" hidden="1">#REF!</definedName>
    <definedName name="_2399_________________________________________________________________________________________________________________ME">'[2]#REF'!#REF!</definedName>
    <definedName name="_2399___________________________________________________________________________F" hidden="1">[3]Sheet3!#REF!</definedName>
    <definedName name="_24____________________________________________________________________________________________________________________________________________________________________________0_S" hidden="1">#REF!</definedName>
    <definedName name="_24__________________________________________________________________________________________________________________________________________________________________________G__Extr">#REF!</definedName>
    <definedName name="_240_________________________________________________________________________________________________________________________________________________________________________S" hidden="1">#REF!</definedName>
    <definedName name="_240___________________________________________________________________________________________________________________________________________________________________\SM">'[2]#REF'!#REF!</definedName>
    <definedName name="_2401___________________________________________________________________________S" hidden="1">#REF!</definedName>
    <definedName name="_2403___________________________________________________________________________S" hidden="1">[3]Sheet3!#REF!</definedName>
    <definedName name="_2405___________________________________________________________________________S" hidden="1">#REF!</definedName>
    <definedName name="_2407__________________________________________________________________________\LA">'[2]#REF'!#REF!</definedName>
    <definedName name="_2409__________________________________________________________________________\MID">'[2]#REF'!#REF!</definedName>
    <definedName name="_241__________________________________________________________________________________________________________________________________________________________________0_F" hidden="1">#REF!</definedName>
    <definedName name="_2411__________________________________________________________________________\SM">'[2]#REF'!#REF!</definedName>
    <definedName name="_2413_________________________________________________________________________0_F" hidden="1">#REF!</definedName>
    <definedName name="_2415_________________________________________________________________________0_S" hidden="1">#REF!</definedName>
    <definedName name="_2417_________________________________________________________________________0_S" hidden="1">#REF!</definedName>
    <definedName name="_2419_________________________________________________________________________0\SM">'[4]#REF'!#REF!</definedName>
    <definedName name="_242_________________________________________________________________________________________________________________________________________________________________________S" hidden="1">[3]Sheet3!#REF!</definedName>
    <definedName name="_242__________________________________________________________________________________________________________________________________________________________________0_S" hidden="1">#REF!</definedName>
    <definedName name="_2421_______________________________________________________________________0_0__123Grap" hidden="1">[1]공문!#REF!</definedName>
    <definedName name="_2423_______________________________________________________________________0_0_F" hidden="1">[3]Sheet3!#REF!</definedName>
    <definedName name="_2425_______________________________________________________________________0_0_S" hidden="1">[3]Sheet3!#REF!</definedName>
    <definedName name="_2427_______________________________________________________________________3__Crite">#REF!</definedName>
    <definedName name="_2429_______________________________________________________________________3__Criteria">#REF!</definedName>
    <definedName name="_243__________________________________________________________________________________________________________________________________________________________________0_S" hidden="1">#REF!</definedName>
    <definedName name="_2433_______________________________________________________________________G_0Extract">#REF!</definedName>
    <definedName name="_2433____________________________________________________________________123Grap" hidden="1">[1]공문!#REF!</definedName>
    <definedName name="_2435_______________________________________________________________________G__Extr">#REF!</definedName>
    <definedName name="_2437_______________________________________________________________________G__Extract">#REF!</definedName>
    <definedName name="_2439__________________________________________________________________________ME">'[2]#REF'!#REF!</definedName>
    <definedName name="_244_________________________________________________________________________________________________________________________________________________________________________S" hidden="1">#REF!</definedName>
    <definedName name="_244__________________________________________________________________________________________________________________________________________________________________0\SM">'[4]#REF'!#REF!</definedName>
    <definedName name="_2441__________________________________________________________________________ME">'[2]#REF'!#REF!</definedName>
    <definedName name="_245________________________________________________________________________________________________________________________________________________________________0_0__123Grap" hidden="1">[1]공문!#REF!</definedName>
    <definedName name="_2457_______________________________________________________________________________________________________________123Grap" hidden="1">[1]공문!#REF!</definedName>
    <definedName name="_2459___________________________________________________________________F" hidden="1">#REF!</definedName>
    <definedName name="_246________________________________________________________________________________________________________________________________________________________________________\LA">'[2]#REF'!#REF!</definedName>
    <definedName name="_246________________________________________________________________________________________________________________________________________________________________0_0_F" hidden="1">[3]Sheet3!#REF!</definedName>
    <definedName name="_2460___________________________________________________________________F" hidden="1">[3]Sheet3!#REF!</definedName>
    <definedName name="_2463________________________________________________________________________123Grap" hidden="1">[1]공문!#REF!</definedName>
    <definedName name="_2466_______________________________________________________________________F" hidden="1">#REF!</definedName>
    <definedName name="_2466___________________________________________________________________S" hidden="1">#REF!</definedName>
    <definedName name="_2467___________________________________________________________________S" hidden="1">[3]Sheet3!#REF!</definedName>
    <definedName name="_2468_______________________________________________________________________F" hidden="1">[3]Sheet3!#REF!</definedName>
    <definedName name="_2468___________________________________________________________________S" hidden="1">#REF!</definedName>
    <definedName name="_2469__________________________________________________________________\LA">'[2]#REF'!#REF!</definedName>
    <definedName name="_247________________________________________________________________________________________________________________________________________________________________0_0_S" hidden="1">[3]Sheet3!#REF!</definedName>
    <definedName name="_2470_______________________________________________________________________S" hidden="1">#REF!</definedName>
    <definedName name="_2470__________________________________________________________________\MID">'[2]#REF'!#REF!</definedName>
    <definedName name="_2471__________________________________________________________________\SM">'[2]#REF'!#REF!</definedName>
    <definedName name="_2472_______________________________________________________________________S" hidden="1">[3]Sheet3!#REF!</definedName>
    <definedName name="_2472_________________________________________________________________0_F" hidden="1">#REF!</definedName>
    <definedName name="_2473_________________________________________________________________0_S" hidden="1">#REF!</definedName>
    <definedName name="_2474_______________________________________________________________________S" hidden="1">#REF!</definedName>
    <definedName name="_2474_________________________________________________________________0_S" hidden="1">#REF!</definedName>
    <definedName name="_2475_________________________________________________________________0\SM">'[4]#REF'!#REF!</definedName>
    <definedName name="_2476______________________________________________________________________\LA">'[2]#REF'!#REF!</definedName>
    <definedName name="_2476_______________________________________________________________0_0__123Grap" hidden="1">[1]공문!#REF!</definedName>
    <definedName name="_2477_______________________________________________________________0_0_F" hidden="1">[3]Sheet3!#REF!</definedName>
    <definedName name="_2478______________________________________________________________________\MID">'[2]#REF'!#REF!</definedName>
    <definedName name="_2478_______________________________________________________________0_0_S" hidden="1">[3]Sheet3!#REF!</definedName>
    <definedName name="_248________________________________________________________________________________________________________________________________________________________________________\MID">'[2]#REF'!#REF!</definedName>
    <definedName name="_248___________________________________________________________________________________________________________________________________________________________________123Grap" hidden="1">[1]공문!#REF!</definedName>
    <definedName name="_2480______________________________________________________________________\SM">'[2]#REF'!#REF!</definedName>
    <definedName name="_2480_______________________________________________________________3__Crite">#REF!</definedName>
    <definedName name="_2481_______________________________________________________________3__Criteria">#REF!</definedName>
    <definedName name="_2482_____________________________________________________________________0_F" hidden="1">#REF!</definedName>
    <definedName name="_2484_____________________________________________________________________0_S" hidden="1">#REF!</definedName>
    <definedName name="_2484_______________________________________________________________G_0Extract">#REF!</definedName>
    <definedName name="_2485______________________________________________________________________________________________________________F" hidden="1">#REF!</definedName>
    <definedName name="_2485_______________________________________________________________G__Extr">#REF!</definedName>
    <definedName name="_2486_____________________________________________________________________0_S" hidden="1">#REF!</definedName>
    <definedName name="_2486_______________________________________________________________G__Extract">#REF!</definedName>
    <definedName name="_2487______________________________________________________________________________________________________________F" hidden="1">[3]Sheet3!#REF!</definedName>
    <definedName name="_2487__________________________________________________________________ME">'[2]#REF'!#REF!</definedName>
    <definedName name="_2488_____________________________________________________________________0\SM">'[4]#REF'!#REF!</definedName>
    <definedName name="_2488__________________________________________________________________ME">'[2]#REF'!#REF!</definedName>
    <definedName name="_249________________________________________________________________________________________________________________________________________________________________3__Crite">#REF!</definedName>
    <definedName name="_2490___________________________________________________________________0_0__123Grap" hidden="1">[1]공문!#REF!</definedName>
    <definedName name="_2492___________________________________________________________________0_0_F" hidden="1">[3]Sheet3!#REF!</definedName>
    <definedName name="_2494______________________________________________________________________________________________________________S" hidden="1">#REF!</definedName>
    <definedName name="_2494___________________________________________________________________0_0_S" hidden="1">[3]Sheet3!#REF!</definedName>
    <definedName name="_2496______________________________________________________________________________________________________________S" hidden="1">[3]Sheet3!#REF!</definedName>
    <definedName name="_2496___________________________________________________________________3__Crite">#REF!</definedName>
    <definedName name="_2498______________________________________________________________________________________________________________S" hidden="1">#REF!</definedName>
    <definedName name="_2498___________________________________________________________________3__Criteria">#REF!</definedName>
    <definedName name="_25__________________________________________________________________________________________________________________________________________________________________________G__Extract">#REF!</definedName>
    <definedName name="_250________________________________________________________________________________________________________________________________________________________________________\SM">'[2]#REF'!#REF!</definedName>
    <definedName name="_250________________________________________________________________________________________________________________________________________________________________3__Criteria">#REF!</definedName>
    <definedName name="_2500_____________________________________________________________________________________________________________\LA">'[2]#REF'!#REF!</definedName>
    <definedName name="_2502_____________________________________________________________________________________________________________\MID">'[2]#REF'!#REF!</definedName>
    <definedName name="_2502___________________________________________________________________G_0Extract">#REF!</definedName>
    <definedName name="_2502_________________________________________________________________123Grap" hidden="1">[1]공문!#REF!</definedName>
    <definedName name="_2504_____________________________________________________________________________________________________________\SM">'[2]#REF'!#REF!</definedName>
    <definedName name="_2504___________________________________________________________________G__Extr">#REF!</definedName>
    <definedName name="_2506____________________________________________________________________________________________________________0_F" hidden="1">#REF!</definedName>
    <definedName name="_2506___________________________________________________________________G__Extract">#REF!</definedName>
    <definedName name="_2508____________________________________________________________________________________________________________0_S" hidden="1">#REF!</definedName>
    <definedName name="_2508______________________________________________________________________ME">'[2]#REF'!#REF!</definedName>
    <definedName name="_251___________________________________________________________________________________________________________________________________________________________________F" hidden="1">#REF!</definedName>
    <definedName name="_2510____________________________________________________________________________________________________________0_S" hidden="1">#REF!</definedName>
    <definedName name="_2510______________________________________________________________________ME">'[2]#REF'!#REF!</definedName>
    <definedName name="_2512____________________________________________________________________________________________________________0\SM">'[4]#REF'!#REF!</definedName>
    <definedName name="_2514__________________________________________________________________________________________________________0_0__123Grap" hidden="1">[1]공문!#REF!</definedName>
    <definedName name="_2516__________________________________________________________________________________________________________0_0_F" hidden="1">[3]Sheet3!#REF!</definedName>
    <definedName name="_2518__________________________________________________________________________________________________________0_0_S" hidden="1">[3]Sheet3!#REF!</definedName>
    <definedName name="_252_______________________________________________________________________________________________________________________________________________________________________0_F" hidden="1">#REF!</definedName>
    <definedName name="_252___________________________________________________________________________________________________________________________________________________________________F" hidden="1">[3]Sheet3!#REF!</definedName>
    <definedName name="_2521__________________________________________________________________________________________________________3__Crite">#REF!</definedName>
    <definedName name="_2523__________________________________________________________________________________________________________3__Criteria">#REF!</definedName>
    <definedName name="_2528________________________________________________________________F" hidden="1">#REF!</definedName>
    <definedName name="_2529__________________________________________________________________________________________________________G_0Extract">#REF!</definedName>
    <definedName name="_2529________________________________________________________________F" hidden="1">[3]Sheet3!#REF!</definedName>
    <definedName name="_253________________________________________________________________________________________________________________________________________________________________G_0Extract">#REF!</definedName>
    <definedName name="_2531__________________________________________________________________________________________________________G__Extr">#REF!</definedName>
    <definedName name="_2532____________________________________________________________________123Grap" hidden="1">[1]공문!#REF!</definedName>
    <definedName name="_2533__________________________________________________________________________________________________________G__Extract">#REF!</definedName>
    <definedName name="_2535_____________________________________________________________________________________________________________ME">'[2]#REF'!#REF!</definedName>
    <definedName name="_2535___________________________________________________________________F" hidden="1">#REF!</definedName>
    <definedName name="_2535________________________________________________________________S" hidden="1">#REF!</definedName>
    <definedName name="_2536________________________________________________________________S" hidden="1">[3]Sheet3!#REF!</definedName>
    <definedName name="_2537_____________________________________________________________________________________________________________ME">'[2]#REF'!#REF!</definedName>
    <definedName name="_2537___________________________________________________________________F" hidden="1">[3]Sheet3!#REF!</definedName>
    <definedName name="_2537________________________________________________________________S" hidden="1">#REF!</definedName>
    <definedName name="_2538_______________________________________________________________\LA">'[2]#REF'!#REF!</definedName>
    <definedName name="_2539___________________________________________________________________S" hidden="1">#REF!</definedName>
    <definedName name="_2539_______________________________________________________________\MID">'[2]#REF'!#REF!</definedName>
    <definedName name="_254_______________________________________________________________________________________________________________________________________________________________________0_S" hidden="1">#REF!</definedName>
    <definedName name="_254________________________________________________________________________________________________________________________________________________________________G__Extr">#REF!</definedName>
    <definedName name="_2540_______________________________________________________________\SM">'[2]#REF'!#REF!</definedName>
    <definedName name="_2541___________________________________________________________________S" hidden="1">[3]Sheet3!#REF!</definedName>
    <definedName name="_2541______________________________________________________________0_F" hidden="1">#REF!</definedName>
    <definedName name="_2542______________________________________________________________0_S" hidden="1">#REF!</definedName>
    <definedName name="_2543___________________________________________________________________S" hidden="1">#REF!</definedName>
    <definedName name="_2543______________________________________________________________0_S" hidden="1">#REF!</definedName>
    <definedName name="_2544______________________________________________________________0\SM">'[4]#REF'!#REF!</definedName>
    <definedName name="_2545__________________________________________________________________\LA">'[2]#REF'!#REF!</definedName>
    <definedName name="_2545____________________________________________________________0_0__123Grap" hidden="1">[1]공문!#REF!</definedName>
    <definedName name="_2546____________________________________________________________0_0_F" hidden="1">[3]Sheet3!#REF!</definedName>
    <definedName name="_2547__________________________________________________________________\MID">'[2]#REF'!#REF!</definedName>
    <definedName name="_2547____________________________________________________________0_0_S" hidden="1">[3]Sheet3!#REF!</definedName>
    <definedName name="_2549__________________________________________________________________\SM">'[2]#REF'!#REF!</definedName>
    <definedName name="_2549____________________________________________________________3__Crite">#REF!</definedName>
    <definedName name="_255________________________________________________________________________________________________________________________________________________________________G__Extract">#REF!</definedName>
    <definedName name="_2550____________________________________________________________3__Criteria">#REF!</definedName>
    <definedName name="_2551_________________________________________________________________0_F" hidden="1">#REF!</definedName>
    <definedName name="_2553_________________________________________________________________0_S" hidden="1">#REF!</definedName>
    <definedName name="_2553____________________________________________________________G_0Extract">#REF!</definedName>
    <definedName name="_2554____________________________________________________________G__Extr">#REF!</definedName>
    <definedName name="_2555_________________________________________________________________0_S" hidden="1">#REF!</definedName>
    <definedName name="_2555____________________________________________________________G__Extract">#REF!</definedName>
    <definedName name="_2556_______________________________________________________________ME">'[2]#REF'!#REF!</definedName>
    <definedName name="_2557_________________________________________________________________0\SM">'[4]#REF'!#REF!</definedName>
    <definedName name="_2557_______________________________________________________________ME">'[2]#REF'!#REF!</definedName>
    <definedName name="_2559_______________________________________________________________0_0__123Grap" hidden="1">[1]공문!#REF!</definedName>
    <definedName name="_256_______________________________________________________________________________________________________________________________________________________________________0_S" hidden="1">#REF!</definedName>
    <definedName name="_256___________________________________________________________________________________________________________________________________________________________________ME">'[2]#REF'!#REF!</definedName>
    <definedName name="_2561_______________________________________________________________0_0_F" hidden="1">[3]Sheet3!#REF!</definedName>
    <definedName name="_2563_______________________________________________________________0_0_S" hidden="1">[3]Sheet3!#REF!</definedName>
    <definedName name="_2565_______________________________________________________________3__Crite">#REF!</definedName>
    <definedName name="_2567_______________________________________________________________3__Criteria">#REF!</definedName>
    <definedName name="_257___________________________________________________________________________________________________________________________________________________________________ME">'[2]#REF'!#REF!</definedName>
    <definedName name="_2571_______________________________________________________________G_0Extract">#REF!</definedName>
    <definedName name="_2571______________________________________________________________123Grap" hidden="1">[1]공문!#REF!</definedName>
    <definedName name="_2573_______________________________________________________________G__Extr">#REF!</definedName>
    <definedName name="_2575_______________________________________________________________G__Extract">#REF!</definedName>
    <definedName name="_2577__________________________________________________________________ME">'[2]#REF'!#REF!</definedName>
    <definedName name="_2579__________________________________________________________________ME">'[2]#REF'!#REF!</definedName>
    <definedName name="_258_______________________________________________________________________________________________________________________________________________________________________0\SM">'[4]#REF'!#REF!</definedName>
    <definedName name="_258___________________________________________________________________________________________________________________________________________________________________S" hidden="1">#REF!</definedName>
    <definedName name="_259___________________________________________________________________________________________________________________________________________________________________S" hidden="1">[3]Sheet3!#REF!</definedName>
    <definedName name="_2594_________________________________________________________________123Grap" hidden="1">[1]공문!#REF!</definedName>
    <definedName name="_2597_____________________________________________________________F" hidden="1">#REF!</definedName>
    <definedName name="_2598_____________________________________________________________F" hidden="1">[3]Sheet3!#REF!</definedName>
    <definedName name="_26_____________________________________________________________________________________________________________________________________________________________________________ME">'[2]#REF'!#REF!</definedName>
    <definedName name="_26____________________________________________________________________________________________________________________________________________________________________________0_S" hidden="1">#REF!</definedName>
    <definedName name="_260_____________________________________________________________________________________________________________________________________________________________________0_0__123Grap" hidden="1">[1]공문!#REF!</definedName>
    <definedName name="_260___________________________________________________________________________________________________________________________________________________________________S" hidden="1">#REF!</definedName>
    <definedName name="_2604________________________________________________________________F" hidden="1">#REF!</definedName>
    <definedName name="_2604_____________________________________________________________S" hidden="1">#REF!</definedName>
    <definedName name="_2605_____________________________________________________________S" hidden="1">[3]Sheet3!#REF!</definedName>
    <definedName name="_2606________________________________________________________________F" hidden="1">[3]Sheet3!#REF!</definedName>
    <definedName name="_2606_____________________________________________________________S" hidden="1">#REF!</definedName>
    <definedName name="_2607____________________________________________________________\LA">'[2]#REF'!#REF!</definedName>
    <definedName name="_2608________________________________________________________________S" hidden="1">#REF!</definedName>
    <definedName name="_2608____________________________________________________________\MID">'[2]#REF'!#REF!</definedName>
    <definedName name="_2609____________________________________________________________\SM">'[2]#REF'!#REF!</definedName>
    <definedName name="_261__________________________________________________________________________________________________________________________________________________________________\LA">'[2]#REF'!#REF!</definedName>
    <definedName name="_2610________________________________________________________________S" hidden="1">[3]Sheet3!#REF!</definedName>
    <definedName name="_2610___________________________________________________________0_F" hidden="1">#REF!</definedName>
    <definedName name="_2611___________________________________________________________0_S" hidden="1">#REF!</definedName>
    <definedName name="_2612________________________________________________________________S" hidden="1">#REF!</definedName>
    <definedName name="_2612___________________________________________________________0_S" hidden="1">#REF!</definedName>
    <definedName name="_2613___________________________________________________________0\SM">'[4]#REF'!#REF!</definedName>
    <definedName name="_2614_______________________________________________________________\LA">'[2]#REF'!#REF!</definedName>
    <definedName name="_2614_________________________________________________________0_0__123Grap" hidden="1">[1]공문!#REF!</definedName>
    <definedName name="_2615_________________________________________________________0_0_F" hidden="1">[3]Sheet3!#REF!</definedName>
    <definedName name="_2616_______________________________________________________________\MID">'[2]#REF'!#REF!</definedName>
    <definedName name="_2616_________________________________________________________0_0_S" hidden="1">[3]Sheet3!#REF!</definedName>
    <definedName name="_2618_______________________________________________________________\SM">'[2]#REF'!#REF!</definedName>
    <definedName name="_2618_________________________________________________________3__Crite">#REF!</definedName>
    <definedName name="_2619_________________________________________________________3__Criteria">#REF!</definedName>
    <definedName name="_262_____________________________________________________________________________________________________________________________________________________________________0_0_F" hidden="1">[3]Sheet3!#REF!</definedName>
    <definedName name="_262__________________________________________________________________________________________________________________________________________________________________\MID">'[2]#REF'!#REF!</definedName>
    <definedName name="_2620______________________________________________________________0_F" hidden="1">#REF!</definedName>
    <definedName name="_2622______________________________________________________________0_S" hidden="1">#REF!</definedName>
    <definedName name="_2622_________________________________________________________G_0Extract">#REF!</definedName>
    <definedName name="_2623_________________________________________________________G__Extr">#REF!</definedName>
    <definedName name="_2624______________________________________________________________0_S" hidden="1">#REF!</definedName>
    <definedName name="_2624_________________________________________________________G__Extract">#REF!</definedName>
    <definedName name="_2625____________________________________________________________ME">'[2]#REF'!#REF!</definedName>
    <definedName name="_2626______________________________________________________________0\SM">'[4]#REF'!#REF!</definedName>
    <definedName name="_2626____________________________________________________________ME">'[2]#REF'!#REF!</definedName>
    <definedName name="_2628____________________________________________________________0_0__123Grap" hidden="1">[1]공문!#REF!</definedName>
    <definedName name="_263__________________________________________________________________________________________________________________________________________________________________\SM">'[2]#REF'!#REF!</definedName>
    <definedName name="_2630____________________________________________________________0_0_F" hidden="1">[3]Sheet3!#REF!</definedName>
    <definedName name="_2632____________________________________________________________0_0_S" hidden="1">[3]Sheet3!#REF!</definedName>
    <definedName name="_2634____________________________________________________________3__Crite">#REF!</definedName>
    <definedName name="_2636____________________________________________________________3__Criteria">#REF!</definedName>
    <definedName name="_264_____________________________________________________________________________________________________________________________________________________________________0_0_S" hidden="1">[3]Sheet3!#REF!</definedName>
    <definedName name="_264_________________________________________________________________________________________________________________________________________________________________0_F" hidden="1">#REF!</definedName>
    <definedName name="_2640____________________________________________________________G_0Extract">#REF!</definedName>
    <definedName name="_2640___________________________________________________________123Grap" hidden="1">[1]공문!#REF!</definedName>
    <definedName name="_2642____________________________________________________________G__Extr">#REF!</definedName>
    <definedName name="_2644____________________________________________________________G__Extract">#REF!</definedName>
    <definedName name="_2646_______________________________________________________________ME">'[2]#REF'!#REF!</definedName>
    <definedName name="_2648_______________________________________________________________ME">'[2]#REF'!#REF!</definedName>
    <definedName name="_265_________________________________________________________________________________________________________________________________________________________________0_S" hidden="1">#REF!</definedName>
    <definedName name="_266________________________________________________________________________________________________________________________________________________________________________123Grap" hidden="1">[1]공문!#REF!</definedName>
    <definedName name="_266_________________________________________________________________________________________________________________________________________________________________0_S" hidden="1">#REF!</definedName>
    <definedName name="_2663______________________________________________________________123Grap" hidden="1">[1]공문!#REF!</definedName>
    <definedName name="_2666__________________________________________________________F" hidden="1">#REF!</definedName>
    <definedName name="_2667__________________________________________________________F" hidden="1">[3]Sheet3!#REF!</definedName>
    <definedName name="_267_________________________________________________________________________________________________________________________________________________________________0\SM">'[4]#REF'!#REF!</definedName>
    <definedName name="_2673_____________________________________________________________F" hidden="1">#REF!</definedName>
    <definedName name="_2673__________________________________________________________S" hidden="1">#REF!</definedName>
    <definedName name="_2674__________________________________________________________S" hidden="1">[3]Sheet3!#REF!</definedName>
    <definedName name="_2675_____________________________________________________________F" hidden="1">[3]Sheet3!#REF!</definedName>
    <definedName name="_2675__________________________________________________________S" hidden="1">#REF!</definedName>
    <definedName name="_2676_________________________________________________________\LA">'[2]#REF'!#REF!</definedName>
    <definedName name="_2677_____________________________________________________________S" hidden="1">#REF!</definedName>
    <definedName name="_2677_________________________________________________________\MID">'[2]#REF'!#REF!</definedName>
    <definedName name="_2678_________________________________________________________\SM">'[2]#REF'!#REF!</definedName>
    <definedName name="_2679_____________________________________________________________S" hidden="1">[3]Sheet3!#REF!</definedName>
    <definedName name="_2679________________________________________________________0_F" hidden="1">#REF!</definedName>
    <definedName name="_268_____________________________________________________________________________________________________________________________________________________________________3__Crite">#REF!</definedName>
    <definedName name="_268_______________________________________________________________________________________________________________________________________________________________0_0__123Grap" hidden="1">[1]공문!#REF!</definedName>
    <definedName name="_2680________________________________________________________0_S" hidden="1">#REF!</definedName>
    <definedName name="_2681_____________________________________________________________S" hidden="1">#REF!</definedName>
    <definedName name="_2681________________________________________________________0_S" hidden="1">#REF!</definedName>
    <definedName name="_2682________________________________________________________0\SM">'[4]#REF'!#REF!</definedName>
    <definedName name="_2683____________________________________________________________\LA">'[2]#REF'!#REF!</definedName>
    <definedName name="_2683______________________________________________________0_0__123Grap" hidden="1">[1]공문!#REF!</definedName>
    <definedName name="_2684______________________________________________________0_0_F" hidden="1">[3]Sheet3!#REF!</definedName>
    <definedName name="_2685____________________________________________________________\MID">'[2]#REF'!#REF!</definedName>
    <definedName name="_2685______________________________________________________0_0_S" hidden="1">[3]Sheet3!#REF!</definedName>
    <definedName name="_2687____________________________________________________________\SM">'[2]#REF'!#REF!</definedName>
    <definedName name="_2687______________________________________________________3__Crite">#REF!</definedName>
    <definedName name="_2688______________________________________________________3__Criteria">#REF!</definedName>
    <definedName name="_2689___________________________________________________________0_F" hidden="1">#REF!</definedName>
    <definedName name="_269_______________________________________________________________________________________________________________________________________________________________0_0_F" hidden="1">[3]Sheet3!#REF!</definedName>
    <definedName name="_2691___________________________________________________________0_S" hidden="1">#REF!</definedName>
    <definedName name="_2691______________________________________________________G_0Extract">#REF!</definedName>
    <definedName name="_2692______________________________________________________G__Extr">#REF!</definedName>
    <definedName name="_2693___________________________________________________________0_S" hidden="1">#REF!</definedName>
    <definedName name="_2693______________________________________________________G__Extract">#REF!</definedName>
    <definedName name="_2694_________________________________________________________ME">'[2]#REF'!#REF!</definedName>
    <definedName name="_2695___________________________________________________________0\SM">'[4]#REF'!#REF!</definedName>
    <definedName name="_2695_________________________________________________________ME">'[2]#REF'!#REF!</definedName>
    <definedName name="_2697_________________________________________________________0_0__123Grap" hidden="1">[1]공문!#REF!</definedName>
    <definedName name="_2699_________________________________________________________0_0_F" hidden="1">[3]Sheet3!#REF!</definedName>
    <definedName name="_27_____________________________________________________________________________________________________________________________________________________________________________ME">'[2]#REF'!#REF!</definedName>
    <definedName name="_270_____________________________________________________________________________________________________________________________________________________________________3__Criteria">#REF!</definedName>
    <definedName name="_270_______________________________________________________________________________________________________________________________________________________________0_0_S" hidden="1">[3]Sheet3!#REF!</definedName>
    <definedName name="_2701_________________________________________________________0_0_S" hidden="1">[3]Sheet3!#REF!</definedName>
    <definedName name="_2703_________________________________________________________3__Crite">#REF!</definedName>
    <definedName name="_2705_________________________________________________________3__Criteria">#REF!</definedName>
    <definedName name="_2709_________________________________________________________G_0Extract">#REF!</definedName>
    <definedName name="_271__________________________________________________________________________________________________________________________________________________________________123Grap" hidden="1">[1]공문!#REF!</definedName>
    <definedName name="_2710_______________________________________________________________________________________________________123Grap" hidden="1">[1]공문!#REF!</definedName>
    <definedName name="_2711_________________________________________________________G__Extr">#REF!</definedName>
    <definedName name="_2713_________________________________________________________G__Extract">#REF!</definedName>
    <definedName name="_2715____________________________________________________________ME">'[2]#REF'!#REF!</definedName>
    <definedName name="_2717____________________________________________________________ME">'[2]#REF'!#REF!</definedName>
    <definedName name="_272________________________________________________________________________________________________________________________________________________________________________F" hidden="1">#REF!</definedName>
    <definedName name="_272_______________________________________________________________________________________________________________________________________________________________3__Crite">#REF!</definedName>
    <definedName name="_273_______________________________________________________________________________________________________________________________________________________________3__Criteria">#REF!</definedName>
    <definedName name="_2732___________________________________________________________123Grap" hidden="1">[1]공문!#REF!</definedName>
    <definedName name="_2738______________________________________________________________________________________________________F" hidden="1">#REF!</definedName>
    <definedName name="_274________________________________________________________________________________________________________________________________________________________________________F" hidden="1">[3]Sheet3!#REF!</definedName>
    <definedName name="_274__________________________________________________________________________________________________________________________________________________________________F" hidden="1">#REF!</definedName>
    <definedName name="_2740______________________________________________________________________________________________________F" hidden="1">[3]Sheet3!#REF!</definedName>
    <definedName name="_2742__________________________________________________________F" hidden="1">#REF!</definedName>
    <definedName name="_2744__________________________________________________________F" hidden="1">[3]Sheet3!#REF!</definedName>
    <definedName name="_2746__________________________________________________________S" hidden="1">#REF!</definedName>
    <definedName name="_2747______________________________________________________________________________________________________S" hidden="1">#REF!</definedName>
    <definedName name="_2748__________________________________________________________S" hidden="1">[3]Sheet3!#REF!</definedName>
    <definedName name="_2749______________________________________________________________________________________________________S" hidden="1">[3]Sheet3!#REF!</definedName>
    <definedName name="_275__________________________________________________________________________________________________________________________________________________________________F" hidden="1">[3]Sheet3!#REF!</definedName>
    <definedName name="_2750__________________________________________________________S" hidden="1">#REF!</definedName>
    <definedName name="_2751______________________________________________________________________________________________________S" hidden="1">#REF!</definedName>
    <definedName name="_2752_________________________________________________________\LA">'[2]#REF'!#REF!</definedName>
    <definedName name="_2753_____________________________________________________________________________________________________\LA">'[2]#REF'!#REF!</definedName>
    <definedName name="_2754_________________________________________________________\MID">'[2]#REF'!#REF!</definedName>
    <definedName name="_2755_____________________________________________________________________________________________________\MID">'[2]#REF'!#REF!</definedName>
    <definedName name="_2756_________________________________________________________\SM">'[2]#REF'!#REF!</definedName>
    <definedName name="_2757_____________________________________________________________________________________________________\SM">'[2]#REF'!#REF!</definedName>
    <definedName name="_2758________________________________________________________0_F" hidden="1">#REF!</definedName>
    <definedName name="_2759____________________________________________________________________________________________________0_F" hidden="1">#REF!</definedName>
    <definedName name="_276_____________________________________________________________________________________________________________________________________________________________________G_0Extract">#REF!</definedName>
    <definedName name="_276_______________________________________________________________________________________________________________________________________________________________G_0Extract">#REF!</definedName>
    <definedName name="_2760________________________________________________________0_S" hidden="1">#REF!</definedName>
    <definedName name="_2761____________________________________________________________________________________________________0_S" hidden="1">#REF!</definedName>
    <definedName name="_2762________________________________________________________0_S" hidden="1">#REF!</definedName>
    <definedName name="_2763____________________________________________________________________________________________________0_S" hidden="1">#REF!</definedName>
    <definedName name="_2764________________________________________________________0\SM">'[4]#REF'!#REF!</definedName>
    <definedName name="_2765____________________________________________________________________________________________________0\SM">'[4]#REF'!#REF!</definedName>
    <definedName name="_2766______________________________________________________0_0__123Grap" hidden="1">[1]공문!#REF!</definedName>
    <definedName name="_2767__________________________________________________________________________________________________0_0__123Grap" hidden="1">[1]공문!#REF!</definedName>
    <definedName name="_2768______________________________________________________0_0_F" hidden="1">[3]Sheet3!#REF!</definedName>
    <definedName name="_2769__________________________________________________________________________________________________0_0_F" hidden="1">[3]Sheet3!#REF!</definedName>
    <definedName name="_277_______________________________________________________________________________________________________________________________________________________________G__Extr">#REF!</definedName>
    <definedName name="_2770______________________________________________________0_0_S" hidden="1">[3]Sheet3!#REF!</definedName>
    <definedName name="_2771__________________________________________________________________________________________________0_0_S" hidden="1">[3]Sheet3!#REF!</definedName>
    <definedName name="_2772______________________________________________________3__Crite">#REF!</definedName>
    <definedName name="_2774__________________________________________________________________________________________________3__Crite">#REF!</definedName>
    <definedName name="_2774______________________________________________________3__Criteria">#REF!</definedName>
    <definedName name="_2776__________________________________________________________________________________________________3__Criteria">#REF!</definedName>
    <definedName name="_2778______________________________________________________G_0Extract">#REF!</definedName>
    <definedName name="_278_____________________________________________________________________________________________________________________________________________________________________G__Extr">#REF!</definedName>
    <definedName name="_278_______________________________________________________________________________________________________________________________________________________________G__Extract">#REF!</definedName>
    <definedName name="_2780______________________________________________________G__Extr">#REF!</definedName>
    <definedName name="_2782__________________________________________________________________________________________________G_0Extract">#REF!</definedName>
    <definedName name="_2782______________________________________________________G__Extract">#REF!</definedName>
    <definedName name="_2784__________________________________________________________________________________________________G__Extr">#REF!</definedName>
    <definedName name="_2784_________________________________________________________ME">'[2]#REF'!#REF!</definedName>
    <definedName name="_2786__________________________________________________________________________________________________G__Extract">#REF!</definedName>
    <definedName name="_2786_________________________________________________________ME">'[2]#REF'!#REF!</definedName>
    <definedName name="_2788_____________________________________________________________________________________________________ME">'[2]#REF'!#REF!</definedName>
    <definedName name="_279__________________________________________________________________________________________________________________________________________________________________ME">'[2]#REF'!#REF!</definedName>
    <definedName name="_2790_____________________________________________________________________________________________________ME">'[2]#REF'!#REF!</definedName>
    <definedName name="_28_____________________________________________________________________________________________________________________________________________________________________________S" hidden="1">#REF!</definedName>
    <definedName name="_28____________________________________________________________________________________________________________________________________________________________________________0\SM">'[4]#REF'!#REF!</definedName>
    <definedName name="_280_____________________________________________________________________________________________________________________________________________________________________G__Extract">#REF!</definedName>
    <definedName name="_280__________________________________________________________________________________________________________________________________________________________________ME">'[2]#REF'!#REF!</definedName>
    <definedName name="_281__________________________________________________________________________________________________________________________________________________________________S" hidden="1">#REF!</definedName>
    <definedName name="_2818____________________________________________________________________________________________________123Grap" hidden="1">[1]공문!#REF!</definedName>
    <definedName name="_282________________________________________________________________________________________________________________________________________________________________________ME">'[2]#REF'!#REF!</definedName>
    <definedName name="_282__________________________________________________________________________________________________________________________________________________________________S" hidden="1">[3]Sheet3!#REF!</definedName>
    <definedName name="_283__________________________________________________________________________________________________________________________________________________________________S" hidden="1">#REF!</definedName>
    <definedName name="_284________________________________________________________________________________________________________________________________________________________________________ME">'[2]#REF'!#REF!</definedName>
    <definedName name="_284_________________________________________________________________________________________________________________________________________________________________\LA">'[2]#REF'!#REF!</definedName>
    <definedName name="_285_________________________________________________________________________________________________________________________________________________________________\MID">'[2]#REF'!#REF!</definedName>
    <definedName name="_2853___________________________________________________________________________________________________F" hidden="1">#REF!</definedName>
    <definedName name="_2855___________________________________________________________________________________________________F" hidden="1">[3]Sheet3!#REF!</definedName>
    <definedName name="_286________________________________________________________________________________________________________________________________________________________________________S" hidden="1">#REF!</definedName>
    <definedName name="_286_________________________________________________________________________________________________________________________________________________________________\SM">'[2]#REF'!#REF!</definedName>
    <definedName name="_2862___________________________________________________________________________________________________S" hidden="1">#REF!</definedName>
    <definedName name="_2864___________________________________________________________________________________________________S" hidden="1">[3]Sheet3!#REF!</definedName>
    <definedName name="_2866___________________________________________________________________________________________________S" hidden="1">#REF!</definedName>
    <definedName name="_2868__________________________________________________________________________________________________\LA">'[2]#REF'!#REF!</definedName>
    <definedName name="_287________________________________________________________________________________________________________________________________________________________________0_F" hidden="1">#REF!</definedName>
    <definedName name="_2870__________________________________________________________________________________________________\MID">'[2]#REF'!#REF!</definedName>
    <definedName name="_2872__________________________________________________________________________________________________\SM">'[2]#REF'!#REF!</definedName>
    <definedName name="_2874_________________________________________________________________________________________________0_F" hidden="1">#REF!</definedName>
    <definedName name="_2876_________________________________________________________________________________________________0_S" hidden="1">#REF!</definedName>
    <definedName name="_2878_________________________________________________________________________________________________0_S" hidden="1">#REF!</definedName>
    <definedName name="_288________________________________________________________________________________________________________________________________________________________________________S" hidden="1">[3]Sheet3!#REF!</definedName>
    <definedName name="_288________________________________________________________________________________________________________________________________________________________________0_S" hidden="1">#REF!</definedName>
    <definedName name="_2880_________________________________________________________________________________________________0\SM">'[4]#REF'!#REF!</definedName>
    <definedName name="_2882_______________________________________________________________________________________________0_0__123Grap" hidden="1">[1]공문!#REF!</definedName>
    <definedName name="_2884_______________________________________________________________________________________________0_0_F" hidden="1">[3]Sheet3!#REF!</definedName>
    <definedName name="_2886_______________________________________________________________________________________________0_0_S" hidden="1">[3]Sheet3!#REF!</definedName>
    <definedName name="_2889_______________________________________________________________________________________________3__Crite">#REF!</definedName>
    <definedName name="_289________________________________________________________________________________________________________________________________________________________________0_S" hidden="1">#REF!</definedName>
    <definedName name="_2891_______________________________________________________________________________________________3__Criteria">#REF!</definedName>
    <definedName name="_2897_______________________________________________________________________________________________G_0Extract">#REF!</definedName>
    <definedName name="_2899_______________________________________________________________________________________________G__Extr">#REF!</definedName>
    <definedName name="_29_____________________________________________________________________________________________________________________________________________________________________________S" hidden="1">[3]Sheet3!#REF!</definedName>
    <definedName name="_290________________________________________________________________________________________________________________________________________________________________________S" hidden="1">#REF!</definedName>
    <definedName name="_290________________________________________________________________________________________________________________________________________________________________0\SM">'[4]#REF'!#REF!</definedName>
    <definedName name="_2901_______________________________________________________________________________________________G__Extract">#REF!</definedName>
    <definedName name="_2903__________________________________________________________________________________________________ME">'[2]#REF'!#REF!</definedName>
    <definedName name="_2905__________________________________________________________________________________________________ME">'[2]#REF'!#REF!</definedName>
    <definedName name="_291______________________________________________________________________________________________________________________________________________________________0_0__123Grap" hidden="1">[1]공문!#REF!</definedName>
    <definedName name="_292_______________________________________________________________________________________________________________________________________________________________________\LA">'[2]#REF'!#REF!</definedName>
    <definedName name="_292______________________________________________________________________________________________________________________________________________________________0_0_F" hidden="1">[3]Sheet3!#REF!</definedName>
    <definedName name="_293______________________________________________________________________________________________________________________________________________________________0_0_S" hidden="1">[3]Sheet3!#REF!</definedName>
    <definedName name="_294_______________________________________________________________________________________________________________________________________________________________________\MID">'[2]#REF'!#REF!</definedName>
    <definedName name="_294_________________________________________________________________________________________________________________________________________________________________123Grap" hidden="1">[1]공문!#REF!</definedName>
    <definedName name="_295______________________________________________________________________________________________________________________________________________________________3__Crite">#REF!</definedName>
    <definedName name="_296_______________________________________________________________________________________________________________________________________________________________________\SM">'[2]#REF'!#REF!</definedName>
    <definedName name="_296______________________________________________________________________________________________________________________________________________________________3__Criteria">#REF!</definedName>
    <definedName name="_2963________________________________________________________________________________________________123Grap" hidden="1">[1]공문!#REF!</definedName>
    <definedName name="_297_________________________________________________________________________________________________________________________________________________________________F" hidden="1">#REF!</definedName>
    <definedName name="_298______________________________________________________________________________________________________________________________________________________________________0_F" hidden="1">#REF!</definedName>
    <definedName name="_298_________________________________________________________________________________________________________________________________________________________________F" hidden="1">[3]Sheet3!#REF!</definedName>
    <definedName name="_299______________________________________________________________________________________________________________________________________________________________G_0Extract">#REF!</definedName>
    <definedName name="_2991_______________________________________________________________________________________________F" hidden="1">#REF!</definedName>
    <definedName name="_2993_______________________________________________________________________________________________F" hidden="1">[3]Sheet3!#REF!</definedName>
    <definedName name="_3______________________________________________________________________________________________________________________________________________________________________________F" hidden="1">#REF!</definedName>
    <definedName name="_30_____________________________________________________________________________________________________________________________________________________________________________S" hidden="1">#REF!</definedName>
    <definedName name="_30__________________________________________________________________________________________________________________________________________________________________________0_0__123Grap" hidden="1">[1]공문!#REF!</definedName>
    <definedName name="_300______________________________________________________________________________________________________________________________________________________________________0_S" hidden="1">#REF!</definedName>
    <definedName name="_300______________________________________________________________________________________________________________________________________________________________G__Extr">#REF!</definedName>
    <definedName name="_3000_______________________________________________________________________________________________S" hidden="1">#REF!</definedName>
    <definedName name="_3002_______________________________________________________________________________________________S" hidden="1">[3]Sheet3!#REF!</definedName>
    <definedName name="_3004_______________________________________________________________________________________________S" hidden="1">#REF!</definedName>
    <definedName name="_3006______________________________________________________________________________________________\LA">'[2]#REF'!#REF!</definedName>
    <definedName name="_3008______________________________________________________________________________________________\MID">'[2]#REF'!#REF!</definedName>
    <definedName name="_301______________________________________________________________________________________________________________________________________________________________G__Extract">#REF!</definedName>
    <definedName name="_3010______________________________________________________________________________________________\SM">'[2]#REF'!#REF!</definedName>
    <definedName name="_3012_____________________________________________________________________________________________0_F" hidden="1">#REF!</definedName>
    <definedName name="_3014_____________________________________________________________________________________________0_S" hidden="1">#REF!</definedName>
    <definedName name="_3016_____________________________________________________________________________________________0_S" hidden="1">#REF!</definedName>
    <definedName name="_3018_____________________________________________________________________________________________0\SM">'[4]#REF'!#REF!</definedName>
    <definedName name="_302______________________________________________________________________________________________________________________________________________________________________0_S" hidden="1">#REF!</definedName>
    <definedName name="_302_________________________________________________________________________________________________________________________________________________________________ME">'[2]#REF'!#REF!</definedName>
    <definedName name="_3020___________________________________________________________________________________________0_0__123Grap" hidden="1">[1]공문!#REF!</definedName>
    <definedName name="_3022___________________________________________________________________________________________0_0_F" hidden="1">[3]Sheet3!#REF!</definedName>
    <definedName name="_3024___________________________________________________________________________________________0_0_S" hidden="1">[3]Sheet3!#REF!</definedName>
    <definedName name="_3027___________________________________________________________________________________________3__Crite">#REF!</definedName>
    <definedName name="_3029___________________________________________________________________________________________3__Criteria">#REF!</definedName>
    <definedName name="_303_________________________________________________________________________________________________________________________________________________________________ME">'[2]#REF'!#REF!</definedName>
    <definedName name="_3035___________________________________________________________________________________________G_0Extract">#REF!</definedName>
    <definedName name="_3037___________________________________________________________________________________________G__Extr">#REF!</definedName>
    <definedName name="_3039___________________________________________________________________________________________G__Extract">#REF!</definedName>
    <definedName name="_304______________________________________________________________________________________________________________________________________________________________________0\SM">'[4]#REF'!#REF!</definedName>
    <definedName name="_304_________________________________________________________________________________________________________________________________________________________________S" hidden="1">#REF!</definedName>
    <definedName name="_3041______________________________________________________________________________________________ME">'[2]#REF'!#REF!</definedName>
    <definedName name="_3043______________________________________________________________________________________________ME">'[2]#REF'!#REF!</definedName>
    <definedName name="_305_________________________________________________________________________________________________________________________________________________________________S" hidden="1">[3]Sheet3!#REF!</definedName>
    <definedName name="_306____________________________________________________________________________________________________________________________________________________________________0_0__123Grap" hidden="1">[1]공문!#REF!</definedName>
    <definedName name="_306_________________________________________________________________________________________________________________________________________________________________S" hidden="1">#REF!</definedName>
    <definedName name="_307________________________________________________________________________________________________________________________________________________________________\LA">'[2]#REF'!#REF!</definedName>
    <definedName name="_308____________________________________________________________________________________________________________________________________________________________________0_0_F" hidden="1">[3]Sheet3!#REF!</definedName>
    <definedName name="_308________________________________________________________________________________________________________________________________________________________________\MID">'[2]#REF'!#REF!</definedName>
    <definedName name="_309________________________________________________________________________________________________________________________________________________________________\SM">'[2]#REF'!#REF!</definedName>
    <definedName name="_31____________________________________________________________________________________________________________________________________________________________________________\LA">'[2]#REF'!#REF!</definedName>
    <definedName name="_310____________________________________________________________________________________________________________________________________________________________________0_0_S" hidden="1">[3]Sheet3!#REF!</definedName>
    <definedName name="_310_______________________________________________________________________________________________________________________________________________________________0_F" hidden="1">#REF!</definedName>
    <definedName name="_3101____________________________________________________________________________________________123Grap" hidden="1">[1]공문!#REF!</definedName>
    <definedName name="_311_______________________________________________________________________________________________________________________________________________________________0_S" hidden="1">#REF!</definedName>
    <definedName name="_312_______________________________________________________________________________________________________________________________________________________________________123Grap" hidden="1">[1]공문!#REF!</definedName>
    <definedName name="_312_______________________________________________________________________________________________________________________________________________________________0_S" hidden="1">#REF!</definedName>
    <definedName name="_3129___________________________________________________________________________________________F" hidden="1">#REF!</definedName>
    <definedName name="_313_______________________________________________________________________________________________________________________________________________________________0\SM">'[4]#REF'!#REF!</definedName>
    <definedName name="_3131___________________________________________________________________________________________F" hidden="1">[3]Sheet3!#REF!</definedName>
    <definedName name="_3138___________________________________________________________________________________________S" hidden="1">#REF!</definedName>
    <definedName name="_314____________________________________________________________________________________________________________________________________________________________________3__Crite">#REF!</definedName>
    <definedName name="_314_____________________________________________________________________________________________________________________________________________________________0_0__123Grap" hidden="1">[1]공문!#REF!</definedName>
    <definedName name="_3140___________________________________________________________________________________________S" hidden="1">[3]Sheet3!#REF!</definedName>
    <definedName name="_3142___________________________________________________________________________________________S" hidden="1">#REF!</definedName>
    <definedName name="_3144__________________________________________________________________________________________\LA">'[2]#REF'!#REF!</definedName>
    <definedName name="_3146__________________________________________________________________________________________\MID">'[2]#REF'!#REF!</definedName>
    <definedName name="_3148__________________________________________________________________________________________\SM">'[2]#REF'!#REF!</definedName>
    <definedName name="_315_____________________________________________________________________________________________________________________________________________________________0_0_F" hidden="1">[3]Sheet3!#REF!</definedName>
    <definedName name="_3150_________________________________________________________________________________________0_F" hidden="1">#REF!</definedName>
    <definedName name="_3152_________________________________________________________________________________________0_S" hidden="1">#REF!</definedName>
    <definedName name="_3154_________________________________________________________________________________________0_S" hidden="1">#REF!</definedName>
    <definedName name="_3156_________________________________________________________________________________________0\SM">'[4]#REF'!#REF!</definedName>
    <definedName name="_3158_______________________________________________________________________________________0_0__123Grap" hidden="1">[1]공문!#REF!</definedName>
    <definedName name="_316____________________________________________________________________________________________________________________________________________________________________3__Criteria">#REF!</definedName>
    <definedName name="_316_____________________________________________________________________________________________________________________________________________________________0_0_S" hidden="1">[3]Sheet3!#REF!</definedName>
    <definedName name="_3160_______________________________________________________________________________________0_0_F" hidden="1">[3]Sheet3!#REF!</definedName>
    <definedName name="_3162_______________________________________________________________________________________0_0_S" hidden="1">[3]Sheet3!#REF!</definedName>
    <definedName name="_3165_______________________________________________________________________________________3__Crite">#REF!</definedName>
    <definedName name="_3167_______________________________________________________________________________________3__Criteria">#REF!</definedName>
    <definedName name="_317________________________________________________________________________________________________________________________________________________________________123Grap" hidden="1">[1]공문!#REF!</definedName>
    <definedName name="_3173_______________________________________________________________________________________G_0Extract">#REF!</definedName>
    <definedName name="_3175_______________________________________________________________________________________G__Extr">#REF!</definedName>
    <definedName name="_3177_______________________________________________________________________________________G__Extract">#REF!</definedName>
    <definedName name="_3179__________________________________________________________________________________________ME">'[2]#REF'!#REF!</definedName>
    <definedName name="_318_______________________________________________________________________________________________________________________________________________________________________F" hidden="1">#REF!</definedName>
    <definedName name="_318_____________________________________________________________________________________________________________________________________________________________3__Crite">#REF!</definedName>
    <definedName name="_3181__________________________________________________________________________________________ME">'[2]#REF'!#REF!</definedName>
    <definedName name="_319_____________________________________________________________________________________________________________________________________________________________3__Criteria">#REF!</definedName>
    <definedName name="_32____________________________________________________________________________________________________________________________________________________________________________\MID">'[2]#REF'!#REF!</definedName>
    <definedName name="_32__________________________________________________________________________________________________________________________________________________________________________0_0_F" hidden="1">[3]Sheet3!#REF!</definedName>
    <definedName name="_320_______________________________________________________________________________________________________________________________________________________________________F" hidden="1">[3]Sheet3!#REF!</definedName>
    <definedName name="_320________________________________________________________________________________________________________________________________________________________________F" hidden="1">#REF!</definedName>
    <definedName name="_321________________________________________________________________________________________________________________________________________________________________F" hidden="1">[3]Sheet3!#REF!</definedName>
    <definedName name="_322____________________________________________________________________________________________________________________________________________________________________G_0Extract">#REF!</definedName>
    <definedName name="_322_____________________________________________________________________________________________________________________________________________________________G_0Extract">#REF!</definedName>
    <definedName name="_323_____________________________________________________________________________________________________________________________________________________________G__Extr">#REF!</definedName>
    <definedName name="_3239________________________________________________________________________________________123Grap" hidden="1">[1]공문!#REF!</definedName>
    <definedName name="_324____________________________________________________________________________________________________________________________________________________________________G__Extr">#REF!</definedName>
    <definedName name="_324_____________________________________________________________________________________________________________________________________________________________G__Extract">#REF!</definedName>
    <definedName name="_325________________________________________________________________________________________________________________________________________________________________ME">'[2]#REF'!#REF!</definedName>
    <definedName name="_326____________________________________________________________________________________________________________________________________________________________________G__Extract">#REF!</definedName>
    <definedName name="_326________________________________________________________________________________________________________________________________________________________________ME">'[2]#REF'!#REF!</definedName>
    <definedName name="_3267_______________________________________________________________________________________F" hidden="1">#REF!</definedName>
    <definedName name="_3269_______________________________________________________________________________________F" hidden="1">[3]Sheet3!#REF!</definedName>
    <definedName name="_327________________________________________________________________________________________________________________________________________________________________S" hidden="1">#REF!</definedName>
    <definedName name="_3276_______________________________________________________________________________________S" hidden="1">#REF!</definedName>
    <definedName name="_3278_______________________________________________________________________________________S" hidden="1">[3]Sheet3!#REF!</definedName>
    <definedName name="_328_______________________________________________________________________________________________________________________________________________________________________ME">'[2]#REF'!#REF!</definedName>
    <definedName name="_328________________________________________________________________________________________________________________________________________________________________S" hidden="1">[3]Sheet3!#REF!</definedName>
    <definedName name="_3280_______________________________________________________________________________________S" hidden="1">#REF!</definedName>
    <definedName name="_3282______________________________________________________________________________________\LA">'[2]#REF'!#REF!</definedName>
    <definedName name="_3284______________________________________________________________________________________\MID">'[2]#REF'!#REF!</definedName>
    <definedName name="_3286______________________________________________________________________________________\SM">'[2]#REF'!#REF!</definedName>
    <definedName name="_3288_____________________________________________________________________________________0_F" hidden="1">#REF!</definedName>
    <definedName name="_329________________________________________________________________________________________________________________________________________________________________S" hidden="1">#REF!</definedName>
    <definedName name="_3290_____________________________________________________________________________________0_S" hidden="1">#REF!</definedName>
    <definedName name="_3292_____________________________________________________________________________________0_S" hidden="1">#REF!</definedName>
    <definedName name="_3294_____________________________________________________________________________________0\SM">'[4]#REF'!#REF!</definedName>
    <definedName name="_3296___________________________________________________________________________________0_0__123Grap" hidden="1">[1]공문!#REF!</definedName>
    <definedName name="_3298___________________________________________________________________________________0_0_F" hidden="1">[3]Sheet3!#REF!</definedName>
    <definedName name="_33____________________________________________________________________________________________________________________________________________________________________________\SM">'[2]#REF'!#REF!</definedName>
    <definedName name="_330_______________________________________________________________________________________________________________________________________________________________________ME">'[2]#REF'!#REF!</definedName>
    <definedName name="_330_______________________________________________________________________________________________________________________________________________________________\LA">'[2]#REF'!#REF!</definedName>
    <definedName name="_3300___________________________________________________________________________________0_0_S" hidden="1">[3]Sheet3!#REF!</definedName>
    <definedName name="_3303___________________________________________________________________________________3__Crite">#REF!</definedName>
    <definedName name="_3305___________________________________________________________________________________3__Criteria">#REF!</definedName>
    <definedName name="_331_______________________________________________________________________________________________________________________________________________________________\MID">'[2]#REF'!#REF!</definedName>
    <definedName name="_3311___________________________________________________________________________________G_0Extract">#REF!</definedName>
    <definedName name="_3313___________________________________________________________________________________G__Extr">#REF!</definedName>
    <definedName name="_3315___________________________________________________________________________________G__Extract">#REF!</definedName>
    <definedName name="_3317______________________________________________________________________________________ME">'[2]#REF'!#REF!</definedName>
    <definedName name="_3319______________________________________________________________________________________ME">'[2]#REF'!#REF!</definedName>
    <definedName name="_332_______________________________________________________________________________________________________________________________________________________________________S" hidden="1">#REF!</definedName>
    <definedName name="_332_______________________________________________________________________________________________________________________________________________________________\SM">'[2]#REF'!#REF!</definedName>
    <definedName name="_333______________________________________________________________________________________________________________________________________________________________0_F" hidden="1">#REF!</definedName>
    <definedName name="_334_______________________________________________________________________________________________________________________________________________________________________S" hidden="1">[3]Sheet3!#REF!</definedName>
    <definedName name="_334______________________________________________________________________________________________________________________________________________________________0_S" hidden="1">#REF!</definedName>
    <definedName name="_335______________________________________________________________________________________________________________________________________________________________0_S" hidden="1">#REF!</definedName>
    <definedName name="_336_______________________________________________________________________________________________________________________________________________________________________S" hidden="1">#REF!</definedName>
    <definedName name="_336______________________________________________________________________________________________________________________________________________________________0\SM">'[4]#REF'!#REF!</definedName>
    <definedName name="_337____________________________________________________________________________________________________________________________________________________________0_0__123Grap" hidden="1">[1]공문!#REF!</definedName>
    <definedName name="_3377____________________________________________________________________________________123Grap" hidden="1">[1]공문!#REF!</definedName>
    <definedName name="_338______________________________________________________________________________________________________________________________________________________________________\LA">'[2]#REF'!#REF!</definedName>
    <definedName name="_338____________________________________________________________________________________________________________________________________________________________0_0_F" hidden="1">[3]Sheet3!#REF!</definedName>
    <definedName name="_339____________________________________________________________________________________________________________________________________________________________0_0_S" hidden="1">[3]Sheet3!#REF!</definedName>
    <definedName name="_34___________________________________________________________________________________________________________________________________________________________________________0_F" hidden="1">#REF!</definedName>
    <definedName name="_34__________________________________________________________________________________________________________________________________________________________________________0_0_S" hidden="1">[3]Sheet3!#REF!</definedName>
    <definedName name="_340______________________________________________________________________________________________________________________________________________________________________\MID">'[2]#REF'!#REF!</definedName>
    <definedName name="_340_______________________________________________________________________________________________________________________________________________________________123Grap" hidden="1">[1]공문!#REF!</definedName>
    <definedName name="_3405___________________________________________________________________________________F" hidden="1">#REF!</definedName>
    <definedName name="_3407___________________________________________________________________________________F" hidden="1">[3]Sheet3!#REF!</definedName>
    <definedName name="_341____________________________________________________________________________________________________________________________________________________________3__Crite">#REF!</definedName>
    <definedName name="_3414___________________________________________________________________________________S" hidden="1">#REF!</definedName>
    <definedName name="_3416___________________________________________________________________________________S" hidden="1">[3]Sheet3!#REF!</definedName>
    <definedName name="_3418___________________________________________________________________________________S" hidden="1">#REF!</definedName>
    <definedName name="_342______________________________________________________________________________________________________________________________________________________________________\SM">'[2]#REF'!#REF!</definedName>
    <definedName name="_342____________________________________________________________________________________________________________________________________________________________3__Criteria">#REF!</definedName>
    <definedName name="_3420__________________________________________________________________________________\LA">'[2]#REF'!#REF!</definedName>
    <definedName name="_3422__________________________________________________________________________________\MID">'[2]#REF'!#REF!</definedName>
    <definedName name="_3424__________________________________________________________________________________\SM">'[2]#REF'!#REF!</definedName>
    <definedName name="_3426_________________________________________________________________________________0_F" hidden="1">#REF!</definedName>
    <definedName name="_3428_________________________________________________________________________________0_S" hidden="1">#REF!</definedName>
    <definedName name="_343_______________________________________________________________________________________________________________________________________________________________F" hidden="1">#REF!</definedName>
    <definedName name="_3430_________________________________________________________________________________0_S" hidden="1">#REF!</definedName>
    <definedName name="_3432_________________________________________________________________________________0\SM">'[4]#REF'!#REF!</definedName>
    <definedName name="_3434_______________________________________________________________________________0_0__123Grap" hidden="1">[1]공문!#REF!</definedName>
    <definedName name="_3436_______________________________________________________________________________0_0_F" hidden="1">[3]Sheet3!#REF!</definedName>
    <definedName name="_3438_______________________________________________________________________________0_0_S" hidden="1">[3]Sheet3!#REF!</definedName>
    <definedName name="_344_____________________________________________________________________________________________________________________________________________________________________0_F" hidden="1">#REF!</definedName>
    <definedName name="_344_______________________________________________________________________________________________________________________________________________________________F" hidden="1">[3]Sheet3!#REF!</definedName>
    <definedName name="_3441_______________________________________________________________________________3__Crite">#REF!</definedName>
    <definedName name="_3443_______________________________________________________________________________3__Criteria">#REF!</definedName>
    <definedName name="_3449_______________________________________________________________________________G_0Extract">#REF!</definedName>
    <definedName name="_345____________________________________________________________________________________________________________________________________________________________G_0Extract">#REF!</definedName>
    <definedName name="_3451_______________________________________________________________________________G__Extr">#REF!</definedName>
    <definedName name="_3453_______________________________________________________________________________G__Extract">#REF!</definedName>
    <definedName name="_3455__________________________________________________________________________________ME">'[2]#REF'!#REF!</definedName>
    <definedName name="_3457__________________________________________________________________________________ME">'[2]#REF'!#REF!</definedName>
    <definedName name="_346_____________________________________________________________________________________________________________________________________________________________________0_S" hidden="1">#REF!</definedName>
    <definedName name="_346____________________________________________________________________________________________________________________________________________________________G__Extr">#REF!</definedName>
    <definedName name="_347____________________________________________________________________________________________________________________________________________________________G__Extract">#REF!</definedName>
    <definedName name="_348_____________________________________________________________________________________________________________________________________________________________________0_S" hidden="1">#REF!</definedName>
    <definedName name="_348_______________________________________________________________________________________________________________________________________________________________ME">'[2]#REF'!#REF!</definedName>
    <definedName name="_349_______________________________________________________________________________________________________________________________________________________________ME">'[2]#REF'!#REF!</definedName>
    <definedName name="_35___________________________________________________________________________________________________________________________________________________________________________0_S" hidden="1">#REF!</definedName>
    <definedName name="_350_____________________________________________________________________________________________________________________________________________________________________0\SM">'[4]#REF'!#REF!</definedName>
    <definedName name="_350_______________________________________________________________________________________________________________________________________________________________S" hidden="1">#REF!</definedName>
    <definedName name="_351_______________________________________________________________________________________________________________________________________________________________S" hidden="1">[3]Sheet3!#REF!</definedName>
    <definedName name="_3515________________________________________________________________________________123Grap" hidden="1">[1]공문!#REF!</definedName>
    <definedName name="_352___________________________________________________________________________________________________________________________________________________________________0_0__123Grap" hidden="1">[1]공문!#REF!</definedName>
    <definedName name="_352_______________________________________________________________________________________________________________________________________________________________S" hidden="1">#REF!</definedName>
    <definedName name="_353______________________________________________________________________________________________________________________________________________________________\LA">'[2]#REF'!#REF!</definedName>
    <definedName name="_354___________________________________________________________________________________________________________________________________________________________________0_0_F" hidden="1">[3]Sheet3!#REF!</definedName>
    <definedName name="_354______________________________________________________________________________________________________________________________________________________________\MID">'[2]#REF'!#REF!</definedName>
    <definedName name="_3543_______________________________________________________________________________F" hidden="1">#REF!</definedName>
    <definedName name="_3545_______________________________________________________________________________F" hidden="1">[3]Sheet3!#REF!</definedName>
    <definedName name="_355______________________________________________________________________________________________________________________________________________________________\SM">'[2]#REF'!#REF!</definedName>
    <definedName name="_3552_______________________________________________________________________________S" hidden="1">#REF!</definedName>
    <definedName name="_3554_______________________________________________________________________________S" hidden="1">[3]Sheet3!#REF!</definedName>
    <definedName name="_3556_______________________________________________________________________________S" hidden="1">#REF!</definedName>
    <definedName name="_3558______________________________________________________________________________\LA">'[2]#REF'!#REF!</definedName>
    <definedName name="_356___________________________________________________________________________________________________________________________________________________________________0_0_S" hidden="1">[3]Sheet3!#REF!</definedName>
    <definedName name="_356_____________________________________________________________________________________________________________________________________________________________0_F" hidden="1">#REF!</definedName>
    <definedName name="_3560______________________________________________________________________________\MID">'[2]#REF'!#REF!</definedName>
    <definedName name="_3562______________________________________________________________________________\SM">'[2]#REF'!#REF!</definedName>
    <definedName name="_3564_____________________________________________________________________________0_F" hidden="1">#REF!</definedName>
    <definedName name="_3566_____________________________________________________________________________0_S" hidden="1">#REF!</definedName>
    <definedName name="_3568_____________________________________________________________________________0_S" hidden="1">#REF!</definedName>
    <definedName name="_357_____________________________________________________________________________________________________________________________________________________________0_S" hidden="1">#REF!</definedName>
    <definedName name="_3570_____________________________________________________________________________0\SM">'[4]#REF'!#REF!</definedName>
    <definedName name="_3572___________________________________________________________________________0_0__123Grap" hidden="1">[1]공문!#REF!</definedName>
    <definedName name="_3574___________________________________________________________________________0_0_F" hidden="1">[3]Sheet3!#REF!</definedName>
    <definedName name="_3576___________________________________________________________________________0_0_S" hidden="1">[3]Sheet3!#REF!</definedName>
    <definedName name="_3579___________________________________________________________________________3__Crite">#REF!</definedName>
    <definedName name="_358______________________________________________________________________________________________________________________________________________________________________123Grap" hidden="1">[1]공문!#REF!</definedName>
    <definedName name="_358_____________________________________________________________________________________________________________________________________________________________0_S" hidden="1">#REF!</definedName>
    <definedName name="_3581___________________________________________________________________________3__Criteria">#REF!</definedName>
    <definedName name="_3587___________________________________________________________________________G_0Extract">#REF!</definedName>
    <definedName name="_3589___________________________________________________________________________G__Extr">#REF!</definedName>
    <definedName name="_359_____________________________________________________________________________________________________________________________________________________________0\SM">'[4]#REF'!#REF!</definedName>
    <definedName name="_3591___________________________________________________________________________G__Extract">#REF!</definedName>
    <definedName name="_3593______________________________________________________________________________ME">'[2]#REF'!#REF!</definedName>
    <definedName name="_3595______________________________________________________________________________ME">'[2]#REF'!#REF!</definedName>
    <definedName name="_36_____________________________________________________________________________________________________________________________________________________________________________123Grap" hidden="1">[1]공문!#REF!</definedName>
    <definedName name="_36___________________________________________________________________________________________________________________________________________________________________________0_S" hidden="1">#REF!</definedName>
    <definedName name="_360___________________________________________________________________________________________________________________________________________________________________3__Crite">#REF!</definedName>
    <definedName name="_360___________________________________________________________________________________________________________________________________________________________0_0__123Grap" hidden="1">[1]공문!#REF!</definedName>
    <definedName name="_361___________________________________________________________________________________________________________________________________________________________0_0_F" hidden="1">[3]Sheet3!#REF!</definedName>
    <definedName name="_362___________________________________________________________________________________________________________________________________________________________________3__Criteria">#REF!</definedName>
    <definedName name="_362___________________________________________________________________________________________________________________________________________________________0_0_S" hidden="1">[3]Sheet3!#REF!</definedName>
    <definedName name="_363______________________________________________________________________________________________________________________________________________________________123Grap" hidden="1">[1]공문!#REF!</definedName>
    <definedName name="_364______________________________________________________________________________________________________________________________________________________________________F" hidden="1">#REF!</definedName>
    <definedName name="_364___________________________________________________________________________________________________________________________________________________________3__Crite">#REF!</definedName>
    <definedName name="_365___________________________________________________________________________________________________________________________________________________________3__Criteria">#REF!</definedName>
    <definedName name="_3653____________________________________________________________________________123Grap" hidden="1">[1]공문!#REF!</definedName>
    <definedName name="_366______________________________________________________________________________________________________________________________________________________________________F" hidden="1">[3]Sheet3!#REF!</definedName>
    <definedName name="_366______________________________________________________________________________________________________________________________________________________________F" hidden="1">#REF!</definedName>
    <definedName name="_367______________________________________________________________________________________________________________________________________________________________F" hidden="1">[3]Sheet3!#REF!</definedName>
    <definedName name="_368___________________________________________________________________________________________________________________________________________________________________G_0Extract">#REF!</definedName>
    <definedName name="_368___________________________________________________________________________________________________________________________________________________________G_0Extract">#REF!</definedName>
    <definedName name="_3681___________________________________________________________________________F" hidden="1">#REF!</definedName>
    <definedName name="_3683___________________________________________________________________________F" hidden="1">[3]Sheet3!#REF!</definedName>
    <definedName name="_369___________________________________________________________________________________________________________________________________________________________G__Extr">#REF!</definedName>
    <definedName name="_3690___________________________________________________________________________S" hidden="1">#REF!</definedName>
    <definedName name="_3692___________________________________________________________________________S" hidden="1">[3]Sheet3!#REF!</definedName>
    <definedName name="_3694___________________________________________________________________________S" hidden="1">#REF!</definedName>
    <definedName name="_3696__________________________________________________________________________\LA">'[2]#REF'!#REF!</definedName>
    <definedName name="_3698__________________________________________________________________________\MID">'[2]#REF'!#REF!</definedName>
    <definedName name="_37___________________________________________________________________________________________________________________________________________________________________________0\SM">'[4]#REF'!#REF!</definedName>
    <definedName name="_370___________________________________________________________________________________________________________________________________________________________________G__Extr">#REF!</definedName>
    <definedName name="_370___________________________________________________________________________________________________________________________________________________________G__Extract">#REF!</definedName>
    <definedName name="_3700__________________________________________________________________________\SM">'[2]#REF'!#REF!</definedName>
    <definedName name="_3702_________________________________________________________________________0_F" hidden="1">#REF!</definedName>
    <definedName name="_3704_________________________________________________________________________0_S" hidden="1">#REF!</definedName>
    <definedName name="_3706_________________________________________________________________________0_S" hidden="1">#REF!</definedName>
    <definedName name="_3708_________________________________________________________________________0\SM">'[4]#REF'!#REF!</definedName>
    <definedName name="_371______________________________________________________________________________________________________________________________________________________________ME">'[2]#REF'!#REF!</definedName>
    <definedName name="_3710_______________________________________________________________________0_0__123Grap" hidden="1">[1]공문!#REF!</definedName>
    <definedName name="_3712_______________________________________________________________________0_0_F" hidden="1">[3]Sheet3!#REF!</definedName>
    <definedName name="_3714_______________________________________________________________________0_0_S" hidden="1">[3]Sheet3!#REF!</definedName>
    <definedName name="_3717_______________________________________________________________________3__Crite">#REF!</definedName>
    <definedName name="_3719_______________________________________________________________________3__Criteria">#REF!</definedName>
    <definedName name="_372___________________________________________________________________________________________________________________________________________________________________G__Extract">#REF!</definedName>
    <definedName name="_372______________________________________________________________________________________________________________________________________________________________ME">'[2]#REF'!#REF!</definedName>
    <definedName name="_3725_______________________________________________________________________G_0Extract">#REF!</definedName>
    <definedName name="_3727_______________________________________________________________________G__Extr">#REF!</definedName>
    <definedName name="_3729_______________________________________________________________________G__Extract">#REF!</definedName>
    <definedName name="_373______________________________________________________________________________________________________________________________________________________________S" hidden="1">#REF!</definedName>
    <definedName name="_3731__________________________________________________________________________ME">'[2]#REF'!#REF!</definedName>
    <definedName name="_3733__________________________________________________________________________ME">'[2]#REF'!#REF!</definedName>
    <definedName name="_374______________________________________________________________________________________________________________________________________________________________________ME">'[2]#REF'!#REF!</definedName>
    <definedName name="_374______________________________________________________________________________________________________________________________________________________________S" hidden="1">[3]Sheet3!#REF!</definedName>
    <definedName name="_375______________________________________________________________________________________________________________________________________________________________S" hidden="1">#REF!</definedName>
    <definedName name="_376______________________________________________________________________________________________________________________________________________________________________ME">'[2]#REF'!#REF!</definedName>
    <definedName name="_376_____________________________________________________________________________________________________________________________________________________________\LA">'[2]#REF'!#REF!</definedName>
    <definedName name="_377_____________________________________________________________________________________________________________________________________________________________\MID">'[2]#REF'!#REF!</definedName>
    <definedName name="_378______________________________________________________________________________________________________________________________________________________________________S" hidden="1">#REF!</definedName>
    <definedName name="_378_____________________________________________________________________________________________________________________________________________________________\SM">'[2]#REF'!#REF!</definedName>
    <definedName name="_379____________________________________________________________________________________________________________________________________________________________0_F" hidden="1">#REF!</definedName>
    <definedName name="_3791________________________________________________________________________123Grap" hidden="1">[1]공문!#REF!</definedName>
    <definedName name="_38__________________________________________________________________________________________________________________________________________________________________________3__Crite">#REF!</definedName>
    <definedName name="_38_________________________________________________________________________________________________________________________________________________________________________0_0__123Grap" hidden="1">[1]공문!#REF!</definedName>
    <definedName name="_380______________________________________________________________________________________________________________________________________________________________________S" hidden="1">[3]Sheet3!#REF!</definedName>
    <definedName name="_380____________________________________________________________________________________________________________________________________________________________0_S" hidden="1">#REF!</definedName>
    <definedName name="_381____________________________________________________________________________________________________________________________________________________________0_S" hidden="1">#REF!</definedName>
    <definedName name="_3819_______________________________________________________________________F" hidden="1">#REF!</definedName>
    <definedName name="_382______________________________________________________________________________________________________________________________________________________________________S" hidden="1">#REF!</definedName>
    <definedName name="_382____________________________________________________________________________________________________________________________________________________________0\SM">'[4]#REF'!#REF!</definedName>
    <definedName name="_3821_______________________________________________________________________F" hidden="1">[3]Sheet3!#REF!</definedName>
    <definedName name="_3828_______________________________________________________________________S" hidden="1">#REF!</definedName>
    <definedName name="_383__________________________________________________________________________________________________________________________________________________________0_0__123Grap" hidden="1">[1]공문!#REF!</definedName>
    <definedName name="_3830_______________________________________________________________________S" hidden="1">[3]Sheet3!#REF!</definedName>
    <definedName name="_3832_______________________________________________________________________S" hidden="1">#REF!</definedName>
    <definedName name="_3834______________________________________________________________________\LA">'[2]#REF'!#REF!</definedName>
    <definedName name="_3836______________________________________________________________________\MID">'[2]#REF'!#REF!</definedName>
    <definedName name="_3838______________________________________________________________________\SM">'[2]#REF'!#REF!</definedName>
    <definedName name="_384_____________________________________________________________________________________________________________________________________________________________________\LA">'[2]#REF'!#REF!</definedName>
    <definedName name="_384__________________________________________________________________________________________________________________________________________________________0_0_F" hidden="1">[3]Sheet3!#REF!</definedName>
    <definedName name="_3840_____________________________________________________________________0_F" hidden="1">#REF!</definedName>
    <definedName name="_3842_____________________________________________________________________0_S" hidden="1">#REF!</definedName>
    <definedName name="_3844_____________________________________________________________________0_S" hidden="1">#REF!</definedName>
    <definedName name="_3846_____________________________________________________________________0\SM">'[4]#REF'!#REF!</definedName>
    <definedName name="_3848___________________________________________________________________0_0__123Grap" hidden="1">[1]공문!#REF!</definedName>
    <definedName name="_385__________________________________________________________________________________________________________________________________________________________0_0_S" hidden="1">[3]Sheet3!#REF!</definedName>
    <definedName name="_3850___________________________________________________________________0_0_F" hidden="1">[3]Sheet3!#REF!</definedName>
    <definedName name="_3852___________________________________________________________________0_0_S" hidden="1">[3]Sheet3!#REF!</definedName>
    <definedName name="_3855___________________________________________________________________3__Crite">#REF!</definedName>
    <definedName name="_3857___________________________________________________________________3__Criteria">#REF!</definedName>
    <definedName name="_386_____________________________________________________________________________________________________________________________________________________________________\MID">'[2]#REF'!#REF!</definedName>
    <definedName name="_386_____________________________________________________________________________________________________________________________________________________________123Grap" hidden="1">[1]공문!#REF!</definedName>
    <definedName name="_3863___________________________________________________________________G_0Extract">#REF!</definedName>
    <definedName name="_3865___________________________________________________________________G__Extr">#REF!</definedName>
    <definedName name="_3867___________________________________________________________________G__Extract">#REF!</definedName>
    <definedName name="_3869______________________________________________________________________ME">'[2]#REF'!#REF!</definedName>
    <definedName name="_387__________________________________________________________________________________________________________________________________________________________3__Crite">#REF!</definedName>
    <definedName name="_3871______________________________________________________________________ME">'[2]#REF'!#REF!</definedName>
    <definedName name="_388_____________________________________________________________________________________________________________________________________________________________________\SM">'[2]#REF'!#REF!</definedName>
    <definedName name="_388__________________________________________________________________________________________________________________________________________________________3__Criteria">#REF!</definedName>
    <definedName name="_389_____________________________________________________________________________________________________________________________________________________________F" hidden="1">#REF!</definedName>
    <definedName name="_39_________________________________________________________________________________________________________________________________________________________________________0_0_F" hidden="1">[3]Sheet3!#REF!</definedName>
    <definedName name="_390____________________________________________________________________________________________________________________________________________________________________0_F" hidden="1">#REF!</definedName>
    <definedName name="_390_____________________________________________________________________________________________________________________________________________________________F" hidden="1">[3]Sheet3!#REF!</definedName>
    <definedName name="_391__________________________________________________________________________________________________________________________________________________________G_0Extract">#REF!</definedName>
    <definedName name="_392____________________________________________________________________________________________________________________________________________________________________0_S" hidden="1">#REF!</definedName>
    <definedName name="_392__________________________________________________________________________________________________________________________________________________________G__Extr">#REF!</definedName>
    <definedName name="_3929____________________________________________________________________123Grap" hidden="1">[1]공문!#REF!</definedName>
    <definedName name="_393__________________________________________________________________________________________________________________________________________________________G__Extract">#REF!</definedName>
    <definedName name="_394____________________________________________________________________________________________________________________________________________________________________0_S" hidden="1">#REF!</definedName>
    <definedName name="_394_____________________________________________________________________________________________________________________________________________________________ME">'[2]#REF'!#REF!</definedName>
    <definedName name="_395_____________________________________________________________________________________________________________________________________________________________ME">'[2]#REF'!#REF!</definedName>
    <definedName name="_3957___________________________________________________________________F" hidden="1">#REF!</definedName>
    <definedName name="_3959___________________________________________________________________F" hidden="1">[3]Sheet3!#REF!</definedName>
    <definedName name="_396____________________________________________________________________________________________________________________________________________________________________0\SM">'[4]#REF'!#REF!</definedName>
    <definedName name="_396_____________________________________________________________________________________________________________________________________________________________S" hidden="1">#REF!</definedName>
    <definedName name="_3966___________________________________________________________________S" hidden="1">#REF!</definedName>
    <definedName name="_3968___________________________________________________________________S" hidden="1">[3]Sheet3!#REF!</definedName>
    <definedName name="_397_____________________________________________________________________________________________________________________________________________________________S" hidden="1">[3]Sheet3!#REF!</definedName>
    <definedName name="_3970___________________________________________________________________S" hidden="1">#REF!</definedName>
    <definedName name="_3972__________________________________________________________________\LA">'[2]#REF'!#REF!</definedName>
    <definedName name="_3974__________________________________________________________________\MID">'[2]#REF'!#REF!</definedName>
    <definedName name="_3976__________________________________________________________________\SM">'[2]#REF'!#REF!</definedName>
    <definedName name="_3978_________________________________________________________________0_F" hidden="1">#REF!</definedName>
    <definedName name="_398__________________________________________________________________________________________________________________________________________________________________0_0__123Grap" hidden="1">[1]공문!#REF!</definedName>
    <definedName name="_398_____________________________________________________________________________________________________________________________________________________________S" hidden="1">#REF!</definedName>
    <definedName name="_3980_________________________________________________________________0_S" hidden="1">#REF!</definedName>
    <definedName name="_3982_________________________________________________________________0_S" hidden="1">#REF!</definedName>
    <definedName name="_3984_________________________________________________________________0\SM">'[4]#REF'!#REF!</definedName>
    <definedName name="_3986_______________________________________________________________0_0__123Grap" hidden="1">[1]공문!#REF!</definedName>
    <definedName name="_3988_______________________________________________________________0_0_F" hidden="1">[3]Sheet3!#REF!</definedName>
    <definedName name="_399____________________________________________________________________________________________________________________________________________________________\LA">'[2]#REF'!#REF!</definedName>
    <definedName name="_3990_______________________________________________________________0_0_S" hidden="1">[3]Sheet3!#REF!</definedName>
    <definedName name="_3993_______________________________________________________________3__Crite">#REF!</definedName>
    <definedName name="_3995_______________________________________________________________3__Criteria">#REF!</definedName>
    <definedName name="_4______________________________________________________________________________________________________________________________________________________________________________123Grap" hidden="1">[1]공문!#REF!</definedName>
    <definedName name="_4______________________________________________________________________________________________________________________________________________________________________________F" hidden="1">[3]Sheet3!#REF!</definedName>
    <definedName name="_40__________________________________________________________________________________________________________________________________________________________________________3__Criteria">#REF!</definedName>
    <definedName name="_40_________________________________________________________________________________________________________________________________________________________________________0_0_S" hidden="1">[3]Sheet3!#REF!</definedName>
    <definedName name="_400__________________________________________________________________________________________________________________________________________________________________0_0_F" hidden="1">[3]Sheet3!#REF!</definedName>
    <definedName name="_400____________________________________________________________________________________________________________________________________________________________\MID">'[2]#REF'!#REF!</definedName>
    <definedName name="_4001_______________________________________________________________G_0Extract">#REF!</definedName>
    <definedName name="_4003_______________________________________________________________G__Extr">#REF!</definedName>
    <definedName name="_4005_______________________________________________________________G__Extract">#REF!</definedName>
    <definedName name="_4007__________________________________________________________________ME">'[2]#REF'!#REF!</definedName>
    <definedName name="_4009__________________________________________________________________ME">'[2]#REF'!#REF!</definedName>
    <definedName name="_401____________________________________________________________________________________________________________________________________________________________\SM">'[2]#REF'!#REF!</definedName>
    <definedName name="_402__________________________________________________________________________________________________________________________________________________________________0_0_S" hidden="1">[3]Sheet3!#REF!</definedName>
    <definedName name="_402___________________________________________________________________________________________________________________________________________________________0_F" hidden="1">#REF!</definedName>
    <definedName name="_403___________________________________________________________________________________________________________________________________________________________0_S" hidden="1">#REF!</definedName>
    <definedName name="_4037_________________________________________________________________123Grap" hidden="1">[1]공문!#REF!</definedName>
    <definedName name="_404_____________________________________________________________________________________________________________________________________________________________________123Grap" hidden="1">[1]공문!#REF!</definedName>
    <definedName name="_404___________________________________________________________________________________________________________________________________________________________0_S" hidden="1">#REF!</definedName>
    <definedName name="_405___________________________________________________________________________________________________________________________________________________________0\SM">'[4]#REF'!#REF!</definedName>
    <definedName name="_406__________________________________________________________________________________________________________________________________________________________________3__Crite">#REF!</definedName>
    <definedName name="_406_________________________________________________________________________________________________________________________________________________________0_0__123Grap" hidden="1">[1]공문!#REF!</definedName>
    <definedName name="_407_________________________________________________________________________________________________________________________________________________________0_0_F" hidden="1">[3]Sheet3!#REF!</definedName>
    <definedName name="_4072________________________________________________________________F" hidden="1">#REF!</definedName>
    <definedName name="_4074________________________________________________________________F" hidden="1">[3]Sheet3!#REF!</definedName>
    <definedName name="_408__________________________________________________________________________________________________________________________________________________________________3__Criteria">#REF!</definedName>
    <definedName name="_408_________________________________________________________________________________________________________________________________________________________0_0_S" hidden="1">[3]Sheet3!#REF!</definedName>
    <definedName name="_4081________________________________________________________________S" hidden="1">#REF!</definedName>
    <definedName name="_4083________________________________________________________________S" hidden="1">[3]Sheet3!#REF!</definedName>
    <definedName name="_4085________________________________________________________________S" hidden="1">#REF!</definedName>
    <definedName name="_4087_______________________________________________________________\LA">'[2]#REF'!#REF!</definedName>
    <definedName name="_4089_______________________________________________________________\MID">'[2]#REF'!#REF!</definedName>
    <definedName name="_409____________________________________________________________________________________________________________________________________________________________123Grap" hidden="1">[1]공문!#REF!</definedName>
    <definedName name="_4091_______________________________________________________________\SM">'[2]#REF'!#REF!</definedName>
    <definedName name="_4093______________________________________________________________0_F" hidden="1">#REF!</definedName>
    <definedName name="_4095______________________________________________________________0_S" hidden="1">#REF!</definedName>
    <definedName name="_4097______________________________________________________________0_S" hidden="1">#REF!</definedName>
    <definedName name="_4099______________________________________________________________0\SM">'[4]#REF'!#REF!</definedName>
    <definedName name="_41____________________________________________________________________________________________________________________________________________________________________________123Grap" hidden="1">[1]공문!#REF!</definedName>
    <definedName name="_410_____________________________________________________________________________________________________________________________________________________________________F" hidden="1">#REF!</definedName>
    <definedName name="_410_________________________________________________________________________________________________________________________________________________________3__Crite">#REF!</definedName>
    <definedName name="_4101____________________________________________________________0_0__123Grap" hidden="1">[1]공문!#REF!</definedName>
    <definedName name="_4103____________________________________________________________0_0_F" hidden="1">[3]Sheet3!#REF!</definedName>
    <definedName name="_4105____________________________________________________________0_0_S" hidden="1">[3]Sheet3!#REF!</definedName>
    <definedName name="_4108____________________________________________________________3__Crite">#REF!</definedName>
    <definedName name="_411_________________________________________________________________________________________________________________________________________________________3__Criteria">#REF!</definedName>
    <definedName name="_4110____________________________________________________________3__Criteria">#REF!</definedName>
    <definedName name="_4116____________________________________________________________G_0Extract">#REF!</definedName>
    <definedName name="_4118____________________________________________________________G__Extr">#REF!</definedName>
    <definedName name="_412_____________________________________________________________________________________________________________________________________________________________________F" hidden="1">[3]Sheet3!#REF!</definedName>
    <definedName name="_412____________________________________________________________________________________________________________________________________________________________F" hidden="1">#REF!</definedName>
    <definedName name="_4120____________________________________________________________G__Extract">#REF!</definedName>
    <definedName name="_4122_______________________________________________________________ME">'[2]#REF'!#REF!</definedName>
    <definedName name="_4124_______________________________________________________________ME">'[2]#REF'!#REF!</definedName>
    <definedName name="_413____________________________________________________________________________________________________________________________________________________________F" hidden="1">[3]Sheet3!#REF!</definedName>
    <definedName name="_414__________________________________________________________________________________________________________________________________________________________________G_0Extract">#REF!</definedName>
    <definedName name="_414_________________________________________________________________________________________________________________________________________________________G_0Extract">#REF!</definedName>
    <definedName name="_415_________________________________________________________________________________________________________________________________________________________G__Extr">#REF!</definedName>
    <definedName name="_4152______________________________________________________________123Grap" hidden="1">[1]공문!#REF!</definedName>
    <definedName name="_416__________________________________________________________________________________________________________________________________________________________________G__Extr">#REF!</definedName>
    <definedName name="_416_________________________________________________________________________________________________________________________________________________________G__Extract">#REF!</definedName>
    <definedName name="_417____________________________________________________________________________________________________________________________________________________________ME">'[2]#REF'!#REF!</definedName>
    <definedName name="_418__________________________________________________________________________________________________________________________________________________________________G__Extract">#REF!</definedName>
    <definedName name="_418____________________________________________________________________________________________________________________________________________________________ME">'[2]#REF'!#REF!</definedName>
    <definedName name="_4187_____________________________________________________________F" hidden="1">#REF!</definedName>
    <definedName name="_4189_____________________________________________________________F" hidden="1">[3]Sheet3!#REF!</definedName>
    <definedName name="_419____________________________________________________________________________________________________________________________________________________________S" hidden="1">#REF!</definedName>
    <definedName name="_4196_____________________________________________________________S" hidden="1">#REF!</definedName>
    <definedName name="_4198_____________________________________________________________S" hidden="1">[3]Sheet3!#REF!</definedName>
    <definedName name="_42_____________________________________________________________________________________________________________________________________________________________________________F" hidden="1">#REF!</definedName>
    <definedName name="_42_________________________________________________________________________________________________________________________________________________________________________3__Crite">#REF!</definedName>
    <definedName name="_420_____________________________________________________________________________________________________________________________________________________________________ME">'[2]#REF'!#REF!</definedName>
    <definedName name="_420____________________________________________________________________________________________________________________________________________________________S" hidden="1">[3]Sheet3!#REF!</definedName>
    <definedName name="_4200_____________________________________________________________S" hidden="1">#REF!</definedName>
    <definedName name="_4202____________________________________________________________\LA">'[2]#REF'!#REF!</definedName>
    <definedName name="_4204____________________________________________________________\MID">'[2]#REF'!#REF!</definedName>
    <definedName name="_4206____________________________________________________________\SM">'[2]#REF'!#REF!</definedName>
    <definedName name="_4208___________________________________________________________0_F" hidden="1">#REF!</definedName>
    <definedName name="_421____________________________________________________________________________________________________________________________________________________________S" hidden="1">#REF!</definedName>
    <definedName name="_4210___________________________________________________________0_S" hidden="1">#REF!</definedName>
    <definedName name="_4212___________________________________________________________0_S" hidden="1">#REF!</definedName>
    <definedName name="_4214___________________________________________________________0\SM">'[4]#REF'!#REF!</definedName>
    <definedName name="_4216_________________________________________________________0_0__123Grap" hidden="1">[1]공문!#REF!</definedName>
    <definedName name="_4218_________________________________________________________0_0_F" hidden="1">[3]Sheet3!#REF!</definedName>
    <definedName name="_422_____________________________________________________________________________________________________________________________________________________________________ME">'[2]#REF'!#REF!</definedName>
    <definedName name="_422___________________________________________________________________________________________________________________________________________________________\LA">'[2]#REF'!#REF!</definedName>
    <definedName name="_4220_________________________________________________________0_0_S" hidden="1">[3]Sheet3!#REF!</definedName>
    <definedName name="_4223_________________________________________________________3__Crite">#REF!</definedName>
    <definedName name="_4225_________________________________________________________3__Criteria">#REF!</definedName>
    <definedName name="_423___________________________________________________________________________________________________________________________________________________________\MID">'[2]#REF'!#REF!</definedName>
    <definedName name="_4231_________________________________________________________G_0Extract">#REF!</definedName>
    <definedName name="_4233_________________________________________________________G__Extr">#REF!</definedName>
    <definedName name="_4235_________________________________________________________G__Extract">#REF!</definedName>
    <definedName name="_4237____________________________________________________________ME">'[2]#REF'!#REF!</definedName>
    <definedName name="_4239____________________________________________________________ME">'[2]#REF'!#REF!</definedName>
    <definedName name="_424_____________________________________________________________________________________________________________________________________________________________________S" hidden="1">#REF!</definedName>
    <definedName name="_424___________________________________________________________________________________________________________________________________________________________\SM">'[2]#REF'!#REF!</definedName>
    <definedName name="_425__________________________________________________________________________________________________________________________________________________________0_F" hidden="1">#REF!</definedName>
    <definedName name="_426_____________________________________________________________________________________________________________________________________________________________________S" hidden="1">[3]Sheet3!#REF!</definedName>
    <definedName name="_426__________________________________________________________________________________________________________________________________________________________0_S" hidden="1">#REF!</definedName>
    <definedName name="_4267___________________________________________________________123Grap" hidden="1">[1]공문!#REF!</definedName>
    <definedName name="_427__________________________________________________________________________________________________________________________________________________________0_S" hidden="1">#REF!</definedName>
    <definedName name="_428_____________________________________________________________________________________________________________________________________________________________________S" hidden="1">#REF!</definedName>
    <definedName name="_428__________________________________________________________________________________________________________________________________________________________0\SM">'[4]#REF'!#REF!</definedName>
    <definedName name="_429________________________________________________________________________________________________________________________________________________________0_0__123Grap" hidden="1">[1]공문!#REF!</definedName>
    <definedName name="_43_________________________________________________________________________________________________________________________________________________________________________3__Criteria">#REF!</definedName>
    <definedName name="_430____________________________________________________________________________________________________________________________________________________________________\LA">'[2]#REF'!#REF!</definedName>
    <definedName name="_430________________________________________________________________________________________________________________________________________________________0_0_F" hidden="1">[3]Sheet3!#REF!</definedName>
    <definedName name="_4302__________________________________________________________F" hidden="1">#REF!</definedName>
    <definedName name="_4304__________________________________________________________F" hidden="1">[3]Sheet3!#REF!</definedName>
    <definedName name="_431________________________________________________________________________________________________________________________________________________________0_0_S" hidden="1">[3]Sheet3!#REF!</definedName>
    <definedName name="_4311__________________________________________________________S" hidden="1">#REF!</definedName>
    <definedName name="_4313__________________________________________________________S" hidden="1">[3]Sheet3!#REF!</definedName>
    <definedName name="_4315__________________________________________________________S" hidden="1">#REF!</definedName>
    <definedName name="_4317_________________________________________________________\LA">'[2]#REF'!#REF!</definedName>
    <definedName name="_4319_________________________________________________________\MID">'[2]#REF'!#REF!</definedName>
    <definedName name="_432____________________________________________________________________________________________________________________________________________________________________\MID">'[2]#REF'!#REF!</definedName>
    <definedName name="_432___________________________________________________________________________________________________________________________________________________________123Grap" hidden="1">[1]공문!#REF!</definedName>
    <definedName name="_4321_________________________________________________________\SM">'[2]#REF'!#REF!</definedName>
    <definedName name="_4323________________________________________________________0_F" hidden="1">#REF!</definedName>
    <definedName name="_4325________________________________________________________0_S" hidden="1">#REF!</definedName>
    <definedName name="_4327________________________________________________________0_S" hidden="1">#REF!</definedName>
    <definedName name="_4329________________________________________________________0\SM">'[4]#REF'!#REF!</definedName>
    <definedName name="_433________________________________________________________________________________________________________________________________________________________3__Crite">#REF!</definedName>
    <definedName name="_4331______________________________________________________0_0__123Grap" hidden="1">[1]공문!#REF!</definedName>
    <definedName name="_4333______________________________________________________0_0_F" hidden="1">[3]Sheet3!#REF!</definedName>
    <definedName name="_4335______________________________________________________0_0_S" hidden="1">[3]Sheet3!#REF!</definedName>
    <definedName name="_4338______________________________________________________3__Crite">#REF!</definedName>
    <definedName name="_434____________________________________________________________________________________________________________________________________________________________________\SM">'[2]#REF'!#REF!</definedName>
    <definedName name="_434________________________________________________________________________________________________________________________________________________________3__Criteria">#REF!</definedName>
    <definedName name="_4340______________________________________________________3__Criteria">#REF!</definedName>
    <definedName name="_4346______________________________________________________G_0Extract">#REF!</definedName>
    <definedName name="_4348______________________________________________________G__Extr">#REF!</definedName>
    <definedName name="_435___________________________________________________________________________________________________________________________________________________________F" hidden="1">#REF!</definedName>
    <definedName name="_4350______________________________________________________G__Extract">#REF!</definedName>
    <definedName name="_4352_________________________________________________________ME">'[2]#REF'!#REF!</definedName>
    <definedName name="_4354_________________________________________________________ME">'[2]#REF'!#REF!</definedName>
    <definedName name="_436___________________________________________________________________________________________________________________________________________________________________0_F" hidden="1">#REF!</definedName>
    <definedName name="_436___________________________________________________________________________________________________________________________________________________________F" hidden="1">[3]Sheet3!#REF!</definedName>
    <definedName name="_437________________________________________________________________________________________________________________________________________________________G_0Extract">#REF!</definedName>
    <definedName name="_438___________________________________________________________________________________________________________________________________________________________________0_S" hidden="1">#REF!</definedName>
    <definedName name="_438________________________________________________________________________________________________________________________________________________________G__Extr">#REF!</definedName>
    <definedName name="_439________________________________________________________________________________________________________________________________________________________G__Extract">#REF!</definedName>
    <definedName name="_44_____________________________________________________________________________________________________________________________________________________________________________F" hidden="1">[3]Sheet3!#REF!</definedName>
    <definedName name="_44____________________________________________________________________________________________________________________________________________________________________________F" hidden="1">#REF!</definedName>
    <definedName name="_440___________________________________________________________________________________________________________________________________________________________________0_S" hidden="1">#REF!</definedName>
    <definedName name="_440___________________________________________________________________________________________________________________________________________________________ME">'[2]#REF'!#REF!</definedName>
    <definedName name="_441___________________________________________________________________________________________________________________________________________________________ME">'[2]#REF'!#REF!</definedName>
    <definedName name="_442___________________________________________________________________________________________________________________________________________________________________0\SM">'[4]#REF'!#REF!</definedName>
    <definedName name="_442___________________________________________________________________________________________________________________________________________________________S" hidden="1">#REF!</definedName>
    <definedName name="_443___________________________________________________________________________________________________________________________________________________________S" hidden="1">[3]Sheet3!#REF!</definedName>
    <definedName name="_444_________________________________________________________________________________________________________________________________________________________________0_0__123Grap" hidden="1">[1]공문!#REF!</definedName>
    <definedName name="_444___________________________________________________________________________________________________________________________________________________________S" hidden="1">#REF!</definedName>
    <definedName name="_445__________________________________________________________________________________________________________________________________________________________\LA">'[2]#REF'!#REF!</definedName>
    <definedName name="_446_________________________________________________________________________________________________________________________________________________________________0_0_F" hidden="1">[3]Sheet3!#REF!</definedName>
    <definedName name="_446__________________________________________________________________________________________________________________________________________________________\MID">'[2]#REF'!#REF!</definedName>
    <definedName name="_447__________________________________________________________________________________________________________________________________________________________\SM">'[2]#REF'!#REF!</definedName>
    <definedName name="_448_________________________________________________________________________________________________________________________________________________________________0_0_S" hidden="1">[3]Sheet3!#REF!</definedName>
    <definedName name="_448_________________________________________________________________________________________________________________________________________________________0_F" hidden="1">#REF!</definedName>
    <definedName name="_449_________________________________________________________________________________________________________________________________________________________0_S" hidden="1">#REF!</definedName>
    <definedName name="_45____________________________________________________________________________________________________________________________________________________________________________F" hidden="1">[3]Sheet3!#REF!</definedName>
    <definedName name="_450____________________________________________________________________________________________________________________________________________________________________123Grap" hidden="1">[1]공문!#REF!</definedName>
    <definedName name="_450_________________________________________________________________________________________________________________________________________________________0_S" hidden="1">#REF!</definedName>
    <definedName name="_451_________________________________________________________________________________________________________________________________________________________0\SM">'[4]#REF'!#REF!</definedName>
    <definedName name="_452_________________________________________________________________________________________________________________________________________________________________3__Crite">#REF!</definedName>
    <definedName name="_452_______________________________________________________________________________________________________________________________________________________0_0__123Grap" hidden="1">[1]공문!#REF!</definedName>
    <definedName name="_453_______________________________________________________________________________________________________________________________________________________0_0_F" hidden="1">[3]Sheet3!#REF!</definedName>
    <definedName name="_454_________________________________________________________________________________________________________________________________________________________________3__Criteria">#REF!</definedName>
    <definedName name="_454_______________________________________________________________________________________________________________________________________________________0_0_S" hidden="1">[3]Sheet3!#REF!</definedName>
    <definedName name="_455__________________________________________________________________________________________________________________________________________________________123Grap" hidden="1">[1]공문!#REF!</definedName>
    <definedName name="_456____________________________________________________________________________________________________________________________________________________________________F" hidden="1">#REF!</definedName>
    <definedName name="_456_______________________________________________________________________________________________________________________________________________________3__Crite">#REF!</definedName>
    <definedName name="_457_______________________________________________________________________________________________________________________________________________________3__Criteria">#REF!</definedName>
    <definedName name="_458____________________________________________________________________________________________________________________________________________________________________F" hidden="1">[3]Sheet3!#REF!</definedName>
    <definedName name="_458__________________________________________________________________________________________________________________________________________________________F" hidden="1">#REF!</definedName>
    <definedName name="_459__________________________________________________________________________________________________________________________________________________________F" hidden="1">[3]Sheet3!#REF!</definedName>
    <definedName name="_46__________________________________________________________________________________________________________________________________________________________________________G_0Extract">#REF!</definedName>
    <definedName name="_46_________________________________________________________________________________________________________________________________________________________________________G_0Extract">#REF!</definedName>
    <definedName name="_460_________________________________________________________________________________________________________________________________________________________________G_0Extract">#REF!</definedName>
    <definedName name="_460_______________________________________________________________________________________________________________________________________________________G_0Extract">#REF!</definedName>
    <definedName name="_461_______________________________________________________________________________________________________________________________________________________G__Extr">#REF!</definedName>
    <definedName name="_462_________________________________________________________________________________________________________________________________________________________________G__Extr">#REF!</definedName>
    <definedName name="_462_______________________________________________________________________________________________________________________________________________________G__Extract">#REF!</definedName>
    <definedName name="_463__________________________________________________________________________________________________________________________________________________________ME">'[2]#REF'!#REF!</definedName>
    <definedName name="_464_________________________________________________________________________________________________________________________________________________________________G__Extract">#REF!</definedName>
    <definedName name="_464__________________________________________________________________________________________________________________________________________________________ME">'[2]#REF'!#REF!</definedName>
    <definedName name="_465__________________________________________________________________________________________________________________________________________________________S" hidden="1">#REF!</definedName>
    <definedName name="_466____________________________________________________________________________________________________________________________________________________________________ME">'[2]#REF'!#REF!</definedName>
    <definedName name="_466__________________________________________________________________________________________________________________________________________________________S" hidden="1">[3]Sheet3!#REF!</definedName>
    <definedName name="_467__________________________________________________________________________________________________________________________________________________________S" hidden="1">#REF!</definedName>
    <definedName name="_468____________________________________________________________________________________________________________________________________________________________________ME">'[2]#REF'!#REF!</definedName>
    <definedName name="_468_________________________________________________________________________________________________________________________________________________________\LA">'[2]#REF'!#REF!</definedName>
    <definedName name="_469_________________________________________________________________________________________________________________________________________________________\MID">'[2]#REF'!#REF!</definedName>
    <definedName name="_47_________________________________________________________________________________________________________________________________________________________________________G__Extr">#REF!</definedName>
    <definedName name="_470____________________________________________________________________________________________________________________________________________________________________S" hidden="1">#REF!</definedName>
    <definedName name="_470_________________________________________________________________________________________________________________________________________________________\SM">'[2]#REF'!#REF!</definedName>
    <definedName name="_471________________________________________________________________________________________________________________________________________________________0_F" hidden="1">#REF!</definedName>
    <definedName name="_472____________________________________________________________________________________________________________________________________________________________________S" hidden="1">[3]Sheet3!#REF!</definedName>
    <definedName name="_472________________________________________________________________________________________________________________________________________________________0_S" hidden="1">#REF!</definedName>
    <definedName name="_473________________________________________________________________________________________________________________________________________________________0_S" hidden="1">#REF!</definedName>
    <definedName name="_474____________________________________________________________________________________________________________________________________________________________________S" hidden="1">#REF!</definedName>
    <definedName name="_474________________________________________________________________________________________________________________________________________________________0\SM">'[4]#REF'!#REF!</definedName>
    <definedName name="_475______________________________________________________________________________________________________________________________________________________0_0__123Grap" hidden="1">[1]공문!#REF!</definedName>
    <definedName name="_476___________________________________________________________________________________________________________________________________________________________________\LA">'[2]#REF'!#REF!</definedName>
    <definedName name="_476______________________________________________________________________________________________________________________________________________________0_0_F" hidden="1">[3]Sheet3!#REF!</definedName>
    <definedName name="_477______________________________________________________________________________________________________________________________________________________0_0_S" hidden="1">[3]Sheet3!#REF!</definedName>
    <definedName name="_478___________________________________________________________________________________________________________________________________________________________________\MID">'[2]#REF'!#REF!</definedName>
    <definedName name="_478_________________________________________________________________________________________________________________________________________________________123Grap" hidden="1">[1]공문!#REF!</definedName>
    <definedName name="_479______________________________________________________________________________________________________________________________________________________3__Crite">#REF!</definedName>
    <definedName name="_48__________________________________________________________________________________________________________________________________________________________________________G__Extr">#REF!</definedName>
    <definedName name="_48_________________________________________________________________________________________________________________________________________________________________________G__Extract">#REF!</definedName>
    <definedName name="_480___________________________________________________________________________________________________________________________________________________________________\SM">'[2]#REF'!#REF!</definedName>
    <definedName name="_480______________________________________________________________________________________________________________________________________________________3__Criteria">#REF!</definedName>
    <definedName name="_481_________________________________________________________________________________________________________________________________________________________F" hidden="1">#REF!</definedName>
    <definedName name="_482__________________________________________________________________________________________________________________________________________________________________0_F" hidden="1">#REF!</definedName>
    <definedName name="_482_________________________________________________________________________________________________________________________________________________________F" hidden="1">[3]Sheet3!#REF!</definedName>
    <definedName name="_483______________________________________________________________________________________________________________________________________________________G_0Extract">#REF!</definedName>
    <definedName name="_484__________________________________________________________________________________________________________________________________________________________________0_S" hidden="1">#REF!</definedName>
    <definedName name="_484______________________________________________________________________________________________________________________________________________________G__Extr">#REF!</definedName>
    <definedName name="_485______________________________________________________________________________________________________________________________________________________G__Extract">#REF!</definedName>
    <definedName name="_486__________________________________________________________________________________________________________________________________________________________________0_S" hidden="1">#REF!</definedName>
    <definedName name="_486_________________________________________________________________________________________________________________________________________________________ME">'[2]#REF'!#REF!</definedName>
    <definedName name="_487_________________________________________________________________________________________________________________________________________________________ME">'[2]#REF'!#REF!</definedName>
    <definedName name="_488__________________________________________________________________________________________________________________________________________________________________0\SM">'[4]#REF'!#REF!</definedName>
    <definedName name="_488_________________________________________________________________________________________________________________________________________________________S" hidden="1">#REF!</definedName>
    <definedName name="_489_________________________________________________________________________________________________________________________________________________________S" hidden="1">[3]Sheet3!#REF!</definedName>
    <definedName name="_49____________________________________________________________________________________________________________________________________________________________________________ME">'[2]#REF'!#REF!</definedName>
    <definedName name="_490________________________________________________________________________________________________________________________________________________________________0_0__123Grap" hidden="1">[1]공문!#REF!</definedName>
    <definedName name="_490_________________________________________________________________________________________________________________________________________________________S" hidden="1">#REF!</definedName>
    <definedName name="_491________________________________________________________________________________________________________________________________________________________\LA">'[2]#REF'!#REF!</definedName>
    <definedName name="_492________________________________________________________________________________________________________________________________________________________________0_0_F" hidden="1">[3]Sheet3!#REF!</definedName>
    <definedName name="_492________________________________________________________________________________________________________________________________________________________\MID">'[2]#REF'!#REF!</definedName>
    <definedName name="_493________________________________________________________________________________________________________________________________________________________\SM">'[2]#REF'!#REF!</definedName>
    <definedName name="_494________________________________________________________________________________________________________________________________________________________________0_0_S" hidden="1">[3]Sheet3!#REF!</definedName>
    <definedName name="_494_______________________________________________________________________________________________________________________________________________________0_F" hidden="1">#REF!</definedName>
    <definedName name="_495_______________________________________________________________________________________________________________________________________________________0_S" hidden="1">#REF!</definedName>
    <definedName name="_496___________________________________________________________________________________________________________________________________________________________________123Grap" hidden="1">[1]공문!#REF!</definedName>
    <definedName name="_496_______________________________________________________________________________________________________________________________________________________0_S" hidden="1">#REF!</definedName>
    <definedName name="_497_______________________________________________________________________________________________________________________________________________________0\SM">'[4]#REF'!#REF!</definedName>
    <definedName name="_498________________________________________________________________________________________________________________________________________________________________3__Crite">#REF!</definedName>
    <definedName name="_498_____________________________________________________________________________________________________________________________________________________0_0__123Grap" hidden="1">[1]공문!#REF!</definedName>
    <definedName name="_499_____________________________________________________________________________________________________________________________________________________0_0_F" hidden="1">[3]Sheet3!#REF!</definedName>
    <definedName name="_5______________________________________________________________________________________________________________________________________________________________________________S" hidden="1">#REF!</definedName>
    <definedName name="_50____________________________________________________________________________________________________________________________________________________________________________ME">'[2]#REF'!#REF!</definedName>
    <definedName name="_50__________________________________________________________________________________________________________________________________________________________________________G__Extract">#REF!</definedName>
    <definedName name="_500________________________________________________________________________________________________________________________________________________________________3__Criteria">#REF!</definedName>
    <definedName name="_500_____________________________________________________________________________________________________________________________________________________0_0_S" hidden="1">[3]Sheet3!#REF!</definedName>
    <definedName name="_501________________________________________________________________________________________________________________________________________________________123Grap" hidden="1">[1]공문!#REF!</definedName>
    <definedName name="_502___________________________________________________________________________________________________________________________________________________________________F" hidden="1">#REF!</definedName>
    <definedName name="_502_____________________________________________________________________________________________________________________________________________________3__Crite">#REF!</definedName>
    <definedName name="_503_____________________________________________________________________________________________________________________________________________________3__Criteria">#REF!</definedName>
    <definedName name="_504___________________________________________________________________________________________________________________________________________________________________F" hidden="1">[3]Sheet3!#REF!</definedName>
    <definedName name="_504________________________________________________________________________________________________________________________________________________________F" hidden="1">#REF!</definedName>
    <definedName name="_505________________________________________________________________________________________________________________________________________________________F" hidden="1">[3]Sheet3!#REF!</definedName>
    <definedName name="_506________________________________________________________________________________________________________________________________________________________________G_0Extract">#REF!</definedName>
    <definedName name="_506_____________________________________________________________________________________________________________________________________________________G_0Extract">#REF!</definedName>
    <definedName name="_507_____________________________________________________________________________________________________________________________________________________G__Extr">#REF!</definedName>
    <definedName name="_508________________________________________________________________________________________________________________________________________________________________G__Extr">#REF!</definedName>
    <definedName name="_508_____________________________________________________________________________________________________________________________________________________G__Extract">#REF!</definedName>
    <definedName name="_509________________________________________________________________________________________________________________________________________________________ME">'[2]#REF'!#REF!</definedName>
    <definedName name="_51____________________________________________________________________________________________________________________________________________________________________________S" hidden="1">#REF!</definedName>
    <definedName name="_510________________________________________________________________________________________________________________________________________________________________G__Extract">#REF!</definedName>
    <definedName name="_510________________________________________________________________________________________________________________________________________________________ME">'[2]#REF'!#REF!</definedName>
    <definedName name="_511________________________________________________________________________________________________________________________________________________________S" hidden="1">#REF!</definedName>
    <definedName name="_512___________________________________________________________________________________________________________________________________________________________________ME">'[2]#REF'!#REF!</definedName>
    <definedName name="_512________________________________________________________________________________________________________________________________________________________S" hidden="1">[3]Sheet3!#REF!</definedName>
    <definedName name="_513________________________________________________________________________________________________________________________________________________________S" hidden="1">#REF!</definedName>
    <definedName name="_514___________________________________________________________________________________________________________________________________________________________________ME">'[2]#REF'!#REF!</definedName>
    <definedName name="_514_______________________________________________________________________________________________________________________________________________________\LA">'[2]#REF'!#REF!</definedName>
    <definedName name="_515_______________________________________________________________________________________________________________________________________________________\MID">'[2]#REF'!#REF!</definedName>
    <definedName name="_516___________________________________________________________________________________________________________________________________________________________________S" hidden="1">#REF!</definedName>
    <definedName name="_516_______________________________________________________________________________________________________________________________________________________\SM">'[2]#REF'!#REF!</definedName>
    <definedName name="_517______________________________________________________________________________________________________________________________________________________0_F" hidden="1">#REF!</definedName>
    <definedName name="_518___________________________________________________________________________________________________________________________________________________________________S" hidden="1">[3]Sheet3!#REF!</definedName>
    <definedName name="_518______________________________________________________________________________________________________________________________________________________0_S" hidden="1">#REF!</definedName>
    <definedName name="_519______________________________________________________________________________________________________________________________________________________0_S" hidden="1">#REF!</definedName>
    <definedName name="_52_____________________________________________________________________________________________________________________________________________________________________________ME">'[2]#REF'!#REF!</definedName>
    <definedName name="_52____________________________________________________________________________________________________________________________________________________________________________S" hidden="1">[3]Sheet3!#REF!</definedName>
    <definedName name="_520___________________________________________________________________________________________________________________________________________________________________S" hidden="1">#REF!</definedName>
    <definedName name="_520______________________________________________________________________________________________________________________________________________________0\SM">'[4]#REF'!#REF!</definedName>
    <definedName name="_521____________________________________________________________________________________________________________________________________________________0_0__123Grap" hidden="1">[1]공문!#REF!</definedName>
    <definedName name="_522__________________________________________________________________________________________________________________________________________________________________\LA">'[2]#REF'!#REF!</definedName>
    <definedName name="_522____________________________________________________________________________________________________________________________________________________0_0_F" hidden="1">[3]Sheet3!#REF!</definedName>
    <definedName name="_523____________________________________________________________________________________________________________________________________________________0_0_S" hidden="1">[3]Sheet3!#REF!</definedName>
    <definedName name="_524__________________________________________________________________________________________________________________________________________________________________\MID">'[2]#REF'!#REF!</definedName>
    <definedName name="_524_______________________________________________________________________________________________________________________________________________________123Grap" hidden="1">[1]공문!#REF!</definedName>
    <definedName name="_525____________________________________________________________________________________________________________________________________________________3__Crite">#REF!</definedName>
    <definedName name="_526__________________________________________________________________________________________________________________________________________________________________\SM">'[2]#REF'!#REF!</definedName>
    <definedName name="_526____________________________________________________________________________________________________________________________________________________3__Criteria">#REF!</definedName>
    <definedName name="_527_______________________________________________________________________________________________________________________________________________________F" hidden="1">#REF!</definedName>
    <definedName name="_528_________________________________________________________________________________________________________________________________________________________________0_F" hidden="1">#REF!</definedName>
    <definedName name="_528_______________________________________________________________________________________________________________________________________________________F" hidden="1">[3]Sheet3!#REF!</definedName>
    <definedName name="_529____________________________________________________________________________________________________________________________________________________G_0Extract">#REF!</definedName>
    <definedName name="_53____________________________________________________________________________________________________________________________________________________________________________S" hidden="1">#REF!</definedName>
    <definedName name="_530_________________________________________________________________________________________________________________________________________________________________0_S" hidden="1">#REF!</definedName>
    <definedName name="_530____________________________________________________________________________________________________________________________________________________G__Extr">#REF!</definedName>
    <definedName name="_531____________________________________________________________________________________________________________________________________________________G__Extract">#REF!</definedName>
    <definedName name="_532_________________________________________________________________________________________________________________________________________________________________0_S" hidden="1">#REF!</definedName>
    <definedName name="_532_______________________________________________________________________________________________________________________________________________________ME">'[2]#REF'!#REF!</definedName>
    <definedName name="_533_______________________________________________________________________________________________________________________________________________________ME">'[2]#REF'!#REF!</definedName>
    <definedName name="_534_________________________________________________________________________________________________________________________________________________________________0\SM">'[4]#REF'!#REF!</definedName>
    <definedName name="_534_______________________________________________________________________________________________________________________________________________________S" hidden="1">#REF!</definedName>
    <definedName name="_535_______________________________________________________________________________________________________________________________________________________S" hidden="1">[3]Sheet3!#REF!</definedName>
    <definedName name="_536_______________________________________________________________________________________________________________________________________________________________0_0__123Grap" hidden="1">[1]공문!#REF!</definedName>
    <definedName name="_536_______________________________________________________________________________________________________________________________________________________S" hidden="1">#REF!</definedName>
    <definedName name="_537______________________________________________________________________________________________________________________________________________________\LA">'[2]#REF'!#REF!</definedName>
    <definedName name="_538_______________________________________________________________________________________________________________________________________________________________0_0_F" hidden="1">[3]Sheet3!#REF!</definedName>
    <definedName name="_538______________________________________________________________________________________________________________________________________________________\MID">'[2]#REF'!#REF!</definedName>
    <definedName name="_539______________________________________________________________________________________________________________________________________________________\SM">'[2]#REF'!#REF!</definedName>
    <definedName name="_54_____________________________________________________________________________________________________________________________________________________________________________ME">'[2]#REF'!#REF!</definedName>
    <definedName name="_54___________________________________________________________________________________________________________________________________________________________________________\LA">'[2]#REF'!#REF!</definedName>
    <definedName name="_540_______________________________________________________________________________________________________________________________________________________________0_0_S" hidden="1">[3]Sheet3!#REF!</definedName>
    <definedName name="_540_____________________________________________________________________________________________________________________________________________________0_F" hidden="1">#REF!</definedName>
    <definedName name="_541_____________________________________________________________________________________________________________________________________________________0_S" hidden="1">#REF!</definedName>
    <definedName name="_542__________________________________________________________________________________________________________________________________________________________________123Grap" hidden="1">[1]공문!#REF!</definedName>
    <definedName name="_542_____________________________________________________________________________________________________________________________________________________0_S" hidden="1">#REF!</definedName>
    <definedName name="_543_____________________________________________________________________________________________________________________________________________________0\SM">'[4]#REF'!#REF!</definedName>
    <definedName name="_544_______________________________________________________________________________________________________________________________________________________________3__Crite">#REF!</definedName>
    <definedName name="_544___________________________________________________________________________________________________________________________________________________0_0__123Grap" hidden="1">[1]공문!#REF!</definedName>
    <definedName name="_545___________________________________________________________________________________________________________________________________________________0_0_F" hidden="1">[3]Sheet3!#REF!</definedName>
    <definedName name="_546_______________________________________________________________________________________________________________________________________________________________3__Criteria">#REF!</definedName>
    <definedName name="_546___________________________________________________________________________________________________________________________________________________0_0_S" hidden="1">[3]Sheet3!#REF!</definedName>
    <definedName name="_547___________________________________________________________________________________________________________________________________________________3__Crite">#REF!</definedName>
    <definedName name="_548__________________________________________________________________________________________________________________________________________________________________F" hidden="1">#REF!</definedName>
    <definedName name="_548___________________________________________________________________________________________________________________________________________________3__Crite">#REF!</definedName>
    <definedName name="_548___________________________________________________________________________________________________________________________________________________3__Criteria">#REF!</definedName>
    <definedName name="_549______________________________________________________________________________________________________________________________________________________F" hidden="1">#REF!</definedName>
    <definedName name="_549___________________________________________________________________________________________________________________________________________________3__Criteria">#REF!</definedName>
    <definedName name="_55___________________________________________________________________________________________________________________________________________________________________________\MID">'[2]#REF'!#REF!</definedName>
    <definedName name="_550__________________________________________________________________________________________________________________________________________________________________F" hidden="1">[3]Sheet3!#REF!</definedName>
    <definedName name="_550______________________________________________________________________________________________________________________________________________________F" hidden="1">#REF!</definedName>
    <definedName name="_551______________________________________________________________________________________________________________________________________________________F" hidden="1">[3]Sheet3!#REF!</definedName>
    <definedName name="_551___________________________________________________________________________________________________________________________________________________G_0Extract">#REF!</definedName>
    <definedName name="_552_______________________________________________________________________________________________________________________________________________________________G_0Extract">#REF!</definedName>
    <definedName name="_552___________________________________________________________________________________________________________________________________________________G__Extr">#REF!</definedName>
    <definedName name="_552___________________________________________________________________________________________________________________________________________________G_0Extract">#REF!</definedName>
    <definedName name="_553___________________________________________________________________________________________________________________________________________________G__Extr">#REF!</definedName>
    <definedName name="_553___________________________________________________________________________________________________________________________________________________G__Extract">#REF!</definedName>
    <definedName name="_554_______________________________________________________________________________________________________________________________________________________________G__Extr">#REF!</definedName>
    <definedName name="_554______________________________________________________________________________________________________________________________________________________ME">'[2]#REF'!#REF!</definedName>
    <definedName name="_554___________________________________________________________________________________________________________________________________________________G__Extract">#REF!</definedName>
    <definedName name="_555______________________________________________________________________________________________________________________________________________________ME">'[2]#REF'!#REF!</definedName>
    <definedName name="_556_______________________________________________________________________________________________________________________________________________________________G__Extract">#REF!</definedName>
    <definedName name="_556______________________________________________________________________________________________________________________________________________________ME">'[2]#REF'!#REF!</definedName>
    <definedName name="_556______________________________________________________________________________________________________________________________________________________S" hidden="1">#REF!</definedName>
    <definedName name="_557______________________________________________________________________________________________________________________________________________________S" hidden="1">#REF!</definedName>
    <definedName name="_558__________________________________________________________________________________________________________________________________________________________________ME">'[2]#REF'!#REF!</definedName>
    <definedName name="_558______________________________________________________________________________________________________________________________________________________S" hidden="1">[3]Sheet3!#REF!</definedName>
    <definedName name="_559______________________________________________________________________________________________________________________________________________________S" hidden="1">#REF!</definedName>
    <definedName name="_559_____________________________________________________________________________________________________________________________________________________\LA">'[2]#REF'!#REF!</definedName>
    <definedName name="_56_____________________________________________________________________________________________________________________________________________________________________________S" hidden="1">#REF!</definedName>
    <definedName name="_56___________________________________________________________________________________________________________________________________________________________________________\SM">'[2]#REF'!#REF!</definedName>
    <definedName name="_560__________________________________________________________________________________________________________________________________________________________________ME">'[2]#REF'!#REF!</definedName>
    <definedName name="_560_____________________________________________________________________________________________________________________________________________________\LA">'[2]#REF'!#REF!</definedName>
    <definedName name="_560_____________________________________________________________________________________________________________________________________________________\MID">'[2]#REF'!#REF!</definedName>
    <definedName name="_561_____________________________________________________________________________________________________________________________________________________\MID">'[2]#REF'!#REF!</definedName>
    <definedName name="_561_____________________________________________________________________________________________________________________________________________________\SM">'[2]#REF'!#REF!</definedName>
    <definedName name="_562__________________________________________________________________________________________________________________________________________________________________S" hidden="1">#REF!</definedName>
    <definedName name="_562_____________________________________________________________________________________________________________________________________________________\SM">'[2]#REF'!#REF!</definedName>
    <definedName name="_562____________________________________________________________________________________________________________________________________________________0_F" hidden="1">#REF!</definedName>
    <definedName name="_563____________________________________________________________________________________________________________________________________________________0_F" hidden="1">#REF!</definedName>
    <definedName name="_563____________________________________________________________________________________________________________________________________________________0_S" hidden="1">#REF!</definedName>
    <definedName name="_564__________________________________________________________________________________________________________________________________________________________________S" hidden="1">[3]Sheet3!#REF!</definedName>
    <definedName name="_564____________________________________________________________________________________________________________________________________________________0_S" hidden="1">#REF!</definedName>
    <definedName name="_565____________________________________________________________________________________________________________________________________________________0_S" hidden="1">#REF!</definedName>
    <definedName name="_565____________________________________________________________________________________________________________________________________________________0\SM">'[4]#REF'!#REF!</definedName>
    <definedName name="_566__________________________________________________________________________________________________________________________________________________________________S" hidden="1">#REF!</definedName>
    <definedName name="_566____________________________________________________________________________________________________________________________________________________0\SM">'[4]#REF'!#REF!</definedName>
    <definedName name="_566__________________________________________________________________________________________________________________________________________________0_0__123Grap" hidden="1">[1]공문!#REF!</definedName>
    <definedName name="_567__________________________________________________________________________________________________________________________________________________0_0__123Grap" hidden="1">[1]공문!#REF!</definedName>
    <definedName name="_567__________________________________________________________________________________________________________________________________________________0_0_F" hidden="1">[3]Sheet3!#REF!</definedName>
    <definedName name="_568_________________________________________________________________________________________________________________________________________________________________\LA">'[2]#REF'!#REF!</definedName>
    <definedName name="_568__________________________________________________________________________________________________________________________________________________0_0_F" hidden="1">[3]Sheet3!#REF!</definedName>
    <definedName name="_568__________________________________________________________________________________________________________________________________________________0_0_S" hidden="1">[3]Sheet3!#REF!</definedName>
    <definedName name="_569__________________________________________________________________________________________________________________________________________________0_0_S" hidden="1">[3]Sheet3!#REF!</definedName>
    <definedName name="_569__________________________________________________________________________________________________________________________________________________3__Crite">#REF!</definedName>
    <definedName name="_57__________________________________________________________________________________________________________________________________________________________________________0_F" hidden="1">#REF!</definedName>
    <definedName name="_570_________________________________________________________________________________________________________________________________________________________________\MID">'[2]#REF'!#REF!</definedName>
    <definedName name="_570__________________________________________________________________________________________________________________________________________________3__Criteria">#REF!</definedName>
    <definedName name="_571__________________________________________________________________________________________________________________________________________________3__Crite">#REF!</definedName>
    <definedName name="_571__________________________________________________________________________________________________________________________________________________G_0Extract">#REF!</definedName>
    <definedName name="_572_________________________________________________________________________________________________________________________________________________________________\SM">'[2]#REF'!#REF!</definedName>
    <definedName name="_572__________________________________________________________________________________________________________________________________________________3__Criteria">#REF!</definedName>
    <definedName name="_572__________________________________________________________________________________________________________________________________________________G__Extr">#REF!</definedName>
    <definedName name="_573__________________________________________________________________________________________________________________________________________________G__Extract">#REF!</definedName>
    <definedName name="_574________________________________________________________________________________________________________________________________________________________________0_F" hidden="1">#REF!</definedName>
    <definedName name="_574_____________________________________________________________________________________________________________________________________________________ME">'[2]#REF'!#REF!</definedName>
    <definedName name="_575_____________________________________________________________________________________________________________________________________________________ME">'[2]#REF'!#REF!</definedName>
    <definedName name="_575__________________________________________________________________________________________________________________________________________________G_0Extract">#REF!</definedName>
    <definedName name="_576________________________________________________________________________________________________________________________________________________________________0_S" hidden="1">#REF!</definedName>
    <definedName name="_576___________________________________________________________________________________________________________________________________________________123Grap" hidden="1">[1]공문!#REF!</definedName>
    <definedName name="_576__________________________________________________________________________________________________________________________________________________G__Extr">#REF!</definedName>
    <definedName name="_577__________________________________________________________________________________________________________________________________________________F" hidden="1">#REF!</definedName>
    <definedName name="_577__________________________________________________________________________________________________________________________________________________G__Extract">#REF!</definedName>
    <definedName name="_578________________________________________________________________________________________________________________________________________________________________0_S" hidden="1">#REF!</definedName>
    <definedName name="_578_____________________________________________________________________________________________________________________________________________________ME">'[2]#REF'!#REF!</definedName>
    <definedName name="_578__________________________________________________________________________________________________________________________________________________F" hidden="1">[3]Sheet3!#REF!</definedName>
    <definedName name="_579_____________________________________________________________________________________________________________________________________________________ME">'[2]#REF'!#REF!</definedName>
    <definedName name="_579__________________________________________________________________________________________________________________________________________________S" hidden="1">#REF!</definedName>
    <definedName name="_58_____________________________________________________________________________________________________________________________________________________________________________S" hidden="1">[3]Sheet3!#REF!</definedName>
    <definedName name="_58__________________________________________________________________________________________________________________________________________________________________________0_S" hidden="1">#REF!</definedName>
    <definedName name="_580________________________________________________________________________________________________________________________________________________________________0\SM">'[4]#REF'!#REF!</definedName>
    <definedName name="_580__________________________________________________________________________________________________________________________________________________S" hidden="1">[3]Sheet3!#REF!</definedName>
    <definedName name="_581__________________________________________________________________________________________________________________________________________________S" hidden="1">#REF!</definedName>
    <definedName name="_582______________________________________________________________________________________________________________________________________________________________0_0__123Grap" hidden="1">[1]공문!#REF!</definedName>
    <definedName name="_582_________________________________________________________________________________________________________________________________________________\LA">'[2]#REF'!#REF!</definedName>
    <definedName name="_583_________________________________________________________________________________________________________________________________________________\MID">'[2]#REF'!#REF!</definedName>
    <definedName name="_584______________________________________________________________________________________________________________________________________________________________0_0_F" hidden="1">[3]Sheet3!#REF!</definedName>
    <definedName name="_584_________________________________________________________________________________________________________________________________________________\SM">'[2]#REF'!#REF!</definedName>
    <definedName name="_585________________________________________________________________________________________________________________________________________________0_F" hidden="1">#REF!</definedName>
    <definedName name="_586______________________________________________________________________________________________________________________________________________________________0_0_S" hidden="1">[3]Sheet3!#REF!</definedName>
    <definedName name="_586________________________________________________________________________________________________________________________________________________0_S" hidden="1">#REF!</definedName>
    <definedName name="_587________________________________________________________________________________________________________________________________________________0_S" hidden="1">#REF!</definedName>
    <definedName name="_588_________________________________________________________________________________________________________________________________________________________________123Grap" hidden="1">[1]공문!#REF!</definedName>
    <definedName name="_588________________________________________________________________________________________________________________________________________________0\SM">'[4]#REF'!#REF!</definedName>
    <definedName name="_589______________________________________________________________________________________________________________________________________________0_0__123Grap" hidden="1">[1]공문!#REF!</definedName>
    <definedName name="_59__________________________________________________________________________________________________________________________________________________________________________0_S" hidden="1">#REF!</definedName>
    <definedName name="_590______________________________________________________________________________________________________________________________________________________________3__Crite">#REF!</definedName>
    <definedName name="_590______________________________________________________________________________________________________________________________________________0_0_F" hidden="1">[3]Sheet3!#REF!</definedName>
    <definedName name="_591______________________________________________________________________________________________________________________________________________0_0_S" hidden="1">[3]Sheet3!#REF!</definedName>
    <definedName name="_592______________________________________________________________________________________________________________________________________________________________3__Criteria">#REF!</definedName>
    <definedName name="_592______________________________________________________________________________________________________________________________________________3__Crite">#REF!</definedName>
    <definedName name="_593______________________________________________________________________________________________________________________________________________3__Criteria">#REF!</definedName>
    <definedName name="_594_________________________________________________________________________________________________________________________________________________________________F" hidden="1">#REF!</definedName>
    <definedName name="_594______________________________________________________________________________________________________________________________________________G_0Extract">#REF!</definedName>
    <definedName name="_595______________________________________________________________________________________________________________________________________________G__Extr">#REF!</definedName>
    <definedName name="_596_________________________________________________________________________________________________________________________________________________________________F" hidden="1">[3]Sheet3!#REF!</definedName>
    <definedName name="_596______________________________________________________________________________________________________________________________________________G__Extract">#REF!</definedName>
    <definedName name="_597_________________________________________________________________________________________________________________________________________________ME">'[2]#REF'!#REF!</definedName>
    <definedName name="_598______________________________________________________________________________________________________________________________________________________________G_0Extract">#REF!</definedName>
    <definedName name="_598_________________________________________________________________________________________________________________________________________________ME">'[2]#REF'!#REF!</definedName>
    <definedName name="_599_______________________________________________________________________________________________________________________________________________123Grap" hidden="1">[1]공문!#REF!</definedName>
    <definedName name="_6______________________________________________________________________________________________________________________________________________________________________________F" hidden="1">#REF!</definedName>
    <definedName name="_6______________________________________________________________________________________________________________________________________________________________________________S" hidden="1">[3]Sheet3!#REF!</definedName>
    <definedName name="_60_____________________________________________________________________________________________________________________________________________________________________________S" hidden="1">#REF!</definedName>
    <definedName name="_60__________________________________________________________________________________________________________________________________________________________________________0\SM">'[4]#REF'!#REF!</definedName>
    <definedName name="_600______________________________________________________________________________________________________________________________________________________________G__Extr">#REF!</definedName>
    <definedName name="_600______________________________________________________________________________________________________________________________________________F" hidden="1">#REF!</definedName>
    <definedName name="_601______________________________________________________________________________________________________________________________________________F" hidden="1">[3]Sheet3!#REF!</definedName>
    <definedName name="_602______________________________________________________________________________________________________________________________________________________________G__Extract">#REF!</definedName>
    <definedName name="_602______________________________________________________________________________________________________________________________________________S" hidden="1">#REF!</definedName>
    <definedName name="_603______________________________________________________________________________________________________________________________________________S" hidden="1">[3]Sheet3!#REF!</definedName>
    <definedName name="_604_________________________________________________________________________________________________________________________________________________________________ME">'[2]#REF'!#REF!</definedName>
    <definedName name="_604______________________________________________________________________________________________________________________________________________S" hidden="1">#REF!</definedName>
    <definedName name="_605_____________________________________________________________________________________________________________________________________________\LA">'[2]#REF'!#REF!</definedName>
    <definedName name="_606_________________________________________________________________________________________________________________________________________________________________ME">'[2]#REF'!#REF!</definedName>
    <definedName name="_606_____________________________________________________________________________________________________________________________________________\MID">'[2]#REF'!#REF!</definedName>
    <definedName name="_607_____________________________________________________________________________________________________________________________________________\SM">'[2]#REF'!#REF!</definedName>
    <definedName name="_608_________________________________________________________________________________________________________________________________________________________________S" hidden="1">#REF!</definedName>
    <definedName name="_608____________________________________________________________________________________________________________________________________________0_F" hidden="1">#REF!</definedName>
    <definedName name="_609____________________________________________________________________________________________________________________________________________0_S" hidden="1">#REF!</definedName>
    <definedName name="_61________________________________________________________________________________________________________________________________________________________________________0_0__123Grap" hidden="1">[1]공문!#REF!</definedName>
    <definedName name="_610_________________________________________________________________________________________________________________________________________________________________S" hidden="1">[3]Sheet3!#REF!</definedName>
    <definedName name="_610____________________________________________________________________________________________________________________________________________0_S" hidden="1">#REF!</definedName>
    <definedName name="_611____________________________________________________________________________________________________________________________________________0\SM">'[4]#REF'!#REF!</definedName>
    <definedName name="_612_________________________________________________________________________________________________________________________________________________________________S" hidden="1">#REF!</definedName>
    <definedName name="_612__________________________________________________________________________________________________________________________________________0_0__123Grap" hidden="1">[1]공문!#REF!</definedName>
    <definedName name="_613__________________________________________________________________________________________________________________________________________0_0_F" hidden="1">[3]Sheet3!#REF!</definedName>
    <definedName name="_614________________________________________________________________________________________________________________________________________________________________\LA">'[2]#REF'!#REF!</definedName>
    <definedName name="_614__________________________________________________________________________________________________________________________________________0_0_S" hidden="1">[3]Sheet3!#REF!</definedName>
    <definedName name="_615__________________________________________________________________________________________________________________________________________3__Crite">#REF!</definedName>
    <definedName name="_616________________________________________________________________________________________________________________________________________________________________\MID">'[2]#REF'!#REF!</definedName>
    <definedName name="_616___________________________________________________________________________________________________________________________________________________123Grap" hidden="1">[1]공문!#REF!</definedName>
    <definedName name="_616__________________________________________________________________________________________________________________________________________3__Criteria">#REF!</definedName>
    <definedName name="_617__________________________________________________________________________________________________________________________________________G_0Extract">#REF!</definedName>
    <definedName name="_618________________________________________________________________________________________________________________________________________________________________\SM">'[2]#REF'!#REF!</definedName>
    <definedName name="_618__________________________________________________________________________________________________________________________________________G__Extr">#REF!</definedName>
    <definedName name="_619__________________________________________________________________________________________________________________________________________G__Extract">#REF!</definedName>
    <definedName name="_62____________________________________________________________________________________________________________________________________________________________________________\LA">'[2]#REF'!#REF!</definedName>
    <definedName name="_62________________________________________________________________________________________________________________________________________________________________________0_0_F" hidden="1">[3]Sheet3!#REF!</definedName>
    <definedName name="_620_______________________________________________________________________________________________________________________________________________________________0_F" hidden="1">#REF!</definedName>
    <definedName name="_620_____________________________________________________________________________________________________________________________________________ME">'[2]#REF'!#REF!</definedName>
    <definedName name="_621_____________________________________________________________________________________________________________________________________________ME">'[2]#REF'!#REF!</definedName>
    <definedName name="_622_______________________________________________________________________________________________________________________________________________________________0_S" hidden="1">#REF!</definedName>
    <definedName name="_622___________________________________________________________________________________________________________________________________________123Grap" hidden="1">[1]공문!#REF!</definedName>
    <definedName name="_623__________________________________________________________________________________________________________________________________________F" hidden="1">#REF!</definedName>
    <definedName name="_624_______________________________________________________________________________________________________________________________________________________________0_S" hidden="1">#REF!</definedName>
    <definedName name="_624__________________________________________________________________________________________________________________________________________F" hidden="1">[3]Sheet3!#REF!</definedName>
    <definedName name="_625__________________________________________________________________________________________________________________________________________S" hidden="1">#REF!</definedName>
    <definedName name="_626_______________________________________________________________________________________________________________________________________________________________0\SM">'[4]#REF'!#REF!</definedName>
    <definedName name="_626__________________________________________________________________________________________________________________________________________S" hidden="1">[3]Sheet3!#REF!</definedName>
    <definedName name="_627__________________________________________________________________________________________________________________________________________S" hidden="1">#REF!</definedName>
    <definedName name="_628_____________________________________________________________________________________________________________________________________________________________0_0__123Grap" hidden="1">[1]공문!#REF!</definedName>
    <definedName name="_628_________________________________________________________________________________________________________________________________________\LA">'[2]#REF'!#REF!</definedName>
    <definedName name="_629_________________________________________________________________________________________________________________________________________\MID">'[2]#REF'!#REF!</definedName>
    <definedName name="_63________________________________________________________________________________________________________________________________________________________________________0_0_S" hidden="1">[3]Sheet3!#REF!</definedName>
    <definedName name="_630_____________________________________________________________________________________________________________________________________________________________0_0_F" hidden="1">[3]Sheet3!#REF!</definedName>
    <definedName name="_630_________________________________________________________________________________________________________________________________________\SM">'[2]#REF'!#REF!</definedName>
    <definedName name="_631________________________________________________________________________________________________________________________________________0_F" hidden="1">#REF!</definedName>
    <definedName name="_632_____________________________________________________________________________________________________________________________________________________________0_0_S" hidden="1">[3]Sheet3!#REF!</definedName>
    <definedName name="_632________________________________________________________________________________________________________________________________________0_S" hidden="1">#REF!</definedName>
    <definedName name="_633________________________________________________________________________________________________________________________________________0_S" hidden="1">#REF!</definedName>
    <definedName name="_634________________________________________________________________________________________________________________________________________________________________123Grap" hidden="1">[1]공문!#REF!</definedName>
    <definedName name="_634________________________________________________________________________________________________________________________________________0\SM">'[4]#REF'!#REF!</definedName>
    <definedName name="_635______________________________________________________________________________________________________________________________________0_0__123Grap" hidden="1">[1]공문!#REF!</definedName>
    <definedName name="_636_____________________________________________________________________________________________________________________________________________________________3__Crite">#REF!</definedName>
    <definedName name="_636______________________________________________________________________________________________________________________________________0_0_F" hidden="1">[3]Sheet3!#REF!</definedName>
    <definedName name="_637______________________________________________________________________________________________________________________________________0_0_S" hidden="1">[3]Sheet3!#REF!</definedName>
    <definedName name="_638_____________________________________________________________________________________________________________________________________________________________3__Criteria">#REF!</definedName>
    <definedName name="_638______________________________________________________________________________________________________________________________________3__Crite">#REF!</definedName>
    <definedName name="_639______________________________________________________________________________________________________________________________________3__Criteria">#REF!</definedName>
    <definedName name="_64____________________________________________________________________________________________________________________________________________________________________________\MID">'[2]#REF'!#REF!</definedName>
    <definedName name="_64___________________________________________________________________________________________________________________________________________________________________________123Grap" hidden="1">[1]공문!#REF!</definedName>
    <definedName name="_640________________________________________________________________________________________________________________________________________________________________F" hidden="1">#REF!</definedName>
    <definedName name="_640______________________________________________________________________________________________________________________________________G_0Extract">#REF!</definedName>
    <definedName name="_641______________________________________________________________________________________________________________________________________G__Extr">#REF!</definedName>
    <definedName name="_642________________________________________________________________________________________________________________________________________________________________F" hidden="1">[3]Sheet3!#REF!</definedName>
    <definedName name="_642__________________________________________________________________________________________________________________________________________________F" hidden="1">#REF!</definedName>
    <definedName name="_642______________________________________________________________________________________________________________________________________G__Extract">#REF!</definedName>
    <definedName name="_643__________________________________________________________________________________________________________________________________________________F" hidden="1">[3]Sheet3!#REF!</definedName>
    <definedName name="_643_________________________________________________________________________________________________________________________________________ME">'[2]#REF'!#REF!</definedName>
    <definedName name="_644_____________________________________________________________________________________________________________________________________________________________G_0Extract">#REF!</definedName>
    <definedName name="_644_________________________________________________________________________________________________________________________________________ME">'[2]#REF'!#REF!</definedName>
    <definedName name="_645_______________________________________________________________________________________________________________________________________123Grap" hidden="1">[1]공문!#REF!</definedName>
    <definedName name="_646_____________________________________________________________________________________________________________________________________________________________G__Extr">#REF!</definedName>
    <definedName name="_646______________________________________________________________________________________________________________________________________F" hidden="1">#REF!</definedName>
    <definedName name="_647______________________________________________________________________________________________________________________________________F" hidden="1">[3]Sheet3!#REF!</definedName>
    <definedName name="_648_____________________________________________________________________________________________________________________________________________________________G__Extract">#REF!</definedName>
    <definedName name="_648______________________________________________________________________________________________________________________________________S" hidden="1">#REF!</definedName>
    <definedName name="_649__________________________________________________________________________________________________________________________________________________S" hidden="1">#REF!</definedName>
    <definedName name="_649______________________________________________________________________________________________________________________________________S" hidden="1">[3]Sheet3!#REF!</definedName>
    <definedName name="_65________________________________________________________________________________________________________________________________________________________________________3__Crite">#REF!</definedName>
    <definedName name="_650________________________________________________________________________________________________________________________________________________________________ME">'[2]#REF'!#REF!</definedName>
    <definedName name="_650__________________________________________________________________________________________________________________________________________________S" hidden="1">[3]Sheet3!#REF!</definedName>
    <definedName name="_650______________________________________________________________________________________________________________________________________S" hidden="1">#REF!</definedName>
    <definedName name="_651__________________________________________________________________________________________________________________________________________________S" hidden="1">#REF!</definedName>
    <definedName name="_651_____________________________________________________________________________________________________________________________________\LA">'[2]#REF'!#REF!</definedName>
    <definedName name="_652________________________________________________________________________________________________________________________________________________________________ME">'[2]#REF'!#REF!</definedName>
    <definedName name="_652_________________________________________________________________________________________________________________________________________________\LA">'[2]#REF'!#REF!</definedName>
    <definedName name="_652_____________________________________________________________________________________________________________________________________\MID">'[2]#REF'!#REF!</definedName>
    <definedName name="_653_________________________________________________________________________________________________________________________________________________\MID">'[2]#REF'!#REF!</definedName>
    <definedName name="_653_____________________________________________________________________________________________________________________________________\SM">'[2]#REF'!#REF!</definedName>
    <definedName name="_654________________________________________________________________________________________________________________________________________________________________S" hidden="1">#REF!</definedName>
    <definedName name="_654_________________________________________________________________________________________________________________________________________________\SM">'[2]#REF'!#REF!</definedName>
    <definedName name="_654____________________________________________________________________________________________________________________________________0_F" hidden="1">#REF!</definedName>
    <definedName name="_655________________________________________________________________________________________________________________________________________________0_F" hidden="1">#REF!</definedName>
    <definedName name="_655____________________________________________________________________________________________________________________________________0_S" hidden="1">#REF!</definedName>
    <definedName name="_656________________________________________________________________________________________________________________________________________________________________S" hidden="1">[3]Sheet3!#REF!</definedName>
    <definedName name="_656________________________________________________________________________________________________________________________________________________0_S" hidden="1">#REF!</definedName>
    <definedName name="_656____________________________________________________________________________________________________________________________________0_S" hidden="1">#REF!</definedName>
    <definedName name="_657________________________________________________________________________________________________________________________________________________0_S" hidden="1">#REF!</definedName>
    <definedName name="_657____________________________________________________________________________________________________________________________________0\SM">'[4]#REF'!#REF!</definedName>
    <definedName name="_658________________________________________________________________________________________________________________________________________________________________S" hidden="1">#REF!</definedName>
    <definedName name="_658________________________________________________________________________________________________________________________________________________0\SM">'[4]#REF'!#REF!</definedName>
    <definedName name="_658__________________________________________________________________________________________________________________________________0_0__123Grap" hidden="1">[1]공문!#REF!</definedName>
    <definedName name="_659______________________________________________________________________________________________________________________________________________0_0__123Grap" hidden="1">[1]공문!#REF!</definedName>
    <definedName name="_659__________________________________________________________________________________________________________________________________0_0_F" hidden="1">[3]Sheet3!#REF!</definedName>
    <definedName name="_66____________________________________________________________________________________________________________________________________________________________________________\SM">'[2]#REF'!#REF!</definedName>
    <definedName name="_66________________________________________________________________________________________________________________________________________________________________________3__Criteria">#REF!</definedName>
    <definedName name="_660_______________________________________________________________________________________________________________________________________________________________\LA">'[2]#REF'!#REF!</definedName>
    <definedName name="_660______________________________________________________________________________________________________________________________________________0_0_F" hidden="1">[3]Sheet3!#REF!</definedName>
    <definedName name="_660__________________________________________________________________________________________________________________________________0_0_S" hidden="1">[3]Sheet3!#REF!</definedName>
    <definedName name="_661______________________________________________________________________________________________________________________________________________0_0_S" hidden="1">[3]Sheet3!#REF!</definedName>
    <definedName name="_661__________________________________________________________________________________________________________________________________3__Crite">#REF!</definedName>
    <definedName name="_662_______________________________________________________________________________________________________________________________________________________________\MID">'[2]#REF'!#REF!</definedName>
    <definedName name="_662__________________________________________________________________________________________________________________________________3__Criteria">#REF!</definedName>
    <definedName name="_663______________________________________________________________________________________________________________________________________________3__Crite">#REF!</definedName>
    <definedName name="_663__________________________________________________________________________________________________________________________________G_0Extract">#REF!</definedName>
    <definedName name="_664_______________________________________________________________________________________________________________________________________________________________\SM">'[2]#REF'!#REF!</definedName>
    <definedName name="_664______________________________________________________________________________________________________________________________________________3__Criteria">#REF!</definedName>
    <definedName name="_664__________________________________________________________________________________________________________________________________G__Extr">#REF!</definedName>
    <definedName name="_665__________________________________________________________________________________________________________________________________G__Extract">#REF!</definedName>
    <definedName name="_666______________________________________________________________________________________________________________________________________________________________0_F" hidden="1">#REF!</definedName>
    <definedName name="_666_____________________________________________________________________________________________________________________________________ME">'[2]#REF'!#REF!</definedName>
    <definedName name="_667______________________________________________________________________________________________________________________________________________G_0Extract">#REF!</definedName>
    <definedName name="_667_____________________________________________________________________________________________________________________________________ME">'[2]#REF'!#REF!</definedName>
    <definedName name="_668______________________________________________________________________________________________________________________________________________________________0_S" hidden="1">#REF!</definedName>
    <definedName name="_668______________________________________________________________________________________________________________________________________________G__Extr">#REF!</definedName>
    <definedName name="_668___________________________________________________________________________________________________________________________________123Grap" hidden="1">[1]공문!#REF!</definedName>
    <definedName name="_669______________________________________________________________________________________________________________________________________________G__Extract">#REF!</definedName>
    <definedName name="_669__________________________________________________________________________________________________________________________________F" hidden="1">#REF!</definedName>
    <definedName name="_67___________________________________________________________________________________________________________________________________________________________________________F" hidden="1">#REF!</definedName>
    <definedName name="_670______________________________________________________________________________________________________________________________________________________________0_S" hidden="1">#REF!</definedName>
    <definedName name="_670_________________________________________________________________________________________________________________________________________________ME">'[2]#REF'!#REF!</definedName>
    <definedName name="_670__________________________________________________________________________________________________________________________________F" hidden="1">[3]Sheet3!#REF!</definedName>
    <definedName name="_671_________________________________________________________________________________________________________________________________________________ME">'[2]#REF'!#REF!</definedName>
    <definedName name="_671__________________________________________________________________________________________________________________________________S" hidden="1">#REF!</definedName>
    <definedName name="_672______________________________________________________________________________________________________________________________________________________________0\SM">'[4]#REF'!#REF!</definedName>
    <definedName name="_672__________________________________________________________________________________________________________________________________S" hidden="1">[3]Sheet3!#REF!</definedName>
    <definedName name="_673__________________________________________________________________________________________________________________________________S" hidden="1">#REF!</definedName>
    <definedName name="_674____________________________________________________________________________________________________________________________________________________________0_0__123Grap" hidden="1">[1]공문!#REF!</definedName>
    <definedName name="_674_________________________________________________________________________________________________________________________________\LA">'[2]#REF'!#REF!</definedName>
    <definedName name="_675_________________________________________________________________________________________________________________________________\MID">'[2]#REF'!#REF!</definedName>
    <definedName name="_676____________________________________________________________________________________________________________________________________________________________0_0_F" hidden="1">[3]Sheet3!#REF!</definedName>
    <definedName name="_676_________________________________________________________________________________________________________________________________\SM">'[2]#REF'!#REF!</definedName>
    <definedName name="_677________________________________________________________________________________________________________________________________0_F" hidden="1">#REF!</definedName>
    <definedName name="_678____________________________________________________________________________________________________________________________________________________________0_0_S" hidden="1">[3]Sheet3!#REF!</definedName>
    <definedName name="_678________________________________________________________________________________________________________________________________0_S" hidden="1">#REF!</definedName>
    <definedName name="_679________________________________________________________________________________________________________________________________0_S" hidden="1">#REF!</definedName>
    <definedName name="_68___________________________________________________________________________________________________________________________________________________________________________0_F" hidden="1">#REF!</definedName>
    <definedName name="_68___________________________________________________________________________________________________________________________________________________________________________F" hidden="1">[3]Sheet3!#REF!</definedName>
    <definedName name="_680_______________________________________________________________________________________________________________________________________________________________123Grap" hidden="1">[1]공문!#REF!</definedName>
    <definedName name="_680________________________________________________________________________________________________________________________________0\SM">'[4]#REF'!#REF!</definedName>
    <definedName name="_681______________________________________________________________________________________________________________________________0_0__123Grap" hidden="1">[1]공문!#REF!</definedName>
    <definedName name="_682____________________________________________________________________________________________________________________________________________________________3__Crite">#REF!</definedName>
    <definedName name="_682______________________________________________________________________________________________________________________________0_0_F" hidden="1">[3]Sheet3!#REF!</definedName>
    <definedName name="_683______________________________________________________________________________________________________________________________0_0_S" hidden="1">[3]Sheet3!#REF!</definedName>
    <definedName name="_684____________________________________________________________________________________________________________________________________________________________3__Criteria">#REF!</definedName>
    <definedName name="_684______________________________________________________________________________________________________________________________3__Crite">#REF!</definedName>
    <definedName name="_685______________________________________________________________________________________________________________________________3__Criteria">#REF!</definedName>
    <definedName name="_686_______________________________________________________________________________________________________________________________________________________________F" hidden="1">#REF!</definedName>
    <definedName name="_686______________________________________________________________________________________________________________________________G_0Extract">#REF!</definedName>
    <definedName name="_687______________________________________________________________________________________________________________________________G__Extr">#REF!</definedName>
    <definedName name="_688_______________________________________________________________________________________________________________________________________________________________F" hidden="1">[3]Sheet3!#REF!</definedName>
    <definedName name="_688______________________________________________________________________________________________________________________________G__Extract">#REF!</definedName>
    <definedName name="_689_________________________________________________________________________________________________________________________________ME">'[2]#REF'!#REF!</definedName>
    <definedName name="_69________________________________________________________________________________________________________________________________________________________________________G_0Extract">#REF!</definedName>
    <definedName name="_690____________________________________________________________________________________________________________________________________________________________G_0Extract">#REF!</definedName>
    <definedName name="_690_________________________________________________________________________________________________________________________________ME">'[2]#REF'!#REF!</definedName>
    <definedName name="_691_______________________________________________________________________________________________________________________________123Grap" hidden="1">[1]공문!#REF!</definedName>
    <definedName name="_692____________________________________________________________________________________________________________________________________________________________G__Extr">#REF!</definedName>
    <definedName name="_692______________________________________________________________________________________________________________________________F" hidden="1">#REF!</definedName>
    <definedName name="_693______________________________________________________________________________________________________________________________F" hidden="1">[3]Sheet3!#REF!</definedName>
    <definedName name="_694____________________________________________________________________________________________________________________________________________________________G__Extract">#REF!</definedName>
    <definedName name="_694______________________________________________________________________________________________________________________________S" hidden="1">#REF!</definedName>
    <definedName name="_695______________________________________________________________________________________________________________________________S" hidden="1">[3]Sheet3!#REF!</definedName>
    <definedName name="_696_______________________________________________________________________________________________________________________________________________________________ME">'[2]#REF'!#REF!</definedName>
    <definedName name="_696______________________________________________________________________________________________________________________________S" hidden="1">#REF!</definedName>
    <definedName name="_697_____________________________________________________________________________________________________________________________\LA">'[2]#REF'!#REF!</definedName>
    <definedName name="_698_______________________________________________________________________________________________________________________________________________________________ME">'[2]#REF'!#REF!</definedName>
    <definedName name="_698_____________________________________________________________________________________________________________________________\MID">'[2]#REF'!#REF!</definedName>
    <definedName name="_699_____________________________________________________________________________________________________________________________\SM">'[2]#REF'!#REF!</definedName>
    <definedName name="_7______________________________________________________________________________________________________________________________________________________________________________S" hidden="1">#REF!</definedName>
    <definedName name="_70___________________________________________________________________________________________________________________________________________________________________________0_S" hidden="1">#REF!</definedName>
    <definedName name="_70________________________________________________________________________________________________________________________________________________________________________G__Extr">#REF!</definedName>
    <definedName name="_700_______________________________________________________________________________________________________________________________________________________________S" hidden="1">#REF!</definedName>
    <definedName name="_700____________________________________________________________________________________________________________________________0_F" hidden="1">#REF!</definedName>
    <definedName name="_701____________________________________________________________________________________________________________________________0_S" hidden="1">#REF!</definedName>
    <definedName name="_702_______________________________________________________________________________________________________________________________________________________________S" hidden="1">[3]Sheet3!#REF!</definedName>
    <definedName name="_702____________________________________________________________________________________________________________________________0_S" hidden="1">#REF!</definedName>
    <definedName name="_703____________________________________________________________________________________________________________________________0\SM">'[4]#REF'!#REF!</definedName>
    <definedName name="_704_______________________________________________________________________________________________________________________________________________________________S" hidden="1">#REF!</definedName>
    <definedName name="_704__________________________________________________________________________________________________________________________0_0__123Grap" hidden="1">[1]공문!#REF!</definedName>
    <definedName name="_705__________________________________________________________________________________________________________________________0_0_F" hidden="1">[3]Sheet3!#REF!</definedName>
    <definedName name="_706______________________________________________________________________________________________________________________________________________________________\LA">'[2]#REF'!#REF!</definedName>
    <definedName name="_706__________________________________________________________________________________________________________________________0_0_S" hidden="1">[3]Sheet3!#REF!</definedName>
    <definedName name="_707__________________________________________________________________________________________________________________________3__Crite">#REF!</definedName>
    <definedName name="_708______________________________________________________________________________________________________________________________________________________________\MID">'[2]#REF'!#REF!</definedName>
    <definedName name="_708_______________________________________________________________________________________________________________________________________________123Grap" hidden="1">[1]공문!#REF!</definedName>
    <definedName name="_708__________________________________________________________________________________________________________________________3__Criteria">#REF!</definedName>
    <definedName name="_709__________________________________________________________________________________________________________________________G_0Extract">#REF!</definedName>
    <definedName name="_71________________________________________________________________________________________________________________________________________________________________________G__Extract">#REF!</definedName>
    <definedName name="_710______________________________________________________________________________________________________________________________________________________________\SM">'[2]#REF'!#REF!</definedName>
    <definedName name="_710__________________________________________________________________________________________________________________________G__Extr">#REF!</definedName>
    <definedName name="_711__________________________________________________________________________________________________________________________G__Extract">#REF!</definedName>
    <definedName name="_712_____________________________________________________________________________________________________________________________________________________________0_F" hidden="1">#REF!</definedName>
    <definedName name="_712_____________________________________________________________________________________________________________________________ME">'[2]#REF'!#REF!</definedName>
    <definedName name="_713_____________________________________________________________________________________________________________________________ME">'[2]#REF'!#REF!</definedName>
    <definedName name="_714_____________________________________________________________________________________________________________________________________________________________0_S" hidden="1">#REF!</definedName>
    <definedName name="_714___________________________________________________________________________________________________________________________123Grap" hidden="1">[1]공문!#REF!</definedName>
    <definedName name="_715__________________________________________________________________________________________________________________________F" hidden="1">#REF!</definedName>
    <definedName name="_716_____________________________________________________________________________________________________________________________________________________________0_S" hidden="1">#REF!</definedName>
    <definedName name="_716__________________________________________________________________________________________________________________________F" hidden="1">[3]Sheet3!#REF!</definedName>
    <definedName name="_717__________________________________________________________________________________________________________________________S" hidden="1">#REF!</definedName>
    <definedName name="_718_____________________________________________________________________________________________________________________________________________________________0\SM">'[4]#REF'!#REF!</definedName>
    <definedName name="_718__________________________________________________________________________________________________________________________S" hidden="1">[3]Sheet3!#REF!</definedName>
    <definedName name="_719__________________________________________________________________________________________________________________________S" hidden="1">#REF!</definedName>
    <definedName name="_72___________________________________________________________________________________________________________________________________________________________________________0_S" hidden="1">#REF!</definedName>
    <definedName name="_72___________________________________________________________________________________________________________________________________________________________________________ME">'[2]#REF'!#REF!</definedName>
    <definedName name="_720___________________________________________________________________________________________________________________________________________________________0_0__123Grap" hidden="1">[1]공문!#REF!</definedName>
    <definedName name="_720_________________________________________________________________________________________________________________________\LA">'[2]#REF'!#REF!</definedName>
    <definedName name="_721_________________________________________________________________________________________________________________________\MID">'[2]#REF'!#REF!</definedName>
    <definedName name="_722___________________________________________________________________________________________________________________________________________________________0_0_F" hidden="1">[3]Sheet3!#REF!</definedName>
    <definedName name="_722_________________________________________________________________________________________________________________________\SM">'[2]#REF'!#REF!</definedName>
    <definedName name="_723________________________________________________________________________________________________________________________0_F" hidden="1">#REF!</definedName>
    <definedName name="_724___________________________________________________________________________________________________________________________________________________________0_0_S" hidden="1">[3]Sheet3!#REF!</definedName>
    <definedName name="_724________________________________________________________________________________________________________________________0_S" hidden="1">#REF!</definedName>
    <definedName name="_725________________________________________________________________________________________________________________________0_S" hidden="1">#REF!</definedName>
    <definedName name="_726______________________________________________________________________________________________________________________________________________________________123Grap" hidden="1">[1]공문!#REF!</definedName>
    <definedName name="_726________________________________________________________________________________________________________________________0\SM">'[4]#REF'!#REF!</definedName>
    <definedName name="_727______________________________________________________________________________________________________________________0_0__123Grap" hidden="1">[1]공문!#REF!</definedName>
    <definedName name="_728___________________________________________________________________________________________________________________________________________________________3__Crite">#REF!</definedName>
    <definedName name="_728______________________________________________________________________________________________________________________0_0_F" hidden="1">[3]Sheet3!#REF!</definedName>
    <definedName name="_729______________________________________________________________________________________________________________________0_0_S" hidden="1">[3]Sheet3!#REF!</definedName>
    <definedName name="_73___________________________________________________________________________________________________________________________________________________________________________ME">'[2]#REF'!#REF!</definedName>
    <definedName name="_730___________________________________________________________________________________________________________________________________________________________3__Criteria">#REF!</definedName>
    <definedName name="_730______________________________________________________________________________________________________________________3__Crite">#REF!</definedName>
    <definedName name="_731______________________________________________________________________________________________________________________3__Criteria">#REF!</definedName>
    <definedName name="_732______________________________________________________________________________________________________________________________________________________________F" hidden="1">#REF!</definedName>
    <definedName name="_732______________________________________________________________________________________________________________________G_0Extract">#REF!</definedName>
    <definedName name="_733______________________________________________________________________________________________________________________G__Extr">#REF!</definedName>
    <definedName name="_734______________________________________________________________________________________________________________________________________________________________F" hidden="1">[3]Sheet3!#REF!</definedName>
    <definedName name="_734______________________________________________________________________________________________________________________________________________F" hidden="1">#REF!</definedName>
    <definedName name="_734______________________________________________________________________________________________________________________G__Extract">#REF!</definedName>
    <definedName name="_735______________________________________________________________________________________________________________________________________________F" hidden="1">[3]Sheet3!#REF!</definedName>
    <definedName name="_735_________________________________________________________________________________________________________________________ME">'[2]#REF'!#REF!</definedName>
    <definedName name="_736___________________________________________________________________________________________________________________________________________________________G_0Extract">#REF!</definedName>
    <definedName name="_736_________________________________________________________________________________________________________________________ME">'[2]#REF'!#REF!</definedName>
    <definedName name="_737_______________________________________________________________________________________________________________________123Grap" hidden="1">[1]공문!#REF!</definedName>
    <definedName name="_738___________________________________________________________________________________________________________________________________________________________G__Extr">#REF!</definedName>
    <definedName name="_738______________________________________________________________________________________________________________________F" hidden="1">#REF!</definedName>
    <definedName name="_739______________________________________________________________________________________________________________________F" hidden="1">[3]Sheet3!#REF!</definedName>
    <definedName name="_74___________________________________________________________________________________________________________________________________________________________________________0\SM">'[4]#REF'!#REF!</definedName>
    <definedName name="_74___________________________________________________________________________________________________________________________________________________________________________S" hidden="1">#REF!</definedName>
    <definedName name="_740___________________________________________________________________________________________________________________________________________________________G__Extract">#REF!</definedName>
    <definedName name="_740______________________________________________________________________________________________________________________S" hidden="1">#REF!</definedName>
    <definedName name="_741______________________________________________________________________________________________________________________________________________S" hidden="1">#REF!</definedName>
    <definedName name="_741______________________________________________________________________________________________________________________S" hidden="1">[3]Sheet3!#REF!</definedName>
    <definedName name="_742______________________________________________________________________________________________________________________________________________________________ME">'[2]#REF'!#REF!</definedName>
    <definedName name="_742______________________________________________________________________________________________________________________________________________S" hidden="1">[3]Sheet3!#REF!</definedName>
    <definedName name="_742______________________________________________________________________________________________________________________S" hidden="1">#REF!</definedName>
    <definedName name="_743______________________________________________________________________________________________________________________________________________S" hidden="1">#REF!</definedName>
    <definedName name="_743_____________________________________________________________________________________________________________________\LA">'[2]#REF'!#REF!</definedName>
    <definedName name="_744______________________________________________________________________________________________________________________________________________________________ME">'[2]#REF'!#REF!</definedName>
    <definedName name="_744_____________________________________________________________________________________________________________________________________________\LA">'[2]#REF'!#REF!</definedName>
    <definedName name="_744_____________________________________________________________________________________________________________________\MID">'[2]#REF'!#REF!</definedName>
    <definedName name="_745_____________________________________________________________________________________________________________________________________________\MID">'[2]#REF'!#REF!</definedName>
    <definedName name="_745_____________________________________________________________________________________________________________________\SM">'[2]#REF'!#REF!</definedName>
    <definedName name="_746______________________________________________________________________________________________________________________________________________________________S" hidden="1">#REF!</definedName>
    <definedName name="_746_____________________________________________________________________________________________________________________________________________\SM">'[2]#REF'!#REF!</definedName>
    <definedName name="_746____________________________________________________________________________________________________________________0_F" hidden="1">#REF!</definedName>
    <definedName name="_747____________________________________________________________________________________________________________________________________________0_F" hidden="1">#REF!</definedName>
    <definedName name="_747____________________________________________________________________________________________________________________0_S" hidden="1">#REF!</definedName>
    <definedName name="_748______________________________________________________________________________________________________________________________________________________________S" hidden="1">[3]Sheet3!#REF!</definedName>
    <definedName name="_748____________________________________________________________________________________________________________________________________________0_S" hidden="1">#REF!</definedName>
    <definedName name="_748____________________________________________________________________________________________________________________0_S" hidden="1">#REF!</definedName>
    <definedName name="_749____________________________________________________________________________________________________________________________________________0_S" hidden="1">#REF!</definedName>
    <definedName name="_749____________________________________________________________________________________________________________________0\SM">'[4]#REF'!#REF!</definedName>
    <definedName name="_75___________________________________________________________________________________________________________________________________________________________________________S" hidden="1">[3]Sheet3!#REF!</definedName>
    <definedName name="_750______________________________________________________________________________________________________________________________________________________________S" hidden="1">#REF!</definedName>
    <definedName name="_750____________________________________________________________________________________________________________________________________________0\SM">'[4]#REF'!#REF!</definedName>
    <definedName name="_750__________________________________________________________________________________________________________________0_0__123Grap" hidden="1">[1]공문!#REF!</definedName>
    <definedName name="_751__________________________________________________________________________________________________________________________________________0_0__123Grap" hidden="1">[1]공문!#REF!</definedName>
    <definedName name="_751__________________________________________________________________________________________________________________0_0_F" hidden="1">[3]Sheet3!#REF!</definedName>
    <definedName name="_752_____________________________________________________________________________________________________________________________________________________________\LA">'[2]#REF'!#REF!</definedName>
    <definedName name="_752__________________________________________________________________________________________________________________________________________0_0_F" hidden="1">[3]Sheet3!#REF!</definedName>
    <definedName name="_752__________________________________________________________________________________________________________________0_0_S" hidden="1">[3]Sheet3!#REF!</definedName>
    <definedName name="_753__________________________________________________________________________________________________________________________________________0_0_S" hidden="1">[3]Sheet3!#REF!</definedName>
    <definedName name="_753__________________________________________________________________________________________________________________3__Crite">#REF!</definedName>
    <definedName name="_754_____________________________________________________________________________________________________________________________________________________________\MID">'[2]#REF'!#REF!</definedName>
    <definedName name="_754__________________________________________________________________________________________________________________3__Criteria">#REF!</definedName>
    <definedName name="_755__________________________________________________________________________________________________________________________________________3__Crite">#REF!</definedName>
    <definedName name="_755__________________________________________________________________________________________________________________G_0Extract">#REF!</definedName>
    <definedName name="_756_____________________________________________________________________________________________________________________________________________________________\SM">'[2]#REF'!#REF!</definedName>
    <definedName name="_756__________________________________________________________________________________________________________________________________________3__Criteria">#REF!</definedName>
    <definedName name="_756__________________________________________________________________________________________________________________G__Extr">#REF!</definedName>
    <definedName name="_757__________________________________________________________________________________________________________________G__Extract">#REF!</definedName>
    <definedName name="_758____________________________________________________________________________________________________________________________________________________________0_F" hidden="1">#REF!</definedName>
    <definedName name="_758_____________________________________________________________________________________________________________________ME">'[2]#REF'!#REF!</definedName>
    <definedName name="_759__________________________________________________________________________________________________________________________________________G_0Extract">#REF!</definedName>
    <definedName name="_759_____________________________________________________________________________________________________________________ME">'[2]#REF'!#REF!</definedName>
    <definedName name="_76___________________________________________________________________________________________________________________________________________________________________________S" hidden="1">#REF!</definedName>
    <definedName name="_76_________________________________________________________________________________________________________________________________________________________________________0_0__123Grap" hidden="1">[1]공문!#REF!</definedName>
    <definedName name="_760____________________________________________________________________________________________________________________________________________________________0_S" hidden="1">#REF!</definedName>
    <definedName name="_760__________________________________________________________________________________________________________________________________________G__Extr">#REF!</definedName>
    <definedName name="_760___________________________________________________________________________________________________________________123Grap" hidden="1">[1]공문!#REF!</definedName>
    <definedName name="_761__________________________________________________________________________________________________________________________________________G__Extract">#REF!</definedName>
    <definedName name="_761__________________________________________________________________________________________________________________F" hidden="1">#REF!</definedName>
    <definedName name="_762____________________________________________________________________________________________________________________________________________________________0_S" hidden="1">#REF!</definedName>
    <definedName name="_762_____________________________________________________________________________________________________________________________________________ME">'[2]#REF'!#REF!</definedName>
    <definedName name="_762__________________________________________________________________________________________________________________F" hidden="1">[3]Sheet3!#REF!</definedName>
    <definedName name="_763_____________________________________________________________________________________________________________________________________________ME">'[2]#REF'!#REF!</definedName>
    <definedName name="_763__________________________________________________________________________________________________________________S" hidden="1">#REF!</definedName>
    <definedName name="_764____________________________________________________________________________________________________________________________________________________________0\SM">'[4]#REF'!#REF!</definedName>
    <definedName name="_764__________________________________________________________________________________________________________________S" hidden="1">[3]Sheet3!#REF!</definedName>
    <definedName name="_765__________________________________________________________________________________________________________________S" hidden="1">#REF!</definedName>
    <definedName name="_766__________________________________________________________________________________________________________________________________________________________0_0__123Grap" hidden="1">[1]공문!#REF!</definedName>
    <definedName name="_766_________________________________________________________________________________________________________________\LA">'[2]#REF'!#REF!</definedName>
    <definedName name="_767_________________________________________________________________________________________________________________\MID">'[2]#REF'!#REF!</definedName>
    <definedName name="_768__________________________________________________________________________________________________________________________________________________________0_0_F" hidden="1">[3]Sheet3!#REF!</definedName>
    <definedName name="_768_________________________________________________________________________________________________________________\SM">'[2]#REF'!#REF!</definedName>
    <definedName name="_769________________________________________________________________________________________________________________0_F" hidden="1">#REF!</definedName>
    <definedName name="_77__________________________________________________________________________________________________________________________________________________________________________\LA">'[2]#REF'!#REF!</definedName>
    <definedName name="_770__________________________________________________________________________________________________________________________________________________________0_0_S" hidden="1">[3]Sheet3!#REF!</definedName>
    <definedName name="_770________________________________________________________________________________________________________________0_S" hidden="1">#REF!</definedName>
    <definedName name="_771________________________________________________________________________________________________________________0_S" hidden="1">#REF!</definedName>
    <definedName name="_772_____________________________________________________________________________________________________________________________________________________________123Grap" hidden="1">[1]공문!#REF!</definedName>
    <definedName name="_772________________________________________________________________________________________________________________0\SM">'[4]#REF'!#REF!</definedName>
    <definedName name="_773______________________________________________________________________________________________________________0_0__123Grap" hidden="1">[1]공문!#REF!</definedName>
    <definedName name="_774__________________________________________________________________________________________________________________________________________________________3__Crite">#REF!</definedName>
    <definedName name="_774______________________________________________________________________________________________________________0_0_F" hidden="1">[3]Sheet3!#REF!</definedName>
    <definedName name="_775______________________________________________________________________________________________________________0_0_S" hidden="1">[3]Sheet3!#REF!</definedName>
    <definedName name="_776__________________________________________________________________________________________________________________________________________________________3__Criteria">#REF!</definedName>
    <definedName name="_776______________________________________________________________________________________________________________3__Crite">#REF!</definedName>
    <definedName name="_777______________________________________________________________________________________________________________3__Criteria">#REF!</definedName>
    <definedName name="_778_____________________________________________________________________________________________________________________________________________________________F" hidden="1">#REF!</definedName>
    <definedName name="_778______________________________________________________________________________________________________________G_0Extract">#REF!</definedName>
    <definedName name="_779______________________________________________________________________________________________________________G__Extr">#REF!</definedName>
    <definedName name="_78__________________________________________________________________________________________________________________________________________________________________________\MID">'[2]#REF'!#REF!</definedName>
    <definedName name="_78_________________________________________________________________________________________________________________________________________________________________________0_0_F" hidden="1">[3]Sheet3!#REF!</definedName>
    <definedName name="_780_____________________________________________________________________________________________________________________________________________________________F" hidden="1">[3]Sheet3!#REF!</definedName>
    <definedName name="_780______________________________________________________________________________________________________________G__Extract">#REF!</definedName>
    <definedName name="_781_________________________________________________________________________________________________________________ME">'[2]#REF'!#REF!</definedName>
    <definedName name="_782__________________________________________________________________________________________________________________________________________________________G_0Extract">#REF!</definedName>
    <definedName name="_782_________________________________________________________________________________________________________________ME">'[2]#REF'!#REF!</definedName>
    <definedName name="_783_______________________________________________________________________________________________________________123Grap" hidden="1">[1]공문!#REF!</definedName>
    <definedName name="_784__________________________________________________________________________________________________________________________________________________________G__Extr">#REF!</definedName>
    <definedName name="_784______________________________________________________________________________________________________________F" hidden="1">#REF!</definedName>
    <definedName name="_785______________________________________________________________________________________________________________F" hidden="1">[3]Sheet3!#REF!</definedName>
    <definedName name="_786__________________________________________________________________________________________________________________________________________________________G__Extract">#REF!</definedName>
    <definedName name="_786______________________________________________________________________________________________________________S" hidden="1">#REF!</definedName>
    <definedName name="_787______________________________________________________________________________________________________________S" hidden="1">[3]Sheet3!#REF!</definedName>
    <definedName name="_788_____________________________________________________________________________________________________________________________________________________________ME">'[2]#REF'!#REF!</definedName>
    <definedName name="_788______________________________________________________________________________________________________________S" hidden="1">#REF!</definedName>
    <definedName name="_789_____________________________________________________________________________________________________________\LA">'[2]#REF'!#REF!</definedName>
    <definedName name="_79__________________________________________________________________________________________________________________________________________________________________________\SM">'[2]#REF'!#REF!</definedName>
    <definedName name="_790_____________________________________________________________________________________________________________________________________________________________ME">'[2]#REF'!#REF!</definedName>
    <definedName name="_790_____________________________________________________________________________________________________________\MID">'[2]#REF'!#REF!</definedName>
    <definedName name="_791_____________________________________________________________________________________________________________\SM">'[2]#REF'!#REF!</definedName>
    <definedName name="_792_____________________________________________________________________________________________________________________________________________________________S" hidden="1">#REF!</definedName>
    <definedName name="_792____________________________________________________________________________________________________________0_F" hidden="1">#REF!</definedName>
    <definedName name="_793____________________________________________________________________________________________________________0_S" hidden="1">#REF!</definedName>
    <definedName name="_794_____________________________________________________________________________________________________________________________________________________________S" hidden="1">[3]Sheet3!#REF!</definedName>
    <definedName name="_794____________________________________________________________________________________________________________0_S" hidden="1">#REF!</definedName>
    <definedName name="_795____________________________________________________________________________________________________________0\SM">'[4]#REF'!#REF!</definedName>
    <definedName name="_796_____________________________________________________________________________________________________________________________________________________________S" hidden="1">#REF!</definedName>
    <definedName name="_796__________________________________________________________________________________________________________0_0__123Grap" hidden="1">[1]공문!#REF!</definedName>
    <definedName name="_797__________________________________________________________________________________________________________0_0_F" hidden="1">[3]Sheet3!#REF!</definedName>
    <definedName name="_798____________________________________________________________________________________________________________________________________________________________\LA">'[2]#REF'!#REF!</definedName>
    <definedName name="_798__________________________________________________________________________________________________________0_0_S" hidden="1">[3]Sheet3!#REF!</definedName>
    <definedName name="_799__________________________________________________________________________________________________________3__Crite">#REF!</definedName>
    <definedName name="_8______________________________________________________________________________________________________________________________________________________________________________F" hidden="1">[3]Sheet3!#REF!</definedName>
    <definedName name="_8_____________________________________________________________________________________________________________________________________________________________________________\LA">'[2]#REF'!#REF!</definedName>
    <definedName name="_80_________________________________________________________________________________________________________________________________________________________________________0_0_S" hidden="1">[3]Sheet3!#REF!</definedName>
    <definedName name="_80_________________________________________________________________________________________________________________________________________________________________________0_F" hidden="1">#REF!</definedName>
    <definedName name="_800____________________________________________________________________________________________________________________________________________________________\MID">'[2]#REF'!#REF!</definedName>
    <definedName name="_800___________________________________________________________________________________________________________________________________________123Grap" hidden="1">[1]공문!#REF!</definedName>
    <definedName name="_800__________________________________________________________________________________________________________3__Criteria">#REF!</definedName>
    <definedName name="_801__________________________________________________________________________________________________________G_0Extract">#REF!</definedName>
    <definedName name="_802____________________________________________________________________________________________________________________________________________________________\SM">'[2]#REF'!#REF!</definedName>
    <definedName name="_802__________________________________________________________________________________________________________G__Extr">#REF!</definedName>
    <definedName name="_803__________________________________________________________________________________________________________G__Extract">#REF!</definedName>
    <definedName name="_804___________________________________________________________________________________________________________________________________________________________0_F" hidden="1">#REF!</definedName>
    <definedName name="_804_____________________________________________________________________________________________________________ME">'[2]#REF'!#REF!</definedName>
    <definedName name="_805_____________________________________________________________________________________________________________ME">'[2]#REF'!#REF!</definedName>
    <definedName name="_806___________________________________________________________________________________________________________________________________________________________0_S" hidden="1">#REF!</definedName>
    <definedName name="_808___________________________________________________________________________________________________________________________________________________________0_S" hidden="1">#REF!</definedName>
    <definedName name="_81_________________________________________________________________________________________________________________________________________________________________________0_S" hidden="1">#REF!</definedName>
    <definedName name="_810___________________________________________________________________________________________________________________________________________________________0\SM">'[4]#REF'!#REF!</definedName>
    <definedName name="_812_________________________________________________________________________________________________________________________________________________________0_0__123Grap" hidden="1">[1]공문!#REF!</definedName>
    <definedName name="_814_________________________________________________________________________________________________________________________________________________________0_0_F" hidden="1">[3]Sheet3!#REF!</definedName>
    <definedName name="_816_________________________________________________________________________________________________________________________________________________________0_0_S" hidden="1">[3]Sheet3!#REF!</definedName>
    <definedName name="_818____________________________________________________________________________________________________________________________________________________________123Grap" hidden="1">[1]공문!#REF!</definedName>
    <definedName name="_82____________________________________________________________________________________________________________________________________________________________________________123Grap" hidden="1">[1]공문!#REF!</definedName>
    <definedName name="_82_________________________________________________________________________________________________________________________________________________________________________0_S" hidden="1">#REF!</definedName>
    <definedName name="_820_________________________________________________________________________________________________________________________________________________________3__Crite">#REF!</definedName>
    <definedName name="_822_________________________________________________________________________________________________________________________________________________________3__Criteria">#REF!</definedName>
    <definedName name="_824____________________________________________________________________________________________________________________________________________________________F" hidden="1">#REF!</definedName>
    <definedName name="_826____________________________________________________________________________________________________________________________________________________________F" hidden="1">[3]Sheet3!#REF!</definedName>
    <definedName name="_826__________________________________________________________________________________________________________________________________________F" hidden="1">#REF!</definedName>
    <definedName name="_827__________________________________________________________________________________________________________________________________________F" hidden="1">[3]Sheet3!#REF!</definedName>
    <definedName name="_828_________________________________________________________________________________________________________________________________________________________G_0Extract">#REF!</definedName>
    <definedName name="_829_______________________________________________________________________________________________________123Grap" hidden="1">[1]공문!#REF!</definedName>
    <definedName name="_83_________________________________________________________________________________________________________________________________________________________________________0\SM">'[4]#REF'!#REF!</definedName>
    <definedName name="_830_________________________________________________________________________________________________________________________________________________________G__Extr">#REF!</definedName>
    <definedName name="_830______________________________________________________________________________________________________F" hidden="1">#REF!</definedName>
    <definedName name="_831______________________________________________________________________________________________________F" hidden="1">[3]Sheet3!#REF!</definedName>
    <definedName name="_832_________________________________________________________________________________________________________________________________________________________G__Extract">#REF!</definedName>
    <definedName name="_832______________________________________________________________________________________________________S" hidden="1">#REF!</definedName>
    <definedName name="_833__________________________________________________________________________________________________________________________________________S" hidden="1">#REF!</definedName>
    <definedName name="_833______________________________________________________________________________________________________S" hidden="1">[3]Sheet3!#REF!</definedName>
    <definedName name="_834____________________________________________________________________________________________________________________________________________________________ME">'[2]#REF'!#REF!</definedName>
    <definedName name="_834__________________________________________________________________________________________________________________________________________S" hidden="1">[3]Sheet3!#REF!</definedName>
    <definedName name="_834______________________________________________________________________________________________________S" hidden="1">#REF!</definedName>
    <definedName name="_835__________________________________________________________________________________________________________________________________________S" hidden="1">#REF!</definedName>
    <definedName name="_835_____________________________________________________________________________________________________\LA">'[2]#REF'!#REF!</definedName>
    <definedName name="_836____________________________________________________________________________________________________________________________________________________________ME">'[2]#REF'!#REF!</definedName>
    <definedName name="_836_________________________________________________________________________________________________________________________________________\LA">'[2]#REF'!#REF!</definedName>
    <definedName name="_836_____________________________________________________________________________________________________\MID">'[2]#REF'!#REF!</definedName>
    <definedName name="_837_________________________________________________________________________________________________________________________________________\MID">'[2]#REF'!#REF!</definedName>
    <definedName name="_837_____________________________________________________________________________________________________\SM">'[2]#REF'!#REF!</definedName>
    <definedName name="_838____________________________________________________________________________________________________________________________________________________________S" hidden="1">#REF!</definedName>
    <definedName name="_838_________________________________________________________________________________________________________________________________________\SM">'[2]#REF'!#REF!</definedName>
    <definedName name="_838____________________________________________________________________________________________________0_F" hidden="1">#REF!</definedName>
    <definedName name="_839________________________________________________________________________________________________________________________________________0_F" hidden="1">#REF!</definedName>
    <definedName name="_839____________________________________________________________________________________________________0_S" hidden="1">#REF!</definedName>
    <definedName name="_84_________________________________________________________________________________________________________________________________________________________________________3__Crite">#REF!</definedName>
    <definedName name="_84_______________________________________________________________________________________________________________________________________________________________________0_0__123Grap" hidden="1">[1]공문!#REF!</definedName>
    <definedName name="_840____________________________________________________________________________________________________________________________________________________________S" hidden="1">[3]Sheet3!#REF!</definedName>
    <definedName name="_840________________________________________________________________________________________________________________________________________0_S" hidden="1">#REF!</definedName>
    <definedName name="_840____________________________________________________________________________________________________0_S" hidden="1">#REF!</definedName>
    <definedName name="_841________________________________________________________________________________________________________________________________________0_S" hidden="1">#REF!</definedName>
    <definedName name="_841____________________________________________________________________________________________________0\SM">'[4]#REF'!#REF!</definedName>
    <definedName name="_842____________________________________________________________________________________________________________________________________________________________S" hidden="1">#REF!</definedName>
    <definedName name="_842________________________________________________________________________________________________________________________________________0\SM">'[4]#REF'!#REF!</definedName>
    <definedName name="_842__________________________________________________________________________________________________0_0__123Grap" hidden="1">[1]공문!#REF!</definedName>
    <definedName name="_843______________________________________________________________________________________________________________________________________0_0__123Grap" hidden="1">[1]공문!#REF!</definedName>
    <definedName name="_843__________________________________________________________________________________________________0_0_F" hidden="1">[3]Sheet3!#REF!</definedName>
    <definedName name="_844___________________________________________________________________________________________________________________________________________________________\LA">'[2]#REF'!#REF!</definedName>
    <definedName name="_844______________________________________________________________________________________________________________________________________0_0_F" hidden="1">[3]Sheet3!#REF!</definedName>
    <definedName name="_844__________________________________________________________________________________________________0_0_S" hidden="1">[3]Sheet3!#REF!</definedName>
    <definedName name="_845______________________________________________________________________________________________________________________________________0_0_S" hidden="1">[3]Sheet3!#REF!</definedName>
    <definedName name="_845__________________________________________________________________________________________________3__Crite">#REF!</definedName>
    <definedName name="_846___________________________________________________________________________________________________________________________________________________________\MID">'[2]#REF'!#REF!</definedName>
    <definedName name="_846__________________________________________________________________________________________________3__Criteria">#REF!</definedName>
    <definedName name="_847______________________________________________________________________________________________________________________________________3__Crite">#REF!</definedName>
    <definedName name="_847__________________________________________________________________________________________________G_0Extract">#REF!</definedName>
    <definedName name="_848___________________________________________________________________________________________________________________________________________________________\SM">'[2]#REF'!#REF!</definedName>
    <definedName name="_848______________________________________________________________________________________________________________________________________3__Criteria">#REF!</definedName>
    <definedName name="_848__________________________________________________________________________________________________G__Extr">#REF!</definedName>
    <definedName name="_849__________________________________________________________________________________________________G__Extract">#REF!</definedName>
    <definedName name="_85_______________________________________________________________________________________________________________________________________________________________________0_0_F" hidden="1">[3]Sheet3!#REF!</definedName>
    <definedName name="_850__________________________________________________________________________________________________________________________________________________________0_F" hidden="1">#REF!</definedName>
    <definedName name="_850_____________________________________________________________________________________________________ME">'[2]#REF'!#REF!</definedName>
    <definedName name="_851______________________________________________________________________________________________________________________________________G_0Extract">#REF!</definedName>
    <definedName name="_851_____________________________________________________________________________________________________ME">'[2]#REF'!#REF!</definedName>
    <definedName name="_852__________________________________________________________________________________________________________________________________________________________0_S" hidden="1">#REF!</definedName>
    <definedName name="_852______________________________________________________________________________________________________________________________________G__Extr">#REF!</definedName>
    <definedName name="_852____________________________________________________________________________________________________123Grap" hidden="1">[1]공문!#REF!</definedName>
    <definedName name="_853______________________________________________________________________________________________________________________________________G__Extract">#REF!</definedName>
    <definedName name="_853___________________________________________________________________________________________________F" hidden="1">#REF!</definedName>
    <definedName name="_854__________________________________________________________________________________________________________________________________________________________0_S" hidden="1">#REF!</definedName>
    <definedName name="_854_________________________________________________________________________________________________________________________________________ME">'[2]#REF'!#REF!</definedName>
    <definedName name="_854___________________________________________________________________________________________________F" hidden="1">[3]Sheet3!#REF!</definedName>
    <definedName name="_855_________________________________________________________________________________________________________________________________________ME">'[2]#REF'!#REF!</definedName>
    <definedName name="_855___________________________________________________________________________________________________S" hidden="1">#REF!</definedName>
    <definedName name="_856__________________________________________________________________________________________________________________________________________________________0\SM">'[4]#REF'!#REF!</definedName>
    <definedName name="_856___________________________________________________________________________________________________S" hidden="1">[3]Sheet3!#REF!</definedName>
    <definedName name="_857___________________________________________________________________________________________________S" hidden="1">#REF!</definedName>
    <definedName name="_858________________________________________________________________________________________________________________________________________________________0_0__123Grap" hidden="1">[1]공문!#REF!</definedName>
    <definedName name="_858__________________________________________________________________________________________________\LA">'[2]#REF'!#REF!</definedName>
    <definedName name="_859__________________________________________________________________________________________________\MID">'[2]#REF'!#REF!</definedName>
    <definedName name="_86_________________________________________________________________________________________________________________________________________________________________________3__Criteria">#REF!</definedName>
    <definedName name="_86_______________________________________________________________________________________________________________________________________________________________________0_0_S" hidden="1">[3]Sheet3!#REF!</definedName>
    <definedName name="_860________________________________________________________________________________________________________________________________________________________0_0_F" hidden="1">[3]Sheet3!#REF!</definedName>
    <definedName name="_860__________________________________________________________________________________________________\SM">'[2]#REF'!#REF!</definedName>
    <definedName name="_861_________________________________________________________________________________________________0_F" hidden="1">#REF!</definedName>
    <definedName name="_862________________________________________________________________________________________________________________________________________________________0_0_S" hidden="1">[3]Sheet3!#REF!</definedName>
    <definedName name="_862_________________________________________________________________________________________________0_S" hidden="1">#REF!</definedName>
    <definedName name="_863_________________________________________________________________________________________________0_S" hidden="1">#REF!</definedName>
    <definedName name="_864___________________________________________________________________________________________________________________________________________________________123Grap" hidden="1">[1]공문!#REF!</definedName>
    <definedName name="_864_________________________________________________________________________________________________0\SM">'[4]#REF'!#REF!</definedName>
    <definedName name="_865_______________________________________________________________________________________________0_0__123Grap" hidden="1">[1]공문!#REF!</definedName>
    <definedName name="_866________________________________________________________________________________________________________________________________________________________3__Crite">#REF!</definedName>
    <definedName name="_866_______________________________________________________________________________________________0_0_F" hidden="1">[3]Sheet3!#REF!</definedName>
    <definedName name="_867_______________________________________________________________________________________________0_0_S" hidden="1">[3]Sheet3!#REF!</definedName>
    <definedName name="_868________________________________________________________________________________________________________________________________________________________3__Criteria">#REF!</definedName>
    <definedName name="_868_______________________________________________________________________________________________3__Crite">#REF!</definedName>
    <definedName name="_869_______________________________________________________________________________________________3__Criteria">#REF!</definedName>
    <definedName name="_87__________________________________________________________________________________________________________________________________________________________________________123Grap" hidden="1">[1]공문!#REF!</definedName>
    <definedName name="_870___________________________________________________________________________________________________________________________________________________________F" hidden="1">#REF!</definedName>
    <definedName name="_870_______________________________________________________________________________________________G_0Extract">#REF!</definedName>
    <definedName name="_871_______________________________________________________________________________________________G__Extr">#REF!</definedName>
    <definedName name="_872___________________________________________________________________________________________________________________________________________________________F" hidden="1">[3]Sheet3!#REF!</definedName>
    <definedName name="_872_______________________________________________________________________________________________G__Extract">#REF!</definedName>
    <definedName name="_873__________________________________________________________________________________________________ME">'[2]#REF'!#REF!</definedName>
    <definedName name="_874________________________________________________________________________________________________________________________________________________________G_0Extract">#REF!</definedName>
    <definedName name="_874__________________________________________________________________________________________________ME">'[2]#REF'!#REF!</definedName>
    <definedName name="_875________________________________________________________________________________________________123Grap" hidden="1">[1]공문!#REF!</definedName>
    <definedName name="_876________________________________________________________________________________________________________________________________________________________G__Extr">#REF!</definedName>
    <definedName name="_876_______________________________________________________________________________________________F" hidden="1">#REF!</definedName>
    <definedName name="_877_______________________________________________________________________________________________F" hidden="1">[3]Sheet3!#REF!</definedName>
    <definedName name="_878________________________________________________________________________________________________________________________________________________________G__Extract">#REF!</definedName>
    <definedName name="_878_______________________________________________________________________________________________S" hidden="1">#REF!</definedName>
    <definedName name="_879_______________________________________________________________________________________________S" hidden="1">[3]Sheet3!#REF!</definedName>
    <definedName name="_88____________________________________________________________________________________________________________________________________________________________________________F" hidden="1">#REF!</definedName>
    <definedName name="_88_______________________________________________________________________________________________________________________________________________________________________3__Crite">#REF!</definedName>
    <definedName name="_880___________________________________________________________________________________________________________________________________________________________ME">'[2]#REF'!#REF!</definedName>
    <definedName name="_880_______________________________________________________________________________________________S" hidden="1">#REF!</definedName>
    <definedName name="_881______________________________________________________________________________________________\LA">'[2]#REF'!#REF!</definedName>
    <definedName name="_882___________________________________________________________________________________________________________________________________________________________ME">'[2]#REF'!#REF!</definedName>
    <definedName name="_882______________________________________________________________________________________________\MID">'[2]#REF'!#REF!</definedName>
    <definedName name="_883______________________________________________________________________________________________\SM">'[2]#REF'!#REF!</definedName>
    <definedName name="_884___________________________________________________________________________________________________________________________________________________________S" hidden="1">#REF!</definedName>
    <definedName name="_884_____________________________________________________________________________________________0_F" hidden="1">#REF!</definedName>
    <definedName name="_885_____________________________________________________________________________________________0_S" hidden="1">#REF!</definedName>
    <definedName name="_886___________________________________________________________________________________________________________________________________________________________S" hidden="1">[3]Sheet3!#REF!</definedName>
    <definedName name="_886_____________________________________________________________________________________________0_S" hidden="1">#REF!</definedName>
    <definedName name="_887_____________________________________________________________________________________________0\SM">'[4]#REF'!#REF!</definedName>
    <definedName name="_888___________________________________________________________________________________________________________________________________________________________S" hidden="1">#REF!</definedName>
    <definedName name="_888___________________________________________________________________________________________0_0__123Grap" hidden="1">[1]공문!#REF!</definedName>
    <definedName name="_889___________________________________________________________________________________________0_0_F" hidden="1">[3]Sheet3!#REF!</definedName>
    <definedName name="_89_______________________________________________________________________________________________________________________________________________________________________3__Criteria">#REF!</definedName>
    <definedName name="_890__________________________________________________________________________________________________________________________________________________________\LA">'[2]#REF'!#REF!</definedName>
    <definedName name="_890___________________________________________________________________________________________0_0_S" hidden="1">[3]Sheet3!#REF!</definedName>
    <definedName name="_891___________________________________________________________________________________________3__Crite">#REF!</definedName>
    <definedName name="_892__________________________________________________________________________________________________________________________________________________________\MID">'[2]#REF'!#REF!</definedName>
    <definedName name="_892_______________________________________________________________________________________________________________________________________123Grap" hidden="1">[1]공문!#REF!</definedName>
    <definedName name="_892___________________________________________________________________________________________3__Criteria">#REF!</definedName>
    <definedName name="_893___________________________________________________________________________________________G_0Extract">#REF!</definedName>
    <definedName name="_894__________________________________________________________________________________________________________________________________________________________\SM">'[2]#REF'!#REF!</definedName>
    <definedName name="_894___________________________________________________________________________________________G__Extr">#REF!</definedName>
    <definedName name="_895___________________________________________________________________________________________G__Extract">#REF!</definedName>
    <definedName name="_896_________________________________________________________________________________________________________________________________________________________0_F" hidden="1">#REF!</definedName>
    <definedName name="_896______________________________________________________________________________________________ME">'[2]#REF'!#REF!</definedName>
    <definedName name="_897______________________________________________________________________________________________ME">'[2]#REF'!#REF!</definedName>
    <definedName name="_898_________________________________________________________________________________________________________________________________________________________0_S" hidden="1">#REF!</definedName>
    <definedName name="_898____________________________________________________________________________________________123Grap" hidden="1">[1]공문!#REF!</definedName>
    <definedName name="_899___________________________________________________________________________________________F" hidden="1">#REF!</definedName>
    <definedName name="_9_____________________________________________________________________________________________________________________________________________________________________________\MID">'[2]#REF'!#REF!</definedName>
    <definedName name="_90____________________________________________________________________________________________________________________________________________________________________________F" hidden="1">[3]Sheet3!#REF!</definedName>
    <definedName name="_90__________________________________________________________________________________________________________________________________________________________________________F" hidden="1">#REF!</definedName>
    <definedName name="_900_________________________________________________________________________________________________________________________________________________________0_S" hidden="1">#REF!</definedName>
    <definedName name="_900___________________________________________________________________________________________F" hidden="1">[3]Sheet3!#REF!</definedName>
    <definedName name="_901___________________________________________________________________________________________S" hidden="1">#REF!</definedName>
    <definedName name="_902_________________________________________________________________________________________________________________________________________________________0\SM">'[4]#REF'!#REF!</definedName>
    <definedName name="_902___________________________________________________________________________________________S" hidden="1">[3]Sheet3!#REF!</definedName>
    <definedName name="_903___________________________________________________________________________________________S" hidden="1">#REF!</definedName>
    <definedName name="_904_______________________________________________________________________________________________________________________________________________________0_0__123Grap" hidden="1">[1]공문!#REF!</definedName>
    <definedName name="_904__________________________________________________________________________________________\LA">'[2]#REF'!#REF!</definedName>
    <definedName name="_905__________________________________________________________________________________________\MID">'[2]#REF'!#REF!</definedName>
    <definedName name="_906_______________________________________________________________________________________________________________________________________________________0_0_F" hidden="1">[3]Sheet3!#REF!</definedName>
    <definedName name="_906__________________________________________________________________________________________\SM">'[2]#REF'!#REF!</definedName>
    <definedName name="_907_________________________________________________________________________________________0_F" hidden="1">#REF!</definedName>
    <definedName name="_908_______________________________________________________________________________________________________________________________________________________0_0_S" hidden="1">[3]Sheet3!#REF!</definedName>
    <definedName name="_908_________________________________________________________________________________________0_S" hidden="1">#REF!</definedName>
    <definedName name="_909_________________________________________________________________________________________0_S" hidden="1">#REF!</definedName>
    <definedName name="_91__________________________________________________________________________________________________________________________________________________________________________F" hidden="1">[3]Sheet3!#REF!</definedName>
    <definedName name="_910__________________________________________________________________________________________________________________________________________________________123Grap" hidden="1">[1]공문!#REF!</definedName>
    <definedName name="_910_________________________________________________________________________________________0\SM">'[4]#REF'!#REF!</definedName>
    <definedName name="_911_______________________________________________________________________________________0_0__123Grap" hidden="1">[1]공문!#REF!</definedName>
    <definedName name="_912_______________________________________________________________________________________________________________________________________________________3__Crite">#REF!</definedName>
    <definedName name="_912_______________________________________________________________________________________0_0_F" hidden="1">[3]Sheet3!#REF!</definedName>
    <definedName name="_913_______________________________________________________________________________________0_0_S" hidden="1">[3]Sheet3!#REF!</definedName>
    <definedName name="_914_______________________________________________________________________________________________________________________________________________________3__Criteria">#REF!</definedName>
    <definedName name="_914_______________________________________________________________________________________3__Crite">#REF!</definedName>
    <definedName name="_915_______________________________________________________________________________________3__Criteria">#REF!</definedName>
    <definedName name="_916__________________________________________________________________________________________________________________________________________________________F" hidden="1">#REF!</definedName>
    <definedName name="_916_______________________________________________________________________________________G_0Extract">#REF!</definedName>
    <definedName name="_917_______________________________________________________________________________________G__Extr">#REF!</definedName>
    <definedName name="_918__________________________________________________________________________________________________________________________________________________________F" hidden="1">[3]Sheet3!#REF!</definedName>
    <definedName name="_918______________________________________________________________________________________________________________________________________F" hidden="1">#REF!</definedName>
    <definedName name="_918_______________________________________________________________________________________G__Extract">#REF!</definedName>
    <definedName name="_919______________________________________________________________________________________________________________________________________F" hidden="1">[3]Sheet3!#REF!</definedName>
    <definedName name="_919__________________________________________________________________________________________ME">'[2]#REF'!#REF!</definedName>
    <definedName name="_92_________________________________________________________________________________________________________________________________________________________________________G_0Extract">#REF!</definedName>
    <definedName name="_92_______________________________________________________________________________________________________________________________________________________________________G_0Extract">#REF!</definedName>
    <definedName name="_920_______________________________________________________________________________________________________________________________________________________G_0Extract">#REF!</definedName>
    <definedName name="_920__________________________________________________________________________________________ME">'[2]#REF'!#REF!</definedName>
    <definedName name="_921________________________________________________________________________________________123Grap" hidden="1">[1]공문!#REF!</definedName>
    <definedName name="_922_______________________________________________________________________________________________________________________________________________________G__Extr">#REF!</definedName>
    <definedName name="_922_______________________________________________________________________________________F" hidden="1">#REF!</definedName>
    <definedName name="_923_______________________________________________________________________________________F" hidden="1">[3]Sheet3!#REF!</definedName>
    <definedName name="_924_______________________________________________________________________________________________________________________________________________________G__Extract">#REF!</definedName>
    <definedName name="_924_______________________________________________________________________________________S" hidden="1">#REF!</definedName>
    <definedName name="_925______________________________________________________________________________________________________________________________________S" hidden="1">#REF!</definedName>
    <definedName name="_925_______________________________________________________________________________________S" hidden="1">[3]Sheet3!#REF!</definedName>
    <definedName name="_926__________________________________________________________________________________________________________________________________________________________ME">'[2]#REF'!#REF!</definedName>
    <definedName name="_926______________________________________________________________________________________________________________________________________S" hidden="1">[3]Sheet3!#REF!</definedName>
    <definedName name="_926_______________________________________________________________________________________S" hidden="1">#REF!</definedName>
    <definedName name="_927______________________________________________________________________________________________________________________________________S" hidden="1">#REF!</definedName>
    <definedName name="_927______________________________________________________________________________________\LA">'[2]#REF'!#REF!</definedName>
    <definedName name="_928__________________________________________________________________________________________________________________________________________________________ME">'[2]#REF'!#REF!</definedName>
    <definedName name="_928_____________________________________________________________________________________________________________________________________\LA">'[2]#REF'!#REF!</definedName>
    <definedName name="_928______________________________________________________________________________________\MID">'[2]#REF'!#REF!</definedName>
    <definedName name="_929_____________________________________________________________________________________________________________________________________\MID">'[2]#REF'!#REF!</definedName>
    <definedName name="_929______________________________________________________________________________________\SM">'[2]#REF'!#REF!</definedName>
    <definedName name="_93_______________________________________________________________________________________________________________________________________________________________________G__Extr">#REF!</definedName>
    <definedName name="_930__________________________________________________________________________________________________________________________________________________________S" hidden="1">#REF!</definedName>
    <definedName name="_930_____________________________________________________________________________________________________________________________________\SM">'[2]#REF'!#REF!</definedName>
    <definedName name="_930_____________________________________________________________________________________0_F" hidden="1">#REF!</definedName>
    <definedName name="_931____________________________________________________________________________________________________________________________________0_F" hidden="1">#REF!</definedName>
    <definedName name="_931_____________________________________________________________________________________0_S" hidden="1">#REF!</definedName>
    <definedName name="_932__________________________________________________________________________________________________________________________________________________________S" hidden="1">[3]Sheet3!#REF!</definedName>
    <definedName name="_932____________________________________________________________________________________________________________________________________0_S" hidden="1">#REF!</definedName>
    <definedName name="_932_____________________________________________________________________________________0_S" hidden="1">#REF!</definedName>
    <definedName name="_933____________________________________________________________________________________________________________________________________0_S" hidden="1">#REF!</definedName>
    <definedName name="_933_____________________________________________________________________________________0\SM">'[4]#REF'!#REF!</definedName>
    <definedName name="_934__________________________________________________________________________________________________________________________________________________________S" hidden="1">#REF!</definedName>
    <definedName name="_934____________________________________________________________________________________________________________________________________0\SM">'[4]#REF'!#REF!</definedName>
    <definedName name="_934___________________________________________________________________________________0_0__123Grap" hidden="1">[1]공문!#REF!</definedName>
    <definedName name="_935__________________________________________________________________________________________________________________________________0_0__123Grap" hidden="1">[1]공문!#REF!</definedName>
    <definedName name="_935___________________________________________________________________________________0_0_F" hidden="1">[3]Sheet3!#REF!</definedName>
    <definedName name="_936_________________________________________________________________________________________________________________________________________________________\LA">'[2]#REF'!#REF!</definedName>
    <definedName name="_936__________________________________________________________________________________________________________________________________0_0_F" hidden="1">[3]Sheet3!#REF!</definedName>
    <definedName name="_936___________________________________________________________________________________0_0_S" hidden="1">[3]Sheet3!#REF!</definedName>
    <definedName name="_937__________________________________________________________________________________________________________________________________0_0_S" hidden="1">[3]Sheet3!#REF!</definedName>
    <definedName name="_937___________________________________________________________________________________3__Crite">#REF!</definedName>
    <definedName name="_938_________________________________________________________________________________________________________________________________________________________\MID">'[2]#REF'!#REF!</definedName>
    <definedName name="_938___________________________________________________________________________________3__Criteria">#REF!</definedName>
    <definedName name="_939__________________________________________________________________________________________________________________________________3__Crite">#REF!</definedName>
    <definedName name="_939___________________________________________________________________________________G_0Extract">#REF!</definedName>
    <definedName name="_94_________________________________________________________________________________________________________________________________________________________________________G__Extr">#REF!</definedName>
    <definedName name="_94_______________________________________________________________________________________________________________________________________________________________________G__Extract">#REF!</definedName>
    <definedName name="_940_________________________________________________________________________________________________________________________________________________________\SM">'[2]#REF'!#REF!</definedName>
    <definedName name="_940__________________________________________________________________________________________________________________________________3__Criteria">#REF!</definedName>
    <definedName name="_940___________________________________________________________________________________G__Extr">#REF!</definedName>
    <definedName name="_941___________________________________________________________________________________G__Extract">#REF!</definedName>
    <definedName name="_942________________________________________________________________________________________________________________________________________________________0_F" hidden="1">#REF!</definedName>
    <definedName name="_942______________________________________________________________________________________ME">'[2]#REF'!#REF!</definedName>
    <definedName name="_943__________________________________________________________________________________________________________________________________G_0Extract">#REF!</definedName>
    <definedName name="_943______________________________________________________________________________________ME">'[2]#REF'!#REF!</definedName>
    <definedName name="_944________________________________________________________________________________________________________________________________________________________0_S" hidden="1">#REF!</definedName>
    <definedName name="_944__________________________________________________________________________________________________________________________________G__Extr">#REF!</definedName>
    <definedName name="_944____________________________________________________________________________________123Grap" hidden="1">[1]공문!#REF!</definedName>
    <definedName name="_945__________________________________________________________________________________________________________________________________G__Extract">#REF!</definedName>
    <definedName name="_945___________________________________________________________________________________F" hidden="1">#REF!</definedName>
    <definedName name="_946________________________________________________________________________________________________________________________________________________________0_S" hidden="1">#REF!</definedName>
    <definedName name="_946_____________________________________________________________________________________________________________________________________ME">'[2]#REF'!#REF!</definedName>
    <definedName name="_946___________________________________________________________________________________F" hidden="1">[3]Sheet3!#REF!</definedName>
    <definedName name="_947_____________________________________________________________________________________________________________________________________ME">'[2]#REF'!#REF!</definedName>
    <definedName name="_947___________________________________________________________________________________S" hidden="1">#REF!</definedName>
    <definedName name="_948________________________________________________________________________________________________________________________________________________________0\SM">'[4]#REF'!#REF!</definedName>
    <definedName name="_948___________________________________________________________________________________S" hidden="1">[3]Sheet3!#REF!</definedName>
    <definedName name="_949___________________________________________________________________________________S" hidden="1">#REF!</definedName>
    <definedName name="_95__________________________________________________________________________________________________________________________________________________________________________ME">'[2]#REF'!#REF!</definedName>
    <definedName name="_950______________________________________________________________________________________________________________________________________________________0_0__123Grap" hidden="1">[1]공문!#REF!</definedName>
    <definedName name="_950__________________________________________________________________________________\LA">'[2]#REF'!#REF!</definedName>
    <definedName name="_951__________________________________________________________________________________\MID">'[2]#REF'!#REF!</definedName>
    <definedName name="_952______________________________________________________________________________________________________________________________________________________0_0_F" hidden="1">[3]Sheet3!#REF!</definedName>
    <definedName name="_952__________________________________________________________________________________\SM">'[2]#REF'!#REF!</definedName>
    <definedName name="_953_________________________________________________________________________________0_F" hidden="1">#REF!</definedName>
    <definedName name="_954______________________________________________________________________________________________________________________________________________________0_0_S" hidden="1">[3]Sheet3!#REF!</definedName>
    <definedName name="_954_________________________________________________________________________________0_S" hidden="1">#REF!</definedName>
    <definedName name="_955_________________________________________________________________________________0_S" hidden="1">#REF!</definedName>
    <definedName name="_956_________________________________________________________________________________________________________________________________________________________123Grap" hidden="1">[1]공문!#REF!</definedName>
    <definedName name="_956_________________________________________________________________________________0\SM">'[4]#REF'!#REF!</definedName>
    <definedName name="_957_______________________________________________________________________________0_0__123Grap" hidden="1">[1]공문!#REF!</definedName>
    <definedName name="_958______________________________________________________________________________________________________________________________________________________3__Crite">#REF!</definedName>
    <definedName name="_958_______________________________________________________________________________0_0_F" hidden="1">[3]Sheet3!#REF!</definedName>
    <definedName name="_959_______________________________________________________________________________0_0_S" hidden="1">[3]Sheet3!#REF!</definedName>
    <definedName name="_96__________________________________________________________________________________________________________________________________________________________________________ME">'[2]#REF'!#REF!</definedName>
    <definedName name="_96_________________________________________________________________________________________________________________________________________________________________________G__Extract">#REF!</definedName>
    <definedName name="_960______________________________________________________________________________________________________________________________________________________3__Criteria">#REF!</definedName>
    <definedName name="_960_______________________________________________________________________________3__Crite">#REF!</definedName>
    <definedName name="_961_______________________________________________________________________________3__Criteria">#REF!</definedName>
    <definedName name="_962_________________________________________________________________________________________________________________________________________________________F" hidden="1">#REF!</definedName>
    <definedName name="_962_______________________________________________________________________________G_0Extract">#REF!</definedName>
    <definedName name="_963_______________________________________________________________________________G__Extr">#REF!</definedName>
    <definedName name="_964_________________________________________________________________________________________________________________________________________________________F" hidden="1">[3]Sheet3!#REF!</definedName>
    <definedName name="_964_______________________________________________________________________________G__Extract">#REF!</definedName>
    <definedName name="_965__________________________________________________________________________________ME">'[2]#REF'!#REF!</definedName>
    <definedName name="_966______________________________________________________________________________________________________________________________________________________G_0Extract">#REF!</definedName>
    <definedName name="_966__________________________________________________________________________________ME">'[2]#REF'!#REF!</definedName>
    <definedName name="_967________________________________________________________________________________123Grap" hidden="1">[1]공문!#REF!</definedName>
    <definedName name="_968______________________________________________________________________________________________________________________________________________________G__Extr">#REF!</definedName>
    <definedName name="_968_______________________________________________________________________________F" hidden="1">#REF!</definedName>
    <definedName name="_969_______________________________________________________________________________F" hidden="1">[3]Sheet3!#REF!</definedName>
    <definedName name="_97__________________________________________________________________________________________________________________________________________________________________________S" hidden="1">#REF!</definedName>
    <definedName name="_970______________________________________________________________________________________________________________________________________________________G__Extract">#REF!</definedName>
    <definedName name="_970_______________________________________________________________________________S" hidden="1">#REF!</definedName>
    <definedName name="_971_______________________________________________________________________________S" hidden="1">[3]Sheet3!#REF!</definedName>
    <definedName name="_972_________________________________________________________________________________________________________________________________________________________ME">'[2]#REF'!#REF!</definedName>
    <definedName name="_972_______________________________________________________________________________S" hidden="1">#REF!</definedName>
    <definedName name="_973______________________________________________________________________________\LA">'[2]#REF'!#REF!</definedName>
    <definedName name="_974_________________________________________________________________________________________________________________________________________________________ME">'[2]#REF'!#REF!</definedName>
    <definedName name="_974______________________________________________________________________________\MID">'[2]#REF'!#REF!</definedName>
    <definedName name="_975______________________________________________________________________________\SM">'[2]#REF'!#REF!</definedName>
    <definedName name="_976_________________________________________________________________________________________________________________________________________________________S" hidden="1">#REF!</definedName>
    <definedName name="_976_____________________________________________________________________________0_F" hidden="1">#REF!</definedName>
    <definedName name="_977_____________________________________________________________________________0_S" hidden="1">#REF!</definedName>
    <definedName name="_978_________________________________________________________________________________________________________________________________________________________S" hidden="1">[3]Sheet3!#REF!</definedName>
    <definedName name="_978_____________________________________________________________________________0_S" hidden="1">#REF!</definedName>
    <definedName name="_979_____________________________________________________________________________0\SM">'[4]#REF'!#REF!</definedName>
    <definedName name="_98____________________________________________________________________________________________________________________________________________________________________________ME">'[2]#REF'!#REF!</definedName>
    <definedName name="_98__________________________________________________________________________________________________________________________________________________________________________S" hidden="1">[3]Sheet3!#REF!</definedName>
    <definedName name="_980_________________________________________________________________________________________________________________________________________________________S" hidden="1">#REF!</definedName>
    <definedName name="_980___________________________________________________________________________0_0__123Grap" hidden="1">[1]공문!#REF!</definedName>
    <definedName name="_981___________________________________________________________________________0_0_F" hidden="1">[3]Sheet3!#REF!</definedName>
    <definedName name="_982________________________________________________________________________________________________________________________________________________________\LA">'[2]#REF'!#REF!</definedName>
    <definedName name="_982___________________________________________________________________________0_0_S" hidden="1">[3]Sheet3!#REF!</definedName>
    <definedName name="_983___________________________________________________________________________3__Crite">#REF!</definedName>
    <definedName name="_984________________________________________________________________________________________________________________________________________________________\MID">'[2]#REF'!#REF!</definedName>
    <definedName name="_984___________________________________________________________________________________________________________________________________123Grap" hidden="1">[1]공문!#REF!</definedName>
    <definedName name="_984___________________________________________________________________________3__Criteria">#REF!</definedName>
    <definedName name="_985___________________________________________________________________________G_0Extract">#REF!</definedName>
    <definedName name="_986________________________________________________________________________________________________________________________________________________________\SM">'[2]#REF'!#REF!</definedName>
    <definedName name="_986___________________________________________________________________________G__Extr">#REF!</definedName>
    <definedName name="_987___________________________________________________________________________G__Extract">#REF!</definedName>
    <definedName name="_988_______________________________________________________________________________________________________________________________________________________0_F" hidden="1">#REF!</definedName>
    <definedName name="_988______________________________________________________________________________ME">'[2]#REF'!#REF!</definedName>
    <definedName name="_989______________________________________________________________________________ME">'[2]#REF'!#REF!</definedName>
    <definedName name="_99__________________________________________________________________________________________________________________________________________________________________________S" hidden="1">#REF!</definedName>
    <definedName name="_990_______________________________________________________________________________________________________________________________________________________0_S" hidden="1">#REF!</definedName>
    <definedName name="_990____________________________________________________________________________123Grap" hidden="1">[1]공문!#REF!</definedName>
    <definedName name="_991___________________________________________________________________________F" hidden="1">#REF!</definedName>
    <definedName name="_992_______________________________________________________________________________________________________________________________________________________0_S" hidden="1">#REF!</definedName>
    <definedName name="_992___________________________________________________________________________F" hidden="1">[3]Sheet3!#REF!</definedName>
    <definedName name="_993___________________________________________________________________________S" hidden="1">#REF!</definedName>
    <definedName name="_994_______________________________________________________________________________________________________________________________________________________0\SM">'[4]#REF'!#REF!</definedName>
    <definedName name="_994___________________________________________________________________________S" hidden="1">[3]Sheet3!#REF!</definedName>
    <definedName name="_995___________________________________________________________________________S" hidden="1">#REF!</definedName>
    <definedName name="_996_____________________________________________________________________________________________________________________________________________________0_0__123Grap" hidden="1">[1]공문!#REF!</definedName>
    <definedName name="_996__________________________________________________________________________\LA">'[2]#REF'!#REF!</definedName>
    <definedName name="_997__________________________________________________________________________\MID">'[2]#REF'!#REF!</definedName>
    <definedName name="_998_____________________________________________________________________________________________________________________________________________________0_0_F" hidden="1">[3]Sheet3!#REF!</definedName>
    <definedName name="_998__________________________________________________________________________\SM">'[2]#REF'!#REF!</definedName>
    <definedName name="_999_________________________________________________________________________0_F" hidden="1">#REF!</definedName>
    <definedName name="_A1">#REF!</definedName>
    <definedName name="_A2">#REF!</definedName>
    <definedName name="_A3">#REF!</definedName>
    <definedName name="_A4">#REF!</definedName>
    <definedName name="_A5">#REF!</definedName>
    <definedName name="_A6">#REF!</definedName>
    <definedName name="_A7">#REF!</definedName>
    <definedName name="_A8">#REF!</definedName>
    <definedName name="_EE1" localSheetId="2" hidden="1">{#N/A,#N/A,FALSE,"단가표지"}</definedName>
    <definedName name="_EE1" hidden="1">{#N/A,#N/A,FALSE,"단가표지"}</definedName>
    <definedName name="_Fill" hidden="1">[5]대운산출!#REF!</definedName>
    <definedName name="_gh1">#N/A</definedName>
    <definedName name="_K1">#REF!</definedName>
    <definedName name="_K3">#REF!</definedName>
    <definedName name="_K6">#REF!</definedName>
    <definedName name="_Key1" hidden="1">#REF!</definedName>
    <definedName name="_Key2" hidden="1">#REF!</definedName>
    <definedName name="_Order1" hidden="1">1</definedName>
    <definedName name="_Order2" hidden="1">255</definedName>
    <definedName name="_p2">#REF!</definedName>
    <definedName name="_P22">#REF!</definedName>
    <definedName name="_P31">#REF!</definedName>
    <definedName name="_P33">#REF!</definedName>
    <definedName name="_R10㎝">#REF!</definedName>
    <definedName name="_R12㎝">#REF!</definedName>
    <definedName name="_R15㎝">#REF!</definedName>
    <definedName name="_R18㎝">#REF!</definedName>
    <definedName name="_R20㎝">#REF!</definedName>
    <definedName name="_R25㎝">#REF!</definedName>
    <definedName name="_R30㎝">#REF!</definedName>
    <definedName name="_R4㎝이하">#REF!</definedName>
    <definedName name="_R5㎝">#REF!</definedName>
    <definedName name="_R6㎝">#REF!</definedName>
    <definedName name="_R7㎝">#REF!</definedName>
    <definedName name="_R8㎝">#REF!</definedName>
    <definedName name="_Sort" hidden="1">#REF!</definedName>
    <definedName name="_V1">#REF!</definedName>
    <definedName name="_V2">#REF!</definedName>
    <definedName name="_V3">#REF!</definedName>
    <definedName name="_V4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p">#N/A</definedName>
    <definedName name="a" localSheetId="2">#REF!</definedName>
    <definedName name="a">[6]말뚝물량!$D$10</definedName>
    <definedName name="a_1">#REF!</definedName>
    <definedName name="aaa">[7]별표집계!#REF!</definedName>
    <definedName name="AFTER">#REF!</definedName>
    <definedName name="ag">#REF!</definedName>
    <definedName name="agdump">#REF!</definedName>
    <definedName name="age">#REF!</definedName>
    <definedName name="agedum">#REF!</definedName>
    <definedName name="agedump">#REF!</definedName>
    <definedName name="agen">#REF!</definedName>
    <definedName name="agencydump">#REF!</definedName>
    <definedName name="AGENCYLY">#REF!</definedName>
    <definedName name="AGENCYPLAN">#REF!</definedName>
    <definedName name="B">#REF!</definedName>
    <definedName name="B10㎝">#REF!</definedName>
    <definedName name="B12㎝">#REF!</definedName>
    <definedName name="B15㎝">#REF!</definedName>
    <definedName name="B18㎝">#REF!</definedName>
    <definedName name="B20㎝">#REF!</definedName>
    <definedName name="B25㎝">#REF!</definedName>
    <definedName name="B30㎝">#REF!</definedName>
    <definedName name="B4㎝이하">#REF!</definedName>
    <definedName name="B5㎝">#REF!</definedName>
    <definedName name="B6㎝">#REF!</definedName>
    <definedName name="B7㎝">#REF!</definedName>
    <definedName name="B8㎝">#REF!</definedName>
    <definedName name="bb">[6]말뚝물량!$D$11</definedName>
    <definedName name="BBB">#REF!</definedName>
    <definedName name="BEFORE">#REF!</definedName>
    <definedName name="C_">#N/A</definedName>
    <definedName name="ca">#REF!</definedName>
    <definedName name="CalcAgencyPrice">#REF!</definedName>
    <definedName name="co">#REF!</definedName>
    <definedName name="Commission">#REF!</definedName>
    <definedName name="CPU시험기사">#REF!</definedName>
    <definedName name="D">#REF!</definedName>
    <definedName name="da">#REF!</definedName>
    <definedName name="daewk">#REF!</definedName>
    <definedName name="dar">#REF!</definedName>
    <definedName name="darw">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_xlnm.Database" localSheetId="2">#REF!</definedName>
    <definedName name="_xlnm.Database">#REF!</definedName>
    <definedName name="database2" localSheetId="2">#REF!</definedName>
    <definedName name="database2">#REF!</definedName>
    <definedName name="DaWk7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d">#REF!</definedName>
    <definedName name="ddd">#REF!</definedName>
    <definedName name="ddddd">#REF!</definedName>
    <definedName name="dddddd">#REF!</definedName>
    <definedName name="Dealer">#REF!</definedName>
    <definedName name="DelDC">#REF!</definedName>
    <definedName name="DelDm">#REF!</definedName>
    <definedName name="Delivery">#REF!</definedName>
    <definedName name="DelType">#REF!</definedName>
    <definedName name="deptLookup">#REF!</definedName>
    <definedName name="dumppr">#REF!</definedName>
    <definedName name="e">#REF!</definedName>
    <definedName name="ft">[6]말뚝물량!#REF!</definedName>
    <definedName name="GrphActSales">#REF!</definedName>
    <definedName name="GrphActStk">#REF!</definedName>
    <definedName name="GrphPlanSales">#REF!</definedName>
    <definedName name="GrphTgtStk">#REF!</definedName>
    <definedName name="H">[6]말뚝물량!$D$12</definedName>
    <definedName name="H_W설치기사">#REF!</definedName>
    <definedName name="H_W시험기사">#REF!</definedName>
    <definedName name="H1.0m이하">#REF!</definedName>
    <definedName name="H1.2m">#REF!</definedName>
    <definedName name="H1.5m">#REF!</definedName>
    <definedName name="H1.8m">#REF!</definedName>
    <definedName name="H2.0m">#REF!</definedName>
    <definedName name="H2.5m">#REF!</definedName>
    <definedName name="H3.0m">#REF!</definedName>
    <definedName name="H3.5m">#REF!</definedName>
    <definedName name="H4.0m">#REF!</definedName>
    <definedName name="H4.5m">#REF!</definedName>
    <definedName name="H5.0m">#REF!</definedName>
    <definedName name="HH">[8]정부노임단가!$A$5:$F$215</definedName>
    <definedName name="hyundai">#REF!</definedName>
    <definedName name="IELWSALES">#REF!</definedName>
    <definedName name="IELYSALES">#REF!</definedName>
    <definedName name="IEPLANSALES">#REF!</definedName>
    <definedName name="IESP">#REF!</definedName>
    <definedName name="IntFreeCred">#REF!</definedName>
    <definedName name="JH">[9]정부노임단가!$A$5:$F$215</definedName>
    <definedName name="JJ">[10]정부노임단가!$A$5:$F$215</definedName>
    <definedName name="KK">[9]정부노임단가!$A$5:$F$215</definedName>
    <definedName name="la">#REF!</definedName>
    <definedName name="lb">#REF!</definedName>
    <definedName name="lc">#REF!</definedName>
    <definedName name="ld">#REF!</definedName>
    <definedName name="LWSALES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ARGINPLAN">#REF!</definedName>
    <definedName name="MARGINPROJ">#REF!</definedName>
    <definedName name="PRDump">#REF!</definedName>
    <definedName name="PRICE1">#REF!</definedName>
    <definedName name="PRICE2">#REF!</definedName>
    <definedName name="_xlnm.Print_Area" localSheetId="4">공종별내역서!$A$1:$M$171</definedName>
    <definedName name="_xlnm.Print_Area" localSheetId="3">공종별집계표!$A$1:$M$27</definedName>
    <definedName name="_xlnm.Print_Area" localSheetId="1">원가계산서!$A$1:$G$29</definedName>
    <definedName name="_xlnm.Print_Area" localSheetId="2">'총괄표 '!$A$1:$L$25</definedName>
    <definedName name="_xlnm.Print_Area" localSheetId="0">표지!$A$1:$N$50</definedName>
    <definedName name="_xlnm.Print_Area">#REF!</definedName>
    <definedName name="PRINT_AREA_MI">#REF!</definedName>
    <definedName name="PRINT_AREA_MI1">#REF!</definedName>
    <definedName name="print_title" localSheetId="2">#REF!</definedName>
    <definedName name="print_title">#REF!</definedName>
    <definedName name="_xlnm.Print_Titles" localSheetId="4">공종별내역서!$1:$3</definedName>
    <definedName name="_xlnm.Print_Titles" localSheetId="3">공종별집계표!$1:$4</definedName>
    <definedName name="_xlnm.Print_Titles">[11]내역서!#REF!</definedName>
    <definedName name="PRINT_TITLES_MI">[11]내역서!#REF!</definedName>
    <definedName name="printer" localSheetId="2">#REF!</definedName>
    <definedName name="printer">#REF!</definedName>
    <definedName name="PRINTER_AREA" localSheetId="2">#REF!</definedName>
    <definedName name="PRINTER_AREA">#REF!</definedName>
    <definedName name="printer_Titles" localSheetId="2">#REF!</definedName>
    <definedName name="printer_Titles">#REF!</definedName>
    <definedName name="printer_ttitle" localSheetId="2">#REF!</definedName>
    <definedName name="printer_ttitle">#REF!</definedName>
    <definedName name="q">#REF!</definedName>
    <definedName name="RawAgencyPrice">#REF!</definedName>
    <definedName name="RBData">#REF!</definedName>
    <definedName name="_xlnm.Recorder">#REF!</definedName>
    <definedName name="Reselects">#REF!</definedName>
    <definedName name="s">#REF!</definedName>
    <definedName name="S_W시험기사">#REF!</definedName>
    <definedName name="SALESPLAN">#REF!</definedName>
    <definedName name="t">[6]말뚝물량!$D$14</definedName>
    <definedName name="Table">#REF!</definedName>
    <definedName name="Table1">#REF!</definedName>
    <definedName name="tc">[6]말뚝물량!#REF!</definedName>
    <definedName name="text1">[12]가도공!#REF!</definedName>
    <definedName name="total">#REF!</definedName>
    <definedName name="Vc">#REF!</definedName>
    <definedName name="Vl">#REF!</definedName>
    <definedName name="Vw">#REF!</definedName>
    <definedName name="w">#REF!</definedName>
    <definedName name="x">#REF!</definedName>
    <definedName name="z">#REF!</definedName>
    <definedName name="갱부">#REF!</definedName>
    <definedName name="건설기계운전기사">#REF!</definedName>
    <definedName name="건설기계운전조수">#REF!</definedName>
    <definedName name="건설기계조장">#REF!</definedName>
    <definedName name="건축목공">#REF!</definedName>
    <definedName name="견출공">#REF!</definedName>
    <definedName name="경영" localSheetId="2">BlankMacro1</definedName>
    <definedName name="경영">BlankMacro1</definedName>
    <definedName name="계장공">#REF!</definedName>
    <definedName name="고급선원">#REF!</definedName>
    <definedName name="고급원자력비파괴시_험공">#REF!</definedName>
    <definedName name="고압케이블전공">#REF!</definedName>
    <definedName name="공사계획" localSheetId="2">BlankMacro1</definedName>
    <definedName name="공사계획">BlankMacro1</definedName>
    <definedName name="공사예산">[13]말뚝물량!$D$10</definedName>
    <definedName name="공사전망" localSheetId="2">BlankMacro1</definedName>
    <definedName name="공사전망">BlankMacro1</definedName>
    <definedName name="관0.3_0.7">#REF!</definedName>
    <definedName name="관0.3m미만">#REF!</definedName>
    <definedName name="관0.8_1.1">#REF!</definedName>
    <definedName name="관1.2_1.5">#REF!</definedName>
    <definedName name="광케이블기사">#REF!</definedName>
    <definedName name="광통신기사">#REF!</definedName>
    <definedName name="구조물공">#REF!</definedName>
    <definedName name="궤도공">#REF!</definedName>
    <definedName name="금액" localSheetId="2">TRUNC(!#REF!*!$C1,1)</definedName>
    <definedName name="금액">TRUNC(!#REF!*!$C1,1)</definedName>
    <definedName name="기계공">#REF!</definedName>
    <definedName name="기계설치공">#REF!</definedName>
    <definedName name="내민식">[14]비탈면보호공수량산출!#REF!</definedName>
    <definedName name="내선전공">#REF!</definedName>
    <definedName name="내장공">#REF!</definedName>
    <definedName name="노무비">[15]인건비!$B$3:$C$41</definedName>
    <definedName name="노임">#REF!</definedName>
    <definedName name="노임단가">#REF!</definedName>
    <definedName name="노즐공">#REF!</definedName>
    <definedName name="닥트공">#REF!</definedName>
    <definedName name="도배공">#REF!</definedName>
    <definedName name="도장공">#REF!</definedName>
    <definedName name="도편수">#REF!</definedName>
    <definedName name="독산">#REF!</definedName>
    <definedName name="독야">#REF!</definedName>
    <definedName name="독평">#REF!</definedName>
    <definedName name="동발공_터널">#REF!</definedName>
    <definedName name="드잡이공">#REF!</definedName>
    <definedName name="락산">#REF!</definedName>
    <definedName name="락야">#REF!</definedName>
    <definedName name="락평">#REF!</definedName>
    <definedName name="ㅁ12">#REF!</definedName>
    <definedName name="ㅁ239">#REF!</definedName>
    <definedName name="ㅁ459">[16]일위대가!#REF!</definedName>
    <definedName name="목도">#REF!</definedName>
    <definedName name="목조각공">#REF!</definedName>
    <definedName name="무선안테나공">#REF!</definedName>
    <definedName name="미장공">#REF!</definedName>
    <definedName name="방부B형">[16]일위대가!#REF!</definedName>
    <definedName name="방부대형">[16]일위대가!#REF!</definedName>
    <definedName name="방부이각">[16]일위대가!#REF!</definedName>
    <definedName name="방수공">#REF!</definedName>
    <definedName name="배관공">#REF!</definedName>
    <definedName name="배수공">#REF!</definedName>
    <definedName name="배전전공">#REF!</definedName>
    <definedName name="배전활선전공">#REF!</definedName>
    <definedName name="번호">#REF!</definedName>
    <definedName name="벌목부">#REF!</definedName>
    <definedName name="벽돌_블럭_제작공">#REF!</definedName>
    <definedName name="변전전공">#REF!</definedName>
    <definedName name="변현평">#REF!</definedName>
    <definedName name="별지">[17]투찰!$B$2:$K$1722</definedName>
    <definedName name="보링공_지질조사">#REF!</definedName>
    <definedName name="보안공">#REF!</definedName>
    <definedName name="보온공">#REF!</definedName>
    <definedName name="보일러공">#REF!</definedName>
    <definedName name="보통선원">#REF!</definedName>
    <definedName name="보통인부">#REF!</definedName>
    <definedName name="부대공">#REF!</definedName>
    <definedName name="비계공">#REF!</definedName>
    <definedName name="ㅅㅅㅅㅅㅅ">[13]말뚝물량!$D$12</definedName>
    <definedName name="상급원자력기술자">#REF!</definedName>
    <definedName name="샷시공">#REF!</definedName>
    <definedName name="석공">#REF!</definedName>
    <definedName name="석조각공">#REF!</definedName>
    <definedName name="선부">#REF!</definedName>
    <definedName name="설계조정율">#REF!</definedName>
    <definedName name="설비" localSheetId="2" hidden="1">{#N/A,#N/A,FALSE,"단가표지"}</definedName>
    <definedName name="설비" hidden="1">{#N/A,#N/A,FALSE,"단가표지"}</definedName>
    <definedName name="송전전공">#REF!</definedName>
    <definedName name="송전활선전공">#REF!</definedName>
    <definedName name="수유방원가계산">[11]내역서!#REF!</definedName>
    <definedName name="수주실적" localSheetId="2">BlankMacro1</definedName>
    <definedName name="수주실적">BlankMacro1</definedName>
    <definedName name="시공측량사">#REF!</definedName>
    <definedName name="시공측량사조수">#REF!</definedName>
    <definedName name="시험보조수">#REF!</definedName>
    <definedName name="시험사1급">#REF!</definedName>
    <definedName name="시헙사2급">#REF!</definedName>
    <definedName name="신규단가발생년도">#REF!</definedName>
    <definedName name="심산">#REF!</definedName>
    <definedName name="심야">#REF!</definedName>
    <definedName name="심평">#REF!</definedName>
    <definedName name="연마공">#REF!</definedName>
    <definedName name="예산서">[18]수량산출서!$E$5</definedName>
    <definedName name="용접공_일반">#REF!</definedName>
    <definedName name="용접공_철도">#REF!</definedName>
    <definedName name="우산">#REF!</definedName>
    <definedName name="우수13">#REF!</definedName>
    <definedName name="우야">#REF!</definedName>
    <definedName name="우평">#REF!</definedName>
    <definedName name="운전사_기계">#REF!</definedName>
    <definedName name="운전사_운반차">#REF!</definedName>
    <definedName name="원자력계장공">#REF!</definedName>
    <definedName name="원자력기계설치공">#REF!</definedName>
    <definedName name="원자력기술자">#REF!</definedName>
    <definedName name="원자력덕트공">#REF!</definedName>
    <definedName name="원자력배관공">#REF!</definedName>
    <definedName name="원자력보온공">#REF!</definedName>
    <definedName name="원자력용접공">#REF!</definedName>
    <definedName name="원자력제관공">#REF!</definedName>
    <definedName name="원자력케이블전공">#REF!</definedName>
    <definedName name="원자력특별인부">#REF!</definedName>
    <definedName name="원자력품질관리사">#REF!</definedName>
    <definedName name="원자력플랜트전공">#REF!</definedName>
    <definedName name="위생공">#REF!</definedName>
    <definedName name="유리공">#REF!</definedName>
    <definedName name="이각A형">[16]일위대가!#REF!</definedName>
    <definedName name="이각B형">[19]일위대가!#REF!</definedName>
    <definedName name="작업반장">#REF!</definedName>
    <definedName name="잔토처리____________인력">[16]일위대가!#REF!</definedName>
    <definedName name="잠수부">#REF!</definedName>
    <definedName name="재료비">[20]단가대비표!$A$3:$L$52</definedName>
    <definedName name="저압케이블전공">#REF!</definedName>
    <definedName name="전기공사기사1급">#REF!</definedName>
    <definedName name="전기공사기사2급">#REF!</definedName>
    <definedName name="절단공">#REF!</definedName>
    <definedName name="제도사">#REF!</definedName>
    <definedName name="제철축로공">#REF!</definedName>
    <definedName name="조경공">#REF!</definedName>
    <definedName name="조력공">#REF!</definedName>
    <definedName name="조림인부">#REF!</definedName>
    <definedName name="조적공">#REF!</definedName>
    <definedName name="준설선기관사">#REF!</definedName>
    <definedName name="준설선기관장">#REF!</definedName>
    <definedName name="준설선선장">#REF!</definedName>
    <definedName name="준설선운전사">#REF!</definedName>
    <definedName name="준설선전기사">#REF!</definedName>
    <definedName name="줄눈공">#REF!</definedName>
    <definedName name="중급원자력기술자">#REF!</definedName>
    <definedName name="지붕잇기공">#REF!</definedName>
    <definedName name="지적기능사1급">#REF!</definedName>
    <definedName name="지적기능사2급">#REF!</definedName>
    <definedName name="지적기사1급">#REF!</definedName>
    <definedName name="지적기사2급">#REF!</definedName>
    <definedName name="직종명">#REF!</definedName>
    <definedName name="착암공">#REF!</definedName>
    <definedName name="창호목공">#REF!</definedName>
    <definedName name="철골공">#REF!</definedName>
    <definedName name="철공">#REF!</definedName>
    <definedName name="철근공">#REF!</definedName>
    <definedName name="철도신호공">#REF!</definedName>
    <definedName name="철판공">#REF!</definedName>
    <definedName name="측부">#REF!</definedName>
    <definedName name="치장벽돌공">#REF!</definedName>
    <definedName name="코킹공">#REF!</definedName>
    <definedName name="콘크리트공">#REF!</definedName>
    <definedName name="타일공">#REF!</definedName>
    <definedName name="템플리트모듈1" localSheetId="2">BlankMacro1</definedName>
    <definedName name="템플리트모듈1">BlankMacro1</definedName>
    <definedName name="템플리트모듈2" localSheetId="2">BlankMacro1</definedName>
    <definedName name="템플리트모듈2">BlankMacro1</definedName>
    <definedName name="템플리트모듈3" localSheetId="2">BlankMacro1</definedName>
    <definedName name="템플리트모듈3">BlankMacro1</definedName>
    <definedName name="템플리트모듈4" localSheetId="2">BlankMacro1</definedName>
    <definedName name="템플리트모듈4">BlankMacro1</definedName>
    <definedName name="템플리트모듈5" localSheetId="2">BlankMacro1</definedName>
    <definedName name="템플리트모듈5">BlankMacro1</definedName>
    <definedName name="템플리트모듈6" localSheetId="2">BlankMacro1</definedName>
    <definedName name="템플리트모듈6">BlankMacro1</definedName>
    <definedName name="토공">#REF!</definedName>
    <definedName name="통신기능사">#REF!</definedName>
    <definedName name="통신기사1급">#REF!</definedName>
    <definedName name="통신기사2급">#REF!</definedName>
    <definedName name="통신내선공">#REF!</definedName>
    <definedName name="통신설비공">#REF!</definedName>
    <definedName name="통신외선공">#REF!</definedName>
    <definedName name="통신케이블공">#REF!</definedName>
    <definedName name="특고압케이블전공">#REF!</definedName>
    <definedName name="특급원자력비파괴시_험공">#REF!</definedName>
    <definedName name="특별손익2" localSheetId="2">BlankMacro1</definedName>
    <definedName name="특별손익2">BlankMacro1</definedName>
    <definedName name="특별인부">#REF!</definedName>
    <definedName name="특수비계공">#REF!</definedName>
    <definedName name="특수화공">#REF!</definedName>
    <definedName name="판넬조립공">#REF!</definedName>
    <definedName name="편지식">[14]비탈면보호공수량산출!#REF!</definedName>
    <definedName name="포">[21]수량산출서!$E$5</definedName>
    <definedName name="포설공">#REF!</definedName>
    <definedName name="포장공">#REF!</definedName>
    <definedName name="표준양식">#REF!</definedName>
    <definedName name="플랜트기계설치공">#REF!</definedName>
    <definedName name="플랜트배관공">#REF!</definedName>
    <definedName name="플랜트용접공">#REF!</definedName>
    <definedName name="플랜트전공">#REF!</definedName>
    <definedName name="플랜트제관공">#REF!</definedName>
    <definedName name="플랜트특수용접공">#REF!</definedName>
    <definedName name="한식목공">#REF!</definedName>
    <definedName name="한식목공조공">#REF!</definedName>
    <definedName name="한식미장공">#REF!</definedName>
    <definedName name="한식와공">#REF!</definedName>
    <definedName name="한식와공조공">#REF!</definedName>
    <definedName name="할석공">#REF!</definedName>
    <definedName name="함석공">#REF!</definedName>
    <definedName name="현도사">#REF!</definedName>
    <definedName name="현산">#REF!</definedName>
    <definedName name="현야">#REF!</definedName>
    <definedName name="현평">#REF!</definedName>
    <definedName name="형틀목공">#REF!</definedName>
    <definedName name="화공">#REF!</definedName>
    <definedName name="화약취급공">#REF!</definedName>
  </definedNames>
  <calcPr calcId="162913"/>
</workbook>
</file>

<file path=xl/calcChain.xml><?xml version="1.0" encoding="utf-8"?>
<calcChain xmlns="http://schemas.openxmlformats.org/spreadsheetml/2006/main">
  <c r="K25" i="13" l="1"/>
  <c r="I25" i="13"/>
  <c r="G25" i="13"/>
  <c r="E25" i="13"/>
  <c r="I15" i="13"/>
  <c r="K15" i="13" s="1"/>
  <c r="K13" i="13"/>
  <c r="K12" i="13"/>
  <c r="K7" i="13"/>
  <c r="J171" i="8" l="1"/>
  <c r="I13" i="9" s="1"/>
  <c r="J13" i="9" s="1"/>
  <c r="I14" i="13" s="1"/>
  <c r="I19" i="13" s="1"/>
  <c r="H123" i="8" l="1"/>
  <c r="G11" i="9" s="1"/>
  <c r="H11" i="9" s="1"/>
  <c r="F171" i="8"/>
  <c r="E13" i="9" s="1"/>
  <c r="F13" i="9" s="1"/>
  <c r="L171" i="8"/>
  <c r="H171" i="8"/>
  <c r="G13" i="9" s="1"/>
  <c r="H13" i="9" s="1"/>
  <c r="G14" i="13" s="1"/>
  <c r="G19" i="13" s="1"/>
  <c r="E14" i="13" l="1"/>
  <c r="E19" i="13" s="1"/>
  <c r="L13" i="9"/>
  <c r="T13" i="9" s="1"/>
  <c r="H99" i="8"/>
  <c r="G10" i="9" s="1"/>
  <c r="H10" i="9" s="1"/>
  <c r="J99" i="8"/>
  <c r="I10" i="9" s="1"/>
  <c r="J10" i="9" s="1"/>
  <c r="H27" i="8"/>
  <c r="G7" i="9" s="1"/>
  <c r="H7" i="9" s="1"/>
  <c r="H51" i="8"/>
  <c r="G8" i="9" s="1"/>
  <c r="H8" i="9" s="1"/>
  <c r="J147" i="8"/>
  <c r="I12" i="9" s="1"/>
  <c r="J12" i="9" s="1"/>
  <c r="H147" i="8"/>
  <c r="G12" i="9" s="1"/>
  <c r="H12" i="9" s="1"/>
  <c r="K13" i="9"/>
  <c r="K14" i="13" l="1"/>
  <c r="K19" i="13" s="1"/>
  <c r="E6" i="12" s="1"/>
  <c r="H75" i="8"/>
  <c r="G9" i="9" s="1"/>
  <c r="H9" i="9" s="1"/>
  <c r="G6" i="9" s="1"/>
  <c r="H6" i="9" s="1"/>
  <c r="G5" i="9" s="1"/>
  <c r="H5" i="9" s="1"/>
  <c r="H27" i="9" s="1"/>
  <c r="G6" i="13" l="1"/>
  <c r="G11" i="13" s="1"/>
  <c r="E8" i="12" s="1"/>
  <c r="E14" i="12" s="1"/>
  <c r="E16" i="12" s="1"/>
  <c r="J75" i="8"/>
  <c r="I9" i="9" s="1"/>
  <c r="J9" i="9" s="1"/>
  <c r="E10" i="12" l="1"/>
  <c r="E13" i="12" s="1"/>
  <c r="E15" i="12"/>
  <c r="E17" i="12"/>
  <c r="E12" i="12" l="1"/>
  <c r="F123" i="8" l="1"/>
  <c r="E11" i="9" s="1"/>
  <c r="F27" i="8" l="1"/>
  <c r="E7" i="9" s="1"/>
  <c r="L147" i="8"/>
  <c r="F147" i="8"/>
  <c r="E12" i="9" s="1"/>
  <c r="F51" i="8"/>
  <c r="E8" i="9" s="1"/>
  <c r="F11" i="9"/>
  <c r="F7" i="9" l="1"/>
  <c r="F8" i="9"/>
  <c r="F12" i="9"/>
  <c r="L12" i="9" s="1"/>
  <c r="K12" i="9"/>
  <c r="J51" i="8" l="1"/>
  <c r="I8" i="9" s="1"/>
  <c r="L51" i="8"/>
  <c r="L99" i="8"/>
  <c r="F99" i="8"/>
  <c r="E10" i="9" s="1"/>
  <c r="E5" i="12"/>
  <c r="J27" i="8"/>
  <c r="I7" i="9" s="1"/>
  <c r="L27" i="8"/>
  <c r="J123" i="8"/>
  <c r="I11" i="9" s="1"/>
  <c r="L123" i="8"/>
  <c r="J8" i="9" l="1"/>
  <c r="L8" i="9" s="1"/>
  <c r="K8" i="9"/>
  <c r="F10" i="9"/>
  <c r="L10" i="9" s="1"/>
  <c r="K10" i="9"/>
  <c r="J7" i="9"/>
  <c r="K7" i="9"/>
  <c r="J11" i="9"/>
  <c r="L11" i="9" s="1"/>
  <c r="K11" i="9"/>
  <c r="I6" i="9" l="1"/>
  <c r="J6" i="9" s="1"/>
  <c r="L7" i="9"/>
  <c r="I5" i="9" l="1"/>
  <c r="J5" i="9" s="1"/>
  <c r="J27" i="9" s="1"/>
  <c r="I6" i="13"/>
  <c r="I11" i="13" s="1"/>
  <c r="E11" i="12" s="1"/>
  <c r="L75" i="8" l="1"/>
  <c r="F75" i="8"/>
  <c r="E9" i="9" s="1"/>
  <c r="F9" i="9" l="1"/>
  <c r="K9" i="9"/>
  <c r="L9" i="9" l="1"/>
  <c r="E6" i="9"/>
  <c r="F6" i="9" l="1"/>
  <c r="K6" i="9"/>
  <c r="E6" i="13" l="1"/>
  <c r="E5" i="9"/>
  <c r="L6" i="9"/>
  <c r="F5" i="9" l="1"/>
  <c r="K5" i="9"/>
  <c r="E11" i="13"/>
  <c r="E4" i="12" s="1"/>
  <c r="K6" i="13"/>
  <c r="K11" i="13" s="1"/>
  <c r="J4" i="12" l="1"/>
  <c r="E7" i="12"/>
  <c r="J9" i="12"/>
  <c r="L5" i="9"/>
  <c r="L27" i="9" s="1"/>
  <c r="F27" i="9"/>
  <c r="E19" i="12" l="1"/>
  <c r="E20" i="12"/>
  <c r="E18" i="12"/>
  <c r="E22" i="12" l="1"/>
  <c r="E23" i="12" s="1"/>
  <c r="E24" i="12" s="1"/>
  <c r="E25" i="12" s="1"/>
  <c r="E26" i="12" l="1"/>
</calcChain>
</file>

<file path=xl/sharedStrings.xml><?xml version="1.0" encoding="utf-8"?>
<sst xmlns="http://schemas.openxmlformats.org/spreadsheetml/2006/main" count="641" uniqueCount="271">
  <si>
    <t>공 종 별 집 계 표</t>
  </si>
  <si>
    <t>품      명</t>
  </si>
  <si>
    <t>규      격</t>
  </si>
  <si>
    <t>단위</t>
  </si>
  <si>
    <t>수량</t>
  </si>
  <si>
    <t>재  료  비</t>
  </si>
  <si>
    <t>단  가</t>
  </si>
  <si>
    <t>금  액</t>
  </si>
  <si>
    <t>노  무  비</t>
  </si>
  <si>
    <t>경      비</t>
  </si>
  <si>
    <t>합      계</t>
  </si>
  <si>
    <t>비  고</t>
  </si>
  <si>
    <t>공종코드</t>
  </si>
  <si>
    <t>변수</t>
  </si>
  <si>
    <t>상위공종</t>
  </si>
  <si>
    <t>공종구분</t>
  </si>
  <si>
    <t>공종레벨</t>
  </si>
  <si>
    <t>공종소계</t>
  </si>
  <si>
    <t>원가계산서 연결금액</t>
  </si>
  <si>
    <t>품목코드</t>
  </si>
  <si>
    <t>설정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</si>
  <si>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</si>
  <si>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</si>
  <si>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</si>
  <si>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</si>
  <si>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</si>
  <si>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</si>
  <si>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</si>
  <si>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</si>
  <si>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</si>
  <si>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</si>
  <si>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</si>
  <si>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</si>
  <si>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</si>
  <si>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</si>
  <si>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</si>
  <si>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</si>
  <si>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</si>
  <si>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</si>
  <si>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</si>
  <si>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</si>
  <si>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</si>
  <si>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</si>
  <si>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</si>
  <si>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</si>
  <si>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</si>
  <si>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</si>
  <si>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</si>
  <si>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공종+자재</t>
  </si>
  <si>
    <t>고유번호</t>
  </si>
  <si>
    <t/>
  </si>
  <si>
    <t>01</t>
  </si>
  <si>
    <t>1</t>
  </si>
  <si>
    <t>0101</t>
  </si>
  <si>
    <t>010101  가 설 공 사</t>
  </si>
  <si>
    <t>010101</t>
  </si>
  <si>
    <t>M2</t>
  </si>
  <si>
    <t>5EB635F27E68266595ADB7ED7619</t>
  </si>
  <si>
    <t>T</t>
  </si>
  <si>
    <t>F</t>
  </si>
  <si>
    <t>0101015EB635F27E68266595ADB7ED7619</t>
  </si>
  <si>
    <t>개소</t>
  </si>
  <si>
    <t>이동식강관말비계</t>
  </si>
  <si>
    <t>2단(4m), 3개월</t>
  </si>
  <si>
    <t>1대</t>
  </si>
  <si>
    <t>5EB635F27E68306A9D3704611679</t>
  </si>
  <si>
    <t>0101015EB635F27E68306A9D3704611679</t>
  </si>
  <si>
    <t>건축물현장정리</t>
  </si>
  <si>
    <t>전체</t>
  </si>
  <si>
    <t>5EB635F27E68306A9B075C147639</t>
  </si>
  <si>
    <t>0101015EB635F27E68306A9B075C147639</t>
  </si>
  <si>
    <t>[ 합           계 ]</t>
  </si>
  <si>
    <t>TOTAL</t>
  </si>
  <si>
    <t>010102  수 장 공 사</t>
  </si>
  <si>
    <t>010102</t>
  </si>
  <si>
    <t>지붕,THK50</t>
  </si>
  <si>
    <t>5EB635FF356F7B579C3294FCB6B9</t>
  </si>
  <si>
    <t>0101025EB635FF356F7B579C3294FCB6B9</t>
  </si>
  <si>
    <t>5EB635F27E68266595ADB7EC0679</t>
  </si>
  <si>
    <t>0101025EB635F27E68266595ADB7EC0679</t>
  </si>
  <si>
    <t>010103  금 속 공 사</t>
  </si>
  <si>
    <t>010103</t>
  </si>
  <si>
    <t>일반구조용각형강관</t>
  </si>
  <si>
    <t>150*100*3.2mm</t>
  </si>
  <si>
    <t>M</t>
  </si>
  <si>
    <t>5EA595345E6A06599B4A744EC679</t>
  </si>
  <si>
    <t>0101035EA595345E6A06599B4A744EC679</t>
  </si>
  <si>
    <t>100*100*2.3mm</t>
  </si>
  <si>
    <t>5EA595345E6A06599B4A70E42699</t>
  </si>
  <si>
    <t>0101035EA595345E6A06599B4A70E42699</t>
  </si>
  <si>
    <t>100*50*2.3mm</t>
  </si>
  <si>
    <t>5EA595345E6A06599B4A73A86689</t>
  </si>
  <si>
    <t>0101035EA595345E6A06599B4A73A86689</t>
  </si>
  <si>
    <t>50*50*2.3mm</t>
  </si>
  <si>
    <t>5EA595345E6A06599B4A70E99699</t>
  </si>
  <si>
    <t>0101035EA595345E6A06599B4A70E99699</t>
  </si>
  <si>
    <t>30*30*2.3mm</t>
  </si>
  <si>
    <t>5EA595345E6A06599B4A70EF36E9</t>
  </si>
  <si>
    <t>0101035EA595345E6A06599B4A70EF36E9</t>
  </si>
  <si>
    <t>갈바강판</t>
  </si>
  <si>
    <t>T=1.6</t>
  </si>
  <si>
    <t>KG</t>
  </si>
  <si>
    <t>5E78F558E96FB4659A9EC37F36B9</t>
  </si>
  <si>
    <t>0101035E78F558E96FB4659A9EC37F36B9</t>
  </si>
  <si>
    <t>잡철물설치(각파이프)</t>
  </si>
  <si>
    <t>간단</t>
  </si>
  <si>
    <t>TON</t>
  </si>
  <si>
    <t>5EB635F27E68263997E4030676A9</t>
  </si>
  <si>
    <t>0101035EB635F27E68263997E4030676A9</t>
  </si>
  <si>
    <t>잡철물제작(철제) -강판 가공시</t>
  </si>
  <si>
    <t>보통</t>
  </si>
  <si>
    <t>kg</t>
  </si>
  <si>
    <t>5EB635F27E68263997E4004FF6F9</t>
  </si>
  <si>
    <t>0101035EB635F27E68263997E4004FF6F9</t>
  </si>
  <si>
    <t>재료분리대(바닥)</t>
  </si>
  <si>
    <t>1.6t SUS</t>
  </si>
  <si>
    <t>5EB635F27E68263996DFDEF57689</t>
  </si>
  <si>
    <t>0101035EB635F27E68263996DFDEF57689</t>
  </si>
  <si>
    <t>010104  도 장 공 사</t>
  </si>
  <si>
    <t>010104</t>
  </si>
  <si>
    <t>녹막이페인트칠</t>
  </si>
  <si>
    <t>1회.1종</t>
  </si>
  <si>
    <t>5EB635F27E6826779A8A2C6B0619</t>
  </si>
  <si>
    <t>0101045EB635F27E6826779A8A2C6B0619</t>
  </si>
  <si>
    <t>칼라소부도장</t>
  </si>
  <si>
    <t>창호,외벽</t>
  </si>
  <si>
    <t>5EB635F27E6826779CB826C55679</t>
  </si>
  <si>
    <t>0101045EB635F27E6826779CB826C55679</t>
  </si>
  <si>
    <t>010105  창 호 공 사</t>
  </si>
  <si>
    <t>010105</t>
  </si>
  <si>
    <t>양개자동문설치(무선터치형)</t>
  </si>
  <si>
    <t>5843F5266E65CCE09815CE764659</t>
  </si>
  <si>
    <t>0101055843F5266E65CCE09815CE764659</t>
  </si>
  <si>
    <t>강화도어/부속철물포함</t>
  </si>
  <si>
    <t>1000*3000</t>
  </si>
  <si>
    <t>5EB635F27E6826549EBC86035699</t>
  </si>
  <si>
    <t>0101055EB635F27E6826549EBC86035699</t>
  </si>
  <si>
    <t>010106  유 리 공 사</t>
  </si>
  <si>
    <t>010106</t>
  </si>
  <si>
    <t>강화유리</t>
  </si>
  <si>
    <t>투명, 10mm</t>
  </si>
  <si>
    <t>5EB635F9AD651C9B98AE0B254659</t>
  </si>
  <si>
    <t>0101065EB635F9AD651C9B98AE0B254659</t>
  </si>
  <si>
    <t>유리끼우기 - 판유리</t>
  </si>
  <si>
    <t>10mm 이상</t>
  </si>
  <si>
    <t>5EB635F27E68264A947E16FC9669</t>
  </si>
  <si>
    <t>0101065EB635F27E68264A947E16FC9669</t>
  </si>
  <si>
    <t>수밀코킹(5mm각)</t>
  </si>
  <si>
    <t>치오콜</t>
  </si>
  <si>
    <t>5EB635F27E68261D99FCC10D5619</t>
  </si>
  <si>
    <t>0101065EB635F27E68261D99FCC10D5619</t>
  </si>
  <si>
    <t>수밀코킹(10mm각)</t>
  </si>
  <si>
    <t>5EB635F27E68261D99FCC109F669</t>
  </si>
  <si>
    <t>0101065EB635F27E68261D99FCC109F669</t>
  </si>
  <si>
    <t>010107  작업부산물(합계미포함)</t>
  </si>
  <si>
    <t>010107</t>
  </si>
  <si>
    <t>강설</t>
  </si>
  <si>
    <t>고철, 작업설부산물</t>
  </si>
  <si>
    <t>5E78C5825F67358895A02B9A6649</t>
  </si>
  <si>
    <t>0101075E78C5825F67358895A02B9A6649</t>
  </si>
  <si>
    <t>경    비</t>
  </si>
  <si>
    <t>합    계</t>
  </si>
  <si>
    <t>비      고</t>
  </si>
  <si>
    <t>A3</t>
  </si>
  <si>
    <t>2018년 01월</t>
    <phoneticPr fontId="7" type="noConversion"/>
  </si>
  <si>
    <t xml:space="preserve"> </t>
    <phoneticPr fontId="9" type="noConversion"/>
  </si>
  <si>
    <t>건 축 공 사  내 역 서</t>
    <phoneticPr fontId="9" type="noConversion"/>
  </si>
  <si>
    <t>일위대가, 단가대비표, 수량산출서</t>
    <phoneticPr fontId="9" type="noConversion"/>
  </si>
  <si>
    <t>공 사 원 가 계 산 서</t>
  </si>
  <si>
    <t>비        목</t>
  </si>
  <si>
    <t>금      액</t>
  </si>
  <si>
    <t>구        성        비</t>
  </si>
  <si>
    <t>A1</t>
  </si>
  <si>
    <t>순   공   사   원   가</t>
  </si>
  <si>
    <t>재   료   비</t>
  </si>
  <si>
    <t>직  접  재  료  비</t>
  </si>
  <si>
    <t>재료비합계</t>
    <phoneticPr fontId="1" type="noConversion"/>
  </si>
  <si>
    <t>A2</t>
  </si>
  <si>
    <t>간  접  재  료  비</t>
  </si>
  <si>
    <t>작업설, 부산물(△)</t>
  </si>
  <si>
    <t>AS</t>
  </si>
  <si>
    <t>[ 소          계 ]</t>
  </si>
  <si>
    <t>B1</t>
  </si>
  <si>
    <t>노   무   비</t>
  </si>
  <si>
    <t>직  접  노  무  비</t>
  </si>
  <si>
    <t>B2</t>
  </si>
  <si>
    <t>간  접  노  무  비</t>
  </si>
  <si>
    <t>직접노무비 * 0%</t>
    <phoneticPr fontId="7" type="noConversion"/>
  </si>
  <si>
    <t>BS</t>
  </si>
  <si>
    <t>C2</t>
  </si>
  <si>
    <t>경        비</t>
  </si>
  <si>
    <t>기   계    경   비</t>
  </si>
  <si>
    <t>C4</t>
  </si>
  <si>
    <t>산  재  보  험  료</t>
  </si>
  <si>
    <t>모든공사에적용</t>
    <phoneticPr fontId="7" type="noConversion"/>
  </si>
  <si>
    <t>C5</t>
  </si>
  <si>
    <t>고  용  보  험  료</t>
  </si>
  <si>
    <t>C6</t>
  </si>
  <si>
    <t>국민  건강  보험료</t>
  </si>
  <si>
    <t>C7</t>
  </si>
  <si>
    <t>국민  연금  보험료</t>
  </si>
  <si>
    <t>CB</t>
  </si>
  <si>
    <t>노인장기요양보험료</t>
  </si>
  <si>
    <t>건강보험료 * 6.55%</t>
    <phoneticPr fontId="7" type="noConversion"/>
  </si>
  <si>
    <t>C8</t>
  </si>
  <si>
    <t>퇴직  공제  부금비</t>
  </si>
  <si>
    <t>직접노무비 * 2.3%</t>
  </si>
  <si>
    <t>CA</t>
  </si>
  <si>
    <t>산업안전보건관리비</t>
  </si>
  <si>
    <t>4천만원이상</t>
    <phoneticPr fontId="7" type="noConversion"/>
  </si>
  <si>
    <t>CH</t>
  </si>
  <si>
    <t>환  경  보  전  비</t>
  </si>
  <si>
    <t>(재료비+직노+기계경비) * 0.5%</t>
    <phoneticPr fontId="7" type="noConversion"/>
  </si>
  <si>
    <t>CG</t>
  </si>
  <si>
    <t>기   타    경   비</t>
  </si>
  <si>
    <t>CK</t>
  </si>
  <si>
    <t>하도급지급보증수수료</t>
  </si>
  <si>
    <t>CS</t>
  </si>
  <si>
    <t>S1</t>
  </si>
  <si>
    <t xml:space="preserve">        계</t>
  </si>
  <si>
    <t>D1</t>
  </si>
  <si>
    <t>일  반  관  리  비</t>
  </si>
  <si>
    <r>
      <t>계 * 6</t>
    </r>
    <r>
      <rPr>
        <sz val="11"/>
        <color indexed="8"/>
        <rFont val="맑은 고딕"/>
        <family val="3"/>
        <charset val="129"/>
      </rPr>
      <t>%</t>
    </r>
    <phoneticPr fontId="7" type="noConversion"/>
  </si>
  <si>
    <t>D2</t>
  </si>
  <si>
    <t>이              윤</t>
  </si>
  <si>
    <t>(노무비+경비+일반관리비) * 15%</t>
    <phoneticPr fontId="7" type="noConversion"/>
  </si>
  <si>
    <t>D9</t>
  </si>
  <si>
    <t>공   급    가   액</t>
  </si>
  <si>
    <t>DB</t>
  </si>
  <si>
    <t>부  가  가  치  세</t>
  </si>
  <si>
    <t>공급가액 * 10%</t>
  </si>
  <si>
    <t>DH</t>
  </si>
  <si>
    <t>도      급      액</t>
  </si>
  <si>
    <t>천원 단위절사</t>
    <phoneticPr fontId="7" type="noConversion"/>
  </si>
  <si>
    <t>S2</t>
  </si>
  <si>
    <t>총   공   사    비</t>
  </si>
  <si>
    <t>총    괄    표</t>
    <phoneticPr fontId="9" type="noConversion"/>
  </si>
  <si>
    <t>품          명</t>
    <phoneticPr fontId="9" type="noConversion"/>
  </si>
  <si>
    <t>비고</t>
  </si>
  <si>
    <t>단가</t>
  </si>
  <si>
    <t>금액</t>
  </si>
  <si>
    <r>
      <t xml:space="preserve"> ■</t>
    </r>
    <r>
      <rPr>
        <sz val="11"/>
        <color indexed="8"/>
        <rFont val="맑은 고딕"/>
        <family val="3"/>
        <charset val="129"/>
      </rPr>
      <t xml:space="preserve">  </t>
    </r>
    <r>
      <rPr>
        <sz val="11"/>
        <rFont val="돋움"/>
        <family val="3"/>
        <charset val="129"/>
      </rPr>
      <t>총</t>
    </r>
    <r>
      <rPr>
        <sz val="11"/>
        <color indexed="8"/>
        <rFont val="맑은 고딕"/>
        <family val="3"/>
        <charset val="129"/>
      </rPr>
      <t xml:space="preserve">  </t>
    </r>
    <r>
      <rPr>
        <sz val="11"/>
        <rFont val="돋움"/>
        <family val="3"/>
        <charset val="129"/>
      </rPr>
      <t>괄</t>
    </r>
    <r>
      <rPr>
        <sz val="11"/>
        <color indexed="8"/>
        <rFont val="맑은 고딕"/>
        <family val="3"/>
        <charset val="129"/>
      </rPr>
      <t xml:space="preserve">  </t>
    </r>
    <r>
      <rPr>
        <sz val="11"/>
        <rFont val="돋움"/>
        <family val="3"/>
        <charset val="129"/>
      </rPr>
      <t>표</t>
    </r>
    <phoneticPr fontId="9" type="noConversion"/>
  </si>
  <si>
    <t>식</t>
    <phoneticPr fontId="9" type="noConversion"/>
  </si>
  <si>
    <t>&lt;소  계&gt;</t>
    <phoneticPr fontId="7" type="noConversion"/>
  </si>
  <si>
    <t>&lt;작업부산물&gt;</t>
    <phoneticPr fontId="7" type="noConversion"/>
  </si>
  <si>
    <t>마지막열은 지우지 마시오</t>
  </si>
  <si>
    <t>건 명 :[ 부산역 3층맞이방 전문점 신축공사 ]</t>
    <phoneticPr fontId="7" type="noConversion"/>
  </si>
  <si>
    <t>코레일유통(주)</t>
    <phoneticPr fontId="7" type="noConversion"/>
  </si>
  <si>
    <t>가설공사재료비</t>
    <phoneticPr fontId="1" type="noConversion"/>
  </si>
  <si>
    <t>1개월이상(본공사제외)</t>
    <phoneticPr fontId="7" type="noConversion"/>
  </si>
  <si>
    <t>1개월이상(본공사제외)</t>
    <phoneticPr fontId="7" type="noConversion"/>
  </si>
  <si>
    <t>3억원이상(본공사제외)</t>
    <phoneticPr fontId="7" type="noConversion"/>
  </si>
  <si>
    <r>
      <t xml:space="preserve">노무비 * </t>
    </r>
    <r>
      <rPr>
        <sz val="11"/>
        <color theme="1"/>
        <rFont val="맑은 고딕"/>
        <family val="3"/>
        <charset val="129"/>
      </rPr>
      <t>3.9%</t>
    </r>
    <phoneticPr fontId="7" type="noConversion"/>
  </si>
  <si>
    <r>
      <t>노무비 *</t>
    </r>
    <r>
      <rPr>
        <sz val="11"/>
        <color theme="1"/>
        <rFont val="맑은 고딕"/>
        <family val="3"/>
        <charset val="129"/>
      </rPr>
      <t xml:space="preserve"> 0.87%</t>
    </r>
    <phoneticPr fontId="7" type="noConversion"/>
  </si>
  <si>
    <t>직접노무비 * 1.7%</t>
    <phoneticPr fontId="7" type="noConversion"/>
  </si>
  <si>
    <r>
      <t>직접노무비 * 2.4</t>
    </r>
    <r>
      <rPr>
        <sz val="11"/>
        <color theme="1"/>
        <rFont val="맑은 고딕"/>
        <family val="3"/>
        <charset val="129"/>
        <scheme val="minor"/>
      </rPr>
      <t>9</t>
    </r>
    <r>
      <rPr>
        <sz val="11"/>
        <color theme="1"/>
        <rFont val="맑은 고딕"/>
        <family val="3"/>
        <charset val="129"/>
      </rPr>
      <t>%</t>
    </r>
    <phoneticPr fontId="7" type="noConversion"/>
  </si>
  <si>
    <r>
      <t>(재료비+직노</t>
    </r>
    <r>
      <rPr>
        <sz val="11"/>
        <color theme="1"/>
        <rFont val="맑은 고딕"/>
        <family val="3"/>
        <charset val="129"/>
        <scheme val="minor"/>
      </rPr>
      <t>+관급자재</t>
    </r>
    <r>
      <rPr>
        <sz val="11"/>
        <color theme="1"/>
        <rFont val="맑은 고딕"/>
        <family val="3"/>
        <charset val="129"/>
      </rPr>
      <t>) * 2.93%</t>
    </r>
    <phoneticPr fontId="7" type="noConversion"/>
  </si>
  <si>
    <r>
      <t xml:space="preserve">(재료비+노무비) * </t>
    </r>
    <r>
      <rPr>
        <sz val="11"/>
        <color theme="1"/>
        <rFont val="맑은 고딕"/>
        <family val="3"/>
        <charset val="129"/>
      </rPr>
      <t>4.8%</t>
    </r>
    <phoneticPr fontId="7" type="noConversion"/>
  </si>
  <si>
    <t>(재료비+직노+기계경비) * 0.081%</t>
    <phoneticPr fontId="7" type="noConversion"/>
  </si>
  <si>
    <t>[ 부산역 3층맞이방 전문점 신축공사 ]</t>
    <phoneticPr fontId="9" type="noConversion"/>
  </si>
  <si>
    <t>01  ▶ 전 문 점</t>
    <phoneticPr fontId="7" type="noConversion"/>
  </si>
  <si>
    <t>[ 부산역 3층맞이방 전문점 신축공사 ]</t>
    <phoneticPr fontId="1" type="noConversion"/>
  </si>
  <si>
    <t>01  부산역 3층맞이방 전문점 신축공사</t>
    <phoneticPr fontId="1" type="noConversion"/>
  </si>
  <si>
    <t>0101  ■ 전 문 점</t>
    <phoneticPr fontId="1" type="noConversion"/>
  </si>
  <si>
    <t>T:50MM</t>
    <phoneticPr fontId="1" type="noConversion"/>
  </si>
  <si>
    <t>가설판넬이전설치</t>
    <phoneticPr fontId="1" type="noConversion"/>
  </si>
  <si>
    <r>
      <t>010101  가 설 공 사</t>
    </r>
    <r>
      <rPr>
        <sz val="11"/>
        <color rgb="FFFF0000"/>
        <rFont val="굴림체"/>
        <family val="3"/>
        <charset val="129"/>
      </rPr>
      <t>(야간할증)</t>
    </r>
    <phoneticPr fontId="1" type="noConversion"/>
  </si>
  <si>
    <t>우레탄판넬</t>
    <phoneticPr fontId="1" type="noConversion"/>
  </si>
  <si>
    <t>우레탄판넬설치-지붕</t>
    <phoneticPr fontId="1" type="noConversion"/>
  </si>
  <si>
    <r>
      <t>010103  금 속 공 사</t>
    </r>
    <r>
      <rPr>
        <sz val="11"/>
        <color rgb="FFFF0000"/>
        <rFont val="굴림체"/>
        <family val="3"/>
        <charset val="129"/>
      </rPr>
      <t>(야간할증)</t>
    </r>
    <phoneticPr fontId="1" type="noConversion"/>
  </si>
  <si>
    <t>1800*3000, 비상전원장치 포함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</si>
</sst>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#"/>
    <numFmt numFmtId="182" formatCode="0.00_ "/>
    <numFmt numFmtId="184" formatCode="_ * #,##0.00_ ;_ * \-#,##0.00_ ;_ * &quot;-&quot;??_ ;_ @_ "/>
    <numFmt numFmtId="185" formatCode="#,##0.0\ ;\(#,##0.0\);\ \-\ "/>
    <numFmt numFmtId="186" formatCode="\$#,##0\ ;\(\$#,##0\)"/>
    <numFmt numFmtId="187" formatCode="\(&quot;$&quot;#,##0\);\(&quot;$&quot;#,##0\)"/>
    <numFmt numFmtId="188" formatCode="_-* #,##0.0_-;\-* #,##0.0_-;_-* &quot;-&quot;??_-;_-@_-"/>
    <numFmt numFmtId="189" formatCode="#,##0.0;[Red]\(#,##0.0\)"/>
    <numFmt numFmtId="190" formatCode="#,##0.0\ ;\(#,##0.0\);&quot;-&quot;\ "/>
    <numFmt numFmtId="191" formatCode="&quot;?#,##0.00;\-&quot;&quot;?&quot;#,##0.00"/>
    <numFmt numFmtId="192" formatCode="#,##0;[Red]\(#,##0\)"/>
    <numFmt numFmtId="193" formatCode="_-* #,##0_-;\-* #,##0_-;_-* &quot;-&quot;??_-;_-@_-"/>
    <numFmt numFmtId="194" formatCode="\(&quot;₩&quot;#,##0\);[Red]\(\-&quot;₩&quot;#,##0\)"/>
    <numFmt numFmtId="195" formatCode="\(&quot;₩&quot;#,##0\);[Red]\(&quot;△&quot;&quot;₩&quot;#,##0\)"/>
    <numFmt numFmtId="196" formatCode="#,##0&quot;칸&quot;"/>
    <numFmt numFmtId="197" formatCode="#,##0.0000_ "/>
    <numFmt numFmtId="198" formatCode="#,###.00000"/>
    <numFmt numFmtId="199" formatCode="#,##0\ ;[Red]\-#,##0\ "/>
    <numFmt numFmtId="200" formatCode="#.000"/>
    <numFmt numFmtId="201" formatCode="#,###.0000"/>
    <numFmt numFmtId="202" formatCode="#,###.000000"/>
    <numFmt numFmtId="203" formatCode="#,##0_ "/>
  </numFmts>
  <fonts count="7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2"/>
      <name val="돋움체"/>
      <family val="3"/>
      <charset val="129"/>
    </font>
    <font>
      <sz val="10"/>
      <color indexed="19"/>
      <name val="돋움체"/>
      <family val="3"/>
      <charset val="129"/>
    </font>
    <font>
      <sz val="10"/>
      <name val="Arial"/>
      <family val="2"/>
    </font>
    <font>
      <sz val="10"/>
      <name val="MS Sans Serif"/>
      <family val="2"/>
    </font>
    <font>
      <sz val="11"/>
      <name val="돋움"/>
      <family val="3"/>
      <charset val="129"/>
    </font>
    <font>
      <sz val="10"/>
      <name val="Times New Roman"/>
      <family val="1"/>
    </font>
    <font>
      <sz val="10"/>
      <name val="굴림체"/>
      <family val="3"/>
      <charset val="129"/>
    </font>
    <font>
      <sz val="12"/>
      <name val="Times New Roman"/>
      <family val="1"/>
    </font>
    <font>
      <sz val="10"/>
      <name val="Courier New"/>
      <family val="3"/>
    </font>
    <font>
      <sz val="12"/>
      <name val="Arial"/>
      <family val="2"/>
    </font>
    <font>
      <sz val="10"/>
      <name val="±¼¸²Ã¼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9"/>
      <name val="굴림체"/>
      <family val="3"/>
      <charset val="129"/>
    </font>
    <font>
      <sz val="10"/>
      <name val="±¼¸²A¼"/>
      <family val="3"/>
      <charset val="129"/>
    </font>
    <font>
      <sz val="8"/>
      <name val="¹UAAA¼"/>
      <family val="1"/>
      <charset val="129"/>
    </font>
    <font>
      <sz val="10"/>
      <name val="¹UAAA¼"/>
      <family val="1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¹UAAA¼"/>
      <family val="1"/>
      <charset val="129"/>
    </font>
    <font>
      <b/>
      <sz val="10"/>
      <name val="Helv"/>
      <family val="2"/>
    </font>
    <font>
      <sz val="11"/>
      <name val="굴림체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sz val="10"/>
      <name val="바탕체"/>
      <family val="1"/>
      <charset val="129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name val="돋움"/>
      <family val="3"/>
      <charset val="129"/>
    </font>
    <font>
      <b/>
      <sz val="1"/>
      <color indexed="8"/>
      <name val="Courier"/>
      <family val="3"/>
    </font>
    <font>
      <u/>
      <sz val="8.6999999999999993"/>
      <color indexed="36"/>
      <name val="굴림체"/>
      <family val="3"/>
      <charset val="129"/>
    </font>
    <font>
      <sz val="14"/>
      <name val="뼻뮝"/>
      <family val="1"/>
      <charset val="129"/>
    </font>
    <font>
      <sz val="10"/>
      <name val="돋움체"/>
      <family val="3"/>
      <charset val="129"/>
    </font>
    <font>
      <sz val="12"/>
      <name val="뼻뮝"/>
      <family val="1"/>
      <charset val="129"/>
    </font>
    <font>
      <sz val="12"/>
      <name val="명조"/>
      <family val="3"/>
      <charset val="129"/>
    </font>
    <font>
      <sz val="10"/>
      <name val="명조"/>
      <family val="3"/>
      <charset val="129"/>
    </font>
    <font>
      <sz val="10"/>
      <color indexed="12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HY울릉도M"/>
      <family val="1"/>
      <charset val="129"/>
    </font>
    <font>
      <u/>
      <sz val="16"/>
      <name val="HY울릉도M"/>
      <family val="1"/>
      <charset val="129"/>
    </font>
    <font>
      <sz val="20"/>
      <name val="HY울릉도M"/>
      <family val="1"/>
      <charset val="129"/>
    </font>
    <font>
      <u/>
      <sz val="20"/>
      <name val="HY울릉도M"/>
      <family val="1"/>
      <charset val="129"/>
    </font>
    <font>
      <sz val="35"/>
      <name val="HY울릉도M"/>
      <family val="1"/>
      <charset val="129"/>
    </font>
    <font>
      <sz val="16"/>
      <name val="HY울릉도M"/>
      <family val="1"/>
      <charset val="129"/>
    </font>
    <font>
      <sz val="14"/>
      <name val="HY울릉도M"/>
      <family val="1"/>
      <charset val="129"/>
    </font>
    <font>
      <b/>
      <u/>
      <sz val="16"/>
      <color indexed="8"/>
      <name val="돋움체"/>
      <family val="3"/>
      <charset val="129"/>
    </font>
    <font>
      <sz val="11"/>
      <color indexed="8"/>
      <name val="돋움체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u/>
      <sz val="16"/>
      <name val="돋움"/>
      <family val="3"/>
      <charset val="129"/>
    </font>
    <font>
      <b/>
      <sz val="12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굴림체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836">
    <xf numFmtId="0" fontId="0" fillId="0" borderId="0">
      <alignment vertical="center"/>
    </xf>
    <xf numFmtId="0" fontId="6" fillId="0" borderId="0">
      <alignment vertical="center"/>
    </xf>
    <xf numFmtId="3" fontId="11" fillId="0" borderId="1"/>
    <xf numFmtId="0" fontId="12" fillId="0" borderId="0" applyNumberFormat="0">
      <alignment horizontal="center" vertical="center"/>
      <protection locked="0" hidden="1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13" fillId="0" borderId="0"/>
    <xf numFmtId="0" fontId="14" fillId="0" borderId="0"/>
    <xf numFmtId="0" fontId="15" fillId="0" borderId="0"/>
    <xf numFmtId="0" fontId="13" fillId="0" borderId="0"/>
    <xf numFmtId="0" fontId="16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8" fillId="0" borderId="0" applyFont="0" applyFill="0" applyBorder="0" applyAlignment="0" applyProtection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8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 applyFont="0" applyFill="0" applyBorder="0" applyAlignment="0" applyProtection="0"/>
    <xf numFmtId="0" fontId="15" fillId="0" borderId="0"/>
    <xf numFmtId="0" fontId="15" fillId="0" borderId="0"/>
    <xf numFmtId="0" fontId="13" fillId="0" borderId="0"/>
    <xf numFmtId="0" fontId="14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4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3" fillId="0" borderId="0"/>
    <xf numFmtId="0" fontId="14" fillId="0" borderId="0"/>
    <xf numFmtId="0" fontId="16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8" fillId="0" borderId="0" applyFont="0" applyFill="0" applyBorder="0" applyAlignment="0" applyProtection="0"/>
    <xf numFmtId="0" fontId="16" fillId="0" borderId="0"/>
    <xf numFmtId="0" fontId="13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8" fillId="0" borderId="0" applyFont="0" applyFill="0" applyBorder="0" applyAlignment="0" applyProtection="0"/>
    <xf numFmtId="3" fontId="11" fillId="0" borderId="1"/>
    <xf numFmtId="3" fontId="11" fillId="0" borderId="1"/>
    <xf numFmtId="3" fontId="19" fillId="0" borderId="4">
      <alignment horizontal="right" vertical="center"/>
    </xf>
    <xf numFmtId="2" fontId="19" fillId="0" borderId="4">
      <alignment horizontal="right" vertical="center"/>
    </xf>
    <xf numFmtId="0" fontId="20" fillId="0" borderId="0"/>
    <xf numFmtId="0" fontId="15" fillId="0" borderId="0">
      <protection locked="0"/>
    </xf>
    <xf numFmtId="0" fontId="2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22" fillId="0" borderId="0" applyFont="0" applyFill="0" applyBorder="0" applyAlignment="0" applyProtection="0"/>
    <xf numFmtId="0" fontId="24" fillId="0" borderId="0">
      <protection locked="0"/>
    </xf>
    <xf numFmtId="0" fontId="2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22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22" fillId="0" borderId="0" applyFont="0" applyFill="0" applyBorder="0" applyAlignment="0" applyProtection="0"/>
    <xf numFmtId="184" fontId="21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22" fillId="0" borderId="0" applyFont="0" applyFill="0" applyBorder="0" applyAlignment="0" applyProtection="0"/>
    <xf numFmtId="58" fontId="15" fillId="0" borderId="0" applyFont="0" applyFill="0" applyBorder="0" applyAlignment="0" applyProtection="0"/>
    <xf numFmtId="0" fontId="26" fillId="0" borderId="0"/>
    <xf numFmtId="0" fontId="21" fillId="0" borderId="0"/>
    <xf numFmtId="0" fontId="27" fillId="0" borderId="0"/>
    <xf numFmtId="0" fontId="28" fillId="0" borderId="0"/>
    <xf numFmtId="0" fontId="29" fillId="0" borderId="0"/>
    <xf numFmtId="0" fontId="23" fillId="0" borderId="0"/>
    <xf numFmtId="0" fontId="30" fillId="0" borderId="0"/>
    <xf numFmtId="0" fontId="23" fillId="0" borderId="0"/>
    <xf numFmtId="0" fontId="22" fillId="0" borderId="0"/>
    <xf numFmtId="0" fontId="23" fillId="0" borderId="0"/>
    <xf numFmtId="0" fontId="27" fillId="0" borderId="0"/>
    <xf numFmtId="0" fontId="28" fillId="0" borderId="0"/>
    <xf numFmtId="0" fontId="15" fillId="0" borderId="0" applyFill="0" applyBorder="0" applyAlignment="0"/>
    <xf numFmtId="0" fontId="31" fillId="0" borderId="0"/>
    <xf numFmtId="0" fontId="13" fillId="0" borderId="0" applyFill="0" applyBorder="0" applyAlignment="0" applyProtection="0"/>
    <xf numFmtId="0" fontId="14" fillId="0" borderId="0" applyFont="0" applyFill="0" applyBorder="0" applyAlignment="0" applyProtection="0"/>
    <xf numFmtId="185" fontId="8" fillId="0" borderId="0"/>
    <xf numFmtId="184" fontId="13" fillId="0" borderId="0" applyFont="0" applyFill="0" applyBorder="0" applyAlignment="0" applyProtection="0"/>
    <xf numFmtId="3" fontId="13" fillId="0" borderId="0" applyFill="0" applyBorder="0" applyAlignment="0" applyProtection="0"/>
    <xf numFmtId="0" fontId="17" fillId="0" borderId="0" applyFont="0" applyFill="0" applyBorder="0" applyAlignment="0" applyProtection="0"/>
    <xf numFmtId="0" fontId="32" fillId="0" borderId="0">
      <protection locked="0"/>
    </xf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7" fontId="15" fillId="0" borderId="0"/>
    <xf numFmtId="0" fontId="13" fillId="0" borderId="0" applyFont="0" applyFill="0" applyBorder="0" applyAlignment="0" applyProtection="0"/>
    <xf numFmtId="188" fontId="15" fillId="0" borderId="0" applyFont="0" applyFill="0" applyBorder="0" applyAlignment="0" applyProtection="0"/>
    <xf numFmtId="189" fontId="15" fillId="0" borderId="0" applyFont="0" applyFill="0" applyBorder="0" applyAlignment="0" applyProtection="0"/>
    <xf numFmtId="190" fontId="15" fillId="0" borderId="0"/>
    <xf numFmtId="0" fontId="8" fillId="0" borderId="0" applyFont="0" applyFill="0" applyBorder="0" applyAlignment="0" applyProtection="0"/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2" fontId="13" fillId="0" borderId="0" applyFont="0" applyFill="0" applyBorder="0" applyAlignment="0" applyProtection="0"/>
    <xf numFmtId="38" fontId="35" fillId="6" borderId="0" applyNumberFormat="0" applyBorder="0" applyAlignment="0" applyProtection="0"/>
    <xf numFmtId="3" fontId="36" fillId="0" borderId="5">
      <alignment horizontal="right" vertical="center"/>
    </xf>
    <xf numFmtId="4" fontId="36" fillId="0" borderId="5">
      <alignment horizontal="right" vertical="center"/>
    </xf>
    <xf numFmtId="0" fontId="37" fillId="0" borderId="0">
      <alignment horizontal="left"/>
    </xf>
    <xf numFmtId="0" fontId="38" fillId="0" borderId="6" applyNumberFormat="0" applyAlignment="0" applyProtection="0">
      <alignment horizontal="left" vertical="center"/>
    </xf>
    <xf numFmtId="0" fontId="38" fillId="0" borderId="7">
      <alignment horizontal="left" vertical="center"/>
    </xf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0" fontId="35" fillId="6" borderId="1" applyNumberFormat="0" applyBorder="0" applyAlignment="0" applyProtection="0"/>
    <xf numFmtId="0" fontId="15" fillId="0" borderId="8">
      <protection locked="0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1" fillId="0" borderId="8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37" fontId="42" fillId="0" borderId="0"/>
    <xf numFmtId="0" fontId="13" fillId="0" borderId="0" applyNumberFormat="0" applyFill="0" applyBorder="0" applyAlignment="0" applyProtection="0"/>
    <xf numFmtId="191" fontId="15" fillId="0" borderId="0"/>
    <xf numFmtId="0" fontId="8" fillId="0" borderId="0"/>
    <xf numFmtId="0" fontId="13" fillId="0" borderId="0"/>
    <xf numFmtId="0" fontId="32" fillId="0" borderId="0">
      <protection locked="0"/>
    </xf>
    <xf numFmtId="10" fontId="13" fillId="0" borderId="0" applyFont="0" applyFill="0" applyBorder="0" applyAlignment="0" applyProtection="0"/>
    <xf numFmtId="0" fontId="33" fillId="0" borderId="0">
      <protection locked="0"/>
    </xf>
    <xf numFmtId="0" fontId="13" fillId="0" borderId="0"/>
    <xf numFmtId="0" fontId="41" fillId="0" borderId="0"/>
    <xf numFmtId="0" fontId="43" fillId="0" borderId="0" applyFill="0" applyBorder="0" applyProtection="0">
      <alignment horizontal="centerContinuous" vertical="center"/>
    </xf>
    <xf numFmtId="0" fontId="44" fillId="6" borderId="0" applyFill="0" applyBorder="0" applyProtection="0">
      <alignment horizontal="center" vertical="center"/>
    </xf>
    <xf numFmtId="0" fontId="13" fillId="0" borderId="9" applyNumberFormat="0" applyFont="0" applyFill="0" applyAlignment="0" applyProtection="0"/>
    <xf numFmtId="0" fontId="45" fillId="0" borderId="10">
      <alignment horizontal="left"/>
    </xf>
    <xf numFmtId="192" fontId="15" fillId="0" borderId="0" applyFont="0" applyFill="0" applyBorder="0" applyAlignment="0" applyProtection="0"/>
    <xf numFmtId="193" fontId="15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6" fillId="0" borderId="0">
      <protection locked="0"/>
    </xf>
    <xf numFmtId="3" fontId="47" fillId="0" borderId="11" applyFill="0" applyBorder="0" applyAlignment="0" applyProtection="0">
      <alignment horizontal="centerContinuous" vertical="center"/>
    </xf>
    <xf numFmtId="0" fontId="15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15" fillId="0" borderId="0">
      <protection locked="0"/>
    </xf>
    <xf numFmtId="0" fontId="33" fillId="0" borderId="0">
      <protection locked="0"/>
    </xf>
    <xf numFmtId="3" fontId="14" fillId="0" borderId="12">
      <alignment horizontal="center"/>
    </xf>
    <xf numFmtId="0" fontId="33" fillId="0" borderId="0"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41" fontId="51" fillId="0" borderId="1" applyNumberFormat="0" applyFont="0" applyFill="0" applyBorder="0" applyProtection="0">
      <alignment horizontal="distributed" vertical="center"/>
    </xf>
    <xf numFmtId="9" fontId="32" fillId="6" borderId="0" applyFill="0" applyBorder="0" applyProtection="0">
      <alignment horizontal="right"/>
    </xf>
    <xf numFmtId="10" fontId="32" fillId="0" borderId="0" applyFill="0" applyBorder="0" applyProtection="0">
      <alignment horizontal="right"/>
    </xf>
    <xf numFmtId="194" fontId="15" fillId="0" borderId="0" applyFont="0" applyFill="0" applyBorder="0" applyAlignment="0" applyProtection="0"/>
    <xf numFmtId="195" fontId="15" fillId="0" borderId="0" applyFont="0" applyFill="0" applyBorder="0" applyAlignment="0" applyProtection="0"/>
    <xf numFmtId="0" fontId="52" fillId="0" borderId="0"/>
    <xf numFmtId="0" fontId="15" fillId="0" borderId="3" applyBorder="0"/>
    <xf numFmtId="194" fontId="15" fillId="0" borderId="0" applyNumberFormat="0" applyFont="0" applyFill="0" applyBorder="0" applyProtection="0">
      <alignment horizontal="centerContinuous" vertical="center"/>
    </xf>
    <xf numFmtId="0" fontId="53" fillId="0" borderId="13"/>
    <xf numFmtId="4" fontId="53" fillId="0" borderId="3"/>
    <xf numFmtId="196" fontId="15" fillId="0" borderId="3"/>
    <xf numFmtId="0" fontId="15" fillId="0" borderId="3"/>
    <xf numFmtId="197" fontId="15" fillId="0" borderId="0">
      <alignment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0" fontId="8" fillId="0" borderId="0"/>
    <xf numFmtId="0" fontId="16" fillId="0" borderId="0"/>
    <xf numFmtId="0" fontId="16" fillId="0" borderId="0"/>
    <xf numFmtId="0" fontId="8" fillId="0" borderId="0" applyFont="0" applyFill="0" applyBorder="0" applyAlignment="0" applyProtection="0"/>
    <xf numFmtId="0" fontId="16" fillId="0" borderId="0"/>
    <xf numFmtId="0" fontId="16" fillId="0" borderId="0"/>
    <xf numFmtId="0" fontId="54" fillId="0" borderId="14"/>
    <xf numFmtId="0" fontId="55" fillId="0" borderId="0">
      <alignment vertical="center"/>
    </xf>
    <xf numFmtId="4" fontId="33" fillId="0" borderId="0">
      <protection locked="0"/>
    </xf>
    <xf numFmtId="198" fontId="15" fillId="0" borderId="0">
      <protection locked="0"/>
    </xf>
    <xf numFmtId="0" fontId="8" fillId="0" borderId="0"/>
    <xf numFmtId="41" fontId="15" fillId="0" borderId="0" applyFont="0" applyFill="0" applyBorder="0" applyAlignment="0" applyProtection="0"/>
    <xf numFmtId="0" fontId="15" fillId="6" borderId="0" applyFill="0" applyBorder="0" applyProtection="0">
      <alignment horizontal="right"/>
    </xf>
    <xf numFmtId="38" fontId="51" fillId="0" borderId="0" applyFont="0" applyFill="0" applyBorder="0" applyAlignment="0" applyProtection="0">
      <alignment vertical="center"/>
    </xf>
    <xf numFmtId="182" fontId="15" fillId="0" borderId="0" applyFont="0" applyFill="0" applyBorder="0" applyAlignment="0" applyProtection="0">
      <alignment vertical="center"/>
    </xf>
    <xf numFmtId="199" fontId="51" fillId="0" borderId="0" applyFont="0" applyFill="0" applyBorder="0" applyAlignment="0" applyProtection="0">
      <alignment vertical="center"/>
    </xf>
    <xf numFmtId="0" fontId="8" fillId="0" borderId="0" applyFont="0" applyFill="0" applyBorder="0" applyAlignment="0" applyProtection="0"/>
    <xf numFmtId="42" fontId="6" fillId="0" borderId="0" applyFont="0" applyFill="0" applyBorder="0" applyAlignment="0" applyProtection="0">
      <alignment vertical="center"/>
    </xf>
    <xf numFmtId="200" fontId="15" fillId="0" borderId="0">
      <protection locked="0"/>
    </xf>
    <xf numFmtId="0" fontId="15" fillId="0" borderId="0"/>
    <xf numFmtId="0" fontId="56" fillId="0" borderId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5" fillId="0" borderId="0"/>
    <xf numFmtId="3" fontId="11" fillId="0" borderId="1" applyFill="0" applyBorder="0" applyAlignment="0" applyProtection="0"/>
    <xf numFmtId="0" fontId="33" fillId="0" borderId="9">
      <protection locked="0"/>
    </xf>
    <xf numFmtId="201" fontId="15" fillId="0" borderId="0">
      <protection locked="0"/>
    </xf>
    <xf numFmtId="202" fontId="15" fillId="0" borderId="0">
      <protection locked="0"/>
    </xf>
  </cellStyleXfs>
  <cellXfs count="92">
    <xf numFmtId="0" fontId="0" fillId="0" borderId="0" xfId="0">
      <alignment vertical="center"/>
    </xf>
    <xf numFmtId="0" fontId="0" fillId="0" borderId="0" xfId="0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quotePrefix="1" applyAlignment="1">
      <alignment vertical="center"/>
    </xf>
    <xf numFmtId="176" fontId="0" fillId="0" borderId="0" xfId="0" applyNumberForma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76" fontId="5" fillId="0" borderId="1" xfId="0" applyNumberFormat="1" applyFont="1" applyBorder="1" applyAlignment="1">
      <alignment vertical="center" wrapText="1"/>
    </xf>
    <xf numFmtId="0" fontId="5" fillId="2" borderId="1" xfId="0" quotePrefix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176" fontId="5" fillId="2" borderId="1" xfId="0" applyNumberFormat="1" applyFont="1" applyFill="1" applyBorder="1" applyAlignment="1">
      <alignment vertical="center" wrapText="1"/>
    </xf>
    <xf numFmtId="0" fontId="5" fillId="3" borderId="1" xfId="0" quotePrefix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76" fontId="5" fillId="3" borderId="1" xfId="0" applyNumberFormat="1" applyFont="1" applyFill="1" applyBorder="1" applyAlignment="1">
      <alignment vertical="center" wrapText="1"/>
    </xf>
    <xf numFmtId="0" fontId="5" fillId="4" borderId="1" xfId="0" quotePrefix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176" fontId="5" fillId="4" borderId="1" xfId="0" applyNumberFormat="1" applyFont="1" applyFill="1" applyBorder="1" applyAlignment="1">
      <alignment vertical="center" wrapText="1"/>
    </xf>
    <xf numFmtId="0" fontId="15" fillId="0" borderId="0" xfId="831"/>
    <xf numFmtId="0" fontId="56" fillId="0" borderId="0" xfId="829">
      <alignment vertical="center"/>
    </xf>
    <xf numFmtId="0" fontId="57" fillId="0" borderId="0" xfId="831" applyFont="1"/>
    <xf numFmtId="0" fontId="59" fillId="0" borderId="0" xfId="831" applyFont="1" applyAlignment="1"/>
    <xf numFmtId="0" fontId="60" fillId="0" borderId="0" xfId="831" applyFont="1" applyAlignment="1">
      <alignment horizontal="left"/>
    </xf>
    <xf numFmtId="0" fontId="63" fillId="0" borderId="0" xfId="831" applyFont="1"/>
    <xf numFmtId="0" fontId="65" fillId="0" borderId="1" xfId="829" quotePrefix="1" applyFont="1" applyBorder="1" applyAlignment="1">
      <alignment horizontal="center" vertical="center" wrapText="1"/>
    </xf>
    <xf numFmtId="0" fontId="56" fillId="0" borderId="0" xfId="829" quotePrefix="1">
      <alignment vertical="center"/>
    </xf>
    <xf numFmtId="0" fontId="6" fillId="0" borderId="1" xfId="829" quotePrefix="1" applyFont="1" applyBorder="1" applyAlignment="1">
      <alignment horizontal="center" vertical="center" wrapText="1"/>
    </xf>
    <xf numFmtId="176" fontId="6" fillId="0" borderId="1" xfId="829" applyNumberFormat="1" applyFont="1" applyBorder="1" applyAlignment="1">
      <alignment vertical="center" wrapText="1"/>
    </xf>
    <xf numFmtId="0" fontId="6" fillId="0" borderId="1" xfId="829" quotePrefix="1" applyFont="1" applyBorder="1" applyAlignment="1">
      <alignment vertical="center" wrapText="1"/>
    </xf>
    <xf numFmtId="176" fontId="56" fillId="0" borderId="0" xfId="829" applyNumberFormat="1">
      <alignment vertical="center"/>
    </xf>
    <xf numFmtId="176" fontId="6" fillId="0" borderId="1" xfId="829" quotePrefix="1" applyNumberFormat="1" applyFont="1" applyBorder="1" applyAlignment="1">
      <alignment vertical="center" wrapText="1"/>
    </xf>
    <xf numFmtId="0" fontId="56" fillId="0" borderId="1" xfId="829" quotePrefix="1" applyBorder="1" applyAlignment="1">
      <alignment vertical="center" wrapText="1"/>
    </xf>
    <xf numFmtId="0" fontId="6" fillId="0" borderId="1" xfId="829" applyFont="1" applyBorder="1" applyAlignment="1">
      <alignment vertical="center" wrapText="1"/>
    </xf>
    <xf numFmtId="0" fontId="56" fillId="5" borderId="0" xfId="829" quotePrefix="1" applyFill="1">
      <alignment vertical="center"/>
    </xf>
    <xf numFmtId="0" fontId="6" fillId="5" borderId="1" xfId="829" quotePrefix="1" applyFont="1" applyFill="1" applyBorder="1" applyAlignment="1">
      <alignment horizontal="center" vertical="center" wrapText="1"/>
    </xf>
    <xf numFmtId="176" fontId="6" fillId="5" borderId="1" xfId="829" applyNumberFormat="1" applyFont="1" applyFill="1" applyBorder="1" applyAlignment="1">
      <alignment vertical="center" wrapText="1"/>
    </xf>
    <xf numFmtId="0" fontId="56" fillId="5" borderId="0" xfId="829" applyFill="1">
      <alignment vertical="center"/>
    </xf>
    <xf numFmtId="0" fontId="56" fillId="0" borderId="1" xfId="829" quotePrefix="1" applyFont="1" applyBorder="1" applyAlignment="1">
      <alignment vertical="center" wrapText="1"/>
    </xf>
    <xf numFmtId="0" fontId="10" fillId="0" borderId="1" xfId="829" quotePrefix="1" applyFont="1" applyBorder="1" applyAlignment="1">
      <alignment vertical="center" wrapText="1"/>
    </xf>
    <xf numFmtId="0" fontId="56" fillId="0" borderId="1" xfId="829" applyBorder="1" applyAlignment="1">
      <alignment vertical="center" wrapText="1"/>
    </xf>
    <xf numFmtId="0" fontId="66" fillId="0" borderId="0" xfId="829" applyFont="1">
      <alignment vertical="center"/>
    </xf>
    <xf numFmtId="0" fontId="15" fillId="0" borderId="0" xfId="819">
      <alignment vertical="center"/>
    </xf>
    <xf numFmtId="0" fontId="68" fillId="0" borderId="1" xfId="819" applyFont="1" applyBorder="1" applyAlignment="1">
      <alignment horizontal="center" vertical="center"/>
    </xf>
    <xf numFmtId="203" fontId="15" fillId="3" borderId="1" xfId="819" applyNumberFormat="1" applyFont="1" applyFill="1" applyBorder="1" applyAlignment="1">
      <alignment vertical="center"/>
    </xf>
    <xf numFmtId="203" fontId="15" fillId="0" borderId="1" xfId="819" quotePrefix="1" applyNumberFormat="1" applyFont="1" applyBorder="1" applyAlignment="1">
      <alignment vertical="center"/>
    </xf>
    <xf numFmtId="203" fontId="15" fillId="0" borderId="1" xfId="819" applyNumberFormat="1" applyFont="1" applyBorder="1" applyAlignment="1">
      <alignment horizontal="center" vertical="center"/>
    </xf>
    <xf numFmtId="203" fontId="15" fillId="0" borderId="1" xfId="819" applyNumberFormat="1" applyFont="1" applyBorder="1" applyAlignment="1">
      <alignment vertical="center"/>
    </xf>
    <xf numFmtId="203" fontId="15" fillId="0" borderId="0" xfId="819" applyNumberFormat="1" applyFont="1">
      <alignment vertical="center"/>
    </xf>
    <xf numFmtId="0" fontId="15" fillId="0" borderId="0" xfId="819" applyFont="1">
      <alignment vertical="center"/>
    </xf>
    <xf numFmtId="203" fontId="15" fillId="7" borderId="1" xfId="819" applyNumberFormat="1" applyFont="1" applyFill="1" applyBorder="1" applyAlignment="1">
      <alignment vertical="center"/>
    </xf>
    <xf numFmtId="203" fontId="15" fillId="0" borderId="2" xfId="819" quotePrefix="1" applyNumberFormat="1" applyFont="1" applyBorder="1" applyAlignment="1">
      <alignment vertical="center"/>
    </xf>
    <xf numFmtId="203" fontId="15" fillId="0" borderId="2" xfId="819" applyNumberFormat="1" applyFont="1" applyBorder="1" applyAlignment="1">
      <alignment vertical="center"/>
    </xf>
    <xf numFmtId="203" fontId="15" fillId="6" borderId="2" xfId="819" applyNumberFormat="1" applyFont="1" applyFill="1" applyBorder="1" applyAlignment="1">
      <alignment vertical="center"/>
    </xf>
    <xf numFmtId="203" fontId="15" fillId="3" borderId="1" xfId="819" quotePrefix="1" applyNumberFormat="1" applyFont="1" applyFill="1" applyBorder="1" applyAlignment="1">
      <alignment vertical="center"/>
    </xf>
    <xf numFmtId="203" fontId="15" fillId="6" borderId="1" xfId="819" applyNumberFormat="1" applyFont="1" applyFill="1" applyBorder="1" applyAlignment="1">
      <alignment vertical="center"/>
    </xf>
    <xf numFmtId="203" fontId="15" fillId="6" borderId="0" xfId="819" applyNumberFormat="1" applyFont="1" applyFill="1">
      <alignment vertical="center"/>
    </xf>
    <xf numFmtId="0" fontId="15" fillId="6" borderId="0" xfId="819" applyFont="1" applyFill="1">
      <alignment vertical="center"/>
    </xf>
    <xf numFmtId="203" fontId="15" fillId="5" borderId="1" xfId="819" applyNumberFormat="1" applyFont="1" applyFill="1" applyBorder="1" applyAlignment="1">
      <alignment vertical="center"/>
    </xf>
    <xf numFmtId="0" fontId="15" fillId="5" borderId="0" xfId="819" applyFont="1" applyFill="1">
      <alignment vertical="center"/>
    </xf>
    <xf numFmtId="203" fontId="15" fillId="5" borderId="0" xfId="819" applyNumberFormat="1" applyFont="1" applyFill="1">
      <alignment vertical="center"/>
    </xf>
    <xf numFmtId="203" fontId="15" fillId="5" borderId="1" xfId="819" applyNumberFormat="1" applyFont="1" applyFill="1" applyBorder="1" applyAlignment="1">
      <alignment horizontal="center" vertical="center"/>
    </xf>
    <xf numFmtId="203" fontId="15" fillId="5" borderId="2" xfId="819" applyNumberFormat="1" applyFont="1" applyFill="1" applyBorder="1" applyAlignment="1">
      <alignment vertical="center"/>
    </xf>
    <xf numFmtId="0" fontId="68" fillId="0" borderId="0" xfId="819" applyFont="1">
      <alignment vertical="center"/>
    </xf>
    <xf numFmtId="0" fontId="15" fillId="0" borderId="15" xfId="819" applyBorder="1">
      <alignment vertical="center"/>
    </xf>
    <xf numFmtId="0" fontId="5" fillId="0" borderId="1" xfId="0" applyFont="1" applyBorder="1" applyAlignment="1">
      <alignment vertical="center" wrapText="1"/>
    </xf>
    <xf numFmtId="0" fontId="69" fillId="0" borderId="1" xfId="829" applyFont="1" applyFill="1" applyBorder="1" applyAlignment="1">
      <alignment vertical="center" wrapText="1"/>
    </xf>
    <xf numFmtId="0" fontId="56" fillId="0" borderId="1" xfId="829" applyFont="1" applyFill="1" applyBorder="1" applyAlignment="1">
      <alignment vertical="center" wrapText="1"/>
    </xf>
    <xf numFmtId="0" fontId="69" fillId="0" borderId="1" xfId="829" quotePrefix="1" applyFont="1" applyFill="1" applyBorder="1" applyAlignment="1">
      <alignment vertical="center" wrapText="1"/>
    </xf>
    <xf numFmtId="0" fontId="69" fillId="5" borderId="1" xfId="829" quotePrefix="1" applyFont="1" applyFill="1" applyBorder="1" applyAlignment="1">
      <alignment vertical="center" wrapText="1"/>
    </xf>
    <xf numFmtId="0" fontId="69" fillId="0" borderId="1" xfId="829" quotePrefix="1" applyFont="1" applyBorder="1" applyAlignment="1">
      <alignment vertical="center" wrapText="1"/>
    </xf>
    <xf numFmtId="0" fontId="59" fillId="0" borderId="0" xfId="831" applyFont="1" applyAlignment="1">
      <alignment horizontal="center"/>
    </xf>
    <xf numFmtId="0" fontId="62" fillId="0" borderId="0" xfId="831" applyFont="1" applyAlignment="1">
      <alignment horizontal="center"/>
    </xf>
    <xf numFmtId="0" fontId="58" fillId="0" borderId="0" xfId="831" applyFont="1" applyAlignment="1">
      <alignment horizontal="center"/>
    </xf>
    <xf numFmtId="0" fontId="60" fillId="0" borderId="0" xfId="831" applyFont="1" applyAlignment="1">
      <alignment horizontal="left"/>
    </xf>
    <xf numFmtId="0" fontId="61" fillId="0" borderId="0" xfId="831" applyFont="1" applyAlignment="1">
      <alignment horizontal="center"/>
    </xf>
    <xf numFmtId="0" fontId="6" fillId="0" borderId="1" xfId="829" quotePrefix="1" applyFont="1" applyBorder="1" applyAlignment="1">
      <alignment vertical="center" wrapText="1"/>
    </xf>
    <xf numFmtId="0" fontId="6" fillId="0" borderId="1" xfId="829" quotePrefix="1" applyFont="1" applyBorder="1" applyAlignment="1">
      <alignment horizontal="center" vertical="center" wrapText="1"/>
    </xf>
    <xf numFmtId="0" fontId="64" fillId="0" borderId="0" xfId="829" applyFont="1" applyAlignment="1">
      <alignment horizontal="center" vertical="center"/>
    </xf>
    <xf numFmtId="0" fontId="65" fillId="0" borderId="0" xfId="829" applyFont="1" applyAlignment="1">
      <alignment vertical="center"/>
    </xf>
    <xf numFmtId="0" fontId="65" fillId="0" borderId="0" xfId="829" applyFont="1" applyAlignment="1">
      <alignment horizontal="right" vertical="center"/>
    </xf>
    <xf numFmtId="0" fontId="65" fillId="0" borderId="1" xfId="829" quotePrefix="1" applyFont="1" applyBorder="1" applyAlignment="1">
      <alignment horizontal="center" vertical="center" wrapText="1"/>
    </xf>
    <xf numFmtId="0" fontId="6" fillId="0" borderId="1" xfId="829" quotePrefix="1" applyFont="1" applyBorder="1" applyAlignment="1">
      <alignment horizontal="distributed" vertical="center" wrapText="1"/>
    </xf>
    <xf numFmtId="0" fontId="67" fillId="0" borderId="0" xfId="819" applyFont="1" applyAlignment="1">
      <alignment horizontal="center" vertical="center"/>
    </xf>
    <xf numFmtId="0" fontId="68" fillId="0" borderId="0" xfId="819" applyFont="1">
      <alignment vertical="center"/>
    </xf>
    <xf numFmtId="0" fontId="68" fillId="0" borderId="0" xfId="819" quotePrefix="1" applyFont="1">
      <alignment vertical="center"/>
    </xf>
    <xf numFmtId="0" fontId="68" fillId="0" borderId="1" xfId="819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0" fillId="0" borderId="0" xfId="0" quotePrefix="1">
      <alignment vertical="center"/>
    </xf>
  </cellXfs>
  <cellStyles count="836">
    <cellStyle name="#,##0" xfId="2"/>
    <cellStyle name=";;;" xfId="3"/>
    <cellStyle name="??&amp;5_x0007_?._x0007_9_x0008_??_x0007__x0001__x0001_" xfId="4"/>
    <cellStyle name="??&amp;6_x0007_?/_x0007_9_x0008_??_x0007__x0001__x0001_" xfId="5"/>
    <cellStyle name="??&amp;O?&amp;H?_x0008__x000f__x0007_?_x0007__x0001__x0001_" xfId="6"/>
    <cellStyle name="??&amp;O?&amp;H?_x0008_??_x0007__x0001__x0001_" xfId="7"/>
    <cellStyle name="??&amp;멅?둃9_x0008_??_x0007__x0001__x0001_" xfId="8"/>
    <cellStyle name="_06년 11월 설계변경현황(11월20일 최종결재분)" xfId="9"/>
    <cellStyle name="_1.사전공사&amp;추가원가 제도(요령,각종 품의서 약식) " xfId="10"/>
    <cellStyle name="_1.토공" xfId="11"/>
    <cellStyle name="_2004(노귀재)내역서(설계변경용)" xfId="12"/>
    <cellStyle name="_2-4.상반기실적부문별요약" xfId="13"/>
    <cellStyle name="_2-4.상반기실적부문별요약(표지및목차포함)" xfId="14"/>
    <cellStyle name="_2-4.상반기실적부문별요약(표지및목차포함)_1" xfId="15"/>
    <cellStyle name="_2-4.상반기실적부문별요약_1" xfId="16"/>
    <cellStyle name="_3차내시변경" xfId="17"/>
    <cellStyle name="_3차변경내역(1130)" xfId="18"/>
    <cellStyle name="_3차변경내역(1130)_4차공사내시변경" xfId="19"/>
    <cellStyle name="_4차(사전공사)" xfId="20"/>
    <cellStyle name="_4차(사전공사)_4차공사내시변경" xfId="21"/>
    <cellStyle name="_'99상반기경영개선활동결과(게시용)" xfId="22"/>
    <cellStyle name="_FCST (2)" xfId="23"/>
    <cellStyle name="_port" xfId="24"/>
    <cellStyle name="_SK건설추정견적" xfId="25"/>
    <cellStyle name="_가은-마성간1차(변경)" xfId="26"/>
    <cellStyle name="_가은-마성간도로확포장1차공사" xfId="27"/>
    <cellStyle name="_가은-마성간도로확포장공사" xfId="28"/>
    <cellStyle name="_거제U-2(3차)" xfId="29"/>
    <cellStyle name="_거제U-2(3차)_거제U-2(3차)" xfId="30"/>
    <cellStyle name="_거제U-2(3차)_거제U-2(3차)_서후-평은(투찰)" xfId="31"/>
    <cellStyle name="_거제U-2(3차)_거제U-2(3차)_서후-평은(투찰)_실행(1)" xfId="32"/>
    <cellStyle name="_거제U-2(3차)_거제U-2(3차)_서후-평은(투찰)_정읍∼완주간 1공구(투찰)" xfId="33"/>
    <cellStyle name="_거제U-2(3차)_거제U-2(3차)_서후-평은(투찰)_정읍∼완주간 1공구(투찰)_실행(1)" xfId="34"/>
    <cellStyle name="_거제U-2(3차)_거제U-2(3차)_실행(1)" xfId="35"/>
    <cellStyle name="_거제U-2(3차)_거제U-2(3차)_정읍∼완주간 1공구(투찰)" xfId="36"/>
    <cellStyle name="_거제U-2(3차)_거제U-2(3차)_정읍∼완주간 1공구(투찰)_실행(1)" xfId="37"/>
    <cellStyle name="_거제U-2(3차)_서후-평은(투찰)" xfId="38"/>
    <cellStyle name="_거제U-2(3차)_서후-평은(투찰)_실행(1)" xfId="39"/>
    <cellStyle name="_거제U-2(3차)_서후-평은(투찰)_정읍∼완주간 1공구(투찰)" xfId="40"/>
    <cellStyle name="_거제U-2(3차)_서후-평은(투찰)_정읍∼완주간 1공구(투찰)_실행(1)" xfId="41"/>
    <cellStyle name="_거제U-2(3차)_실행(1)" xfId="42"/>
    <cellStyle name="_거제U-2(3차)_정읍∼완주간 1공구(투찰)" xfId="43"/>
    <cellStyle name="_거제U-2(3차)_정읍∼완주간 1공구(투찰)_실행(1)" xfId="44"/>
    <cellStyle name="_경영개선활동상반기실적(990708)" xfId="45"/>
    <cellStyle name="_경영개선활동상반기실적(990708)_1" xfId="46"/>
    <cellStyle name="_경영개선활동상반기실적(990708)_2" xfId="47"/>
    <cellStyle name="_경영개선활성화방안(990802)" xfId="48"/>
    <cellStyle name="_경영개선활성화방안(990802)_1" xfId="49"/>
    <cellStyle name="_경유세(건설기계)" xfId="50"/>
    <cellStyle name="_경유세물공량확정(현동-임곡1)(1)" xfId="51"/>
    <cellStyle name="_공사현황병풍(3차발주)" xfId="52"/>
    <cellStyle name="_관리비(벌교2-1)" xfId="53"/>
    <cellStyle name="_광주평동실행" xfId="54"/>
    <cellStyle name="_광주평동실행_4차공사내시변경" xfId="55"/>
    <cellStyle name="_광주평동실행_경유세(건설기계)" xfId="56"/>
    <cellStyle name="_광주평동품의1" xfId="57"/>
    <cellStyle name="_광주평동품의1_4차공사내시변경" xfId="58"/>
    <cellStyle name="_광주평동품의1_경유세(건설기계)" xfId="59"/>
    <cellStyle name="_교량점검로" xfId="60"/>
    <cellStyle name="_기성0307" xfId="61"/>
    <cellStyle name="_기성09" xfId="62"/>
    <cellStyle name="_기장하수실행1" xfId="63"/>
    <cellStyle name="_기장하수실행1_4차공사내시변경" xfId="64"/>
    <cellStyle name="_기장하수실행1_경유세(건설기계)" xfId="65"/>
    <cellStyle name="_남면약목(투찰)" xfId="66"/>
    <cellStyle name="_내역" xfId="67"/>
    <cellStyle name="_내역서" xfId="68"/>
    <cellStyle name="_내역서(1)" xfId="69"/>
    <cellStyle name="_내역서(1차공사발주)(1)" xfId="70"/>
    <cellStyle name="_노귀재발주3차(설계설명서)" xfId="71"/>
    <cellStyle name="_도고천품의안11" xfId="72"/>
    <cellStyle name="_도고천품의안11_1" xfId="73"/>
    <cellStyle name="_도고천품의안11_1_4차공사내시변경" xfId="74"/>
    <cellStyle name="_도고천품의안11_1_경유세(건설기계)" xfId="75"/>
    <cellStyle name="_도고천품의안11_4차공사내시변경" xfId="76"/>
    <cellStyle name="_도고천품의안11_경유세(건설기계)" xfId="77"/>
    <cellStyle name="_도고천품의안11_광주평동실행" xfId="78"/>
    <cellStyle name="_도고천품의안11_광주평동실행_4차공사내시변경" xfId="79"/>
    <cellStyle name="_도고천품의안11_광주평동실행_경유세(건설기계)" xfId="80"/>
    <cellStyle name="_도고천품의안11_광주평동품의1" xfId="81"/>
    <cellStyle name="_도고천품의안11_광주평동품의1_4차공사내시변경" xfId="82"/>
    <cellStyle name="_도고천품의안11_광주평동품의1_경유세(건설기계)" xfId="83"/>
    <cellStyle name="_도고천품의안11_송학실행안" xfId="84"/>
    <cellStyle name="_도고천품의안11_송학실행안_4차공사내시변경" xfId="85"/>
    <cellStyle name="_도고천품의안11_송학실행안_경유세(건설기계)" xfId="86"/>
    <cellStyle name="_도고천품의안11_송학하수품의(설계넣고)" xfId="87"/>
    <cellStyle name="_도고천품의안11_송학하수품의(설계넣고)_4차공사내시변경" xfId="88"/>
    <cellStyle name="_도고천품의안11_송학하수품의(설계넣고)_경유세(건설기계)" xfId="89"/>
    <cellStyle name="_도곡1교 교대 수량" xfId="90"/>
    <cellStyle name="_도곡1교 교대 수량_4차공사내시변경" xfId="91"/>
    <cellStyle name="_도곡1교 교대 수량_최종수로암거" xfId="92"/>
    <cellStyle name="_도곡1교 교대 수량_최종수로암거_4차공사내시변경" xfId="93"/>
    <cellStyle name="_도곡1교 교대 수량_최종수로암거_최종수로암거" xfId="94"/>
    <cellStyle name="_도곡1교 교대 수량_최종수로암거_최종수로암거_4차공사내시변경" xfId="95"/>
    <cellStyle name="_도곡1교 교대(시점) 수량" xfId="96"/>
    <cellStyle name="_도곡1교 교대(시점) 수량_4차공사내시변경" xfId="97"/>
    <cellStyle name="_도곡1교 교대(시점) 수량_최종수로암거" xfId="98"/>
    <cellStyle name="_도곡1교 교대(시점) 수량_최종수로암거_4차공사내시변경" xfId="99"/>
    <cellStyle name="_도곡1교 교대(시점) 수량_최종수로암거_최종수로암거" xfId="100"/>
    <cellStyle name="_도곡1교 교대(시점) 수량_최종수로암거_최종수로암거_4차공사내시변경" xfId="101"/>
    <cellStyle name="_도곡1교 하부공 수량" xfId="102"/>
    <cellStyle name="_도곡1교 하부공 수량_4차공사내시변경" xfId="103"/>
    <cellStyle name="_도곡1교 하부공 수량_최종수로암거" xfId="104"/>
    <cellStyle name="_도곡1교 하부공 수량_최종수로암거_4차공사내시변경" xfId="105"/>
    <cellStyle name="_도곡1교 하부공 수량_최종수로암거_최종수로암거" xfId="106"/>
    <cellStyle name="_도곡1교 하부공 수량_최종수로암거_최종수로암거_4차공사내시변경" xfId="107"/>
    <cellStyle name="_도곡2교 교대 수량" xfId="108"/>
    <cellStyle name="_도곡2교 교대 수량_4차공사내시변경" xfId="109"/>
    <cellStyle name="_도곡2교 교대 수량_최종수로암거" xfId="110"/>
    <cellStyle name="_도곡2교 교대 수량_최종수로암거_4차공사내시변경" xfId="111"/>
    <cellStyle name="_도곡2교 교대 수량_최종수로암거_최종수로암거" xfId="112"/>
    <cellStyle name="_도곡2교 교대 수량_최종수로암거_최종수로암거_4차공사내시변경" xfId="113"/>
    <cellStyle name="_도곡2교 교대(종점) 수량" xfId="114"/>
    <cellStyle name="_도곡2교 교대(종점) 수량_4차공사내시변경" xfId="115"/>
    <cellStyle name="_도곡2교 교대(종점) 수량_최종수로암거" xfId="116"/>
    <cellStyle name="_도곡2교 교대(종점) 수량_최종수로암거_4차공사내시변경" xfId="117"/>
    <cellStyle name="_도곡2교 교대(종점) 수량_최종수로암거_최종수로암거" xfId="118"/>
    <cellStyle name="_도곡2교 교대(종점) 수량_최종수로암거_최종수로암거_4차공사내시변경" xfId="119"/>
    <cellStyle name="_도곡3교 교대 수량" xfId="120"/>
    <cellStyle name="_도곡3교 교대 수량_4차공사내시변경" xfId="121"/>
    <cellStyle name="_도곡3교 교대 수량_최종수로암거" xfId="122"/>
    <cellStyle name="_도곡3교 교대 수량_최종수로암거_4차공사내시변경" xfId="123"/>
    <cellStyle name="_도곡3교 교대 수량_최종수로암거_최종수로암거" xfId="124"/>
    <cellStyle name="_도곡3교 교대 수량_최종수로암거_최종수로암거_4차공사내시변경" xfId="125"/>
    <cellStyle name="_도곡4교 하부공 수량" xfId="126"/>
    <cellStyle name="_도곡4교 하부공 수량_4차공사내시변경" xfId="127"/>
    <cellStyle name="_도곡4교 하부공 수량_최종수로암거" xfId="128"/>
    <cellStyle name="_도곡4교 하부공 수량_최종수로암거_4차공사내시변경" xfId="129"/>
    <cellStyle name="_도곡4교 하부공 수량_최종수로암거_최종수로암거" xfId="130"/>
    <cellStyle name="_도곡4교 하부공 수량_최종수로암거_최종수로암거_4차공사내시변경" xfId="131"/>
    <cellStyle name="_도곡교 교대 수량" xfId="132"/>
    <cellStyle name="_도곡교 교대 수량_4차공사내시변경" xfId="133"/>
    <cellStyle name="_도곡교 교대 수량_최종수로암거" xfId="134"/>
    <cellStyle name="_도곡교 교대 수량_최종수로암거_4차공사내시변경" xfId="135"/>
    <cellStyle name="_도곡교 교대 수량_최종수로암거_최종수로암거" xfId="136"/>
    <cellStyle name="_도곡교 교대 수량_최종수로암거_최종수로암거_4차공사내시변경" xfId="137"/>
    <cellStyle name="_매정견적보고" xfId="138"/>
    <cellStyle name="_명암지도로실행" xfId="139"/>
    <cellStyle name="_명암지도로실행_4차공사내시변경" xfId="140"/>
    <cellStyle name="_명암지도로실행_경유세(건설기계)" xfId="141"/>
    <cellStyle name="_배수공집계" xfId="142"/>
    <cellStyle name="_벌교-주암2(동준)" xfId="143"/>
    <cellStyle name="_변경내역서1" xfId="144"/>
    <cellStyle name="_변경요약" xfId="145"/>
    <cellStyle name="_변경현황" xfId="146"/>
    <cellStyle name="_별첨(계획서및실적서양식)" xfId="147"/>
    <cellStyle name="_별첨(계획서및실적서양식)_1" xfId="148"/>
    <cellStyle name="_서후-평은(투찰)" xfId="149"/>
    <cellStyle name="_서후-평은(투찰)_실행(1)" xfId="150"/>
    <cellStyle name="_서후-평은(투찰)_정읍∼완주간 1공구(투찰)" xfId="151"/>
    <cellStyle name="_서후-평은(투찰)_정읍∼완주간 1공구(투찰)_실행(1)" xfId="152"/>
    <cellStyle name="_설계추정2(토목)대림" xfId="153"/>
    <cellStyle name="_설변내역" xfId="154"/>
    <cellStyle name="_설변내역1차" xfId="155"/>
    <cellStyle name="_설변내역2" xfId="156"/>
    <cellStyle name="_설변내역2차" xfId="157"/>
    <cellStyle name="_설변내역2차2" xfId="158"/>
    <cellStyle name="_송학실행안" xfId="159"/>
    <cellStyle name="_송학실행안_4차공사내시변경" xfId="160"/>
    <cellStyle name="_송학실행안_경유세(건설기계)" xfId="161"/>
    <cellStyle name="_송학하수투찰" xfId="162"/>
    <cellStyle name="_송학하수투찰_4차공사내시변경" xfId="163"/>
    <cellStyle name="_송학하수투찰_경유세(건설기계)" xfId="164"/>
    <cellStyle name="_송학하수품의(설계넣고)" xfId="165"/>
    <cellStyle name="_송학하수품의(설계넣고)_4차공사내시변경" xfId="166"/>
    <cellStyle name="_송학하수품의(설계넣고)_경유세(건설기계)" xfId="167"/>
    <cellStyle name="_수 량 연화.내감" xfId="168"/>
    <cellStyle name="_수량산출 구눌하수도" xfId="169"/>
    <cellStyle name="_실행(1)" xfId="170"/>
    <cellStyle name="_양식" xfId="171"/>
    <cellStyle name="_양식_1" xfId="172"/>
    <cellStyle name="_양식_2" xfId="173"/>
    <cellStyle name="_우" xfId="174"/>
    <cellStyle name="_우_4차공사내시변경" xfId="175"/>
    <cellStyle name="_우_경유세(건설기계)" xfId="176"/>
    <cellStyle name="_우_광주평동실행" xfId="177"/>
    <cellStyle name="_우_광주평동실행_4차공사내시변경" xfId="178"/>
    <cellStyle name="_우_광주평동실행_경유세(건설기계)" xfId="179"/>
    <cellStyle name="_우_광주평동품의1" xfId="180"/>
    <cellStyle name="_우_광주평동품의1_4차공사내시변경" xfId="181"/>
    <cellStyle name="_우_광주평동품의1_경유세(건설기계)" xfId="182"/>
    <cellStyle name="_우_기장하수실행1" xfId="183"/>
    <cellStyle name="_우_기장하수실행1_4차공사내시변경" xfId="184"/>
    <cellStyle name="_우_기장하수실행1_경유세(건설기계)" xfId="185"/>
    <cellStyle name="_우_송학실행안" xfId="186"/>
    <cellStyle name="_우_송학실행안_4차공사내시변경" xfId="187"/>
    <cellStyle name="_우_송학실행안_경유세(건설기계)" xfId="188"/>
    <cellStyle name="_우_송학하수투찰" xfId="189"/>
    <cellStyle name="_우_송학하수투찰_4차공사내시변경" xfId="190"/>
    <cellStyle name="_우_송학하수투찰_경유세(건설기계)" xfId="191"/>
    <cellStyle name="_우_송학하수품의(설계넣고)" xfId="192"/>
    <cellStyle name="_우_송학하수품의(설계넣고)_4차공사내시변경" xfId="193"/>
    <cellStyle name="_우_송학하수품의(설계넣고)_경유세(건설기계)" xfId="194"/>
    <cellStyle name="_우_우주센터투찰" xfId="195"/>
    <cellStyle name="_우_우주센터투찰_4차공사내시변경" xfId="196"/>
    <cellStyle name="_우_우주센터투찰_경유세(건설기계)" xfId="197"/>
    <cellStyle name="_우_우주센터투찰_광주평동실행" xfId="198"/>
    <cellStyle name="_우_우주센터투찰_광주평동실행_4차공사내시변경" xfId="199"/>
    <cellStyle name="_우_우주센터투찰_광주평동실행_경유세(건설기계)" xfId="200"/>
    <cellStyle name="_우_우주센터투찰_광주평동품의1" xfId="201"/>
    <cellStyle name="_우_우주센터투찰_광주평동품의1_4차공사내시변경" xfId="202"/>
    <cellStyle name="_우_우주센터투찰_광주평동품의1_경유세(건설기계)" xfId="203"/>
    <cellStyle name="_우_우주센터투찰_기장하수실행1" xfId="204"/>
    <cellStyle name="_우_우주센터투찰_기장하수실행1_4차공사내시변경" xfId="205"/>
    <cellStyle name="_우_우주센터투찰_기장하수실행1_경유세(건설기계)" xfId="206"/>
    <cellStyle name="_우_우주센터투찰_송학실행안" xfId="207"/>
    <cellStyle name="_우_우주센터투찰_송학실행안_4차공사내시변경" xfId="208"/>
    <cellStyle name="_우_우주센터투찰_송학실행안_경유세(건설기계)" xfId="209"/>
    <cellStyle name="_우_우주센터투찰_송학하수투찰" xfId="210"/>
    <cellStyle name="_우_우주센터투찰_송학하수투찰_4차공사내시변경" xfId="211"/>
    <cellStyle name="_우_우주센터투찰_송학하수투찰_경유세(건설기계)" xfId="212"/>
    <cellStyle name="_우_우주센터투찰_송학하수품의(설계넣고)" xfId="213"/>
    <cellStyle name="_우_우주센터투찰_송학하수품의(설계넣고)_4차공사내시변경" xfId="214"/>
    <cellStyle name="_우_우주센터투찰_송학하수품의(설계넣고)_경유세(건설기계)" xfId="215"/>
    <cellStyle name="_우주센" xfId="216"/>
    <cellStyle name="_우주센_4차공사내시변경" xfId="217"/>
    <cellStyle name="_우주센_경유세(건설기계)" xfId="218"/>
    <cellStyle name="_우주센_광주평동실행" xfId="219"/>
    <cellStyle name="_우주센_광주평동실행_4차공사내시변경" xfId="220"/>
    <cellStyle name="_우주센_광주평동실행_경유세(건설기계)" xfId="221"/>
    <cellStyle name="_우주센_광주평동품의1" xfId="222"/>
    <cellStyle name="_우주센_광주평동품의1_4차공사내시변경" xfId="223"/>
    <cellStyle name="_우주센_광주평동품의1_경유세(건설기계)" xfId="224"/>
    <cellStyle name="_우주센_기장하수실행1" xfId="225"/>
    <cellStyle name="_우주센_기장하수실행1_4차공사내시변경" xfId="226"/>
    <cellStyle name="_우주센_기장하수실행1_경유세(건설기계)" xfId="227"/>
    <cellStyle name="_우주센_송학실행안" xfId="228"/>
    <cellStyle name="_우주센_송학실행안_4차공사내시변경" xfId="229"/>
    <cellStyle name="_우주센_송학실행안_경유세(건설기계)" xfId="230"/>
    <cellStyle name="_우주센_송학하수투찰" xfId="231"/>
    <cellStyle name="_우주센_송학하수투찰_4차공사내시변경" xfId="232"/>
    <cellStyle name="_우주센_송학하수투찰_경유세(건설기계)" xfId="233"/>
    <cellStyle name="_우주센_송학하수품의(설계넣고)" xfId="234"/>
    <cellStyle name="_우주센_송학하수품의(설계넣고)_4차공사내시변경" xfId="235"/>
    <cellStyle name="_우주센_송학하수품의(설계넣고)_경유세(건설기계)" xfId="236"/>
    <cellStyle name="_우주센_우주센터투찰" xfId="237"/>
    <cellStyle name="_우주센_우주센터투찰_4차공사내시변경" xfId="238"/>
    <cellStyle name="_우주센_우주센터투찰_경유세(건설기계)" xfId="239"/>
    <cellStyle name="_우주센_우주센터투찰_광주평동실행" xfId="240"/>
    <cellStyle name="_우주센_우주센터투찰_광주평동실행_4차공사내시변경" xfId="241"/>
    <cellStyle name="_우주센_우주센터투찰_광주평동실행_경유세(건설기계)" xfId="242"/>
    <cellStyle name="_우주센_우주센터투찰_광주평동품의1" xfId="243"/>
    <cellStyle name="_우주센_우주센터투찰_광주평동품의1_4차공사내시변경" xfId="244"/>
    <cellStyle name="_우주센_우주센터투찰_광주평동품의1_경유세(건설기계)" xfId="245"/>
    <cellStyle name="_우주센_우주센터투찰_기장하수실행1" xfId="246"/>
    <cellStyle name="_우주센_우주센터투찰_기장하수실행1_4차공사내시변경" xfId="247"/>
    <cellStyle name="_우주센_우주센터투찰_기장하수실행1_경유세(건설기계)" xfId="248"/>
    <cellStyle name="_우주센_우주센터투찰_송학실행안" xfId="249"/>
    <cellStyle name="_우주센_우주센터투찰_송학실행안_4차공사내시변경" xfId="250"/>
    <cellStyle name="_우주센_우주센터투찰_송학실행안_경유세(건설기계)" xfId="251"/>
    <cellStyle name="_우주센_우주센터투찰_송학하수투찰" xfId="252"/>
    <cellStyle name="_우주센_우주센터투찰_송학하수투찰_4차공사내시변경" xfId="253"/>
    <cellStyle name="_우주센_우주센터투찰_송학하수투찰_경유세(건설기계)" xfId="254"/>
    <cellStyle name="_우주센_우주센터투찰_송학하수품의(설계넣고)" xfId="255"/>
    <cellStyle name="_우주센_우주센터투찰_송학하수품의(설계넣고)_4차공사내시변경" xfId="256"/>
    <cellStyle name="_우주센_우주센터투찰_송학하수품의(설계넣고)_경유세(건설기계)" xfId="257"/>
    <cellStyle name="_유첨3(서식)" xfId="258"/>
    <cellStyle name="_유첨3(서식)_1" xfId="259"/>
    <cellStyle name="_인원계획표 " xfId="260"/>
    <cellStyle name="_인원계획표 _2004(노귀재)내역서(설계변경용)" xfId="261"/>
    <cellStyle name="_인원계획표 _2004(노귀재)내역서(설계변경용)_4차공사내시변경" xfId="262"/>
    <cellStyle name="_인원계획표 _2004(노귀재)내역서(설계변경용)_경유세(건설기계)" xfId="263"/>
    <cellStyle name="_인원계획표 _2004(노귀재)설계변경내역서" xfId="264"/>
    <cellStyle name="_인원계획표 _2004(노귀재)설계변경내역서_4차공사내시변경" xfId="265"/>
    <cellStyle name="_인원계획표 _2004(노귀재)설계변경내역서_경유세(건설기계)" xfId="266"/>
    <cellStyle name="_인원계획표 _2004노귀재)내역서-참고용" xfId="267"/>
    <cellStyle name="_인원계획표 _2004노귀재)내역서-참고용_4차공사내시변경" xfId="268"/>
    <cellStyle name="_인원계획표 _2004노귀재)내역서-참고용_경유세(건설기계)" xfId="269"/>
    <cellStyle name="_인원계획표 _2004노귀재)설계변경내역서" xfId="270"/>
    <cellStyle name="_인원계획표 _2004노귀재)설계변경내역서_4차공사내시변경" xfId="271"/>
    <cellStyle name="_인원계획표 _2004노귀재)설계변경내역서_경유세(건설기계)" xfId="272"/>
    <cellStyle name="_인원계획표 _4차공사내시변경" xfId="273"/>
    <cellStyle name="_인원계획표 _거제U-2(3차)" xfId="274"/>
    <cellStyle name="_인원계획표 _거제U-2(3차)_거제U-2(3차)" xfId="275"/>
    <cellStyle name="_인원계획표 _거제U-2(3차)_거제U-2(3차)_서후-평은(투찰)" xfId="276"/>
    <cellStyle name="_인원계획표 _거제U-2(3차)_거제U-2(3차)_서후-평은(투찰)_실행(1)" xfId="277"/>
    <cellStyle name="_인원계획표 _거제U-2(3차)_거제U-2(3차)_서후-평은(투찰)_정읍∼완주간 1공구(투찰)" xfId="278"/>
    <cellStyle name="_인원계획표 _거제U-2(3차)_거제U-2(3차)_서후-평은(투찰)_정읍∼완주간 1공구(투찰)_실행(1)" xfId="279"/>
    <cellStyle name="_인원계획표 _거제U-2(3차)_거제U-2(3차)_실행(1)" xfId="280"/>
    <cellStyle name="_인원계획표 _거제U-2(3차)_거제U-2(3차)_정읍∼완주간 1공구(투찰)" xfId="281"/>
    <cellStyle name="_인원계획표 _거제U-2(3차)_거제U-2(3차)_정읍∼완주간 1공구(투찰)_실행(1)" xfId="282"/>
    <cellStyle name="_인원계획표 _거제U-2(3차)_서후-평은(투찰)" xfId="283"/>
    <cellStyle name="_인원계획표 _거제U-2(3차)_서후-평은(투찰)_실행(1)" xfId="284"/>
    <cellStyle name="_인원계획표 _거제U-2(3차)_서후-평은(투찰)_정읍∼완주간 1공구(투찰)" xfId="285"/>
    <cellStyle name="_인원계획표 _거제U-2(3차)_서후-평은(투찰)_정읍∼완주간 1공구(투찰)_실행(1)" xfId="286"/>
    <cellStyle name="_인원계획표 _거제U-2(3차)_실행(1)" xfId="287"/>
    <cellStyle name="_인원계획표 _거제U-2(3차)_정읍∼완주간 1공구(투찰)" xfId="288"/>
    <cellStyle name="_인원계획표 _거제U-2(3차)_정읍∼완주간 1공구(투찰)_실행(1)" xfId="289"/>
    <cellStyle name="_인원계획표 _경유세(건설기계)" xfId="290"/>
    <cellStyle name="_인원계획표 _광주평동실행" xfId="291"/>
    <cellStyle name="_인원계획표 _광주평동실행_4차공사내시변경" xfId="292"/>
    <cellStyle name="_인원계획표 _광주평동실행_경유세(건설기계)" xfId="293"/>
    <cellStyle name="_인원계획표 _광주평동품의1" xfId="294"/>
    <cellStyle name="_인원계획표 _광주평동품의1_4차공사내시변경" xfId="295"/>
    <cellStyle name="_인원계획표 _광주평동품의1_경유세(건설기계)" xfId="296"/>
    <cellStyle name="_인원계획표 _기장하수실행1" xfId="297"/>
    <cellStyle name="_인원계획표 _기장하수실행1_4차공사내시변경" xfId="298"/>
    <cellStyle name="_인원계획표 _기장하수실행1_경유세(건설기계)" xfId="299"/>
    <cellStyle name="_인원계획표 _서후-평은(투찰)" xfId="300"/>
    <cellStyle name="_인원계획표 _서후-평은(투찰)_실행(1)" xfId="301"/>
    <cellStyle name="_인원계획표 _서후-평은(투찰)_정읍∼완주간 1공구(투찰)" xfId="302"/>
    <cellStyle name="_인원계획표 _서후-평은(투찰)_정읍∼완주간 1공구(투찰)_실행(1)" xfId="303"/>
    <cellStyle name="_인원계획표 _송학실행안" xfId="304"/>
    <cellStyle name="_인원계획표 _송학실행안_4차공사내시변경" xfId="305"/>
    <cellStyle name="_인원계획표 _송학실행안_경유세(건설기계)" xfId="306"/>
    <cellStyle name="_인원계획표 _송학하수투찰" xfId="307"/>
    <cellStyle name="_인원계획표 _송학하수투찰_4차공사내시변경" xfId="308"/>
    <cellStyle name="_인원계획표 _송학하수투찰_경유세(건설기계)" xfId="309"/>
    <cellStyle name="_인원계획표 _송학하수품의(설계넣고)" xfId="310"/>
    <cellStyle name="_인원계획표 _송학하수품의(설계넣고)_4차공사내시변경" xfId="311"/>
    <cellStyle name="_인원계획표 _송학하수품의(설계넣고)_경유세(건설기계)" xfId="312"/>
    <cellStyle name="_인원계획표 _실행(1)" xfId="313"/>
    <cellStyle name="_인원계획표 _적격 " xfId="314"/>
    <cellStyle name="_인원계획표 _적격 _2004(노귀재)내역서(설계변경용)" xfId="315"/>
    <cellStyle name="_인원계획표 _적격 _2004(노귀재)내역서(설계변경용)_4차공사내시변경" xfId="316"/>
    <cellStyle name="_인원계획표 _적격 _2004(노귀재)내역서(설계변경용)_경유세(건설기계)" xfId="317"/>
    <cellStyle name="_인원계획표 _적격 _2004(노귀재)설계변경내역서" xfId="318"/>
    <cellStyle name="_인원계획표 _적격 _2004(노귀재)설계변경내역서_4차공사내시변경" xfId="319"/>
    <cellStyle name="_인원계획표 _적격 _2004(노귀재)설계변경내역서_경유세(건설기계)" xfId="320"/>
    <cellStyle name="_인원계획표 _적격 _2004노귀재)내역서-참고용" xfId="321"/>
    <cellStyle name="_인원계획표 _적격 _2004노귀재)내역서-참고용_4차공사내시변경" xfId="322"/>
    <cellStyle name="_인원계획표 _적격 _2004노귀재)내역서-참고용_경유세(건설기계)" xfId="323"/>
    <cellStyle name="_인원계획표 _적격 _2004노귀재)설계변경내역서" xfId="324"/>
    <cellStyle name="_인원계획표 _적격 _2004노귀재)설계변경내역서_4차공사내시변경" xfId="325"/>
    <cellStyle name="_인원계획표 _적격 _2004노귀재)설계변경내역서_경유세(건설기계)" xfId="326"/>
    <cellStyle name="_인원계획표 _적격 _4차공사내시변경" xfId="327"/>
    <cellStyle name="_인원계획표 _적격 _경유세(건설기계)" xfId="328"/>
    <cellStyle name="_인원계획표 _적격 _광주평동실행" xfId="329"/>
    <cellStyle name="_인원계획표 _적격 _광주평동실행_4차공사내시변경" xfId="330"/>
    <cellStyle name="_인원계획표 _적격 _광주평동실행_경유세(건설기계)" xfId="331"/>
    <cellStyle name="_인원계획표 _적격 _광주평동품의1" xfId="332"/>
    <cellStyle name="_인원계획표 _적격 _광주평동품의1_4차공사내시변경" xfId="333"/>
    <cellStyle name="_인원계획표 _적격 _광주평동품의1_경유세(건설기계)" xfId="334"/>
    <cellStyle name="_인원계획표 _적격 _기장하수실행1" xfId="335"/>
    <cellStyle name="_인원계획표 _적격 _기장하수실행1_4차공사내시변경" xfId="336"/>
    <cellStyle name="_인원계획표 _적격 _기장하수실행1_경유세(건설기계)" xfId="337"/>
    <cellStyle name="_인원계획표 _적격 _송학실행안" xfId="338"/>
    <cellStyle name="_인원계획표 _적격 _송학실행안_4차공사내시변경" xfId="339"/>
    <cellStyle name="_인원계획표 _적격 _송학실행안_경유세(건설기계)" xfId="340"/>
    <cellStyle name="_인원계획표 _적격 _송학하수투찰" xfId="341"/>
    <cellStyle name="_인원계획표 _적격 _송학하수투찰_4차공사내시변경" xfId="342"/>
    <cellStyle name="_인원계획표 _적격 _송학하수투찰_경유세(건설기계)" xfId="343"/>
    <cellStyle name="_인원계획표 _적격 _송학하수품의(설계넣고)" xfId="344"/>
    <cellStyle name="_인원계획표 _적격 _송학하수품의(설계넣고)_4차공사내시변경" xfId="345"/>
    <cellStyle name="_인원계획표 _적격 _송학하수품의(설계넣고)_경유세(건설기계)" xfId="346"/>
    <cellStyle name="_인원계획표 _정읍∼완주간 1공구(투찰)" xfId="347"/>
    <cellStyle name="_인원계획표 _정읍∼완주간 1공구(투찰)_실행(1)" xfId="348"/>
    <cellStyle name="_인원계획표 _진월 공내역서" xfId="349"/>
    <cellStyle name="_인원계획표 _진월 공내역서_서후-평은(투찰)" xfId="350"/>
    <cellStyle name="_인원계획표 _진월 공내역서_서후-평은(투찰)_실행(1)" xfId="351"/>
    <cellStyle name="_인원계획표 _진월 공내역서_서후-평은(투찰)_정읍∼완주간 1공구(투찰)" xfId="352"/>
    <cellStyle name="_인원계획표 _진월 공내역서_서후-평은(투찰)_정읍∼완주간 1공구(투찰)_실행(1)" xfId="353"/>
    <cellStyle name="_인원계획표 _진월 공내역서_실행(1)" xfId="354"/>
    <cellStyle name="_인원계획표 _진월 공내역서_정읍∼완주간 1공구(투찰)" xfId="355"/>
    <cellStyle name="_인원계획표 _진월 공내역서_정읍∼완주간 1공구(투찰)_실행(1)" xfId="356"/>
    <cellStyle name="_입찰표지 " xfId="357"/>
    <cellStyle name="_입찰표지 _2004(노귀재)내역서(설계변경용)" xfId="358"/>
    <cellStyle name="_입찰표지 _2004(노귀재)내역서(설계변경용)_4차공사내시변경" xfId="359"/>
    <cellStyle name="_입찰표지 _2004(노귀재)내역서(설계변경용)_경유세(건설기계)" xfId="360"/>
    <cellStyle name="_입찰표지 _2004(노귀재)설계변경내역서" xfId="361"/>
    <cellStyle name="_입찰표지 _2004(노귀재)설계변경내역서_4차공사내시변경" xfId="362"/>
    <cellStyle name="_입찰표지 _2004(노귀재)설계변경내역서_경유세(건설기계)" xfId="363"/>
    <cellStyle name="_입찰표지 _2004노귀재)내역서-참고용" xfId="364"/>
    <cellStyle name="_입찰표지 _2004노귀재)내역서-참고용_4차공사내시변경" xfId="365"/>
    <cellStyle name="_입찰표지 _2004노귀재)내역서-참고용_경유세(건설기계)" xfId="366"/>
    <cellStyle name="_입찰표지 _2004노귀재)설계변경내역서" xfId="367"/>
    <cellStyle name="_입찰표지 _2004노귀재)설계변경내역서_4차공사내시변경" xfId="368"/>
    <cellStyle name="_입찰표지 _2004노귀재)설계변경내역서_경유세(건설기계)" xfId="369"/>
    <cellStyle name="_입찰표지 _4차공사내시변경" xfId="370"/>
    <cellStyle name="_입찰표지 _거제U-2(3차)" xfId="371"/>
    <cellStyle name="_입찰표지 _거제U-2(3차)_거제U-2(3차)" xfId="372"/>
    <cellStyle name="_입찰표지 _거제U-2(3차)_거제U-2(3차)_서후-평은(투찰)" xfId="373"/>
    <cellStyle name="_입찰표지 _거제U-2(3차)_거제U-2(3차)_서후-평은(투찰)_실행(1)" xfId="374"/>
    <cellStyle name="_입찰표지 _거제U-2(3차)_거제U-2(3차)_서후-평은(투찰)_정읍∼완주간 1공구(투찰)" xfId="375"/>
    <cellStyle name="_입찰표지 _거제U-2(3차)_거제U-2(3차)_서후-평은(투찰)_정읍∼완주간 1공구(투찰)_실행(1)" xfId="376"/>
    <cellStyle name="_입찰표지 _거제U-2(3차)_거제U-2(3차)_실행(1)" xfId="377"/>
    <cellStyle name="_입찰표지 _거제U-2(3차)_거제U-2(3차)_정읍∼완주간 1공구(투찰)" xfId="378"/>
    <cellStyle name="_입찰표지 _거제U-2(3차)_거제U-2(3차)_정읍∼완주간 1공구(투찰)_실행(1)" xfId="379"/>
    <cellStyle name="_입찰표지 _거제U-2(3차)_서후-평은(투찰)" xfId="380"/>
    <cellStyle name="_입찰표지 _거제U-2(3차)_서후-평은(투찰)_실행(1)" xfId="381"/>
    <cellStyle name="_입찰표지 _거제U-2(3차)_서후-평은(투찰)_정읍∼완주간 1공구(투찰)" xfId="382"/>
    <cellStyle name="_입찰표지 _거제U-2(3차)_서후-평은(투찰)_정읍∼완주간 1공구(투찰)_실행(1)" xfId="383"/>
    <cellStyle name="_입찰표지 _거제U-2(3차)_실행(1)" xfId="384"/>
    <cellStyle name="_입찰표지 _거제U-2(3차)_정읍∼완주간 1공구(투찰)" xfId="385"/>
    <cellStyle name="_입찰표지 _거제U-2(3차)_정읍∼완주간 1공구(투찰)_실행(1)" xfId="386"/>
    <cellStyle name="_입찰표지 _경유세(건설기계)" xfId="387"/>
    <cellStyle name="_입찰표지 _광주평동실행" xfId="388"/>
    <cellStyle name="_입찰표지 _광주평동실행_4차공사내시변경" xfId="389"/>
    <cellStyle name="_입찰표지 _광주평동실행_경유세(건설기계)" xfId="390"/>
    <cellStyle name="_입찰표지 _광주평동품의1" xfId="391"/>
    <cellStyle name="_입찰표지 _광주평동품의1_4차공사내시변경" xfId="392"/>
    <cellStyle name="_입찰표지 _광주평동품의1_경유세(건설기계)" xfId="393"/>
    <cellStyle name="_입찰표지 _기장하수실행1" xfId="394"/>
    <cellStyle name="_입찰표지 _기장하수실행1_4차공사내시변경" xfId="395"/>
    <cellStyle name="_입찰표지 _기장하수실행1_경유세(건설기계)" xfId="396"/>
    <cellStyle name="_입찰표지 _서후-평은(투찰)" xfId="397"/>
    <cellStyle name="_입찰표지 _서후-평은(투찰)_실행(1)" xfId="398"/>
    <cellStyle name="_입찰표지 _서후-평은(투찰)_정읍∼완주간 1공구(투찰)" xfId="399"/>
    <cellStyle name="_입찰표지 _서후-평은(투찰)_정읍∼완주간 1공구(투찰)_실행(1)" xfId="400"/>
    <cellStyle name="_입찰표지 _송학실행안" xfId="401"/>
    <cellStyle name="_입찰표지 _송학실행안_4차공사내시변경" xfId="402"/>
    <cellStyle name="_입찰표지 _송학실행안_경유세(건설기계)" xfId="403"/>
    <cellStyle name="_입찰표지 _송학하수투찰" xfId="404"/>
    <cellStyle name="_입찰표지 _송학하수투찰_4차공사내시변경" xfId="405"/>
    <cellStyle name="_입찰표지 _송학하수투찰_경유세(건설기계)" xfId="406"/>
    <cellStyle name="_입찰표지 _송학하수품의(설계넣고)" xfId="407"/>
    <cellStyle name="_입찰표지 _송학하수품의(설계넣고)_4차공사내시변경" xfId="408"/>
    <cellStyle name="_입찰표지 _송학하수품의(설계넣고)_경유세(건설기계)" xfId="409"/>
    <cellStyle name="_입찰표지 _실행(1)" xfId="410"/>
    <cellStyle name="_입찰표지 _정읍∼완주간 1공구(투찰)" xfId="411"/>
    <cellStyle name="_입찰표지 _정읍∼완주간 1공구(투찰)_실행(1)" xfId="412"/>
    <cellStyle name="_입찰표지 _진월 공내역서" xfId="413"/>
    <cellStyle name="_입찰표지 _진월 공내역서_서후-평은(투찰)" xfId="414"/>
    <cellStyle name="_입찰표지 _진월 공내역서_서후-평은(투찰)_실행(1)" xfId="415"/>
    <cellStyle name="_입찰표지 _진월 공내역서_서후-평은(투찰)_정읍∼완주간 1공구(투찰)" xfId="416"/>
    <cellStyle name="_입찰표지 _진월 공내역서_서후-평은(투찰)_정읍∼완주간 1공구(투찰)_실행(1)" xfId="417"/>
    <cellStyle name="_입찰표지 _진월 공내역서_실행(1)" xfId="418"/>
    <cellStyle name="_입찰표지 _진월 공내역서_정읍∼완주간 1공구(투찰)" xfId="419"/>
    <cellStyle name="_입찰표지 _진월 공내역서_정읍∼완주간 1공구(투찰)_실행(1)" xfId="420"/>
    <cellStyle name="_적격 " xfId="421"/>
    <cellStyle name="_적격 _2004(노귀재)내역서(설계변경용)" xfId="422"/>
    <cellStyle name="_적격 _2004(노귀재)내역서(설계변경용)_4차공사내시변경" xfId="423"/>
    <cellStyle name="_적격 _2004(노귀재)내역서(설계변경용)_경유세(건설기계)" xfId="424"/>
    <cellStyle name="_적격 _2004(노귀재)설계변경내역서" xfId="425"/>
    <cellStyle name="_적격 _2004(노귀재)설계변경내역서_4차공사내시변경" xfId="426"/>
    <cellStyle name="_적격 _2004(노귀재)설계변경내역서_경유세(건설기계)" xfId="427"/>
    <cellStyle name="_적격 _2004노귀재)내역서-참고용" xfId="428"/>
    <cellStyle name="_적격 _2004노귀재)내역서-참고용_4차공사내시변경" xfId="429"/>
    <cellStyle name="_적격 _2004노귀재)내역서-참고용_경유세(건설기계)" xfId="430"/>
    <cellStyle name="_적격 _2004노귀재)설계변경내역서" xfId="431"/>
    <cellStyle name="_적격 _2004노귀재)설계변경내역서_4차공사내시변경" xfId="432"/>
    <cellStyle name="_적격 _2004노귀재)설계변경내역서_경유세(건설기계)" xfId="433"/>
    <cellStyle name="_적격 _4차공사내시변경" xfId="434"/>
    <cellStyle name="_적격 _경유세(건설기계)" xfId="435"/>
    <cellStyle name="_적격 _광주평동실행" xfId="436"/>
    <cellStyle name="_적격 _광주평동실행_4차공사내시변경" xfId="437"/>
    <cellStyle name="_적격 _광주평동실행_경유세(건설기계)" xfId="438"/>
    <cellStyle name="_적격 _광주평동품의1" xfId="439"/>
    <cellStyle name="_적격 _광주평동품의1_4차공사내시변경" xfId="440"/>
    <cellStyle name="_적격 _광주평동품의1_경유세(건설기계)" xfId="441"/>
    <cellStyle name="_적격 _기장하수실행1" xfId="442"/>
    <cellStyle name="_적격 _기장하수실행1_4차공사내시변경" xfId="443"/>
    <cellStyle name="_적격 _기장하수실행1_경유세(건설기계)" xfId="444"/>
    <cellStyle name="_적격 _송학실행안" xfId="445"/>
    <cellStyle name="_적격 _송학실행안_4차공사내시변경" xfId="446"/>
    <cellStyle name="_적격 _송학실행안_경유세(건설기계)" xfId="447"/>
    <cellStyle name="_적격 _송학하수투찰" xfId="448"/>
    <cellStyle name="_적격 _송학하수투찰_4차공사내시변경" xfId="449"/>
    <cellStyle name="_적격 _송학하수투찰_경유세(건설기계)" xfId="450"/>
    <cellStyle name="_적격 _송학하수품의(설계넣고)" xfId="451"/>
    <cellStyle name="_적격 _송학하수품의(설계넣고)_4차공사내시변경" xfId="452"/>
    <cellStyle name="_적격 _송학하수품의(설계넣고)_경유세(건설기계)" xfId="453"/>
    <cellStyle name="_적격 _집행갑지 " xfId="454"/>
    <cellStyle name="_적격 _집행갑지 _2004(노귀재)내역서(설계변경용)" xfId="455"/>
    <cellStyle name="_적격 _집행갑지 _2004(노귀재)내역서(설계변경용)_4차공사내시변경" xfId="456"/>
    <cellStyle name="_적격 _집행갑지 _2004(노귀재)내역서(설계변경용)_경유세(건설기계)" xfId="457"/>
    <cellStyle name="_적격 _집행갑지 _2004(노귀재)설계변경내역서" xfId="458"/>
    <cellStyle name="_적격 _집행갑지 _2004(노귀재)설계변경내역서_4차공사내시변경" xfId="459"/>
    <cellStyle name="_적격 _집행갑지 _2004(노귀재)설계변경내역서_경유세(건설기계)" xfId="460"/>
    <cellStyle name="_적격 _집행갑지 _2004노귀재)내역서-참고용" xfId="461"/>
    <cellStyle name="_적격 _집행갑지 _2004노귀재)내역서-참고용_4차공사내시변경" xfId="462"/>
    <cellStyle name="_적격 _집행갑지 _2004노귀재)내역서-참고용_경유세(건설기계)" xfId="463"/>
    <cellStyle name="_적격 _집행갑지 _2004노귀재)설계변경내역서" xfId="464"/>
    <cellStyle name="_적격 _집행갑지 _2004노귀재)설계변경내역서_4차공사내시변경" xfId="465"/>
    <cellStyle name="_적격 _집행갑지 _2004노귀재)설계변경내역서_경유세(건설기계)" xfId="466"/>
    <cellStyle name="_적격 _집행갑지 _4차공사내시변경" xfId="467"/>
    <cellStyle name="_적격 _집행갑지 _경유세(건설기계)" xfId="468"/>
    <cellStyle name="_적격 _집행갑지 _광주평동실행" xfId="469"/>
    <cellStyle name="_적격 _집행갑지 _광주평동실행_4차공사내시변경" xfId="470"/>
    <cellStyle name="_적격 _집행갑지 _광주평동실행_경유세(건설기계)" xfId="471"/>
    <cellStyle name="_적격 _집행갑지 _광주평동품의1" xfId="472"/>
    <cellStyle name="_적격 _집행갑지 _광주평동품의1_4차공사내시변경" xfId="473"/>
    <cellStyle name="_적격 _집행갑지 _광주평동품의1_경유세(건설기계)" xfId="474"/>
    <cellStyle name="_적격 _집행갑지 _기장하수실행1" xfId="475"/>
    <cellStyle name="_적격 _집행갑지 _기장하수실행1_4차공사내시변경" xfId="476"/>
    <cellStyle name="_적격 _집행갑지 _기장하수실행1_경유세(건설기계)" xfId="477"/>
    <cellStyle name="_적격 _집행갑지 _송학실행안" xfId="478"/>
    <cellStyle name="_적격 _집행갑지 _송학실행안_4차공사내시변경" xfId="479"/>
    <cellStyle name="_적격 _집행갑지 _송학실행안_경유세(건설기계)" xfId="480"/>
    <cellStyle name="_적격 _집행갑지 _송학하수투찰" xfId="481"/>
    <cellStyle name="_적격 _집행갑지 _송학하수투찰_4차공사내시변경" xfId="482"/>
    <cellStyle name="_적격 _집행갑지 _송학하수투찰_경유세(건설기계)" xfId="483"/>
    <cellStyle name="_적격 _집행갑지 _송학하수품의(설계넣고)" xfId="484"/>
    <cellStyle name="_적격 _집행갑지 _송학하수품의(설계넣고)_4차공사내시변경" xfId="485"/>
    <cellStyle name="_적격 _집행갑지 _송학하수품의(설계넣고)_경유세(건설기계)" xfId="486"/>
    <cellStyle name="_적격(화산) " xfId="487"/>
    <cellStyle name="_적격(화산) _2004(노귀재)내역서(설계변경용)" xfId="488"/>
    <cellStyle name="_적격(화산) _2004(노귀재)내역서(설계변경용)_4차공사내시변경" xfId="489"/>
    <cellStyle name="_적격(화산) _2004(노귀재)내역서(설계변경용)_경유세(건설기계)" xfId="490"/>
    <cellStyle name="_적격(화산) _2004(노귀재)설계변경내역서" xfId="491"/>
    <cellStyle name="_적격(화산) _2004(노귀재)설계변경내역서_4차공사내시변경" xfId="492"/>
    <cellStyle name="_적격(화산) _2004(노귀재)설계변경내역서_경유세(건설기계)" xfId="493"/>
    <cellStyle name="_적격(화산) _2004노귀재)내역서-참고용" xfId="494"/>
    <cellStyle name="_적격(화산) _2004노귀재)내역서-참고용_4차공사내시변경" xfId="495"/>
    <cellStyle name="_적격(화산) _2004노귀재)내역서-참고용_경유세(건설기계)" xfId="496"/>
    <cellStyle name="_적격(화산) _2004노귀재)설계변경내역서" xfId="497"/>
    <cellStyle name="_적격(화산) _2004노귀재)설계변경내역서_4차공사내시변경" xfId="498"/>
    <cellStyle name="_적격(화산) _2004노귀재)설계변경내역서_경유세(건설기계)" xfId="499"/>
    <cellStyle name="_적격(화산) _4차공사내시변경" xfId="500"/>
    <cellStyle name="_적격(화산) _거제U-2(3차)" xfId="501"/>
    <cellStyle name="_적격(화산) _거제U-2(3차)_거제U-2(3차)" xfId="502"/>
    <cellStyle name="_적격(화산) _거제U-2(3차)_거제U-2(3차)_서후-평은(투찰)" xfId="503"/>
    <cellStyle name="_적격(화산) _거제U-2(3차)_거제U-2(3차)_서후-평은(투찰)_실행(1)" xfId="504"/>
    <cellStyle name="_적격(화산) _거제U-2(3차)_거제U-2(3차)_서후-평은(투찰)_정읍∼완주간 1공구(투찰)" xfId="505"/>
    <cellStyle name="_적격(화산) _거제U-2(3차)_거제U-2(3차)_서후-평은(투찰)_정읍∼완주간 1공구(투찰)_실행(1)" xfId="506"/>
    <cellStyle name="_적격(화산) _거제U-2(3차)_거제U-2(3차)_실행(1)" xfId="507"/>
    <cellStyle name="_적격(화산) _거제U-2(3차)_거제U-2(3차)_정읍∼완주간 1공구(투찰)" xfId="508"/>
    <cellStyle name="_적격(화산) _거제U-2(3차)_거제U-2(3차)_정읍∼완주간 1공구(투찰)_실행(1)" xfId="509"/>
    <cellStyle name="_적격(화산) _거제U-2(3차)_서후-평은(투찰)" xfId="510"/>
    <cellStyle name="_적격(화산) _거제U-2(3차)_서후-평은(투찰)_실행(1)" xfId="511"/>
    <cellStyle name="_적격(화산) _거제U-2(3차)_서후-평은(투찰)_정읍∼완주간 1공구(투찰)" xfId="512"/>
    <cellStyle name="_적격(화산) _거제U-2(3차)_서후-평은(투찰)_정읍∼완주간 1공구(투찰)_실행(1)" xfId="513"/>
    <cellStyle name="_적격(화산) _거제U-2(3차)_실행(1)" xfId="514"/>
    <cellStyle name="_적격(화산) _거제U-2(3차)_정읍∼완주간 1공구(투찰)" xfId="515"/>
    <cellStyle name="_적격(화산) _거제U-2(3차)_정읍∼완주간 1공구(투찰)_실행(1)" xfId="516"/>
    <cellStyle name="_적격(화산) _경유세(건설기계)" xfId="517"/>
    <cellStyle name="_적격(화산) _광주평동실행" xfId="518"/>
    <cellStyle name="_적격(화산) _광주평동실행_4차공사내시변경" xfId="519"/>
    <cellStyle name="_적격(화산) _광주평동실행_경유세(건설기계)" xfId="520"/>
    <cellStyle name="_적격(화산) _광주평동품의1" xfId="521"/>
    <cellStyle name="_적격(화산) _광주평동품의1_4차공사내시변경" xfId="522"/>
    <cellStyle name="_적격(화산) _광주평동품의1_경유세(건설기계)" xfId="523"/>
    <cellStyle name="_적격(화산) _기장하수실행1" xfId="524"/>
    <cellStyle name="_적격(화산) _기장하수실행1_4차공사내시변경" xfId="525"/>
    <cellStyle name="_적격(화산) _기장하수실행1_경유세(건설기계)" xfId="526"/>
    <cellStyle name="_적격(화산) _서후-평은(투찰)" xfId="527"/>
    <cellStyle name="_적격(화산) _서후-평은(투찰)_실행(1)" xfId="528"/>
    <cellStyle name="_적격(화산) _서후-평은(투찰)_정읍∼완주간 1공구(투찰)" xfId="529"/>
    <cellStyle name="_적격(화산) _서후-평은(투찰)_정읍∼완주간 1공구(투찰)_실행(1)" xfId="530"/>
    <cellStyle name="_적격(화산) _송학실행안" xfId="531"/>
    <cellStyle name="_적격(화산) _송학실행안_4차공사내시변경" xfId="532"/>
    <cellStyle name="_적격(화산) _송학실행안_경유세(건설기계)" xfId="533"/>
    <cellStyle name="_적격(화산) _송학하수투찰" xfId="534"/>
    <cellStyle name="_적격(화산) _송학하수투찰_4차공사내시변경" xfId="535"/>
    <cellStyle name="_적격(화산) _송학하수투찰_경유세(건설기계)" xfId="536"/>
    <cellStyle name="_적격(화산) _송학하수품의(설계넣고)" xfId="537"/>
    <cellStyle name="_적격(화산) _송학하수품의(설계넣고)_4차공사내시변경" xfId="538"/>
    <cellStyle name="_적격(화산) _송학하수품의(설계넣고)_경유세(건설기계)" xfId="539"/>
    <cellStyle name="_적격(화산) _실행(1)" xfId="540"/>
    <cellStyle name="_적격(화산) _정읍∼완주간 1공구(투찰)" xfId="541"/>
    <cellStyle name="_적격(화산) _정읍∼완주간 1공구(투찰)_실행(1)" xfId="542"/>
    <cellStyle name="_적격(화산) _진월 공내역서" xfId="543"/>
    <cellStyle name="_적격(화산) _진월 공내역서_서후-평은(투찰)" xfId="544"/>
    <cellStyle name="_적격(화산) _진월 공내역서_서후-평은(투찰)_실행(1)" xfId="545"/>
    <cellStyle name="_적격(화산) _진월 공내역서_서후-평은(투찰)_정읍∼완주간 1공구(투찰)" xfId="546"/>
    <cellStyle name="_적격(화산) _진월 공내역서_서후-평은(투찰)_정읍∼완주간 1공구(투찰)_실행(1)" xfId="547"/>
    <cellStyle name="_적격(화산) _진월 공내역서_실행(1)" xfId="548"/>
    <cellStyle name="_적격(화산) _진월 공내역서_정읍∼완주간 1공구(투찰)" xfId="549"/>
    <cellStyle name="_적격(화산) _진월 공내역서_정읍∼완주간 1공구(투찰)_실행(1)" xfId="550"/>
    <cellStyle name="_전체분자재집계표" xfId="551"/>
    <cellStyle name="_정읍∼완주간 1공구(투찰)" xfId="552"/>
    <cellStyle name="_정읍∼완주간 1공구(투찰)_실행(1)" xfId="553"/>
    <cellStyle name="_제출용병천하수(지역관로1)" xfId="554"/>
    <cellStyle name="_제출용병천하수(지역관로1)_4차공사내시변경" xfId="555"/>
    <cellStyle name="_제출용병천하수(지역관로1)_경유세(건설기계)" xfId="556"/>
    <cellStyle name="_제출용병천하수(지역관로1)_광주평동실행" xfId="557"/>
    <cellStyle name="_제출용병천하수(지역관로1)_광주평동실행_4차공사내시변경" xfId="558"/>
    <cellStyle name="_제출용병천하수(지역관로1)_광주평동실행_경유세(건설기계)" xfId="559"/>
    <cellStyle name="_제출용병천하수(지역관로1)_광주평동품의1" xfId="560"/>
    <cellStyle name="_제출용병천하수(지역관로1)_광주평동품의1_4차공사내시변경" xfId="561"/>
    <cellStyle name="_제출용병천하수(지역관로1)_광주평동품의1_경유세(건설기계)" xfId="562"/>
    <cellStyle name="_제출용병천하수(지역관로1)_기장하수실행1" xfId="563"/>
    <cellStyle name="_제출용병천하수(지역관로1)_기장하수실행1_4차공사내시변경" xfId="564"/>
    <cellStyle name="_제출용병천하수(지역관로1)_기장하수실행1_경유세(건설기계)" xfId="565"/>
    <cellStyle name="_제출용병천하수(지역관로1)_송학실행안" xfId="566"/>
    <cellStyle name="_제출용병천하수(지역관로1)_송학실행안_4차공사내시변경" xfId="567"/>
    <cellStyle name="_제출용병천하수(지역관로1)_송학실행안_경유세(건설기계)" xfId="568"/>
    <cellStyle name="_제출용병천하수(지역관로1)_송학하수투찰" xfId="569"/>
    <cellStyle name="_제출용병천하수(지역관로1)_송학하수투찰_4차공사내시변경" xfId="570"/>
    <cellStyle name="_제출용병천하수(지역관로1)_송학하수투찰_경유세(건설기계)" xfId="571"/>
    <cellStyle name="_제출용병천하수(지역관로1)_송학하수품의(설계넣고)" xfId="572"/>
    <cellStyle name="_제출용병천하수(지역관로1)_송학하수품의(설계넣고)_4차공사내시변경" xfId="573"/>
    <cellStyle name="_제출용병천하수(지역관로1)_송학하수품의(설계넣고)_경유세(건설기계)" xfId="574"/>
    <cellStyle name="_좌학-평리간(4,750)" xfId="575"/>
    <cellStyle name="_지정과제1분기실적(확정990408)" xfId="576"/>
    <cellStyle name="_지정과제1분기실적(확정990408)_1" xfId="577"/>
    <cellStyle name="_지정과제2차심의list" xfId="578"/>
    <cellStyle name="_지정과제2차심의list_1" xfId="579"/>
    <cellStyle name="_지정과제2차심의list_2" xfId="580"/>
    <cellStyle name="_지정과제2차심의결과" xfId="581"/>
    <cellStyle name="_지정과제2차심의결과(금액조정후최종)" xfId="582"/>
    <cellStyle name="_지정과제2차심의결과(금액조정후최종)_1" xfId="583"/>
    <cellStyle name="_지정과제2차심의결과(금액조정후최종)_1_경영개선실적보고(전주공장)" xfId="584"/>
    <cellStyle name="_지정과제2차심의결과(금액조정후최종)_1_별첨1_2" xfId="585"/>
    <cellStyle name="_지정과제2차심의결과(금액조정후최종)_1_제안과제집계표(공장전체)" xfId="586"/>
    <cellStyle name="_지정과제2차심의결과(금액조정후최종)_경영개선실적보고(전주공장)" xfId="587"/>
    <cellStyle name="_지정과제2차심의결과(금액조정후최종)_별첨1_2" xfId="588"/>
    <cellStyle name="_지정과제2차심의결과(금액조정후최종)_제안과제집계표(공장전체)" xfId="589"/>
    <cellStyle name="_지정과제2차심의결과_1" xfId="590"/>
    <cellStyle name="_진월 공내역서" xfId="591"/>
    <cellStyle name="_진월 공내역서_서후-평은(투찰)" xfId="592"/>
    <cellStyle name="_진월 공내역서_서후-평은(투찰)_실행(1)" xfId="593"/>
    <cellStyle name="_진월 공내역서_서후-평은(투찰)_정읍∼완주간 1공구(투찰)" xfId="594"/>
    <cellStyle name="_진월 공내역서_서후-평은(투찰)_정읍∼완주간 1공구(투찰)_실행(1)" xfId="595"/>
    <cellStyle name="_진월 공내역서_실행(1)" xfId="596"/>
    <cellStyle name="_진월 공내역서_정읍∼완주간 1공구(투찰)" xfId="597"/>
    <cellStyle name="_진월 공내역서_정읍∼완주간 1공구(투찰)_실행(1)" xfId="598"/>
    <cellStyle name="_집계" xfId="599"/>
    <cellStyle name="_집중관리(981231)" xfId="600"/>
    <cellStyle name="_집중관리(981231)_1" xfId="601"/>
    <cellStyle name="_집중관리(지정과제및 양식)" xfId="602"/>
    <cellStyle name="_집중관리(지정과제및 양식)_1" xfId="603"/>
    <cellStyle name="_집행갑지 " xfId="604"/>
    <cellStyle name="_집행갑지 _2004(노귀재)내역서(설계변경용)" xfId="605"/>
    <cellStyle name="_집행갑지 _2004(노귀재)내역서(설계변경용)_4차공사내시변경" xfId="606"/>
    <cellStyle name="_집행갑지 _2004(노귀재)내역서(설계변경용)_경유세(건설기계)" xfId="607"/>
    <cellStyle name="_집행갑지 _2004(노귀재)설계변경내역서" xfId="608"/>
    <cellStyle name="_집행갑지 _2004(노귀재)설계변경내역서_4차공사내시변경" xfId="609"/>
    <cellStyle name="_집행갑지 _2004(노귀재)설계변경내역서_경유세(건설기계)" xfId="610"/>
    <cellStyle name="_집행갑지 _2004노귀재)내역서-참고용" xfId="611"/>
    <cellStyle name="_집행갑지 _2004노귀재)내역서-참고용_4차공사내시변경" xfId="612"/>
    <cellStyle name="_집행갑지 _2004노귀재)내역서-참고용_경유세(건설기계)" xfId="613"/>
    <cellStyle name="_집행갑지 _2004노귀재)설계변경내역서" xfId="614"/>
    <cellStyle name="_집행갑지 _2004노귀재)설계변경내역서_4차공사내시변경" xfId="615"/>
    <cellStyle name="_집행갑지 _2004노귀재)설계변경내역서_경유세(건설기계)" xfId="616"/>
    <cellStyle name="_집행갑지 _4차공사내시변경" xfId="617"/>
    <cellStyle name="_집행갑지 _경유세(건설기계)" xfId="618"/>
    <cellStyle name="_집행갑지 _광주평동실행" xfId="619"/>
    <cellStyle name="_집행갑지 _광주평동실행_4차공사내시변경" xfId="620"/>
    <cellStyle name="_집행갑지 _광주평동실행_경유세(건설기계)" xfId="621"/>
    <cellStyle name="_집행갑지 _광주평동품의1" xfId="622"/>
    <cellStyle name="_집행갑지 _광주평동품의1_4차공사내시변경" xfId="623"/>
    <cellStyle name="_집행갑지 _광주평동품의1_경유세(건설기계)" xfId="624"/>
    <cellStyle name="_집행갑지 _기장하수실행1" xfId="625"/>
    <cellStyle name="_집행갑지 _기장하수실행1_4차공사내시변경" xfId="626"/>
    <cellStyle name="_집행갑지 _기장하수실행1_경유세(건설기계)" xfId="627"/>
    <cellStyle name="_집행갑지 _송학실행안" xfId="628"/>
    <cellStyle name="_집행갑지 _송학실행안_4차공사내시변경" xfId="629"/>
    <cellStyle name="_집행갑지 _송학실행안_경유세(건설기계)" xfId="630"/>
    <cellStyle name="_집행갑지 _송학하수투찰" xfId="631"/>
    <cellStyle name="_집행갑지 _송학하수투찰_4차공사내시변경" xfId="632"/>
    <cellStyle name="_집행갑지 _송학하수투찰_경유세(건설기계)" xfId="633"/>
    <cellStyle name="_집행갑지 _송학하수품의(설계넣고)" xfId="634"/>
    <cellStyle name="_집행갑지 _송학하수품의(설계넣고)_4차공사내시변경" xfId="635"/>
    <cellStyle name="_집행갑지 _송학하수품의(설계넣고)_경유세(건설기계)" xfId="636"/>
    <cellStyle name="_최종수로암거" xfId="637"/>
    <cellStyle name="_최종수로암거_4차공사내시변경" xfId="638"/>
    <cellStyle name="_최종수로암거_최종수로암거" xfId="639"/>
    <cellStyle name="_최종수로암거_최종수로암거_4차공사내시변경" xfId="640"/>
    <cellStyle name="_측  구" xfId="641"/>
    <cellStyle name="_측구공" xfId="642"/>
    <cellStyle name="_토공" xfId="643"/>
    <cellStyle name="_투찰내역서(신동가사)" xfId="644"/>
    <cellStyle name="_투찰내역서(신동가사)_2004(노귀재)내역서(설계변경용)" xfId="645"/>
    <cellStyle name="_투찰내역서(신동가사)_2004(노귀재)내역서(설계변경용)_4차공사내시변경" xfId="646"/>
    <cellStyle name="_투찰내역서(신동가사)_2004(노귀재)내역서(설계변경용)_경유세(건설기계)" xfId="647"/>
    <cellStyle name="_투찰내역서(신동가사)_2004(노귀재)설계변경내역서" xfId="648"/>
    <cellStyle name="_투찰내역서(신동가사)_2004(노귀재)설계변경내역서_4차공사내시변경" xfId="649"/>
    <cellStyle name="_투찰내역서(신동가사)_2004(노귀재)설계변경내역서_경유세(건설기계)" xfId="650"/>
    <cellStyle name="_투찰내역서(신동가사)_2004노귀재)내역서-참고용" xfId="651"/>
    <cellStyle name="_투찰내역서(신동가사)_2004노귀재)내역서-참고용_4차공사내시변경" xfId="652"/>
    <cellStyle name="_투찰내역서(신동가사)_2004노귀재)내역서-참고용_경유세(건설기계)" xfId="653"/>
    <cellStyle name="_투찰내역서(신동가사)_2004노귀재)설계변경내역서" xfId="654"/>
    <cellStyle name="_투찰내역서(신동가사)_2004노귀재)설계변경내역서_4차공사내시변경" xfId="655"/>
    <cellStyle name="_투찰내역서(신동가사)_2004노귀재)설계변경내역서_경유세(건설기계)" xfId="656"/>
    <cellStyle name="_투찰내역서(신동가사)_4차공사내시변경" xfId="657"/>
    <cellStyle name="_투찰내역서(신동가사)_경유세(건설기계)" xfId="658"/>
    <cellStyle name="_하도급" xfId="659"/>
    <cellStyle name="_횡배수관" xfId="660"/>
    <cellStyle name="¤@?e_TEST-1 " xfId="661"/>
    <cellStyle name="\MNPREF32.DLL&amp;" xfId="662"/>
    <cellStyle name="0.0" xfId="663"/>
    <cellStyle name="0.00" xfId="664"/>
    <cellStyle name="1" xfId="665"/>
    <cellStyle name="2" xfId="666"/>
    <cellStyle name="82" xfId="667"/>
    <cellStyle name="Aee­ " xfId="668"/>
    <cellStyle name="ÅëÈ­ [0]_´ë¿Ü°ø¹®" xfId="669"/>
    <cellStyle name="AeE­ [0]_´eAN°yC￥ " xfId="670"/>
    <cellStyle name="ÅëÈ­ [0]_»óºÎ¼ö·®Áý°è " xfId="671"/>
    <cellStyle name="AeE­ [0]_AMT " xfId="672"/>
    <cellStyle name="ÅëÈ­ [0]_º»¼± ±æ¾î±úºÎ ¼ö·® Áý°èÇ¥ " xfId="673"/>
    <cellStyle name="AeE­ [0]_º≫¼± ±æ¾i±uºI ¼o·R Ay°eC￥ " xfId="674"/>
    <cellStyle name="Aee­ _2004(노귀재)내역서(설계변경용)" xfId="675"/>
    <cellStyle name="ÅëÈ­_´ë¿Ü°ø¹®" xfId="676"/>
    <cellStyle name="AeE­_´eAN°yC￥ " xfId="677"/>
    <cellStyle name="ÅëÈ­_»óºÎ¼ö·®Áý°è " xfId="678"/>
    <cellStyle name="AeE­_AMT " xfId="679"/>
    <cellStyle name="ÅëÈ­_º»¼± ±æ¾î±úºÎ ¼ö·® Áý°èÇ¥ " xfId="680"/>
    <cellStyle name="AeE­_º≫¼± ±æ¾i±uºI ¼o·R Ay°eC￥ " xfId="681"/>
    <cellStyle name="ÄÞ¸¶ [0]_´ë¿Ü°ø¹®" xfId="682"/>
    <cellStyle name="AÞ¸¶ [0]_´eAN°yC￥ " xfId="683"/>
    <cellStyle name="ÄÞ¸¶ [0]_»óºÎ¼ö·®Áý°è " xfId="684"/>
    <cellStyle name="AÞ¸¶ [0]_AN°y(1.25) " xfId="685"/>
    <cellStyle name="ÄÞ¸¶ [0]_º»¼± ±æ¾î±úºÎ ¼ö·® Áý°èÇ¥ " xfId="686"/>
    <cellStyle name="AÞ¸¶ [0]_º≫¼± ±æ¾i±uºI ¼o·R Ay°eC￥ " xfId="687"/>
    <cellStyle name="ÄÞ¸¶_´ë¿Ü°ø¹®" xfId="688"/>
    <cellStyle name="AÞ¸¶_´eAN°yC￥ " xfId="689"/>
    <cellStyle name="ÄÞ¸¶_»óºÎ¼ö·®Áý°è " xfId="690"/>
    <cellStyle name="AÞ¸¶_AN°y(1.25) " xfId="691"/>
    <cellStyle name="ÄÞ¸¶_º»¼± ±æ¾î±úºÎ ¼ö·® Áý°èÇ¥ " xfId="692"/>
    <cellStyle name="AÞ¸¶_º≫¼± ±æ¾i±uºI ¼o·R Ay°eC￥ " xfId="693"/>
    <cellStyle name="_x0001_b" xfId="694"/>
    <cellStyle name="C￥AØ_  FAB AIA¤  " xfId="695"/>
    <cellStyle name="Ç¥ÁØ_´ë¿Ü°ø¹®" xfId="696"/>
    <cellStyle name="C￥AØ_´eºnC￥ (2)_ºI´eAa°ø " xfId="697"/>
    <cellStyle name="Ç¥ÁØ_´ëºñÇ¥ (2)_ºÎ´ëÅä°ø " xfId="698"/>
    <cellStyle name="C￥AØ_¸¶≫eCI¼oAIA§ " xfId="699"/>
    <cellStyle name="Ç¥ÁØ_»óºÎ¼ö·®Áý°è " xfId="700"/>
    <cellStyle name="C￥AØ_½CCa¿¹≫e¼­ " xfId="701"/>
    <cellStyle name="Ç¥ÁØ_ÇöÀå°ü¸®ºñ(Áö¹æ) " xfId="702"/>
    <cellStyle name="C￥AØ_CoAa°u¸Rºn(Ao¹æ) " xfId="703"/>
    <cellStyle name="Ç¥ÁØ_FAX¾ç½Ä " xfId="704"/>
    <cellStyle name="C￥AØ_ºI´eAa°ø " xfId="705"/>
    <cellStyle name="Ç¥ÁØ_ºÎ´ëÅä°ø " xfId="706"/>
    <cellStyle name="Calc Currency (0)" xfId="707"/>
    <cellStyle name="category" xfId="708"/>
    <cellStyle name="Comma" xfId="709"/>
    <cellStyle name="Comma [0]" xfId="710"/>
    <cellStyle name="comma zerodec" xfId="711"/>
    <cellStyle name="Comma_ SG&amp;A Bridge " xfId="712"/>
    <cellStyle name="Comma0" xfId="713"/>
    <cellStyle name="Curren?_x0012_퐀_x0017_?" xfId="714"/>
    <cellStyle name="Currency" xfId="715"/>
    <cellStyle name="Currency [0]" xfId="716"/>
    <cellStyle name="Currency_ SG&amp;A Bridge " xfId="717"/>
    <cellStyle name="Currency0" xfId="718"/>
    <cellStyle name="Currency1" xfId="719"/>
    <cellStyle name="Date" xfId="720"/>
    <cellStyle name="Dezimal [0]_laroux" xfId="721"/>
    <cellStyle name="Dezimal_laroux" xfId="722"/>
    <cellStyle name="Dollar (zero dec)" xfId="723"/>
    <cellStyle name="Euro" xfId="724"/>
    <cellStyle name="F2" xfId="725"/>
    <cellStyle name="F3" xfId="726"/>
    <cellStyle name="F4" xfId="727"/>
    <cellStyle name="F5" xfId="728"/>
    <cellStyle name="F6" xfId="729"/>
    <cellStyle name="F7" xfId="730"/>
    <cellStyle name="F8" xfId="731"/>
    <cellStyle name="Fixed" xfId="732"/>
    <cellStyle name="Grey" xfId="733"/>
    <cellStyle name="H1" xfId="734"/>
    <cellStyle name="H2" xfId="735"/>
    <cellStyle name="HEADER" xfId="736"/>
    <cellStyle name="Header1" xfId="737"/>
    <cellStyle name="Header2" xfId="738"/>
    <cellStyle name="Heading 1" xfId="739"/>
    <cellStyle name="Heading 2" xfId="740"/>
    <cellStyle name="Heading1_부대공산근집계표 " xfId="741"/>
    <cellStyle name="Heading2_부대공산근집계표 " xfId="742"/>
    <cellStyle name="Hyperlink" xfId="743"/>
    <cellStyle name="Input [yellow]" xfId="744"/>
    <cellStyle name="L`" xfId="745"/>
    <cellStyle name="Milliers [0]_Arabian Spec" xfId="746"/>
    <cellStyle name="Milliers_Arabian Spec" xfId="747"/>
    <cellStyle name="mma_CASH &amp; DSO" xfId="748"/>
    <cellStyle name="Model" xfId="749"/>
    <cellStyle name="Mon?aire [0]_Arabian Spec" xfId="750"/>
    <cellStyle name="Mon?aire_Arabian Spec" xfId="751"/>
    <cellStyle name="no dec" xfId="752"/>
    <cellStyle name="normal" xfId="753"/>
    <cellStyle name="Normal - Style1" xfId="754"/>
    <cellStyle name="Normal - 유형1" xfId="755"/>
    <cellStyle name="Normal_ SG&amp;A Bridge " xfId="756"/>
    <cellStyle name="Percent" xfId="757"/>
    <cellStyle name="Percent [2]" xfId="758"/>
    <cellStyle name="Percent_2004(노귀재)내역서(설계변경용)" xfId="759"/>
    <cellStyle name="Standard_laroux" xfId="760"/>
    <cellStyle name="subhead" xfId="761"/>
    <cellStyle name="title [1]" xfId="762"/>
    <cellStyle name="title [2]" xfId="763"/>
    <cellStyle name="Total" xfId="764"/>
    <cellStyle name="UM" xfId="765"/>
    <cellStyle name="W?rung [0]_laroux" xfId="766"/>
    <cellStyle name="W?rung_laroux" xfId="767"/>
    <cellStyle name="_x0008_z" xfId="768"/>
    <cellStyle name="|?ドE" xfId="769"/>
    <cellStyle name="견적부" xfId="770"/>
    <cellStyle name="고정소숫점" xfId="771"/>
    <cellStyle name="고정출력1" xfId="772"/>
    <cellStyle name="고정출력2" xfId="773"/>
    <cellStyle name="끼_x0001_?" xfId="774"/>
    <cellStyle name="날짜" xfId="775"/>
    <cellStyle name="내역서" xfId="776"/>
    <cellStyle name="달러" xfId="777"/>
    <cellStyle name="뒤에 오는 하이퍼링크_남부대로가로등 설치 " xfId="778"/>
    <cellStyle name="똿뗦먛귟 [0.00]_PRODUCT DETAIL Q1" xfId="779"/>
    <cellStyle name="똿뗦먛귟_PRODUCT DETAIL Q1" xfId="780"/>
    <cellStyle name="믅됞 [0.00]_PRODUCT DETAIL Q1" xfId="781"/>
    <cellStyle name="믅됞_PRODUCT DETAIL Q1" xfId="782"/>
    <cellStyle name="배분" xfId="783"/>
    <cellStyle name="백분율 [0]" xfId="784"/>
    <cellStyle name="백분율 [2]" xfId="785"/>
    <cellStyle name="백분율［△1］" xfId="786"/>
    <cellStyle name="백분율［△2］" xfId="787"/>
    <cellStyle name="뷭?_BOOKSHIP" xfId="788"/>
    <cellStyle name="빨강" xfId="789"/>
    <cellStyle name="선택영역의 가운데로" xfId="790"/>
    <cellStyle name="소수" xfId="791"/>
    <cellStyle name="소수3" xfId="792"/>
    <cellStyle name="소수4" xfId="793"/>
    <cellStyle name="소수점" xfId="794"/>
    <cellStyle name="숫자(R)" xfId="795"/>
    <cellStyle name="쉼표 [0] 2" xfId="796"/>
    <cellStyle name="쉼표 [0] 2 2" xfId="797"/>
    <cellStyle name="스타일 1" xfId="798"/>
    <cellStyle name="스타일 2" xfId="799"/>
    <cellStyle name="스타일 3" xfId="800"/>
    <cellStyle name="스타일 4" xfId="801"/>
    <cellStyle name="스타일 5" xfId="802"/>
    <cellStyle name="스타일 6" xfId="803"/>
    <cellStyle name="안건회계법인" xfId="804"/>
    <cellStyle name="유1" xfId="805"/>
    <cellStyle name="자리수" xfId="806"/>
    <cellStyle name="자리수0" xfId="807"/>
    <cellStyle name="지정되지 않음" xfId="808"/>
    <cellStyle name="콤마 [0]" xfId="809"/>
    <cellStyle name="콤마 [2]" xfId="810"/>
    <cellStyle name="콤마 [금액]" xfId="811"/>
    <cellStyle name="콤마 [소수]" xfId="812"/>
    <cellStyle name="콤마 [수량]" xfId="813"/>
    <cellStyle name="콤마_  종  합  " xfId="814"/>
    <cellStyle name="통화 [0] 2" xfId="815"/>
    <cellStyle name="퍼센트" xfId="816"/>
    <cellStyle name="표준" xfId="0" builtinId="0"/>
    <cellStyle name="표준 10" xfId="817"/>
    <cellStyle name="표준 2" xfId="818"/>
    <cellStyle name="표준 2 2" xfId="819"/>
    <cellStyle name="표준 3" xfId="820"/>
    <cellStyle name="표준 3 2" xfId="821"/>
    <cellStyle name="표준 3 3" xfId="822"/>
    <cellStyle name="표준 3 3 2" xfId="823"/>
    <cellStyle name="표준 3 3 2 2" xfId="824"/>
    <cellStyle name="표준 3 3 2 2 2" xfId="825"/>
    <cellStyle name="표준 3 3 2 2 2 2" xfId="1"/>
    <cellStyle name="표준 3 3 2_송도역 맞이방 편의점 (0515)" xfId="826"/>
    <cellStyle name="표준 3 3_송도역 맞이방 편의점 (0515)" xfId="827"/>
    <cellStyle name="표준 3_송도역 맞이방 편의점 (0515)" xfId="828"/>
    <cellStyle name="표준 4" xfId="829"/>
    <cellStyle name="표준 5" xfId="830"/>
    <cellStyle name="표준_공사표지_공사표지(2003.4)_공사표지(2003.4)" xfId="831"/>
    <cellStyle name="표준1" xfId="832"/>
    <cellStyle name="합산" xfId="833"/>
    <cellStyle name="화폐기호" xfId="834"/>
    <cellStyle name="화폐기호0" xfId="83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0238\c\&#44277;&#49324;&#52628;&#51652;&#48372;&#44256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20166\&#44204;%20%20&#51201;\&#47784;&#46304;&#50641;&#49472;&#45936;&#51060;&#53552;\&#44204;%20%20&#51201;\&#44256;&#49549;&#46020;&#47196;\&#51473;&#48512;&#45236;&#47449;\&#51473;&#48512;&#45236;&#47449;&#44256;&#49549;%20&#51228;9&#44277;&#44396;\DATA\PLANT\&#50696;&#49328;\&#50668;&#52380;&#54840;&#50976;\216&#49892;&#5069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4617;\AA&#44204;&#51201;\AA&#44204;&#51201;\&#49692;&#52380;&#46020;&#47196;\&#53804;&#52272;\&#44256;&#44032;\&#49692;&#52380;&#44256;&#4403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My%20Documents\765\DOTB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4620;&#51665;\&#51200;&#51109;&#44256;\A.&#51089;&#50629;&#54868;&#51068;&#9654;&#9654;\B-&#49457;&#50864;&#50696;&#44148;&#52629;(&#51452;)\R.&#45224;&#45824;&#51204;&#54868;&#47932;&#51088;&#46041;&#52264;\03.&#45236;&#50669;\&#45224;&#45824;&#51204;&#50896;&#4403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4-19-&#49436;&#50872;&#45824;&#44288;&#47144;\99-04-19-&#49436;&#50872;&#45824;&#44288;&#47144;(&#49688;&#51221;&#51473;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1999&#45380;\&#50696;&#49328;-&#45236;&#50669;&#49436;\&#50696;&#49328;&#44288;&#47144;&#49436;&#47448;\99-05-&#49436;&#50872;&#45824;&#45236;&#50669;&#49436;\&#52572;&#51333;&#54028;&#51068;\1.&#47609;&#50516;&#44144;&#44288;&#4714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MBNW04\DATA\MC_KI\E_MAIL\WK1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765\KV\TNY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yber.mg21.go.kr/WINDOWS/TEMP/&#45236;&#52397;&#52632;&#46028;&#47532;&#46020;/&#44049;&#51648;/&#50504;&#46041;&#44049;&#5164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54788;&#49688;\C\JMS\GA-DAE\&#48512;&#45824;&#49688;&#47049;\&#48512;&#45824;~0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4620;&#51665;\&#51200;&#51109;&#44256;\NGR\&#53685;&#54633;&#44204;&#51201;\&#44204;&#51201;\&#45432;&#44592;&#50885;\nhrok\&#53556;&#53412;\05&#45380;\&#51221;&#44288;2&#44277;&#44396;\&#53804;&#52272;\&#45824;&#50504;\&#44060;&#51340;&#53552;&#45328;&#53685;&#49888;&#45236;&#50669;&#49436;(2004.04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0865;\&#51204;&#44592;&#48512;\PROJECT\&#51473;&#50521;&#44256;&#49549;&#46020;&#47196;\&#51089;&#50629;&#47928;&#49436;\2&#44277;&#4439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020;&#51116;&#49440;\DO\DO\&#51312;&#45804;&#52397;\&#44148;&#49444;&#48512;\&#47928;&#45236;&#54889;&#49328;.97.12.11\&#53804;&#52272;\&#51200;&#44032;\&#51200;&#44032;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WINDOWS\Temporary%20Internet%20Files\Content.IE5\YBOVCVMB\&#44053;&#44288;\&#44053;&#44288;&#45236;&#50669;&#4943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0865;\&#51204;&#44592;&#48512;\PROJECT\&#51473;&#50521;&#44256;&#49549;&#46020;&#47196;\&#51089;&#50629;&#47928;&#49436;\&#50696;&#49328;&#49436;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36;&#54620;&#51665;\&#51200;&#51109;&#44256;\NGR\&#53685;&#54633;&#44204;&#51201;\&#44204;&#51201;\&#45432;&#44592;&#50885;\nhrok\&#53556;&#53412;\05&#45380;\&#51221;&#44288;2&#44277;&#44396;\&#53804;&#52272;\&#45824;&#50504;\&#44032;&#47196;&#46321;&#49444;&#52824;&#44277;&#4932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My%20Documents\765\KV\TNY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609;&#45824;&#51652;\2001\My%20Documents\My%20Documents\765KV.MUL\TOTAL\&#45817;1&#54788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3;&#44396;&#54028;&#51068;/A.&#51089;&#50629;&#54868;&#51068;/A-&#53076;&#47112;&#51068;-&#9670;&#44536;&#47000;&#53076;&#46356;&#51088;&#51064;&#9670;/10.&#48512;&#49328;&#51204;&#47928;&#51216;&#9733;/3.&#45236;&#50669;/&#5066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  <sheetName val="목표세부명세"/>
      <sheetName val="4월실적"/>
      <sheetName val="자동제어"/>
      <sheetName val="예가표"/>
      <sheetName val="4.공사별"/>
      <sheetName val="노임이"/>
      <sheetName val="7 (2)"/>
      <sheetName val="노임단가"/>
      <sheetName val="내역"/>
      <sheetName val="집계표"/>
      <sheetName val="시멘트"/>
      <sheetName val="전선 및 전선관"/>
      <sheetName val="실적공사"/>
      <sheetName val="재료"/>
      <sheetName val="6공구(당초)"/>
      <sheetName val="식재"/>
      <sheetName val="시설물 "/>
      <sheetName val="금액내역서"/>
      <sheetName val="DATA"/>
      <sheetName val="목통"/>
      <sheetName val="2단지_원가"/>
      <sheetName val="일반부표"/>
      <sheetName val="계획고"/>
      <sheetName val="갑지1"/>
      <sheetName val="입찰안"/>
      <sheetName val="DATA2000"/>
      <sheetName val="연돌일위집계"/>
      <sheetName val="음료실행"/>
      <sheetName val="화전내"/>
      <sheetName val="내역표지"/>
      <sheetName val="실행철강하도"/>
      <sheetName val="설산1.나"/>
      <sheetName val="본사S"/>
      <sheetName val="화설내"/>
      <sheetName val="c_balju"/>
      <sheetName val="유림골조"/>
      <sheetName val="도급FORM"/>
      <sheetName val="A"/>
      <sheetName val="Sheet1"/>
      <sheetName val="Sheet10"/>
      <sheetName val="CTEMCOST"/>
      <sheetName val="직원인원"/>
      <sheetName val="장기차입금"/>
      <sheetName val="지급자재"/>
      <sheetName val="부대공Ⅱ"/>
      <sheetName val="ABUT수량-A1"/>
      <sheetName val="BREAKDOWN(철거설치)"/>
      <sheetName val="조직도"/>
      <sheetName val="총괄집계"/>
      <sheetName val="잡비"/>
      <sheetName val="스포회원매출"/>
      <sheetName val="동선(을)"/>
      <sheetName val="당초"/>
      <sheetName val="01"/>
      <sheetName val="COVER"/>
      <sheetName val="현장관리비"/>
      <sheetName val="정부노임단가"/>
      <sheetName val="설계내역서"/>
      <sheetName val="DHEQSUPT"/>
      <sheetName val="RESOURCE"/>
      <sheetName val="본사공가현황"/>
      <sheetName val="Sheet13"/>
      <sheetName val="발전기"/>
      <sheetName val="#REF"/>
      <sheetName val="Sheet14"/>
      <sheetName val="실행"/>
      <sheetName val="견적서"/>
      <sheetName val="에너지동"/>
      <sheetName val="원가계산서"/>
      <sheetName val="옥외외등집계표"/>
      <sheetName val="내역서"/>
      <sheetName val="업무처리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Sheet1"/>
      <sheetName val="집계표"/>
      <sheetName val="시공사업단"/>
      <sheetName val="1-1공구"/>
      <sheetName val="1-2공구"/>
      <sheetName val="2-1공구"/>
      <sheetName val="2-2공구"/>
      <sheetName val="2-3공구"/>
      <sheetName val="2-4공구"/>
      <sheetName val="변경집계표"/>
      <sheetName val="시공사업단(변경12.22)"/>
      <sheetName val="근거"/>
      <sheetName val="공문갑지"/>
      <sheetName val="1"/>
      <sheetName val="3"/>
      <sheetName val="4"/>
      <sheetName val="갑지"/>
      <sheetName val="목차"/>
      <sheetName val="통지서"/>
      <sheetName val="평가표"/>
      <sheetName val="산출근거"/>
      <sheetName val="공사비대비표"/>
      <sheetName val="세부공사내역"/>
      <sheetName val="Sheet2"/>
      <sheetName val="Sheet3"/>
      <sheetName val="노임"/>
      <sheetName val="근무자명단"/>
      <sheetName val="비상연락망"/>
      <sheetName val="작업계획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문"/>
      <sheetName val="토적표(당초)"/>
      <sheetName val="토적표(변경)"/>
      <sheetName val="길내기수량-당초변경"/>
      <sheetName val="설계예산서"/>
      <sheetName val="집계표(int)"/>
      <sheetName val="설계예산서 (2)"/>
      <sheetName val="집계표 (3)"/>
      <sheetName val="작성기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검토표"/>
      <sheetName val="손익현황"/>
      <sheetName val="도급기성"/>
      <sheetName val="부가세"/>
      <sheetName val="본사계정"/>
      <sheetName val="예수금"/>
      <sheetName val="하도급기성현황"/>
      <sheetName val="직원급여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진계획"/>
      <sheetName val="추진실적"/>
      <sheetName val="Sheet3"/>
      <sheetName val="Sheet1"/>
      <sheetName val="Sheet2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6실예"/>
      <sheetName val="#REF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기성갑지"/>
      <sheetName val="기성청구대비"/>
      <sheetName val="공정별내역서"/>
      <sheetName val="공정집계표"/>
      <sheetName val="_REF"/>
      <sheetName val="토공사"/>
      <sheetName val="단가"/>
      <sheetName val="일위대가표"/>
      <sheetName val="공사비증감"/>
      <sheetName val="갑지"/>
      <sheetName val="단면 (2)"/>
      <sheetName val="양수장(기계)"/>
      <sheetName val="집계표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정보고"/>
      <sheetName val="공정보고 (2)"/>
      <sheetName val="갑지"/>
      <sheetName val="2000내역서"/>
      <sheetName val="VXXXX"/>
      <sheetName val="설변현황 (사업소제출전체포함)"/>
      <sheetName val="설변현황 (사업소제출보류제외최종) (2)"/>
      <sheetName val="계획 (9.29) (제출용)"/>
      <sheetName val="교량별내역서"/>
      <sheetName val="표지"/>
      <sheetName val="사유서"/>
      <sheetName val="집계표"/>
      <sheetName val="명세서"/>
      <sheetName val="간지(수량)"/>
      <sheetName val="Sheet1"/>
      <sheetName val="Sheet2"/>
      <sheetName val="Sheet3"/>
      <sheetName val="간지"/>
      <sheetName val="포장주요자재"/>
      <sheetName val="지급자재(줄눈)"/>
      <sheetName val="철근집계"/>
      <sheetName val="골재집계표"/>
      <sheetName val="포장골재집계"/>
      <sheetName val="콘분리"/>
      <sheetName val="콘크리트집계"/>
      <sheetName val="선택층분리"/>
      <sheetName val="선택층"/>
      <sheetName val="타공정"/>
      <sheetName val="이월"/>
      <sheetName val="전체수량집계"/>
      <sheetName val="구미전체집계"/>
      <sheetName val="IC집계"/>
      <sheetName val="형식1"/>
      <sheetName val="형식2"/>
      <sheetName val="형식3"/>
      <sheetName val="형식6"/>
      <sheetName val="IC연장"/>
      <sheetName val="본선노견수집"/>
      <sheetName val="노견수량"/>
      <sheetName val="IC길어깨"/>
      <sheetName val="중분대집"/>
      <sheetName val="중분대산출"/>
      <sheetName val="중분현황"/>
      <sheetName val="기타집계"/>
      <sheetName val="부체콘크도로집"/>
      <sheetName val="부체콘크수량"/>
      <sheetName val="부체콘크현황"/>
      <sheetName val="교량접속"/>
      <sheetName val="접thr철근"/>
      <sheetName val="배수자집계"/>
      <sheetName val="석산"/>
      <sheetName val="배수골재산출1"/>
      <sheetName val="배수공구리1"/>
      <sheetName val="배수철근1"/>
      <sheetName val="배수공제량"/>
      <sheetName val="배수이월"/>
      <sheetName val="배수A터파기"/>
      <sheetName val="배수측구2.01"/>
      <sheetName val="2.02"/>
      <sheetName val="2.03"/>
      <sheetName val="대운산출"/>
      <sheetName val="관리본관골조 집계"/>
      <sheetName val="관리본관 골조"/>
      <sheetName val="관리본관마감집계"/>
      <sheetName val="관리본관 마감"/>
      <sheetName val="Module1"/>
      <sheetName val="전건축전체"/>
      <sheetName val="유입"/>
      <sheetName val="초침"/>
      <sheetName val="종침"/>
      <sheetName val="송풍"/>
      <sheetName val="관리"/>
      <sheetName val="수위"/>
      <sheetName val="관급"/>
      <sheetName val="설비"/>
      <sheetName val="관급 (3)"/>
      <sheetName val="건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총괄표"/>
      <sheetName val="예산서"/>
      <sheetName val="송전내역"/>
      <sheetName val="토목내역"/>
      <sheetName val="DANGA"/>
      <sheetName val="자재단가"/>
      <sheetName val="송전품"/>
      <sheetName val="토목품"/>
      <sheetName val="송전품부표"/>
      <sheetName val="운반"/>
      <sheetName val="별표집계"/>
      <sheetName val="말뚝물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별표집계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원가"/>
      <sheetName val="내역서집계표"/>
      <sheetName val="내역서99-4"/>
      <sheetName val="일위대가집계표"/>
      <sheetName val="정부노임단가"/>
      <sheetName val="단가조사서"/>
      <sheetName val="중기산출근거"/>
      <sheetName val="중기집계표"/>
      <sheetName val="중기계산"/>
      <sheetName val="주입율"/>
      <sheetName val="토공일위"/>
      <sheetName val="공통일위"/>
      <sheetName val="LW일위"/>
      <sheetName val="토공-토사"/>
      <sheetName val="풍화암굴착및상차"/>
      <sheetName val="토사운반및사토장정리"/>
      <sheetName val="풍화암운반및사토장정리"/>
      <sheetName val="가시-토사천공"/>
      <sheetName val="가시-풍화암천공"/>
      <sheetName val="가시-연암천공"/>
      <sheetName val="가시-파일박기(디젤햄머)"/>
      <sheetName val="가시-파일뽑기(진동햄머)"/>
      <sheetName val="가시-띠장설치및철거"/>
      <sheetName val="케이싱설치"/>
      <sheetName val="가시-토류판설치-버팀보"/>
      <sheetName val="가시-버팀보3"/>
      <sheetName val="가시-버팀보9"/>
      <sheetName val="어스앵카-천공(토사)"/>
      <sheetName val="어스앵카-천공(풍화암)"/>
      <sheetName val="어스앵카-천공(연암)"/>
      <sheetName val="어스앵커-pc강선"/>
      <sheetName val="어스앵커-그라우팅"/>
      <sheetName val="어스앵커-pc콘"/>
      <sheetName val="이토상차및운반"/>
      <sheetName val="SCW-파일건입(디젤햄머)"/>
      <sheetName val="RCD-STRAND PILE 압입및굴착"/>
      <sheetName val="부대공-강재운반1"/>
      <sheetName val="철근운반"/>
      <sheetName val="부대공-시멘트운반"/>
      <sheetName val="혼합골재포설및다짐"/>
      <sheetName val="노체다짐"/>
      <sheetName val="노상다짐"/>
      <sheetName val="보조기층포설"/>
      <sheetName val="아스콘기층포장"/>
      <sheetName val="아스콘표층포장"/>
      <sheetName val="프라임코팅포설"/>
      <sheetName val="텍코팅포설"/>
      <sheetName val="24"/>
      <sheetName val="☞개인진도및전화부및견적조건"/>
      <sheetName val="      ★개인별현황표(김종우기사)"/>
      <sheetName val="      주소록"/>
      <sheetName val="☞골조,철골,조적분석표"/>
      <sheetName val="      ★골조분석표(서태용대리)"/>
      <sheetName val="      골조부재별비율"/>
      <sheetName val="☞마감분석표"/>
      <sheetName val="    (주)경원건축공사비분석표"/>
      <sheetName val="    (주)경원건축공사비분석표(공)"/>
      <sheetName val="A-4"/>
      <sheetName val="Y-WORK"/>
      <sheetName val="ITEM"/>
      <sheetName val="토공사"/>
      <sheetName val="ilch"/>
      <sheetName val="연수동"/>
      <sheetName val="BQ"/>
      <sheetName val="WORK"/>
      <sheetName val="ABUT수량-A1"/>
      <sheetName val="99-04-19-서울대관련(수정중)"/>
      <sheetName val="오산갈곳"/>
      <sheetName val="투찰"/>
      <sheetName val="3련 BOX"/>
      <sheetName val="산업개발안내서"/>
      <sheetName val="을"/>
      <sheetName val="단가"/>
      <sheetName val="시설물일위"/>
      <sheetName val="TEL"/>
      <sheetName val="Sheet4"/>
      <sheetName val="EUPDAT2"/>
      <sheetName val="전기일위대가"/>
      <sheetName val="Sheet5"/>
      <sheetName val="BSD (2)"/>
      <sheetName val="영업2"/>
      <sheetName val="P.M 별"/>
      <sheetName val="1월"/>
      <sheetName val="VXXXXXXX"/>
      <sheetName val="c_balju"/>
      <sheetName val="전기공사"/>
      <sheetName val="Sheet1"/>
      <sheetName val="내역서(총)"/>
      <sheetName val="장비당단가 (1)"/>
      <sheetName val="토목내역"/>
      <sheetName val="공통가설공사"/>
      <sheetName val="건축내역"/>
      <sheetName val="도급"/>
      <sheetName val="20관리비율"/>
      <sheetName val="가시설수량"/>
      <sheetName val="단위수량"/>
      <sheetName val="공통부대비"/>
      <sheetName val="단면(RW1)"/>
      <sheetName val="경비2내역"/>
      <sheetName val="TYPE-A"/>
      <sheetName val="Site Expenses"/>
      <sheetName val="설산1.나"/>
      <sheetName val="본사S"/>
      <sheetName val="내역1"/>
      <sheetName val="CONCRETE"/>
      <sheetName val="일반공사"/>
      <sheetName val="차액보증"/>
      <sheetName val="맨홀수량집계"/>
      <sheetName val="기별(종합)"/>
      <sheetName val="일위대가표(DEEP)"/>
      <sheetName val="DATA(BAC)"/>
      <sheetName val="수량산출서"/>
      <sheetName val="3BL공동구 수량"/>
      <sheetName val="부대내역"/>
      <sheetName val="2F 회의실견적(5_14 일대)"/>
      <sheetName val="중기사용료"/>
      <sheetName val="聒CD-STRAND PILE 압입및굴착"/>
      <sheetName val="일위대가목차"/>
      <sheetName val="SLAB"/>
      <sheetName val="원형맨홀수량"/>
      <sheetName val="갑지(추정)"/>
      <sheetName val="Total"/>
      <sheetName val="IMP(MAIN)"/>
      <sheetName val="IMP (REACTOR)"/>
      <sheetName val="DATA1"/>
      <sheetName val="INST_DCI"/>
      <sheetName val="HVAC_DCI"/>
      <sheetName val="PIPE_DCI"/>
      <sheetName val="PRO_DCI"/>
      <sheetName val="Cover"/>
      <sheetName val="실행내역"/>
      <sheetName val="BQ-Offsite"/>
      <sheetName val="일위대가목록"/>
      <sheetName val="공사비 내역 (가)"/>
      <sheetName val="MOTOR"/>
      <sheetName val="J直材4"/>
      <sheetName val="교각1"/>
      <sheetName val="집계표"/>
      <sheetName val="BSD _2_"/>
      <sheetName val="세부내역"/>
      <sheetName val="내역서"/>
      <sheetName val="장비집계"/>
      <sheetName val="건축원가계산서"/>
      <sheetName val="입찰안"/>
      <sheetName val="토&amp;흙"/>
      <sheetName val="D-3503"/>
      <sheetName val="대비"/>
      <sheetName val="보합"/>
      <sheetName val="설계조건"/>
      <sheetName val="안정계산"/>
      <sheetName val="단면검토"/>
      <sheetName val="감가상각"/>
      <sheetName val="INSTR"/>
      <sheetName val="을지"/>
      <sheetName val="물량산출근거"/>
      <sheetName val="TABLE"/>
      <sheetName val="INPUT"/>
      <sheetName val="단면가정"/>
      <sheetName val="공사비산출내역"/>
      <sheetName val="가시설단위수량"/>
      <sheetName val="청산공사"/>
      <sheetName val="L형옹벽(key)"/>
      <sheetName val="산거각호표"/>
      <sheetName val="투자효율분석"/>
      <sheetName val="설계명세서"/>
      <sheetName val="일위대가목록(1)"/>
      <sheetName val="단가대비표(1)"/>
      <sheetName val="ELECTRIC"/>
      <sheetName val="CTEMCOST"/>
      <sheetName val="SCHEDULE"/>
      <sheetName val="96수출"/>
      <sheetName val="공사원가계산서"/>
      <sheetName val="계산근거"/>
      <sheetName val="Testing"/>
      <sheetName val="list price"/>
      <sheetName val="인건비"/>
      <sheetName val=" "/>
      <sheetName val="Base_Data"/>
      <sheetName val="일위대가"/>
      <sheetName val="조경"/>
      <sheetName val="Indirect Cost"/>
      <sheetName val="내역서 "/>
      <sheetName val="기계내역"/>
      <sheetName val=" 견적서"/>
      <sheetName val="물량표"/>
      <sheetName val="PUMP"/>
      <sheetName val="gyun"/>
      <sheetName val="Customer Databas"/>
      <sheetName val="환률"/>
      <sheetName val="06-BATCH "/>
      <sheetName val="FAB별"/>
      <sheetName val="차량구입"/>
      <sheetName val="총괄표"/>
      <sheetName val="SALES&amp;COGS"/>
      <sheetName val="dg"/>
      <sheetName val="BQLIST"/>
      <sheetName val="밸브설치"/>
      <sheetName val="Dae_Jiju"/>
      <sheetName val="Sikje_ingun"/>
      <sheetName val="TREE_D"/>
      <sheetName val="원가"/>
      <sheetName val="DATA_BAC_"/>
      <sheetName val="단중표"/>
      <sheetName val="별표 "/>
      <sheetName val="1"/>
      <sheetName val="unit"/>
      <sheetName val="수량산출"/>
      <sheetName val="SE-611"/>
      <sheetName val="단위중량"/>
      <sheetName val="RCD-STRAND_PILE_압입및굴착"/>
      <sheetName val="______★개인별현황표(김종우기사)"/>
      <sheetName val="______주소록"/>
      <sheetName val="______★골조분석표(서태용대리)"/>
      <sheetName val="______골조부재별비율"/>
      <sheetName val="____(주)경원건축공사비분석표"/>
      <sheetName val="____(주)경원건축공사비분석표(공)"/>
      <sheetName val="BSD_(2)"/>
      <sheetName val="P_M_별"/>
      <sheetName val="장비당단가_(1)"/>
      <sheetName val="3련_BOX"/>
      <sheetName val="영동(D)"/>
      <sheetName val="날개벽"/>
      <sheetName val="HRSG SMALL07220"/>
      <sheetName val="배수관공"/>
      <sheetName val="wblff(before omi pc&amp;stump)"/>
      <sheetName val="(C)원내역"/>
      <sheetName val="단가대비표"/>
      <sheetName val="TABLE2-1 ISBL-(SlTE PREP)"/>
      <sheetName val="TABLE2.1 ISBL (Soil Invest)"/>
      <sheetName val="TABLE2-2 OSBL(GENERAL-CIVIL)"/>
      <sheetName val="7.5.2 BOQ Summary "/>
      <sheetName val="금액집계"/>
      <sheetName val="식재품셈"/>
      <sheetName val="원가계산서"/>
      <sheetName val="우각부보강"/>
      <sheetName val="Proposal"/>
      <sheetName val="관람석제출"/>
      <sheetName val="방배동내역(리라)"/>
      <sheetName val="DATA"/>
      <sheetName val="AH-1 "/>
      <sheetName val="실행예산"/>
      <sheetName val="FRT_O"/>
      <sheetName val="FAB_I"/>
      <sheetName val="내역"/>
      <sheetName val="옹벽"/>
      <sheetName val="Harga material "/>
      <sheetName val="IPL_SCHEDULE"/>
      <sheetName val="남양시작동자105노65기1.3화1.2"/>
      <sheetName val="노원열병합  건축공사기성내역서"/>
      <sheetName val="단가표 "/>
      <sheetName val="전신환매도율"/>
      <sheetName val="양식"/>
      <sheetName val="말뚝물량"/>
      <sheetName val="연습"/>
      <sheetName val="Macro1"/>
      <sheetName val="현장"/>
      <sheetName val="b_balju_cho"/>
      <sheetName val="수선비분석"/>
      <sheetName val="변화치수"/>
      <sheetName val="부재력정리"/>
      <sheetName val="터파기및재료"/>
      <sheetName val="방송노임"/>
      <sheetName val="kimre scrubber"/>
      <sheetName val="RAHMEN"/>
      <sheetName val="금액"/>
      <sheetName val="2F_회의실견적(5_14_일대)"/>
      <sheetName val="설계서을"/>
      <sheetName val="전체"/>
      <sheetName val="품셈TABLE"/>
      <sheetName val="분류기준"/>
      <sheetName val="현황산출서"/>
      <sheetName val="Projekt4"/>
      <sheetName val="BID"/>
      <sheetName val="날개벽(좌,우=45도,75도)"/>
      <sheetName val="6월실적"/>
      <sheetName val="RING WALL"/>
      <sheetName val="cable"/>
      <sheetName val="CALCULATION"/>
      <sheetName val="DESIGN_CRETERIA"/>
      <sheetName val="도급양식"/>
      <sheetName val="full (2)"/>
      <sheetName val="환율"/>
      <sheetName val="단가표"/>
      <sheetName val="GRDBS"/>
      <sheetName val="토공계산서(부체도로)"/>
      <sheetName val="설계서"/>
      <sheetName val="입찰견적보고서"/>
      <sheetName val="EACT10"/>
      <sheetName val="I.설계조건"/>
      <sheetName val="1.설계기준"/>
      <sheetName val="7내역"/>
      <sheetName val="실행"/>
      <sheetName val="sum1 (2)"/>
      <sheetName val="공통가설"/>
      <sheetName val="가시설(TYPE-A)"/>
      <sheetName val="1-1평균터파기고(1)"/>
      <sheetName val="토목"/>
      <sheetName val="플랜트 설치"/>
      <sheetName val="DOGI"/>
      <sheetName val="비교표"/>
      <sheetName val="wall"/>
      <sheetName val="단가대비"/>
      <sheetName val="소비자가"/>
      <sheetName val="Y_WORK"/>
      <sheetName val="1을"/>
      <sheetName val="공사비PK5월"/>
      <sheetName val="BD集計用"/>
      <sheetName val="06_BATCH "/>
      <sheetName val="DATE"/>
      <sheetName val="개요"/>
      <sheetName val="대치판정"/>
      <sheetName val="신규단가내역"/>
      <sheetName val="General Data"/>
      <sheetName val="3F"/>
      <sheetName val="예산서"/>
      <sheetName val="국별인원"/>
      <sheetName val="직노"/>
      <sheetName val="일반맨홀수량집계"/>
      <sheetName val="FACTOR"/>
      <sheetName val="업무처리전"/>
      <sheetName val="TT35"/>
      <sheetName val="TTTram"/>
      <sheetName val="SL dau tien"/>
      <sheetName val="총내역서"/>
      <sheetName val="SG"/>
      <sheetName val="공사입력"/>
      <sheetName val="SRC-B3U2"/>
      <sheetName val="KP1590_E"/>
      <sheetName val="말뚝지지력산정"/>
      <sheetName val="예산"/>
      <sheetName val="공문"/>
      <sheetName val="자료(통합)"/>
      <sheetName val="대상공사(조달청)"/>
      <sheetName val="설계명세서(선로)"/>
      <sheetName val="N賃率-職"/>
      <sheetName val="I一般比"/>
      <sheetName val="MAT"/>
      <sheetName val="2075-Q011"/>
      <sheetName val="자재단가비교표"/>
      <sheetName val="단가비교표"/>
      <sheetName val="DRAIN DRUM PIT D-301"/>
      <sheetName val="주경기-오배수"/>
      <sheetName val="교각계산"/>
      <sheetName val="표지판현황"/>
      <sheetName val="Sheet13"/>
      <sheetName val="발전기"/>
      <sheetName val="#REF"/>
      <sheetName val="Sheet14"/>
      <sheetName val="본장"/>
      <sheetName val="손익분석"/>
      <sheetName val="견적집계표"/>
      <sheetName val="지급자재"/>
      <sheetName val="산출근거"/>
      <sheetName val="plan&amp;section of foundation"/>
      <sheetName val="COPING"/>
      <sheetName val="공사개요"/>
      <sheetName val="통신집계표1"/>
      <sheetName val="부하(성남)"/>
      <sheetName val="갑지_추정_"/>
      <sheetName val="UR2-Calculation"/>
      <sheetName val="가도공"/>
      <sheetName val="효성CB 1P기초"/>
      <sheetName val="CAPVC"/>
      <sheetName val="가공비"/>
      <sheetName val="소방"/>
      <sheetName val="직접인건비"/>
      <sheetName val="BID9697"/>
      <sheetName val="교통시설 표지판"/>
      <sheetName val="단가디비"/>
      <sheetName val="전사계"/>
      <sheetName val="물량표S"/>
      <sheetName val="계수시트"/>
      <sheetName val="C &amp; G RHS"/>
      <sheetName val="보차도경계석"/>
      <sheetName val="Site_Expenses"/>
      <sheetName val="Customer_Databas"/>
      <sheetName val="공사비_내역_(가)"/>
      <sheetName val="3BL공동구_수량"/>
      <sheetName val="聒CD-STRAND_PILE_압입및굴착"/>
      <sheetName val="BSD__2_"/>
      <sheetName val="설산1_나"/>
      <sheetName val="IMP_(REACTOR)"/>
      <sheetName val="PumpSpec"/>
      <sheetName val="ISBL"/>
      <sheetName val="OSBL"/>
      <sheetName val="개산공사비"/>
      <sheetName val="8월현금흐름표"/>
      <sheetName val="인강기성"/>
      <sheetName val="Studio"/>
      <sheetName val="첨부파일"/>
      <sheetName val="1F"/>
      <sheetName val="Sheet1 (2)"/>
      <sheetName val="FRP내역서"/>
      <sheetName val="Bdown_ISBL"/>
      <sheetName val="ISBL (검증)"/>
      <sheetName val="TABLE2-2 OSBL-(SITE PREP)"/>
      <sheetName val="CONTENTS"/>
      <sheetName val="BM"/>
      <sheetName val="사업계획"/>
      <sheetName val="DS"/>
      <sheetName val="단가사정"/>
      <sheetName val="CAL"/>
      <sheetName val="정렬"/>
      <sheetName val="lookup"/>
      <sheetName val="BOQ0822"/>
      <sheetName val="INDIRECT MOBILIZATION PLAN"/>
      <sheetName val="MANPOWER MOBILIZATION"/>
      <sheetName val="LABOR MOBILIZATION PLAN"/>
      <sheetName val="STAFF MOBILIZATION PLAN"/>
      <sheetName val="LIST OF OFFICE EQUIPMENT"/>
      <sheetName val="BREAKDOWN"/>
      <sheetName val="PERSONNEL SETUP"/>
      <sheetName val="KOREAN STAFF SALARY - SITE"/>
      <sheetName val="TEMPORARY FACILITIES"/>
      <sheetName val="WATER SUPPLY"/>
      <sheetName val="TABLE2-1 ISBL(GENEAL-CIVIL)"/>
      <sheetName val="준검 내역서"/>
      <sheetName val="UOP 508 PG 5-12"/>
      <sheetName val="토사(PE)"/>
      <sheetName val="XL4Poppy"/>
      <sheetName val="경비"/>
      <sheetName val="화산경계"/>
      <sheetName val="간선계산"/>
      <sheetName val="산출내역서집계표"/>
      <sheetName val="전압강하계산"/>
      <sheetName val="Mp-team 1"/>
      <sheetName val="단면치수"/>
      <sheetName val="RCD-STRAND_PILE_압입및굴착4"/>
      <sheetName val="______★개인별현황표(김종우기사)4"/>
      <sheetName val="______주소록4"/>
      <sheetName val="______★골조분석표(서태용대리)4"/>
      <sheetName val="______골조부재별비율4"/>
      <sheetName val="____(주)경원건축공사비분석표4"/>
      <sheetName val="____(주)경원건축공사비분석표(공)4"/>
      <sheetName val="RCD-STRAND_PILE_압입및굴착1"/>
      <sheetName val="______★개인별현황표(김종우기사)1"/>
      <sheetName val="______주소록1"/>
      <sheetName val="______★골조분석표(서태용대리)1"/>
      <sheetName val="______골조부재별비율1"/>
      <sheetName val="____(주)경원건축공사비분석표1"/>
      <sheetName val="____(주)경원건축공사비분석표(공)1"/>
      <sheetName val="RCD-STRAND_PILE_압입및굴착2"/>
      <sheetName val="______★개인별현황표(김종우기사)2"/>
      <sheetName val="______주소록2"/>
      <sheetName val="______★골조분석표(서태용대리)2"/>
      <sheetName val="______골조부재별비율2"/>
      <sheetName val="____(주)경원건축공사비분석표2"/>
      <sheetName val="____(주)경원건축공사비분석표(공)2"/>
      <sheetName val="RCD-STRAND_PILE_압입및굴착3"/>
      <sheetName val="______★개인별현황표(김종우기사)3"/>
      <sheetName val="______주소록3"/>
      <sheetName val="______★골조분석표(서태용대리)3"/>
      <sheetName val="______골조부재별비율3"/>
      <sheetName val="____(주)경원건축공사비분석표3"/>
      <sheetName val="____(주)경원건축공사비분석표(공)3"/>
      <sheetName val="Inputs"/>
      <sheetName val="Timing&amp;Esc"/>
      <sheetName val="I-O(번호별)"/>
      <sheetName val="NSMA-status"/>
      <sheetName val="일위대가표"/>
      <sheetName val="인부신상자료"/>
      <sheetName val="기초공"/>
      <sheetName val="기둥(원형)"/>
      <sheetName val="BOM-Form A.1.III"/>
      <sheetName val="자재집계표"/>
      <sheetName val="단가조사표"/>
      <sheetName val="1호맨홀가감수량"/>
      <sheetName val="1호맨홀수량산출"/>
      <sheetName val="SORCE1"/>
      <sheetName val="설변물량"/>
      <sheetName val="APT내역"/>
      <sheetName val="노임단가"/>
      <sheetName val=""/>
      <sheetName val="전체실적"/>
      <sheetName val="Requirement(Work Crew)"/>
      <sheetName val="1.설계조건"/>
      <sheetName val="예방접종계획"/>
      <sheetName val="근태계획서"/>
      <sheetName val="부대대비"/>
      <sheetName val="냉연집계"/>
      <sheetName val="신우"/>
      <sheetName val="CODE"/>
      <sheetName val="2000년1차"/>
      <sheetName val="시멘트"/>
      <sheetName val="01"/>
      <sheetName val="오억미만"/>
      <sheetName val="공사비예산서(토목분)"/>
      <sheetName val="덕전리"/>
      <sheetName val="비대칭계수"/>
      <sheetName val="전동기 SPEC"/>
      <sheetName val="가설공사비"/>
      <sheetName val="도로구조공사비"/>
      <sheetName val="도로토공공사비"/>
      <sheetName val="여수토공사비"/>
      <sheetName val="부대"/>
      <sheetName val="woo(mac)"/>
      <sheetName val="유림콘도"/>
      <sheetName val="일위_파일"/>
      <sheetName val="효율계획(당월)"/>
      <sheetName val="인건-측정"/>
      <sheetName val="여과지동"/>
      <sheetName val="기초자료"/>
      <sheetName val="수량집계"/>
      <sheetName val="danga"/>
      <sheetName val="재집"/>
      <sheetName val="직재"/>
      <sheetName val="데이타"/>
      <sheetName val="TTL"/>
      <sheetName val="물가자료"/>
      <sheetName val="일반수량집계"/>
      <sheetName val="NAI"/>
      <sheetName val="단가산출서"/>
      <sheetName val="단가산출서 (2)"/>
      <sheetName val="월선수금"/>
      <sheetName val="산출금액내역"/>
      <sheetName val="을 2"/>
      <sheetName val="설계산출기초"/>
      <sheetName val="을부담운반비"/>
      <sheetName val="운반비산출"/>
      <sheetName val="설계산출표지"/>
      <sheetName val="도급예산내역서총괄표"/>
      <sheetName val="조명시설"/>
      <sheetName val="적용기준"/>
      <sheetName val="hvac(제어동)"/>
      <sheetName val="일위대가-1"/>
      <sheetName val="목록"/>
      <sheetName val="중기"/>
      <sheetName val="Change rate"/>
      <sheetName val="재무가정"/>
      <sheetName val="1-1"/>
      <sheetName val="Constant"/>
      <sheetName val="검색"/>
      <sheetName val="통합"/>
      <sheetName val="자재"/>
      <sheetName val="적용환율"/>
      <sheetName val="FANDBS"/>
      <sheetName val="GRDATA"/>
      <sheetName val="SHAFTDBSE"/>
      <sheetName val="연결임시"/>
      <sheetName val="건축내역서"/>
      <sheetName val="90.03실행 "/>
      <sheetName val="archi(본사)"/>
      <sheetName val="1.우편집중내역서"/>
      <sheetName val="보도경계블럭"/>
      <sheetName val="BLOCK(1)"/>
      <sheetName val="FCU (2)"/>
      <sheetName val="조도계산서 (도서)"/>
      <sheetName val="발신정보"/>
      <sheetName val="2.내역서"/>
      <sheetName val="TEST1"/>
      <sheetName val="2002상반기노임기준"/>
      <sheetName val="시중노임DATA"/>
      <sheetName val="식재인부"/>
      <sheetName val="업무"/>
      <sheetName val="MATRLDATA"/>
      <sheetName val="CP-E2 (품셈표)"/>
      <sheetName val="프랜트면허"/>
      <sheetName val="ACCESS FLOOR"/>
      <sheetName val="토목주소"/>
      <sheetName val="견적을지"/>
      <sheetName val="EJ"/>
      <sheetName val="갑지1"/>
      <sheetName val="음료실행"/>
      <sheetName val="4 LINE"/>
      <sheetName val="7 th"/>
      <sheetName val="케이블및전선관규격표"/>
      <sheetName val="공사비내역서"/>
      <sheetName val="표지"/>
      <sheetName val="배명(단가)"/>
      <sheetName val="실행품의서"/>
      <sheetName val="11.자재단가"/>
      <sheetName val="코드"/>
      <sheetName val="시설물기초"/>
      <sheetName val="원가계산"/>
      <sheetName val="March"/>
      <sheetName val="자판실행"/>
      <sheetName val="Front"/>
      <sheetName val="현장관리비"/>
      <sheetName val="Recording,Phone,Headset,PC"/>
      <sheetName val="강관 및 부속"/>
      <sheetName val="재료집계"/>
      <sheetName val="퇴비산출근거"/>
      <sheetName val="송라터널총괄"/>
      <sheetName val="6호기"/>
      <sheetName val="교통표지"/>
      <sheetName val="계약서"/>
      <sheetName val="분석"/>
      <sheetName val="내부부하"/>
      <sheetName val="b_gunmul"/>
      <sheetName val="기자재비"/>
      <sheetName val="견적내용입력"/>
      <sheetName val="견적서세부내용"/>
      <sheetName val="건축(충일분)"/>
      <sheetName val="과천MAIN"/>
    </sheetNames>
    <sheetDataSet>
      <sheetData sheetId="0">
        <row r="5">
          <cell r="D5" t="str">
            <v>(발표일:99.1.1)</v>
          </cell>
        </row>
      </sheetData>
      <sheetData sheetId="1"/>
      <sheetData sheetId="2"/>
      <sheetData sheetId="3"/>
      <sheetData sheetId="4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/>
      <sheetData sheetId="20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부노임단가"/>
      <sheetName val="단가조사서"/>
      <sheetName val="공사원가"/>
      <sheetName val="내역서집계표"/>
      <sheetName val="내역서"/>
      <sheetName val="호표일위대가집계표"/>
      <sheetName val="호표일위대가"/>
      <sheetName val="중기산출근거"/>
      <sheetName val="중기집계표"/>
      <sheetName val="중기계산"/>
      <sheetName val="2.자재집계표"/>
      <sheetName val="토공-토사"/>
      <sheetName val="맹암거터파기"/>
      <sheetName val="되메우기및다짐1"/>
      <sheetName val="토사운반및사토장정리"/>
      <sheetName val="경암운반및사토장정리"/>
      <sheetName val="화강석 보조기층"/>
      <sheetName val="혼합기층 포설 및다짐 (2)"/>
      <sheetName val="보조기층 포설 및다짐"/>
      <sheetName val="아스콘기층"/>
      <sheetName val="아스콘표층"/>
      <sheetName val="프라임코팅"/>
      <sheetName val="텍코팅코팅"/>
      <sheetName val="보조기층운반"/>
      <sheetName val="철근운반"/>
      <sheetName val="흄관운반300"/>
      <sheetName val="도로경계석운반"/>
      <sheetName val="보차도경계석운반 (2)"/>
      <sheetName val="1.총괄토공"/>
      <sheetName val="2.하수터파기토공"/>
      <sheetName val="3.하수수량집계표"/>
      <sheetName val="배수관집계표-연결관"/>
      <sheetName val="연결관-300"/>
      <sheetName val="배수관집계표-오수관"/>
      <sheetName val="오수관-300"/>
      <sheetName val="맨홀집계및깊이계산서-오수"/>
      <sheetName val="오수맨홀900"/>
      <sheetName val="집수정600-600-3"/>
      <sheetName val="집수정300-400-1"/>
      <sheetName val="U형측구300×400"/>
      <sheetName val="4.맹암거집계표"/>
      <sheetName val="맹암거 토공"/>
      <sheetName val="맹암거100"/>
      <sheetName val="맹암거200"/>
      <sheetName val="맹암거300"/>
      <sheetName val="5.포장공사수량집계표"/>
      <sheetName val="화강석"/>
      <sheetName val="보차도경계석"/>
      <sheetName val="도로경계석 (2)"/>
      <sheetName val="L형측구"/>
      <sheetName val="아스팔트포장"/>
      <sheetName val="XXXXXX"/>
      <sheetName val="장비집계"/>
      <sheetName val="위생기구집계"/>
      <sheetName val="급수급탕집계"/>
      <sheetName val="급수급탕 (동관)"/>
      <sheetName val="오배수 (집계)"/>
      <sheetName val="NO-HUB"/>
      <sheetName val="오배수"/>
      <sheetName val="닥트집계"/>
      <sheetName val="덕트"/>
      <sheetName val="ITEM"/>
      <sheetName val="Cover"/>
      <sheetName val="A-4"/>
      <sheetName val="단위중량"/>
      <sheetName val="Sheet5"/>
      <sheetName val="하수급견적대비"/>
      <sheetName val="c_balju"/>
      <sheetName val="Dae_Jiju"/>
      <sheetName val="Sikje_ingun"/>
      <sheetName val="TREE_D"/>
      <sheetName val="일반부표"/>
      <sheetName val="공비대비"/>
      <sheetName val="장비당단가 (1)"/>
      <sheetName val="설계"/>
      <sheetName val="영동(D)"/>
      <sheetName val="부대내역"/>
      <sheetName val="BQ"/>
      <sheetName val="도급"/>
      <sheetName val="환률"/>
      <sheetName val="Site Expenses"/>
      <sheetName val="견적서"/>
      <sheetName val="시행예산"/>
      <sheetName val="Y-WORK"/>
      <sheetName val=" 견적서"/>
      <sheetName val="3BL공동구 수량"/>
      <sheetName val="투찰"/>
      <sheetName val="ilch"/>
      <sheetName val="WORK"/>
      <sheetName val="건축내역"/>
      <sheetName val="1.맹암거관련"/>
      <sheetName val="입찰안"/>
      <sheetName val="Sheet4"/>
      <sheetName val="수목표준대가"/>
      <sheetName val="L형옹벽(key)"/>
      <sheetName val="을"/>
      <sheetName val="BSD (2)"/>
      <sheetName val="한일양산"/>
      <sheetName val="차액보증"/>
      <sheetName val="실행철강하도"/>
      <sheetName val="GAEYO"/>
      <sheetName val="BID"/>
      <sheetName val="Sheet1"/>
      <sheetName val="데이타"/>
      <sheetName val="식재인부"/>
      <sheetName val="일위대가"/>
      <sheetName val="DATA"/>
      <sheetName val="산업개발안내서"/>
      <sheetName val="적용률"/>
      <sheetName val="MOTOR"/>
      <sheetName val="Proposal"/>
      <sheetName val="토공사"/>
      <sheetName val="내역"/>
      <sheetName val="동원인원"/>
      <sheetName val="원가계산"/>
      <sheetName val="일위대가목록"/>
      <sheetName val="일위"/>
      <sheetName val="가시설수량"/>
      <sheetName val="단위수량"/>
      <sheetName val="물량집계(전기)"/>
      <sheetName val="물량집계(계장)"/>
      <sheetName val="2_자재집계표"/>
      <sheetName val="화강석_보조기층"/>
      <sheetName val="혼합기층_포설_및다짐_(2)"/>
      <sheetName val="보조기층_포설_및다짐"/>
      <sheetName val="보차도경계석운반_(2)"/>
      <sheetName val="1_총괄토공"/>
      <sheetName val="2_하수터파기토공"/>
      <sheetName val="3_하수수량집계표"/>
      <sheetName val="4_맹암거집계표"/>
      <sheetName val="맹암거_토공"/>
      <sheetName val="5_포장공사수량집계표"/>
      <sheetName val="도로경계석_(2)"/>
      <sheetName val="급수급탕_(동관)"/>
      <sheetName val="오배수_(집계)"/>
      <sheetName val="장비당단가_(1)"/>
      <sheetName val="토목내역"/>
      <sheetName val="공사비 내역 (가)"/>
      <sheetName val="gyun"/>
      <sheetName val="FAB별"/>
      <sheetName val="산출근거"/>
      <sheetName val="Testing"/>
      <sheetName val="CONCRETE"/>
      <sheetName val="보합"/>
      <sheetName val="TABLE"/>
      <sheetName val="변압기 및 발전기 용량"/>
      <sheetName val="공문"/>
      <sheetName val="공통부대비"/>
      <sheetName val="IPL_SCHEDULE"/>
      <sheetName val="직노"/>
      <sheetName val="J直材4"/>
      <sheetName val="ABUT수량-A1"/>
      <sheetName val="감가상각"/>
      <sheetName val="8월현금흐름표"/>
      <sheetName val="20관리비율"/>
      <sheetName val="기계내역"/>
      <sheetName val="노임단가"/>
      <sheetName val="OCT.FDN"/>
      <sheetName val="말뚝지지력산정"/>
      <sheetName val="INST_DCI"/>
      <sheetName val="01"/>
      <sheetName val="갑지"/>
      <sheetName val="집계표"/>
      <sheetName val="물량산출근거"/>
      <sheetName val="실행(ALT1)"/>
      <sheetName val="오산갈곳"/>
      <sheetName val="9811"/>
      <sheetName val="말뚝물량"/>
      <sheetName val="품셈TABLE"/>
      <sheetName val="날개벽(좌,우=45도,75도)"/>
      <sheetName val="당초"/>
      <sheetName val="PUMP"/>
      <sheetName val="CAL"/>
      <sheetName val="SE-611"/>
      <sheetName val="GRDBS"/>
      <sheetName val="Studio"/>
      <sheetName val="맨홀수량집계"/>
      <sheetName val="단가결정"/>
      <sheetName val="2F 회의실견적(5_14 일대)"/>
      <sheetName val="수량산출"/>
      <sheetName val="DATE"/>
      <sheetName val="I.설계조건"/>
      <sheetName val="공통가설"/>
      <sheetName val="PRO_DCI"/>
      <sheetName val="HVAC_DCI"/>
      <sheetName val="PIPE_DCI"/>
      <sheetName val="단가대비표"/>
      <sheetName val="단가"/>
      <sheetName val="시설물일위"/>
      <sheetName val="XL4Poppy"/>
      <sheetName val="PhaDoMong"/>
      <sheetName val="현장"/>
      <sheetName val="b_balju_cho"/>
      <sheetName val="입찰견적보고서"/>
      <sheetName val="INPUT"/>
      <sheetName val="woo(mac)"/>
      <sheetName val="식재품셈"/>
      <sheetName val="KP1590_E"/>
      <sheetName val="96수출"/>
      <sheetName val="Sheet15"/>
      <sheetName val="토목"/>
      <sheetName val="GTG TR PIT"/>
      <sheetName val="결선list"/>
      <sheetName val="빙장비사양"/>
      <sheetName val="자재단가비교표"/>
      <sheetName val="DATA(BAC)"/>
      <sheetName val="견"/>
      <sheetName val="7내역"/>
      <sheetName val="내역서(기계)"/>
      <sheetName val="수목데이타 "/>
      <sheetName val="몰탈재료산출"/>
      <sheetName val="2공구산출내역"/>
      <sheetName val="1을"/>
      <sheetName val="견적집계표"/>
      <sheetName val="Customer Databas"/>
      <sheetName val="공사개요"/>
      <sheetName val="명세서"/>
      <sheetName val="밸브설치"/>
      <sheetName val="kimre scrubber"/>
      <sheetName val="단가표"/>
      <sheetName val="FANDBS"/>
      <sheetName val="GRDATA"/>
      <sheetName val="SHAFTDBSE"/>
      <sheetName val="소비자가"/>
      <sheetName val="MATRLDATA"/>
      <sheetName val="원가"/>
      <sheetName val="부하LOAD"/>
      <sheetName val="입력1"/>
      <sheetName val="일위대가목차"/>
      <sheetName val="소업1교"/>
      <sheetName val="BLOCK(1)"/>
      <sheetName val="FLA"/>
      <sheetName val="원형맨홀수량"/>
      <sheetName val="Sheet2"/>
      <sheetName val="관접합및부설"/>
      <sheetName val="국별인원"/>
      <sheetName val="1.설계기준"/>
      <sheetName val="내역서(총)"/>
      <sheetName val="교각1"/>
      <sheetName val="과천MAIN"/>
      <sheetName val="연수동"/>
      <sheetName val="물량표"/>
      <sheetName val="일반맨홀수량집계"/>
      <sheetName val="경비2내역"/>
      <sheetName val="수목데이타"/>
      <sheetName val="공사비_내역_(가)"/>
      <sheetName val="_견적서"/>
      <sheetName val="2F_회의실견적(5_14_일대)"/>
      <sheetName val="BSD_(2)"/>
      <sheetName val="1_맹암거관련"/>
      <sheetName val="3BL공동구_수량"/>
      <sheetName val="Site_Expenses"/>
      <sheetName val="가시설(TYPE-A)"/>
      <sheetName val="1호맨홀가감수량"/>
      <sheetName val="SORCE1"/>
      <sheetName val="1-1평균터파기고(1)"/>
      <sheetName val="1호맨홀수량산출"/>
      <sheetName val="형틀공사"/>
      <sheetName val="전기일위대가"/>
      <sheetName val="부표총괄"/>
      <sheetName val="ATS단가"/>
      <sheetName val="DATA1"/>
      <sheetName val="2.단면가정"/>
      <sheetName val="4.말뚝설계"/>
      <sheetName val="1.설계조건"/>
      <sheetName val="ISBL"/>
      <sheetName val="OSBL"/>
      <sheetName val="건내용"/>
      <sheetName val="INSTR"/>
      <sheetName val="영업소실적"/>
      <sheetName val="wall"/>
      <sheetName val="터파기및재료"/>
      <sheetName val="Inputs"/>
      <sheetName val="Timing&amp;Esc"/>
      <sheetName val="기별(종합)"/>
      <sheetName val="TEL"/>
      <sheetName val="남양시작동자105노65기1.3화1.2"/>
      <sheetName val="TABLE2-1 ISBL(GENEAL-CIVIL)"/>
      <sheetName val="TABLE2-1 ISBL-(SlTE PREP)"/>
      <sheetName val="TABLE2.1 ISBL (Soil Invest)"/>
      <sheetName val="TABLE2-2 OSBL(GENERAL-CIVIL)"/>
      <sheetName val="TABLE2-2 OSBL-(SITE PREP)"/>
      <sheetName val="General Data"/>
      <sheetName val="PRO_A"/>
      <sheetName val="DWG"/>
      <sheetName val="ELEC_MCI"/>
      <sheetName val="MAIN"/>
      <sheetName val="INST_MCI"/>
      <sheetName val="MECH_MCI"/>
      <sheetName val="PRO"/>
      <sheetName val="입사시직위"/>
      <sheetName val="7.5.2 BOQ Summary "/>
      <sheetName val="수량산출서"/>
      <sheetName val="TYPE-B 평균H"/>
      <sheetName val="D-3503"/>
      <sheetName val="Construction"/>
      <sheetName val="Item정리"/>
      <sheetName val="SL dau tien"/>
      <sheetName val="단면치수"/>
      <sheetName val="AS포장복구 "/>
      <sheetName val="BJJIN"/>
      <sheetName val="COPING"/>
      <sheetName val="산출내역서집계표"/>
      <sheetName val="Total"/>
      <sheetName val="차량구입"/>
      <sheetName val="골재집계"/>
      <sheetName val="가공비"/>
      <sheetName val="조도계산서 (도서)"/>
      <sheetName val=" 해군동해관사 미장공사A그룹 공내역서.xlsx"/>
      <sheetName val="총괄표"/>
      <sheetName val="지주목시비량산출서"/>
      <sheetName val="danga"/>
      <sheetName val="직공비"/>
      <sheetName val="단가조사"/>
      <sheetName val="식재총괄"/>
      <sheetName val="횡배수관토공수량"/>
      <sheetName val="내역표지"/>
      <sheetName val="금액집계"/>
      <sheetName val="hvac(제어동)"/>
      <sheetName val="내역1"/>
      <sheetName val="설변물량"/>
      <sheetName val="갑지(추정)"/>
      <sheetName val="TYPE-A"/>
      <sheetName val="기초일위"/>
      <sheetName val="시설일위"/>
      <sheetName val="조명일위"/>
      <sheetName val="2000년1차"/>
      <sheetName val="전선 및 전선관"/>
      <sheetName val="#REF"/>
      <sheetName val="Baby일위대가"/>
      <sheetName val="부대대비"/>
      <sheetName val="냉연집계"/>
      <sheetName val="신우"/>
      <sheetName val="CODE"/>
      <sheetName val="시멘트"/>
      <sheetName val="별표 "/>
      <sheetName val="단위별 일위대가표"/>
      <sheetName val="표지판현황"/>
      <sheetName val="7단가"/>
      <sheetName val="적격점수&lt;300억미만&gt;"/>
      <sheetName val="검사현황"/>
      <sheetName val="full (2)"/>
      <sheetName val="월선수금"/>
      <sheetName val="설산1.나"/>
      <sheetName val="본사S"/>
      <sheetName val="Equipment"/>
      <sheetName val="Piping"/>
      <sheetName val="I一般比"/>
      <sheetName val="6월실적"/>
      <sheetName val="손익분석"/>
      <sheetName val="1-1"/>
      <sheetName val="단면가정"/>
      <sheetName val="IMP(MAIN)"/>
      <sheetName val="IMP (REACTOR)"/>
      <sheetName val="봉양~조차장간고하개명(신설)"/>
      <sheetName val="도급양식"/>
      <sheetName val="소일위대가코드표"/>
      <sheetName val="정산노무"/>
      <sheetName val="정산재료"/>
      <sheetName val="전신환매도율"/>
      <sheetName val="건축내역서"/>
      <sheetName val="연습"/>
      <sheetName val="개요"/>
      <sheetName val="Wind Load(3.1) (2)"/>
      <sheetName val="Wind Load(3.2)"/>
      <sheetName val="Wind Load(3.4)"/>
      <sheetName val="차선도색현황"/>
      <sheetName val="인제내역"/>
      <sheetName val="CAPVC"/>
      <sheetName val="노원열병합  건축공사기성내역서"/>
      <sheetName val="대비"/>
      <sheetName val="견적을지"/>
      <sheetName val="EJ"/>
      <sheetName val="전기공사"/>
      <sheetName val="토목주소"/>
      <sheetName val="프랜트면허"/>
      <sheetName val="CP-E2 (품셈표)"/>
      <sheetName val="FACTOR"/>
      <sheetName val="음료실행"/>
      <sheetName val="실행(표지,갑,을)"/>
      <sheetName val="네고율"/>
      <sheetName val="검색"/>
      <sheetName val="Hargamat"/>
      <sheetName val="적용기준"/>
      <sheetName val="단면(RW1)"/>
      <sheetName val="2_자재집계표4"/>
      <sheetName val="화강석_보조기층4"/>
      <sheetName val="혼합기층_포설_및다짐_(2)4"/>
      <sheetName val="보조기층_포설_및다짐4"/>
      <sheetName val="보차도경계석운반_(2)4"/>
      <sheetName val="1_총괄토공4"/>
      <sheetName val="2_하수터파기토공4"/>
      <sheetName val="3_하수수량집계표4"/>
      <sheetName val="4_맹암거집계표4"/>
      <sheetName val="맹암거_토공4"/>
      <sheetName val="5_포장공사수량집계표4"/>
      <sheetName val="도로경계석_(2)4"/>
      <sheetName val="급수급탕_(동관)4"/>
      <sheetName val="오배수_(집계)4"/>
      <sheetName val="2_자재집계표1"/>
      <sheetName val="화강석_보조기층1"/>
      <sheetName val="혼합기층_포설_및다짐_(2)1"/>
      <sheetName val="보조기층_포설_및다짐1"/>
      <sheetName val="보차도경계석운반_(2)1"/>
      <sheetName val="1_총괄토공1"/>
      <sheetName val="2_하수터파기토공1"/>
      <sheetName val="3_하수수량집계표1"/>
      <sheetName val="4_맹암거집계표1"/>
      <sheetName val="맹암거_토공1"/>
      <sheetName val="5_포장공사수량집계표1"/>
      <sheetName val="도로경계석_(2)1"/>
      <sheetName val="급수급탕_(동관)1"/>
      <sheetName val="오배수_(집계)1"/>
      <sheetName val="2_자재집계표2"/>
      <sheetName val="화강석_보조기층2"/>
      <sheetName val="혼합기층_포설_및다짐_(2)2"/>
      <sheetName val="보조기층_포설_및다짐2"/>
      <sheetName val="보차도경계석운반_(2)2"/>
      <sheetName val="1_총괄토공2"/>
      <sheetName val="2_하수터파기토공2"/>
      <sheetName val="3_하수수량집계표2"/>
      <sheetName val="4_맹암거집계표2"/>
      <sheetName val="맹암거_토공2"/>
      <sheetName val="5_포장공사수량집계표2"/>
      <sheetName val="도로경계석_(2)2"/>
      <sheetName val="급수급탕_(동관)2"/>
      <sheetName val="오배수_(집계)2"/>
      <sheetName val="2_자재집계표3"/>
      <sheetName val="화강석_보조기층3"/>
      <sheetName val="혼합기층_포설_및다짐_(2)3"/>
      <sheetName val="보조기층_포설_및다짐3"/>
      <sheetName val="보차도경계석운반_(2)3"/>
      <sheetName val="1_총괄토공3"/>
      <sheetName val="2_하수터파기토공3"/>
      <sheetName val="3_하수수량집계표3"/>
      <sheetName val="4_맹암거집계표3"/>
      <sheetName val="맹암거_토공3"/>
      <sheetName val="5_포장공사수량집계표3"/>
      <sheetName val="도로경계석_(2)3"/>
      <sheetName val="급수급탕_(동관)3"/>
      <sheetName val="오배수_(집계)3"/>
      <sheetName val="첨부파일"/>
      <sheetName val="EUPDAT2"/>
      <sheetName val="가동비율"/>
      <sheetName val="금액"/>
      <sheetName val="N賃率-職"/>
      <sheetName val="Schedule C - Page 2 of 6"/>
      <sheetName val="Schedule C - Page 4 of 6"/>
      <sheetName val="Schedule C - Page 5 of 6"/>
      <sheetName val="Schedule C - Page 6 of 6"/>
      <sheetName val="Schedule A - Page 1 of 3"/>
      <sheetName val="Schedule A - Page 2 of 3"/>
      <sheetName val="Schedule A - Page 3 of 3"/>
      <sheetName val="Schedule B - Page 1 of 4"/>
      <sheetName val="Schedule B - Page 2 of 4"/>
      <sheetName val="Schedule B - Page 3 of 4"/>
      <sheetName val="Schedule B - Page 4 of 4"/>
      <sheetName val="Schedule C - Page 1 of 6"/>
      <sheetName val="Schedule C - Page 3 of 6"/>
      <sheetName val="Schedule E - Page 1 of 11"/>
      <sheetName val="Schedule E - Page 10 of 11"/>
      <sheetName val="Schedule E - Page 11 of 11"/>
      <sheetName val="Schedule E - Page 2 of 11"/>
      <sheetName val="Schedule E - Page 3 of 11"/>
      <sheetName val="Schedule E - Page 4 of 11"/>
      <sheetName val="Schedule E - Page 5 of 11"/>
      <sheetName val="Schedule E - Page 6 of 11"/>
      <sheetName val="Schedule E - Page 7 of 11"/>
      <sheetName val="Schedule E - Page 8 of 11"/>
      <sheetName val="Schedule E - Page 9 of 11"/>
      <sheetName val="A.1.3 - Page 1 of 1"/>
      <sheetName val="A.1.4 - Page 1 of 1"/>
      <sheetName val="A.4 - Page 1 of 1"/>
      <sheetName val="Languages"/>
      <sheetName val="SCH"/>
      <sheetName val="CTEMCOST"/>
      <sheetName val="design data"/>
      <sheetName val="member design"/>
      <sheetName val="RING WALL"/>
      <sheetName val="간접비(1)"/>
      <sheetName val="Front"/>
      <sheetName val="공사비내역서"/>
      <sheetName val="연결임시"/>
      <sheetName val="4 LINE"/>
      <sheetName val="7 th"/>
      <sheetName val="자재단가"/>
      <sheetName val="요율"/>
      <sheetName val="노임"/>
      <sheetName val="자재대"/>
      <sheetName val="비교표"/>
      <sheetName val="골조시행"/>
      <sheetName val="Sheet1 (2)"/>
      <sheetName val="횡배위치"/>
      <sheetName val="공종별 집계"/>
      <sheetName val="RAHMEN"/>
      <sheetName val="CCC"/>
      <sheetName val="단가디비"/>
      <sheetName val="기계"/>
      <sheetName val="식재"/>
      <sheetName val="시설물"/>
      <sheetName val="식재출력용"/>
      <sheetName val="유지관리"/>
    </sheetNames>
    <sheetDataSet>
      <sheetData sheetId="0" refreshError="1">
        <row r="5">
          <cell r="D5" t="str">
            <v>(발표일:99.1.1)</v>
          </cell>
          <cell r="E5" t="str">
            <v>(발표일:98.9.1)</v>
          </cell>
          <cell r="F5" t="str">
            <v>(발표일:98.1.1)</v>
          </cell>
        </row>
        <row r="6">
          <cell r="A6" t="str">
            <v>L001</v>
          </cell>
          <cell r="B6" t="str">
            <v>갱    부</v>
          </cell>
          <cell r="C6" t="str">
            <v>인</v>
          </cell>
          <cell r="D6">
            <v>46995</v>
          </cell>
          <cell r="E6">
            <v>50308</v>
          </cell>
          <cell r="F6">
            <v>56352</v>
          </cell>
        </row>
        <row r="7">
          <cell r="A7" t="str">
            <v>L002</v>
          </cell>
          <cell r="B7" t="str">
            <v>도 목 수</v>
          </cell>
          <cell r="C7" t="str">
            <v>인</v>
          </cell>
          <cell r="D7">
            <v>0</v>
          </cell>
          <cell r="E7">
            <v>0</v>
          </cell>
          <cell r="F7">
            <v>81068</v>
          </cell>
        </row>
        <row r="8">
          <cell r="A8" t="str">
            <v>L003</v>
          </cell>
          <cell r="B8" t="str">
            <v>건축목공</v>
          </cell>
          <cell r="C8" t="str">
            <v>인</v>
          </cell>
          <cell r="D8">
            <v>62310</v>
          </cell>
          <cell r="E8">
            <v>65713</v>
          </cell>
          <cell r="F8">
            <v>71803</v>
          </cell>
        </row>
        <row r="9">
          <cell r="A9" t="str">
            <v>L004</v>
          </cell>
          <cell r="B9" t="str">
            <v>형틀목공</v>
          </cell>
          <cell r="C9" t="str">
            <v>인</v>
          </cell>
          <cell r="D9">
            <v>62603</v>
          </cell>
          <cell r="E9">
            <v>65381</v>
          </cell>
          <cell r="F9">
            <v>75306</v>
          </cell>
        </row>
        <row r="10">
          <cell r="A10" t="str">
            <v>L005</v>
          </cell>
          <cell r="B10" t="str">
            <v>창호목공</v>
          </cell>
          <cell r="C10" t="str">
            <v>인</v>
          </cell>
          <cell r="D10">
            <v>56563</v>
          </cell>
          <cell r="E10">
            <v>61043</v>
          </cell>
          <cell r="F10">
            <v>66162</v>
          </cell>
        </row>
        <row r="11">
          <cell r="A11" t="str">
            <v>L006</v>
          </cell>
          <cell r="B11" t="str">
            <v>철 골 공</v>
          </cell>
          <cell r="C11" t="str">
            <v>인</v>
          </cell>
          <cell r="D11">
            <v>60500</v>
          </cell>
          <cell r="E11">
            <v>64796</v>
          </cell>
          <cell r="F11">
            <v>73514</v>
          </cell>
        </row>
        <row r="12">
          <cell r="A12" t="str">
            <v>L007</v>
          </cell>
          <cell r="B12" t="str">
            <v>철    공</v>
          </cell>
          <cell r="C12" t="str">
            <v>인</v>
          </cell>
          <cell r="D12">
            <v>59797</v>
          </cell>
          <cell r="E12">
            <v>59917</v>
          </cell>
          <cell r="F12">
            <v>72430</v>
          </cell>
        </row>
        <row r="13">
          <cell r="A13" t="str">
            <v>L008</v>
          </cell>
          <cell r="B13" t="str">
            <v>철 근 공</v>
          </cell>
          <cell r="C13" t="str">
            <v>인</v>
          </cell>
          <cell r="D13">
            <v>65147</v>
          </cell>
          <cell r="E13">
            <v>66944</v>
          </cell>
          <cell r="F13">
            <v>77839</v>
          </cell>
        </row>
        <row r="14">
          <cell r="A14" t="str">
            <v>L009</v>
          </cell>
          <cell r="B14" t="str">
            <v>철 판 공</v>
          </cell>
          <cell r="C14" t="str">
            <v>인</v>
          </cell>
          <cell r="D14">
            <v>61774</v>
          </cell>
          <cell r="E14">
            <v>68465</v>
          </cell>
          <cell r="F14">
            <v>73217</v>
          </cell>
        </row>
        <row r="15">
          <cell r="A15" t="str">
            <v>L010</v>
          </cell>
          <cell r="B15" t="str">
            <v>셧 터 공</v>
          </cell>
          <cell r="C15" t="str">
            <v>인</v>
          </cell>
          <cell r="D15">
            <v>55318</v>
          </cell>
          <cell r="E15">
            <v>58035</v>
          </cell>
          <cell r="F15">
            <v>64659</v>
          </cell>
        </row>
        <row r="16">
          <cell r="A16" t="str">
            <v>L011</v>
          </cell>
          <cell r="B16" t="str">
            <v>샷 시 공</v>
          </cell>
          <cell r="C16" t="str">
            <v>인</v>
          </cell>
          <cell r="D16">
            <v>55318</v>
          </cell>
          <cell r="E16">
            <v>58035</v>
          </cell>
          <cell r="F16">
            <v>65647</v>
          </cell>
        </row>
        <row r="17">
          <cell r="A17" t="str">
            <v>L012</v>
          </cell>
          <cell r="B17" t="str">
            <v>절 단 공</v>
          </cell>
          <cell r="C17" t="str">
            <v>인</v>
          </cell>
          <cell r="D17">
            <v>59642</v>
          </cell>
          <cell r="E17">
            <v>67321</v>
          </cell>
          <cell r="F17">
            <v>65881</v>
          </cell>
        </row>
        <row r="18">
          <cell r="A18" t="str">
            <v>L013</v>
          </cell>
          <cell r="B18" t="str">
            <v>석    공</v>
          </cell>
          <cell r="C18" t="str">
            <v>인</v>
          </cell>
          <cell r="D18">
            <v>69257</v>
          </cell>
          <cell r="E18">
            <v>67292</v>
          </cell>
          <cell r="F18">
            <v>77005</v>
          </cell>
        </row>
        <row r="19">
          <cell r="A19" t="str">
            <v>L014</v>
          </cell>
          <cell r="B19" t="str">
            <v>특수비계공(15M이상)</v>
          </cell>
          <cell r="C19" t="str">
            <v>인</v>
          </cell>
          <cell r="D19">
            <v>78766</v>
          </cell>
          <cell r="E19">
            <v>75380</v>
          </cell>
          <cell r="F19">
            <v>85884</v>
          </cell>
        </row>
        <row r="20">
          <cell r="A20" t="str">
            <v>L015</v>
          </cell>
          <cell r="B20" t="str">
            <v>비 계 공</v>
          </cell>
          <cell r="C20" t="str">
            <v>인</v>
          </cell>
          <cell r="D20">
            <v>66531</v>
          </cell>
          <cell r="E20">
            <v>69324</v>
          </cell>
          <cell r="F20">
            <v>79467</v>
          </cell>
        </row>
        <row r="21">
          <cell r="A21" t="str">
            <v>L016</v>
          </cell>
          <cell r="B21" t="str">
            <v>동 발 공(터 널)</v>
          </cell>
          <cell r="C21" t="str">
            <v>인</v>
          </cell>
          <cell r="D21">
            <v>61285</v>
          </cell>
          <cell r="E21">
            <v>59691</v>
          </cell>
          <cell r="F21">
            <v>65485</v>
          </cell>
        </row>
        <row r="22">
          <cell r="A22" t="str">
            <v>L017</v>
          </cell>
          <cell r="B22" t="str">
            <v>조 적 공</v>
          </cell>
          <cell r="C22" t="str">
            <v>인</v>
          </cell>
          <cell r="D22">
            <v>58512</v>
          </cell>
          <cell r="E22">
            <v>58379</v>
          </cell>
          <cell r="F22">
            <v>67986</v>
          </cell>
        </row>
        <row r="23">
          <cell r="A23" t="str">
            <v>L018</v>
          </cell>
          <cell r="B23" t="str">
            <v>벽돌(블럭)제작공</v>
          </cell>
          <cell r="C23" t="str">
            <v>인</v>
          </cell>
          <cell r="D23">
            <v>56942</v>
          </cell>
          <cell r="E23">
            <v>57334</v>
          </cell>
          <cell r="F23">
            <v>61291</v>
          </cell>
        </row>
        <row r="24">
          <cell r="A24" t="str">
            <v>L019</v>
          </cell>
          <cell r="B24" t="str">
            <v>연 돌 공</v>
          </cell>
          <cell r="C24" t="str">
            <v>인</v>
          </cell>
          <cell r="D24">
            <v>58512</v>
          </cell>
          <cell r="E24">
            <v>58379</v>
          </cell>
          <cell r="F24">
            <v>72745</v>
          </cell>
        </row>
        <row r="25">
          <cell r="A25" t="str">
            <v>L020</v>
          </cell>
          <cell r="B25" t="str">
            <v>미 장 공</v>
          </cell>
          <cell r="C25" t="str">
            <v>인</v>
          </cell>
          <cell r="D25">
            <v>59451</v>
          </cell>
          <cell r="E25">
            <v>61569</v>
          </cell>
          <cell r="F25">
            <v>71283</v>
          </cell>
        </row>
        <row r="26">
          <cell r="A26" t="str">
            <v>L021</v>
          </cell>
          <cell r="B26" t="str">
            <v>방 수 공</v>
          </cell>
          <cell r="C26" t="str">
            <v>인</v>
          </cell>
          <cell r="D26">
            <v>50866</v>
          </cell>
          <cell r="E26">
            <v>51640</v>
          </cell>
          <cell r="F26">
            <v>57701</v>
          </cell>
        </row>
        <row r="27">
          <cell r="A27" t="str">
            <v>L022</v>
          </cell>
          <cell r="B27" t="str">
            <v>타 일 공</v>
          </cell>
          <cell r="C27" t="str">
            <v>인</v>
          </cell>
          <cell r="D27">
            <v>58994</v>
          </cell>
          <cell r="E27">
            <v>60706</v>
          </cell>
          <cell r="F27">
            <v>68147</v>
          </cell>
        </row>
        <row r="28">
          <cell r="A28" t="str">
            <v>L023</v>
          </cell>
          <cell r="B28" t="str">
            <v>줄 눈 공</v>
          </cell>
          <cell r="C28" t="str">
            <v>인</v>
          </cell>
          <cell r="D28">
            <v>58172</v>
          </cell>
          <cell r="E28">
            <v>55387</v>
          </cell>
          <cell r="F28">
            <v>63589</v>
          </cell>
        </row>
        <row r="29">
          <cell r="A29" t="str">
            <v>L024</v>
          </cell>
          <cell r="B29" t="str">
            <v>연 마 공</v>
          </cell>
          <cell r="C29" t="str">
            <v>인</v>
          </cell>
          <cell r="D29">
            <v>56709</v>
          </cell>
          <cell r="E29">
            <v>54957</v>
          </cell>
          <cell r="F29">
            <v>67289</v>
          </cell>
        </row>
        <row r="30">
          <cell r="A30" t="str">
            <v>L025</v>
          </cell>
          <cell r="B30" t="str">
            <v>콘크리트공</v>
          </cell>
          <cell r="C30" t="str">
            <v>인</v>
          </cell>
          <cell r="D30">
            <v>60596</v>
          </cell>
          <cell r="E30">
            <v>63605</v>
          </cell>
          <cell r="F30">
            <v>71184</v>
          </cell>
        </row>
        <row r="31">
          <cell r="A31" t="str">
            <v>L026</v>
          </cell>
          <cell r="B31" t="str">
            <v>바이브레타공</v>
          </cell>
          <cell r="C31" t="str">
            <v>인</v>
          </cell>
          <cell r="D31">
            <v>60596</v>
          </cell>
          <cell r="E31">
            <v>63605</v>
          </cell>
          <cell r="F31">
            <v>69081</v>
          </cell>
        </row>
        <row r="32">
          <cell r="A32" t="str">
            <v>L027</v>
          </cell>
          <cell r="B32" t="str">
            <v>보일러공</v>
          </cell>
          <cell r="C32" t="str">
            <v>인</v>
          </cell>
          <cell r="D32">
            <v>48190</v>
          </cell>
          <cell r="E32">
            <v>52463</v>
          </cell>
          <cell r="F32">
            <v>56787</v>
          </cell>
        </row>
        <row r="33">
          <cell r="A33" t="str">
            <v>L028</v>
          </cell>
          <cell r="B33" t="str">
            <v>배 관 공</v>
          </cell>
          <cell r="C33" t="str">
            <v>인</v>
          </cell>
          <cell r="D33">
            <v>48833</v>
          </cell>
          <cell r="E33">
            <v>52004</v>
          </cell>
          <cell r="F33">
            <v>58907</v>
          </cell>
        </row>
        <row r="34">
          <cell r="A34" t="str">
            <v>L029</v>
          </cell>
          <cell r="B34" t="str">
            <v>온 돌 공</v>
          </cell>
          <cell r="C34" t="str">
            <v>인</v>
          </cell>
          <cell r="D34">
            <v>59451</v>
          </cell>
          <cell r="E34">
            <v>61569</v>
          </cell>
          <cell r="F34">
            <v>54720</v>
          </cell>
        </row>
        <row r="35">
          <cell r="A35" t="str">
            <v>L030</v>
          </cell>
          <cell r="B35" t="str">
            <v>위 생 공</v>
          </cell>
          <cell r="C35" t="str">
            <v>인</v>
          </cell>
          <cell r="D35">
            <v>48855</v>
          </cell>
          <cell r="E35">
            <v>51145</v>
          </cell>
          <cell r="F35">
            <v>59212</v>
          </cell>
        </row>
        <row r="36">
          <cell r="A36" t="str">
            <v>L031</v>
          </cell>
          <cell r="B36" t="str">
            <v>보 온 공</v>
          </cell>
          <cell r="C36" t="str">
            <v>인</v>
          </cell>
          <cell r="D36">
            <v>49987</v>
          </cell>
          <cell r="E36">
            <v>54125</v>
          </cell>
          <cell r="F36">
            <v>63143</v>
          </cell>
        </row>
        <row r="37">
          <cell r="A37" t="str">
            <v>L032</v>
          </cell>
          <cell r="B37" t="str">
            <v>도 장 공</v>
          </cell>
          <cell r="C37" t="str">
            <v>인</v>
          </cell>
          <cell r="D37">
            <v>52915</v>
          </cell>
          <cell r="E37">
            <v>55640</v>
          </cell>
          <cell r="F37">
            <v>63038</v>
          </cell>
        </row>
        <row r="38">
          <cell r="A38" t="str">
            <v>L033</v>
          </cell>
          <cell r="B38" t="str">
            <v>내 장 공</v>
          </cell>
          <cell r="C38" t="str">
            <v>인</v>
          </cell>
          <cell r="D38">
            <v>58768</v>
          </cell>
          <cell r="E38">
            <v>59767</v>
          </cell>
          <cell r="F38">
            <v>72244</v>
          </cell>
        </row>
        <row r="39">
          <cell r="A39" t="str">
            <v>L034</v>
          </cell>
          <cell r="B39" t="str">
            <v>도 배 공</v>
          </cell>
          <cell r="C39" t="str">
            <v>인</v>
          </cell>
          <cell r="D39">
            <v>51632</v>
          </cell>
          <cell r="E39">
            <v>51201</v>
          </cell>
          <cell r="F39">
            <v>58443</v>
          </cell>
        </row>
        <row r="40">
          <cell r="A40" t="str">
            <v>L035</v>
          </cell>
          <cell r="B40" t="str">
            <v>아스타일공</v>
          </cell>
          <cell r="C40" t="str">
            <v>인</v>
          </cell>
          <cell r="D40">
            <v>58994</v>
          </cell>
          <cell r="E40">
            <v>60706</v>
          </cell>
          <cell r="F40">
            <v>71686</v>
          </cell>
        </row>
        <row r="41">
          <cell r="A41" t="str">
            <v>L036</v>
          </cell>
          <cell r="B41" t="str">
            <v>기 와 공</v>
          </cell>
          <cell r="C41" t="str">
            <v>인</v>
          </cell>
          <cell r="D41">
            <v>68363</v>
          </cell>
          <cell r="E41">
            <v>64891</v>
          </cell>
          <cell r="F41">
            <v>69476</v>
          </cell>
        </row>
        <row r="42">
          <cell r="A42" t="str">
            <v>L037</v>
          </cell>
          <cell r="B42" t="str">
            <v>슬레이트공</v>
          </cell>
          <cell r="C42" t="str">
            <v>인</v>
          </cell>
          <cell r="D42">
            <v>68363</v>
          </cell>
          <cell r="E42">
            <v>64891</v>
          </cell>
          <cell r="F42">
            <v>72727</v>
          </cell>
        </row>
        <row r="43">
          <cell r="A43" t="str">
            <v>L038</v>
          </cell>
          <cell r="B43" t="str">
            <v>화약취급공</v>
          </cell>
          <cell r="C43" t="str">
            <v>인</v>
          </cell>
          <cell r="D43">
            <v>67520</v>
          </cell>
          <cell r="E43">
            <v>60578</v>
          </cell>
          <cell r="F43">
            <v>69595</v>
          </cell>
        </row>
        <row r="44">
          <cell r="A44" t="str">
            <v>L039</v>
          </cell>
          <cell r="B44" t="str">
            <v>착 암 공</v>
          </cell>
          <cell r="C44" t="str">
            <v>인</v>
          </cell>
          <cell r="D44">
            <v>50107</v>
          </cell>
          <cell r="E44">
            <v>54279</v>
          </cell>
          <cell r="F44">
            <v>57292</v>
          </cell>
        </row>
        <row r="45">
          <cell r="A45" t="str">
            <v>L040</v>
          </cell>
          <cell r="B45" t="str">
            <v>보 안 공</v>
          </cell>
          <cell r="C45" t="str">
            <v>인</v>
          </cell>
          <cell r="D45">
            <v>41224</v>
          </cell>
          <cell r="E45">
            <v>44036</v>
          </cell>
          <cell r="F45">
            <v>41290</v>
          </cell>
        </row>
        <row r="46">
          <cell r="A46" t="str">
            <v>L041</v>
          </cell>
          <cell r="B46" t="str">
            <v>포 장 공</v>
          </cell>
          <cell r="C46" t="str">
            <v>인</v>
          </cell>
          <cell r="D46">
            <v>59695</v>
          </cell>
          <cell r="E46">
            <v>56237</v>
          </cell>
          <cell r="F46">
            <v>65494</v>
          </cell>
        </row>
        <row r="47">
          <cell r="A47" t="str">
            <v>L042</v>
          </cell>
          <cell r="B47" t="str">
            <v>포 설 공</v>
          </cell>
          <cell r="C47" t="str">
            <v>인</v>
          </cell>
          <cell r="D47">
            <v>53731</v>
          </cell>
          <cell r="E47">
            <v>54013</v>
          </cell>
          <cell r="F47">
            <v>65082</v>
          </cell>
        </row>
        <row r="48">
          <cell r="A48" t="str">
            <v>L043</v>
          </cell>
          <cell r="B48" t="str">
            <v>궤 도 공</v>
          </cell>
          <cell r="C48" t="str">
            <v>인</v>
          </cell>
          <cell r="D48">
            <v>53629</v>
          </cell>
          <cell r="E48">
            <v>62818</v>
          </cell>
          <cell r="F48">
            <v>60000</v>
          </cell>
        </row>
        <row r="49">
          <cell r="A49" t="str">
            <v>L044</v>
          </cell>
          <cell r="B49" t="str">
            <v>용 접 공(철 도)</v>
          </cell>
          <cell r="C49" t="str">
            <v>인</v>
          </cell>
          <cell r="D49">
            <v>58661</v>
          </cell>
          <cell r="E49">
            <v>55736</v>
          </cell>
          <cell r="F49">
            <v>67201</v>
          </cell>
        </row>
        <row r="50">
          <cell r="A50" t="str">
            <v>L045</v>
          </cell>
          <cell r="B50" t="str">
            <v>잠 수 부</v>
          </cell>
          <cell r="C50" t="str">
            <v>인</v>
          </cell>
          <cell r="D50">
            <v>87712</v>
          </cell>
          <cell r="E50">
            <v>73901</v>
          </cell>
          <cell r="F50">
            <v>81832</v>
          </cell>
        </row>
        <row r="51">
          <cell r="A51" t="str">
            <v>L046</v>
          </cell>
          <cell r="B51" t="str">
            <v>잠 함 공</v>
          </cell>
          <cell r="C51" t="str">
            <v>인</v>
          </cell>
          <cell r="D51">
            <v>0</v>
          </cell>
          <cell r="E51">
            <v>0</v>
          </cell>
          <cell r="F51">
            <v>0</v>
          </cell>
        </row>
        <row r="52">
          <cell r="A52" t="str">
            <v>L047</v>
          </cell>
          <cell r="B52" t="str">
            <v>보 링 공</v>
          </cell>
          <cell r="C52" t="str">
            <v>인</v>
          </cell>
          <cell r="D52">
            <v>50288</v>
          </cell>
          <cell r="E52">
            <v>53721</v>
          </cell>
          <cell r="F52">
            <v>58626</v>
          </cell>
        </row>
        <row r="53">
          <cell r="A53" t="str">
            <v>L049</v>
          </cell>
          <cell r="B53" t="str">
            <v>영림기사</v>
          </cell>
          <cell r="C53" t="str">
            <v>인</v>
          </cell>
          <cell r="D53">
            <v>0</v>
          </cell>
          <cell r="E53">
            <v>0</v>
          </cell>
          <cell r="F53">
            <v>72675</v>
          </cell>
        </row>
        <row r="54">
          <cell r="A54" t="str">
            <v>L050</v>
          </cell>
          <cell r="B54" t="str">
            <v>조 경 공</v>
          </cell>
          <cell r="C54" t="str">
            <v>인</v>
          </cell>
          <cell r="D54">
            <v>50250</v>
          </cell>
          <cell r="E54">
            <v>50321</v>
          </cell>
          <cell r="F54">
            <v>60207</v>
          </cell>
        </row>
        <row r="55">
          <cell r="A55" t="str">
            <v>L051</v>
          </cell>
          <cell r="B55" t="str">
            <v>벌 목 부</v>
          </cell>
          <cell r="C55" t="str">
            <v>인</v>
          </cell>
          <cell r="D55">
            <v>57718</v>
          </cell>
          <cell r="E55">
            <v>64902</v>
          </cell>
          <cell r="F55">
            <v>66433</v>
          </cell>
        </row>
        <row r="56">
          <cell r="A56" t="str">
            <v>L052</v>
          </cell>
          <cell r="B56" t="str">
            <v>조림인부</v>
          </cell>
          <cell r="C56" t="str">
            <v>인</v>
          </cell>
          <cell r="D56">
            <v>43854</v>
          </cell>
          <cell r="E56">
            <v>32014</v>
          </cell>
          <cell r="F56">
            <v>53688</v>
          </cell>
        </row>
        <row r="57">
          <cell r="A57" t="str">
            <v>L053</v>
          </cell>
          <cell r="B57" t="str">
            <v>플랜트 기계설치공</v>
          </cell>
          <cell r="C57" t="str">
            <v>인</v>
          </cell>
          <cell r="D57">
            <v>59903</v>
          </cell>
          <cell r="E57">
            <v>61521</v>
          </cell>
          <cell r="F57">
            <v>80805</v>
          </cell>
        </row>
        <row r="58">
          <cell r="A58" t="str">
            <v>L054</v>
          </cell>
          <cell r="B58" t="str">
            <v>플랜트 용접공</v>
          </cell>
          <cell r="C58" t="str">
            <v>인</v>
          </cell>
          <cell r="D58">
            <v>63349</v>
          </cell>
          <cell r="E58">
            <v>69101</v>
          </cell>
          <cell r="F58">
            <v>95379</v>
          </cell>
        </row>
        <row r="59">
          <cell r="A59" t="str">
            <v>L055</v>
          </cell>
          <cell r="B59" t="str">
            <v>플랜트 배관공</v>
          </cell>
          <cell r="C59" t="str">
            <v>인</v>
          </cell>
          <cell r="D59">
            <v>66377</v>
          </cell>
          <cell r="E59">
            <v>76135</v>
          </cell>
          <cell r="F59">
            <v>97219</v>
          </cell>
        </row>
        <row r="60">
          <cell r="A60" t="str">
            <v>L056</v>
          </cell>
          <cell r="B60" t="str">
            <v>플랜트 제관공</v>
          </cell>
          <cell r="C60" t="str">
            <v>인</v>
          </cell>
          <cell r="D60">
            <v>54813</v>
          </cell>
          <cell r="E60">
            <v>60834</v>
          </cell>
          <cell r="F60">
            <v>81966</v>
          </cell>
        </row>
        <row r="61">
          <cell r="A61" t="str">
            <v>L057</v>
          </cell>
          <cell r="B61" t="str">
            <v>시공측량사</v>
          </cell>
          <cell r="C61" t="str">
            <v>인</v>
          </cell>
          <cell r="D61">
            <v>44848</v>
          </cell>
          <cell r="E61">
            <v>47571</v>
          </cell>
          <cell r="F61">
            <v>58506</v>
          </cell>
        </row>
        <row r="62">
          <cell r="A62" t="str">
            <v>L058</v>
          </cell>
          <cell r="B62" t="str">
            <v>시공측량사조수</v>
          </cell>
          <cell r="C62" t="str">
            <v>인</v>
          </cell>
          <cell r="D62">
            <v>33985</v>
          </cell>
          <cell r="E62">
            <v>32619</v>
          </cell>
          <cell r="F62">
            <v>38777</v>
          </cell>
        </row>
        <row r="63">
          <cell r="A63" t="str">
            <v>L059</v>
          </cell>
          <cell r="B63" t="str">
            <v>측    부</v>
          </cell>
          <cell r="C63" t="str">
            <v>인</v>
          </cell>
          <cell r="D63">
            <v>26699</v>
          </cell>
          <cell r="E63">
            <v>32690</v>
          </cell>
          <cell r="F63">
            <v>32725</v>
          </cell>
        </row>
        <row r="64">
          <cell r="A64" t="str">
            <v>L060</v>
          </cell>
          <cell r="B64" t="str">
            <v>검 조 부</v>
          </cell>
          <cell r="C64" t="str">
            <v>인</v>
          </cell>
          <cell r="D64">
            <v>33755</v>
          </cell>
          <cell r="E64">
            <v>34098</v>
          </cell>
          <cell r="F64">
            <v>32800</v>
          </cell>
        </row>
        <row r="65">
          <cell r="A65" t="str">
            <v>L061</v>
          </cell>
          <cell r="B65" t="str">
            <v>송전전공</v>
          </cell>
          <cell r="C65" t="str">
            <v>인</v>
          </cell>
          <cell r="D65">
            <v>197482</v>
          </cell>
          <cell r="E65">
            <v>188956</v>
          </cell>
          <cell r="F65">
            <v>234733</v>
          </cell>
        </row>
        <row r="66">
          <cell r="A66" t="str">
            <v>L062</v>
          </cell>
          <cell r="B66" t="str">
            <v>배전전공</v>
          </cell>
          <cell r="C66" t="str">
            <v>인</v>
          </cell>
          <cell r="D66">
            <v>176615</v>
          </cell>
          <cell r="E66">
            <v>164094</v>
          </cell>
          <cell r="F66">
            <v>192602</v>
          </cell>
        </row>
        <row r="67">
          <cell r="A67" t="str">
            <v>L063</v>
          </cell>
          <cell r="B67" t="str">
            <v>플랜트 전공</v>
          </cell>
          <cell r="C67" t="str">
            <v>인</v>
          </cell>
          <cell r="D67">
            <v>52369</v>
          </cell>
          <cell r="E67">
            <v>54503</v>
          </cell>
          <cell r="F67">
            <v>64285</v>
          </cell>
        </row>
        <row r="68">
          <cell r="A68" t="str">
            <v>L064</v>
          </cell>
          <cell r="B68" t="str">
            <v>내선전공</v>
          </cell>
          <cell r="C68" t="str">
            <v>인</v>
          </cell>
          <cell r="D68">
            <v>47911</v>
          </cell>
          <cell r="E68">
            <v>51021</v>
          </cell>
          <cell r="F68">
            <v>57286</v>
          </cell>
        </row>
        <row r="69">
          <cell r="A69" t="str">
            <v>L065</v>
          </cell>
          <cell r="B69" t="str">
            <v>특별고압케이블전공</v>
          </cell>
          <cell r="C69" t="str">
            <v>인</v>
          </cell>
          <cell r="D69">
            <v>97565</v>
          </cell>
          <cell r="E69">
            <v>102881</v>
          </cell>
          <cell r="F69">
            <v>98463</v>
          </cell>
        </row>
        <row r="70">
          <cell r="A70" t="str">
            <v>L066</v>
          </cell>
          <cell r="B70" t="str">
            <v>고압케이블전공</v>
          </cell>
          <cell r="C70" t="str">
            <v>인</v>
          </cell>
          <cell r="D70">
            <v>66547</v>
          </cell>
          <cell r="E70">
            <v>74151</v>
          </cell>
          <cell r="F70">
            <v>74584</v>
          </cell>
        </row>
        <row r="71">
          <cell r="A71" t="str">
            <v>L067</v>
          </cell>
          <cell r="B71" t="str">
            <v>저압케이블전공</v>
          </cell>
          <cell r="C71" t="str">
            <v>인</v>
          </cell>
          <cell r="D71">
            <v>59146</v>
          </cell>
          <cell r="E71">
            <v>55486</v>
          </cell>
          <cell r="F71">
            <v>61877</v>
          </cell>
        </row>
        <row r="72">
          <cell r="A72" t="str">
            <v>L068</v>
          </cell>
          <cell r="B72" t="str">
            <v>철도신호공</v>
          </cell>
          <cell r="C72" t="str">
            <v>인</v>
          </cell>
          <cell r="D72">
            <v>79766</v>
          </cell>
          <cell r="E72">
            <v>73483</v>
          </cell>
          <cell r="F72">
            <v>88167</v>
          </cell>
        </row>
        <row r="73">
          <cell r="A73" t="str">
            <v>L069</v>
          </cell>
          <cell r="B73" t="str">
            <v>계 장 공</v>
          </cell>
          <cell r="C73" t="str">
            <v>인</v>
          </cell>
          <cell r="D73">
            <v>50009</v>
          </cell>
          <cell r="E73">
            <v>57587</v>
          </cell>
          <cell r="F73">
            <v>60822</v>
          </cell>
        </row>
        <row r="74">
          <cell r="A74" t="str">
            <v>L070</v>
          </cell>
          <cell r="B74" t="str">
            <v>전기공사기사 1급</v>
          </cell>
          <cell r="C74" t="str">
            <v>인</v>
          </cell>
          <cell r="D74">
            <v>0</v>
          </cell>
          <cell r="E74">
            <v>0</v>
          </cell>
          <cell r="F74">
            <v>64241</v>
          </cell>
        </row>
        <row r="75">
          <cell r="A75" t="str">
            <v>L071</v>
          </cell>
          <cell r="B75" t="str">
            <v>전기공사기사 2급</v>
          </cell>
          <cell r="C75" t="str">
            <v>인</v>
          </cell>
          <cell r="D75">
            <v>0</v>
          </cell>
          <cell r="E75">
            <v>0</v>
          </cell>
          <cell r="F75">
            <v>55069</v>
          </cell>
        </row>
        <row r="76">
          <cell r="A76" t="str">
            <v>L072</v>
          </cell>
          <cell r="B76" t="str">
            <v>통신외선공</v>
          </cell>
          <cell r="C76" t="str">
            <v>인</v>
          </cell>
          <cell r="D76">
            <v>73980</v>
          </cell>
          <cell r="E76">
            <v>77946</v>
          </cell>
          <cell r="F76">
            <v>89013</v>
          </cell>
        </row>
        <row r="77">
          <cell r="A77" t="str">
            <v>L073</v>
          </cell>
          <cell r="B77" t="str">
            <v>통신설비공</v>
          </cell>
          <cell r="C77" t="str">
            <v>인</v>
          </cell>
          <cell r="D77">
            <v>64758</v>
          </cell>
          <cell r="E77">
            <v>66296</v>
          </cell>
          <cell r="F77">
            <v>76852</v>
          </cell>
        </row>
        <row r="78">
          <cell r="A78" t="str">
            <v>L074</v>
          </cell>
          <cell r="B78" t="str">
            <v>통신내선공</v>
          </cell>
          <cell r="C78" t="str">
            <v>인</v>
          </cell>
          <cell r="D78">
            <v>60168</v>
          </cell>
          <cell r="E78">
            <v>63738</v>
          </cell>
          <cell r="F78">
            <v>72591</v>
          </cell>
        </row>
        <row r="79">
          <cell r="A79" t="str">
            <v>L075</v>
          </cell>
          <cell r="B79" t="str">
            <v>통신케이블공</v>
          </cell>
          <cell r="C79" t="str">
            <v>인</v>
          </cell>
          <cell r="D79">
            <v>75788</v>
          </cell>
          <cell r="E79">
            <v>80042</v>
          </cell>
          <cell r="F79">
            <v>90455</v>
          </cell>
        </row>
        <row r="80">
          <cell r="A80" t="str">
            <v>L076</v>
          </cell>
          <cell r="B80" t="str">
            <v>무선안테나공</v>
          </cell>
          <cell r="C80" t="str">
            <v>인</v>
          </cell>
          <cell r="D80">
            <v>91475</v>
          </cell>
          <cell r="E80">
            <v>97216</v>
          </cell>
          <cell r="F80">
            <v>110956</v>
          </cell>
        </row>
        <row r="81">
          <cell r="A81" t="str">
            <v>L077</v>
          </cell>
          <cell r="B81" t="str">
            <v>통신기사 1급</v>
          </cell>
          <cell r="C81" t="str">
            <v>인</v>
          </cell>
          <cell r="D81">
            <v>84229</v>
          </cell>
          <cell r="E81">
            <v>87004</v>
          </cell>
          <cell r="F81">
            <v>92723</v>
          </cell>
        </row>
        <row r="82">
          <cell r="A82" t="str">
            <v>L078</v>
          </cell>
          <cell r="B82" t="str">
            <v>통신기사 2급</v>
          </cell>
          <cell r="C82" t="str">
            <v>인</v>
          </cell>
          <cell r="D82">
            <v>79642</v>
          </cell>
          <cell r="E82">
            <v>78519</v>
          </cell>
          <cell r="F82">
            <v>82395</v>
          </cell>
        </row>
        <row r="83">
          <cell r="A83" t="str">
            <v>L079</v>
          </cell>
          <cell r="B83" t="str">
            <v>통신기능사</v>
          </cell>
          <cell r="C83" t="str">
            <v>인</v>
          </cell>
          <cell r="D83">
            <v>67759</v>
          </cell>
          <cell r="E83">
            <v>68332</v>
          </cell>
          <cell r="F83">
            <v>72194</v>
          </cell>
        </row>
        <row r="84">
          <cell r="A84" t="str">
            <v>L080</v>
          </cell>
          <cell r="B84" t="str">
            <v>수작업반장</v>
          </cell>
          <cell r="C84" t="str">
            <v>인</v>
          </cell>
          <cell r="D84">
            <v>57364</v>
          </cell>
          <cell r="E84">
            <v>54191</v>
          </cell>
          <cell r="F84">
            <v>74369</v>
          </cell>
        </row>
        <row r="85">
          <cell r="A85" t="str">
            <v>L081</v>
          </cell>
          <cell r="B85" t="str">
            <v>작업반장</v>
          </cell>
          <cell r="C85" t="str">
            <v>인</v>
          </cell>
          <cell r="D85">
            <v>57364</v>
          </cell>
          <cell r="E85">
            <v>54191</v>
          </cell>
          <cell r="F85">
            <v>60326</v>
          </cell>
        </row>
        <row r="86">
          <cell r="A86" t="str">
            <v>L082</v>
          </cell>
          <cell r="B86" t="str">
            <v>목    도</v>
          </cell>
          <cell r="C86" t="str">
            <v>인</v>
          </cell>
          <cell r="D86">
            <v>64408</v>
          </cell>
          <cell r="E86">
            <v>63010</v>
          </cell>
          <cell r="F86">
            <v>64758</v>
          </cell>
        </row>
        <row r="87">
          <cell r="A87" t="str">
            <v>L083</v>
          </cell>
          <cell r="B87" t="str">
            <v>조 력 공</v>
          </cell>
          <cell r="C87" t="str">
            <v>인</v>
          </cell>
          <cell r="D87">
            <v>39371</v>
          </cell>
          <cell r="E87">
            <v>40427</v>
          </cell>
          <cell r="F87">
            <v>48912</v>
          </cell>
        </row>
        <row r="88">
          <cell r="A88" t="str">
            <v>L084</v>
          </cell>
          <cell r="B88" t="str">
            <v>특별인부</v>
          </cell>
          <cell r="C88" t="str">
            <v>인</v>
          </cell>
          <cell r="D88">
            <v>48674</v>
          </cell>
          <cell r="E88">
            <v>49659</v>
          </cell>
          <cell r="F88">
            <v>57379</v>
          </cell>
        </row>
        <row r="89">
          <cell r="A89" t="str">
            <v>L085</v>
          </cell>
          <cell r="B89" t="str">
            <v>보통인부</v>
          </cell>
          <cell r="C89" t="str">
            <v>인</v>
          </cell>
          <cell r="D89">
            <v>33755</v>
          </cell>
          <cell r="E89">
            <v>34098</v>
          </cell>
          <cell r="F89">
            <v>37736</v>
          </cell>
        </row>
        <row r="90">
          <cell r="A90" t="str">
            <v>L086</v>
          </cell>
          <cell r="B90" t="str">
            <v>중기운전기사</v>
          </cell>
          <cell r="C90" t="str">
            <v>인</v>
          </cell>
          <cell r="D90">
            <v>53715</v>
          </cell>
          <cell r="E90">
            <v>52855</v>
          </cell>
          <cell r="F90">
            <v>56951</v>
          </cell>
        </row>
        <row r="91">
          <cell r="A91" t="str">
            <v>L087</v>
          </cell>
          <cell r="B91" t="str">
            <v>운전사(운반차)</v>
          </cell>
          <cell r="C91" t="str">
            <v>인</v>
          </cell>
          <cell r="D91">
            <v>49633</v>
          </cell>
          <cell r="E91">
            <v>53159</v>
          </cell>
          <cell r="F91">
            <v>51077</v>
          </cell>
        </row>
        <row r="92">
          <cell r="A92" t="str">
            <v>L088</v>
          </cell>
          <cell r="B92" t="str">
            <v>운전사(기  계)</v>
          </cell>
          <cell r="C92" t="str">
            <v>인</v>
          </cell>
          <cell r="D92">
            <v>45575</v>
          </cell>
          <cell r="E92">
            <v>45276</v>
          </cell>
          <cell r="F92">
            <v>54325</v>
          </cell>
        </row>
        <row r="93">
          <cell r="A93" t="str">
            <v>L089</v>
          </cell>
          <cell r="B93" t="str">
            <v>중기운전조수</v>
          </cell>
          <cell r="C93" t="str">
            <v>인</v>
          </cell>
          <cell r="D93">
            <v>40706</v>
          </cell>
          <cell r="E93">
            <v>39194</v>
          </cell>
          <cell r="F93">
            <v>42762</v>
          </cell>
        </row>
        <row r="94">
          <cell r="A94" t="str">
            <v>L090</v>
          </cell>
          <cell r="B94" t="str">
            <v>고급선원</v>
          </cell>
          <cell r="C94" t="str">
            <v>인</v>
          </cell>
          <cell r="D94">
            <v>67380</v>
          </cell>
          <cell r="E94">
            <v>63746</v>
          </cell>
          <cell r="F94">
            <v>63950</v>
          </cell>
        </row>
        <row r="95">
          <cell r="A95" t="str">
            <v>L091</v>
          </cell>
          <cell r="B95" t="str">
            <v>보통선원</v>
          </cell>
          <cell r="C95" t="str">
            <v>인</v>
          </cell>
          <cell r="D95">
            <v>52274</v>
          </cell>
          <cell r="E95">
            <v>54986</v>
          </cell>
          <cell r="F95">
            <v>49346</v>
          </cell>
        </row>
        <row r="96">
          <cell r="A96" t="str">
            <v>L092</v>
          </cell>
          <cell r="B96" t="str">
            <v>선    부</v>
          </cell>
          <cell r="C96" t="str">
            <v>인</v>
          </cell>
          <cell r="D96">
            <v>41303</v>
          </cell>
          <cell r="E96">
            <v>45267</v>
          </cell>
          <cell r="F96">
            <v>40088</v>
          </cell>
        </row>
        <row r="97">
          <cell r="A97" t="str">
            <v>L093</v>
          </cell>
          <cell r="B97" t="str">
            <v>준설선선장</v>
          </cell>
          <cell r="C97" t="str">
            <v>인</v>
          </cell>
          <cell r="D97">
            <v>77084</v>
          </cell>
          <cell r="E97">
            <v>77929</v>
          </cell>
          <cell r="F97">
            <v>79532</v>
          </cell>
        </row>
        <row r="98">
          <cell r="A98" t="str">
            <v>L094</v>
          </cell>
          <cell r="B98" t="str">
            <v>준설선기관장</v>
          </cell>
          <cell r="C98" t="str">
            <v>인</v>
          </cell>
          <cell r="D98">
            <v>65732</v>
          </cell>
          <cell r="E98">
            <v>66667</v>
          </cell>
          <cell r="F98">
            <v>70637</v>
          </cell>
        </row>
        <row r="99">
          <cell r="A99" t="str">
            <v>L095</v>
          </cell>
          <cell r="B99" t="str">
            <v>준설선기관사</v>
          </cell>
          <cell r="C99" t="str">
            <v>인</v>
          </cell>
          <cell r="D99">
            <v>62000</v>
          </cell>
          <cell r="E99">
            <v>63333</v>
          </cell>
          <cell r="F99">
            <v>56955</v>
          </cell>
        </row>
        <row r="100">
          <cell r="A100" t="str">
            <v>L096</v>
          </cell>
          <cell r="B100" t="str">
            <v>준설선운전사</v>
          </cell>
          <cell r="C100" t="str">
            <v>인</v>
          </cell>
          <cell r="D100">
            <v>64200</v>
          </cell>
          <cell r="E100">
            <v>58033</v>
          </cell>
          <cell r="F100">
            <v>66688</v>
          </cell>
        </row>
        <row r="101">
          <cell r="A101" t="str">
            <v>L097</v>
          </cell>
          <cell r="B101" t="str">
            <v>준설선전기사</v>
          </cell>
          <cell r="C101" t="str">
            <v>인</v>
          </cell>
          <cell r="D101">
            <v>66400</v>
          </cell>
          <cell r="E101">
            <v>66000</v>
          </cell>
          <cell r="F101">
            <v>63631</v>
          </cell>
        </row>
        <row r="102">
          <cell r="A102" t="str">
            <v>L098</v>
          </cell>
          <cell r="B102" t="str">
            <v>기계설치공</v>
          </cell>
          <cell r="C102" t="str">
            <v>인</v>
          </cell>
          <cell r="D102">
            <v>56925</v>
          </cell>
          <cell r="E102">
            <v>51838</v>
          </cell>
          <cell r="F102">
            <v>67415</v>
          </cell>
        </row>
        <row r="103">
          <cell r="A103" t="str">
            <v>L099</v>
          </cell>
          <cell r="B103" t="str">
            <v>기 계 공</v>
          </cell>
          <cell r="C103" t="str">
            <v>인</v>
          </cell>
          <cell r="D103">
            <v>49611</v>
          </cell>
          <cell r="E103">
            <v>49600</v>
          </cell>
          <cell r="F103">
            <v>58906</v>
          </cell>
        </row>
        <row r="104">
          <cell r="A104" t="str">
            <v>L100</v>
          </cell>
          <cell r="B104" t="str">
            <v>선 반 공</v>
          </cell>
          <cell r="C104" t="str">
            <v>인</v>
          </cell>
          <cell r="D104">
            <v>0</v>
          </cell>
          <cell r="E104">
            <v>0</v>
          </cell>
          <cell r="F104">
            <v>78752</v>
          </cell>
        </row>
        <row r="105">
          <cell r="A105" t="str">
            <v>L101</v>
          </cell>
          <cell r="B105" t="str">
            <v>정 비 공</v>
          </cell>
          <cell r="C105" t="str">
            <v>인</v>
          </cell>
          <cell r="D105">
            <v>0</v>
          </cell>
          <cell r="E105">
            <v>0</v>
          </cell>
          <cell r="F105">
            <v>52502</v>
          </cell>
        </row>
        <row r="106">
          <cell r="A106" t="str">
            <v>L102</v>
          </cell>
          <cell r="B106" t="str">
            <v>벨트콘베어작업공</v>
          </cell>
          <cell r="C106" t="str">
            <v>인</v>
          </cell>
          <cell r="D106">
            <v>0</v>
          </cell>
          <cell r="E106">
            <v>0</v>
          </cell>
          <cell r="F106">
            <v>0</v>
          </cell>
        </row>
        <row r="107">
          <cell r="A107" t="str">
            <v>L103</v>
          </cell>
          <cell r="B107" t="str">
            <v>현 도 사</v>
          </cell>
          <cell r="C107" t="str">
            <v>인</v>
          </cell>
          <cell r="D107">
            <v>66579</v>
          </cell>
          <cell r="E107">
            <v>0</v>
          </cell>
          <cell r="F107">
            <v>0</v>
          </cell>
        </row>
        <row r="108">
          <cell r="A108" t="str">
            <v>L104</v>
          </cell>
          <cell r="B108" t="str">
            <v>제 도 사</v>
          </cell>
          <cell r="C108" t="str">
            <v>인</v>
          </cell>
          <cell r="D108">
            <v>42366</v>
          </cell>
          <cell r="E108">
            <v>52957</v>
          </cell>
          <cell r="F108">
            <v>46978</v>
          </cell>
        </row>
        <row r="109">
          <cell r="A109" t="str">
            <v>L105</v>
          </cell>
          <cell r="B109" t="str">
            <v>시험사 1급</v>
          </cell>
          <cell r="C109" t="str">
            <v>인</v>
          </cell>
          <cell r="D109">
            <v>48017</v>
          </cell>
          <cell r="E109">
            <v>51959</v>
          </cell>
          <cell r="F109">
            <v>47867</v>
          </cell>
        </row>
        <row r="110">
          <cell r="A110" t="str">
            <v>L106</v>
          </cell>
          <cell r="B110" t="str">
            <v>시험사 2급</v>
          </cell>
          <cell r="C110" t="str">
            <v>인</v>
          </cell>
          <cell r="D110">
            <v>36857</v>
          </cell>
          <cell r="E110">
            <v>39935</v>
          </cell>
          <cell r="F110">
            <v>42272</v>
          </cell>
        </row>
        <row r="111">
          <cell r="A111" t="str">
            <v>L107</v>
          </cell>
          <cell r="B111" t="str">
            <v>시험사 3급</v>
          </cell>
          <cell r="C111" t="str">
            <v>인</v>
          </cell>
          <cell r="D111">
            <v>0</v>
          </cell>
          <cell r="E111">
            <v>0</v>
          </cell>
          <cell r="F111">
            <v>36667</v>
          </cell>
        </row>
        <row r="112">
          <cell r="A112" t="str">
            <v>L108</v>
          </cell>
          <cell r="B112" t="str">
            <v>시험사 4급</v>
          </cell>
          <cell r="C112" t="str">
            <v>인</v>
          </cell>
          <cell r="D112">
            <v>0</v>
          </cell>
          <cell r="E112">
            <v>0</v>
          </cell>
          <cell r="F112">
            <v>30223</v>
          </cell>
        </row>
        <row r="113">
          <cell r="A113" t="str">
            <v>L109</v>
          </cell>
          <cell r="B113" t="str">
            <v>시험보조수</v>
          </cell>
          <cell r="C113" t="str">
            <v>인</v>
          </cell>
          <cell r="D113">
            <v>29231</v>
          </cell>
          <cell r="E113">
            <v>31260</v>
          </cell>
          <cell r="F113">
            <v>31003</v>
          </cell>
        </row>
        <row r="114">
          <cell r="A114" t="str">
            <v>L110</v>
          </cell>
          <cell r="B114" t="str">
            <v>안전관리기사 1급</v>
          </cell>
          <cell r="C114" t="str">
            <v>인</v>
          </cell>
          <cell r="D114">
            <v>0</v>
          </cell>
          <cell r="E114">
            <v>0</v>
          </cell>
          <cell r="F114">
            <v>43959</v>
          </cell>
        </row>
        <row r="115">
          <cell r="A115" t="str">
            <v>L111</v>
          </cell>
          <cell r="B115" t="str">
            <v>안전관리기사 2급</v>
          </cell>
          <cell r="C115" t="str">
            <v>인</v>
          </cell>
          <cell r="D115">
            <v>0</v>
          </cell>
          <cell r="E115">
            <v>0</v>
          </cell>
          <cell r="F115">
            <v>38509</v>
          </cell>
        </row>
        <row r="116">
          <cell r="A116" t="str">
            <v>L112</v>
          </cell>
          <cell r="B116" t="str">
            <v>유 리 공</v>
          </cell>
          <cell r="C116" t="str">
            <v>인</v>
          </cell>
          <cell r="D116">
            <v>57574</v>
          </cell>
          <cell r="E116">
            <v>61877</v>
          </cell>
          <cell r="F116">
            <v>63783</v>
          </cell>
        </row>
        <row r="117">
          <cell r="A117" t="str">
            <v>L113</v>
          </cell>
          <cell r="B117" t="str">
            <v>함 석 공</v>
          </cell>
          <cell r="C117" t="str">
            <v>인</v>
          </cell>
          <cell r="D117">
            <v>56248</v>
          </cell>
          <cell r="E117">
            <v>56465</v>
          </cell>
          <cell r="F117">
            <v>68943</v>
          </cell>
        </row>
        <row r="118">
          <cell r="A118" t="str">
            <v>L114</v>
          </cell>
          <cell r="B118" t="str">
            <v>용 접 공(일 반)</v>
          </cell>
          <cell r="C118" t="str">
            <v>인</v>
          </cell>
          <cell r="D118">
            <v>60784</v>
          </cell>
          <cell r="E118">
            <v>61021</v>
          </cell>
          <cell r="F118">
            <v>74016</v>
          </cell>
        </row>
        <row r="119">
          <cell r="A119" t="str">
            <v>L115</v>
          </cell>
          <cell r="B119" t="str">
            <v>리 벳 공</v>
          </cell>
          <cell r="C119" t="str">
            <v>인</v>
          </cell>
          <cell r="D119">
            <v>60500</v>
          </cell>
          <cell r="E119">
            <v>64796</v>
          </cell>
          <cell r="F119">
            <v>71579</v>
          </cell>
        </row>
        <row r="120">
          <cell r="A120" t="str">
            <v>L116</v>
          </cell>
          <cell r="B120" t="str">
            <v>루 핑 공</v>
          </cell>
          <cell r="C120" t="str">
            <v>인</v>
          </cell>
          <cell r="D120">
            <v>50866</v>
          </cell>
          <cell r="E120">
            <v>51640</v>
          </cell>
          <cell r="F120">
            <v>57701</v>
          </cell>
        </row>
        <row r="121">
          <cell r="A121" t="str">
            <v>L117</v>
          </cell>
          <cell r="B121" t="str">
            <v>닥 트 공</v>
          </cell>
          <cell r="C121" t="str">
            <v>인</v>
          </cell>
          <cell r="D121">
            <v>48478</v>
          </cell>
          <cell r="E121">
            <v>52215</v>
          </cell>
          <cell r="F121">
            <v>58041</v>
          </cell>
        </row>
        <row r="122">
          <cell r="A122" t="str">
            <v>L118</v>
          </cell>
          <cell r="B122" t="str">
            <v>대 장 공</v>
          </cell>
          <cell r="C122" t="str">
            <v>인</v>
          </cell>
          <cell r="D122">
            <v>0</v>
          </cell>
          <cell r="E122">
            <v>0</v>
          </cell>
          <cell r="F122">
            <v>0</v>
          </cell>
        </row>
        <row r="123">
          <cell r="A123" t="str">
            <v>L119</v>
          </cell>
          <cell r="B123" t="str">
            <v>할 석 공</v>
          </cell>
          <cell r="C123" t="str">
            <v>인</v>
          </cell>
          <cell r="D123">
            <v>63951</v>
          </cell>
          <cell r="E123">
            <v>63908</v>
          </cell>
          <cell r="F123">
            <v>77728</v>
          </cell>
        </row>
        <row r="124">
          <cell r="A124" t="str">
            <v>L120</v>
          </cell>
          <cell r="B124" t="str">
            <v>제철축로공</v>
          </cell>
          <cell r="C124" t="str">
            <v>인</v>
          </cell>
          <cell r="D124">
            <v>92419</v>
          </cell>
          <cell r="E124">
            <v>93072</v>
          </cell>
          <cell r="F124">
            <v>93345</v>
          </cell>
        </row>
        <row r="125">
          <cell r="A125" t="str">
            <v>L121</v>
          </cell>
          <cell r="B125" t="str">
            <v>양 생 공</v>
          </cell>
          <cell r="C125" t="str">
            <v>인</v>
          </cell>
          <cell r="D125">
            <v>33755</v>
          </cell>
          <cell r="E125">
            <v>34098</v>
          </cell>
          <cell r="F125">
            <v>42244</v>
          </cell>
        </row>
        <row r="126">
          <cell r="A126" t="str">
            <v>L122</v>
          </cell>
          <cell r="B126" t="str">
            <v>계 령 공</v>
          </cell>
          <cell r="C126" t="str">
            <v>인</v>
          </cell>
          <cell r="D126">
            <v>52915</v>
          </cell>
          <cell r="E126">
            <v>55640</v>
          </cell>
          <cell r="F126">
            <v>0</v>
          </cell>
        </row>
        <row r="127">
          <cell r="A127" t="str">
            <v>L123</v>
          </cell>
          <cell r="B127" t="str">
            <v>사 공(배포함)</v>
          </cell>
          <cell r="C127" t="str">
            <v>인</v>
          </cell>
          <cell r="D127">
            <v>0</v>
          </cell>
          <cell r="E127">
            <v>0</v>
          </cell>
          <cell r="F127">
            <v>0</v>
          </cell>
        </row>
        <row r="128">
          <cell r="A128" t="str">
            <v>L124</v>
          </cell>
          <cell r="B128" t="str">
            <v>마 부(우마차포함)</v>
          </cell>
          <cell r="C128" t="str">
            <v>인</v>
          </cell>
          <cell r="D128">
            <v>0</v>
          </cell>
          <cell r="E128">
            <v>0</v>
          </cell>
          <cell r="F128">
            <v>0</v>
          </cell>
        </row>
        <row r="129">
          <cell r="A129" t="str">
            <v>L125</v>
          </cell>
          <cell r="B129" t="str">
            <v>제 재 공</v>
          </cell>
          <cell r="C129" t="str">
            <v>인</v>
          </cell>
          <cell r="D129">
            <v>0</v>
          </cell>
          <cell r="E129">
            <v>0</v>
          </cell>
          <cell r="F129">
            <v>0</v>
          </cell>
        </row>
        <row r="130">
          <cell r="A130" t="str">
            <v>L126</v>
          </cell>
          <cell r="B130" t="str">
            <v>철도궤도공</v>
          </cell>
          <cell r="C130" t="str">
            <v>인</v>
          </cell>
          <cell r="D130">
            <v>53629</v>
          </cell>
          <cell r="E130">
            <v>62818</v>
          </cell>
          <cell r="F130">
            <v>65636</v>
          </cell>
        </row>
        <row r="131">
          <cell r="A131" t="str">
            <v>L127</v>
          </cell>
          <cell r="B131" t="str">
            <v>지적기사 1급</v>
          </cell>
          <cell r="C131" t="str">
            <v>인</v>
          </cell>
          <cell r="D131">
            <v>91687</v>
          </cell>
          <cell r="E131">
            <v>93295</v>
          </cell>
          <cell r="F131">
            <v>93540</v>
          </cell>
        </row>
        <row r="132">
          <cell r="A132" t="str">
            <v>L128</v>
          </cell>
          <cell r="B132" t="str">
            <v>지적기사 2급</v>
          </cell>
          <cell r="C132" t="str">
            <v>인</v>
          </cell>
          <cell r="D132">
            <v>69173</v>
          </cell>
          <cell r="E132">
            <v>72840</v>
          </cell>
          <cell r="F132">
            <v>72183</v>
          </cell>
        </row>
        <row r="133">
          <cell r="A133" t="str">
            <v>L129</v>
          </cell>
          <cell r="B133" t="str">
            <v>지적기능사 1급</v>
          </cell>
          <cell r="C133" t="str">
            <v>인</v>
          </cell>
          <cell r="D133">
            <v>48878</v>
          </cell>
          <cell r="E133">
            <v>50316</v>
          </cell>
          <cell r="F133">
            <v>53062</v>
          </cell>
        </row>
        <row r="134">
          <cell r="A134" t="str">
            <v>L130</v>
          </cell>
          <cell r="B134" t="str">
            <v>지적기능사 2급</v>
          </cell>
          <cell r="C134" t="str">
            <v>인</v>
          </cell>
          <cell r="D134">
            <v>35131</v>
          </cell>
          <cell r="E134">
            <v>34731</v>
          </cell>
          <cell r="F134">
            <v>32715</v>
          </cell>
        </row>
        <row r="135">
          <cell r="A135" t="str">
            <v>L131</v>
          </cell>
          <cell r="B135" t="str">
            <v>치장벽돌공</v>
          </cell>
          <cell r="C135" t="str">
            <v>인</v>
          </cell>
          <cell r="D135">
            <v>61897</v>
          </cell>
          <cell r="E135">
            <v>64317</v>
          </cell>
          <cell r="F135">
            <v>73288</v>
          </cell>
        </row>
        <row r="136">
          <cell r="A136" t="str">
            <v>L132</v>
          </cell>
          <cell r="B136" t="str">
            <v>송전활선전공</v>
          </cell>
          <cell r="C136" t="str">
            <v>인</v>
          </cell>
          <cell r="D136">
            <v>235109</v>
          </cell>
          <cell r="E136">
            <v>250000</v>
          </cell>
          <cell r="F136">
            <v>0</v>
          </cell>
        </row>
        <row r="137">
          <cell r="A137" t="str">
            <v>L133</v>
          </cell>
          <cell r="B137" t="str">
            <v>배전활선전공</v>
          </cell>
          <cell r="C137" t="str">
            <v>인</v>
          </cell>
          <cell r="D137">
            <v>182772</v>
          </cell>
          <cell r="E137">
            <v>188915</v>
          </cell>
          <cell r="F137">
            <v>215055</v>
          </cell>
        </row>
        <row r="138">
          <cell r="A138" t="str">
            <v>L134</v>
          </cell>
          <cell r="B138" t="str">
            <v>중기조장</v>
          </cell>
          <cell r="C138" t="str">
            <v>인</v>
          </cell>
          <cell r="D138">
            <v>64260</v>
          </cell>
          <cell r="E138">
            <v>56042</v>
          </cell>
          <cell r="F138">
            <v>55484</v>
          </cell>
        </row>
        <row r="139">
          <cell r="A139" t="str">
            <v>L135</v>
          </cell>
          <cell r="B139" t="str">
            <v>모래분사공</v>
          </cell>
          <cell r="C139" t="str">
            <v>인</v>
          </cell>
          <cell r="D139">
            <v>52915</v>
          </cell>
          <cell r="E139">
            <v>55640</v>
          </cell>
          <cell r="F139">
            <v>49962</v>
          </cell>
        </row>
        <row r="140">
          <cell r="A140" t="str">
            <v>L137</v>
          </cell>
          <cell r="B140" t="str">
            <v>플랜트 특수용접공</v>
          </cell>
          <cell r="C140" t="str">
            <v>인</v>
          </cell>
          <cell r="D140">
            <v>100475</v>
          </cell>
          <cell r="E140">
            <v>93828</v>
          </cell>
          <cell r="F140">
            <v>141421</v>
          </cell>
        </row>
        <row r="141">
          <cell r="A141" t="str">
            <v>L200</v>
          </cell>
          <cell r="B141" t="str">
            <v>여자인부</v>
          </cell>
          <cell r="C141" t="str">
            <v>인</v>
          </cell>
          <cell r="D141">
            <v>0</v>
          </cell>
          <cell r="E141">
            <v>0</v>
          </cell>
          <cell r="F141">
            <v>0</v>
          </cell>
        </row>
        <row r="142">
          <cell r="A142" t="str">
            <v>L201</v>
          </cell>
          <cell r="B142" t="str">
            <v>조    공</v>
          </cell>
          <cell r="C142" t="str">
            <v>인</v>
          </cell>
          <cell r="D142">
            <v>0</v>
          </cell>
          <cell r="E142">
            <v>0</v>
          </cell>
          <cell r="F142">
            <v>0</v>
          </cell>
        </row>
        <row r="143">
          <cell r="A143" t="str">
            <v>L202</v>
          </cell>
          <cell r="B143" t="str">
            <v>포장특공</v>
          </cell>
          <cell r="C143" t="str">
            <v>인</v>
          </cell>
          <cell r="D143">
            <v>0</v>
          </cell>
          <cell r="E143">
            <v>0</v>
          </cell>
          <cell r="F143">
            <v>0</v>
          </cell>
        </row>
        <row r="144">
          <cell r="A144" t="str">
            <v>L203</v>
          </cell>
          <cell r="B144" t="str">
            <v>항 타 공</v>
          </cell>
          <cell r="C144" t="str">
            <v>인</v>
          </cell>
          <cell r="D144">
            <v>0</v>
          </cell>
          <cell r="E144">
            <v>0</v>
          </cell>
          <cell r="F144">
            <v>0</v>
          </cell>
        </row>
        <row r="145">
          <cell r="A145" t="str">
            <v>L204</v>
          </cell>
          <cell r="B145" t="str">
            <v>드 릴 공</v>
          </cell>
          <cell r="C145" t="str">
            <v>인</v>
          </cell>
          <cell r="D145">
            <v>0</v>
          </cell>
          <cell r="E145">
            <v>0</v>
          </cell>
          <cell r="F145">
            <v>0</v>
          </cell>
        </row>
        <row r="146">
          <cell r="A146" t="str">
            <v>L205</v>
          </cell>
          <cell r="B146" t="str">
            <v>WIRE MESH 설치공</v>
          </cell>
          <cell r="C146" t="str">
            <v>인</v>
          </cell>
          <cell r="D146">
            <v>0</v>
          </cell>
          <cell r="E146">
            <v>0</v>
          </cell>
          <cell r="F146">
            <v>0</v>
          </cell>
        </row>
        <row r="147">
          <cell r="A147" t="str">
            <v>L701</v>
          </cell>
          <cell r="B147" t="str">
            <v>특급기술자</v>
          </cell>
          <cell r="C147" t="str">
            <v>인</v>
          </cell>
          <cell r="D147">
            <v>132166</v>
          </cell>
          <cell r="E147">
            <v>142203</v>
          </cell>
          <cell r="F147">
            <v>142203</v>
          </cell>
        </row>
        <row r="148">
          <cell r="A148" t="str">
            <v>L702</v>
          </cell>
          <cell r="B148" t="str">
            <v>고급기술자</v>
          </cell>
          <cell r="C148" t="str">
            <v>인</v>
          </cell>
          <cell r="D148">
            <v>109695</v>
          </cell>
          <cell r="E148">
            <v>117410</v>
          </cell>
          <cell r="F148">
            <v>117410</v>
          </cell>
        </row>
        <row r="149">
          <cell r="A149" t="str">
            <v>L703</v>
          </cell>
          <cell r="B149" t="str">
            <v>중급기술자</v>
          </cell>
          <cell r="C149" t="str">
            <v>인</v>
          </cell>
          <cell r="D149">
            <v>91968</v>
          </cell>
          <cell r="E149">
            <v>97488</v>
          </cell>
          <cell r="F149">
            <v>97488</v>
          </cell>
        </row>
        <row r="150">
          <cell r="A150" t="str">
            <v>L704</v>
          </cell>
          <cell r="B150" t="str">
            <v>초급기술자</v>
          </cell>
          <cell r="C150" t="str">
            <v>인</v>
          </cell>
          <cell r="D150">
            <v>65947</v>
          </cell>
          <cell r="E150">
            <v>69405</v>
          </cell>
          <cell r="F150">
            <v>69405</v>
          </cell>
        </row>
        <row r="151">
          <cell r="A151" t="str">
            <v>L705</v>
          </cell>
          <cell r="B151" t="str">
            <v>고급기능사</v>
          </cell>
          <cell r="C151" t="str">
            <v>인</v>
          </cell>
          <cell r="D151">
            <v>67006</v>
          </cell>
          <cell r="E151">
            <v>68094</v>
          </cell>
          <cell r="F151">
            <v>68094</v>
          </cell>
        </row>
        <row r="152">
          <cell r="A152" t="str">
            <v>L706</v>
          </cell>
          <cell r="B152" t="str">
            <v>중급기능사</v>
          </cell>
          <cell r="C152" t="str">
            <v>인</v>
          </cell>
          <cell r="D152">
            <v>55830</v>
          </cell>
          <cell r="E152">
            <v>60249</v>
          </cell>
          <cell r="F152">
            <v>60249</v>
          </cell>
        </row>
        <row r="153">
          <cell r="A153" t="str">
            <v>L707</v>
          </cell>
          <cell r="B153" t="str">
            <v>초급기능사</v>
          </cell>
          <cell r="C153" t="str">
            <v>인</v>
          </cell>
          <cell r="D153">
            <v>46933</v>
          </cell>
          <cell r="E153">
            <v>48652</v>
          </cell>
          <cell r="F153">
            <v>48652</v>
          </cell>
        </row>
        <row r="154">
          <cell r="A154" t="str">
            <v>L301</v>
          </cell>
          <cell r="B154" t="str">
            <v>H/W설치기사</v>
          </cell>
          <cell r="C154" t="str">
            <v>인</v>
          </cell>
          <cell r="D154">
            <v>83297</v>
          </cell>
          <cell r="E154">
            <v>82162</v>
          </cell>
          <cell r="F154">
            <v>82913</v>
          </cell>
        </row>
        <row r="155">
          <cell r="A155" t="str">
            <v>L302</v>
          </cell>
          <cell r="B155" t="str">
            <v>H/W시험기사</v>
          </cell>
          <cell r="C155" t="str">
            <v>인</v>
          </cell>
          <cell r="D155">
            <v>85165</v>
          </cell>
          <cell r="E155">
            <v>82402</v>
          </cell>
          <cell r="F155">
            <v>84088</v>
          </cell>
        </row>
        <row r="156">
          <cell r="A156" t="str">
            <v>L303</v>
          </cell>
          <cell r="B156" t="str">
            <v>S/W시험기사</v>
          </cell>
          <cell r="C156" t="str">
            <v>인</v>
          </cell>
          <cell r="D156">
            <v>86583</v>
          </cell>
          <cell r="E156">
            <v>84693</v>
          </cell>
          <cell r="F156">
            <v>85238</v>
          </cell>
        </row>
        <row r="157">
          <cell r="A157" t="str">
            <v>L304</v>
          </cell>
          <cell r="B157" t="str">
            <v>CPU시험기사</v>
          </cell>
          <cell r="C157" t="str">
            <v>인</v>
          </cell>
          <cell r="D157">
            <v>81182</v>
          </cell>
          <cell r="E157">
            <v>79138</v>
          </cell>
          <cell r="F157">
            <v>80163</v>
          </cell>
        </row>
        <row r="158">
          <cell r="A158" t="str">
            <v>L305</v>
          </cell>
          <cell r="B158" t="str">
            <v>광통신기사</v>
          </cell>
          <cell r="C158" t="str">
            <v>인</v>
          </cell>
          <cell r="D158">
            <v>108175</v>
          </cell>
          <cell r="E158">
            <v>132875</v>
          </cell>
          <cell r="F158">
            <v>149857</v>
          </cell>
        </row>
        <row r="159">
          <cell r="A159" t="str">
            <v>L306</v>
          </cell>
          <cell r="B159" t="str">
            <v>광케이블기사</v>
          </cell>
          <cell r="C159" t="str">
            <v>인</v>
          </cell>
          <cell r="D159">
            <v>90147</v>
          </cell>
          <cell r="E159">
            <v>110336</v>
          </cell>
          <cell r="F159">
            <v>120493</v>
          </cell>
        </row>
        <row r="160">
          <cell r="A160" t="str">
            <v>L401</v>
          </cell>
          <cell r="B160" t="str">
            <v>도편수</v>
          </cell>
          <cell r="C160" t="str">
            <v>인</v>
          </cell>
          <cell r="D160">
            <v>120804</v>
          </cell>
          <cell r="E160">
            <v>131984</v>
          </cell>
          <cell r="F160">
            <v>132909</v>
          </cell>
        </row>
        <row r="161">
          <cell r="A161" t="str">
            <v>L402</v>
          </cell>
          <cell r="B161" t="str">
            <v>목조각공</v>
          </cell>
          <cell r="C161" t="str">
            <v>인</v>
          </cell>
          <cell r="D161">
            <v>109226</v>
          </cell>
          <cell r="E161">
            <v>96291</v>
          </cell>
          <cell r="F161">
            <v>95674</v>
          </cell>
        </row>
        <row r="162">
          <cell r="A162" t="str">
            <v>L403</v>
          </cell>
          <cell r="B162" t="str">
            <v>한식목공</v>
          </cell>
          <cell r="C162" t="str">
            <v>인</v>
          </cell>
          <cell r="D162">
            <v>89987</v>
          </cell>
          <cell r="E162">
            <v>87000</v>
          </cell>
          <cell r="F162">
            <v>86465</v>
          </cell>
        </row>
        <row r="163">
          <cell r="A163" t="str">
            <v>L404</v>
          </cell>
          <cell r="B163" t="str">
            <v>한식목공조공</v>
          </cell>
          <cell r="C163" t="str">
            <v>인</v>
          </cell>
          <cell r="D163">
            <v>73861</v>
          </cell>
          <cell r="E163">
            <v>69203</v>
          </cell>
          <cell r="F163">
            <v>62022</v>
          </cell>
        </row>
        <row r="164">
          <cell r="A164" t="str">
            <v>L405</v>
          </cell>
          <cell r="B164" t="str">
            <v>드잡이공</v>
          </cell>
          <cell r="C164" t="str">
            <v>인</v>
          </cell>
          <cell r="D164">
            <v>98743</v>
          </cell>
          <cell r="E164">
            <v>106667</v>
          </cell>
          <cell r="F164">
            <v>98108</v>
          </cell>
        </row>
        <row r="165">
          <cell r="A165" t="str">
            <v>L406</v>
          </cell>
          <cell r="B165" t="str">
            <v>한식와공</v>
          </cell>
          <cell r="C165" t="str">
            <v>인</v>
          </cell>
          <cell r="D165">
            <v>144566</v>
          </cell>
          <cell r="E165">
            <v>153013</v>
          </cell>
          <cell r="F165">
            <v>126465</v>
          </cell>
        </row>
        <row r="166">
          <cell r="A166" t="str">
            <v>L407</v>
          </cell>
          <cell r="B166" t="str">
            <v>한식와공조공</v>
          </cell>
          <cell r="C166" t="str">
            <v>인</v>
          </cell>
          <cell r="D166">
            <v>98830</v>
          </cell>
          <cell r="E166">
            <v>80622</v>
          </cell>
          <cell r="F166">
            <v>91058</v>
          </cell>
        </row>
        <row r="167">
          <cell r="A167" t="str">
            <v>L408</v>
          </cell>
          <cell r="B167" t="str">
            <v>석조각공</v>
          </cell>
          <cell r="C167" t="str">
            <v>인</v>
          </cell>
          <cell r="D167">
            <v>97323</v>
          </cell>
          <cell r="E167">
            <v>112022</v>
          </cell>
          <cell r="F167">
            <v>108908</v>
          </cell>
        </row>
        <row r="168">
          <cell r="A168" t="str">
            <v>L409</v>
          </cell>
          <cell r="B168" t="str">
            <v>특수화공</v>
          </cell>
          <cell r="C168" t="str">
            <v>인</v>
          </cell>
          <cell r="D168">
            <v>130909</v>
          </cell>
          <cell r="E168">
            <v>106000</v>
          </cell>
          <cell r="F168">
            <v>121264</v>
          </cell>
        </row>
        <row r="169">
          <cell r="A169" t="str">
            <v>L410</v>
          </cell>
          <cell r="B169" t="str">
            <v>화공</v>
          </cell>
          <cell r="C169" t="str">
            <v>인</v>
          </cell>
          <cell r="D169">
            <v>98506</v>
          </cell>
          <cell r="E169">
            <v>92685</v>
          </cell>
          <cell r="F169">
            <v>86801</v>
          </cell>
        </row>
        <row r="170">
          <cell r="A170" t="str">
            <v>L411</v>
          </cell>
          <cell r="B170" t="str">
            <v>한식미장공</v>
          </cell>
          <cell r="C170" t="str">
            <v>인</v>
          </cell>
          <cell r="D170">
            <v>83400</v>
          </cell>
          <cell r="E170">
            <v>78989</v>
          </cell>
          <cell r="F170">
            <v>79972</v>
          </cell>
        </row>
        <row r="171">
          <cell r="A171" t="str">
            <v>L501</v>
          </cell>
          <cell r="B171" t="str">
            <v>원자력배관공</v>
          </cell>
          <cell r="C171" t="str">
            <v>인</v>
          </cell>
          <cell r="D171">
            <v>85504</v>
          </cell>
          <cell r="E171">
            <v>84091</v>
          </cell>
          <cell r="F171">
            <v>85331</v>
          </cell>
        </row>
        <row r="172">
          <cell r="A172" t="str">
            <v>L502</v>
          </cell>
          <cell r="B172" t="str">
            <v>원자력용접공</v>
          </cell>
          <cell r="C172" t="str">
            <v>인</v>
          </cell>
          <cell r="D172">
            <v>91598</v>
          </cell>
          <cell r="E172">
            <v>97054</v>
          </cell>
          <cell r="F172">
            <v>98842</v>
          </cell>
        </row>
        <row r="173">
          <cell r="A173" t="str">
            <v>L503</v>
          </cell>
          <cell r="B173" t="str">
            <v>원자력기계설치공</v>
          </cell>
          <cell r="C173" t="str">
            <v>인</v>
          </cell>
          <cell r="D173">
            <v>95966</v>
          </cell>
          <cell r="E173">
            <v>97451</v>
          </cell>
          <cell r="F173">
            <v>98364</v>
          </cell>
        </row>
        <row r="174">
          <cell r="A174" t="str">
            <v>L504</v>
          </cell>
          <cell r="B174" t="str">
            <v>원자력덕트공</v>
          </cell>
          <cell r="C174" t="str">
            <v>인</v>
          </cell>
          <cell r="D174">
            <v>88404</v>
          </cell>
          <cell r="E174">
            <v>84386</v>
          </cell>
          <cell r="F174">
            <v>104350</v>
          </cell>
        </row>
        <row r="175">
          <cell r="A175" t="str">
            <v>L505</v>
          </cell>
          <cell r="B175" t="str">
            <v>원자력제관공</v>
          </cell>
          <cell r="C175" t="str">
            <v>인</v>
          </cell>
          <cell r="D175">
            <v>76226</v>
          </cell>
          <cell r="E175">
            <v>79640</v>
          </cell>
          <cell r="F175">
            <v>76379</v>
          </cell>
        </row>
        <row r="176">
          <cell r="A176" t="str">
            <v>L506</v>
          </cell>
          <cell r="B176" t="str">
            <v>원자력케이블공</v>
          </cell>
          <cell r="C176" t="str">
            <v>인</v>
          </cell>
          <cell r="D176">
            <v>61338</v>
          </cell>
          <cell r="E176">
            <v>66411</v>
          </cell>
          <cell r="F176">
            <v>85474</v>
          </cell>
        </row>
        <row r="177">
          <cell r="A177" t="str">
            <v>L507</v>
          </cell>
          <cell r="B177" t="str">
            <v>원자력계장공</v>
          </cell>
          <cell r="C177" t="str">
            <v>인</v>
          </cell>
          <cell r="D177">
            <v>58478</v>
          </cell>
          <cell r="E177">
            <v>48839</v>
          </cell>
          <cell r="F177">
            <v>0</v>
          </cell>
        </row>
        <row r="178">
          <cell r="A178" t="str">
            <v>L508</v>
          </cell>
          <cell r="B178" t="str">
            <v>고급원자력비파괴시험공</v>
          </cell>
          <cell r="C178" t="str">
            <v>인</v>
          </cell>
          <cell r="D178">
            <v>89172</v>
          </cell>
          <cell r="E178">
            <v>91089</v>
          </cell>
          <cell r="F178">
            <v>92315</v>
          </cell>
        </row>
        <row r="179">
          <cell r="A179" t="str">
            <v>L509</v>
          </cell>
          <cell r="B179" t="str">
            <v>특급원자력비파괴시험공</v>
          </cell>
          <cell r="C179" t="str">
            <v>인</v>
          </cell>
          <cell r="D179">
            <v>94950</v>
          </cell>
          <cell r="E179">
            <v>99701</v>
          </cell>
          <cell r="F179">
            <v>100409</v>
          </cell>
        </row>
        <row r="180">
          <cell r="A180" t="str">
            <v>L510</v>
          </cell>
          <cell r="B180" t="str">
            <v>원자력기술자</v>
          </cell>
          <cell r="C180" t="str">
            <v>인</v>
          </cell>
          <cell r="D180">
            <v>71548</v>
          </cell>
          <cell r="E180">
            <v>67556</v>
          </cell>
          <cell r="F180">
            <v>66616</v>
          </cell>
        </row>
        <row r="181">
          <cell r="A181" t="str">
            <v>L511</v>
          </cell>
          <cell r="B181" t="str">
            <v>중급원자력기술자</v>
          </cell>
          <cell r="C181" t="str">
            <v>인</v>
          </cell>
          <cell r="D181">
            <v>85398</v>
          </cell>
          <cell r="E181">
            <v>78598</v>
          </cell>
          <cell r="F181">
            <v>77992</v>
          </cell>
        </row>
        <row r="182">
          <cell r="A182" t="str">
            <v>L048</v>
          </cell>
          <cell r="B182" t="str">
            <v>우 물 공</v>
          </cell>
          <cell r="C182" t="str">
            <v>인</v>
          </cell>
          <cell r="D182">
            <v>50288</v>
          </cell>
          <cell r="E182">
            <v>53721</v>
          </cell>
          <cell r="F182">
            <v>50558</v>
          </cell>
        </row>
        <row r="183">
          <cell r="A183" t="str">
            <v>L601</v>
          </cell>
          <cell r="B183" t="str">
            <v>책임측량사</v>
          </cell>
          <cell r="C183" t="str">
            <v>인</v>
          </cell>
          <cell r="D183">
            <v>0</v>
          </cell>
          <cell r="E183">
            <v>0</v>
          </cell>
          <cell r="F183">
            <v>0</v>
          </cell>
        </row>
        <row r="184">
          <cell r="A184" t="str">
            <v>L602</v>
          </cell>
          <cell r="B184" t="str">
            <v>측지기사 1급</v>
          </cell>
          <cell r="C184" t="str">
            <v>인</v>
          </cell>
          <cell r="D184">
            <v>0</v>
          </cell>
          <cell r="E184">
            <v>0</v>
          </cell>
          <cell r="F184">
            <v>0</v>
          </cell>
        </row>
        <row r="185">
          <cell r="A185" t="str">
            <v>L603</v>
          </cell>
          <cell r="B185" t="str">
            <v>측지기사 2급</v>
          </cell>
          <cell r="C185" t="str">
            <v>인</v>
          </cell>
          <cell r="D185">
            <v>0</v>
          </cell>
          <cell r="E185">
            <v>0</v>
          </cell>
          <cell r="F185">
            <v>0</v>
          </cell>
        </row>
        <row r="186">
          <cell r="A186" t="str">
            <v>L604</v>
          </cell>
          <cell r="B186" t="str">
            <v>측량기능사 1급</v>
          </cell>
          <cell r="C186" t="str">
            <v>인</v>
          </cell>
          <cell r="D186">
            <v>0</v>
          </cell>
          <cell r="E186">
            <v>0</v>
          </cell>
          <cell r="F186">
            <v>0</v>
          </cell>
        </row>
        <row r="187">
          <cell r="A187" t="str">
            <v>L605</v>
          </cell>
          <cell r="B187" t="str">
            <v>측량기능사 또는 측량기능사 2급</v>
          </cell>
          <cell r="C187" t="str">
            <v>인</v>
          </cell>
          <cell r="D187">
            <v>0</v>
          </cell>
          <cell r="E187">
            <v>0</v>
          </cell>
          <cell r="F187">
            <v>0</v>
          </cell>
        </row>
        <row r="188">
          <cell r="A188" t="str">
            <v>L606</v>
          </cell>
          <cell r="B188" t="str">
            <v>항공사진기능사 1급(1급/2급통합)</v>
          </cell>
          <cell r="C188" t="str">
            <v>인</v>
          </cell>
          <cell r="D188">
            <v>0</v>
          </cell>
          <cell r="E188">
            <v>0</v>
          </cell>
          <cell r="F188">
            <v>0</v>
          </cell>
        </row>
        <row r="189">
          <cell r="A189" t="str">
            <v>L609</v>
          </cell>
          <cell r="B189" t="str">
            <v>도화기능사 또는 도화기능사 2급</v>
          </cell>
          <cell r="C189" t="str">
            <v>인</v>
          </cell>
          <cell r="D189">
            <v>0</v>
          </cell>
          <cell r="E189">
            <v>0</v>
          </cell>
          <cell r="F189">
            <v>0</v>
          </cell>
        </row>
        <row r="190">
          <cell r="A190" t="str">
            <v>L607</v>
          </cell>
          <cell r="B190" t="str">
            <v>항공사진기능사 또는 항공사진기능사 2급</v>
          </cell>
          <cell r="C190" t="str">
            <v>인</v>
          </cell>
          <cell r="D190">
            <v>0</v>
          </cell>
          <cell r="E190">
            <v>0</v>
          </cell>
          <cell r="F190">
            <v>0</v>
          </cell>
        </row>
        <row r="191">
          <cell r="A191" t="str">
            <v>L608</v>
          </cell>
          <cell r="B191" t="str">
            <v>도화기능사 1급(1급/2급통합)</v>
          </cell>
          <cell r="C191" t="str">
            <v>인</v>
          </cell>
          <cell r="D191">
            <v>0</v>
          </cell>
          <cell r="E191">
            <v>0</v>
          </cell>
          <cell r="F191">
            <v>0</v>
          </cell>
        </row>
        <row r="192">
          <cell r="A192" t="str">
            <v>L610</v>
          </cell>
          <cell r="B192" t="str">
            <v>지도제작기능사 1급(1급/2급통합)</v>
          </cell>
          <cell r="C192" t="str">
            <v>인</v>
          </cell>
          <cell r="D192">
            <v>0</v>
          </cell>
          <cell r="E192">
            <v>0</v>
          </cell>
          <cell r="F192">
            <v>0</v>
          </cell>
        </row>
        <row r="193">
          <cell r="A193" t="str">
            <v>L611</v>
          </cell>
          <cell r="B193" t="str">
            <v>지도제작기능사 또는 지도제작기능사 2급</v>
          </cell>
          <cell r="C193" t="str">
            <v>인</v>
          </cell>
          <cell r="D193">
            <v>0</v>
          </cell>
          <cell r="E193">
            <v>0</v>
          </cell>
          <cell r="F193">
            <v>0</v>
          </cell>
        </row>
        <row r="194">
          <cell r="A194" t="str">
            <v>L612</v>
          </cell>
          <cell r="B194" t="str">
            <v>사업용 조종사</v>
          </cell>
          <cell r="C194" t="str">
            <v>인</v>
          </cell>
          <cell r="D194">
            <v>0</v>
          </cell>
          <cell r="E194">
            <v>0</v>
          </cell>
          <cell r="F194">
            <v>0</v>
          </cell>
        </row>
        <row r="195">
          <cell r="A195" t="str">
            <v>L613</v>
          </cell>
          <cell r="B195" t="str">
            <v>항법사</v>
          </cell>
          <cell r="C195" t="str">
            <v>인</v>
          </cell>
          <cell r="D195">
            <v>0</v>
          </cell>
          <cell r="E195">
            <v>0</v>
          </cell>
          <cell r="F195">
            <v>0</v>
          </cell>
        </row>
        <row r="196">
          <cell r="A196" t="str">
            <v>L614</v>
          </cell>
          <cell r="B196" t="str">
            <v>항공정비사</v>
          </cell>
          <cell r="C196" t="str">
            <v>인</v>
          </cell>
          <cell r="D196">
            <v>0</v>
          </cell>
          <cell r="E196">
            <v>0</v>
          </cell>
          <cell r="F196">
            <v>0</v>
          </cell>
        </row>
        <row r="197">
          <cell r="A197" t="str">
            <v>L615</v>
          </cell>
          <cell r="B197" t="str">
            <v>항공사진촬영사</v>
          </cell>
          <cell r="C197" t="str">
            <v>인</v>
          </cell>
          <cell r="D197">
            <v>0</v>
          </cell>
          <cell r="E197">
            <v>0</v>
          </cell>
          <cell r="F197">
            <v>0</v>
          </cell>
        </row>
        <row r="198">
          <cell r="A198" t="str">
            <v>L512</v>
          </cell>
          <cell r="B198" t="str">
            <v>상급원자력기술자</v>
          </cell>
          <cell r="C198" t="str">
            <v>인</v>
          </cell>
          <cell r="D198">
            <v>109491</v>
          </cell>
          <cell r="E198">
            <v>116994</v>
          </cell>
          <cell r="F198">
            <v>114125</v>
          </cell>
        </row>
        <row r="199">
          <cell r="A199" t="str">
            <v>L513</v>
          </cell>
          <cell r="B199" t="str">
            <v>원자력품질관리사</v>
          </cell>
          <cell r="C199" t="str">
            <v>인</v>
          </cell>
          <cell r="D199">
            <v>104799</v>
          </cell>
          <cell r="E199">
            <v>103736</v>
          </cell>
          <cell r="F199">
            <v>105586</v>
          </cell>
        </row>
        <row r="200">
          <cell r="A200" t="str">
            <v>L514</v>
          </cell>
          <cell r="B200" t="str">
            <v>원자력 특별인부</v>
          </cell>
          <cell r="C200" t="str">
            <v>인</v>
          </cell>
          <cell r="D200">
            <v>58187</v>
          </cell>
          <cell r="E200">
            <v>68094</v>
          </cell>
          <cell r="F200">
            <v>64294</v>
          </cell>
        </row>
        <row r="201">
          <cell r="A201" t="str">
            <v>L515</v>
          </cell>
          <cell r="B201" t="str">
            <v>원자력 보온공</v>
          </cell>
          <cell r="C201" t="str">
            <v>인</v>
          </cell>
          <cell r="D201">
            <v>65826</v>
          </cell>
          <cell r="E201">
            <v>83402</v>
          </cell>
          <cell r="F201">
            <v>89519</v>
          </cell>
        </row>
        <row r="202">
          <cell r="A202" t="str">
            <v>L516</v>
          </cell>
          <cell r="B202" t="str">
            <v>원자력 플랜트전공</v>
          </cell>
          <cell r="C202" t="str">
            <v>인</v>
          </cell>
          <cell r="D202">
            <v>84229</v>
          </cell>
          <cell r="E202">
            <v>93332</v>
          </cell>
          <cell r="F202">
            <v>98008</v>
          </cell>
        </row>
        <row r="203">
          <cell r="A203" t="str">
            <v>L170</v>
          </cell>
          <cell r="B203" t="str">
            <v>견 출 공</v>
          </cell>
          <cell r="C203" t="str">
            <v>인</v>
          </cell>
          <cell r="D203">
            <v>59133</v>
          </cell>
          <cell r="E203">
            <v>60023</v>
          </cell>
          <cell r="F203">
            <v>68717</v>
          </cell>
        </row>
        <row r="204">
          <cell r="A204" t="str">
            <v>L171</v>
          </cell>
          <cell r="B204" t="str">
            <v>노 즐 공</v>
          </cell>
          <cell r="C204" t="str">
            <v>인</v>
          </cell>
          <cell r="D204">
            <v>63577</v>
          </cell>
          <cell r="E204">
            <v>57373</v>
          </cell>
          <cell r="F204">
            <v>67815</v>
          </cell>
        </row>
        <row r="205">
          <cell r="A205" t="str">
            <v>L172</v>
          </cell>
          <cell r="B205" t="str">
            <v>코 킹 공</v>
          </cell>
          <cell r="C205" t="str">
            <v>인</v>
          </cell>
          <cell r="D205">
            <v>57954</v>
          </cell>
          <cell r="E205">
            <v>66077</v>
          </cell>
          <cell r="F205">
            <v>63600</v>
          </cell>
        </row>
        <row r="206">
          <cell r="A206" t="str">
            <v>L173</v>
          </cell>
          <cell r="B206" t="str">
            <v>판넬조립공</v>
          </cell>
          <cell r="C206" t="str">
            <v>인</v>
          </cell>
          <cell r="D206">
            <v>55888</v>
          </cell>
          <cell r="E206">
            <v>58782</v>
          </cell>
          <cell r="F206">
            <v>67380</v>
          </cell>
        </row>
        <row r="207">
          <cell r="A207" t="str">
            <v>L181</v>
          </cell>
          <cell r="B207" t="str">
            <v>콘크리트공(광의)</v>
          </cell>
          <cell r="C207" t="str">
            <v>인</v>
          </cell>
          <cell r="D207">
            <v>0</v>
          </cell>
          <cell r="E207">
            <v>0</v>
          </cell>
          <cell r="F207">
            <v>71078</v>
          </cell>
        </row>
        <row r="208">
          <cell r="A208" t="str">
            <v>L182</v>
          </cell>
          <cell r="B208" t="str">
            <v>지붕잇기공</v>
          </cell>
          <cell r="C208" t="str">
            <v>인</v>
          </cell>
          <cell r="D208">
            <v>68363</v>
          </cell>
          <cell r="E208">
            <v>64891</v>
          </cell>
          <cell r="F208">
            <v>69497</v>
          </cell>
        </row>
        <row r="209">
          <cell r="A209" t="str">
            <v>L801</v>
          </cell>
          <cell r="B209" t="str">
            <v>특급감리원</v>
          </cell>
          <cell r="C209" t="str">
            <v>인</v>
          </cell>
          <cell r="D209">
            <v>155637</v>
          </cell>
          <cell r="E209">
            <v>0</v>
          </cell>
          <cell r="F209">
            <v>0</v>
          </cell>
        </row>
        <row r="210">
          <cell r="A210" t="str">
            <v>L802</v>
          </cell>
          <cell r="B210" t="str">
            <v>고급감리원</v>
          </cell>
          <cell r="C210" t="str">
            <v>인</v>
          </cell>
          <cell r="D210">
            <v>124025</v>
          </cell>
          <cell r="E210">
            <v>0</v>
          </cell>
          <cell r="F210">
            <v>0</v>
          </cell>
        </row>
        <row r="211">
          <cell r="A211" t="str">
            <v>L803</v>
          </cell>
          <cell r="B211" t="str">
            <v>중급감리원</v>
          </cell>
          <cell r="C211" t="str">
            <v>인</v>
          </cell>
          <cell r="D211">
            <v>103036</v>
          </cell>
          <cell r="E211">
            <v>0</v>
          </cell>
          <cell r="F211">
            <v>0</v>
          </cell>
        </row>
        <row r="212">
          <cell r="A212" t="str">
            <v>L804</v>
          </cell>
          <cell r="B212" t="str">
            <v>초급감리원</v>
          </cell>
          <cell r="C212" t="str">
            <v>인</v>
          </cell>
          <cell r="D212">
            <v>83228</v>
          </cell>
          <cell r="E212">
            <v>0</v>
          </cell>
          <cell r="F212">
            <v>0</v>
          </cell>
        </row>
        <row r="213">
          <cell r="A213" t="str">
            <v>L901</v>
          </cell>
          <cell r="B213" t="str">
            <v>전기공사기사1급</v>
          </cell>
          <cell r="C213" t="str">
            <v>인</v>
          </cell>
          <cell r="D213">
            <v>63956</v>
          </cell>
          <cell r="E213">
            <v>0</v>
          </cell>
          <cell r="F213">
            <v>64241</v>
          </cell>
        </row>
        <row r="214">
          <cell r="A214" t="str">
            <v>L902</v>
          </cell>
          <cell r="B214" t="str">
            <v>전기공사기사2급</v>
          </cell>
          <cell r="C214" t="str">
            <v>인</v>
          </cell>
          <cell r="D214">
            <v>56130</v>
          </cell>
          <cell r="E214">
            <v>0</v>
          </cell>
          <cell r="F214">
            <v>55069</v>
          </cell>
        </row>
        <row r="215">
          <cell r="A215" t="str">
            <v>L903</v>
          </cell>
          <cell r="B215" t="str">
            <v>변전전공</v>
          </cell>
          <cell r="C215" t="str">
            <v>인</v>
          </cell>
          <cell r="D215">
            <v>85699</v>
          </cell>
          <cell r="E215">
            <v>0</v>
          </cell>
          <cell r="F21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1"/>
      <sheetName val="정부노임단가"/>
      <sheetName val="Sheet1 (2)"/>
      <sheetName val="6PILE  (돌출)"/>
      <sheetName val="사업본부별"/>
      <sheetName val="9월(일별)"/>
      <sheetName val="9월(현장별)"/>
      <sheetName val="10월(일별)"/>
      <sheetName val="10월(현장별)"/>
      <sheetName val="11월(일별) "/>
      <sheetName val="11월(현장별)"/>
      <sheetName val="11월(어음결재)"/>
      <sheetName val="12월(일별) "/>
      <sheetName val="12월(현장별)"/>
      <sheetName val="12월(어음결재)"/>
      <sheetName val="shn"/>
      <sheetName val="상환스케쥴"/>
      <sheetName val="상환총괄"/>
      <sheetName val="양도자산부채"/>
      <sheetName val="지원사항1"/>
      <sheetName val="지원사항 2"/>
      <sheetName val="지원사항3"/>
      <sheetName val="연도별수주계획"/>
      <sheetName val="동종업계"/>
      <sheetName val="#REF"/>
      <sheetName val="7.6.3.BOQ"/>
      <sheetName val="7.6.3(A) AG Piping"/>
      <sheetName val="7.6.3(B) UG Piping"/>
      <sheetName val="7.6.3(C) INSUL"/>
      <sheetName val="7.6.3(D) PAINT"/>
      <sheetName val="7.6.3(E) NDE"/>
      <sheetName val="7.6.3(F) Sup't"/>
      <sheetName val="7.6.3(G) CHEMICAL CL"/>
      <sheetName val="7.6.3(H) Steam"/>
      <sheetName val="List"/>
      <sheetName val="Field Change Notice"/>
      <sheetName val="waiver request"/>
      <sheetName val="ENWA(OUT)"/>
      <sheetName val="from KNPC"/>
      <sheetName val="HDEC Site Memo"/>
      <sheetName val="KNPC Site Memo"/>
      <sheetName val="from HDEC"/>
      <sheetName val="DCN Status "/>
      <sheetName val="FCN Status"/>
      <sheetName val="packing cover"/>
      <sheetName val="packing list"/>
      <sheetName val="Invoice cover"/>
      <sheetName val="invoice"/>
      <sheetName val="Content"/>
      <sheetName val="7.5.1(A) Data"/>
      <sheetName val="7.5.1(B) BOQ Breakdown"/>
      <sheetName val="7.5.1(C) Scope"/>
      <sheetName val="7.5.1(D) Basis"/>
      <sheetName val="7.5.1(E) Allowance"/>
      <sheetName val="7.5.2 BOQ Summary"/>
      <sheetName val="7.5.3 BOQ"/>
      <sheetName val="A. Erec_BOQ(Shop)"/>
      <sheetName val="B. Erec_BOQ(Field)"/>
      <sheetName val="C. Surface_Protection"/>
      <sheetName val="A. Erec_BOQ(Shop) (2)"/>
      <sheetName val="B. Erec_BOQ(Field) (2)"/>
      <sheetName val="C. Surf_Protection"/>
      <sheetName val="Attachment #1"/>
      <sheetName val="Attachment #2"/>
      <sheetName val="301"/>
      <sheetName val="302 C1"/>
      <sheetName val="302 C2"/>
      <sheetName val="302"/>
      <sheetName val="SUPPLY (2)"/>
      <sheetName val="RETURN (2)"/>
      <sheetName val="SUPPLY"/>
      <sheetName val="RETURN"/>
      <sheetName val="303"/>
      <sheetName val="303 (2)"/>
      <sheetName val="304"/>
      <sheetName val="305"/>
      <sheetName val="306"/>
      <sheetName val="307"/>
      <sheetName val="308"/>
      <sheetName val="308 (2)"/>
      <sheetName val="309"/>
      <sheetName val="309 (2)"/>
      <sheetName val="Sheet2"/>
      <sheetName val="작성요약"/>
      <sheetName val="표지"/>
      <sheetName val="목차"/>
      <sheetName val="1.사업개요"/>
      <sheetName val="2.총괄표"/>
      <sheetName val="3.설계총괄(확정)"/>
      <sheetName val="3.전문외주(확정)"/>
      <sheetName val="3.설계총괄(정산)"/>
      <sheetName val="3.전문외주(정산)"/>
      <sheetName val="전문외주비 (Third Party)"/>
      <sheetName val="4.인력(확정)"/>
      <sheetName val="4.인력(조정)"/>
      <sheetName val="4.인력(정산)"/>
      <sheetName val="5.경비내역(확정)"/>
      <sheetName val="운영계획"/>
      <sheetName val="SOFTWARE"/>
      <sheetName val="5.현장경비(확정)"/>
      <sheetName val="5.경비내역(정산)"/>
      <sheetName val="5.현장경비(정산)"/>
      <sheetName val="7.자금수지"/>
      <sheetName val="(참고)제수당현황"/>
      <sheetName val="MH합계"/>
      <sheetName val="6.프로젝트"/>
      <sheetName val="6.PCM"/>
      <sheetName val="6.프로세스"/>
      <sheetName val="6.프로세스-1"/>
      <sheetName val="6.안전"/>
      <sheetName val="6.MR"/>
      <sheetName val="6.MS"/>
      <sheetName val="6.MT"/>
      <sheetName val="6.MM"/>
      <sheetName val="6.MY"/>
      <sheetName val="6.MH"/>
      <sheetName val="6.배관"/>
      <sheetName val="6.전기"/>
      <sheetName val="6.계장"/>
      <sheetName val="6.토목"/>
      <sheetName val="6.건축"/>
      <sheetName val="실행MH비교"/>
      <sheetName val="입찰MH비교"/>
      <sheetName val="규모비교"/>
      <sheetName val="예산서"/>
      <sheetName val="ABUT수량-A1"/>
      <sheetName val="견적"/>
      <sheetName val="내역서"/>
      <sheetName val="total-mse제외"/>
      <sheetName val="P-PM"/>
      <sheetName val="P-품질"/>
      <sheetName val="P-토목"/>
      <sheetName val="P-건축"/>
      <sheetName val="P-기계"/>
      <sheetName val="P-원자력"/>
      <sheetName val="P-배관"/>
      <sheetName val="P-전기"/>
      <sheetName val="P-계장"/>
      <sheetName val="P-인허가"/>
      <sheetName val="P-공통"/>
      <sheetName val="P-SGN"/>
      <sheetName val="P-MSE"/>
      <sheetName val="details"/>
      <sheetName val="WK16"/>
      <sheetName val="Bend_fact "/>
      <sheetName val="95년12월말"/>
      <sheetName val="현금"/>
      <sheetName val="D-3"/>
      <sheetName val="다이꾸"/>
      <sheetName val="노임"/>
      <sheetName val="BID"/>
      <sheetName val="#REF!"/>
      <sheetName val="공사비 내역 (가)"/>
      <sheetName val="견적 집계"/>
      <sheetName val="BOQ"/>
      <sheetName val="h-013211-2"/>
      <sheetName val="공사비PK5월"/>
      <sheetName val="F-302"/>
      <sheetName val="CALCULATION"/>
      <sheetName val="산근"/>
      <sheetName val="설치공사"/>
      <sheetName val="일위대가목차"/>
      <sheetName val="전차선로 물량표"/>
      <sheetName val="한강운반비"/>
      <sheetName val="현장관리비"/>
      <sheetName val="도급양식"/>
      <sheetName val="예산"/>
      <sheetName val="실행내역"/>
      <sheetName val="하조서"/>
      <sheetName val="전기내역서(총계)"/>
      <sheetName val="공통(20-91)"/>
      <sheetName val="조도계산서 (도서)"/>
      <sheetName val="화재 탐지 설비"/>
      <sheetName val="DOC"/>
      <sheetName val="회사99"/>
      <sheetName val="수안보-MBR1"/>
      <sheetName val="상반기손익차2총괄"/>
      <sheetName val="PROCESS"/>
      <sheetName val="Sheet1"/>
      <sheetName val="현황CODE"/>
      <sheetName val="손익현황"/>
      <sheetName val="노무비"/>
      <sheetName val="COVER"/>
      <sheetName val="summary"/>
      <sheetName val="Sum-Equipment"/>
      <sheetName val="Sum-Piping"/>
      <sheetName val="1-1"/>
      <sheetName val="1-2"/>
      <sheetName val="1-3"/>
      <sheetName val="2-1"/>
      <sheetName val="2-2"/>
      <sheetName val="2-3"/>
      <sheetName val="Dir-Manpower"/>
      <sheetName val="Indir-Manpower"/>
      <sheetName val="Equip-Sch"/>
      <sheetName val="Elec. Power"/>
      <sheetName val="工완성공사율"/>
      <sheetName val="사급자재"/>
      <sheetName val="부대공내역서적용수량"/>
      <sheetName val="부대공(집계)"/>
      <sheetName val="낙석방지책"/>
      <sheetName val="난간"/>
      <sheetName val="교통안내표지판"/>
      <sheetName val="교통표지판기초"/>
      <sheetName val="교통표지판기초단위"/>
      <sheetName val="조경공사"/>
      <sheetName val="SKETCH"/>
      <sheetName val="LOADS"/>
      <sheetName val="단가비교표"/>
      <sheetName val="IN"/>
      <sheetName val="97 사업추정(WEKI)"/>
      <sheetName val="직원동원SCH"/>
      <sheetName val="Total"/>
      <sheetName val="간접비총괄 (2)"/>
      <sheetName val="개비온집계"/>
      <sheetName val="개비온 단위"/>
      <sheetName val="동결보온"/>
      <sheetName val="Base_Data"/>
      <sheetName val="과천MAIN"/>
      <sheetName val="JUCK"/>
      <sheetName val="(10.bis OGB_hours ratio)"/>
      <sheetName val="OD5000"/>
      <sheetName val="동원(3)"/>
      <sheetName val="예정(3)"/>
      <sheetName val="품셈집계"/>
      <sheetName val="기준액"/>
      <sheetName val="10한빛"/>
      <sheetName val="설계흐름도"/>
      <sheetName val="실행자재"/>
      <sheetName val="Sheet5"/>
      <sheetName val="법인6-2(11)호(을)"/>
      <sheetName val="당좌차월"/>
      <sheetName val="4002"/>
      <sheetName val="FORMULA"/>
      <sheetName val="자압1"/>
      <sheetName val="필리핀"/>
      <sheetName val="Euro-conversion"/>
      <sheetName val="out_prog"/>
      <sheetName val="선적schedule (2)"/>
      <sheetName val="釤.전기"/>
      <sheetName val="TOEC"/>
      <sheetName val="실행철강하도"/>
      <sheetName val="Piping Cost"/>
      <sheetName val="PipWT"/>
      <sheetName val="DCS"/>
      <sheetName val="ANALYSER"/>
      <sheetName val="설비"/>
      <sheetName val="2008년"/>
      <sheetName val="FWBS7000,8000"/>
      <sheetName val="CABLE"/>
      <sheetName val="일보"/>
      <sheetName val="청산공사"/>
      <sheetName val="CW Piping Work"/>
      <sheetName val="Hoja3"/>
      <sheetName val="Hoja2"/>
      <sheetName val="종배수관"/>
      <sheetName val="Basis"/>
      <sheetName val="인원계획"/>
      <sheetName val="piping"/>
      <sheetName val="Mtl Summary"/>
      <sheetName val="철수현황"/>
      <sheetName val="T6-6(2)"/>
      <sheetName val="본부고정이하현황(월말)"/>
      <sheetName val="정리별분류"/>
      <sheetName val="증감내역"/>
      <sheetName val="FX Exposure_Nov00"/>
      <sheetName val="USdebt"/>
      <sheetName val="debtmonth"/>
      <sheetName val="purchasing"/>
      <sheetName val="Exposure0007"/>
      <sheetName val="FX Exposure0011_BOD"/>
      <sheetName val="FX Exposure_Apr2001"/>
      <sheetName val="부표목록"/>
      <sheetName val="추정PL"/>
      <sheetName val="매출액(내수)"/>
      <sheetName val="시장현황"/>
      <sheetName val="매출원가"/>
      <sheetName val="원재료비(내수)"/>
      <sheetName val="과거매출액대비구성비"/>
      <sheetName val="판관비"/>
      <sheetName val="인건비"/>
      <sheetName val="영업외"/>
      <sheetName val="지급이자"/>
      <sheetName val="감가상각"/>
      <sheetName val="유보금"/>
      <sheetName val="제세산출"/>
      <sheetName val="운전자금"/>
      <sheetName val="1회전자금(참고)"/>
      <sheetName val="1회전기간(참고)"/>
      <sheetName val="현금수지예상표"/>
      <sheetName val="영업후조성자금"/>
      <sheetName val="118.세금과공과"/>
      <sheetName val="eq_data"/>
      <sheetName val="Steam-Sys"/>
      <sheetName val="BQ List"/>
      <sheetName val="교각계산"/>
      <sheetName val="가도공"/>
      <sheetName val="PumpSpec"/>
      <sheetName val="TABLE2-2 OSBL-(SITE PREP)"/>
      <sheetName val="Spread_sht"/>
      <sheetName val="Tipo Terzi"/>
      <sheetName val="Salary"/>
      <sheetName val="ITstk"/>
      <sheetName val="주사무실종합"/>
      <sheetName val="영업2"/>
      <sheetName val="영업3"/>
      <sheetName val="Testing"/>
      <sheetName val="11월(일별)_"/>
      <sheetName val="12월(일별)_"/>
      <sheetName val="지원사항_2"/>
      <sheetName val="7_6_3_BOQ"/>
      <sheetName val="7_6_3(A)_AG_Piping"/>
      <sheetName val="7_6_3(B)_UG_Piping"/>
      <sheetName val="7_6_3(C)_INSUL"/>
      <sheetName val="7_6_3(D)_PAINT"/>
      <sheetName val="7_6_3(E)_NDE"/>
      <sheetName val="7_6_3(F)_Sup't"/>
      <sheetName val="7_6_3(G)_CHEMICAL_CL"/>
      <sheetName val="7_6_3(H)_Steam"/>
      <sheetName val="Field_Change_Notice"/>
      <sheetName val="waiver_request"/>
      <sheetName val="from_KNPC"/>
      <sheetName val="HDEC_Site_Memo"/>
      <sheetName val="KNPC_Site_Memo"/>
      <sheetName val="from_HDEC"/>
      <sheetName val="packing_cover"/>
      <sheetName val="packing_list"/>
      <sheetName val="Invoice_cover"/>
      <sheetName val="DCN_Status_"/>
      <sheetName val="FCN_Status"/>
      <sheetName val="7_5_1(A)_Data"/>
      <sheetName val="7_5_1(B)_BOQ_Breakdown"/>
      <sheetName val="7_5_1(C)_Scope"/>
      <sheetName val="7_5_1(D)_Basis"/>
      <sheetName val="7_5_1(E)_Allowance"/>
      <sheetName val="7_5_2_BOQ_Summary"/>
      <sheetName val="7_5_3_BOQ"/>
      <sheetName val="A__Erec_BOQ(Shop)"/>
      <sheetName val="B__Erec_BOQ(Field)"/>
      <sheetName val="C__Surface_Protection"/>
      <sheetName val="A__Erec_BOQ(Shop)_(2)"/>
      <sheetName val="B__Erec_BOQ(Field)_(2)"/>
      <sheetName val="C__Surf_Protection"/>
      <sheetName val="Attachment_#1"/>
      <sheetName val="Attachment_#2"/>
      <sheetName val="302_C1"/>
      <sheetName val="302_C2"/>
      <sheetName val="SUPPLY_(2)"/>
      <sheetName val="RETURN_(2)"/>
      <sheetName val="303_(2)"/>
      <sheetName val="308_(2)"/>
      <sheetName val="309_(2)"/>
      <sheetName val="1_사업개요"/>
      <sheetName val="2_총괄표"/>
      <sheetName val="3_설계총괄(확정)"/>
      <sheetName val="3_전문외주(확정)"/>
      <sheetName val="3_설계총괄(정산)"/>
      <sheetName val="3_전문외주(정산)"/>
      <sheetName val="전문외주비_(Third_Party)"/>
      <sheetName val="4_인력(확정)"/>
      <sheetName val="4_인력(조정)"/>
      <sheetName val="4_인력(정산)"/>
      <sheetName val="5_경비내역(확정)"/>
      <sheetName val="5_현장경비(확정)"/>
      <sheetName val="5_경비내역(정산)"/>
      <sheetName val="5_현장경비(정산)"/>
      <sheetName val="7_자금수지"/>
      <sheetName val="6_프로젝트"/>
      <sheetName val="6_PCM"/>
      <sheetName val="6_프로세스"/>
      <sheetName val="6_프로세스-1"/>
      <sheetName val="6_안전"/>
      <sheetName val="6_MR"/>
      <sheetName val="6_MS"/>
      <sheetName val="6_MT"/>
      <sheetName val="6_MM"/>
      <sheetName val="6_MY"/>
      <sheetName val="6_MH"/>
      <sheetName val="6_배관"/>
      <sheetName val="6_전기"/>
      <sheetName val="6_계장"/>
      <sheetName val="6_토목"/>
      <sheetName val="6_건축"/>
      <sheetName val="Bend_fact_"/>
      <sheetName val="공사비_내역_(가)"/>
      <sheetName val="견적_집계"/>
      <sheetName val="전차선로_물량표"/>
      <sheetName val="조도계산서_(도서)"/>
      <sheetName val="화재_탐지_설비"/>
      <sheetName val="Elec__Power"/>
      <sheetName val="97_사업추정(WEKI)"/>
      <sheetName val="간접비총괄_(2)"/>
      <sheetName val="개비온_단위"/>
      <sheetName val="(10_bis_OGB_hours_ratio)"/>
      <sheetName val="Sheet1_(2)"/>
      <sheetName val="6PILE__(돌출)"/>
      <sheetName val="선적schedule_(2)"/>
      <sheetName val="釤_전기"/>
      <sheetName val="Piping_Cost"/>
      <sheetName val="CW_Piping_Work"/>
      <sheetName val="MOB-MAN1"/>
      <sheetName val="07"/>
      <sheetName val="07월"/>
      <sheetName val="07월분"/>
      <sheetName val="5월 회원사 배분 명세서(2)"/>
      <sheetName val="어음청구서"/>
      <sheetName val="예비비청구서"/>
      <sheetName val="배수내역 (2)"/>
      <sheetName val="DATA"/>
      <sheetName val="P.M 별"/>
      <sheetName val="소화실적"/>
      <sheetName val="Income Statement"/>
      <sheetName val="借積IQ"/>
      <sheetName val="frmm HDEC"/>
      <sheetName val="개시전표"/>
      <sheetName val="공사집계"/>
      <sheetName val="BQ(Piping)"/>
      <sheetName val="new급여T(4을-운전)"/>
      <sheetName val="DPRKMHDT"/>
      <sheetName val="ITEM"/>
      <sheetName val="BM DATA SHEET"/>
      <sheetName val="Graph (LGEN)"/>
      <sheetName val="Civil"/>
      <sheetName val="터널조도"/>
      <sheetName val="기둥(원형)"/>
      <sheetName val="200712(법인)"/>
      <sheetName val="200712(해외현지법인계)"/>
      <sheetName val="Sohar담수Target"/>
      <sheetName val="자압"/>
      <sheetName val="COPING"/>
      <sheetName val="General Data"/>
      <sheetName val="panel board installation"/>
      <sheetName val="FORM-3"/>
      <sheetName val="Rekap A"/>
      <sheetName val="LOPCALC"/>
      <sheetName val="MOTOR"/>
      <sheetName val="Default_Magics"/>
      <sheetName val="Code_Magics"/>
      <sheetName val="NOMUBI"/>
      <sheetName val="Sheet3"/>
      <sheetName val="ELECTRICAL"/>
      <sheetName val="전체내역 (2)"/>
      <sheetName val="지급자재"/>
      <sheetName val="갑지"/>
      <sheetName val="El(Increased)"/>
      <sheetName val="간접비내역-1"/>
      <sheetName val="cement"/>
      <sheetName val="Units"/>
      <sheetName val="Instructions"/>
      <sheetName val="FORM_3"/>
      <sheetName val="15 문제점"/>
      <sheetName val="자문요청"/>
      <sheetName val="»ç¾÷º»ºÎº°"/>
      <sheetName val="9¿ù(ÀÏº°)"/>
      <sheetName val="9¿ù(ÇöÀåº°)"/>
      <sheetName val="10¿ù(ÀÏº°)"/>
      <sheetName val="10¿ù(ÇöÀåº°)"/>
      <sheetName val="11¿ù(ÀÏº°) "/>
      <sheetName val="11¿ù(ÇöÀåº°)"/>
      <sheetName val="11¿ù(¾îÀ½°áÀç)"/>
      <sheetName val="12¿ù(ÀÏº°) "/>
      <sheetName val="12¿ù(ÇöÀåº°)"/>
      <sheetName val="12¿ù(¾îÀ½°áÀç)"/>
      <sheetName val="»óÈ¯½ºÄÉÁì"/>
      <sheetName val="»óÈ¯ÃÑ°ý"/>
      <sheetName val="¾çµµÀÚ»êºÎÃ¤"/>
      <sheetName val="Áö¿ø»çÇ×1"/>
      <sheetName val="Áö¿ø»çÇ× 2"/>
      <sheetName val="Áö¿ø»çÇ×3"/>
      <sheetName val="¿¬µµº°¼öÁÖ°èÈ¹"/>
      <sheetName val="µ¿Á¾¾÷°è"/>
      <sheetName val="ÀÛ¼º¿ä¾à"/>
      <sheetName val="Ç¥Áö"/>
      <sheetName val="¸ñÂ÷"/>
      <sheetName val="1.»ç¾÷°³¿ä"/>
      <sheetName val="2.ÃÑ°ýÇ¥"/>
      <sheetName val="3.¼³°èÃÑ°ý(È®Á¤)"/>
      <sheetName val="3.Àü¹®¿ÜÁÖ(È®Á¤)"/>
      <sheetName val="3.¼³°èÃÑ°ý(Á¤»ê)"/>
      <sheetName val="3.Àü¹®¿ÜÁÖ(Á¤»ê)"/>
      <sheetName val="Àü¹®¿ÜÁÖºñ (Third Party)"/>
      <sheetName val="4.ÀÎ·Â(È®Á¤)"/>
      <sheetName val="4.ÀÎ·Â(Á¶Á¤)"/>
      <sheetName val="4.ÀÎ·Â(Á¤»ê)"/>
      <sheetName val="5.°æºñ³»¿ª(È®Á¤)"/>
      <sheetName val="¿î¿µ°èÈ¹"/>
      <sheetName val="5.ÇöÀå°æºñ(È®Á¤)"/>
      <sheetName val="5.°æºñ³»¿ª(Á¤»ê)"/>
      <sheetName val="5.ÇöÀå°æºñ(Á¤»ê)"/>
      <sheetName val="7.ÀÚ±Ý¼öÁö"/>
      <sheetName val="(Âü°í)Á¦¼ö´çÇöÈ²"/>
      <sheetName val="MHÇÕ°è"/>
      <sheetName val="6.ÇÁ·ÎÁ§Æ®"/>
      <sheetName val="6.ÇÁ·Î¼¼½º"/>
      <sheetName val="6.ÇÁ·Î¼¼½º-1"/>
      <sheetName val="6.¾ÈÀü"/>
      <sheetName val="6.¹è°ü"/>
      <sheetName val="6.Àü±â"/>
      <sheetName val="6.°èÀå"/>
      <sheetName val="6.Åä¸ñ"/>
      <sheetName val="6.°ÇÃà"/>
      <sheetName val="½ÇÇàMHºñ±³"/>
      <sheetName val="ÀÔÂûMHºñ±³"/>
      <sheetName val="±Ô¸ðºñ±³"/>
      <sheetName val="Á¤ºÎ³ëÀÓ´Ü°¡"/>
      <sheetName val="¿¹»ê¼­"/>
      <sheetName val="ABUT¼ö·®-A1"/>
      <sheetName val="°ßÀû"/>
      <sheetName val="³»¿ª¼­"/>
      <sheetName val="°ßÀû Áý°è"/>
      <sheetName val="total-mseÁ¦¿Ü"/>
      <sheetName val="P-Ç°Áú"/>
      <sheetName val="P-Åä¸ñ"/>
      <sheetName val="P-°ÇÃà"/>
      <sheetName val="P-±â°è"/>
      <sheetName val="P-¿øÀÚ·Â"/>
      <sheetName val="P-¹è°ü"/>
      <sheetName val="P-Àü±â"/>
      <sheetName val="P-°èÀå"/>
      <sheetName val="P-ÀÎÇã°¡"/>
      <sheetName val="P-°øÅë"/>
      <sheetName val="´ÙÀÌ²Ù"/>
      <sheetName val="95³â12¿ù¸»"/>
      <sheetName val="Çö±Ý"/>
      <sheetName val="³ëÀÓ"/>
      <sheetName val="¼ö¾Èº¸-MBR1"/>
      <sheetName val="´Ü°¡ºñ±³Ç¥"/>
      <sheetName val="È¸»ç99"/>
      <sheetName val="°ø»çºñ ³»¿ª (°¡)"/>
      <sheetName val="ÇöÈ²CODE"/>
      <sheetName val="¼ÕÀÍÇöÈ²"/>
      <sheetName val="°ø»çºñPK5¿ù"/>
      <sheetName val="»ê±Ù"/>
      <sheetName val="»ó¹Ý±â¼ÕÀÍÂ÷2ÃÑ°ý"/>
      <sheetName val="¼³Ä¡°ø»ç"/>
      <sheetName val="ÀÏÀ§´ë°¡¸ñÂ÷"/>
      <sheetName val="ÀüÂ÷¼±·Î ¹°·®Ç¥"/>
      <sheetName val="ÇÑ°­¿î¹Ýºñ"/>
      <sheetName val="ÇöÀå°ü¸®ºñ"/>
      <sheetName val="µµ±Þ¾ç½Ä"/>
      <sheetName val="¿¹»ê"/>
      <sheetName val="½ÇÇà³»¿ª"/>
      <sheetName val="ÇÏÁ¶¼­"/>
      <sheetName val="Àü±â³»¿ª¼­(ÃÑ°è)"/>
      <sheetName val="°øÅë(20-91)"/>
      <sheetName val="Á¶µµ°è»ê¼­ (µµ¼­)"/>
      <sheetName val="È­Àç Å½Áö ¼³ºñ"/>
      <sheetName val="³ë¹«ºñ"/>
      <sheetName val="Íï¿Ï¼º°ø»çÀ²"/>
      <sheetName val="»ç±ÞÀÚÀç"/>
      <sheetName val="ºÎ´ë°ø³»¿ª¼­Àû¿ë¼ö·®"/>
      <sheetName val="ºÎ´ë°ø(Áý°è)"/>
      <sheetName val="³«¼®¹æÁöÃ¥"/>
      <sheetName val="³­°£"/>
      <sheetName val="±³Åë¾È³»Ç¥ÁöÆÇ"/>
      <sheetName val="±³ÅëÇ¥ÁöÆÇ±âÃÊ"/>
      <sheetName val="±³ÅëÇ¥ÁöÆÇ±âÃÊ´ÜÀ§"/>
      <sheetName val="Á¶°æ°ø»ç"/>
      <sheetName val="°úÃµMAIN"/>
      <sheetName val="97 »ç¾÷ÃßÁ¤(WEKI)"/>
      <sheetName val="Á÷¿øµ¿¿øSCH"/>
      <sheetName val="°£Á¢ºñÃÑ°ý (2)"/>
      <sheetName val="최민영집계25"/>
      <sheetName val="Piping(Methanol)"/>
      <sheetName val="건내용"/>
      <sheetName val="Instruction"/>
      <sheetName val="집계표"/>
      <sheetName val="인원동원계획"/>
      <sheetName val="123"/>
      <sheetName val="INSTR"/>
      <sheetName val="차수"/>
      <sheetName val="comm"/>
      <sheetName val="영동"/>
      <sheetName val="경비"/>
      <sheetName val="SE-611"/>
      <sheetName val="1월"/>
      <sheetName val="전신환매도율"/>
      <sheetName val="차집관로내역"/>
      <sheetName val="와동25-3(변경)"/>
      <sheetName val="부하(성남)"/>
      <sheetName val="FPU"/>
      <sheetName val="EQUIPMENT LIST"/>
      <sheetName val="C급보 "/>
      <sheetName val=" 견적서"/>
      <sheetName val="I_O Module"/>
      <sheetName val="I_O List"/>
      <sheetName val="건장설비"/>
      <sheetName val="실행비교"/>
      <sheetName val="연돌일위집계"/>
      <sheetName val="계장공사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서"/>
      <sheetName val="내역서"/>
      <sheetName val="01상노임"/>
      <sheetName val="1.설계설명서"/>
      <sheetName val="대운산출"/>
      <sheetName val="별표집계"/>
      <sheetName val="단가"/>
      <sheetName val="토목수량(공정)"/>
      <sheetName val="노무"/>
      <sheetName val="콘센트신설"/>
      <sheetName val="맨홀조서"/>
      <sheetName val="노임단가"/>
      <sheetName val="하조서"/>
      <sheetName val="설계명세서"/>
      <sheetName val="철거산출근거"/>
      <sheetName val="22수량"/>
      <sheetName val="평자재단가"/>
      <sheetName val="일위대가목록표"/>
      <sheetName val="용소리교"/>
      <sheetName val="일위대가"/>
      <sheetName val="조명시설"/>
    </sheetNames>
    <sheetDataSet>
      <sheetData sheetId="0">
        <row r="5">
          <cell r="E5">
            <v>1088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광덕세천"/>
      <sheetName val="이천석축"/>
      <sheetName val="이천농로"/>
      <sheetName val="이천암거"/>
      <sheetName val="어담2세천 (3)"/>
      <sheetName val="구호세천"/>
      <sheetName val="표지"/>
      <sheetName val="인금세천"/>
      <sheetName val="가도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데리네이타집계표"/>
      <sheetName val="곡선유도표지판수량집계표"/>
      <sheetName val="데리네이타설치현황1"/>
      <sheetName val="데리네이타설치현황2"/>
      <sheetName val="비탈면보호공수량집계표"/>
      <sheetName val="비탈면보호공수량산출"/>
      <sheetName val="비탈면보호공설치현황"/>
      <sheetName val="돌붙임수량산출"/>
      <sheetName val="수로이설현황"/>
      <sheetName val="차선도색수량집계표1"/>
      <sheetName val="차선도색수량집계표2"/>
      <sheetName val="RAMP노즈부"/>
      <sheetName val="laroux"/>
      <sheetName val="수량명세서"/>
      <sheetName val="내역서적용수량"/>
      <sheetName val="부대공자재 총"/>
      <sheetName val="표지판설치집계표"/>
      <sheetName val="표지판기초토공수량산출"/>
      <sheetName val="표지판설치현황"/>
      <sheetName val="차선도색수량집계표"/>
      <sheetName val="본선차선"/>
      <sheetName val="버스정차대"/>
      <sheetName val="주차장"/>
      <sheetName val="횡단보도"/>
      <sheetName val="평면교차"/>
      <sheetName val="노즈부"/>
      <sheetName val="가드레일수량집계표"/>
      <sheetName val="가드레일수량산출"/>
      <sheetName val="표지병집계"/>
      <sheetName val="표지병"/>
      <sheetName val="가로수분집계표"/>
      <sheetName val="가로수분"/>
      <sheetName val="방음벽수량집계표"/>
      <sheetName val="방음벽설치현황 "/>
      <sheetName val="미끄럼집계"/>
      <sheetName val="미끄럼"/>
      <sheetName val="미끄럼산출"/>
      <sheetName val="말뚝물량"/>
      <sheetName val="가도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터널총괄표"/>
      <sheetName val="개좌터널내역"/>
      <sheetName val="관급자재내역"/>
      <sheetName val="인건비"/>
      <sheetName val="비탈면보호공수량산출"/>
      <sheetName val="개좌터널통신내역서(2004.04)"/>
    </sheetNames>
    <sheetDataSet>
      <sheetData sheetId="0" refreshError="1"/>
      <sheetData sheetId="1"/>
      <sheetData sheetId="2" refreshError="1"/>
      <sheetData sheetId="3">
        <row r="3">
          <cell r="B3" t="str">
            <v>건축목공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"/>
      <sheetName val="원가"/>
      <sheetName val="내역"/>
      <sheetName val="공내역 "/>
      <sheetName val="수량"/>
      <sheetName val="일위목록"/>
      <sheetName val="일위대가"/>
      <sheetName val="단가대비"/>
      <sheetName val="단가산출"/>
      <sheetName val="할증"/>
      <sheetName val="지급"/>
      <sheetName val="노임"/>
      <sheetName val="품셈"/>
      <sheetName val="공간내역"/>
      <sheetName val="Module1"/>
      <sheetName val="표지"/>
      <sheetName val="견적기준"/>
      <sheetName val="총괄표"/>
      <sheetName val="내역서"/>
      <sheetName val="인건비"/>
      <sheetName val="비탈면보호공수량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투찰"/>
      <sheetName val="투찰판"/>
      <sheetName val="부대입찰"/>
      <sheetName val="하도내역"/>
      <sheetName val="하도"/>
      <sheetName val="VXXXX"/>
      <sheetName val="설변현황 (사업소제출전체포함)"/>
      <sheetName val="설변현황 (사업소제출보류제외최종) (2)"/>
      <sheetName val="계획 (9.29) (제출용)"/>
      <sheetName val="내역서"/>
      <sheetName val="상황판"/>
      <sheetName val="자재인력"/>
      <sheetName val="집계장"/>
      <sheetName val="인건비"/>
      <sheetName val="일위대가"/>
      <sheetName val="비탈면보호공수량산출"/>
      <sheetName val="Sheet1 (2)"/>
      <sheetName val="값"/>
      <sheetName val="변경집계2"/>
      <sheetName val="사급비"/>
      <sheetName val="저가1"/>
      <sheetName val="설비단가표"/>
      <sheetName val="백호우계수"/>
      <sheetName val="철근총괄"/>
      <sheetName val="단가"/>
      <sheetName val="직접노무비"/>
      <sheetName val="조건표"/>
      <sheetName val="총괄표"/>
      <sheetName val="결재란"/>
      <sheetName val="관리본관골조 집계"/>
      <sheetName val="관리본관 골조"/>
      <sheetName val="관리본관마감집계"/>
      <sheetName val="관리본관 마감"/>
      <sheetName val="Module1"/>
      <sheetName val="총집계"/>
      <sheetName val="건축"/>
      <sheetName val="갑지 "/>
      <sheetName val="수량1"/>
      <sheetName val="수량 2"/>
      <sheetName val="연회장"/>
      <sheetName val="오크밸리 연회장 실물량 "/>
      <sheetName val="오크밸리 연회장철근증 실물량  (3)"/>
      <sheetName val="오크밸리 연회장 실물량  (2)"/>
      <sheetName val="변경갑지"/>
      <sheetName val="내역갑지"/>
      <sheetName val="대연회장도급내역"/>
      <sheetName val="오크밸리 관리비"/>
      <sheetName val="당초실행내역"/>
      <sheetName val="실행내역변경"/>
      <sheetName val="오크밸리 변경관리비"/>
      <sheetName val="실행내역재변경"/>
      <sheetName val="대연회장최종도급내역"/>
      <sheetName val="최종도급갑지"/>
      <sheetName val="최종도급갑지 (2)"/>
      <sheetName val="시점교대"/>
      <sheetName val="다곡2교"/>
      <sheetName val="날개벽수량표"/>
      <sheetName val="명세서"/>
      <sheetName val="일위(통합 기존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종단가"/>
      <sheetName val="부표,총괄"/>
      <sheetName val="공단단가"/>
      <sheetName val="공종노임"/>
      <sheetName val="적용노임(00.1)"/>
      <sheetName val="노임단가"/>
      <sheetName val="품셈"/>
      <sheetName val="부표"/>
      <sheetName val="내역서"/>
      <sheetName val="강관별표총괄"/>
      <sheetName val="강관별표"/>
      <sheetName val="노임"/>
      <sheetName val="강관품셈"/>
      <sheetName val="강관품셈총괄"/>
      <sheetName val="파일설계서"/>
      <sheetName val="강관부표"/>
      <sheetName val="강수량총괄"/>
      <sheetName val="수량산출서"/>
      <sheetName val="예산서"/>
      <sheetName val="수량총괄표"/>
      <sheetName val="규격표"/>
      <sheetName val="철근콘크"/>
      <sheetName val="거푸집"/>
      <sheetName val="터파기"/>
      <sheetName val="되메우기"/>
      <sheetName val="부지복구"/>
      <sheetName val="운반거리"/>
      <sheetName val="농지정리"/>
      <sheetName val="차량운반"/>
      <sheetName val="투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"/>
      <sheetName val="원가"/>
      <sheetName val="내역"/>
      <sheetName val="수량"/>
      <sheetName val="일위목록"/>
      <sheetName val="일위대가"/>
      <sheetName val="단가대비"/>
      <sheetName val="시설대가"/>
      <sheetName val="단가산출"/>
      <sheetName val="지주산출"/>
      <sheetName val="할증"/>
      <sheetName val="지급"/>
      <sheetName val="노임"/>
      <sheetName val="품셈"/>
      <sheetName val="공간내역"/>
      <sheetName val="Module1"/>
      <sheetName val="표지"/>
      <sheetName val="견적기준"/>
      <sheetName val="총괄표"/>
      <sheetName val="내역서"/>
      <sheetName val="수량산출서"/>
      <sheetName val="투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예산내역서"/>
      <sheetName val="가로등설치공사"/>
      <sheetName val="일위대가집계"/>
      <sheetName val="일위대가"/>
      <sheetName val="단가대비표"/>
      <sheetName val="한전공사비"/>
      <sheetName val="사용전검사비"/>
      <sheetName val="설치비산출(250W)"/>
      <sheetName val="이설비산출(250W)"/>
      <sheetName val="철거비산출(250W)"/>
      <sheetName val="노임"/>
      <sheetName val="수량집계(대곡)"/>
      <sheetName val="수량산출근거"/>
      <sheetName val="조도계산서표지"/>
      <sheetName val="조도계산서"/>
      <sheetName val="조도계산서(250W)"/>
      <sheetName val="인입계산서표지"/>
      <sheetName val="인입간선규격"/>
      <sheetName val="전압강하계산표지"/>
      <sheetName val="기준"/>
      <sheetName val="전압강하계산서"/>
      <sheetName val="투찰"/>
      <sheetName val="인건비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3">
          <cell r="A3" t="str">
            <v xml:space="preserve"> 가로등주(10M)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서"/>
      <sheetName val="단가대비표"/>
      <sheetName val="일위대가"/>
    </sheetNames>
    <sheetDataSet>
      <sheetData sheetId="0">
        <row r="5">
          <cell r="E5">
            <v>1088</v>
          </cell>
        </row>
      </sheetData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당진"/>
      <sheetName val="말뚝물량"/>
      <sheetName val="수량산출서"/>
    </sheetNames>
    <sheetDataSet>
      <sheetData sheetId="0"/>
      <sheetData sheetId="1">
        <row r="10">
          <cell r="D10">
            <v>1.8</v>
          </cell>
        </row>
      </sheetData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원가계산서"/>
      <sheetName val="총괄표 "/>
      <sheetName val="공종별집계표"/>
      <sheetName val="공종별내역서"/>
      <sheetName val="일위대가목록"/>
      <sheetName val="일위대가"/>
      <sheetName val="단가대비표"/>
      <sheetName val="전문점-2 산출서 "/>
      <sheetName val="전문점-1 산출서"/>
    </sheetNames>
    <sheetDataSet>
      <sheetData sheetId="0"/>
      <sheetData sheetId="1"/>
      <sheetData sheetId="2"/>
      <sheetData sheetId="3">
        <row r="21">
          <cell r="J21">
            <v>0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N96"/>
  <sheetViews>
    <sheetView view="pageBreakPreview" zoomScale="90" zoomScaleSheetLayoutView="90" workbookViewId="0">
      <selection activeCell="A51" sqref="A51:XFD75"/>
    </sheetView>
  </sheetViews>
  <sheetFormatPr defaultRowHeight="16.5"/>
  <cols>
    <col min="1" max="13" width="9" style="20"/>
    <col min="14" max="14" width="3.125" style="20" customWidth="1"/>
    <col min="15" max="269" width="9" style="20"/>
    <col min="270" max="270" width="3.125" style="20" customWidth="1"/>
    <col min="271" max="525" width="9" style="20"/>
    <col min="526" max="526" width="3.125" style="20" customWidth="1"/>
    <col min="527" max="781" width="9" style="20"/>
    <col min="782" max="782" width="3.125" style="20" customWidth="1"/>
    <col min="783" max="1037" width="9" style="20"/>
    <col min="1038" max="1038" width="3.125" style="20" customWidth="1"/>
    <col min="1039" max="1293" width="9" style="20"/>
    <col min="1294" max="1294" width="3.125" style="20" customWidth="1"/>
    <col min="1295" max="1549" width="9" style="20"/>
    <col min="1550" max="1550" width="3.125" style="20" customWidth="1"/>
    <col min="1551" max="1805" width="9" style="20"/>
    <col min="1806" max="1806" width="3.125" style="20" customWidth="1"/>
    <col min="1807" max="2061" width="9" style="20"/>
    <col min="2062" max="2062" width="3.125" style="20" customWidth="1"/>
    <col min="2063" max="2317" width="9" style="20"/>
    <col min="2318" max="2318" width="3.125" style="20" customWidth="1"/>
    <col min="2319" max="2573" width="9" style="20"/>
    <col min="2574" max="2574" width="3.125" style="20" customWidth="1"/>
    <col min="2575" max="2829" width="9" style="20"/>
    <col min="2830" max="2830" width="3.125" style="20" customWidth="1"/>
    <col min="2831" max="3085" width="9" style="20"/>
    <col min="3086" max="3086" width="3.125" style="20" customWidth="1"/>
    <col min="3087" max="3341" width="9" style="20"/>
    <col min="3342" max="3342" width="3.125" style="20" customWidth="1"/>
    <col min="3343" max="3597" width="9" style="20"/>
    <col min="3598" max="3598" width="3.125" style="20" customWidth="1"/>
    <col min="3599" max="3853" width="9" style="20"/>
    <col min="3854" max="3854" width="3.125" style="20" customWidth="1"/>
    <col min="3855" max="4109" width="9" style="20"/>
    <col min="4110" max="4110" width="3.125" style="20" customWidth="1"/>
    <col min="4111" max="4365" width="9" style="20"/>
    <col min="4366" max="4366" width="3.125" style="20" customWidth="1"/>
    <col min="4367" max="4621" width="9" style="20"/>
    <col min="4622" max="4622" width="3.125" style="20" customWidth="1"/>
    <col min="4623" max="4877" width="9" style="20"/>
    <col min="4878" max="4878" width="3.125" style="20" customWidth="1"/>
    <col min="4879" max="5133" width="9" style="20"/>
    <col min="5134" max="5134" width="3.125" style="20" customWidth="1"/>
    <col min="5135" max="5389" width="9" style="20"/>
    <col min="5390" max="5390" width="3.125" style="20" customWidth="1"/>
    <col min="5391" max="5645" width="9" style="20"/>
    <col min="5646" max="5646" width="3.125" style="20" customWidth="1"/>
    <col min="5647" max="5901" width="9" style="20"/>
    <col min="5902" max="5902" width="3.125" style="20" customWidth="1"/>
    <col min="5903" max="6157" width="9" style="20"/>
    <col min="6158" max="6158" width="3.125" style="20" customWidth="1"/>
    <col min="6159" max="6413" width="9" style="20"/>
    <col min="6414" max="6414" width="3.125" style="20" customWidth="1"/>
    <col min="6415" max="6669" width="9" style="20"/>
    <col min="6670" max="6670" width="3.125" style="20" customWidth="1"/>
    <col min="6671" max="6925" width="9" style="20"/>
    <col min="6926" max="6926" width="3.125" style="20" customWidth="1"/>
    <col min="6927" max="7181" width="9" style="20"/>
    <col min="7182" max="7182" width="3.125" style="20" customWidth="1"/>
    <col min="7183" max="7437" width="9" style="20"/>
    <col min="7438" max="7438" width="3.125" style="20" customWidth="1"/>
    <col min="7439" max="7693" width="9" style="20"/>
    <col min="7694" max="7694" width="3.125" style="20" customWidth="1"/>
    <col min="7695" max="7949" width="9" style="20"/>
    <col min="7950" max="7950" width="3.125" style="20" customWidth="1"/>
    <col min="7951" max="8205" width="9" style="20"/>
    <col min="8206" max="8206" width="3.125" style="20" customWidth="1"/>
    <col min="8207" max="8461" width="9" style="20"/>
    <col min="8462" max="8462" width="3.125" style="20" customWidth="1"/>
    <col min="8463" max="8717" width="9" style="20"/>
    <col min="8718" max="8718" width="3.125" style="20" customWidth="1"/>
    <col min="8719" max="8973" width="9" style="20"/>
    <col min="8974" max="8974" width="3.125" style="20" customWidth="1"/>
    <col min="8975" max="9229" width="9" style="20"/>
    <col min="9230" max="9230" width="3.125" style="20" customWidth="1"/>
    <col min="9231" max="9485" width="9" style="20"/>
    <col min="9486" max="9486" width="3.125" style="20" customWidth="1"/>
    <col min="9487" max="9741" width="9" style="20"/>
    <col min="9742" max="9742" width="3.125" style="20" customWidth="1"/>
    <col min="9743" max="9997" width="9" style="20"/>
    <col min="9998" max="9998" width="3.125" style="20" customWidth="1"/>
    <col min="9999" max="10253" width="9" style="20"/>
    <col min="10254" max="10254" width="3.125" style="20" customWidth="1"/>
    <col min="10255" max="10509" width="9" style="20"/>
    <col min="10510" max="10510" width="3.125" style="20" customWidth="1"/>
    <col min="10511" max="10765" width="9" style="20"/>
    <col min="10766" max="10766" width="3.125" style="20" customWidth="1"/>
    <col min="10767" max="11021" width="9" style="20"/>
    <col min="11022" max="11022" width="3.125" style="20" customWidth="1"/>
    <col min="11023" max="11277" width="9" style="20"/>
    <col min="11278" max="11278" width="3.125" style="20" customWidth="1"/>
    <col min="11279" max="11533" width="9" style="20"/>
    <col min="11534" max="11534" width="3.125" style="20" customWidth="1"/>
    <col min="11535" max="11789" width="9" style="20"/>
    <col min="11790" max="11790" width="3.125" style="20" customWidth="1"/>
    <col min="11791" max="12045" width="9" style="20"/>
    <col min="12046" max="12046" width="3.125" style="20" customWidth="1"/>
    <col min="12047" max="12301" width="9" style="20"/>
    <col min="12302" max="12302" width="3.125" style="20" customWidth="1"/>
    <col min="12303" max="12557" width="9" style="20"/>
    <col min="12558" max="12558" width="3.125" style="20" customWidth="1"/>
    <col min="12559" max="12813" width="9" style="20"/>
    <col min="12814" max="12814" width="3.125" style="20" customWidth="1"/>
    <col min="12815" max="13069" width="9" style="20"/>
    <col min="13070" max="13070" width="3.125" style="20" customWidth="1"/>
    <col min="13071" max="13325" width="9" style="20"/>
    <col min="13326" max="13326" width="3.125" style="20" customWidth="1"/>
    <col min="13327" max="13581" width="9" style="20"/>
    <col min="13582" max="13582" width="3.125" style="20" customWidth="1"/>
    <col min="13583" max="13837" width="9" style="20"/>
    <col min="13838" max="13838" width="3.125" style="20" customWidth="1"/>
    <col min="13839" max="14093" width="9" style="20"/>
    <col min="14094" max="14094" width="3.125" style="20" customWidth="1"/>
    <col min="14095" max="14349" width="9" style="20"/>
    <col min="14350" max="14350" width="3.125" style="20" customWidth="1"/>
    <col min="14351" max="14605" width="9" style="20"/>
    <col min="14606" max="14606" width="3.125" style="20" customWidth="1"/>
    <col min="14607" max="14861" width="9" style="20"/>
    <col min="14862" max="14862" width="3.125" style="20" customWidth="1"/>
    <col min="14863" max="15117" width="9" style="20"/>
    <col min="15118" max="15118" width="3.125" style="20" customWidth="1"/>
    <col min="15119" max="15373" width="9" style="20"/>
    <col min="15374" max="15374" width="3.125" style="20" customWidth="1"/>
    <col min="15375" max="15629" width="9" style="20"/>
    <col min="15630" max="15630" width="3.125" style="20" customWidth="1"/>
    <col min="15631" max="15885" width="9" style="20"/>
    <col min="15886" max="15886" width="3.125" style="20" customWidth="1"/>
    <col min="15887" max="16141" width="9" style="20"/>
    <col min="16142" max="16142" width="3.125" style="20" customWidth="1"/>
    <col min="16143" max="16384" width="9" style="20"/>
  </cols>
  <sheetData>
    <row r="1" spans="1:14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6.5" customHeight="1">
      <c r="A3" s="21"/>
      <c r="B3" s="21"/>
      <c r="C3" s="73" t="s">
        <v>164</v>
      </c>
      <c r="D3" s="73"/>
      <c r="E3" s="73"/>
      <c r="F3" s="73"/>
      <c r="G3" s="21"/>
      <c r="H3" s="21"/>
      <c r="I3" s="21"/>
      <c r="J3" s="21"/>
      <c r="K3" s="21"/>
      <c r="L3" s="21"/>
      <c r="M3" s="21"/>
      <c r="N3" s="21"/>
    </row>
    <row r="4" spans="1:14" ht="16.5" customHeight="1">
      <c r="A4" s="21"/>
      <c r="B4" s="21"/>
      <c r="C4" s="73"/>
      <c r="D4" s="73"/>
      <c r="E4" s="73"/>
      <c r="F4" s="73"/>
      <c r="G4" s="21"/>
      <c r="H4" s="21"/>
      <c r="I4" s="21"/>
      <c r="J4" s="21"/>
      <c r="K4" s="21"/>
      <c r="L4" s="21"/>
      <c r="M4" s="21"/>
      <c r="N4" s="21"/>
    </row>
    <row r="5" spans="1:1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ht="25.5">
      <c r="A6" s="21"/>
      <c r="B6" s="22"/>
      <c r="C6" s="74" t="s">
        <v>246</v>
      </c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</row>
    <row r="7" spans="1:14" ht="25.5">
      <c r="A7" s="21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</row>
    <row r="8" spans="1:14" ht="45.75">
      <c r="A8" s="21" t="s">
        <v>165</v>
      </c>
      <c r="B8" s="75" t="s">
        <v>166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</row>
    <row r="9" spans="1:14" ht="20.25">
      <c r="A9" s="21"/>
      <c r="B9" s="21"/>
      <c r="C9" s="21"/>
      <c r="D9" s="21"/>
      <c r="E9" s="21"/>
      <c r="F9" s="21"/>
      <c r="G9" s="72"/>
      <c r="H9" s="72"/>
      <c r="I9" s="72"/>
      <c r="J9" s="72"/>
      <c r="K9" s="72"/>
      <c r="L9" s="72"/>
      <c r="M9" s="21"/>
      <c r="N9" s="21"/>
    </row>
    <row r="10" spans="1:1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 ht="18.75">
      <c r="A12" s="21"/>
      <c r="B12" s="21"/>
      <c r="C12" s="21"/>
      <c r="D12" s="21"/>
      <c r="E12" s="21"/>
      <c r="F12" s="21"/>
      <c r="G12" s="21"/>
      <c r="H12" s="24"/>
      <c r="I12" s="21"/>
      <c r="J12" s="21"/>
      <c r="K12" s="21"/>
      <c r="L12" s="21"/>
      <c r="M12" s="21"/>
      <c r="N12" s="21"/>
    </row>
    <row r="13" spans="1:14" ht="18.75">
      <c r="A13" s="21"/>
      <c r="B13" s="21"/>
      <c r="C13" s="21"/>
      <c r="D13" s="21"/>
      <c r="E13" s="21"/>
      <c r="F13" s="21"/>
      <c r="G13" s="21"/>
      <c r="H13" s="24"/>
      <c r="I13" s="21"/>
      <c r="J13" s="21"/>
      <c r="K13" s="21"/>
      <c r="L13" s="21"/>
      <c r="M13" s="21"/>
      <c r="N13" s="21"/>
    </row>
    <row r="14" spans="1:14" ht="18.75">
      <c r="A14" s="21"/>
      <c r="B14" s="21"/>
      <c r="C14" s="21"/>
      <c r="D14" s="21"/>
      <c r="E14" s="21"/>
      <c r="F14" s="21"/>
      <c r="G14" s="21"/>
      <c r="H14" s="24"/>
      <c r="I14" s="21"/>
      <c r="J14" s="21"/>
      <c r="K14" s="21"/>
      <c r="L14" s="21"/>
      <c r="M14" s="21"/>
      <c r="N14" s="21"/>
    </row>
    <row r="15" spans="1:1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 ht="25.5">
      <c r="A23" s="21"/>
      <c r="B23" s="71" t="s">
        <v>247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</row>
    <row r="24" spans="1:1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ht="16.5" customHeight="1">
      <c r="A27" s="21"/>
      <c r="B27" s="21"/>
      <c r="C27" s="73" t="s">
        <v>164</v>
      </c>
      <c r="D27" s="73"/>
      <c r="E27" s="73"/>
      <c r="F27" s="73"/>
      <c r="G27" s="21"/>
      <c r="H27" s="21"/>
      <c r="I27" s="21"/>
      <c r="J27" s="21"/>
      <c r="K27" s="21"/>
      <c r="L27" s="21"/>
      <c r="M27" s="21"/>
      <c r="N27" s="21"/>
    </row>
    <row r="28" spans="1:14" ht="16.5" customHeight="1">
      <c r="A28" s="21"/>
      <c r="B28" s="21"/>
      <c r="C28" s="73"/>
      <c r="D28" s="73"/>
      <c r="E28" s="73"/>
      <c r="F28" s="73"/>
      <c r="G28" s="21"/>
      <c r="H28" s="21"/>
      <c r="I28" s="21"/>
      <c r="J28" s="21"/>
      <c r="K28" s="21"/>
      <c r="L28" s="21"/>
      <c r="M28" s="21"/>
      <c r="N28" s="21"/>
    </row>
    <row r="29" spans="1:14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 ht="25.5">
      <c r="A30" s="21"/>
      <c r="B30" s="22"/>
      <c r="C30" s="74" t="s">
        <v>246</v>
      </c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</row>
    <row r="31" spans="1:14" ht="25.5">
      <c r="A31" s="2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45.75">
      <c r="A32" s="21" t="s">
        <v>165</v>
      </c>
      <c r="B32" s="75" t="s">
        <v>167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</row>
    <row r="33" spans="1:14" ht="20.25">
      <c r="A33" s="21"/>
      <c r="B33" s="21"/>
      <c r="C33" s="21"/>
      <c r="D33" s="21"/>
      <c r="E33" s="21"/>
      <c r="F33" s="21"/>
      <c r="G33" s="72"/>
      <c r="H33" s="72"/>
      <c r="I33" s="72"/>
      <c r="J33" s="72"/>
      <c r="K33" s="72"/>
      <c r="L33" s="72"/>
      <c r="M33" s="21"/>
      <c r="N33" s="21"/>
    </row>
    <row r="34" spans="1:1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 ht="18.75">
      <c r="A36" s="21"/>
      <c r="B36" s="21"/>
      <c r="C36" s="21"/>
      <c r="D36" s="21"/>
      <c r="E36" s="21"/>
      <c r="F36" s="21"/>
      <c r="G36" s="21"/>
      <c r="H36" s="24"/>
      <c r="I36" s="21"/>
      <c r="J36" s="21"/>
      <c r="K36" s="21"/>
      <c r="L36" s="21"/>
      <c r="M36" s="21"/>
      <c r="N36" s="21"/>
    </row>
    <row r="37" spans="1:14" ht="18.75">
      <c r="A37" s="21"/>
      <c r="B37" s="21"/>
      <c r="C37" s="21"/>
      <c r="D37" s="21"/>
      <c r="E37" s="21"/>
      <c r="F37" s="21"/>
      <c r="G37" s="21"/>
      <c r="H37" s="24"/>
      <c r="I37" s="21"/>
      <c r="J37" s="21"/>
      <c r="K37" s="21"/>
      <c r="L37" s="21"/>
      <c r="M37" s="21"/>
      <c r="N37" s="21"/>
    </row>
    <row r="38" spans="1:14" ht="18.75">
      <c r="A38" s="21"/>
      <c r="B38" s="21"/>
      <c r="C38" s="21"/>
      <c r="D38" s="21"/>
      <c r="E38" s="21"/>
      <c r="F38" s="21"/>
      <c r="G38" s="21"/>
      <c r="H38" s="24"/>
      <c r="I38" s="21"/>
      <c r="J38" s="21"/>
      <c r="K38" s="21"/>
      <c r="L38" s="21"/>
      <c r="M38" s="21"/>
      <c r="N38" s="21"/>
    </row>
    <row r="39" spans="1:14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14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4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14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14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14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14" ht="25.5">
      <c r="A47" s="21"/>
      <c r="B47" s="71" t="s">
        <v>247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</row>
    <row r="48" spans="1:14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1:14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1:14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>
      <c r="A51" s="21"/>
      <c r="B51" s="21"/>
      <c r="C51" s="73"/>
      <c r="D51" s="73"/>
      <c r="E51" s="73"/>
      <c r="F51" s="73"/>
      <c r="G51" s="21"/>
      <c r="H51" s="21"/>
      <c r="I51" s="21"/>
      <c r="J51" s="21"/>
      <c r="K51" s="21"/>
      <c r="L51" s="21"/>
      <c r="M51" s="21"/>
      <c r="N51" s="21"/>
    </row>
    <row r="52" spans="1:14">
      <c r="A52" s="21"/>
      <c r="B52" s="21"/>
      <c r="C52" s="73"/>
      <c r="D52" s="73"/>
      <c r="E52" s="73"/>
      <c r="F52" s="73"/>
      <c r="G52" s="21"/>
      <c r="H52" s="21"/>
      <c r="I52" s="21"/>
      <c r="J52" s="21"/>
      <c r="K52" s="21"/>
      <c r="L52" s="21"/>
      <c r="M52" s="21"/>
      <c r="N52" s="21"/>
    </row>
    <row r="53" spans="1:14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4" ht="25.5">
      <c r="A54" s="21"/>
      <c r="B54" s="22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</row>
    <row r="55" spans="1:14" ht="25.5">
      <c r="A55" s="21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</row>
    <row r="56" spans="1:14" ht="45.75">
      <c r="A56" s="21" t="s">
        <v>165</v>
      </c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</row>
    <row r="57" spans="1:14" ht="20.25">
      <c r="A57" s="21"/>
      <c r="B57" s="21"/>
      <c r="C57" s="21"/>
      <c r="D57" s="21"/>
      <c r="E57" s="21"/>
      <c r="F57" s="21"/>
      <c r="G57" s="72"/>
      <c r="H57" s="72"/>
      <c r="I57" s="72"/>
      <c r="J57" s="72"/>
      <c r="K57" s="72"/>
      <c r="L57" s="72"/>
      <c r="M57" s="21"/>
      <c r="N57" s="21"/>
    </row>
    <row r="58" spans="1:14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1:14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 ht="18.75">
      <c r="A60" s="21"/>
      <c r="B60" s="21"/>
      <c r="C60" s="21"/>
      <c r="D60" s="21"/>
      <c r="E60" s="21"/>
      <c r="F60" s="21"/>
      <c r="G60" s="21"/>
      <c r="H60" s="24"/>
      <c r="I60" s="21"/>
      <c r="J60" s="21"/>
      <c r="K60" s="21"/>
      <c r="L60" s="21"/>
      <c r="M60" s="21"/>
      <c r="N60" s="21"/>
    </row>
    <row r="61" spans="1:14" ht="18.75">
      <c r="A61" s="21"/>
      <c r="B61" s="21"/>
      <c r="C61" s="21"/>
      <c r="D61" s="21"/>
      <c r="E61" s="21"/>
      <c r="F61" s="21"/>
      <c r="G61" s="21"/>
      <c r="H61" s="24"/>
      <c r="I61" s="21"/>
      <c r="J61" s="21"/>
      <c r="K61" s="21"/>
      <c r="L61" s="21"/>
      <c r="M61" s="21"/>
      <c r="N61" s="21"/>
    </row>
    <row r="62" spans="1:14" ht="18.75">
      <c r="A62" s="21"/>
      <c r="B62" s="21"/>
      <c r="C62" s="21"/>
      <c r="D62" s="21"/>
      <c r="E62" s="21"/>
      <c r="F62" s="21"/>
      <c r="G62" s="21"/>
      <c r="H62" s="24"/>
      <c r="I62" s="21"/>
      <c r="J62" s="21"/>
      <c r="K62" s="21"/>
      <c r="L62" s="21"/>
      <c r="M62" s="21"/>
      <c r="N62" s="21"/>
    </row>
    <row r="63" spans="1:14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spans="1:1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1:14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1:14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1:14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spans="1:14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 ht="25.5">
      <c r="A71" s="2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</row>
    <row r="72" spans="1:14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4">
      <c r="A74" s="21"/>
      <c r="B74" s="21"/>
      <c r="C74" s="73"/>
      <c r="D74" s="73"/>
      <c r="E74" s="73"/>
      <c r="F74" s="73"/>
      <c r="G74" s="21"/>
      <c r="H74" s="21"/>
      <c r="I74" s="21"/>
      <c r="J74" s="21"/>
      <c r="K74" s="21"/>
      <c r="L74" s="21"/>
      <c r="M74" s="21"/>
      <c r="N74" s="21"/>
    </row>
    <row r="75" spans="1:14">
      <c r="A75" s="21"/>
      <c r="B75" s="21"/>
      <c r="C75" s="73"/>
      <c r="D75" s="73"/>
      <c r="E75" s="73"/>
      <c r="F75" s="73"/>
      <c r="G75" s="21"/>
      <c r="H75" s="21"/>
      <c r="I75" s="21"/>
      <c r="J75" s="21"/>
      <c r="K75" s="21"/>
      <c r="L75" s="21"/>
      <c r="M75" s="21"/>
      <c r="N75" s="21"/>
    </row>
    <row r="76" spans="1:14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4" ht="25.5">
      <c r="A77" s="21"/>
      <c r="B77" s="22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</row>
    <row r="78" spans="1:14" ht="25.5">
      <c r="A78" s="2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</row>
    <row r="79" spans="1:14" ht="45.75">
      <c r="A79" s="21" t="s">
        <v>165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</row>
    <row r="80" spans="1:14" ht="20.25">
      <c r="A80" s="21"/>
      <c r="B80" s="21"/>
      <c r="C80" s="21"/>
      <c r="D80" s="21"/>
      <c r="E80" s="21"/>
      <c r="F80" s="21"/>
      <c r="G80" s="72"/>
      <c r="H80" s="72"/>
      <c r="I80" s="72"/>
      <c r="J80" s="72"/>
      <c r="K80" s="72"/>
      <c r="L80" s="72"/>
      <c r="M80" s="21"/>
      <c r="N80" s="21"/>
    </row>
    <row r="81" spans="1:14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 spans="1:14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 spans="1:14" ht="18.75">
      <c r="A83" s="21"/>
      <c r="B83" s="21"/>
      <c r="C83" s="21"/>
      <c r="D83" s="21"/>
      <c r="E83" s="21"/>
      <c r="F83" s="21"/>
      <c r="G83" s="21"/>
      <c r="H83" s="24"/>
      <c r="I83" s="21"/>
      <c r="J83" s="21"/>
      <c r="K83" s="21"/>
      <c r="L83" s="21"/>
      <c r="M83" s="21"/>
      <c r="N83" s="21"/>
    </row>
    <row r="84" spans="1:14" ht="18.75">
      <c r="A84" s="21"/>
      <c r="B84" s="21"/>
      <c r="C84" s="21"/>
      <c r="D84" s="21"/>
      <c r="E84" s="21"/>
      <c r="F84" s="21"/>
      <c r="G84" s="21"/>
      <c r="H84" s="24"/>
      <c r="I84" s="21"/>
      <c r="J84" s="21"/>
      <c r="K84" s="21"/>
      <c r="L84" s="21"/>
      <c r="M84" s="21"/>
      <c r="N84" s="21"/>
    </row>
    <row r="85" spans="1:14" ht="18.75">
      <c r="A85" s="21"/>
      <c r="B85" s="21"/>
      <c r="C85" s="21"/>
      <c r="D85" s="21"/>
      <c r="E85" s="21"/>
      <c r="F85" s="21"/>
      <c r="G85" s="21"/>
      <c r="H85" s="24"/>
      <c r="I85" s="21"/>
      <c r="J85" s="21"/>
      <c r="K85" s="21"/>
      <c r="L85" s="21"/>
      <c r="M85" s="21"/>
      <c r="N85" s="21"/>
    </row>
    <row r="86" spans="1:14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 ht="25.5">
      <c r="A94" s="2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</row>
    <row r="95" spans="1:14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 spans="1:14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</sheetData>
  <mergeCells count="20">
    <mergeCell ref="C27:F28"/>
    <mergeCell ref="C3:F4"/>
    <mergeCell ref="C6:N6"/>
    <mergeCell ref="B8:N8"/>
    <mergeCell ref="G9:L9"/>
    <mergeCell ref="B23:N23"/>
    <mergeCell ref="B56:N56"/>
    <mergeCell ref="C30:N30"/>
    <mergeCell ref="B32:N32"/>
    <mergeCell ref="G33:L33"/>
    <mergeCell ref="B47:N47"/>
    <mergeCell ref="C51:F52"/>
    <mergeCell ref="C54:N54"/>
    <mergeCell ref="B94:N94"/>
    <mergeCell ref="G57:L57"/>
    <mergeCell ref="B71:N71"/>
    <mergeCell ref="C74:F75"/>
    <mergeCell ref="C77:N77"/>
    <mergeCell ref="B79:N79"/>
    <mergeCell ref="G80:L8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  <rowBreaks count="2" manualBreakCount="2">
    <brk id="25" max="13" man="1"/>
    <brk id="5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J29"/>
  <sheetViews>
    <sheetView tabSelected="1" view="pageBreakPreview" topLeftCell="B1" zoomScale="90" zoomScaleSheetLayoutView="90" workbookViewId="0">
      <selection activeCell="E26" sqref="E26"/>
    </sheetView>
  </sheetViews>
  <sheetFormatPr defaultRowHeight="16.5"/>
  <cols>
    <col min="1" max="1" width="0" style="20" hidden="1" customWidth="1"/>
    <col min="2" max="3" width="4.625" style="20" customWidth="1"/>
    <col min="4" max="4" width="35.625" style="20" customWidth="1"/>
    <col min="5" max="5" width="25.625" style="20" customWidth="1"/>
    <col min="6" max="6" width="60.625" style="20" customWidth="1"/>
    <col min="7" max="7" width="30.625" style="20" customWidth="1"/>
    <col min="8" max="9" width="9" style="20"/>
    <col min="10" max="10" width="19.875" style="20" customWidth="1"/>
    <col min="11" max="256" width="9" style="20"/>
    <col min="257" max="257" width="0" style="20" hidden="1" customWidth="1"/>
    <col min="258" max="259" width="4.625" style="20" customWidth="1"/>
    <col min="260" max="260" width="35.625" style="20" customWidth="1"/>
    <col min="261" max="261" width="25.625" style="20" customWidth="1"/>
    <col min="262" max="262" width="60.625" style="20" customWidth="1"/>
    <col min="263" max="263" width="30.625" style="20" customWidth="1"/>
    <col min="264" max="512" width="9" style="20"/>
    <col min="513" max="513" width="0" style="20" hidden="1" customWidth="1"/>
    <col min="514" max="515" width="4.625" style="20" customWidth="1"/>
    <col min="516" max="516" width="35.625" style="20" customWidth="1"/>
    <col min="517" max="517" width="25.625" style="20" customWidth="1"/>
    <col min="518" max="518" width="60.625" style="20" customWidth="1"/>
    <col min="519" max="519" width="30.625" style="20" customWidth="1"/>
    <col min="520" max="768" width="9" style="20"/>
    <col min="769" max="769" width="0" style="20" hidden="1" customWidth="1"/>
    <col min="770" max="771" width="4.625" style="20" customWidth="1"/>
    <col min="772" max="772" width="35.625" style="20" customWidth="1"/>
    <col min="773" max="773" width="25.625" style="20" customWidth="1"/>
    <col min="774" max="774" width="60.625" style="20" customWidth="1"/>
    <col min="775" max="775" width="30.625" style="20" customWidth="1"/>
    <col min="776" max="1024" width="9" style="20"/>
    <col min="1025" max="1025" width="0" style="20" hidden="1" customWidth="1"/>
    <col min="1026" max="1027" width="4.625" style="20" customWidth="1"/>
    <col min="1028" max="1028" width="35.625" style="20" customWidth="1"/>
    <col min="1029" max="1029" width="25.625" style="20" customWidth="1"/>
    <col min="1030" max="1030" width="60.625" style="20" customWidth="1"/>
    <col min="1031" max="1031" width="30.625" style="20" customWidth="1"/>
    <col min="1032" max="1280" width="9" style="20"/>
    <col min="1281" max="1281" width="0" style="20" hidden="1" customWidth="1"/>
    <col min="1282" max="1283" width="4.625" style="20" customWidth="1"/>
    <col min="1284" max="1284" width="35.625" style="20" customWidth="1"/>
    <col min="1285" max="1285" width="25.625" style="20" customWidth="1"/>
    <col min="1286" max="1286" width="60.625" style="20" customWidth="1"/>
    <col min="1287" max="1287" width="30.625" style="20" customWidth="1"/>
    <col min="1288" max="1536" width="9" style="20"/>
    <col min="1537" max="1537" width="0" style="20" hidden="1" customWidth="1"/>
    <col min="1538" max="1539" width="4.625" style="20" customWidth="1"/>
    <col min="1540" max="1540" width="35.625" style="20" customWidth="1"/>
    <col min="1541" max="1541" width="25.625" style="20" customWidth="1"/>
    <col min="1542" max="1542" width="60.625" style="20" customWidth="1"/>
    <col min="1543" max="1543" width="30.625" style="20" customWidth="1"/>
    <col min="1544" max="1792" width="9" style="20"/>
    <col min="1793" max="1793" width="0" style="20" hidden="1" customWidth="1"/>
    <col min="1794" max="1795" width="4.625" style="20" customWidth="1"/>
    <col min="1796" max="1796" width="35.625" style="20" customWidth="1"/>
    <col min="1797" max="1797" width="25.625" style="20" customWidth="1"/>
    <col min="1798" max="1798" width="60.625" style="20" customWidth="1"/>
    <col min="1799" max="1799" width="30.625" style="20" customWidth="1"/>
    <col min="1800" max="2048" width="9" style="20"/>
    <col min="2049" max="2049" width="0" style="20" hidden="1" customWidth="1"/>
    <col min="2050" max="2051" width="4.625" style="20" customWidth="1"/>
    <col min="2052" max="2052" width="35.625" style="20" customWidth="1"/>
    <col min="2053" max="2053" width="25.625" style="20" customWidth="1"/>
    <col min="2054" max="2054" width="60.625" style="20" customWidth="1"/>
    <col min="2055" max="2055" width="30.625" style="20" customWidth="1"/>
    <col min="2056" max="2304" width="9" style="20"/>
    <col min="2305" max="2305" width="0" style="20" hidden="1" customWidth="1"/>
    <col min="2306" max="2307" width="4.625" style="20" customWidth="1"/>
    <col min="2308" max="2308" width="35.625" style="20" customWidth="1"/>
    <col min="2309" max="2309" width="25.625" style="20" customWidth="1"/>
    <col min="2310" max="2310" width="60.625" style="20" customWidth="1"/>
    <col min="2311" max="2311" width="30.625" style="20" customWidth="1"/>
    <col min="2312" max="2560" width="9" style="20"/>
    <col min="2561" max="2561" width="0" style="20" hidden="1" customWidth="1"/>
    <col min="2562" max="2563" width="4.625" style="20" customWidth="1"/>
    <col min="2564" max="2564" width="35.625" style="20" customWidth="1"/>
    <col min="2565" max="2565" width="25.625" style="20" customWidth="1"/>
    <col min="2566" max="2566" width="60.625" style="20" customWidth="1"/>
    <col min="2567" max="2567" width="30.625" style="20" customWidth="1"/>
    <col min="2568" max="2816" width="9" style="20"/>
    <col min="2817" max="2817" width="0" style="20" hidden="1" customWidth="1"/>
    <col min="2818" max="2819" width="4.625" style="20" customWidth="1"/>
    <col min="2820" max="2820" width="35.625" style="20" customWidth="1"/>
    <col min="2821" max="2821" width="25.625" style="20" customWidth="1"/>
    <col min="2822" max="2822" width="60.625" style="20" customWidth="1"/>
    <col min="2823" max="2823" width="30.625" style="20" customWidth="1"/>
    <col min="2824" max="3072" width="9" style="20"/>
    <col min="3073" max="3073" width="0" style="20" hidden="1" customWidth="1"/>
    <col min="3074" max="3075" width="4.625" style="20" customWidth="1"/>
    <col min="3076" max="3076" width="35.625" style="20" customWidth="1"/>
    <col min="3077" max="3077" width="25.625" style="20" customWidth="1"/>
    <col min="3078" max="3078" width="60.625" style="20" customWidth="1"/>
    <col min="3079" max="3079" width="30.625" style="20" customWidth="1"/>
    <col min="3080" max="3328" width="9" style="20"/>
    <col min="3329" max="3329" width="0" style="20" hidden="1" customWidth="1"/>
    <col min="3330" max="3331" width="4.625" style="20" customWidth="1"/>
    <col min="3332" max="3332" width="35.625" style="20" customWidth="1"/>
    <col min="3333" max="3333" width="25.625" style="20" customWidth="1"/>
    <col min="3334" max="3334" width="60.625" style="20" customWidth="1"/>
    <col min="3335" max="3335" width="30.625" style="20" customWidth="1"/>
    <col min="3336" max="3584" width="9" style="20"/>
    <col min="3585" max="3585" width="0" style="20" hidden="1" customWidth="1"/>
    <col min="3586" max="3587" width="4.625" style="20" customWidth="1"/>
    <col min="3588" max="3588" width="35.625" style="20" customWidth="1"/>
    <col min="3589" max="3589" width="25.625" style="20" customWidth="1"/>
    <col min="3590" max="3590" width="60.625" style="20" customWidth="1"/>
    <col min="3591" max="3591" width="30.625" style="20" customWidth="1"/>
    <col min="3592" max="3840" width="9" style="20"/>
    <col min="3841" max="3841" width="0" style="20" hidden="1" customWidth="1"/>
    <col min="3842" max="3843" width="4.625" style="20" customWidth="1"/>
    <col min="3844" max="3844" width="35.625" style="20" customWidth="1"/>
    <col min="3845" max="3845" width="25.625" style="20" customWidth="1"/>
    <col min="3846" max="3846" width="60.625" style="20" customWidth="1"/>
    <col min="3847" max="3847" width="30.625" style="20" customWidth="1"/>
    <col min="3848" max="4096" width="9" style="20"/>
    <col min="4097" max="4097" width="0" style="20" hidden="1" customWidth="1"/>
    <col min="4098" max="4099" width="4.625" style="20" customWidth="1"/>
    <col min="4100" max="4100" width="35.625" style="20" customWidth="1"/>
    <col min="4101" max="4101" width="25.625" style="20" customWidth="1"/>
    <col min="4102" max="4102" width="60.625" style="20" customWidth="1"/>
    <col min="4103" max="4103" width="30.625" style="20" customWidth="1"/>
    <col min="4104" max="4352" width="9" style="20"/>
    <col min="4353" max="4353" width="0" style="20" hidden="1" customWidth="1"/>
    <col min="4354" max="4355" width="4.625" style="20" customWidth="1"/>
    <col min="4356" max="4356" width="35.625" style="20" customWidth="1"/>
    <col min="4357" max="4357" width="25.625" style="20" customWidth="1"/>
    <col min="4358" max="4358" width="60.625" style="20" customWidth="1"/>
    <col min="4359" max="4359" width="30.625" style="20" customWidth="1"/>
    <col min="4360" max="4608" width="9" style="20"/>
    <col min="4609" max="4609" width="0" style="20" hidden="1" customWidth="1"/>
    <col min="4610" max="4611" width="4.625" style="20" customWidth="1"/>
    <col min="4612" max="4612" width="35.625" style="20" customWidth="1"/>
    <col min="4613" max="4613" width="25.625" style="20" customWidth="1"/>
    <col min="4614" max="4614" width="60.625" style="20" customWidth="1"/>
    <col min="4615" max="4615" width="30.625" style="20" customWidth="1"/>
    <col min="4616" max="4864" width="9" style="20"/>
    <col min="4865" max="4865" width="0" style="20" hidden="1" customWidth="1"/>
    <col min="4866" max="4867" width="4.625" style="20" customWidth="1"/>
    <col min="4868" max="4868" width="35.625" style="20" customWidth="1"/>
    <col min="4869" max="4869" width="25.625" style="20" customWidth="1"/>
    <col min="4870" max="4870" width="60.625" style="20" customWidth="1"/>
    <col min="4871" max="4871" width="30.625" style="20" customWidth="1"/>
    <col min="4872" max="5120" width="9" style="20"/>
    <col min="5121" max="5121" width="0" style="20" hidden="1" customWidth="1"/>
    <col min="5122" max="5123" width="4.625" style="20" customWidth="1"/>
    <col min="5124" max="5124" width="35.625" style="20" customWidth="1"/>
    <col min="5125" max="5125" width="25.625" style="20" customWidth="1"/>
    <col min="5126" max="5126" width="60.625" style="20" customWidth="1"/>
    <col min="5127" max="5127" width="30.625" style="20" customWidth="1"/>
    <col min="5128" max="5376" width="9" style="20"/>
    <col min="5377" max="5377" width="0" style="20" hidden="1" customWidth="1"/>
    <col min="5378" max="5379" width="4.625" style="20" customWidth="1"/>
    <col min="5380" max="5380" width="35.625" style="20" customWidth="1"/>
    <col min="5381" max="5381" width="25.625" style="20" customWidth="1"/>
    <col min="5382" max="5382" width="60.625" style="20" customWidth="1"/>
    <col min="5383" max="5383" width="30.625" style="20" customWidth="1"/>
    <col min="5384" max="5632" width="9" style="20"/>
    <col min="5633" max="5633" width="0" style="20" hidden="1" customWidth="1"/>
    <col min="5634" max="5635" width="4.625" style="20" customWidth="1"/>
    <col min="5636" max="5636" width="35.625" style="20" customWidth="1"/>
    <col min="5637" max="5637" width="25.625" style="20" customWidth="1"/>
    <col min="5638" max="5638" width="60.625" style="20" customWidth="1"/>
    <col min="5639" max="5639" width="30.625" style="20" customWidth="1"/>
    <col min="5640" max="5888" width="9" style="20"/>
    <col min="5889" max="5889" width="0" style="20" hidden="1" customWidth="1"/>
    <col min="5890" max="5891" width="4.625" style="20" customWidth="1"/>
    <col min="5892" max="5892" width="35.625" style="20" customWidth="1"/>
    <col min="5893" max="5893" width="25.625" style="20" customWidth="1"/>
    <col min="5894" max="5894" width="60.625" style="20" customWidth="1"/>
    <col min="5895" max="5895" width="30.625" style="20" customWidth="1"/>
    <col min="5896" max="6144" width="9" style="20"/>
    <col min="6145" max="6145" width="0" style="20" hidden="1" customWidth="1"/>
    <col min="6146" max="6147" width="4.625" style="20" customWidth="1"/>
    <col min="6148" max="6148" width="35.625" style="20" customWidth="1"/>
    <col min="6149" max="6149" width="25.625" style="20" customWidth="1"/>
    <col min="6150" max="6150" width="60.625" style="20" customWidth="1"/>
    <col min="6151" max="6151" width="30.625" style="20" customWidth="1"/>
    <col min="6152" max="6400" width="9" style="20"/>
    <col min="6401" max="6401" width="0" style="20" hidden="1" customWidth="1"/>
    <col min="6402" max="6403" width="4.625" style="20" customWidth="1"/>
    <col min="6404" max="6404" width="35.625" style="20" customWidth="1"/>
    <col min="6405" max="6405" width="25.625" style="20" customWidth="1"/>
    <col min="6406" max="6406" width="60.625" style="20" customWidth="1"/>
    <col min="6407" max="6407" width="30.625" style="20" customWidth="1"/>
    <col min="6408" max="6656" width="9" style="20"/>
    <col min="6657" max="6657" width="0" style="20" hidden="1" customWidth="1"/>
    <col min="6658" max="6659" width="4.625" style="20" customWidth="1"/>
    <col min="6660" max="6660" width="35.625" style="20" customWidth="1"/>
    <col min="6661" max="6661" width="25.625" style="20" customWidth="1"/>
    <col min="6662" max="6662" width="60.625" style="20" customWidth="1"/>
    <col min="6663" max="6663" width="30.625" style="20" customWidth="1"/>
    <col min="6664" max="6912" width="9" style="20"/>
    <col min="6913" max="6913" width="0" style="20" hidden="1" customWidth="1"/>
    <col min="6914" max="6915" width="4.625" style="20" customWidth="1"/>
    <col min="6916" max="6916" width="35.625" style="20" customWidth="1"/>
    <col min="6917" max="6917" width="25.625" style="20" customWidth="1"/>
    <col min="6918" max="6918" width="60.625" style="20" customWidth="1"/>
    <col min="6919" max="6919" width="30.625" style="20" customWidth="1"/>
    <col min="6920" max="7168" width="9" style="20"/>
    <col min="7169" max="7169" width="0" style="20" hidden="1" customWidth="1"/>
    <col min="7170" max="7171" width="4.625" style="20" customWidth="1"/>
    <col min="7172" max="7172" width="35.625" style="20" customWidth="1"/>
    <col min="7173" max="7173" width="25.625" style="20" customWidth="1"/>
    <col min="7174" max="7174" width="60.625" style="20" customWidth="1"/>
    <col min="7175" max="7175" width="30.625" style="20" customWidth="1"/>
    <col min="7176" max="7424" width="9" style="20"/>
    <col min="7425" max="7425" width="0" style="20" hidden="1" customWidth="1"/>
    <col min="7426" max="7427" width="4.625" style="20" customWidth="1"/>
    <col min="7428" max="7428" width="35.625" style="20" customWidth="1"/>
    <col min="7429" max="7429" width="25.625" style="20" customWidth="1"/>
    <col min="7430" max="7430" width="60.625" style="20" customWidth="1"/>
    <col min="7431" max="7431" width="30.625" style="20" customWidth="1"/>
    <col min="7432" max="7680" width="9" style="20"/>
    <col min="7681" max="7681" width="0" style="20" hidden="1" customWidth="1"/>
    <col min="7682" max="7683" width="4.625" style="20" customWidth="1"/>
    <col min="7684" max="7684" width="35.625" style="20" customWidth="1"/>
    <col min="7685" max="7685" width="25.625" style="20" customWidth="1"/>
    <col min="7686" max="7686" width="60.625" style="20" customWidth="1"/>
    <col min="7687" max="7687" width="30.625" style="20" customWidth="1"/>
    <col min="7688" max="7936" width="9" style="20"/>
    <col min="7937" max="7937" width="0" style="20" hidden="1" customWidth="1"/>
    <col min="7938" max="7939" width="4.625" style="20" customWidth="1"/>
    <col min="7940" max="7940" width="35.625" style="20" customWidth="1"/>
    <col min="7941" max="7941" width="25.625" style="20" customWidth="1"/>
    <col min="7942" max="7942" width="60.625" style="20" customWidth="1"/>
    <col min="7943" max="7943" width="30.625" style="20" customWidth="1"/>
    <col min="7944" max="8192" width="9" style="20"/>
    <col min="8193" max="8193" width="0" style="20" hidden="1" customWidth="1"/>
    <col min="8194" max="8195" width="4.625" style="20" customWidth="1"/>
    <col min="8196" max="8196" width="35.625" style="20" customWidth="1"/>
    <col min="8197" max="8197" width="25.625" style="20" customWidth="1"/>
    <col min="8198" max="8198" width="60.625" style="20" customWidth="1"/>
    <col min="8199" max="8199" width="30.625" style="20" customWidth="1"/>
    <col min="8200" max="8448" width="9" style="20"/>
    <col min="8449" max="8449" width="0" style="20" hidden="1" customWidth="1"/>
    <col min="8450" max="8451" width="4.625" style="20" customWidth="1"/>
    <col min="8452" max="8452" width="35.625" style="20" customWidth="1"/>
    <col min="8453" max="8453" width="25.625" style="20" customWidth="1"/>
    <col min="8454" max="8454" width="60.625" style="20" customWidth="1"/>
    <col min="8455" max="8455" width="30.625" style="20" customWidth="1"/>
    <col min="8456" max="8704" width="9" style="20"/>
    <col min="8705" max="8705" width="0" style="20" hidden="1" customWidth="1"/>
    <col min="8706" max="8707" width="4.625" style="20" customWidth="1"/>
    <col min="8708" max="8708" width="35.625" style="20" customWidth="1"/>
    <col min="8709" max="8709" width="25.625" style="20" customWidth="1"/>
    <col min="8710" max="8710" width="60.625" style="20" customWidth="1"/>
    <col min="8711" max="8711" width="30.625" style="20" customWidth="1"/>
    <col min="8712" max="8960" width="9" style="20"/>
    <col min="8961" max="8961" width="0" style="20" hidden="1" customWidth="1"/>
    <col min="8962" max="8963" width="4.625" style="20" customWidth="1"/>
    <col min="8964" max="8964" width="35.625" style="20" customWidth="1"/>
    <col min="8965" max="8965" width="25.625" style="20" customWidth="1"/>
    <col min="8966" max="8966" width="60.625" style="20" customWidth="1"/>
    <col min="8967" max="8967" width="30.625" style="20" customWidth="1"/>
    <col min="8968" max="9216" width="9" style="20"/>
    <col min="9217" max="9217" width="0" style="20" hidden="1" customWidth="1"/>
    <col min="9218" max="9219" width="4.625" style="20" customWidth="1"/>
    <col min="9220" max="9220" width="35.625" style="20" customWidth="1"/>
    <col min="9221" max="9221" width="25.625" style="20" customWidth="1"/>
    <col min="9222" max="9222" width="60.625" style="20" customWidth="1"/>
    <col min="9223" max="9223" width="30.625" style="20" customWidth="1"/>
    <col min="9224" max="9472" width="9" style="20"/>
    <col min="9473" max="9473" width="0" style="20" hidden="1" customWidth="1"/>
    <col min="9474" max="9475" width="4.625" style="20" customWidth="1"/>
    <col min="9476" max="9476" width="35.625" style="20" customWidth="1"/>
    <col min="9477" max="9477" width="25.625" style="20" customWidth="1"/>
    <col min="9478" max="9478" width="60.625" style="20" customWidth="1"/>
    <col min="9479" max="9479" width="30.625" style="20" customWidth="1"/>
    <col min="9480" max="9728" width="9" style="20"/>
    <col min="9729" max="9729" width="0" style="20" hidden="1" customWidth="1"/>
    <col min="9730" max="9731" width="4.625" style="20" customWidth="1"/>
    <col min="9732" max="9732" width="35.625" style="20" customWidth="1"/>
    <col min="9733" max="9733" width="25.625" style="20" customWidth="1"/>
    <col min="9734" max="9734" width="60.625" style="20" customWidth="1"/>
    <col min="9735" max="9735" width="30.625" style="20" customWidth="1"/>
    <col min="9736" max="9984" width="9" style="20"/>
    <col min="9985" max="9985" width="0" style="20" hidden="1" customWidth="1"/>
    <col min="9986" max="9987" width="4.625" style="20" customWidth="1"/>
    <col min="9988" max="9988" width="35.625" style="20" customWidth="1"/>
    <col min="9989" max="9989" width="25.625" style="20" customWidth="1"/>
    <col min="9990" max="9990" width="60.625" style="20" customWidth="1"/>
    <col min="9991" max="9991" width="30.625" style="20" customWidth="1"/>
    <col min="9992" max="10240" width="9" style="20"/>
    <col min="10241" max="10241" width="0" style="20" hidden="1" customWidth="1"/>
    <col min="10242" max="10243" width="4.625" style="20" customWidth="1"/>
    <col min="10244" max="10244" width="35.625" style="20" customWidth="1"/>
    <col min="10245" max="10245" width="25.625" style="20" customWidth="1"/>
    <col min="10246" max="10246" width="60.625" style="20" customWidth="1"/>
    <col min="10247" max="10247" width="30.625" style="20" customWidth="1"/>
    <col min="10248" max="10496" width="9" style="20"/>
    <col min="10497" max="10497" width="0" style="20" hidden="1" customWidth="1"/>
    <col min="10498" max="10499" width="4.625" style="20" customWidth="1"/>
    <col min="10500" max="10500" width="35.625" style="20" customWidth="1"/>
    <col min="10501" max="10501" width="25.625" style="20" customWidth="1"/>
    <col min="10502" max="10502" width="60.625" style="20" customWidth="1"/>
    <col min="10503" max="10503" width="30.625" style="20" customWidth="1"/>
    <col min="10504" max="10752" width="9" style="20"/>
    <col min="10753" max="10753" width="0" style="20" hidden="1" customWidth="1"/>
    <col min="10754" max="10755" width="4.625" style="20" customWidth="1"/>
    <col min="10756" max="10756" width="35.625" style="20" customWidth="1"/>
    <col min="10757" max="10757" width="25.625" style="20" customWidth="1"/>
    <col min="10758" max="10758" width="60.625" style="20" customWidth="1"/>
    <col min="10759" max="10759" width="30.625" style="20" customWidth="1"/>
    <col min="10760" max="11008" width="9" style="20"/>
    <col min="11009" max="11009" width="0" style="20" hidden="1" customWidth="1"/>
    <col min="11010" max="11011" width="4.625" style="20" customWidth="1"/>
    <col min="11012" max="11012" width="35.625" style="20" customWidth="1"/>
    <col min="11013" max="11013" width="25.625" style="20" customWidth="1"/>
    <col min="11014" max="11014" width="60.625" style="20" customWidth="1"/>
    <col min="11015" max="11015" width="30.625" style="20" customWidth="1"/>
    <col min="11016" max="11264" width="9" style="20"/>
    <col min="11265" max="11265" width="0" style="20" hidden="1" customWidth="1"/>
    <col min="11266" max="11267" width="4.625" style="20" customWidth="1"/>
    <col min="11268" max="11268" width="35.625" style="20" customWidth="1"/>
    <col min="11269" max="11269" width="25.625" style="20" customWidth="1"/>
    <col min="11270" max="11270" width="60.625" style="20" customWidth="1"/>
    <col min="11271" max="11271" width="30.625" style="20" customWidth="1"/>
    <col min="11272" max="11520" width="9" style="20"/>
    <col min="11521" max="11521" width="0" style="20" hidden="1" customWidth="1"/>
    <col min="11522" max="11523" width="4.625" style="20" customWidth="1"/>
    <col min="11524" max="11524" width="35.625" style="20" customWidth="1"/>
    <col min="11525" max="11525" width="25.625" style="20" customWidth="1"/>
    <col min="11526" max="11526" width="60.625" style="20" customWidth="1"/>
    <col min="11527" max="11527" width="30.625" style="20" customWidth="1"/>
    <col min="11528" max="11776" width="9" style="20"/>
    <col min="11777" max="11777" width="0" style="20" hidden="1" customWidth="1"/>
    <col min="11778" max="11779" width="4.625" style="20" customWidth="1"/>
    <col min="11780" max="11780" width="35.625" style="20" customWidth="1"/>
    <col min="11781" max="11781" width="25.625" style="20" customWidth="1"/>
    <col min="11782" max="11782" width="60.625" style="20" customWidth="1"/>
    <col min="11783" max="11783" width="30.625" style="20" customWidth="1"/>
    <col min="11784" max="12032" width="9" style="20"/>
    <col min="12033" max="12033" width="0" style="20" hidden="1" customWidth="1"/>
    <col min="12034" max="12035" width="4.625" style="20" customWidth="1"/>
    <col min="12036" max="12036" width="35.625" style="20" customWidth="1"/>
    <col min="12037" max="12037" width="25.625" style="20" customWidth="1"/>
    <col min="12038" max="12038" width="60.625" style="20" customWidth="1"/>
    <col min="12039" max="12039" width="30.625" style="20" customWidth="1"/>
    <col min="12040" max="12288" width="9" style="20"/>
    <col min="12289" max="12289" width="0" style="20" hidden="1" customWidth="1"/>
    <col min="12290" max="12291" width="4.625" style="20" customWidth="1"/>
    <col min="12292" max="12292" width="35.625" style="20" customWidth="1"/>
    <col min="12293" max="12293" width="25.625" style="20" customWidth="1"/>
    <col min="12294" max="12294" width="60.625" style="20" customWidth="1"/>
    <col min="12295" max="12295" width="30.625" style="20" customWidth="1"/>
    <col min="12296" max="12544" width="9" style="20"/>
    <col min="12545" max="12545" width="0" style="20" hidden="1" customWidth="1"/>
    <col min="12546" max="12547" width="4.625" style="20" customWidth="1"/>
    <col min="12548" max="12548" width="35.625" style="20" customWidth="1"/>
    <col min="12549" max="12549" width="25.625" style="20" customWidth="1"/>
    <col min="12550" max="12550" width="60.625" style="20" customWidth="1"/>
    <col min="12551" max="12551" width="30.625" style="20" customWidth="1"/>
    <col min="12552" max="12800" width="9" style="20"/>
    <col min="12801" max="12801" width="0" style="20" hidden="1" customWidth="1"/>
    <col min="12802" max="12803" width="4.625" style="20" customWidth="1"/>
    <col min="12804" max="12804" width="35.625" style="20" customWidth="1"/>
    <col min="12805" max="12805" width="25.625" style="20" customWidth="1"/>
    <col min="12806" max="12806" width="60.625" style="20" customWidth="1"/>
    <col min="12807" max="12807" width="30.625" style="20" customWidth="1"/>
    <col min="12808" max="13056" width="9" style="20"/>
    <col min="13057" max="13057" width="0" style="20" hidden="1" customWidth="1"/>
    <col min="13058" max="13059" width="4.625" style="20" customWidth="1"/>
    <col min="13060" max="13060" width="35.625" style="20" customWidth="1"/>
    <col min="13061" max="13061" width="25.625" style="20" customWidth="1"/>
    <col min="13062" max="13062" width="60.625" style="20" customWidth="1"/>
    <col min="13063" max="13063" width="30.625" style="20" customWidth="1"/>
    <col min="13064" max="13312" width="9" style="20"/>
    <col min="13313" max="13313" width="0" style="20" hidden="1" customWidth="1"/>
    <col min="13314" max="13315" width="4.625" style="20" customWidth="1"/>
    <col min="13316" max="13316" width="35.625" style="20" customWidth="1"/>
    <col min="13317" max="13317" width="25.625" style="20" customWidth="1"/>
    <col min="13318" max="13318" width="60.625" style="20" customWidth="1"/>
    <col min="13319" max="13319" width="30.625" style="20" customWidth="1"/>
    <col min="13320" max="13568" width="9" style="20"/>
    <col min="13569" max="13569" width="0" style="20" hidden="1" customWidth="1"/>
    <col min="13570" max="13571" width="4.625" style="20" customWidth="1"/>
    <col min="13572" max="13572" width="35.625" style="20" customWidth="1"/>
    <col min="13573" max="13573" width="25.625" style="20" customWidth="1"/>
    <col min="13574" max="13574" width="60.625" style="20" customWidth="1"/>
    <col min="13575" max="13575" width="30.625" style="20" customWidth="1"/>
    <col min="13576" max="13824" width="9" style="20"/>
    <col min="13825" max="13825" width="0" style="20" hidden="1" customWidth="1"/>
    <col min="13826" max="13827" width="4.625" style="20" customWidth="1"/>
    <col min="13828" max="13828" width="35.625" style="20" customWidth="1"/>
    <col min="13829" max="13829" width="25.625" style="20" customWidth="1"/>
    <col min="13830" max="13830" width="60.625" style="20" customWidth="1"/>
    <col min="13831" max="13831" width="30.625" style="20" customWidth="1"/>
    <col min="13832" max="14080" width="9" style="20"/>
    <col min="14081" max="14081" width="0" style="20" hidden="1" customWidth="1"/>
    <col min="14082" max="14083" width="4.625" style="20" customWidth="1"/>
    <col min="14084" max="14084" width="35.625" style="20" customWidth="1"/>
    <col min="14085" max="14085" width="25.625" style="20" customWidth="1"/>
    <col min="14086" max="14086" width="60.625" style="20" customWidth="1"/>
    <col min="14087" max="14087" width="30.625" style="20" customWidth="1"/>
    <col min="14088" max="14336" width="9" style="20"/>
    <col min="14337" max="14337" width="0" style="20" hidden="1" customWidth="1"/>
    <col min="14338" max="14339" width="4.625" style="20" customWidth="1"/>
    <col min="14340" max="14340" width="35.625" style="20" customWidth="1"/>
    <col min="14341" max="14341" width="25.625" style="20" customWidth="1"/>
    <col min="14342" max="14342" width="60.625" style="20" customWidth="1"/>
    <col min="14343" max="14343" width="30.625" style="20" customWidth="1"/>
    <col min="14344" max="14592" width="9" style="20"/>
    <col min="14593" max="14593" width="0" style="20" hidden="1" customWidth="1"/>
    <col min="14594" max="14595" width="4.625" style="20" customWidth="1"/>
    <col min="14596" max="14596" width="35.625" style="20" customWidth="1"/>
    <col min="14597" max="14597" width="25.625" style="20" customWidth="1"/>
    <col min="14598" max="14598" width="60.625" style="20" customWidth="1"/>
    <col min="14599" max="14599" width="30.625" style="20" customWidth="1"/>
    <col min="14600" max="14848" width="9" style="20"/>
    <col min="14849" max="14849" width="0" style="20" hidden="1" customWidth="1"/>
    <col min="14850" max="14851" width="4.625" style="20" customWidth="1"/>
    <col min="14852" max="14852" width="35.625" style="20" customWidth="1"/>
    <col min="14853" max="14853" width="25.625" style="20" customWidth="1"/>
    <col min="14854" max="14854" width="60.625" style="20" customWidth="1"/>
    <col min="14855" max="14855" width="30.625" style="20" customWidth="1"/>
    <col min="14856" max="15104" width="9" style="20"/>
    <col min="15105" max="15105" width="0" style="20" hidden="1" customWidth="1"/>
    <col min="15106" max="15107" width="4.625" style="20" customWidth="1"/>
    <col min="15108" max="15108" width="35.625" style="20" customWidth="1"/>
    <col min="15109" max="15109" width="25.625" style="20" customWidth="1"/>
    <col min="15110" max="15110" width="60.625" style="20" customWidth="1"/>
    <col min="15111" max="15111" width="30.625" style="20" customWidth="1"/>
    <col min="15112" max="15360" width="9" style="20"/>
    <col min="15361" max="15361" width="0" style="20" hidden="1" customWidth="1"/>
    <col min="15362" max="15363" width="4.625" style="20" customWidth="1"/>
    <col min="15364" max="15364" width="35.625" style="20" customWidth="1"/>
    <col min="15365" max="15365" width="25.625" style="20" customWidth="1"/>
    <col min="15366" max="15366" width="60.625" style="20" customWidth="1"/>
    <col min="15367" max="15367" width="30.625" style="20" customWidth="1"/>
    <col min="15368" max="15616" width="9" style="20"/>
    <col min="15617" max="15617" width="0" style="20" hidden="1" customWidth="1"/>
    <col min="15618" max="15619" width="4.625" style="20" customWidth="1"/>
    <col min="15620" max="15620" width="35.625" style="20" customWidth="1"/>
    <col min="15621" max="15621" width="25.625" style="20" customWidth="1"/>
    <col min="15622" max="15622" width="60.625" style="20" customWidth="1"/>
    <col min="15623" max="15623" width="30.625" style="20" customWidth="1"/>
    <col min="15624" max="15872" width="9" style="20"/>
    <col min="15873" max="15873" width="0" style="20" hidden="1" customWidth="1"/>
    <col min="15874" max="15875" width="4.625" style="20" customWidth="1"/>
    <col min="15876" max="15876" width="35.625" style="20" customWidth="1"/>
    <col min="15877" max="15877" width="25.625" style="20" customWidth="1"/>
    <col min="15878" max="15878" width="60.625" style="20" customWidth="1"/>
    <col min="15879" max="15879" width="30.625" style="20" customWidth="1"/>
    <col min="15880" max="16128" width="9" style="20"/>
    <col min="16129" max="16129" width="0" style="20" hidden="1" customWidth="1"/>
    <col min="16130" max="16131" width="4.625" style="20" customWidth="1"/>
    <col min="16132" max="16132" width="35.625" style="20" customWidth="1"/>
    <col min="16133" max="16133" width="25.625" style="20" customWidth="1"/>
    <col min="16134" max="16134" width="60.625" style="20" customWidth="1"/>
    <col min="16135" max="16135" width="30.625" style="20" customWidth="1"/>
    <col min="16136" max="16384" width="9" style="20"/>
  </cols>
  <sheetData>
    <row r="1" spans="1:10" ht="24" customHeight="1">
      <c r="B1" s="78" t="s">
        <v>168</v>
      </c>
      <c r="C1" s="78"/>
      <c r="D1" s="78"/>
      <c r="E1" s="78"/>
      <c r="F1" s="78"/>
      <c r="G1" s="78"/>
    </row>
    <row r="2" spans="1:10" ht="21.95" customHeight="1">
      <c r="B2" s="79" t="s">
        <v>246</v>
      </c>
      <c r="C2" s="79"/>
      <c r="D2" s="79"/>
      <c r="E2" s="79"/>
      <c r="F2" s="80"/>
      <c r="G2" s="80"/>
    </row>
    <row r="3" spans="1:10" ht="21.95" customHeight="1">
      <c r="B3" s="81" t="s">
        <v>169</v>
      </c>
      <c r="C3" s="81"/>
      <c r="D3" s="81"/>
      <c r="E3" s="25" t="s">
        <v>170</v>
      </c>
      <c r="F3" s="25" t="s">
        <v>171</v>
      </c>
      <c r="G3" s="25" t="s">
        <v>162</v>
      </c>
    </row>
    <row r="4" spans="1:10" ht="21.95" customHeight="1">
      <c r="A4" s="26" t="s">
        <v>172</v>
      </c>
      <c r="B4" s="82" t="s">
        <v>173</v>
      </c>
      <c r="C4" s="82" t="s">
        <v>174</v>
      </c>
      <c r="D4" s="27" t="s">
        <v>175</v>
      </c>
      <c r="E4" s="28">
        <f>'총괄표 '!E11-E5</f>
        <v>0</v>
      </c>
      <c r="F4" s="29" t="s">
        <v>50</v>
      </c>
      <c r="G4" s="29" t="s">
        <v>50</v>
      </c>
      <c r="I4" s="20" t="s">
        <v>176</v>
      </c>
      <c r="J4" s="30">
        <f>E4+E5</f>
        <v>0</v>
      </c>
    </row>
    <row r="5" spans="1:10" ht="21.95" customHeight="1">
      <c r="A5" s="26" t="s">
        <v>177</v>
      </c>
      <c r="B5" s="82"/>
      <c r="C5" s="82"/>
      <c r="D5" s="27" t="s">
        <v>178</v>
      </c>
      <c r="E5" s="28">
        <f>공종별집계표!F7</f>
        <v>0</v>
      </c>
      <c r="F5" s="29" t="s">
        <v>248</v>
      </c>
      <c r="G5" s="29" t="s">
        <v>50</v>
      </c>
    </row>
    <row r="6" spans="1:10" ht="21.95" customHeight="1">
      <c r="A6" s="26" t="s">
        <v>163</v>
      </c>
      <c r="B6" s="82"/>
      <c r="C6" s="82"/>
      <c r="D6" s="27" t="s">
        <v>179</v>
      </c>
      <c r="E6" s="28">
        <f>'총괄표 '!K19</f>
        <v>0</v>
      </c>
      <c r="F6" s="29" t="s">
        <v>50</v>
      </c>
      <c r="G6" s="29" t="s">
        <v>50</v>
      </c>
    </row>
    <row r="7" spans="1:10" ht="21.95" customHeight="1">
      <c r="A7" s="26" t="s">
        <v>180</v>
      </c>
      <c r="B7" s="82"/>
      <c r="C7" s="82"/>
      <c r="D7" s="27" t="s">
        <v>181</v>
      </c>
      <c r="E7" s="28">
        <f>E4+E5-E6</f>
        <v>0</v>
      </c>
      <c r="F7" s="31"/>
      <c r="G7" s="29" t="s">
        <v>50</v>
      </c>
    </row>
    <row r="8" spans="1:10" ht="21.95" customHeight="1">
      <c r="A8" s="26" t="s">
        <v>182</v>
      </c>
      <c r="B8" s="82"/>
      <c r="C8" s="82" t="s">
        <v>183</v>
      </c>
      <c r="D8" s="27" t="s">
        <v>184</v>
      </c>
      <c r="E8" s="28">
        <f>'총괄표 '!G11</f>
        <v>0</v>
      </c>
      <c r="F8" s="29" t="s">
        <v>50</v>
      </c>
      <c r="G8" s="29" t="s">
        <v>50</v>
      </c>
    </row>
    <row r="9" spans="1:10" ht="21.95" customHeight="1">
      <c r="A9" s="26" t="s">
        <v>185</v>
      </c>
      <c r="B9" s="82"/>
      <c r="C9" s="82"/>
      <c r="D9" s="27" t="s">
        <v>186</v>
      </c>
      <c r="E9" s="28"/>
      <c r="F9" s="32" t="s">
        <v>187</v>
      </c>
      <c r="G9" s="29" t="s">
        <v>50</v>
      </c>
      <c r="J9" s="30">
        <f>E4+E5+E8+E11</f>
        <v>0</v>
      </c>
    </row>
    <row r="10" spans="1:10" ht="21.95" customHeight="1">
      <c r="A10" s="26" t="s">
        <v>188</v>
      </c>
      <c r="B10" s="82"/>
      <c r="C10" s="82"/>
      <c r="D10" s="27" t="s">
        <v>181</v>
      </c>
      <c r="E10" s="28">
        <f>TRUNC(E8+E9, 0)</f>
        <v>0</v>
      </c>
      <c r="F10" s="29" t="s">
        <v>50</v>
      </c>
      <c r="G10" s="29" t="s">
        <v>50</v>
      </c>
    </row>
    <row r="11" spans="1:10" ht="21.95" customHeight="1">
      <c r="A11" s="26" t="s">
        <v>189</v>
      </c>
      <c r="B11" s="82"/>
      <c r="C11" s="82" t="s">
        <v>190</v>
      </c>
      <c r="D11" s="27" t="s">
        <v>191</v>
      </c>
      <c r="E11" s="28">
        <f>'총괄표 '!I11</f>
        <v>0</v>
      </c>
      <c r="F11" s="29" t="s">
        <v>50</v>
      </c>
      <c r="G11" s="29" t="s">
        <v>50</v>
      </c>
    </row>
    <row r="12" spans="1:10" ht="21.95" customHeight="1">
      <c r="A12" s="26" t="s">
        <v>192</v>
      </c>
      <c r="B12" s="82"/>
      <c r="C12" s="82"/>
      <c r="D12" s="27" t="s">
        <v>193</v>
      </c>
      <c r="E12" s="28">
        <f>TRUNC(E10*0.039, 0)</f>
        <v>0</v>
      </c>
      <c r="F12" s="38" t="s">
        <v>252</v>
      </c>
      <c r="G12" s="66" t="s">
        <v>194</v>
      </c>
    </row>
    <row r="13" spans="1:10" ht="21.95" customHeight="1">
      <c r="A13" s="26" t="s">
        <v>195</v>
      </c>
      <c r="B13" s="82"/>
      <c r="C13" s="82"/>
      <c r="D13" s="27" t="s">
        <v>196</v>
      </c>
      <c r="E13" s="28">
        <f>TRUNC(E10*0.0087, 0)</f>
        <v>0</v>
      </c>
      <c r="F13" s="38" t="s">
        <v>253</v>
      </c>
      <c r="G13" s="66" t="s">
        <v>194</v>
      </c>
    </row>
    <row r="14" spans="1:10" s="37" customFormat="1" ht="21.95" customHeight="1">
      <c r="A14" s="34" t="s">
        <v>197</v>
      </c>
      <c r="B14" s="82"/>
      <c r="C14" s="82"/>
      <c r="D14" s="35" t="s">
        <v>198</v>
      </c>
      <c r="E14" s="36">
        <f>TRUNC(E8*0.017, 0)*0</f>
        <v>0</v>
      </c>
      <c r="F14" s="69" t="s">
        <v>254</v>
      </c>
      <c r="G14" s="67" t="s">
        <v>249</v>
      </c>
    </row>
    <row r="15" spans="1:10" s="37" customFormat="1" ht="21.95" customHeight="1">
      <c r="A15" s="34" t="s">
        <v>199</v>
      </c>
      <c r="B15" s="82"/>
      <c r="C15" s="82"/>
      <c r="D15" s="35" t="s">
        <v>200</v>
      </c>
      <c r="E15" s="36">
        <f>TRUNC(E8*0.0249, 0)*0</f>
        <v>0</v>
      </c>
      <c r="F15" s="69" t="s">
        <v>255</v>
      </c>
      <c r="G15" s="67" t="s">
        <v>250</v>
      </c>
    </row>
    <row r="16" spans="1:10" s="37" customFormat="1" ht="21.95" customHeight="1">
      <c r="A16" s="34" t="s">
        <v>201</v>
      </c>
      <c r="B16" s="82"/>
      <c r="C16" s="82"/>
      <c r="D16" s="35" t="s">
        <v>202</v>
      </c>
      <c r="E16" s="36">
        <f>TRUNC(E14*0.0655, 0)</f>
        <v>0</v>
      </c>
      <c r="F16" s="69" t="s">
        <v>203</v>
      </c>
      <c r="G16" s="67" t="s">
        <v>250</v>
      </c>
    </row>
    <row r="17" spans="1:8" ht="21.95" customHeight="1">
      <c r="A17" s="26" t="s">
        <v>204</v>
      </c>
      <c r="B17" s="82"/>
      <c r="C17" s="82"/>
      <c r="D17" s="27" t="s">
        <v>205</v>
      </c>
      <c r="E17" s="36">
        <f>TRUNC(E8*0.023, 0)*0</f>
        <v>0</v>
      </c>
      <c r="F17" s="70" t="s">
        <v>206</v>
      </c>
      <c r="G17" s="66" t="s">
        <v>251</v>
      </c>
    </row>
    <row r="18" spans="1:8" ht="21.95" customHeight="1">
      <c r="A18" s="26" t="s">
        <v>207</v>
      </c>
      <c r="B18" s="82"/>
      <c r="C18" s="82"/>
      <c r="D18" s="27" t="s">
        <v>208</v>
      </c>
      <c r="E18" s="28">
        <f>TRUNC(E7+E8)*0.0293</f>
        <v>0</v>
      </c>
      <c r="F18" s="70" t="s">
        <v>256</v>
      </c>
      <c r="G18" s="66" t="s">
        <v>209</v>
      </c>
    </row>
    <row r="19" spans="1:8" ht="21.95" customHeight="1">
      <c r="A19" s="26" t="s">
        <v>210</v>
      </c>
      <c r="B19" s="82"/>
      <c r="C19" s="82"/>
      <c r="D19" s="27" t="s">
        <v>211</v>
      </c>
      <c r="E19" s="28">
        <f>TRUNC((E7+E8+E11)*0.005, 0)</f>
        <v>0</v>
      </c>
      <c r="F19" s="38" t="s">
        <v>212</v>
      </c>
      <c r="G19" s="68" t="s">
        <v>50</v>
      </c>
    </row>
    <row r="20" spans="1:8" ht="21.95" customHeight="1">
      <c r="A20" s="26" t="s">
        <v>213</v>
      </c>
      <c r="B20" s="82"/>
      <c r="C20" s="82"/>
      <c r="D20" s="27" t="s">
        <v>214</v>
      </c>
      <c r="E20" s="28">
        <f>TRUNC((E7+E10)*0.048, 0)</f>
        <v>0</v>
      </c>
      <c r="F20" s="38" t="s">
        <v>257</v>
      </c>
      <c r="G20" s="29" t="s">
        <v>50</v>
      </c>
    </row>
    <row r="21" spans="1:8" ht="21.95" customHeight="1">
      <c r="A21" s="26" t="s">
        <v>215</v>
      </c>
      <c r="B21" s="82"/>
      <c r="C21" s="82"/>
      <c r="D21" s="27" t="s">
        <v>216</v>
      </c>
      <c r="E21" s="28"/>
      <c r="F21" s="70" t="s">
        <v>258</v>
      </c>
      <c r="G21" s="29" t="s">
        <v>50</v>
      </c>
    </row>
    <row r="22" spans="1:8" ht="21.95" customHeight="1">
      <c r="A22" s="26" t="s">
        <v>217</v>
      </c>
      <c r="B22" s="82"/>
      <c r="C22" s="82"/>
      <c r="D22" s="27" t="s">
        <v>181</v>
      </c>
      <c r="E22" s="28">
        <f>TRUNC(E11+E12+E13+E14+E15+E17+E18+E16+E20+E19+E21, 0)</f>
        <v>0</v>
      </c>
      <c r="F22" s="29" t="s">
        <v>50</v>
      </c>
      <c r="G22" s="29" t="s">
        <v>50</v>
      </c>
    </row>
    <row r="23" spans="1:8" ht="21.95" customHeight="1">
      <c r="A23" s="26" t="s">
        <v>218</v>
      </c>
      <c r="B23" s="76" t="s">
        <v>219</v>
      </c>
      <c r="C23" s="76"/>
      <c r="D23" s="77"/>
      <c r="E23" s="28">
        <f>TRUNC(E7+E10+E22, 0)</f>
        <v>0</v>
      </c>
      <c r="F23" s="29" t="s">
        <v>50</v>
      </c>
      <c r="G23" s="29" t="s">
        <v>50</v>
      </c>
    </row>
    <row r="24" spans="1:8" ht="21.95" customHeight="1">
      <c r="A24" s="26" t="s">
        <v>220</v>
      </c>
      <c r="B24" s="76" t="s">
        <v>221</v>
      </c>
      <c r="C24" s="76"/>
      <c r="D24" s="77"/>
      <c r="E24" s="28">
        <f>TRUNC(E23*0.06, 0)</f>
        <v>0</v>
      </c>
      <c r="F24" s="29" t="s">
        <v>222</v>
      </c>
      <c r="G24" s="29" t="s">
        <v>50</v>
      </c>
    </row>
    <row r="25" spans="1:8" ht="21.95" customHeight="1">
      <c r="A25" s="26" t="s">
        <v>223</v>
      </c>
      <c r="B25" s="76" t="s">
        <v>224</v>
      </c>
      <c r="C25" s="76"/>
      <c r="D25" s="77"/>
      <c r="E25" s="28">
        <f>TRUNC((E10+E22+E24)*0.15)</f>
        <v>0</v>
      </c>
      <c r="F25" s="39" t="s">
        <v>225</v>
      </c>
      <c r="G25" s="40"/>
    </row>
    <row r="26" spans="1:8" ht="21.95" customHeight="1">
      <c r="A26" s="26" t="s">
        <v>226</v>
      </c>
      <c r="B26" s="76" t="s">
        <v>227</v>
      </c>
      <c r="C26" s="76"/>
      <c r="D26" s="77"/>
      <c r="E26" s="28">
        <f>TRUNC((E23+E24+E25), 0)</f>
        <v>0</v>
      </c>
      <c r="F26" s="29" t="s">
        <v>50</v>
      </c>
      <c r="G26" s="29" t="s">
        <v>50</v>
      </c>
    </row>
    <row r="27" spans="1:8" ht="21.95" customHeight="1">
      <c r="A27" s="26" t="s">
        <v>228</v>
      </c>
      <c r="B27" s="76" t="s">
        <v>229</v>
      </c>
      <c r="C27" s="76"/>
      <c r="D27" s="77"/>
      <c r="E27" s="28"/>
      <c r="F27" s="29" t="s">
        <v>230</v>
      </c>
      <c r="G27" s="29" t="s">
        <v>50</v>
      </c>
    </row>
    <row r="28" spans="1:8" ht="21.95" customHeight="1">
      <c r="A28" s="26" t="s">
        <v>231</v>
      </c>
      <c r="B28" s="76" t="s">
        <v>232</v>
      </c>
      <c r="C28" s="76"/>
      <c r="D28" s="77"/>
      <c r="E28" s="28"/>
      <c r="F28" s="29" t="s">
        <v>50</v>
      </c>
      <c r="G28" s="33" t="s">
        <v>233</v>
      </c>
      <c r="H28" s="41"/>
    </row>
    <row r="29" spans="1:8" ht="21.95" customHeight="1">
      <c r="A29" s="26" t="s">
        <v>234</v>
      </c>
      <c r="B29" s="76" t="s">
        <v>235</v>
      </c>
      <c r="C29" s="76"/>
      <c r="D29" s="77"/>
      <c r="E29" s="28"/>
      <c r="F29" s="29" t="s">
        <v>50</v>
      </c>
      <c r="G29" s="29" t="s">
        <v>50</v>
      </c>
    </row>
  </sheetData>
  <mergeCells count="15">
    <mergeCell ref="B1:G1"/>
    <mergeCell ref="B2:E2"/>
    <mergeCell ref="F2:G2"/>
    <mergeCell ref="B3:D3"/>
    <mergeCell ref="B4:B22"/>
    <mergeCell ref="C4:C7"/>
    <mergeCell ref="C8:C10"/>
    <mergeCell ref="C11:C22"/>
    <mergeCell ref="B28:D28"/>
    <mergeCell ref="B29:D29"/>
    <mergeCell ref="B23:D23"/>
    <mergeCell ref="B24:D24"/>
    <mergeCell ref="B25:D25"/>
    <mergeCell ref="B26:D26"/>
    <mergeCell ref="B27:D27"/>
  </mergeCells>
  <phoneticPr fontId="1" type="noConversion"/>
  <pageMargins left="0.78740157480314965" right="0" top="0.39370078740157483" bottom="0.39370078740157483" header="0" footer="0"/>
  <pageSetup paperSize="9" scale="7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IV41"/>
  <sheetViews>
    <sheetView showZeros="0" view="pageBreakPreview" zoomScale="90" zoomScaleNormal="75" zoomScaleSheetLayoutView="90" workbookViewId="0">
      <selection activeCell="A15" sqref="A15"/>
    </sheetView>
  </sheetViews>
  <sheetFormatPr defaultRowHeight="16.5"/>
  <cols>
    <col min="1" max="1" width="41.875" customWidth="1"/>
    <col min="2" max="3" width="5.375" customWidth="1"/>
    <col min="4" max="11" width="15.625" customWidth="1"/>
    <col min="12" max="12" width="14.375" customWidth="1"/>
    <col min="13" max="13" width="26.5" customWidth="1"/>
    <col min="257" max="257" width="41.875" customWidth="1"/>
    <col min="258" max="259" width="5.375" customWidth="1"/>
    <col min="260" max="267" width="15.625" customWidth="1"/>
    <col min="268" max="268" width="14.375" customWidth="1"/>
    <col min="269" max="269" width="26.5" customWidth="1"/>
    <col min="513" max="513" width="41.875" customWidth="1"/>
    <col min="514" max="515" width="5.375" customWidth="1"/>
    <col min="516" max="523" width="15.625" customWidth="1"/>
    <col min="524" max="524" width="14.375" customWidth="1"/>
    <col min="525" max="525" width="26.5" customWidth="1"/>
    <col min="769" max="769" width="41.875" customWidth="1"/>
    <col min="770" max="771" width="5.375" customWidth="1"/>
    <col min="772" max="779" width="15.625" customWidth="1"/>
    <col min="780" max="780" width="14.375" customWidth="1"/>
    <col min="781" max="781" width="26.5" customWidth="1"/>
    <col min="1025" max="1025" width="41.875" customWidth="1"/>
    <col min="1026" max="1027" width="5.375" customWidth="1"/>
    <col min="1028" max="1035" width="15.625" customWidth="1"/>
    <col min="1036" max="1036" width="14.375" customWidth="1"/>
    <col min="1037" max="1037" width="26.5" customWidth="1"/>
    <col min="1281" max="1281" width="41.875" customWidth="1"/>
    <col min="1282" max="1283" width="5.375" customWidth="1"/>
    <col min="1284" max="1291" width="15.625" customWidth="1"/>
    <col min="1292" max="1292" width="14.375" customWidth="1"/>
    <col min="1293" max="1293" width="26.5" customWidth="1"/>
    <col min="1537" max="1537" width="41.875" customWidth="1"/>
    <col min="1538" max="1539" width="5.375" customWidth="1"/>
    <col min="1540" max="1547" width="15.625" customWidth="1"/>
    <col min="1548" max="1548" width="14.375" customWidth="1"/>
    <col min="1549" max="1549" width="26.5" customWidth="1"/>
    <col min="1793" max="1793" width="41.875" customWidth="1"/>
    <col min="1794" max="1795" width="5.375" customWidth="1"/>
    <col min="1796" max="1803" width="15.625" customWidth="1"/>
    <col min="1804" max="1804" width="14.375" customWidth="1"/>
    <col min="1805" max="1805" width="26.5" customWidth="1"/>
    <col min="2049" max="2049" width="41.875" customWidth="1"/>
    <col min="2050" max="2051" width="5.375" customWidth="1"/>
    <col min="2052" max="2059" width="15.625" customWidth="1"/>
    <col min="2060" max="2060" width="14.375" customWidth="1"/>
    <col min="2061" max="2061" width="26.5" customWidth="1"/>
    <col min="2305" max="2305" width="41.875" customWidth="1"/>
    <col min="2306" max="2307" width="5.375" customWidth="1"/>
    <col min="2308" max="2315" width="15.625" customWidth="1"/>
    <col min="2316" max="2316" width="14.375" customWidth="1"/>
    <col min="2317" max="2317" width="26.5" customWidth="1"/>
    <col min="2561" max="2561" width="41.875" customWidth="1"/>
    <col min="2562" max="2563" width="5.375" customWidth="1"/>
    <col min="2564" max="2571" width="15.625" customWidth="1"/>
    <col min="2572" max="2572" width="14.375" customWidth="1"/>
    <col min="2573" max="2573" width="26.5" customWidth="1"/>
    <col min="2817" max="2817" width="41.875" customWidth="1"/>
    <col min="2818" max="2819" width="5.375" customWidth="1"/>
    <col min="2820" max="2827" width="15.625" customWidth="1"/>
    <col min="2828" max="2828" width="14.375" customWidth="1"/>
    <col min="2829" max="2829" width="26.5" customWidth="1"/>
    <col min="3073" max="3073" width="41.875" customWidth="1"/>
    <col min="3074" max="3075" width="5.375" customWidth="1"/>
    <col min="3076" max="3083" width="15.625" customWidth="1"/>
    <col min="3084" max="3084" width="14.375" customWidth="1"/>
    <col min="3085" max="3085" width="26.5" customWidth="1"/>
    <col min="3329" max="3329" width="41.875" customWidth="1"/>
    <col min="3330" max="3331" width="5.375" customWidth="1"/>
    <col min="3332" max="3339" width="15.625" customWidth="1"/>
    <col min="3340" max="3340" width="14.375" customWidth="1"/>
    <col min="3341" max="3341" width="26.5" customWidth="1"/>
    <col min="3585" max="3585" width="41.875" customWidth="1"/>
    <col min="3586" max="3587" width="5.375" customWidth="1"/>
    <col min="3588" max="3595" width="15.625" customWidth="1"/>
    <col min="3596" max="3596" width="14.375" customWidth="1"/>
    <col min="3597" max="3597" width="26.5" customWidth="1"/>
    <col min="3841" max="3841" width="41.875" customWidth="1"/>
    <col min="3842" max="3843" width="5.375" customWidth="1"/>
    <col min="3844" max="3851" width="15.625" customWidth="1"/>
    <col min="3852" max="3852" width="14.375" customWidth="1"/>
    <col min="3853" max="3853" width="26.5" customWidth="1"/>
    <col min="4097" max="4097" width="41.875" customWidth="1"/>
    <col min="4098" max="4099" width="5.375" customWidth="1"/>
    <col min="4100" max="4107" width="15.625" customWidth="1"/>
    <col min="4108" max="4108" width="14.375" customWidth="1"/>
    <col min="4109" max="4109" width="26.5" customWidth="1"/>
    <col min="4353" max="4353" width="41.875" customWidth="1"/>
    <col min="4354" max="4355" width="5.375" customWidth="1"/>
    <col min="4356" max="4363" width="15.625" customWidth="1"/>
    <col min="4364" max="4364" width="14.375" customWidth="1"/>
    <col min="4365" max="4365" width="26.5" customWidth="1"/>
    <col min="4609" max="4609" width="41.875" customWidth="1"/>
    <col min="4610" max="4611" width="5.375" customWidth="1"/>
    <col min="4612" max="4619" width="15.625" customWidth="1"/>
    <col min="4620" max="4620" width="14.375" customWidth="1"/>
    <col min="4621" max="4621" width="26.5" customWidth="1"/>
    <col min="4865" max="4865" width="41.875" customWidth="1"/>
    <col min="4866" max="4867" width="5.375" customWidth="1"/>
    <col min="4868" max="4875" width="15.625" customWidth="1"/>
    <col min="4876" max="4876" width="14.375" customWidth="1"/>
    <col min="4877" max="4877" width="26.5" customWidth="1"/>
    <col min="5121" max="5121" width="41.875" customWidth="1"/>
    <col min="5122" max="5123" width="5.375" customWidth="1"/>
    <col min="5124" max="5131" width="15.625" customWidth="1"/>
    <col min="5132" max="5132" width="14.375" customWidth="1"/>
    <col min="5133" max="5133" width="26.5" customWidth="1"/>
    <col min="5377" max="5377" width="41.875" customWidth="1"/>
    <col min="5378" max="5379" width="5.375" customWidth="1"/>
    <col min="5380" max="5387" width="15.625" customWidth="1"/>
    <col min="5388" max="5388" width="14.375" customWidth="1"/>
    <col min="5389" max="5389" width="26.5" customWidth="1"/>
    <col min="5633" max="5633" width="41.875" customWidth="1"/>
    <col min="5634" max="5635" width="5.375" customWidth="1"/>
    <col min="5636" max="5643" width="15.625" customWidth="1"/>
    <col min="5644" max="5644" width="14.375" customWidth="1"/>
    <col min="5645" max="5645" width="26.5" customWidth="1"/>
    <col min="5889" max="5889" width="41.875" customWidth="1"/>
    <col min="5890" max="5891" width="5.375" customWidth="1"/>
    <col min="5892" max="5899" width="15.625" customWidth="1"/>
    <col min="5900" max="5900" width="14.375" customWidth="1"/>
    <col min="5901" max="5901" width="26.5" customWidth="1"/>
    <col min="6145" max="6145" width="41.875" customWidth="1"/>
    <col min="6146" max="6147" width="5.375" customWidth="1"/>
    <col min="6148" max="6155" width="15.625" customWidth="1"/>
    <col min="6156" max="6156" width="14.375" customWidth="1"/>
    <col min="6157" max="6157" width="26.5" customWidth="1"/>
    <col min="6401" max="6401" width="41.875" customWidth="1"/>
    <col min="6402" max="6403" width="5.375" customWidth="1"/>
    <col min="6404" max="6411" width="15.625" customWidth="1"/>
    <col min="6412" max="6412" width="14.375" customWidth="1"/>
    <col min="6413" max="6413" width="26.5" customWidth="1"/>
    <col min="6657" max="6657" width="41.875" customWidth="1"/>
    <col min="6658" max="6659" width="5.375" customWidth="1"/>
    <col min="6660" max="6667" width="15.625" customWidth="1"/>
    <col min="6668" max="6668" width="14.375" customWidth="1"/>
    <col min="6669" max="6669" width="26.5" customWidth="1"/>
    <col min="6913" max="6913" width="41.875" customWidth="1"/>
    <col min="6914" max="6915" width="5.375" customWidth="1"/>
    <col min="6916" max="6923" width="15.625" customWidth="1"/>
    <col min="6924" max="6924" width="14.375" customWidth="1"/>
    <col min="6925" max="6925" width="26.5" customWidth="1"/>
    <col min="7169" max="7169" width="41.875" customWidth="1"/>
    <col min="7170" max="7171" width="5.375" customWidth="1"/>
    <col min="7172" max="7179" width="15.625" customWidth="1"/>
    <col min="7180" max="7180" width="14.375" customWidth="1"/>
    <col min="7181" max="7181" width="26.5" customWidth="1"/>
    <col min="7425" max="7425" width="41.875" customWidth="1"/>
    <col min="7426" max="7427" width="5.375" customWidth="1"/>
    <col min="7428" max="7435" width="15.625" customWidth="1"/>
    <col min="7436" max="7436" width="14.375" customWidth="1"/>
    <col min="7437" max="7437" width="26.5" customWidth="1"/>
    <col min="7681" max="7681" width="41.875" customWidth="1"/>
    <col min="7682" max="7683" width="5.375" customWidth="1"/>
    <col min="7684" max="7691" width="15.625" customWidth="1"/>
    <col min="7692" max="7692" width="14.375" customWidth="1"/>
    <col min="7693" max="7693" width="26.5" customWidth="1"/>
    <col min="7937" max="7937" width="41.875" customWidth="1"/>
    <col min="7938" max="7939" width="5.375" customWidth="1"/>
    <col min="7940" max="7947" width="15.625" customWidth="1"/>
    <col min="7948" max="7948" width="14.375" customWidth="1"/>
    <col min="7949" max="7949" width="26.5" customWidth="1"/>
    <col min="8193" max="8193" width="41.875" customWidth="1"/>
    <col min="8194" max="8195" width="5.375" customWidth="1"/>
    <col min="8196" max="8203" width="15.625" customWidth="1"/>
    <col min="8204" max="8204" width="14.375" customWidth="1"/>
    <col min="8205" max="8205" width="26.5" customWidth="1"/>
    <col min="8449" max="8449" width="41.875" customWidth="1"/>
    <col min="8450" max="8451" width="5.375" customWidth="1"/>
    <col min="8452" max="8459" width="15.625" customWidth="1"/>
    <col min="8460" max="8460" width="14.375" customWidth="1"/>
    <col min="8461" max="8461" width="26.5" customWidth="1"/>
    <col min="8705" max="8705" width="41.875" customWidth="1"/>
    <col min="8706" max="8707" width="5.375" customWidth="1"/>
    <col min="8708" max="8715" width="15.625" customWidth="1"/>
    <col min="8716" max="8716" width="14.375" customWidth="1"/>
    <col min="8717" max="8717" width="26.5" customWidth="1"/>
    <col min="8961" max="8961" width="41.875" customWidth="1"/>
    <col min="8962" max="8963" width="5.375" customWidth="1"/>
    <col min="8964" max="8971" width="15.625" customWidth="1"/>
    <col min="8972" max="8972" width="14.375" customWidth="1"/>
    <col min="8973" max="8973" width="26.5" customWidth="1"/>
    <col min="9217" max="9217" width="41.875" customWidth="1"/>
    <col min="9218" max="9219" width="5.375" customWidth="1"/>
    <col min="9220" max="9227" width="15.625" customWidth="1"/>
    <col min="9228" max="9228" width="14.375" customWidth="1"/>
    <col min="9229" max="9229" width="26.5" customWidth="1"/>
    <col min="9473" max="9473" width="41.875" customWidth="1"/>
    <col min="9474" max="9475" width="5.375" customWidth="1"/>
    <col min="9476" max="9483" width="15.625" customWidth="1"/>
    <col min="9484" max="9484" width="14.375" customWidth="1"/>
    <col min="9485" max="9485" width="26.5" customWidth="1"/>
    <col min="9729" max="9729" width="41.875" customWidth="1"/>
    <col min="9730" max="9731" width="5.375" customWidth="1"/>
    <col min="9732" max="9739" width="15.625" customWidth="1"/>
    <col min="9740" max="9740" width="14.375" customWidth="1"/>
    <col min="9741" max="9741" width="26.5" customWidth="1"/>
    <col min="9985" max="9985" width="41.875" customWidth="1"/>
    <col min="9986" max="9987" width="5.375" customWidth="1"/>
    <col min="9988" max="9995" width="15.625" customWidth="1"/>
    <col min="9996" max="9996" width="14.375" customWidth="1"/>
    <col min="9997" max="9997" width="26.5" customWidth="1"/>
    <col min="10241" max="10241" width="41.875" customWidth="1"/>
    <col min="10242" max="10243" width="5.375" customWidth="1"/>
    <col min="10244" max="10251" width="15.625" customWidth="1"/>
    <col min="10252" max="10252" width="14.375" customWidth="1"/>
    <col min="10253" max="10253" width="26.5" customWidth="1"/>
    <col min="10497" max="10497" width="41.875" customWidth="1"/>
    <col min="10498" max="10499" width="5.375" customWidth="1"/>
    <col min="10500" max="10507" width="15.625" customWidth="1"/>
    <col min="10508" max="10508" width="14.375" customWidth="1"/>
    <col min="10509" max="10509" width="26.5" customWidth="1"/>
    <col min="10753" max="10753" width="41.875" customWidth="1"/>
    <col min="10754" max="10755" width="5.375" customWidth="1"/>
    <col min="10756" max="10763" width="15.625" customWidth="1"/>
    <col min="10764" max="10764" width="14.375" customWidth="1"/>
    <col min="10765" max="10765" width="26.5" customWidth="1"/>
    <col min="11009" max="11009" width="41.875" customWidth="1"/>
    <col min="11010" max="11011" width="5.375" customWidth="1"/>
    <col min="11012" max="11019" width="15.625" customWidth="1"/>
    <col min="11020" max="11020" width="14.375" customWidth="1"/>
    <col min="11021" max="11021" width="26.5" customWidth="1"/>
    <col min="11265" max="11265" width="41.875" customWidth="1"/>
    <col min="11266" max="11267" width="5.375" customWidth="1"/>
    <col min="11268" max="11275" width="15.625" customWidth="1"/>
    <col min="11276" max="11276" width="14.375" customWidth="1"/>
    <col min="11277" max="11277" width="26.5" customWidth="1"/>
    <col min="11521" max="11521" width="41.875" customWidth="1"/>
    <col min="11522" max="11523" width="5.375" customWidth="1"/>
    <col min="11524" max="11531" width="15.625" customWidth="1"/>
    <col min="11532" max="11532" width="14.375" customWidth="1"/>
    <col min="11533" max="11533" width="26.5" customWidth="1"/>
    <col min="11777" max="11777" width="41.875" customWidth="1"/>
    <col min="11778" max="11779" width="5.375" customWidth="1"/>
    <col min="11780" max="11787" width="15.625" customWidth="1"/>
    <col min="11788" max="11788" width="14.375" customWidth="1"/>
    <col min="11789" max="11789" width="26.5" customWidth="1"/>
    <col min="12033" max="12033" width="41.875" customWidth="1"/>
    <col min="12034" max="12035" width="5.375" customWidth="1"/>
    <col min="12036" max="12043" width="15.625" customWidth="1"/>
    <col min="12044" max="12044" width="14.375" customWidth="1"/>
    <col min="12045" max="12045" width="26.5" customWidth="1"/>
    <col min="12289" max="12289" width="41.875" customWidth="1"/>
    <col min="12290" max="12291" width="5.375" customWidth="1"/>
    <col min="12292" max="12299" width="15.625" customWidth="1"/>
    <col min="12300" max="12300" width="14.375" customWidth="1"/>
    <col min="12301" max="12301" width="26.5" customWidth="1"/>
    <col min="12545" max="12545" width="41.875" customWidth="1"/>
    <col min="12546" max="12547" width="5.375" customWidth="1"/>
    <col min="12548" max="12555" width="15.625" customWidth="1"/>
    <col min="12556" max="12556" width="14.375" customWidth="1"/>
    <col min="12557" max="12557" width="26.5" customWidth="1"/>
    <col min="12801" max="12801" width="41.875" customWidth="1"/>
    <col min="12802" max="12803" width="5.375" customWidth="1"/>
    <col min="12804" max="12811" width="15.625" customWidth="1"/>
    <col min="12812" max="12812" width="14.375" customWidth="1"/>
    <col min="12813" max="12813" width="26.5" customWidth="1"/>
    <col min="13057" max="13057" width="41.875" customWidth="1"/>
    <col min="13058" max="13059" width="5.375" customWidth="1"/>
    <col min="13060" max="13067" width="15.625" customWidth="1"/>
    <col min="13068" max="13068" width="14.375" customWidth="1"/>
    <col min="13069" max="13069" width="26.5" customWidth="1"/>
    <col min="13313" max="13313" width="41.875" customWidth="1"/>
    <col min="13314" max="13315" width="5.375" customWidth="1"/>
    <col min="13316" max="13323" width="15.625" customWidth="1"/>
    <col min="13324" max="13324" width="14.375" customWidth="1"/>
    <col min="13325" max="13325" width="26.5" customWidth="1"/>
    <col min="13569" max="13569" width="41.875" customWidth="1"/>
    <col min="13570" max="13571" width="5.375" customWidth="1"/>
    <col min="13572" max="13579" width="15.625" customWidth="1"/>
    <col min="13580" max="13580" width="14.375" customWidth="1"/>
    <col min="13581" max="13581" width="26.5" customWidth="1"/>
    <col min="13825" max="13825" width="41.875" customWidth="1"/>
    <col min="13826" max="13827" width="5.375" customWidth="1"/>
    <col min="13828" max="13835" width="15.625" customWidth="1"/>
    <col min="13836" max="13836" width="14.375" customWidth="1"/>
    <col min="13837" max="13837" width="26.5" customWidth="1"/>
    <col min="14081" max="14081" width="41.875" customWidth="1"/>
    <col min="14082" max="14083" width="5.375" customWidth="1"/>
    <col min="14084" max="14091" width="15.625" customWidth="1"/>
    <col min="14092" max="14092" width="14.375" customWidth="1"/>
    <col min="14093" max="14093" width="26.5" customWidth="1"/>
    <col min="14337" max="14337" width="41.875" customWidth="1"/>
    <col min="14338" max="14339" width="5.375" customWidth="1"/>
    <col min="14340" max="14347" width="15.625" customWidth="1"/>
    <col min="14348" max="14348" width="14.375" customWidth="1"/>
    <col min="14349" max="14349" width="26.5" customWidth="1"/>
    <col min="14593" max="14593" width="41.875" customWidth="1"/>
    <col min="14594" max="14595" width="5.375" customWidth="1"/>
    <col min="14596" max="14603" width="15.625" customWidth="1"/>
    <col min="14604" max="14604" width="14.375" customWidth="1"/>
    <col min="14605" max="14605" width="26.5" customWidth="1"/>
    <col min="14849" max="14849" width="41.875" customWidth="1"/>
    <col min="14850" max="14851" width="5.375" customWidth="1"/>
    <col min="14852" max="14859" width="15.625" customWidth="1"/>
    <col min="14860" max="14860" width="14.375" customWidth="1"/>
    <col min="14861" max="14861" width="26.5" customWidth="1"/>
    <col min="15105" max="15105" width="41.875" customWidth="1"/>
    <col min="15106" max="15107" width="5.375" customWidth="1"/>
    <col min="15108" max="15115" width="15.625" customWidth="1"/>
    <col min="15116" max="15116" width="14.375" customWidth="1"/>
    <col min="15117" max="15117" width="26.5" customWidth="1"/>
    <col min="15361" max="15361" width="41.875" customWidth="1"/>
    <col min="15362" max="15363" width="5.375" customWidth="1"/>
    <col min="15364" max="15371" width="15.625" customWidth="1"/>
    <col min="15372" max="15372" width="14.375" customWidth="1"/>
    <col min="15373" max="15373" width="26.5" customWidth="1"/>
    <col min="15617" max="15617" width="41.875" customWidth="1"/>
    <col min="15618" max="15619" width="5.375" customWidth="1"/>
    <col min="15620" max="15627" width="15.625" customWidth="1"/>
    <col min="15628" max="15628" width="14.375" customWidth="1"/>
    <col min="15629" max="15629" width="26.5" customWidth="1"/>
    <col min="15873" max="15873" width="41.875" customWidth="1"/>
    <col min="15874" max="15875" width="5.375" customWidth="1"/>
    <col min="15876" max="15883" width="15.625" customWidth="1"/>
    <col min="15884" max="15884" width="14.375" customWidth="1"/>
    <col min="15885" max="15885" width="26.5" customWidth="1"/>
    <col min="16129" max="16129" width="41.875" customWidth="1"/>
    <col min="16130" max="16131" width="5.375" customWidth="1"/>
    <col min="16132" max="16139" width="15.625" customWidth="1"/>
    <col min="16140" max="16140" width="14.375" customWidth="1"/>
    <col min="16141" max="16141" width="26.5" customWidth="1"/>
  </cols>
  <sheetData>
    <row r="1" spans="1:13" ht="30" customHeight="1">
      <c r="A1" s="83" t="s">
        <v>236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42"/>
    </row>
    <row r="2" spans="1:13" ht="30" customHeight="1">
      <c r="A2" s="84" t="s">
        <v>259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42"/>
    </row>
    <row r="3" spans="1:13" ht="30" customHeight="1">
      <c r="A3" s="86" t="s">
        <v>237</v>
      </c>
      <c r="B3" s="86" t="s">
        <v>3</v>
      </c>
      <c r="C3" s="86" t="s">
        <v>4</v>
      </c>
      <c r="D3" s="86" t="s">
        <v>5</v>
      </c>
      <c r="E3" s="86"/>
      <c r="F3" s="86" t="s">
        <v>8</v>
      </c>
      <c r="G3" s="86"/>
      <c r="H3" s="86" t="s">
        <v>160</v>
      </c>
      <c r="I3" s="86"/>
      <c r="J3" s="86" t="s">
        <v>161</v>
      </c>
      <c r="K3" s="86"/>
      <c r="L3" s="86" t="s">
        <v>238</v>
      </c>
      <c r="M3" s="42"/>
    </row>
    <row r="4" spans="1:13" ht="30" customHeight="1">
      <c r="A4" s="86"/>
      <c r="B4" s="86"/>
      <c r="C4" s="86"/>
      <c r="D4" s="43" t="s">
        <v>239</v>
      </c>
      <c r="E4" s="43" t="s">
        <v>240</v>
      </c>
      <c r="F4" s="43" t="s">
        <v>239</v>
      </c>
      <c r="G4" s="43" t="s">
        <v>240</v>
      </c>
      <c r="H4" s="43" t="s">
        <v>239</v>
      </c>
      <c r="I4" s="43" t="s">
        <v>240</v>
      </c>
      <c r="J4" s="43" t="s">
        <v>239</v>
      </c>
      <c r="K4" s="43" t="s">
        <v>240</v>
      </c>
      <c r="L4" s="86"/>
      <c r="M4" s="42"/>
    </row>
    <row r="5" spans="1:13" ht="24" customHeight="1">
      <c r="A5" s="44" t="s">
        <v>241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2"/>
    </row>
    <row r="6" spans="1:13" s="49" customFormat="1" ht="24" customHeight="1">
      <c r="A6" s="45" t="s">
        <v>260</v>
      </c>
      <c r="B6" s="46" t="s">
        <v>242</v>
      </c>
      <c r="C6" s="47">
        <v>1</v>
      </c>
      <c r="D6" s="47"/>
      <c r="E6" s="47">
        <f>공종별집계표!F6</f>
        <v>0</v>
      </c>
      <c r="F6" s="47"/>
      <c r="G6" s="47">
        <f>공종별집계표!H6</f>
        <v>0</v>
      </c>
      <c r="H6" s="47"/>
      <c r="I6" s="47">
        <f>공종별집계표!J6</f>
        <v>0</v>
      </c>
      <c r="J6" s="47"/>
      <c r="K6" s="47">
        <f>E6+G6+I6</f>
        <v>0</v>
      </c>
      <c r="L6" s="47"/>
      <c r="M6" s="48"/>
    </row>
    <row r="7" spans="1:13" s="49" customFormat="1" ht="24" customHeight="1">
      <c r="A7" s="45"/>
      <c r="B7" s="46"/>
      <c r="C7" s="47"/>
      <c r="D7" s="47"/>
      <c r="E7" s="47"/>
      <c r="F7" s="47"/>
      <c r="G7" s="47"/>
      <c r="H7" s="47"/>
      <c r="I7" s="47"/>
      <c r="J7" s="47"/>
      <c r="K7" s="47">
        <f t="shared" ref="K7" si="0">E7+G7+I7</f>
        <v>0</v>
      </c>
      <c r="L7" s="47"/>
      <c r="M7" s="48"/>
    </row>
    <row r="8" spans="1:13" s="49" customFormat="1" ht="24" customHeight="1">
      <c r="A8" s="45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8"/>
    </row>
    <row r="9" spans="1:13" s="49" customFormat="1" ht="24" customHeight="1">
      <c r="A9" s="45"/>
      <c r="B9" s="46"/>
      <c r="C9" s="47"/>
      <c r="D9" s="47"/>
      <c r="E9" s="47"/>
      <c r="F9" s="47"/>
      <c r="G9" s="47"/>
      <c r="H9" s="47"/>
      <c r="I9" s="47"/>
      <c r="J9" s="47"/>
      <c r="K9" s="47"/>
      <c r="L9" s="47"/>
      <c r="M9" s="48"/>
    </row>
    <row r="10" spans="1:13" s="49" customFormat="1" ht="24" customHeight="1">
      <c r="A10" s="45"/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8"/>
    </row>
    <row r="11" spans="1:13" s="49" customFormat="1" ht="24" customHeight="1">
      <c r="A11" s="50" t="s">
        <v>243</v>
      </c>
      <c r="B11" s="50"/>
      <c r="C11" s="50"/>
      <c r="D11" s="50"/>
      <c r="E11" s="50">
        <f>E6+E7+E8+E9+E10</f>
        <v>0</v>
      </c>
      <c r="F11" s="50"/>
      <c r="G11" s="50">
        <f>G6+G7+G8+G9+G10</f>
        <v>0</v>
      </c>
      <c r="H11" s="50"/>
      <c r="I11" s="50">
        <f>I6+I7+I8+I9+I10</f>
        <v>0</v>
      </c>
      <c r="J11" s="50"/>
      <c r="K11" s="50">
        <f>SUM(K6:K10)</f>
        <v>0</v>
      </c>
      <c r="L11" s="50"/>
    </row>
    <row r="12" spans="1:13" s="49" customFormat="1" ht="24" customHeight="1">
      <c r="A12" s="51"/>
      <c r="B12" s="52"/>
      <c r="C12" s="52"/>
      <c r="D12" s="52"/>
      <c r="E12" s="52"/>
      <c r="F12" s="52"/>
      <c r="G12" s="53"/>
      <c r="H12" s="52"/>
      <c r="I12" s="52"/>
      <c r="J12" s="52"/>
      <c r="K12" s="47">
        <f t="shared" ref="K12:K13" si="1">E12+G12+I12</f>
        <v>0</v>
      </c>
      <c r="L12" s="52"/>
    </row>
    <row r="13" spans="1:13" s="49" customFormat="1" ht="24" customHeight="1">
      <c r="A13" s="54" t="s">
        <v>244</v>
      </c>
      <c r="B13" s="47"/>
      <c r="C13" s="47"/>
      <c r="D13" s="47"/>
      <c r="E13" s="47"/>
      <c r="F13" s="47"/>
      <c r="G13" s="55"/>
      <c r="H13" s="47"/>
      <c r="I13" s="47"/>
      <c r="J13" s="47"/>
      <c r="K13" s="47">
        <f t="shared" si="1"/>
        <v>0</v>
      </c>
      <c r="L13" s="47"/>
    </row>
    <row r="14" spans="1:13" s="49" customFormat="1" ht="24" customHeight="1">
      <c r="A14" s="45" t="s">
        <v>260</v>
      </c>
      <c r="B14" s="46" t="s">
        <v>242</v>
      </c>
      <c r="C14" s="47">
        <v>1</v>
      </c>
      <c r="D14" s="47"/>
      <c r="E14" s="47">
        <f>공종별집계표!F13</f>
        <v>0</v>
      </c>
      <c r="F14" s="47"/>
      <c r="G14" s="47">
        <f>공종별집계표!H13</f>
        <v>0</v>
      </c>
      <c r="H14" s="47"/>
      <c r="I14" s="47">
        <f>공종별집계표!J13</f>
        <v>0</v>
      </c>
      <c r="J14" s="47"/>
      <c r="K14" s="47">
        <f>E14+G14+I14</f>
        <v>0</v>
      </c>
      <c r="L14" s="47"/>
      <c r="M14" s="48"/>
    </row>
    <row r="15" spans="1:13" s="49" customFormat="1" ht="24" customHeight="1">
      <c r="A15" s="45"/>
      <c r="B15" s="46"/>
      <c r="C15" s="47"/>
      <c r="D15" s="47"/>
      <c r="E15" s="47"/>
      <c r="F15" s="47"/>
      <c r="G15" s="47"/>
      <c r="H15" s="47"/>
      <c r="I15" s="47">
        <f>[22]공종별집계표!J21</f>
        <v>0</v>
      </c>
      <c r="J15" s="47"/>
      <c r="K15" s="47">
        <f t="shared" ref="K15" si="2">E15+G15+I15</f>
        <v>0</v>
      </c>
      <c r="L15" s="47"/>
      <c r="M15" s="48"/>
    </row>
    <row r="16" spans="1:13" s="49" customFormat="1" ht="24" customHeight="1">
      <c r="A16" s="45"/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8"/>
    </row>
    <row r="17" spans="1:256" s="49" customFormat="1" ht="24" customHeight="1">
      <c r="A17" s="45"/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8"/>
    </row>
    <row r="18" spans="1:256" s="49" customFormat="1" ht="24" customHeight="1">
      <c r="A18" s="45"/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</row>
    <row r="19" spans="1:256" s="49" customFormat="1" ht="24" customHeight="1">
      <c r="A19" s="50" t="s">
        <v>243</v>
      </c>
      <c r="B19" s="50"/>
      <c r="C19" s="50"/>
      <c r="D19" s="50"/>
      <c r="E19" s="50">
        <f>SUM(E14:E18)</f>
        <v>0</v>
      </c>
      <c r="F19" s="50"/>
      <c r="G19" s="50">
        <f>SUM(G14:G18)</f>
        <v>0</v>
      </c>
      <c r="H19" s="50"/>
      <c r="I19" s="50">
        <f>SUM(I14:I18)</f>
        <v>0</v>
      </c>
      <c r="J19" s="50"/>
      <c r="K19" s="50">
        <f>SUM(K14:K18)</f>
        <v>0</v>
      </c>
      <c r="L19" s="50"/>
      <c r="M19" s="48"/>
    </row>
    <row r="20" spans="1:256" s="57" customFormat="1" ht="24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6"/>
    </row>
    <row r="21" spans="1:256" s="59" customFormat="1" ht="24" customHeight="1">
      <c r="A21" s="62"/>
      <c r="B21" s="61"/>
      <c r="C21" s="58"/>
      <c r="D21" s="62"/>
      <c r="E21" s="62"/>
      <c r="F21" s="62"/>
      <c r="G21" s="62"/>
      <c r="H21" s="62"/>
      <c r="I21" s="62"/>
      <c r="J21" s="62"/>
      <c r="K21" s="58"/>
      <c r="L21" s="62"/>
      <c r="M21" s="60"/>
    </row>
    <row r="22" spans="1:256" s="59" customFormat="1" ht="24" customHeight="1">
      <c r="A22" s="62"/>
      <c r="B22" s="61"/>
      <c r="C22" s="58"/>
      <c r="D22" s="62"/>
      <c r="E22" s="62"/>
      <c r="F22" s="62"/>
      <c r="G22" s="62"/>
      <c r="H22" s="62"/>
      <c r="I22" s="62"/>
      <c r="J22" s="62"/>
      <c r="K22" s="58"/>
      <c r="L22" s="62"/>
      <c r="M22" s="60"/>
    </row>
    <row r="23" spans="1:256" s="59" customFormat="1" ht="24" customHeight="1">
      <c r="A23" s="62"/>
      <c r="B23" s="61"/>
      <c r="C23" s="58"/>
      <c r="D23" s="62"/>
      <c r="E23" s="62"/>
      <c r="F23" s="62"/>
      <c r="G23" s="62"/>
      <c r="H23" s="62"/>
      <c r="I23" s="62"/>
      <c r="J23" s="62"/>
      <c r="K23" s="58"/>
      <c r="L23" s="62"/>
      <c r="M23" s="60"/>
    </row>
    <row r="24" spans="1:256" s="59" customFormat="1" ht="24" customHeight="1">
      <c r="A24" s="62"/>
      <c r="B24" s="61"/>
      <c r="C24" s="58"/>
      <c r="D24" s="62"/>
      <c r="E24" s="62"/>
      <c r="F24" s="62"/>
      <c r="G24" s="62"/>
      <c r="H24" s="62"/>
      <c r="I24" s="62"/>
      <c r="J24" s="62"/>
      <c r="K24" s="58"/>
      <c r="L24" s="62"/>
      <c r="M24" s="60"/>
    </row>
    <row r="25" spans="1:256" s="42" customFormat="1" ht="24" customHeight="1">
      <c r="A25" s="50" t="s">
        <v>243</v>
      </c>
      <c r="B25" s="50"/>
      <c r="C25" s="50"/>
      <c r="D25" s="50"/>
      <c r="E25" s="50">
        <f>SUM(E21:E24)</f>
        <v>0</v>
      </c>
      <c r="F25" s="50"/>
      <c r="G25" s="50">
        <f>SUM(G21:G24)</f>
        <v>0</v>
      </c>
      <c r="H25" s="50"/>
      <c r="I25" s="50">
        <f>SUM(I21:I24)</f>
        <v>0</v>
      </c>
      <c r="J25" s="50"/>
      <c r="K25" s="50">
        <f>SUM(K21:K24)</f>
        <v>0</v>
      </c>
      <c r="L25" s="50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 s="42" customFormat="1" ht="30" customHeight="1"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 s="42" customFormat="1" ht="30" customHeight="1">
      <c r="A27" s="63" t="s">
        <v>245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 s="49" customFormat="1" ht="30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256" s="49" customFormat="1" ht="30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256" s="42" customFormat="1" ht="30" customHeight="1"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s="42" customFormat="1" ht="30" customHeight="1"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 s="42" customFormat="1" ht="30" customHeight="1"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42" customFormat="1" ht="30" customHeight="1"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s="42" customFormat="1" ht="30" customHeight="1"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s="42" customFormat="1" ht="30" customHeight="1"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 s="42" customFormat="1" ht="30" customHeight="1"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 s="42" customFormat="1" ht="30" customHeight="1"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s="42" customFormat="1" ht="30" customHeight="1"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s="64" customFormat="1" ht="30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256" s="42" customFormat="1" hidden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 s="42" customForma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</sheetData>
  <mergeCells count="10">
    <mergeCell ref="A1:L1"/>
    <mergeCell ref="A2:L2"/>
    <mergeCell ref="A3:A4"/>
    <mergeCell ref="B3:B4"/>
    <mergeCell ref="C3:C4"/>
    <mergeCell ref="D3:E3"/>
    <mergeCell ref="F3:G3"/>
    <mergeCell ref="H3:I3"/>
    <mergeCell ref="J3:K3"/>
    <mergeCell ref="L3:L4"/>
  </mergeCells>
  <phoneticPr fontId="1" type="noConversion"/>
  <printOptions horizontalCentered="1"/>
  <pageMargins left="0.78740157480314965" right="0" top="0.39370078740157483" bottom="0.39370078740157483" header="0.51181102362204722" footer="0.51181102362204722"/>
  <pageSetup paperSize="9" scale="6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27"/>
  <sheetViews>
    <sheetView view="pageBreakPreview" zoomScale="90" zoomScaleNormal="100" zoomScaleSheetLayoutView="90" workbookViewId="0">
      <selection activeCell="A7" sqref="A7"/>
    </sheetView>
  </sheetViews>
  <sheetFormatPr defaultRowHeight="16.5"/>
  <cols>
    <col min="1" max="1" width="40.625" customWidth="1"/>
    <col min="2" max="2" width="18.125" customWidth="1"/>
    <col min="3" max="4" width="4.625" customWidth="1"/>
    <col min="5" max="12" width="14.375" customWidth="1"/>
    <col min="13" max="13" width="10.2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</row>
    <row r="2" spans="1:20" ht="30" customHeight="1">
      <c r="A2" s="88" t="s">
        <v>261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</row>
    <row r="3" spans="1:20" ht="30" customHeight="1">
      <c r="A3" s="89" t="s">
        <v>1</v>
      </c>
      <c r="B3" s="89" t="s">
        <v>2</v>
      </c>
      <c r="C3" s="89" t="s">
        <v>3</v>
      </c>
      <c r="D3" s="89" t="s">
        <v>4</v>
      </c>
      <c r="E3" s="89" t="s">
        <v>5</v>
      </c>
      <c r="F3" s="89"/>
      <c r="G3" s="89" t="s">
        <v>8</v>
      </c>
      <c r="H3" s="89"/>
      <c r="I3" s="89" t="s">
        <v>9</v>
      </c>
      <c r="J3" s="89"/>
      <c r="K3" s="89" t="s">
        <v>10</v>
      </c>
      <c r="L3" s="89"/>
      <c r="M3" s="89" t="s">
        <v>11</v>
      </c>
      <c r="N3" s="91" t="s">
        <v>12</v>
      </c>
      <c r="O3" s="91" t="s">
        <v>13</v>
      </c>
      <c r="P3" s="91" t="s">
        <v>14</v>
      </c>
      <c r="Q3" s="91" t="s">
        <v>15</v>
      </c>
      <c r="R3" s="91" t="s">
        <v>16</v>
      </c>
      <c r="S3" s="91" t="s">
        <v>17</v>
      </c>
      <c r="T3" s="91" t="s">
        <v>18</v>
      </c>
    </row>
    <row r="4" spans="1:20" ht="30" customHeight="1">
      <c r="A4" s="90"/>
      <c r="B4" s="90"/>
      <c r="C4" s="90"/>
      <c r="D4" s="90"/>
      <c r="E4" s="6" t="s">
        <v>6</v>
      </c>
      <c r="F4" s="6" t="s">
        <v>7</v>
      </c>
      <c r="G4" s="6" t="s">
        <v>6</v>
      </c>
      <c r="H4" s="6" t="s">
        <v>7</v>
      </c>
      <c r="I4" s="6" t="s">
        <v>6</v>
      </c>
      <c r="J4" s="6" t="s">
        <v>7</v>
      </c>
      <c r="K4" s="6" t="s">
        <v>6</v>
      </c>
      <c r="L4" s="6" t="s">
        <v>7</v>
      </c>
      <c r="M4" s="90"/>
      <c r="N4" s="91"/>
      <c r="O4" s="91"/>
      <c r="P4" s="91"/>
      <c r="Q4" s="91"/>
      <c r="R4" s="91"/>
      <c r="S4" s="91"/>
      <c r="T4" s="91"/>
    </row>
    <row r="5" spans="1:20" ht="30" customHeight="1">
      <c r="A5" s="10" t="s">
        <v>262</v>
      </c>
      <c r="B5" s="10" t="s">
        <v>50</v>
      </c>
      <c r="C5" s="10" t="s">
        <v>50</v>
      </c>
      <c r="D5" s="11">
        <v>1</v>
      </c>
      <c r="E5" s="12">
        <f>F6</f>
        <v>0</v>
      </c>
      <c r="F5" s="12">
        <f t="shared" ref="F5:F13" si="0">E5*D5</f>
        <v>0</v>
      </c>
      <c r="G5" s="12">
        <f>H6</f>
        <v>0</v>
      </c>
      <c r="H5" s="12">
        <f t="shared" ref="H5:H13" si="1">G5*D5</f>
        <v>0</v>
      </c>
      <c r="I5" s="12">
        <f>J6</f>
        <v>0</v>
      </c>
      <c r="J5" s="12">
        <f t="shared" ref="J5:J13" si="2">I5*D5</f>
        <v>0</v>
      </c>
      <c r="K5" s="12">
        <f t="shared" ref="K5:K13" si="3">E5+G5+I5</f>
        <v>0</v>
      </c>
      <c r="L5" s="12">
        <f t="shared" ref="L5:L13" si="4">F5+H5+J5</f>
        <v>0</v>
      </c>
      <c r="M5" s="10" t="s">
        <v>50</v>
      </c>
      <c r="N5" s="4" t="s">
        <v>51</v>
      </c>
      <c r="O5" s="4" t="s">
        <v>50</v>
      </c>
      <c r="P5" s="4" t="s">
        <v>50</v>
      </c>
      <c r="Q5" s="4" t="s">
        <v>50</v>
      </c>
      <c r="R5" s="1">
        <v>1</v>
      </c>
      <c r="S5" s="4" t="s">
        <v>52</v>
      </c>
      <c r="T5" s="5"/>
    </row>
    <row r="6" spans="1:20" ht="30" customHeight="1">
      <c r="A6" s="13" t="s">
        <v>263</v>
      </c>
      <c r="B6" s="13" t="s">
        <v>50</v>
      </c>
      <c r="C6" s="13" t="s">
        <v>50</v>
      </c>
      <c r="D6" s="14">
        <v>1</v>
      </c>
      <c r="E6" s="15">
        <f>F7+F8+F9+F10+F11+F12</f>
        <v>0</v>
      </c>
      <c r="F6" s="15">
        <f t="shared" si="0"/>
        <v>0</v>
      </c>
      <c r="G6" s="15">
        <f>H7+H8+H9+H10+H11+H12</f>
        <v>0</v>
      </c>
      <c r="H6" s="15">
        <f t="shared" si="1"/>
        <v>0</v>
      </c>
      <c r="I6" s="15">
        <f>J7+J8+J9+J10+J11+J12</f>
        <v>0</v>
      </c>
      <c r="J6" s="15">
        <f t="shared" si="2"/>
        <v>0</v>
      </c>
      <c r="K6" s="15">
        <f t="shared" si="3"/>
        <v>0</v>
      </c>
      <c r="L6" s="15">
        <f t="shared" si="4"/>
        <v>0</v>
      </c>
      <c r="M6" s="13" t="s">
        <v>50</v>
      </c>
      <c r="N6" s="4" t="s">
        <v>53</v>
      </c>
      <c r="O6" s="4" t="s">
        <v>50</v>
      </c>
      <c r="P6" s="4" t="s">
        <v>51</v>
      </c>
      <c r="Q6" s="4" t="s">
        <v>50</v>
      </c>
      <c r="R6" s="1">
        <v>2</v>
      </c>
      <c r="S6" s="4" t="s">
        <v>50</v>
      </c>
      <c r="T6" s="5"/>
    </row>
    <row r="7" spans="1:20" ht="30" customHeight="1">
      <c r="A7" s="7" t="s">
        <v>54</v>
      </c>
      <c r="B7" s="7" t="s">
        <v>50</v>
      </c>
      <c r="C7" s="7" t="s">
        <v>50</v>
      </c>
      <c r="D7" s="8">
        <v>1</v>
      </c>
      <c r="E7" s="9">
        <f>공종별내역서!F27</f>
        <v>0</v>
      </c>
      <c r="F7" s="9">
        <f t="shared" si="0"/>
        <v>0</v>
      </c>
      <c r="G7" s="9">
        <f>공종별내역서!H27</f>
        <v>0</v>
      </c>
      <c r="H7" s="9">
        <f t="shared" si="1"/>
        <v>0</v>
      </c>
      <c r="I7" s="9">
        <f>공종별내역서!J27</f>
        <v>0</v>
      </c>
      <c r="J7" s="9">
        <f t="shared" si="2"/>
        <v>0</v>
      </c>
      <c r="K7" s="9">
        <f t="shared" si="3"/>
        <v>0</v>
      </c>
      <c r="L7" s="9">
        <f t="shared" si="4"/>
        <v>0</v>
      </c>
      <c r="M7" s="7" t="s">
        <v>50</v>
      </c>
      <c r="N7" s="4" t="s">
        <v>55</v>
      </c>
      <c r="O7" s="4" t="s">
        <v>50</v>
      </c>
      <c r="P7" s="4" t="s">
        <v>53</v>
      </c>
      <c r="Q7" s="4" t="s">
        <v>50</v>
      </c>
      <c r="R7" s="1">
        <v>3</v>
      </c>
      <c r="S7" s="4" t="s">
        <v>50</v>
      </c>
      <c r="T7" s="5"/>
    </row>
    <row r="8" spans="1:20" ht="30" customHeight="1">
      <c r="A8" s="7" t="s">
        <v>73</v>
      </c>
      <c r="B8" s="7" t="s">
        <v>50</v>
      </c>
      <c r="C8" s="7" t="s">
        <v>50</v>
      </c>
      <c r="D8" s="8">
        <v>1</v>
      </c>
      <c r="E8" s="9">
        <f>공종별내역서!F51</f>
        <v>0</v>
      </c>
      <c r="F8" s="9">
        <f t="shared" si="0"/>
        <v>0</v>
      </c>
      <c r="G8" s="9">
        <f>공종별내역서!H51</f>
        <v>0</v>
      </c>
      <c r="H8" s="9">
        <f t="shared" si="1"/>
        <v>0</v>
      </c>
      <c r="I8" s="9">
        <f>공종별내역서!J51</f>
        <v>0</v>
      </c>
      <c r="J8" s="9">
        <f t="shared" si="2"/>
        <v>0</v>
      </c>
      <c r="K8" s="9">
        <f t="shared" si="3"/>
        <v>0</v>
      </c>
      <c r="L8" s="9">
        <f t="shared" si="4"/>
        <v>0</v>
      </c>
      <c r="M8" s="7" t="s">
        <v>50</v>
      </c>
      <c r="N8" s="4" t="s">
        <v>74</v>
      </c>
      <c r="O8" s="4" t="s">
        <v>50</v>
      </c>
      <c r="P8" s="4" t="s">
        <v>53</v>
      </c>
      <c r="Q8" s="4" t="s">
        <v>50</v>
      </c>
      <c r="R8" s="1">
        <v>3</v>
      </c>
      <c r="S8" s="4" t="s">
        <v>50</v>
      </c>
      <c r="T8" s="5"/>
    </row>
    <row r="9" spans="1:20" ht="30" customHeight="1">
      <c r="A9" s="7" t="s">
        <v>80</v>
      </c>
      <c r="B9" s="7" t="s">
        <v>50</v>
      </c>
      <c r="C9" s="7" t="s">
        <v>50</v>
      </c>
      <c r="D9" s="8">
        <v>1</v>
      </c>
      <c r="E9" s="9">
        <f>공종별내역서!F75</f>
        <v>0</v>
      </c>
      <c r="F9" s="9">
        <f t="shared" si="0"/>
        <v>0</v>
      </c>
      <c r="G9" s="9">
        <f>공종별내역서!H75</f>
        <v>0</v>
      </c>
      <c r="H9" s="9">
        <f t="shared" si="1"/>
        <v>0</v>
      </c>
      <c r="I9" s="9">
        <f>공종별내역서!J75</f>
        <v>0</v>
      </c>
      <c r="J9" s="9">
        <f t="shared" si="2"/>
        <v>0</v>
      </c>
      <c r="K9" s="9">
        <f t="shared" si="3"/>
        <v>0</v>
      </c>
      <c r="L9" s="9">
        <f t="shared" si="4"/>
        <v>0</v>
      </c>
      <c r="M9" s="7" t="s">
        <v>50</v>
      </c>
      <c r="N9" s="4" t="s">
        <v>81</v>
      </c>
      <c r="O9" s="4" t="s">
        <v>50</v>
      </c>
      <c r="P9" s="4" t="s">
        <v>53</v>
      </c>
      <c r="Q9" s="4" t="s">
        <v>50</v>
      </c>
      <c r="R9" s="1">
        <v>3</v>
      </c>
      <c r="S9" s="4" t="s">
        <v>50</v>
      </c>
      <c r="T9" s="5"/>
    </row>
    <row r="10" spans="1:20" ht="30" customHeight="1">
      <c r="A10" s="7" t="s">
        <v>118</v>
      </c>
      <c r="B10" s="7" t="s">
        <v>50</v>
      </c>
      <c r="C10" s="7" t="s">
        <v>50</v>
      </c>
      <c r="D10" s="8">
        <v>1</v>
      </c>
      <c r="E10" s="9">
        <f>공종별내역서!F99</f>
        <v>0</v>
      </c>
      <c r="F10" s="9">
        <f t="shared" si="0"/>
        <v>0</v>
      </c>
      <c r="G10" s="9">
        <f>공종별내역서!H99</f>
        <v>0</v>
      </c>
      <c r="H10" s="9">
        <f t="shared" si="1"/>
        <v>0</v>
      </c>
      <c r="I10" s="9">
        <f>공종별내역서!J99</f>
        <v>0</v>
      </c>
      <c r="J10" s="9">
        <f t="shared" si="2"/>
        <v>0</v>
      </c>
      <c r="K10" s="9">
        <f t="shared" si="3"/>
        <v>0</v>
      </c>
      <c r="L10" s="9">
        <f t="shared" si="4"/>
        <v>0</v>
      </c>
      <c r="M10" s="7" t="s">
        <v>50</v>
      </c>
      <c r="N10" s="4" t="s">
        <v>119</v>
      </c>
      <c r="O10" s="4" t="s">
        <v>50</v>
      </c>
      <c r="P10" s="4" t="s">
        <v>53</v>
      </c>
      <c r="Q10" s="4" t="s">
        <v>50</v>
      </c>
      <c r="R10" s="1">
        <v>3</v>
      </c>
      <c r="S10" s="4" t="s">
        <v>50</v>
      </c>
      <c r="T10" s="5"/>
    </row>
    <row r="11" spans="1:20" ht="30" customHeight="1">
      <c r="A11" s="7" t="s">
        <v>128</v>
      </c>
      <c r="B11" s="7" t="s">
        <v>50</v>
      </c>
      <c r="C11" s="7" t="s">
        <v>50</v>
      </c>
      <c r="D11" s="8">
        <v>1</v>
      </c>
      <c r="E11" s="9">
        <f>공종별내역서!F123</f>
        <v>0</v>
      </c>
      <c r="F11" s="9">
        <f t="shared" si="0"/>
        <v>0</v>
      </c>
      <c r="G11" s="9">
        <f>공종별내역서!H123</f>
        <v>0</v>
      </c>
      <c r="H11" s="9">
        <f t="shared" si="1"/>
        <v>0</v>
      </c>
      <c r="I11" s="9">
        <f>공종별내역서!J123</f>
        <v>0</v>
      </c>
      <c r="J11" s="9">
        <f t="shared" si="2"/>
        <v>0</v>
      </c>
      <c r="K11" s="9">
        <f t="shared" si="3"/>
        <v>0</v>
      </c>
      <c r="L11" s="9">
        <f t="shared" si="4"/>
        <v>0</v>
      </c>
      <c r="M11" s="7" t="s">
        <v>50</v>
      </c>
      <c r="N11" s="4" t="s">
        <v>129</v>
      </c>
      <c r="O11" s="4" t="s">
        <v>50</v>
      </c>
      <c r="P11" s="4" t="s">
        <v>53</v>
      </c>
      <c r="Q11" s="4" t="s">
        <v>50</v>
      </c>
      <c r="R11" s="1">
        <v>3</v>
      </c>
      <c r="S11" s="4" t="s">
        <v>50</v>
      </c>
      <c r="T11" s="5"/>
    </row>
    <row r="12" spans="1:20" ht="30" customHeight="1">
      <c r="A12" s="7" t="s">
        <v>137</v>
      </c>
      <c r="B12" s="7" t="s">
        <v>50</v>
      </c>
      <c r="C12" s="7" t="s">
        <v>50</v>
      </c>
      <c r="D12" s="8">
        <v>1</v>
      </c>
      <c r="E12" s="9">
        <f>공종별내역서!F147</f>
        <v>0</v>
      </c>
      <c r="F12" s="9">
        <f t="shared" si="0"/>
        <v>0</v>
      </c>
      <c r="G12" s="9">
        <f>공종별내역서!H147</f>
        <v>0</v>
      </c>
      <c r="H12" s="9">
        <f t="shared" si="1"/>
        <v>0</v>
      </c>
      <c r="I12" s="9">
        <f>공종별내역서!J147</f>
        <v>0</v>
      </c>
      <c r="J12" s="9">
        <f t="shared" si="2"/>
        <v>0</v>
      </c>
      <c r="K12" s="9">
        <f t="shared" si="3"/>
        <v>0</v>
      </c>
      <c r="L12" s="9">
        <f t="shared" si="4"/>
        <v>0</v>
      </c>
      <c r="M12" s="7" t="s">
        <v>50</v>
      </c>
      <c r="N12" s="4" t="s">
        <v>138</v>
      </c>
      <c r="O12" s="4" t="s">
        <v>50</v>
      </c>
      <c r="P12" s="4" t="s">
        <v>53</v>
      </c>
      <c r="Q12" s="4" t="s">
        <v>50</v>
      </c>
      <c r="R12" s="1">
        <v>3</v>
      </c>
      <c r="S12" s="4" t="s">
        <v>50</v>
      </c>
      <c r="T12" s="5"/>
    </row>
    <row r="13" spans="1:20" ht="30" customHeight="1">
      <c r="A13" s="16" t="s">
        <v>154</v>
      </c>
      <c r="B13" s="16" t="s">
        <v>50</v>
      </c>
      <c r="C13" s="16" t="s">
        <v>50</v>
      </c>
      <c r="D13" s="17">
        <v>1</v>
      </c>
      <c r="E13" s="18">
        <f>공종별내역서!F171</f>
        <v>0</v>
      </c>
      <c r="F13" s="18">
        <f t="shared" si="0"/>
        <v>0</v>
      </c>
      <c r="G13" s="18">
        <f>공종별내역서!H171</f>
        <v>0</v>
      </c>
      <c r="H13" s="18">
        <f t="shared" si="1"/>
        <v>0</v>
      </c>
      <c r="I13" s="18">
        <f>공종별내역서!J171</f>
        <v>0</v>
      </c>
      <c r="J13" s="18">
        <f t="shared" si="2"/>
        <v>0</v>
      </c>
      <c r="K13" s="18">
        <f t="shared" si="3"/>
        <v>0</v>
      </c>
      <c r="L13" s="18">
        <f t="shared" si="4"/>
        <v>0</v>
      </c>
      <c r="M13" s="16" t="s">
        <v>50</v>
      </c>
      <c r="N13" s="4" t="s">
        <v>155</v>
      </c>
      <c r="O13" s="4" t="s">
        <v>50</v>
      </c>
      <c r="P13" s="4" t="s">
        <v>50</v>
      </c>
      <c r="Q13" s="4" t="s">
        <v>52</v>
      </c>
      <c r="R13" s="1">
        <v>3</v>
      </c>
      <c r="S13" s="4" t="s">
        <v>50</v>
      </c>
      <c r="T13" s="5">
        <f>L13*1</f>
        <v>0</v>
      </c>
    </row>
    <row r="14" spans="1:20" ht="3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T14" s="3"/>
    </row>
    <row r="15" spans="1:20" ht="3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T15" s="3"/>
    </row>
    <row r="16" spans="1:20" ht="3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T16" s="3"/>
    </row>
    <row r="17" spans="1:20" ht="3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T17" s="3"/>
    </row>
    <row r="18" spans="1:20" ht="3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T18" s="3"/>
    </row>
    <row r="19" spans="1:20" ht="3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T19" s="3"/>
    </row>
    <row r="20" spans="1:20" ht="3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T20" s="3"/>
    </row>
    <row r="21" spans="1:20" ht="3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T21" s="3"/>
    </row>
    <row r="22" spans="1:20" ht="3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T22" s="3"/>
    </row>
    <row r="23" spans="1:20" ht="3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T23" s="3"/>
    </row>
    <row r="24" spans="1:20" ht="3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T24" s="3"/>
    </row>
    <row r="25" spans="1:20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T25" s="3"/>
    </row>
    <row r="26" spans="1:20" ht="3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T26" s="3"/>
    </row>
    <row r="27" spans="1:20" ht="30" customHeight="1">
      <c r="A27" s="8" t="s">
        <v>71</v>
      </c>
      <c r="B27" s="8"/>
      <c r="C27" s="8"/>
      <c r="D27" s="8"/>
      <c r="E27" s="8"/>
      <c r="F27" s="9">
        <f>F5</f>
        <v>0</v>
      </c>
      <c r="G27" s="8"/>
      <c r="H27" s="9">
        <f>H5</f>
        <v>0</v>
      </c>
      <c r="I27" s="8"/>
      <c r="J27" s="9">
        <f>J5</f>
        <v>0</v>
      </c>
      <c r="K27" s="8"/>
      <c r="L27" s="9">
        <f>L5</f>
        <v>0</v>
      </c>
      <c r="M27" s="8"/>
      <c r="T27" s="3"/>
    </row>
  </sheetData>
  <mergeCells count="18">
    <mergeCell ref="S3:S4"/>
    <mergeCell ref="T3:T4"/>
    <mergeCell ref="M3:M4"/>
    <mergeCell ref="N3:N4"/>
    <mergeCell ref="O3:O4"/>
    <mergeCell ref="P3:P4"/>
    <mergeCell ref="Q3:Q4"/>
    <mergeCell ref="R3:R4"/>
    <mergeCell ref="A1:M1"/>
    <mergeCell ref="A2:M2"/>
    <mergeCell ref="A3:A4"/>
    <mergeCell ref="B3:B4"/>
    <mergeCell ref="C3:C4"/>
    <mergeCell ref="D3:D4"/>
    <mergeCell ref="E3:F3"/>
    <mergeCell ref="G3:H3"/>
    <mergeCell ref="I3:J3"/>
    <mergeCell ref="K3:L3"/>
  </mergeCells>
  <phoneticPr fontId="1" type="noConversion"/>
  <pageMargins left="0.78740157480314954" right="0" top="0.39370078740157477" bottom="0.39370078740157477" header="0" footer="0"/>
  <pageSetup paperSize="9" scale="6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171"/>
  <sheetViews>
    <sheetView view="pageBreakPreview" zoomScale="90" zoomScaleNormal="100" zoomScaleSheetLayoutView="90" workbookViewId="0">
      <selection activeCell="E149" sqref="E149:L150"/>
    </sheetView>
  </sheetViews>
  <sheetFormatPr defaultRowHeight="16.5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</cols>
  <sheetData>
    <row r="1" spans="1:48" ht="30" customHeight="1">
      <c r="A1" s="88" t="s">
        <v>261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</row>
    <row r="2" spans="1:48" ht="30" customHeight="1">
      <c r="A2" s="89" t="s">
        <v>1</v>
      </c>
      <c r="B2" s="89" t="s">
        <v>2</v>
      </c>
      <c r="C2" s="89" t="s">
        <v>3</v>
      </c>
      <c r="D2" s="89" t="s">
        <v>4</v>
      </c>
      <c r="E2" s="89" t="s">
        <v>5</v>
      </c>
      <c r="F2" s="89"/>
      <c r="G2" s="89" t="s">
        <v>8</v>
      </c>
      <c r="H2" s="89"/>
      <c r="I2" s="89" t="s">
        <v>9</v>
      </c>
      <c r="J2" s="89"/>
      <c r="K2" s="89" t="s">
        <v>10</v>
      </c>
      <c r="L2" s="89"/>
      <c r="M2" s="89" t="s">
        <v>11</v>
      </c>
      <c r="N2" s="91" t="s">
        <v>19</v>
      </c>
      <c r="O2" s="91" t="s">
        <v>13</v>
      </c>
      <c r="P2" s="91" t="s">
        <v>20</v>
      </c>
      <c r="Q2" s="91" t="s">
        <v>12</v>
      </c>
      <c r="R2" s="91" t="s">
        <v>21</v>
      </c>
      <c r="S2" s="91" t="s">
        <v>22</v>
      </c>
      <c r="T2" s="91" t="s">
        <v>23</v>
      </c>
      <c r="U2" s="91" t="s">
        <v>24</v>
      </c>
      <c r="V2" s="91" t="s">
        <v>25</v>
      </c>
      <c r="W2" s="91" t="s">
        <v>26</v>
      </c>
      <c r="X2" s="91" t="s">
        <v>27</v>
      </c>
      <c r="Y2" s="91" t="s">
        <v>28</v>
      </c>
      <c r="Z2" s="91" t="s">
        <v>29</v>
      </c>
      <c r="AA2" s="91" t="s">
        <v>30</v>
      </c>
      <c r="AB2" s="91" t="s">
        <v>31</v>
      </c>
      <c r="AC2" s="91" t="s">
        <v>32</v>
      </c>
      <c r="AD2" s="91" t="s">
        <v>33</v>
      </c>
      <c r="AE2" s="91" t="s">
        <v>34</v>
      </c>
      <c r="AF2" s="91" t="s">
        <v>35</v>
      </c>
      <c r="AG2" s="91" t="s">
        <v>36</v>
      </c>
      <c r="AH2" s="91" t="s">
        <v>37</v>
      </c>
      <c r="AI2" s="91" t="s">
        <v>38</v>
      </c>
      <c r="AJ2" s="91" t="s">
        <v>39</v>
      </c>
      <c r="AK2" s="91" t="s">
        <v>40</v>
      </c>
      <c r="AL2" s="91" t="s">
        <v>41</v>
      </c>
      <c r="AM2" s="91" t="s">
        <v>42</v>
      </c>
      <c r="AN2" s="91" t="s">
        <v>43</v>
      </c>
      <c r="AO2" s="91" t="s">
        <v>44</v>
      </c>
      <c r="AP2" s="91" t="s">
        <v>45</v>
      </c>
      <c r="AQ2" s="91" t="s">
        <v>46</v>
      </c>
      <c r="AR2" s="91" t="s">
        <v>47</v>
      </c>
      <c r="AS2" s="91" t="s">
        <v>15</v>
      </c>
      <c r="AT2" s="91" t="s">
        <v>16</v>
      </c>
      <c r="AU2" s="91" t="s">
        <v>48</v>
      </c>
      <c r="AV2" s="91" t="s">
        <v>49</v>
      </c>
    </row>
    <row r="3" spans="1:48" ht="30" customHeight="1">
      <c r="A3" s="89"/>
      <c r="B3" s="89"/>
      <c r="C3" s="89"/>
      <c r="D3" s="89"/>
      <c r="E3" s="2" t="s">
        <v>6</v>
      </c>
      <c r="F3" s="2" t="s">
        <v>7</v>
      </c>
      <c r="G3" s="2" t="s">
        <v>6</v>
      </c>
      <c r="H3" s="2" t="s">
        <v>7</v>
      </c>
      <c r="I3" s="2" t="s">
        <v>6</v>
      </c>
      <c r="J3" s="2" t="s">
        <v>7</v>
      </c>
      <c r="K3" s="2" t="s">
        <v>6</v>
      </c>
      <c r="L3" s="2" t="s">
        <v>7</v>
      </c>
      <c r="M3" s="89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</row>
    <row r="4" spans="1:48" ht="30" customHeight="1">
      <c r="A4" s="7" t="s">
        <v>266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"/>
      <c r="O4" s="1"/>
      <c r="P4" s="1"/>
      <c r="Q4" s="4" t="s">
        <v>55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ht="30" customHeight="1">
      <c r="A5" s="7" t="s">
        <v>265</v>
      </c>
      <c r="B5" s="7" t="s">
        <v>264</v>
      </c>
      <c r="C5" s="7" t="s">
        <v>56</v>
      </c>
      <c r="D5" s="8">
        <v>117</v>
      </c>
      <c r="E5" s="9"/>
      <c r="F5" s="9"/>
      <c r="G5" s="9"/>
      <c r="H5" s="9"/>
      <c r="I5" s="9"/>
      <c r="J5" s="9"/>
      <c r="K5" s="9"/>
      <c r="L5" s="9"/>
      <c r="M5" s="7"/>
      <c r="N5" s="4" t="s">
        <v>57</v>
      </c>
      <c r="O5" s="4" t="s">
        <v>50</v>
      </c>
      <c r="P5" s="4" t="s">
        <v>50</v>
      </c>
      <c r="Q5" s="4" t="s">
        <v>50</v>
      </c>
      <c r="R5" s="4" t="s">
        <v>58</v>
      </c>
      <c r="S5" s="4" t="s">
        <v>59</v>
      </c>
      <c r="T5" s="4" t="s">
        <v>59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4" t="s">
        <v>50</v>
      </c>
      <c r="AS5" s="4" t="s">
        <v>50</v>
      </c>
      <c r="AT5" s="1"/>
      <c r="AU5" s="4" t="s">
        <v>60</v>
      </c>
      <c r="AV5" s="1">
        <v>3888</v>
      </c>
    </row>
    <row r="6" spans="1:48" ht="30" customHeight="1">
      <c r="A6" s="7" t="s">
        <v>62</v>
      </c>
      <c r="B6" s="7" t="s">
        <v>63</v>
      </c>
      <c r="C6" s="7" t="s">
        <v>64</v>
      </c>
      <c r="D6" s="8">
        <v>2</v>
      </c>
      <c r="E6" s="9"/>
      <c r="F6" s="9"/>
      <c r="G6" s="9"/>
      <c r="H6" s="9"/>
      <c r="I6" s="9"/>
      <c r="J6" s="9"/>
      <c r="K6" s="9"/>
      <c r="L6" s="9"/>
      <c r="M6" s="7"/>
      <c r="N6" s="4" t="s">
        <v>65</v>
      </c>
      <c r="O6" s="4" t="s">
        <v>50</v>
      </c>
      <c r="P6" s="4" t="s">
        <v>50</v>
      </c>
      <c r="Q6" s="4" t="s">
        <v>50</v>
      </c>
      <c r="R6" s="4" t="s">
        <v>58</v>
      </c>
      <c r="S6" s="4" t="s">
        <v>59</v>
      </c>
      <c r="T6" s="4" t="s">
        <v>59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4" t="s">
        <v>50</v>
      </c>
      <c r="AS6" s="4" t="s">
        <v>50</v>
      </c>
      <c r="AT6" s="1"/>
      <c r="AU6" s="4" t="s">
        <v>66</v>
      </c>
      <c r="AV6" s="1">
        <v>3238</v>
      </c>
    </row>
    <row r="7" spans="1:48" ht="30" customHeight="1">
      <c r="A7" s="7" t="s">
        <v>67</v>
      </c>
      <c r="B7" s="7" t="s">
        <v>68</v>
      </c>
      <c r="C7" s="7" t="s">
        <v>56</v>
      </c>
      <c r="D7" s="8">
        <v>436</v>
      </c>
      <c r="E7" s="9"/>
      <c r="F7" s="9"/>
      <c r="G7" s="9"/>
      <c r="H7" s="9"/>
      <c r="I7" s="9"/>
      <c r="J7" s="9"/>
      <c r="K7" s="9"/>
      <c r="L7" s="9"/>
      <c r="M7" s="7"/>
      <c r="N7" s="4" t="s">
        <v>69</v>
      </c>
      <c r="O7" s="4" t="s">
        <v>50</v>
      </c>
      <c r="P7" s="4" t="s">
        <v>50</v>
      </c>
      <c r="Q7" s="4" t="s">
        <v>50</v>
      </c>
      <c r="R7" s="4" t="s">
        <v>58</v>
      </c>
      <c r="S7" s="4" t="s">
        <v>59</v>
      </c>
      <c r="T7" s="4" t="s">
        <v>59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4" t="s">
        <v>50</v>
      </c>
      <c r="AS7" s="4" t="s">
        <v>50</v>
      </c>
      <c r="AT7" s="1"/>
      <c r="AU7" s="4" t="s">
        <v>70</v>
      </c>
      <c r="AV7" s="1">
        <v>2280</v>
      </c>
    </row>
    <row r="8" spans="1:48" ht="30" customHeight="1">
      <c r="A8" s="7"/>
      <c r="B8" s="7"/>
      <c r="C8" s="7"/>
      <c r="D8" s="65"/>
      <c r="E8" s="9"/>
      <c r="F8" s="9"/>
      <c r="G8" s="9"/>
      <c r="H8" s="9"/>
      <c r="I8" s="9"/>
      <c r="J8" s="9"/>
      <c r="K8" s="9"/>
      <c r="L8" s="9"/>
      <c r="M8" s="7"/>
      <c r="N8" s="4"/>
      <c r="O8" s="4"/>
      <c r="P8" s="4"/>
      <c r="Q8" s="4"/>
      <c r="R8" s="4"/>
      <c r="S8" s="4"/>
      <c r="T8" s="4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4"/>
      <c r="AS8" s="4"/>
      <c r="AT8" s="1"/>
      <c r="AU8" s="4"/>
      <c r="AV8" s="1"/>
    </row>
    <row r="9" spans="1:48" ht="30" customHeight="1">
      <c r="A9" s="7"/>
      <c r="B9" s="7"/>
      <c r="C9" s="7"/>
      <c r="D9" s="65"/>
      <c r="E9" s="9"/>
      <c r="F9" s="9"/>
      <c r="G9" s="9"/>
      <c r="H9" s="9"/>
      <c r="I9" s="9"/>
      <c r="J9" s="9"/>
      <c r="K9" s="9"/>
      <c r="L9" s="9"/>
      <c r="M9" s="7"/>
      <c r="N9" s="4"/>
      <c r="O9" s="4"/>
      <c r="P9" s="4"/>
      <c r="Q9" s="4"/>
      <c r="R9" s="4"/>
      <c r="S9" s="4"/>
      <c r="T9" s="4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4"/>
      <c r="AS9" s="4"/>
      <c r="AT9" s="1"/>
      <c r="AU9" s="4"/>
      <c r="AV9" s="1"/>
    </row>
    <row r="10" spans="1:48" ht="3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48" ht="3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48" ht="3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48" ht="3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48" ht="3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48" ht="3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48" ht="3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48" ht="3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48" ht="3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48" ht="3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48" ht="3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48" ht="3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48" ht="3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48" ht="3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48" ht="3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48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48" ht="3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48" ht="30" customHeight="1">
      <c r="A27" s="8" t="s">
        <v>71</v>
      </c>
      <c r="B27" s="8"/>
      <c r="C27" s="8"/>
      <c r="D27" s="8"/>
      <c r="E27" s="8"/>
      <c r="F27" s="9">
        <f>SUM(F5:F26)</f>
        <v>0</v>
      </c>
      <c r="G27" s="8"/>
      <c r="H27" s="9">
        <f>SUM(H5:H26)</f>
        <v>0</v>
      </c>
      <c r="I27" s="8"/>
      <c r="J27" s="9">
        <f>SUM(J5:J26)</f>
        <v>0</v>
      </c>
      <c r="K27" s="8"/>
      <c r="L27" s="9">
        <f>SUM(L5:L26)</f>
        <v>0</v>
      </c>
      <c r="M27" s="8"/>
      <c r="N27" t="s">
        <v>72</v>
      </c>
    </row>
    <row r="28" spans="1:48" ht="30" customHeight="1">
      <c r="A28" s="7" t="s">
        <v>73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1"/>
      <c r="O28" s="1"/>
      <c r="P28" s="1"/>
      <c r="Q28" s="4" t="s">
        <v>74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ht="30" customHeight="1">
      <c r="A29" s="7" t="s">
        <v>267</v>
      </c>
      <c r="B29" s="7" t="s">
        <v>75</v>
      </c>
      <c r="C29" s="7" t="s">
        <v>56</v>
      </c>
      <c r="D29" s="8">
        <v>159</v>
      </c>
      <c r="E29" s="9"/>
      <c r="F29" s="9"/>
      <c r="G29" s="9"/>
      <c r="H29" s="9"/>
      <c r="I29" s="9"/>
      <c r="J29" s="9"/>
      <c r="K29" s="9"/>
      <c r="L29" s="9"/>
      <c r="M29" s="7"/>
      <c r="N29" s="4" t="s">
        <v>76</v>
      </c>
      <c r="O29" s="4" t="s">
        <v>50</v>
      </c>
      <c r="P29" s="4" t="s">
        <v>50</v>
      </c>
      <c r="Q29" s="4" t="s">
        <v>50</v>
      </c>
      <c r="R29" s="4" t="s">
        <v>59</v>
      </c>
      <c r="S29" s="4" t="s">
        <v>59</v>
      </c>
      <c r="T29" s="4" t="s">
        <v>58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4" t="s">
        <v>50</v>
      </c>
      <c r="AS29" s="4" t="s">
        <v>50</v>
      </c>
      <c r="AT29" s="1"/>
      <c r="AU29" s="4" t="s">
        <v>77</v>
      </c>
      <c r="AV29" s="1">
        <v>4049</v>
      </c>
    </row>
    <row r="30" spans="1:48" ht="30" customHeight="1">
      <c r="A30" s="7" t="s">
        <v>268</v>
      </c>
      <c r="B30" s="7" t="s">
        <v>50</v>
      </c>
      <c r="C30" s="7" t="s">
        <v>56</v>
      </c>
      <c r="D30" s="8">
        <v>159</v>
      </c>
      <c r="E30" s="9"/>
      <c r="F30" s="9"/>
      <c r="G30" s="9"/>
      <c r="H30" s="9"/>
      <c r="I30" s="9"/>
      <c r="J30" s="9"/>
      <c r="K30" s="9"/>
      <c r="L30" s="9"/>
      <c r="M30" s="7"/>
      <c r="N30" s="4" t="s">
        <v>78</v>
      </c>
      <c r="O30" s="4" t="s">
        <v>50</v>
      </c>
      <c r="P30" s="4" t="s">
        <v>50</v>
      </c>
      <c r="Q30" s="4" t="s">
        <v>50</v>
      </c>
      <c r="R30" s="4" t="s">
        <v>58</v>
      </c>
      <c r="S30" s="4" t="s">
        <v>59</v>
      </c>
      <c r="T30" s="4" t="s">
        <v>59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4" t="s">
        <v>50</v>
      </c>
      <c r="AS30" s="4" t="s">
        <v>50</v>
      </c>
      <c r="AT30" s="1"/>
      <c r="AU30" s="4" t="s">
        <v>79</v>
      </c>
      <c r="AV30" s="1">
        <v>4050</v>
      </c>
    </row>
    <row r="31" spans="1:48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48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 ht="3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 ht="3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 ht="3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3" ht="3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3" ht="3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3" ht="3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3" ht="3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 ht="3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3" ht="3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ht="3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3" ht="3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3" ht="3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48" ht="3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1:48" ht="3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1:48" ht="30" customHeight="1">
      <c r="A51" s="8" t="s">
        <v>71</v>
      </c>
      <c r="B51" s="8"/>
      <c r="C51" s="8"/>
      <c r="D51" s="8"/>
      <c r="E51" s="8"/>
      <c r="F51" s="9">
        <f>SUM(F29:F50)</f>
        <v>0</v>
      </c>
      <c r="G51" s="8"/>
      <c r="H51" s="9">
        <f>SUM(H29:H50)</f>
        <v>0</v>
      </c>
      <c r="I51" s="8"/>
      <c r="J51" s="9">
        <f>SUM(J29:J50)</f>
        <v>0</v>
      </c>
      <c r="K51" s="8"/>
      <c r="L51" s="9">
        <f>SUM(L29:L50)</f>
        <v>0</v>
      </c>
      <c r="M51" s="8"/>
      <c r="N51" t="s">
        <v>72</v>
      </c>
    </row>
    <row r="52" spans="1:48" ht="30" customHeight="1">
      <c r="A52" s="7" t="s">
        <v>269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1"/>
      <c r="O52" s="1"/>
      <c r="P52" s="1"/>
      <c r="Q52" s="4" t="s">
        <v>81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ht="30" customHeight="1">
      <c r="A53" s="7" t="s">
        <v>82</v>
      </c>
      <c r="B53" s="7" t="s">
        <v>83</v>
      </c>
      <c r="C53" s="7" t="s">
        <v>84</v>
      </c>
      <c r="D53" s="8">
        <v>4</v>
      </c>
      <c r="E53" s="9"/>
      <c r="F53" s="9"/>
      <c r="G53" s="9"/>
      <c r="H53" s="9"/>
      <c r="I53" s="9"/>
      <c r="J53" s="9"/>
      <c r="K53" s="9"/>
      <c r="L53" s="9"/>
      <c r="M53" s="7"/>
      <c r="N53" s="4" t="s">
        <v>85</v>
      </c>
      <c r="O53" s="4" t="s">
        <v>50</v>
      </c>
      <c r="P53" s="4" t="s">
        <v>50</v>
      </c>
      <c r="Q53" s="4" t="s">
        <v>50</v>
      </c>
      <c r="R53" s="4" t="s">
        <v>59</v>
      </c>
      <c r="S53" s="4" t="s">
        <v>59</v>
      </c>
      <c r="T53" s="4" t="s">
        <v>58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4" t="s">
        <v>50</v>
      </c>
      <c r="AS53" s="4" t="s">
        <v>50</v>
      </c>
      <c r="AT53" s="1"/>
      <c r="AU53" s="4" t="s">
        <v>86</v>
      </c>
      <c r="AV53" s="1">
        <v>4055</v>
      </c>
    </row>
    <row r="54" spans="1:48" ht="30" customHeight="1">
      <c r="A54" s="7" t="s">
        <v>82</v>
      </c>
      <c r="B54" s="7" t="s">
        <v>87</v>
      </c>
      <c r="C54" s="7" t="s">
        <v>84</v>
      </c>
      <c r="D54" s="8">
        <v>517</v>
      </c>
      <c r="E54" s="9"/>
      <c r="F54" s="9"/>
      <c r="G54" s="9"/>
      <c r="H54" s="9"/>
      <c r="I54" s="9"/>
      <c r="J54" s="9"/>
      <c r="K54" s="9"/>
      <c r="L54" s="9"/>
      <c r="M54" s="7"/>
      <c r="N54" s="4" t="s">
        <v>88</v>
      </c>
      <c r="O54" s="4" t="s">
        <v>50</v>
      </c>
      <c r="P54" s="4" t="s">
        <v>50</v>
      </c>
      <c r="Q54" s="4" t="s">
        <v>50</v>
      </c>
      <c r="R54" s="4" t="s">
        <v>59</v>
      </c>
      <c r="S54" s="4" t="s">
        <v>59</v>
      </c>
      <c r="T54" s="4" t="s">
        <v>58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4" t="s">
        <v>50</v>
      </c>
      <c r="AS54" s="4" t="s">
        <v>50</v>
      </c>
      <c r="AT54" s="1"/>
      <c r="AU54" s="4" t="s">
        <v>89</v>
      </c>
      <c r="AV54" s="1">
        <v>3901</v>
      </c>
    </row>
    <row r="55" spans="1:48" ht="30" customHeight="1">
      <c r="A55" s="7" t="s">
        <v>82</v>
      </c>
      <c r="B55" s="7" t="s">
        <v>90</v>
      </c>
      <c r="C55" s="7" t="s">
        <v>84</v>
      </c>
      <c r="D55" s="8">
        <v>46</v>
      </c>
      <c r="E55" s="9"/>
      <c r="F55" s="9"/>
      <c r="G55" s="9"/>
      <c r="H55" s="9"/>
      <c r="I55" s="9"/>
      <c r="J55" s="9"/>
      <c r="K55" s="9"/>
      <c r="L55" s="9"/>
      <c r="M55" s="7"/>
      <c r="N55" s="4" t="s">
        <v>91</v>
      </c>
      <c r="O55" s="4" t="s">
        <v>50</v>
      </c>
      <c r="P55" s="4" t="s">
        <v>50</v>
      </c>
      <c r="Q55" s="4" t="s">
        <v>50</v>
      </c>
      <c r="R55" s="4" t="s">
        <v>59</v>
      </c>
      <c r="S55" s="4" t="s">
        <v>59</v>
      </c>
      <c r="T55" s="4" t="s">
        <v>58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4" t="s">
        <v>50</v>
      </c>
      <c r="AS55" s="4" t="s">
        <v>50</v>
      </c>
      <c r="AT55" s="1"/>
      <c r="AU55" s="4" t="s">
        <v>92</v>
      </c>
      <c r="AV55" s="1">
        <v>4051</v>
      </c>
    </row>
    <row r="56" spans="1:48" ht="30" customHeight="1">
      <c r="A56" s="7" t="s">
        <v>82</v>
      </c>
      <c r="B56" s="7" t="s">
        <v>93</v>
      </c>
      <c r="C56" s="7" t="s">
        <v>84</v>
      </c>
      <c r="D56" s="8">
        <v>428</v>
      </c>
      <c r="E56" s="9"/>
      <c r="F56" s="9"/>
      <c r="G56" s="9"/>
      <c r="H56" s="9"/>
      <c r="I56" s="9"/>
      <c r="J56" s="9"/>
      <c r="K56" s="9"/>
      <c r="L56" s="9"/>
      <c r="M56" s="7"/>
      <c r="N56" s="4" t="s">
        <v>94</v>
      </c>
      <c r="O56" s="4" t="s">
        <v>50</v>
      </c>
      <c r="P56" s="4" t="s">
        <v>50</v>
      </c>
      <c r="Q56" s="4" t="s">
        <v>50</v>
      </c>
      <c r="R56" s="4" t="s">
        <v>59</v>
      </c>
      <c r="S56" s="4" t="s">
        <v>59</v>
      </c>
      <c r="T56" s="4" t="s">
        <v>58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4" t="s">
        <v>50</v>
      </c>
      <c r="AS56" s="4" t="s">
        <v>50</v>
      </c>
      <c r="AT56" s="1"/>
      <c r="AU56" s="4" t="s">
        <v>95</v>
      </c>
      <c r="AV56" s="1">
        <v>3900</v>
      </c>
    </row>
    <row r="57" spans="1:48" ht="30" customHeight="1">
      <c r="A57" s="7" t="s">
        <v>82</v>
      </c>
      <c r="B57" s="7" t="s">
        <v>96</v>
      </c>
      <c r="C57" s="7" t="s">
        <v>84</v>
      </c>
      <c r="D57" s="8">
        <v>24</v>
      </c>
      <c r="E57" s="9"/>
      <c r="F57" s="9"/>
      <c r="G57" s="9"/>
      <c r="H57" s="9"/>
      <c r="I57" s="9"/>
      <c r="J57" s="9"/>
      <c r="K57" s="9"/>
      <c r="L57" s="9"/>
      <c r="M57" s="7"/>
      <c r="N57" s="4" t="s">
        <v>97</v>
      </c>
      <c r="O57" s="4" t="s">
        <v>50</v>
      </c>
      <c r="P57" s="4" t="s">
        <v>50</v>
      </c>
      <c r="Q57" s="4" t="s">
        <v>50</v>
      </c>
      <c r="R57" s="4" t="s">
        <v>59</v>
      </c>
      <c r="S57" s="4" t="s">
        <v>59</v>
      </c>
      <c r="T57" s="4" t="s">
        <v>58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4" t="s">
        <v>50</v>
      </c>
      <c r="AS57" s="4" t="s">
        <v>50</v>
      </c>
      <c r="AT57" s="1"/>
      <c r="AU57" s="4" t="s">
        <v>98</v>
      </c>
      <c r="AV57" s="1">
        <v>3832</v>
      </c>
    </row>
    <row r="58" spans="1:48" ht="30" customHeight="1">
      <c r="A58" s="7" t="s">
        <v>99</v>
      </c>
      <c r="B58" s="7" t="s">
        <v>100</v>
      </c>
      <c r="C58" s="7" t="s">
        <v>101</v>
      </c>
      <c r="D58" s="8">
        <v>1588</v>
      </c>
      <c r="E58" s="9"/>
      <c r="F58" s="9"/>
      <c r="G58" s="9"/>
      <c r="H58" s="9"/>
      <c r="I58" s="9"/>
      <c r="J58" s="9"/>
      <c r="K58" s="9"/>
      <c r="L58" s="9"/>
      <c r="M58" s="7"/>
      <c r="N58" s="4" t="s">
        <v>102</v>
      </c>
      <c r="O58" s="4" t="s">
        <v>50</v>
      </c>
      <c r="P58" s="4" t="s">
        <v>50</v>
      </c>
      <c r="Q58" s="4" t="s">
        <v>50</v>
      </c>
      <c r="R58" s="4" t="s">
        <v>59</v>
      </c>
      <c r="S58" s="4" t="s">
        <v>59</v>
      </c>
      <c r="T58" s="4" t="s">
        <v>58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4" t="s">
        <v>50</v>
      </c>
      <c r="AS58" s="4" t="s">
        <v>50</v>
      </c>
      <c r="AT58" s="1"/>
      <c r="AU58" s="4" t="s">
        <v>103</v>
      </c>
      <c r="AV58" s="1">
        <v>3126</v>
      </c>
    </row>
    <row r="59" spans="1:48" ht="30" customHeight="1">
      <c r="A59" s="7" t="s">
        <v>104</v>
      </c>
      <c r="B59" s="7" t="s">
        <v>105</v>
      </c>
      <c r="C59" s="7" t="s">
        <v>106</v>
      </c>
      <c r="D59" s="8">
        <v>5.0199999999999996</v>
      </c>
      <c r="E59" s="9"/>
      <c r="F59" s="9"/>
      <c r="G59" s="9"/>
      <c r="H59" s="9"/>
      <c r="I59" s="9"/>
      <c r="J59" s="9"/>
      <c r="K59" s="9"/>
      <c r="L59" s="9"/>
      <c r="M59" s="7"/>
      <c r="N59" s="4" t="s">
        <v>107</v>
      </c>
      <c r="O59" s="4" t="s">
        <v>50</v>
      </c>
      <c r="P59" s="4" t="s">
        <v>50</v>
      </c>
      <c r="Q59" s="4" t="s">
        <v>50</v>
      </c>
      <c r="R59" s="4" t="s">
        <v>58</v>
      </c>
      <c r="S59" s="4" t="s">
        <v>59</v>
      </c>
      <c r="T59" s="4" t="s">
        <v>59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4" t="s">
        <v>50</v>
      </c>
      <c r="AS59" s="4" t="s">
        <v>50</v>
      </c>
      <c r="AT59" s="1"/>
      <c r="AU59" s="4" t="s">
        <v>108</v>
      </c>
      <c r="AV59" s="1">
        <v>3656</v>
      </c>
    </row>
    <row r="60" spans="1:48" ht="30" customHeight="1">
      <c r="A60" s="7" t="s">
        <v>109</v>
      </c>
      <c r="B60" s="7" t="s">
        <v>110</v>
      </c>
      <c r="C60" s="7" t="s">
        <v>111</v>
      </c>
      <c r="D60" s="8">
        <v>1442</v>
      </c>
      <c r="E60" s="9"/>
      <c r="F60" s="9"/>
      <c r="G60" s="9"/>
      <c r="H60" s="9"/>
      <c r="I60" s="9"/>
      <c r="J60" s="9"/>
      <c r="K60" s="9"/>
      <c r="L60" s="9"/>
      <c r="M60" s="7"/>
      <c r="N60" s="4" t="s">
        <v>112</v>
      </c>
      <c r="O60" s="4" t="s">
        <v>50</v>
      </c>
      <c r="P60" s="4" t="s">
        <v>50</v>
      </c>
      <c r="Q60" s="4" t="s">
        <v>50</v>
      </c>
      <c r="R60" s="4" t="s">
        <v>58</v>
      </c>
      <c r="S60" s="4" t="s">
        <v>59</v>
      </c>
      <c r="T60" s="4" t="s">
        <v>59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4" t="s">
        <v>50</v>
      </c>
      <c r="AS60" s="4" t="s">
        <v>50</v>
      </c>
      <c r="AT60" s="1"/>
      <c r="AU60" s="4" t="s">
        <v>113</v>
      </c>
      <c r="AV60" s="1">
        <v>2311</v>
      </c>
    </row>
    <row r="61" spans="1:48" ht="30" customHeight="1">
      <c r="A61" s="7" t="s">
        <v>114</v>
      </c>
      <c r="B61" s="7" t="s">
        <v>115</v>
      </c>
      <c r="C61" s="7" t="s">
        <v>84</v>
      </c>
      <c r="D61" s="8">
        <v>4</v>
      </c>
      <c r="E61" s="9"/>
      <c r="F61" s="9"/>
      <c r="G61" s="9"/>
      <c r="H61" s="9"/>
      <c r="I61" s="9"/>
      <c r="J61" s="9"/>
      <c r="K61" s="9"/>
      <c r="L61" s="9"/>
      <c r="M61" s="7"/>
      <c r="N61" s="4" t="s">
        <v>116</v>
      </c>
      <c r="O61" s="4" t="s">
        <v>50</v>
      </c>
      <c r="P61" s="4" t="s">
        <v>50</v>
      </c>
      <c r="Q61" s="4" t="s">
        <v>50</v>
      </c>
      <c r="R61" s="4" t="s">
        <v>58</v>
      </c>
      <c r="S61" s="4" t="s">
        <v>59</v>
      </c>
      <c r="T61" s="4" t="s">
        <v>59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4" t="s">
        <v>50</v>
      </c>
      <c r="AS61" s="4" t="s">
        <v>50</v>
      </c>
      <c r="AT61" s="1"/>
      <c r="AU61" s="4" t="s">
        <v>117</v>
      </c>
      <c r="AV61" s="1">
        <v>3127</v>
      </c>
    </row>
    <row r="62" spans="1:48" ht="3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</row>
    <row r="63" spans="1:48" ht="3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</row>
    <row r="64" spans="1:48" ht="3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</row>
    <row r="65" spans="1:48" ht="3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</row>
    <row r="66" spans="1:48" ht="3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</row>
    <row r="67" spans="1:48" ht="3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</row>
    <row r="68" spans="1:48" ht="3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48" ht="3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48" ht="3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48" ht="3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48" ht="3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48" ht="3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48" ht="3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48" ht="30" customHeight="1">
      <c r="A75" s="8" t="s">
        <v>71</v>
      </c>
      <c r="B75" s="8"/>
      <c r="C75" s="8"/>
      <c r="D75" s="8"/>
      <c r="E75" s="8"/>
      <c r="F75" s="9">
        <f>SUM(F53:F74)</f>
        <v>0</v>
      </c>
      <c r="G75" s="8"/>
      <c r="H75" s="9">
        <f>SUM(H53:H74)</f>
        <v>0</v>
      </c>
      <c r="I75" s="8"/>
      <c r="J75" s="9">
        <f>SUM(J53:J74)</f>
        <v>0</v>
      </c>
      <c r="K75" s="8"/>
      <c r="L75" s="9">
        <f>SUM(L53:L74)</f>
        <v>0</v>
      </c>
      <c r="M75" s="8"/>
      <c r="N75" t="s">
        <v>72</v>
      </c>
    </row>
    <row r="76" spans="1:48" ht="30" customHeight="1">
      <c r="A76" s="7" t="s">
        <v>118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1"/>
      <c r="O76" s="1"/>
      <c r="P76" s="1"/>
      <c r="Q76" s="4" t="s">
        <v>119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ht="30" customHeight="1">
      <c r="A77" s="7" t="s">
        <v>120</v>
      </c>
      <c r="B77" s="7" t="s">
        <v>121</v>
      </c>
      <c r="C77" s="7" t="s">
        <v>56</v>
      </c>
      <c r="D77" s="8">
        <v>292</v>
      </c>
      <c r="E77" s="9"/>
      <c r="F77" s="9"/>
      <c r="G77" s="9"/>
      <c r="H77" s="9"/>
      <c r="I77" s="9"/>
      <c r="J77" s="9"/>
      <c r="K77" s="9"/>
      <c r="L77" s="9"/>
      <c r="M77" s="7"/>
      <c r="N77" s="4" t="s">
        <v>122</v>
      </c>
      <c r="O77" s="4" t="s">
        <v>50</v>
      </c>
      <c r="P77" s="4" t="s">
        <v>50</v>
      </c>
      <c r="Q77" s="4" t="s">
        <v>50</v>
      </c>
      <c r="R77" s="4" t="s">
        <v>58</v>
      </c>
      <c r="S77" s="4" t="s">
        <v>59</v>
      </c>
      <c r="T77" s="4" t="s">
        <v>59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4" t="s">
        <v>50</v>
      </c>
      <c r="AS77" s="4" t="s">
        <v>50</v>
      </c>
      <c r="AT77" s="1"/>
      <c r="AU77" s="4" t="s">
        <v>123</v>
      </c>
      <c r="AV77" s="1">
        <v>2313</v>
      </c>
    </row>
    <row r="78" spans="1:48" ht="30" customHeight="1">
      <c r="A78" s="7" t="s">
        <v>124</v>
      </c>
      <c r="B78" s="7" t="s">
        <v>125</v>
      </c>
      <c r="C78" s="7" t="s">
        <v>56</v>
      </c>
      <c r="D78" s="8">
        <v>117</v>
      </c>
      <c r="E78" s="9"/>
      <c r="F78" s="9"/>
      <c r="G78" s="9"/>
      <c r="H78" s="9"/>
      <c r="I78" s="9"/>
      <c r="J78" s="9"/>
      <c r="K78" s="9"/>
      <c r="L78" s="9"/>
      <c r="M78" s="7"/>
      <c r="N78" s="4" t="s">
        <v>126</v>
      </c>
      <c r="O78" s="4" t="s">
        <v>50</v>
      </c>
      <c r="P78" s="4" t="s">
        <v>50</v>
      </c>
      <c r="Q78" s="4" t="s">
        <v>50</v>
      </c>
      <c r="R78" s="4" t="s">
        <v>58</v>
      </c>
      <c r="S78" s="4" t="s">
        <v>59</v>
      </c>
      <c r="T78" s="4" t="s">
        <v>59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4" t="s">
        <v>50</v>
      </c>
      <c r="AS78" s="4" t="s">
        <v>50</v>
      </c>
      <c r="AT78" s="1"/>
      <c r="AU78" s="4" t="s">
        <v>127</v>
      </c>
      <c r="AV78" s="1">
        <v>3659</v>
      </c>
    </row>
    <row r="79" spans="1:48" ht="3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48" ht="3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1:13" ht="3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13" ht="3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13" ht="3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</row>
    <row r="84" spans="1:13" ht="3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</row>
    <row r="85" spans="1:13" ht="3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</row>
    <row r="86" spans="1:13" ht="3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</row>
    <row r="87" spans="1:13" ht="3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</row>
    <row r="88" spans="1:13" ht="3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</row>
    <row r="89" spans="1:13" ht="3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</row>
    <row r="90" spans="1:13" ht="3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3" ht="3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</row>
    <row r="92" spans="1:13" ht="3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</row>
    <row r="93" spans="1:13" ht="3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</row>
    <row r="94" spans="1:13" ht="3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</row>
    <row r="95" spans="1:13" ht="3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</row>
    <row r="96" spans="1:13" ht="3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48" ht="3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</row>
    <row r="98" spans="1:48" ht="3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</row>
    <row r="99" spans="1:48" ht="30" customHeight="1">
      <c r="A99" s="8" t="s">
        <v>71</v>
      </c>
      <c r="B99" s="8"/>
      <c r="C99" s="8"/>
      <c r="D99" s="8"/>
      <c r="E99" s="8"/>
      <c r="F99" s="9">
        <f>SUM(F77:F98)</f>
        <v>0</v>
      </c>
      <c r="G99" s="8"/>
      <c r="H99" s="9">
        <f>SUM(H77:H98)</f>
        <v>0</v>
      </c>
      <c r="I99" s="8"/>
      <c r="J99" s="9">
        <f>SUM(J77:J98)</f>
        <v>0</v>
      </c>
      <c r="K99" s="8"/>
      <c r="L99" s="9">
        <f>SUM(L77:L98)</f>
        <v>0</v>
      </c>
      <c r="M99" s="8"/>
      <c r="N99" t="s">
        <v>72</v>
      </c>
    </row>
    <row r="100" spans="1:48" ht="30" customHeight="1">
      <c r="A100" s="7" t="s">
        <v>128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1"/>
      <c r="O100" s="1"/>
      <c r="P100" s="1"/>
      <c r="Q100" s="4" t="s">
        <v>129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30" customHeight="1">
      <c r="A101" s="7" t="s">
        <v>130</v>
      </c>
      <c r="B101" s="7" t="s">
        <v>270</v>
      </c>
      <c r="C101" s="7" t="s">
        <v>61</v>
      </c>
      <c r="D101" s="8">
        <v>2</v>
      </c>
      <c r="E101" s="9"/>
      <c r="F101" s="9"/>
      <c r="G101" s="9"/>
      <c r="H101" s="9"/>
      <c r="I101" s="9"/>
      <c r="J101" s="9"/>
      <c r="K101" s="9"/>
      <c r="L101" s="9"/>
      <c r="M101" s="7"/>
      <c r="N101" s="4" t="s">
        <v>131</v>
      </c>
      <c r="O101" s="4" t="s">
        <v>50</v>
      </c>
      <c r="P101" s="4" t="s">
        <v>50</v>
      </c>
      <c r="Q101" s="4" t="s">
        <v>50</v>
      </c>
      <c r="R101" s="4" t="s">
        <v>59</v>
      </c>
      <c r="S101" s="4" t="s">
        <v>59</v>
      </c>
      <c r="T101" s="4" t="s">
        <v>58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4" t="s">
        <v>50</v>
      </c>
      <c r="AS101" s="4" t="s">
        <v>50</v>
      </c>
      <c r="AT101" s="1"/>
      <c r="AU101" s="4" t="s">
        <v>132</v>
      </c>
      <c r="AV101" s="1">
        <v>4054</v>
      </c>
    </row>
    <row r="102" spans="1:48" ht="30" customHeight="1">
      <c r="A102" s="7" t="s">
        <v>133</v>
      </c>
      <c r="B102" s="7" t="s">
        <v>134</v>
      </c>
      <c r="C102" s="7" t="s">
        <v>61</v>
      </c>
      <c r="D102" s="8">
        <v>1</v>
      </c>
      <c r="E102" s="9"/>
      <c r="F102" s="9"/>
      <c r="G102" s="9"/>
      <c r="H102" s="9"/>
      <c r="I102" s="9"/>
      <c r="J102" s="9"/>
      <c r="K102" s="9"/>
      <c r="L102" s="9"/>
      <c r="M102" s="7"/>
      <c r="N102" s="4" t="s">
        <v>135</v>
      </c>
      <c r="O102" s="4" t="s">
        <v>50</v>
      </c>
      <c r="P102" s="4" t="s">
        <v>50</v>
      </c>
      <c r="Q102" s="4" t="s">
        <v>50</v>
      </c>
      <c r="R102" s="4" t="s">
        <v>58</v>
      </c>
      <c r="S102" s="4" t="s">
        <v>59</v>
      </c>
      <c r="T102" s="4" t="s">
        <v>59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4" t="s">
        <v>50</v>
      </c>
      <c r="AS102" s="4" t="s">
        <v>50</v>
      </c>
      <c r="AT102" s="1"/>
      <c r="AU102" s="4" t="s">
        <v>136</v>
      </c>
      <c r="AV102" s="1">
        <v>4057</v>
      </c>
    </row>
    <row r="103" spans="1:48" ht="3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</row>
    <row r="104" spans="1:48" ht="3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</row>
    <row r="105" spans="1:48" ht="3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</row>
    <row r="106" spans="1:48" ht="3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</row>
    <row r="107" spans="1:48" ht="3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48" ht="3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</row>
    <row r="109" spans="1:48" ht="3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</row>
    <row r="110" spans="1:48" ht="3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</row>
    <row r="111" spans="1:48" ht="3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</row>
    <row r="112" spans="1:48" ht="3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</row>
    <row r="113" spans="1:48" ht="3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</row>
    <row r="114" spans="1:48" ht="3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48" ht="3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</row>
    <row r="116" spans="1:48" ht="3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</row>
    <row r="117" spans="1:48" ht="3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</row>
    <row r="118" spans="1:48" ht="3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</row>
    <row r="119" spans="1:48" ht="3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</row>
    <row r="120" spans="1:48" ht="3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</row>
    <row r="121" spans="1:48" ht="3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</row>
    <row r="122" spans="1:48" ht="3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</row>
    <row r="123" spans="1:48" ht="30" customHeight="1">
      <c r="A123" s="8" t="s">
        <v>71</v>
      </c>
      <c r="B123" s="8"/>
      <c r="C123" s="8"/>
      <c r="D123" s="8"/>
      <c r="E123" s="8"/>
      <c r="F123" s="9">
        <f>SUM(F101:F122)</f>
        <v>0</v>
      </c>
      <c r="G123" s="8"/>
      <c r="H123" s="9">
        <f>SUM(H101:H122)</f>
        <v>0</v>
      </c>
      <c r="I123" s="8"/>
      <c r="J123" s="9">
        <f>SUM(J101:J122)</f>
        <v>0</v>
      </c>
      <c r="K123" s="8"/>
      <c r="L123" s="9">
        <f>SUM(L101:L122)</f>
        <v>0</v>
      </c>
      <c r="M123" s="8"/>
      <c r="N123" t="s">
        <v>72</v>
      </c>
    </row>
    <row r="124" spans="1:48" ht="30" customHeight="1">
      <c r="A124" s="7" t="s">
        <v>137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1"/>
      <c r="O124" s="1"/>
      <c r="P124" s="1"/>
      <c r="Q124" s="4" t="s">
        <v>138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ht="30" customHeight="1">
      <c r="A125" s="7" t="s">
        <v>139</v>
      </c>
      <c r="B125" s="7" t="s">
        <v>140</v>
      </c>
      <c r="C125" s="7" t="s">
        <v>56</v>
      </c>
      <c r="D125" s="8">
        <v>109</v>
      </c>
      <c r="E125" s="9"/>
      <c r="F125" s="9"/>
      <c r="G125" s="9"/>
      <c r="H125" s="9"/>
      <c r="I125" s="9"/>
      <c r="J125" s="9"/>
      <c r="K125" s="9"/>
      <c r="L125" s="9"/>
      <c r="M125" s="7"/>
      <c r="N125" s="4" t="s">
        <v>141</v>
      </c>
      <c r="O125" s="4" t="s">
        <v>50</v>
      </c>
      <c r="P125" s="4" t="s">
        <v>50</v>
      </c>
      <c r="Q125" s="4" t="s">
        <v>50</v>
      </c>
      <c r="R125" s="4" t="s">
        <v>59</v>
      </c>
      <c r="S125" s="4" t="s">
        <v>59</v>
      </c>
      <c r="T125" s="4" t="s">
        <v>58</v>
      </c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4" t="s">
        <v>50</v>
      </c>
      <c r="AS125" s="4" t="s">
        <v>50</v>
      </c>
      <c r="AT125" s="1"/>
      <c r="AU125" s="4" t="s">
        <v>142</v>
      </c>
      <c r="AV125" s="1">
        <v>3129</v>
      </c>
    </row>
    <row r="126" spans="1:48" ht="30" customHeight="1">
      <c r="A126" s="7" t="s">
        <v>143</v>
      </c>
      <c r="B126" s="7" t="s">
        <v>144</v>
      </c>
      <c r="C126" s="7" t="s">
        <v>56</v>
      </c>
      <c r="D126" s="8">
        <v>108</v>
      </c>
      <c r="E126" s="9"/>
      <c r="F126" s="9"/>
      <c r="G126" s="9"/>
      <c r="H126" s="9"/>
      <c r="I126" s="9"/>
      <c r="J126" s="9"/>
      <c r="K126" s="9"/>
      <c r="L126" s="9"/>
      <c r="M126" s="7"/>
      <c r="N126" s="4" t="s">
        <v>145</v>
      </c>
      <c r="O126" s="4" t="s">
        <v>50</v>
      </c>
      <c r="P126" s="4" t="s">
        <v>50</v>
      </c>
      <c r="Q126" s="4" t="s">
        <v>50</v>
      </c>
      <c r="R126" s="4" t="s">
        <v>58</v>
      </c>
      <c r="S126" s="4" t="s">
        <v>59</v>
      </c>
      <c r="T126" s="4" t="s">
        <v>59</v>
      </c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4" t="s">
        <v>50</v>
      </c>
      <c r="AS126" s="4" t="s">
        <v>50</v>
      </c>
      <c r="AT126" s="1"/>
      <c r="AU126" s="4" t="s">
        <v>146</v>
      </c>
      <c r="AV126" s="1">
        <v>3130</v>
      </c>
    </row>
    <row r="127" spans="1:48" ht="30" customHeight="1">
      <c r="A127" s="7" t="s">
        <v>147</v>
      </c>
      <c r="B127" s="7" t="s">
        <v>148</v>
      </c>
      <c r="C127" s="7" t="s">
        <v>84</v>
      </c>
      <c r="D127" s="8">
        <v>375</v>
      </c>
      <c r="E127" s="9"/>
      <c r="F127" s="9"/>
      <c r="G127" s="9"/>
      <c r="H127" s="9"/>
      <c r="I127" s="9"/>
      <c r="J127" s="9"/>
      <c r="K127" s="9"/>
      <c r="L127" s="9"/>
      <c r="M127" s="7"/>
      <c r="N127" s="4" t="s">
        <v>149</v>
      </c>
      <c r="O127" s="4" t="s">
        <v>50</v>
      </c>
      <c r="P127" s="4" t="s">
        <v>50</v>
      </c>
      <c r="Q127" s="4" t="s">
        <v>50</v>
      </c>
      <c r="R127" s="4" t="s">
        <v>58</v>
      </c>
      <c r="S127" s="4" t="s">
        <v>59</v>
      </c>
      <c r="T127" s="4" t="s">
        <v>59</v>
      </c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4" t="s">
        <v>50</v>
      </c>
      <c r="AS127" s="4" t="s">
        <v>50</v>
      </c>
      <c r="AT127" s="1"/>
      <c r="AU127" s="4" t="s">
        <v>150</v>
      </c>
      <c r="AV127" s="1">
        <v>3131</v>
      </c>
    </row>
    <row r="128" spans="1:48" ht="30" customHeight="1">
      <c r="A128" s="7" t="s">
        <v>151</v>
      </c>
      <c r="B128" s="7" t="s">
        <v>148</v>
      </c>
      <c r="C128" s="7" t="s">
        <v>84</v>
      </c>
      <c r="D128" s="8">
        <v>174</v>
      </c>
      <c r="E128" s="9"/>
      <c r="F128" s="9"/>
      <c r="G128" s="9"/>
      <c r="H128" s="9"/>
      <c r="I128" s="9"/>
      <c r="J128" s="9"/>
      <c r="K128" s="9"/>
      <c r="L128" s="9"/>
      <c r="M128" s="7"/>
      <c r="N128" s="4" t="s">
        <v>152</v>
      </c>
      <c r="O128" s="4" t="s">
        <v>50</v>
      </c>
      <c r="P128" s="4" t="s">
        <v>50</v>
      </c>
      <c r="Q128" s="4" t="s">
        <v>50</v>
      </c>
      <c r="R128" s="4" t="s">
        <v>58</v>
      </c>
      <c r="S128" s="4" t="s">
        <v>59</v>
      </c>
      <c r="T128" s="4" t="s">
        <v>59</v>
      </c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4" t="s">
        <v>50</v>
      </c>
      <c r="AS128" s="4" t="s">
        <v>50</v>
      </c>
      <c r="AT128" s="1"/>
      <c r="AU128" s="4" t="s">
        <v>153</v>
      </c>
      <c r="AV128" s="1">
        <v>3132</v>
      </c>
    </row>
    <row r="129" spans="1:13" ht="3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</row>
    <row r="130" spans="1:13" ht="3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</row>
    <row r="131" spans="1:13" ht="3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</row>
    <row r="132" spans="1:13" ht="3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</row>
    <row r="133" spans="1:13" ht="3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</row>
    <row r="134" spans="1:13" ht="3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</row>
    <row r="135" spans="1:13" ht="3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</row>
    <row r="136" spans="1:13" ht="3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</row>
    <row r="137" spans="1:13" ht="3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</row>
    <row r="138" spans="1:13" ht="3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</row>
    <row r="139" spans="1:13" ht="3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</row>
    <row r="140" spans="1:13" ht="3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3" ht="3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</row>
    <row r="142" spans="1:13" ht="3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</row>
    <row r="143" spans="1:13" ht="3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</row>
    <row r="144" spans="1:13" ht="3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</row>
    <row r="145" spans="1:48" ht="3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</row>
    <row r="146" spans="1:48" ht="3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1:48" ht="30" customHeight="1">
      <c r="A147" s="8" t="s">
        <v>71</v>
      </c>
      <c r="B147" s="8"/>
      <c r="C147" s="8"/>
      <c r="D147" s="8"/>
      <c r="E147" s="8"/>
      <c r="F147" s="9">
        <f>SUM(F125:F146)</f>
        <v>0</v>
      </c>
      <c r="G147" s="8"/>
      <c r="H147" s="9">
        <f>SUM(H125:H146)</f>
        <v>0</v>
      </c>
      <c r="I147" s="8"/>
      <c r="J147" s="9">
        <f>SUM(J125:J146)</f>
        <v>0</v>
      </c>
      <c r="K147" s="8"/>
      <c r="L147" s="9">
        <f>SUM(L125:L146)</f>
        <v>0</v>
      </c>
      <c r="M147" s="8"/>
      <c r="N147" t="s">
        <v>72</v>
      </c>
    </row>
    <row r="148" spans="1:48" ht="30" customHeight="1">
      <c r="A148" s="7" t="s">
        <v>154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1"/>
      <c r="O148" s="1"/>
      <c r="P148" s="1"/>
      <c r="Q148" s="4" t="s">
        <v>155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ht="30" customHeight="1">
      <c r="A149" s="7" t="s">
        <v>156</v>
      </c>
      <c r="B149" s="7" t="s">
        <v>157</v>
      </c>
      <c r="C149" s="7" t="s">
        <v>111</v>
      </c>
      <c r="D149" s="8">
        <v>356</v>
      </c>
      <c r="E149" s="9"/>
      <c r="F149" s="9"/>
      <c r="G149" s="9"/>
      <c r="H149" s="9"/>
      <c r="I149" s="9"/>
      <c r="J149" s="9"/>
      <c r="K149" s="9"/>
      <c r="L149" s="9"/>
      <c r="M149" s="7"/>
      <c r="N149" s="4" t="s">
        <v>158</v>
      </c>
      <c r="O149" s="4" t="s">
        <v>50</v>
      </c>
      <c r="P149" s="4" t="s">
        <v>50</v>
      </c>
      <c r="Q149" s="4" t="s">
        <v>50</v>
      </c>
      <c r="R149" s="4" t="s">
        <v>59</v>
      </c>
      <c r="S149" s="4" t="s">
        <v>59</v>
      </c>
      <c r="T149" s="4" t="s">
        <v>58</v>
      </c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4" t="s">
        <v>50</v>
      </c>
      <c r="AS149" s="4" t="s">
        <v>50</v>
      </c>
      <c r="AT149" s="1"/>
      <c r="AU149" s="4" t="s">
        <v>159</v>
      </c>
      <c r="AV149" s="1">
        <v>2327</v>
      </c>
    </row>
    <row r="150" spans="1:48" ht="3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1:48" ht="3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</row>
    <row r="152" spans="1:48" ht="3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</row>
    <row r="153" spans="1:48" ht="3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</row>
    <row r="154" spans="1:48" ht="3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</row>
    <row r="155" spans="1:48" ht="3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</row>
    <row r="156" spans="1:48" ht="3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</row>
    <row r="157" spans="1:48" ht="3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</row>
    <row r="158" spans="1:48" ht="3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</row>
    <row r="159" spans="1:48" ht="3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</row>
    <row r="160" spans="1:48" ht="3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spans="1:14" ht="3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</row>
    <row r="162" spans="1:14" ht="3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</row>
    <row r="163" spans="1:14" ht="3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</row>
    <row r="164" spans="1:14" ht="3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</row>
    <row r="165" spans="1:14" ht="3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</row>
    <row r="166" spans="1:14" ht="3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</row>
    <row r="167" spans="1:14" ht="3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</row>
    <row r="168" spans="1:14" ht="3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</row>
    <row r="169" spans="1:14" ht="3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</row>
    <row r="170" spans="1:14" ht="3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</row>
    <row r="171" spans="1:14" ht="30" customHeight="1">
      <c r="A171" s="8" t="s">
        <v>71</v>
      </c>
      <c r="B171" s="8"/>
      <c r="C171" s="8"/>
      <c r="D171" s="8"/>
      <c r="E171" s="8"/>
      <c r="F171" s="9">
        <f>SUM(F149:F170)</f>
        <v>0</v>
      </c>
      <c r="G171" s="8"/>
      <c r="H171" s="9">
        <f>SUM(H149:H170)</f>
        <v>0</v>
      </c>
      <c r="I171" s="8"/>
      <c r="J171" s="9">
        <f>SUM(J149:J170)</f>
        <v>0</v>
      </c>
      <c r="K171" s="8"/>
      <c r="L171" s="9">
        <f>SUM(L149:L170)</f>
        <v>0</v>
      </c>
      <c r="M171" s="8"/>
      <c r="N171" t="s">
        <v>72</v>
      </c>
    </row>
  </sheetData>
  <mergeCells count="45">
    <mergeCell ref="AR2:AR3"/>
    <mergeCell ref="AS2:AS3"/>
    <mergeCell ref="AT2:AT3"/>
    <mergeCell ref="AU2:AU3"/>
    <mergeCell ref="AV2:AV3"/>
    <mergeCell ref="AQ2:AQ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E2:AE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S2:S3"/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N2:N3"/>
    <mergeCell ref="O2:O3"/>
    <mergeCell ref="P2:P3"/>
    <mergeCell ref="Q2:Q3"/>
    <mergeCell ref="R2:R3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  <rowBreaks count="7" manualBreakCount="7">
    <brk id="27" max="16383" man="1"/>
    <brk id="51" max="16383" man="1"/>
    <brk id="75" max="16383" man="1"/>
    <brk id="99" max="16383" man="1"/>
    <brk id="123" max="16383" man="1"/>
    <brk id="147" max="16383" man="1"/>
    <brk id="17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7</vt:i4>
      </vt:variant>
    </vt:vector>
  </HeadingPairs>
  <TitlesOfParts>
    <vt:vector size="12" baseType="lpstr">
      <vt:lpstr>표지</vt:lpstr>
      <vt:lpstr>원가계산서</vt:lpstr>
      <vt:lpstr>총괄표 </vt:lpstr>
      <vt:lpstr>공종별집계표</vt:lpstr>
      <vt:lpstr>공종별내역서</vt:lpstr>
      <vt:lpstr>공종별내역서!Print_Area</vt:lpstr>
      <vt:lpstr>공종별집계표!Print_Area</vt:lpstr>
      <vt:lpstr>원가계산서!Print_Area</vt:lpstr>
      <vt:lpstr>'총괄표 '!Print_Area</vt:lpstr>
      <vt:lpstr>표지!Print_Area</vt:lpstr>
      <vt:lpstr>공종별내역서!Print_Titles</vt:lpstr>
      <vt:lpstr>공종별집계표!Print_Titles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2018-01-22T06:07:39Z</cp:lastPrinted>
  <dcterms:created xsi:type="dcterms:W3CDTF">2018-01-22T05:23:46Z</dcterms:created>
  <dcterms:modified xsi:type="dcterms:W3CDTF">2018-01-26T02:01:33Z</dcterms:modified>
</cp:coreProperties>
</file>