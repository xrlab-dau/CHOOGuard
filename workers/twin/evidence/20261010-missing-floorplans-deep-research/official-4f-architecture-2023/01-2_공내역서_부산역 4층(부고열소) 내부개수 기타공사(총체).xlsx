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23년도 정영진\01_공사 및 설계\04_부산역 4층(부고열소) 내부개수 기타공사\03_일상감사관련\설계도서\"/>
    </mc:Choice>
  </mc:AlternateContent>
  <bookViews>
    <workbookView xWindow="0" yWindow="0" windowWidth="28740" windowHeight="14400"/>
  </bookViews>
  <sheets>
    <sheet name="원가계산서(총체및1차)" sheetId="9" r:id="rId1"/>
    <sheet name="원가계산서(총체)" sheetId="3" r:id="rId2"/>
    <sheet name="원가계산서(1차)" sheetId="10" r:id="rId3"/>
    <sheet name="공종별집계표(총체)" sheetId="8" r:id="rId4"/>
    <sheet name="공종별내역서(총체)" sheetId="7" r:id="rId5"/>
    <sheet name="일위대가목록(총체)" sheetId="6" r:id="rId6"/>
    <sheet name="일위대가(총체)" sheetId="5" r:id="rId7"/>
    <sheet name="단가대비표(총체)" sheetId="4" r:id="rId8"/>
    <sheet name=" 공사설정 " sheetId="2" r:id="rId9"/>
    <sheet name="Sheet1" sheetId="1" r:id="rId10"/>
  </sheets>
  <definedNames>
    <definedName name="_xlnm.Print_Area" localSheetId="4">'공종별내역서(총체)'!$A$1:$M$399</definedName>
    <definedName name="_xlnm.Print_Area" localSheetId="3">'공종별집계표(총체)'!$A$1:$M$25</definedName>
    <definedName name="_xlnm.Print_Area" localSheetId="7">'단가대비표(총체)'!$A$1:$X$211</definedName>
    <definedName name="_xlnm.Print_Area" localSheetId="6">'일위대가(총체)'!$A$1:$M$1187</definedName>
    <definedName name="_xlnm.Print_Area" localSheetId="5">'일위대가목록(총체)'!$A$1:$M$184</definedName>
    <definedName name="_xlnm.Print_Titles" localSheetId="4">'공종별내역서(총체)'!$1:$3</definedName>
    <definedName name="_xlnm.Print_Titles" localSheetId="3">'공종별집계표(총체)'!$1:$4</definedName>
    <definedName name="_xlnm.Print_Titles" localSheetId="7">'단가대비표(총체)'!$1:$4</definedName>
    <definedName name="_xlnm.Print_Titles" localSheetId="2">'원가계산서(1차)'!$1:$3</definedName>
    <definedName name="_xlnm.Print_Titles" localSheetId="1">'원가계산서(총체)'!$1:$3</definedName>
    <definedName name="_xlnm.Print_Titles" localSheetId="0">'원가계산서(총체및1차)'!$1:$3</definedName>
    <definedName name="_xlnm.Print_Titles" localSheetId="6">'일위대가(총체)'!$1:$3</definedName>
    <definedName name="_xlnm.Print_Titles" localSheetId="5">'일위대가목록(총체)'!$1:$3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9" l="1"/>
  <c r="F11" i="9"/>
  <c r="F8" i="9"/>
  <c r="F6" i="9"/>
  <c r="F4" i="9"/>
  <c r="F7" i="9"/>
  <c r="F14" i="9" l="1"/>
  <c r="F9" i="9"/>
  <c r="F10" i="9" s="1"/>
  <c r="F13" i="9" l="1"/>
  <c r="F12" i="9"/>
  <c r="I384" i="7" l="1"/>
  <c r="G384" i="7"/>
  <c r="E384" i="7"/>
  <c r="I383" i="7"/>
  <c r="G383" i="7"/>
  <c r="H383" i="7" s="1"/>
  <c r="E383" i="7"/>
  <c r="F383" i="7" s="1"/>
  <c r="I382" i="7"/>
  <c r="G382" i="7"/>
  <c r="E382" i="7"/>
  <c r="I381" i="7"/>
  <c r="G381" i="7"/>
  <c r="E381" i="7"/>
  <c r="F381" i="7" s="1"/>
  <c r="I380" i="7"/>
  <c r="G380" i="7"/>
  <c r="E380" i="7"/>
  <c r="I379" i="7"/>
  <c r="G379" i="7"/>
  <c r="H379" i="7" s="1"/>
  <c r="E379" i="7"/>
  <c r="F379" i="7" s="1"/>
  <c r="I357" i="7"/>
  <c r="G357" i="7"/>
  <c r="E357" i="7"/>
  <c r="I338" i="7"/>
  <c r="G338" i="7"/>
  <c r="H338" i="7" s="1"/>
  <c r="E338" i="7"/>
  <c r="F338" i="7" s="1"/>
  <c r="I337" i="7"/>
  <c r="G337" i="7"/>
  <c r="E337" i="7"/>
  <c r="I336" i="7"/>
  <c r="G336" i="7"/>
  <c r="E336" i="7"/>
  <c r="F336" i="7" s="1"/>
  <c r="I335" i="7"/>
  <c r="G335" i="7"/>
  <c r="E335" i="7"/>
  <c r="I300" i="7"/>
  <c r="G300" i="7"/>
  <c r="H300" i="7" s="1"/>
  <c r="E300" i="7"/>
  <c r="F300" i="7" s="1"/>
  <c r="I299" i="7"/>
  <c r="J299" i="7" s="1"/>
  <c r="G299" i="7"/>
  <c r="E299" i="7"/>
  <c r="I297" i="7"/>
  <c r="G297" i="7"/>
  <c r="E297" i="7"/>
  <c r="I296" i="7"/>
  <c r="G296" i="7"/>
  <c r="H296" i="7" s="1"/>
  <c r="E296" i="7"/>
  <c r="I269" i="7"/>
  <c r="G269" i="7"/>
  <c r="H269" i="7" s="1"/>
  <c r="H289" i="7" s="1"/>
  <c r="G14" i="8" s="1"/>
  <c r="H14" i="8" s="1"/>
  <c r="E269" i="7"/>
  <c r="I264" i="7"/>
  <c r="G264" i="7"/>
  <c r="E264" i="7"/>
  <c r="I263" i="7"/>
  <c r="G263" i="7"/>
  <c r="H263" i="7" s="1"/>
  <c r="E263" i="7"/>
  <c r="I256" i="7"/>
  <c r="G256" i="7"/>
  <c r="E256" i="7"/>
  <c r="F256" i="7" s="1"/>
  <c r="I255" i="7"/>
  <c r="G255" i="7"/>
  <c r="H255" i="7" s="1"/>
  <c r="E255" i="7"/>
  <c r="F255" i="7" s="1"/>
  <c r="I254" i="7"/>
  <c r="G254" i="7"/>
  <c r="H254" i="7" s="1"/>
  <c r="E254" i="7"/>
  <c r="I253" i="7"/>
  <c r="G253" i="7"/>
  <c r="H253" i="7" s="1"/>
  <c r="E253" i="7"/>
  <c r="F253" i="7" s="1"/>
  <c r="I252" i="7"/>
  <c r="G252" i="7"/>
  <c r="E252" i="7"/>
  <c r="I251" i="7"/>
  <c r="G251" i="7"/>
  <c r="E251" i="7"/>
  <c r="F251" i="7" s="1"/>
  <c r="I250" i="7"/>
  <c r="G250" i="7"/>
  <c r="E250" i="7"/>
  <c r="I249" i="7"/>
  <c r="G249" i="7"/>
  <c r="H249" i="7" s="1"/>
  <c r="E249" i="7"/>
  <c r="F249" i="7" s="1"/>
  <c r="I248" i="7"/>
  <c r="G248" i="7"/>
  <c r="E248" i="7"/>
  <c r="I240" i="7"/>
  <c r="G240" i="7"/>
  <c r="E240" i="7"/>
  <c r="I239" i="7"/>
  <c r="G239" i="7"/>
  <c r="H239" i="7" s="1"/>
  <c r="E239" i="7"/>
  <c r="F239" i="7" s="1"/>
  <c r="I238" i="7"/>
  <c r="G238" i="7"/>
  <c r="E238" i="7"/>
  <c r="I237" i="7"/>
  <c r="G237" i="7"/>
  <c r="E237" i="7"/>
  <c r="F237" i="7" s="1"/>
  <c r="I236" i="7"/>
  <c r="G236" i="7"/>
  <c r="E236" i="7"/>
  <c r="I235" i="7"/>
  <c r="G235" i="7"/>
  <c r="H235" i="7" s="1"/>
  <c r="E235" i="7"/>
  <c r="F235" i="7" s="1"/>
  <c r="I234" i="7"/>
  <c r="G234" i="7"/>
  <c r="E234" i="7"/>
  <c r="I233" i="7"/>
  <c r="G233" i="7"/>
  <c r="H233" i="7" s="1"/>
  <c r="E233" i="7"/>
  <c r="F233" i="7" s="1"/>
  <c r="I232" i="7"/>
  <c r="G232" i="7"/>
  <c r="E232" i="7"/>
  <c r="I231" i="7"/>
  <c r="G231" i="7"/>
  <c r="E231" i="7"/>
  <c r="F231" i="7" s="1"/>
  <c r="I230" i="7"/>
  <c r="G230" i="7"/>
  <c r="E230" i="7"/>
  <c r="I229" i="7"/>
  <c r="G229" i="7"/>
  <c r="H229" i="7" s="1"/>
  <c r="E229" i="7"/>
  <c r="F229" i="7" s="1"/>
  <c r="I137" i="7"/>
  <c r="G137" i="7"/>
  <c r="E137" i="7"/>
  <c r="I114" i="7"/>
  <c r="G114" i="7"/>
  <c r="H114" i="7" s="1"/>
  <c r="E114" i="7"/>
  <c r="F114" i="7" s="1"/>
  <c r="I113" i="7"/>
  <c r="G113" i="7"/>
  <c r="E113" i="7"/>
  <c r="I112" i="7"/>
  <c r="G112" i="7"/>
  <c r="E112" i="7"/>
  <c r="F112" i="7" s="1"/>
  <c r="I100" i="7"/>
  <c r="G100" i="7"/>
  <c r="E100" i="7"/>
  <c r="F100" i="7" s="1"/>
  <c r="I99" i="7"/>
  <c r="G99" i="7"/>
  <c r="E99" i="7"/>
  <c r="I98" i="7"/>
  <c r="G98" i="7"/>
  <c r="H98" i="7" s="1"/>
  <c r="E98" i="7"/>
  <c r="F98" i="7" s="1"/>
  <c r="I95" i="7"/>
  <c r="G95" i="7"/>
  <c r="E95" i="7"/>
  <c r="I93" i="7"/>
  <c r="G93" i="7"/>
  <c r="E93" i="7"/>
  <c r="I91" i="7"/>
  <c r="G91" i="7"/>
  <c r="E91" i="7"/>
  <c r="I90" i="7"/>
  <c r="G90" i="7"/>
  <c r="H90" i="7" s="1"/>
  <c r="E90" i="7"/>
  <c r="F90" i="7" s="1"/>
  <c r="I83" i="7"/>
  <c r="G83" i="7"/>
  <c r="E83" i="7"/>
  <c r="I79" i="7"/>
  <c r="G79" i="7"/>
  <c r="E79" i="7"/>
  <c r="I77" i="7"/>
  <c r="G77" i="7"/>
  <c r="E77" i="7"/>
  <c r="I75" i="7"/>
  <c r="G75" i="7"/>
  <c r="E75" i="7"/>
  <c r="I53" i="7"/>
  <c r="G53" i="7"/>
  <c r="H53" i="7" s="1"/>
  <c r="E53" i="7"/>
  <c r="F53" i="7" s="1"/>
  <c r="I52" i="7"/>
  <c r="G52" i="7"/>
  <c r="E52" i="7"/>
  <c r="I28" i="7"/>
  <c r="G28" i="7"/>
  <c r="E28" i="7"/>
  <c r="F28" i="7" s="1"/>
  <c r="I11" i="7"/>
  <c r="G11" i="7"/>
  <c r="E11" i="7"/>
  <c r="I1186" i="5"/>
  <c r="G1186" i="5"/>
  <c r="H1186" i="5" s="1"/>
  <c r="H1187" i="5" s="1"/>
  <c r="E1186" i="5"/>
  <c r="F1186" i="5" s="1"/>
  <c r="I1181" i="5"/>
  <c r="G1181" i="5"/>
  <c r="E1181" i="5"/>
  <c r="I1180" i="5"/>
  <c r="G1180" i="5"/>
  <c r="H1180" i="5" s="1"/>
  <c r="E1180" i="5"/>
  <c r="F1180" i="5" s="1"/>
  <c r="I1179" i="5"/>
  <c r="G1179" i="5"/>
  <c r="E1179" i="5"/>
  <c r="I1178" i="5"/>
  <c r="G1178" i="5"/>
  <c r="K1178" i="5" s="1"/>
  <c r="E1178" i="5"/>
  <c r="F1178" i="5" s="1"/>
  <c r="I1173" i="5"/>
  <c r="J1173" i="5" s="1"/>
  <c r="J1175" i="5" s="1"/>
  <c r="G182" i="6" s="1"/>
  <c r="I487" i="5" s="1"/>
  <c r="J487" i="5" s="1"/>
  <c r="G1173" i="5"/>
  <c r="E1173" i="5"/>
  <c r="I1172" i="5"/>
  <c r="G1172" i="5"/>
  <c r="E1172" i="5"/>
  <c r="I1167" i="5"/>
  <c r="J1167" i="5" s="1"/>
  <c r="J1169" i="5" s="1"/>
  <c r="G181" i="6" s="1"/>
  <c r="I485" i="5" s="1"/>
  <c r="J485" i="5" s="1"/>
  <c r="G1167" i="5"/>
  <c r="E1167" i="5"/>
  <c r="I1166" i="5"/>
  <c r="G1166" i="5"/>
  <c r="H1166" i="5" s="1"/>
  <c r="E1166" i="5"/>
  <c r="I1161" i="5"/>
  <c r="K1161" i="5" s="1"/>
  <c r="G1161" i="5"/>
  <c r="E1161" i="5"/>
  <c r="F1161" i="5" s="1"/>
  <c r="I1160" i="5"/>
  <c r="J1160" i="5" s="1"/>
  <c r="G1160" i="5"/>
  <c r="E1160" i="5"/>
  <c r="I1155" i="5"/>
  <c r="J1155" i="5" s="1"/>
  <c r="G1155" i="5"/>
  <c r="E1155" i="5"/>
  <c r="I1154" i="5"/>
  <c r="J1154" i="5" s="1"/>
  <c r="G1154" i="5"/>
  <c r="E1154" i="5"/>
  <c r="I1149" i="5"/>
  <c r="J1149" i="5" s="1"/>
  <c r="G1149" i="5"/>
  <c r="H1149" i="5" s="1"/>
  <c r="E1149" i="5"/>
  <c r="I1148" i="5"/>
  <c r="G1148" i="5"/>
  <c r="H1148" i="5" s="1"/>
  <c r="E1148" i="5"/>
  <c r="I1143" i="5"/>
  <c r="K1143" i="5" s="1"/>
  <c r="G1143" i="5"/>
  <c r="H1143" i="5" s="1"/>
  <c r="E1143" i="5"/>
  <c r="F1143" i="5" s="1"/>
  <c r="I1142" i="5"/>
  <c r="J1142" i="5" s="1"/>
  <c r="G1142" i="5"/>
  <c r="H1142" i="5" s="1"/>
  <c r="E1142" i="5"/>
  <c r="I1137" i="5"/>
  <c r="G1137" i="5"/>
  <c r="E1137" i="5"/>
  <c r="I1132" i="5"/>
  <c r="G1132" i="5"/>
  <c r="K1132" i="5" s="1"/>
  <c r="E1132" i="5"/>
  <c r="I1127" i="5"/>
  <c r="G1127" i="5"/>
  <c r="E1127" i="5"/>
  <c r="I1126" i="5"/>
  <c r="J1126" i="5" s="1"/>
  <c r="G1126" i="5"/>
  <c r="E1126" i="5"/>
  <c r="I1121" i="5"/>
  <c r="G1121" i="5"/>
  <c r="H1121" i="5" s="1"/>
  <c r="E1121" i="5"/>
  <c r="I1120" i="5"/>
  <c r="G1120" i="5"/>
  <c r="E1120" i="5"/>
  <c r="I1115" i="5"/>
  <c r="J1115" i="5" s="1"/>
  <c r="G1115" i="5"/>
  <c r="E1115" i="5"/>
  <c r="I1114" i="5"/>
  <c r="G1114" i="5"/>
  <c r="E1114" i="5"/>
  <c r="I1110" i="5"/>
  <c r="J1110" i="5" s="1"/>
  <c r="J1111" i="5" s="1"/>
  <c r="G171" i="6" s="1"/>
  <c r="I1106" i="5" s="1"/>
  <c r="J1106" i="5" s="1"/>
  <c r="G1110" i="5"/>
  <c r="E1110" i="5"/>
  <c r="I1105" i="5"/>
  <c r="G1105" i="5"/>
  <c r="H1105" i="5" s="1"/>
  <c r="E1105" i="5"/>
  <c r="I1101" i="5"/>
  <c r="J1101" i="5" s="1"/>
  <c r="G1101" i="5"/>
  <c r="E1101" i="5"/>
  <c r="F1101" i="5" s="1"/>
  <c r="I1100" i="5"/>
  <c r="G1100" i="5"/>
  <c r="E1100" i="5"/>
  <c r="F1100" i="5" s="1"/>
  <c r="I1095" i="5"/>
  <c r="J1095" i="5" s="1"/>
  <c r="G1095" i="5"/>
  <c r="H1095" i="5" s="1"/>
  <c r="E1095" i="5"/>
  <c r="I1090" i="5"/>
  <c r="J1090" i="5" s="1"/>
  <c r="G1090" i="5"/>
  <c r="E1090" i="5"/>
  <c r="F1090" i="5" s="1"/>
  <c r="I1089" i="5"/>
  <c r="J1089" i="5" s="1"/>
  <c r="G1089" i="5"/>
  <c r="E1089" i="5"/>
  <c r="I1083" i="5"/>
  <c r="G1083" i="5"/>
  <c r="E1083" i="5"/>
  <c r="I1082" i="5"/>
  <c r="J1082" i="5" s="1"/>
  <c r="G1082" i="5"/>
  <c r="E1082" i="5"/>
  <c r="I1081" i="5"/>
  <c r="J1081" i="5" s="1"/>
  <c r="G1081" i="5"/>
  <c r="H1081" i="5" s="1"/>
  <c r="E1081" i="5"/>
  <c r="I1080" i="5"/>
  <c r="J1080" i="5" s="1"/>
  <c r="G1080" i="5"/>
  <c r="H1080" i="5" s="1"/>
  <c r="E1080" i="5"/>
  <c r="F1080" i="5" s="1"/>
  <c r="I1074" i="5"/>
  <c r="G1074" i="5"/>
  <c r="H1074" i="5" s="1"/>
  <c r="E1074" i="5"/>
  <c r="F1074" i="5" s="1"/>
  <c r="I1073" i="5"/>
  <c r="J1073" i="5" s="1"/>
  <c r="G1073" i="5"/>
  <c r="E1073" i="5"/>
  <c r="I1072" i="5"/>
  <c r="G1072" i="5"/>
  <c r="H1072" i="5" s="1"/>
  <c r="E1072" i="5"/>
  <c r="I1071" i="5"/>
  <c r="G1071" i="5"/>
  <c r="H1071" i="5" s="1"/>
  <c r="E1071" i="5"/>
  <c r="I1067" i="5"/>
  <c r="J1067" i="5" s="1"/>
  <c r="J1068" i="5" s="1"/>
  <c r="G164" i="6" s="1"/>
  <c r="I362" i="5" s="1"/>
  <c r="J362" i="5" s="1"/>
  <c r="G1067" i="5"/>
  <c r="E1067" i="5"/>
  <c r="F1067" i="5" s="1"/>
  <c r="I1062" i="5"/>
  <c r="J1062" i="5" s="1"/>
  <c r="G1062" i="5"/>
  <c r="H1062" i="5" s="1"/>
  <c r="E1062" i="5"/>
  <c r="I1058" i="5"/>
  <c r="G1058" i="5"/>
  <c r="K1058" i="5" s="1"/>
  <c r="E1058" i="5"/>
  <c r="I1057" i="5"/>
  <c r="J1057" i="5" s="1"/>
  <c r="G1057" i="5"/>
  <c r="E1057" i="5"/>
  <c r="I1056" i="5"/>
  <c r="G1056" i="5"/>
  <c r="E1056" i="5"/>
  <c r="I1052" i="5"/>
  <c r="G1052" i="5"/>
  <c r="H1052" i="5" s="1"/>
  <c r="E1052" i="5"/>
  <c r="I1051" i="5"/>
  <c r="J1051" i="5" s="1"/>
  <c r="G1051" i="5"/>
  <c r="E1051" i="5"/>
  <c r="I1050" i="5"/>
  <c r="J1050" i="5" s="1"/>
  <c r="G1050" i="5"/>
  <c r="E1050" i="5"/>
  <c r="I1046" i="5"/>
  <c r="G1046" i="5"/>
  <c r="K1046" i="5" s="1"/>
  <c r="E1046" i="5"/>
  <c r="I1045" i="5"/>
  <c r="G1045" i="5"/>
  <c r="E1045" i="5"/>
  <c r="I1044" i="5"/>
  <c r="G1044" i="5"/>
  <c r="K1044" i="5" s="1"/>
  <c r="E1044" i="5"/>
  <c r="I1040" i="5"/>
  <c r="J1040" i="5" s="1"/>
  <c r="G1040" i="5"/>
  <c r="H1040" i="5" s="1"/>
  <c r="E1040" i="5"/>
  <c r="F1040" i="5" s="1"/>
  <c r="I1039" i="5"/>
  <c r="J1039" i="5" s="1"/>
  <c r="G1039" i="5"/>
  <c r="E1039" i="5"/>
  <c r="I1038" i="5"/>
  <c r="J1038" i="5" s="1"/>
  <c r="G1038" i="5"/>
  <c r="E1038" i="5"/>
  <c r="F1038" i="5" s="1"/>
  <c r="I1034" i="5"/>
  <c r="J1034" i="5" s="1"/>
  <c r="G1034" i="5"/>
  <c r="E1034" i="5"/>
  <c r="I1033" i="5"/>
  <c r="G1033" i="5"/>
  <c r="E1033" i="5"/>
  <c r="I1028" i="5"/>
  <c r="G1028" i="5"/>
  <c r="E1028" i="5"/>
  <c r="I1027" i="5"/>
  <c r="G1027" i="5"/>
  <c r="H1027" i="5" s="1"/>
  <c r="E1027" i="5"/>
  <c r="I1023" i="5"/>
  <c r="J1023" i="5" s="1"/>
  <c r="G1023" i="5"/>
  <c r="H1023" i="5" s="1"/>
  <c r="E1023" i="5"/>
  <c r="I1022" i="5"/>
  <c r="K1022" i="5" s="1"/>
  <c r="G1022" i="5"/>
  <c r="H1022" i="5" s="1"/>
  <c r="E1022" i="5"/>
  <c r="I1017" i="5"/>
  <c r="G1017" i="5"/>
  <c r="E1017" i="5"/>
  <c r="I1016" i="5"/>
  <c r="K1016" i="5" s="1"/>
  <c r="G1016" i="5"/>
  <c r="E1016" i="5"/>
  <c r="I1011" i="5"/>
  <c r="J1011" i="5" s="1"/>
  <c r="G1011" i="5"/>
  <c r="H1011" i="5" s="1"/>
  <c r="E1011" i="5"/>
  <c r="I1010" i="5"/>
  <c r="G1010" i="5"/>
  <c r="H1010" i="5" s="1"/>
  <c r="E1010" i="5"/>
  <c r="F1010" i="5" s="1"/>
  <c r="I1006" i="5"/>
  <c r="J1006" i="5" s="1"/>
  <c r="G1006" i="5"/>
  <c r="E1006" i="5"/>
  <c r="I1005" i="5"/>
  <c r="G1005" i="5"/>
  <c r="H1005" i="5" s="1"/>
  <c r="E1005" i="5"/>
  <c r="I1000" i="5"/>
  <c r="G1000" i="5"/>
  <c r="E1000" i="5"/>
  <c r="I999" i="5"/>
  <c r="J999" i="5" s="1"/>
  <c r="G999" i="5"/>
  <c r="E999" i="5"/>
  <c r="I994" i="5"/>
  <c r="J994" i="5" s="1"/>
  <c r="G994" i="5"/>
  <c r="E994" i="5"/>
  <c r="F994" i="5" s="1"/>
  <c r="I993" i="5"/>
  <c r="G993" i="5"/>
  <c r="E993" i="5"/>
  <c r="I988" i="5"/>
  <c r="J988" i="5" s="1"/>
  <c r="G988" i="5"/>
  <c r="H988" i="5" s="1"/>
  <c r="E988" i="5"/>
  <c r="F988" i="5" s="1"/>
  <c r="I987" i="5"/>
  <c r="J987" i="5" s="1"/>
  <c r="G987" i="5"/>
  <c r="E987" i="5"/>
  <c r="I983" i="5"/>
  <c r="J983" i="5" s="1"/>
  <c r="J984" i="5" s="1"/>
  <c r="G149" i="6" s="1"/>
  <c r="I973" i="5" s="1"/>
  <c r="J973" i="5" s="1"/>
  <c r="G983" i="5"/>
  <c r="H983" i="5" s="1"/>
  <c r="H984" i="5" s="1"/>
  <c r="F149" i="6" s="1"/>
  <c r="G973" i="5" s="1"/>
  <c r="H973" i="5" s="1"/>
  <c r="E983" i="5"/>
  <c r="I978" i="5"/>
  <c r="J978" i="5" s="1"/>
  <c r="G978" i="5"/>
  <c r="E978" i="5"/>
  <c r="I977" i="5"/>
  <c r="G977" i="5"/>
  <c r="E977" i="5"/>
  <c r="I972" i="5"/>
  <c r="J972" i="5" s="1"/>
  <c r="G972" i="5"/>
  <c r="E972" i="5"/>
  <c r="I971" i="5"/>
  <c r="G971" i="5"/>
  <c r="E971" i="5"/>
  <c r="I967" i="5"/>
  <c r="J967" i="5" s="1"/>
  <c r="J968" i="5" s="1"/>
  <c r="G146" i="6" s="1"/>
  <c r="I957" i="5" s="1"/>
  <c r="J957" i="5" s="1"/>
  <c r="G967" i="5"/>
  <c r="E967" i="5"/>
  <c r="I962" i="5"/>
  <c r="J962" i="5" s="1"/>
  <c r="G962" i="5"/>
  <c r="E962" i="5"/>
  <c r="I961" i="5"/>
  <c r="J961" i="5" s="1"/>
  <c r="G961" i="5"/>
  <c r="E961" i="5"/>
  <c r="I955" i="5"/>
  <c r="J955" i="5" s="1"/>
  <c r="G955" i="5"/>
  <c r="H955" i="5" s="1"/>
  <c r="E955" i="5"/>
  <c r="I954" i="5"/>
  <c r="J954" i="5" s="1"/>
  <c r="G954" i="5"/>
  <c r="E954" i="5"/>
  <c r="F954" i="5" s="1"/>
  <c r="I950" i="5"/>
  <c r="J950" i="5" s="1"/>
  <c r="J951" i="5" s="1"/>
  <c r="G143" i="6" s="1"/>
  <c r="I91" i="5" s="1"/>
  <c r="J91" i="5" s="1"/>
  <c r="G950" i="5"/>
  <c r="H950" i="5" s="1"/>
  <c r="H951" i="5" s="1"/>
  <c r="F143" i="6" s="1"/>
  <c r="G91" i="5" s="1"/>
  <c r="H91" i="5" s="1"/>
  <c r="E950" i="5"/>
  <c r="I945" i="5"/>
  <c r="G945" i="5"/>
  <c r="H945" i="5" s="1"/>
  <c r="E945" i="5"/>
  <c r="I944" i="5"/>
  <c r="G944" i="5"/>
  <c r="E944" i="5"/>
  <c r="I940" i="5"/>
  <c r="J940" i="5" s="1"/>
  <c r="G940" i="5"/>
  <c r="H940" i="5" s="1"/>
  <c r="E940" i="5"/>
  <c r="I939" i="5"/>
  <c r="G939" i="5"/>
  <c r="E939" i="5"/>
  <c r="I938" i="5"/>
  <c r="G938" i="5"/>
  <c r="E938" i="5"/>
  <c r="I933" i="5"/>
  <c r="G933" i="5"/>
  <c r="H933" i="5" s="1"/>
  <c r="E933" i="5"/>
  <c r="I932" i="5"/>
  <c r="J932" i="5" s="1"/>
  <c r="G932" i="5"/>
  <c r="E932" i="5"/>
  <c r="I928" i="5"/>
  <c r="G928" i="5"/>
  <c r="H928" i="5" s="1"/>
  <c r="E928" i="5"/>
  <c r="F928" i="5" s="1"/>
  <c r="I927" i="5"/>
  <c r="J927" i="5" s="1"/>
  <c r="G927" i="5"/>
  <c r="H927" i="5" s="1"/>
  <c r="E927" i="5"/>
  <c r="F927" i="5" s="1"/>
  <c r="I926" i="5"/>
  <c r="G926" i="5"/>
  <c r="H926" i="5" s="1"/>
  <c r="E926" i="5"/>
  <c r="I921" i="5"/>
  <c r="G921" i="5"/>
  <c r="H921" i="5" s="1"/>
  <c r="E921" i="5"/>
  <c r="I920" i="5"/>
  <c r="G920" i="5"/>
  <c r="H920" i="5" s="1"/>
  <c r="E920" i="5"/>
  <c r="F920" i="5" s="1"/>
  <c r="I916" i="5"/>
  <c r="J916" i="5" s="1"/>
  <c r="G916" i="5"/>
  <c r="E916" i="5"/>
  <c r="I915" i="5"/>
  <c r="G915" i="5"/>
  <c r="H915" i="5" s="1"/>
  <c r="E915" i="5"/>
  <c r="I914" i="5"/>
  <c r="J914" i="5" s="1"/>
  <c r="G914" i="5"/>
  <c r="H914" i="5" s="1"/>
  <c r="E914" i="5"/>
  <c r="I910" i="5"/>
  <c r="G910" i="5"/>
  <c r="H910" i="5" s="1"/>
  <c r="E910" i="5"/>
  <c r="I909" i="5"/>
  <c r="G909" i="5"/>
  <c r="E909" i="5"/>
  <c r="F909" i="5" s="1"/>
  <c r="I905" i="5"/>
  <c r="G905" i="5"/>
  <c r="E905" i="5"/>
  <c r="I903" i="5"/>
  <c r="K903" i="5" s="1"/>
  <c r="G903" i="5"/>
  <c r="E903" i="5"/>
  <c r="F903" i="5" s="1"/>
  <c r="I902" i="5"/>
  <c r="G902" i="5"/>
  <c r="E902" i="5"/>
  <c r="I896" i="5"/>
  <c r="G896" i="5"/>
  <c r="E896" i="5"/>
  <c r="I895" i="5"/>
  <c r="G895" i="5"/>
  <c r="H895" i="5" s="1"/>
  <c r="E895" i="5"/>
  <c r="I891" i="5"/>
  <c r="J891" i="5" s="1"/>
  <c r="G891" i="5"/>
  <c r="E891" i="5"/>
  <c r="I890" i="5"/>
  <c r="G890" i="5"/>
  <c r="E890" i="5"/>
  <c r="I886" i="5"/>
  <c r="K886" i="5" s="1"/>
  <c r="G886" i="5"/>
  <c r="E886" i="5"/>
  <c r="I885" i="5"/>
  <c r="G885" i="5"/>
  <c r="E885" i="5"/>
  <c r="I881" i="5"/>
  <c r="G881" i="5"/>
  <c r="E881" i="5"/>
  <c r="I880" i="5"/>
  <c r="G880" i="5"/>
  <c r="E880" i="5"/>
  <c r="I875" i="5"/>
  <c r="J875" i="5" s="1"/>
  <c r="G875" i="5"/>
  <c r="E875" i="5"/>
  <c r="I874" i="5"/>
  <c r="G874" i="5"/>
  <c r="E874" i="5"/>
  <c r="I869" i="5"/>
  <c r="J869" i="5" s="1"/>
  <c r="G869" i="5"/>
  <c r="H869" i="5" s="1"/>
  <c r="E869" i="5"/>
  <c r="I868" i="5"/>
  <c r="G868" i="5"/>
  <c r="E868" i="5"/>
  <c r="I863" i="5"/>
  <c r="G863" i="5"/>
  <c r="E863" i="5"/>
  <c r="I862" i="5"/>
  <c r="J862" i="5" s="1"/>
  <c r="G862" i="5"/>
  <c r="E862" i="5"/>
  <c r="F862" i="5" s="1"/>
  <c r="I857" i="5"/>
  <c r="J857" i="5" s="1"/>
  <c r="G857" i="5"/>
  <c r="E857" i="5"/>
  <c r="F857" i="5" s="1"/>
  <c r="I856" i="5"/>
  <c r="J856" i="5" s="1"/>
  <c r="G856" i="5"/>
  <c r="H856" i="5" s="1"/>
  <c r="E856" i="5"/>
  <c r="I852" i="5"/>
  <c r="J852" i="5" s="1"/>
  <c r="G852" i="5"/>
  <c r="H852" i="5" s="1"/>
  <c r="E852" i="5"/>
  <c r="I851" i="5"/>
  <c r="J851" i="5" s="1"/>
  <c r="G851" i="5"/>
  <c r="H851" i="5" s="1"/>
  <c r="E851" i="5"/>
  <c r="I846" i="5"/>
  <c r="J846" i="5" s="1"/>
  <c r="G846" i="5"/>
  <c r="H846" i="5" s="1"/>
  <c r="E846" i="5"/>
  <c r="I845" i="5"/>
  <c r="G845" i="5"/>
  <c r="E845" i="5"/>
  <c r="I840" i="5"/>
  <c r="K840" i="5" s="1"/>
  <c r="G840" i="5"/>
  <c r="H840" i="5" s="1"/>
  <c r="E840" i="5"/>
  <c r="F840" i="5" s="1"/>
  <c r="I839" i="5"/>
  <c r="G839" i="5"/>
  <c r="E839" i="5"/>
  <c r="I834" i="5"/>
  <c r="J834" i="5" s="1"/>
  <c r="G834" i="5"/>
  <c r="E834" i="5"/>
  <c r="I833" i="5"/>
  <c r="J833" i="5" s="1"/>
  <c r="G833" i="5"/>
  <c r="E833" i="5"/>
  <c r="I829" i="5"/>
  <c r="G829" i="5"/>
  <c r="H829" i="5" s="1"/>
  <c r="E829" i="5"/>
  <c r="I828" i="5"/>
  <c r="J828" i="5" s="1"/>
  <c r="G828" i="5"/>
  <c r="H828" i="5" s="1"/>
  <c r="E828" i="5"/>
  <c r="I824" i="5"/>
  <c r="J824" i="5" s="1"/>
  <c r="G824" i="5"/>
  <c r="H824" i="5" s="1"/>
  <c r="E824" i="5"/>
  <c r="I823" i="5"/>
  <c r="J823" i="5" s="1"/>
  <c r="G823" i="5"/>
  <c r="H823" i="5" s="1"/>
  <c r="E823" i="5"/>
  <c r="I818" i="5"/>
  <c r="J818" i="5" s="1"/>
  <c r="G818" i="5"/>
  <c r="E818" i="5"/>
  <c r="I817" i="5"/>
  <c r="G817" i="5"/>
  <c r="E817" i="5"/>
  <c r="I813" i="5"/>
  <c r="J813" i="5" s="1"/>
  <c r="G813" i="5"/>
  <c r="H813" i="5" s="1"/>
  <c r="E813" i="5"/>
  <c r="F813" i="5" s="1"/>
  <c r="I812" i="5"/>
  <c r="J812" i="5" s="1"/>
  <c r="G812" i="5"/>
  <c r="H812" i="5" s="1"/>
  <c r="E812" i="5"/>
  <c r="I807" i="5"/>
  <c r="G807" i="5"/>
  <c r="H807" i="5" s="1"/>
  <c r="E807" i="5"/>
  <c r="I806" i="5"/>
  <c r="G806" i="5"/>
  <c r="K806" i="5" s="1"/>
  <c r="E806" i="5"/>
  <c r="I801" i="5"/>
  <c r="K801" i="5" s="1"/>
  <c r="G801" i="5"/>
  <c r="H801" i="5" s="1"/>
  <c r="E801" i="5"/>
  <c r="I800" i="5"/>
  <c r="G800" i="5"/>
  <c r="H800" i="5" s="1"/>
  <c r="E800" i="5"/>
  <c r="F800" i="5" s="1"/>
  <c r="I795" i="5"/>
  <c r="J795" i="5" s="1"/>
  <c r="G795" i="5"/>
  <c r="H795" i="5" s="1"/>
  <c r="E795" i="5"/>
  <c r="F795" i="5" s="1"/>
  <c r="I794" i="5"/>
  <c r="J794" i="5" s="1"/>
  <c r="G794" i="5"/>
  <c r="H794" i="5" s="1"/>
  <c r="E794" i="5"/>
  <c r="I789" i="5"/>
  <c r="G789" i="5"/>
  <c r="H789" i="5" s="1"/>
  <c r="E789" i="5"/>
  <c r="F789" i="5" s="1"/>
  <c r="I788" i="5"/>
  <c r="J788" i="5" s="1"/>
  <c r="G788" i="5"/>
  <c r="H788" i="5" s="1"/>
  <c r="E788" i="5"/>
  <c r="I784" i="5"/>
  <c r="G784" i="5"/>
  <c r="H784" i="5" s="1"/>
  <c r="E784" i="5"/>
  <c r="I783" i="5"/>
  <c r="J783" i="5" s="1"/>
  <c r="G783" i="5"/>
  <c r="E783" i="5"/>
  <c r="I779" i="5"/>
  <c r="J779" i="5" s="1"/>
  <c r="G779" i="5"/>
  <c r="H779" i="5" s="1"/>
  <c r="E779" i="5"/>
  <c r="I778" i="5"/>
  <c r="J778" i="5" s="1"/>
  <c r="G778" i="5"/>
  <c r="K778" i="5" s="1"/>
  <c r="E778" i="5"/>
  <c r="F778" i="5" s="1"/>
  <c r="I772" i="5"/>
  <c r="J772" i="5" s="1"/>
  <c r="G772" i="5"/>
  <c r="H772" i="5" s="1"/>
  <c r="E772" i="5"/>
  <c r="I771" i="5"/>
  <c r="J771" i="5" s="1"/>
  <c r="G771" i="5"/>
  <c r="E771" i="5"/>
  <c r="I766" i="5"/>
  <c r="G766" i="5"/>
  <c r="E766" i="5"/>
  <c r="I765" i="5"/>
  <c r="G765" i="5"/>
  <c r="H765" i="5" s="1"/>
  <c r="E765" i="5"/>
  <c r="I763" i="5"/>
  <c r="J763" i="5" s="1"/>
  <c r="G763" i="5"/>
  <c r="E763" i="5"/>
  <c r="I759" i="5"/>
  <c r="G759" i="5"/>
  <c r="E759" i="5"/>
  <c r="I758" i="5"/>
  <c r="G758" i="5"/>
  <c r="H758" i="5" s="1"/>
  <c r="E758" i="5"/>
  <c r="I753" i="5"/>
  <c r="G753" i="5"/>
  <c r="H753" i="5" s="1"/>
  <c r="E753" i="5"/>
  <c r="I752" i="5"/>
  <c r="K752" i="5" s="1"/>
  <c r="G752" i="5"/>
  <c r="E752" i="5"/>
  <c r="I751" i="5"/>
  <c r="J751" i="5" s="1"/>
  <c r="G751" i="5"/>
  <c r="H751" i="5" s="1"/>
  <c r="E751" i="5"/>
  <c r="I747" i="5"/>
  <c r="G747" i="5"/>
  <c r="E747" i="5"/>
  <c r="I746" i="5"/>
  <c r="J746" i="5" s="1"/>
  <c r="G746" i="5"/>
  <c r="E746" i="5"/>
  <c r="I745" i="5"/>
  <c r="J745" i="5" s="1"/>
  <c r="G745" i="5"/>
  <c r="H745" i="5" s="1"/>
  <c r="E745" i="5"/>
  <c r="I740" i="5"/>
  <c r="G740" i="5"/>
  <c r="E740" i="5"/>
  <c r="I739" i="5"/>
  <c r="K739" i="5" s="1"/>
  <c r="G739" i="5"/>
  <c r="E739" i="5"/>
  <c r="I734" i="5"/>
  <c r="G734" i="5"/>
  <c r="E734" i="5"/>
  <c r="I733" i="5"/>
  <c r="K733" i="5" s="1"/>
  <c r="G733" i="5"/>
  <c r="H733" i="5" s="1"/>
  <c r="E733" i="5"/>
  <c r="I728" i="5"/>
  <c r="G728" i="5"/>
  <c r="E728" i="5"/>
  <c r="I727" i="5"/>
  <c r="J727" i="5" s="1"/>
  <c r="G727" i="5"/>
  <c r="E727" i="5"/>
  <c r="I723" i="5"/>
  <c r="G723" i="5"/>
  <c r="H723" i="5" s="1"/>
  <c r="E723" i="5"/>
  <c r="I722" i="5"/>
  <c r="J722" i="5" s="1"/>
  <c r="G722" i="5"/>
  <c r="E722" i="5"/>
  <c r="I721" i="5"/>
  <c r="J721" i="5" s="1"/>
  <c r="G721" i="5"/>
  <c r="H721" i="5" s="1"/>
  <c r="E721" i="5"/>
  <c r="I717" i="5"/>
  <c r="G717" i="5"/>
  <c r="E717" i="5"/>
  <c r="I716" i="5"/>
  <c r="G716" i="5"/>
  <c r="E716" i="5"/>
  <c r="I715" i="5"/>
  <c r="K715" i="5" s="1"/>
  <c r="G715" i="5"/>
  <c r="E715" i="5"/>
  <c r="I711" i="5"/>
  <c r="G711" i="5"/>
  <c r="E711" i="5"/>
  <c r="I710" i="5"/>
  <c r="J710" i="5" s="1"/>
  <c r="G710" i="5"/>
  <c r="E710" i="5"/>
  <c r="I709" i="5"/>
  <c r="J709" i="5" s="1"/>
  <c r="G709" i="5"/>
  <c r="E709" i="5"/>
  <c r="I704" i="5"/>
  <c r="J704" i="5" s="1"/>
  <c r="G704" i="5"/>
  <c r="E704" i="5"/>
  <c r="I703" i="5"/>
  <c r="G703" i="5"/>
  <c r="E703" i="5"/>
  <c r="I702" i="5"/>
  <c r="G702" i="5"/>
  <c r="H702" i="5" s="1"/>
  <c r="E702" i="5"/>
  <c r="I697" i="5"/>
  <c r="G697" i="5"/>
  <c r="E697" i="5"/>
  <c r="I696" i="5"/>
  <c r="J696" i="5" s="1"/>
  <c r="G696" i="5"/>
  <c r="E696" i="5"/>
  <c r="I695" i="5"/>
  <c r="G695" i="5"/>
  <c r="E695" i="5"/>
  <c r="I690" i="5"/>
  <c r="J690" i="5" s="1"/>
  <c r="G690" i="5"/>
  <c r="E690" i="5"/>
  <c r="I689" i="5"/>
  <c r="G689" i="5"/>
  <c r="E689" i="5"/>
  <c r="I688" i="5"/>
  <c r="G688" i="5"/>
  <c r="E688" i="5"/>
  <c r="I683" i="5"/>
  <c r="G683" i="5"/>
  <c r="E683" i="5"/>
  <c r="I682" i="5"/>
  <c r="G682" i="5"/>
  <c r="H682" i="5" s="1"/>
  <c r="E682" i="5"/>
  <c r="I681" i="5"/>
  <c r="G681" i="5"/>
  <c r="E681" i="5"/>
  <c r="I677" i="5"/>
  <c r="G677" i="5"/>
  <c r="H677" i="5" s="1"/>
  <c r="E677" i="5"/>
  <c r="I676" i="5"/>
  <c r="G676" i="5"/>
  <c r="H676" i="5" s="1"/>
  <c r="E676" i="5"/>
  <c r="F676" i="5" s="1"/>
  <c r="I675" i="5"/>
  <c r="J675" i="5" s="1"/>
  <c r="G675" i="5"/>
  <c r="E675" i="5"/>
  <c r="I674" i="5"/>
  <c r="J674" i="5" s="1"/>
  <c r="G674" i="5"/>
  <c r="H674" i="5" s="1"/>
  <c r="E674" i="5"/>
  <c r="I672" i="5"/>
  <c r="G672" i="5"/>
  <c r="E672" i="5"/>
  <c r="I668" i="5"/>
  <c r="G668" i="5"/>
  <c r="E668" i="5"/>
  <c r="I667" i="5"/>
  <c r="K667" i="5" s="1"/>
  <c r="G667" i="5"/>
  <c r="H667" i="5" s="1"/>
  <c r="E667" i="5"/>
  <c r="I666" i="5"/>
  <c r="J666" i="5" s="1"/>
  <c r="G666" i="5"/>
  <c r="E666" i="5"/>
  <c r="I665" i="5"/>
  <c r="G665" i="5"/>
  <c r="E665" i="5"/>
  <c r="I663" i="5"/>
  <c r="G663" i="5"/>
  <c r="E663" i="5"/>
  <c r="I659" i="5"/>
  <c r="G659" i="5"/>
  <c r="E659" i="5"/>
  <c r="I658" i="5"/>
  <c r="G658" i="5"/>
  <c r="E658" i="5"/>
  <c r="I657" i="5"/>
  <c r="J657" i="5" s="1"/>
  <c r="G657" i="5"/>
  <c r="E657" i="5"/>
  <c r="I656" i="5"/>
  <c r="G656" i="5"/>
  <c r="E656" i="5"/>
  <c r="I654" i="5"/>
  <c r="J654" i="5" s="1"/>
  <c r="G654" i="5"/>
  <c r="E654" i="5"/>
  <c r="I650" i="5"/>
  <c r="G650" i="5"/>
  <c r="H650" i="5" s="1"/>
  <c r="E650" i="5"/>
  <c r="F650" i="5" s="1"/>
  <c r="I649" i="5"/>
  <c r="J649" i="5" s="1"/>
  <c r="G649" i="5"/>
  <c r="E649" i="5"/>
  <c r="I648" i="5"/>
  <c r="J648" i="5" s="1"/>
  <c r="G648" i="5"/>
  <c r="H648" i="5" s="1"/>
  <c r="E648" i="5"/>
  <c r="I647" i="5"/>
  <c r="J647" i="5" s="1"/>
  <c r="G647" i="5"/>
  <c r="H647" i="5" s="1"/>
  <c r="E647" i="5"/>
  <c r="F647" i="5" s="1"/>
  <c r="I645" i="5"/>
  <c r="J645" i="5" s="1"/>
  <c r="G645" i="5"/>
  <c r="E645" i="5"/>
  <c r="I640" i="5"/>
  <c r="J640" i="5" s="1"/>
  <c r="G640" i="5"/>
  <c r="H640" i="5" s="1"/>
  <c r="E640" i="5"/>
  <c r="I639" i="5"/>
  <c r="G639" i="5"/>
  <c r="K639" i="5" s="1"/>
  <c r="E639" i="5"/>
  <c r="I638" i="5"/>
  <c r="J638" i="5" s="1"/>
  <c r="G638" i="5"/>
  <c r="E638" i="5"/>
  <c r="I633" i="5"/>
  <c r="G633" i="5"/>
  <c r="E633" i="5"/>
  <c r="I632" i="5"/>
  <c r="K632" i="5" s="1"/>
  <c r="G632" i="5"/>
  <c r="E632" i="5"/>
  <c r="I631" i="5"/>
  <c r="J631" i="5" s="1"/>
  <c r="G631" i="5"/>
  <c r="E631" i="5"/>
  <c r="I626" i="5"/>
  <c r="J626" i="5" s="1"/>
  <c r="G626" i="5"/>
  <c r="H626" i="5" s="1"/>
  <c r="E626" i="5"/>
  <c r="I625" i="5"/>
  <c r="J625" i="5" s="1"/>
  <c r="G625" i="5"/>
  <c r="H625" i="5" s="1"/>
  <c r="E625" i="5"/>
  <c r="F625" i="5" s="1"/>
  <c r="I624" i="5"/>
  <c r="G624" i="5"/>
  <c r="H624" i="5" s="1"/>
  <c r="E624" i="5"/>
  <c r="I619" i="5"/>
  <c r="J619" i="5" s="1"/>
  <c r="G619" i="5"/>
  <c r="H619" i="5" s="1"/>
  <c r="E619" i="5"/>
  <c r="I618" i="5"/>
  <c r="J618" i="5" s="1"/>
  <c r="G618" i="5"/>
  <c r="H618" i="5" s="1"/>
  <c r="E618" i="5"/>
  <c r="F618" i="5" s="1"/>
  <c r="I617" i="5"/>
  <c r="J617" i="5" s="1"/>
  <c r="G617" i="5"/>
  <c r="H617" i="5" s="1"/>
  <c r="E617" i="5"/>
  <c r="I612" i="5"/>
  <c r="K612" i="5" s="1"/>
  <c r="G612" i="5"/>
  <c r="E612" i="5"/>
  <c r="I611" i="5"/>
  <c r="J611" i="5" s="1"/>
  <c r="G611" i="5"/>
  <c r="K611" i="5" s="1"/>
  <c r="E611" i="5"/>
  <c r="I606" i="5"/>
  <c r="J606" i="5" s="1"/>
  <c r="G606" i="5"/>
  <c r="E606" i="5"/>
  <c r="I605" i="5"/>
  <c r="J605" i="5" s="1"/>
  <c r="G605" i="5"/>
  <c r="H605" i="5" s="1"/>
  <c r="E605" i="5"/>
  <c r="I600" i="5"/>
  <c r="J600" i="5" s="1"/>
  <c r="G600" i="5"/>
  <c r="E600" i="5"/>
  <c r="I599" i="5"/>
  <c r="J599" i="5" s="1"/>
  <c r="G599" i="5"/>
  <c r="H599" i="5" s="1"/>
  <c r="E599" i="5"/>
  <c r="I598" i="5"/>
  <c r="J598" i="5" s="1"/>
  <c r="G598" i="5"/>
  <c r="H598" i="5" s="1"/>
  <c r="E598" i="5"/>
  <c r="I594" i="5"/>
  <c r="G594" i="5"/>
  <c r="E594" i="5"/>
  <c r="I593" i="5"/>
  <c r="K593" i="5" s="1"/>
  <c r="G593" i="5"/>
  <c r="E593" i="5"/>
  <c r="F593" i="5" s="1"/>
  <c r="I592" i="5"/>
  <c r="J592" i="5" s="1"/>
  <c r="G592" i="5"/>
  <c r="H592" i="5" s="1"/>
  <c r="E592" i="5"/>
  <c r="I588" i="5"/>
  <c r="J588" i="5" s="1"/>
  <c r="G588" i="5"/>
  <c r="H588" i="5" s="1"/>
  <c r="E588" i="5"/>
  <c r="F588" i="5" s="1"/>
  <c r="I587" i="5"/>
  <c r="J587" i="5" s="1"/>
  <c r="G587" i="5"/>
  <c r="H587" i="5" s="1"/>
  <c r="E587" i="5"/>
  <c r="I586" i="5"/>
  <c r="G586" i="5"/>
  <c r="E586" i="5"/>
  <c r="I582" i="5"/>
  <c r="G582" i="5"/>
  <c r="E582" i="5"/>
  <c r="I581" i="5"/>
  <c r="J581" i="5" s="1"/>
  <c r="G581" i="5"/>
  <c r="H581" i="5" s="1"/>
  <c r="E581" i="5"/>
  <c r="I580" i="5"/>
  <c r="J580" i="5" s="1"/>
  <c r="G580" i="5"/>
  <c r="H580" i="5" s="1"/>
  <c r="E580" i="5"/>
  <c r="I576" i="5"/>
  <c r="J576" i="5" s="1"/>
  <c r="G576" i="5"/>
  <c r="H576" i="5" s="1"/>
  <c r="E576" i="5"/>
  <c r="I575" i="5"/>
  <c r="G575" i="5"/>
  <c r="E575" i="5"/>
  <c r="F575" i="5" s="1"/>
  <c r="I571" i="5"/>
  <c r="K571" i="5" s="1"/>
  <c r="G571" i="5"/>
  <c r="E571" i="5"/>
  <c r="I570" i="5"/>
  <c r="J570" i="5" s="1"/>
  <c r="G570" i="5"/>
  <c r="H570" i="5" s="1"/>
  <c r="E570" i="5"/>
  <c r="I566" i="5"/>
  <c r="J566" i="5" s="1"/>
  <c r="G566" i="5"/>
  <c r="E566" i="5"/>
  <c r="I565" i="5"/>
  <c r="J565" i="5" s="1"/>
  <c r="G565" i="5"/>
  <c r="H565" i="5" s="1"/>
  <c r="E565" i="5"/>
  <c r="I564" i="5"/>
  <c r="J564" i="5" s="1"/>
  <c r="G564" i="5"/>
  <c r="E564" i="5"/>
  <c r="I560" i="5"/>
  <c r="J560" i="5" s="1"/>
  <c r="G560" i="5"/>
  <c r="H560" i="5" s="1"/>
  <c r="E560" i="5"/>
  <c r="I559" i="5"/>
  <c r="J559" i="5" s="1"/>
  <c r="G559" i="5"/>
  <c r="H559" i="5" s="1"/>
  <c r="E559" i="5"/>
  <c r="I558" i="5"/>
  <c r="J558" i="5" s="1"/>
  <c r="G558" i="5"/>
  <c r="H558" i="5" s="1"/>
  <c r="E558" i="5"/>
  <c r="I554" i="5"/>
  <c r="J554" i="5" s="1"/>
  <c r="G554" i="5"/>
  <c r="H554" i="5" s="1"/>
  <c r="E554" i="5"/>
  <c r="I553" i="5"/>
  <c r="J553" i="5" s="1"/>
  <c r="G553" i="5"/>
  <c r="E553" i="5"/>
  <c r="F553" i="5" s="1"/>
  <c r="I552" i="5"/>
  <c r="J552" i="5" s="1"/>
  <c r="G552" i="5"/>
  <c r="H552" i="5" s="1"/>
  <c r="E552" i="5"/>
  <c r="I548" i="5"/>
  <c r="J548" i="5" s="1"/>
  <c r="G548" i="5"/>
  <c r="H548" i="5" s="1"/>
  <c r="E548" i="5"/>
  <c r="F548" i="5" s="1"/>
  <c r="I547" i="5"/>
  <c r="K547" i="5" s="1"/>
  <c r="G547" i="5"/>
  <c r="H547" i="5" s="1"/>
  <c r="E547" i="5"/>
  <c r="I546" i="5"/>
  <c r="J546" i="5" s="1"/>
  <c r="G546" i="5"/>
  <c r="H546" i="5" s="1"/>
  <c r="E546" i="5"/>
  <c r="I542" i="5"/>
  <c r="K542" i="5" s="1"/>
  <c r="G542" i="5"/>
  <c r="E542" i="5"/>
  <c r="I541" i="5"/>
  <c r="G541" i="5"/>
  <c r="E541" i="5"/>
  <c r="I540" i="5"/>
  <c r="J540" i="5" s="1"/>
  <c r="G540" i="5"/>
  <c r="H540" i="5" s="1"/>
  <c r="E540" i="5"/>
  <c r="I536" i="5"/>
  <c r="J536" i="5" s="1"/>
  <c r="G536" i="5"/>
  <c r="H536" i="5" s="1"/>
  <c r="E536" i="5"/>
  <c r="I535" i="5"/>
  <c r="G535" i="5"/>
  <c r="E535" i="5"/>
  <c r="I534" i="5"/>
  <c r="J534" i="5" s="1"/>
  <c r="G534" i="5"/>
  <c r="H534" i="5" s="1"/>
  <c r="E534" i="5"/>
  <c r="F534" i="5" s="1"/>
  <c r="I530" i="5"/>
  <c r="J530" i="5" s="1"/>
  <c r="G530" i="5"/>
  <c r="H530" i="5" s="1"/>
  <c r="E530" i="5"/>
  <c r="I529" i="5"/>
  <c r="J529" i="5" s="1"/>
  <c r="G529" i="5"/>
  <c r="H529" i="5" s="1"/>
  <c r="E529" i="5"/>
  <c r="I528" i="5"/>
  <c r="J528" i="5" s="1"/>
  <c r="G528" i="5"/>
  <c r="E528" i="5"/>
  <c r="I524" i="5"/>
  <c r="G524" i="5"/>
  <c r="H524" i="5" s="1"/>
  <c r="E524" i="5"/>
  <c r="I523" i="5"/>
  <c r="J523" i="5" s="1"/>
  <c r="G523" i="5"/>
  <c r="E523" i="5"/>
  <c r="I522" i="5"/>
  <c r="J522" i="5" s="1"/>
  <c r="G522" i="5"/>
  <c r="H522" i="5" s="1"/>
  <c r="E522" i="5"/>
  <c r="F522" i="5" s="1"/>
  <c r="I518" i="5"/>
  <c r="G518" i="5"/>
  <c r="H518" i="5" s="1"/>
  <c r="E518" i="5"/>
  <c r="I517" i="5"/>
  <c r="J517" i="5" s="1"/>
  <c r="G517" i="5"/>
  <c r="H517" i="5" s="1"/>
  <c r="E517" i="5"/>
  <c r="I516" i="5"/>
  <c r="K516" i="5" s="1"/>
  <c r="G516" i="5"/>
  <c r="E516" i="5"/>
  <c r="I512" i="5"/>
  <c r="J512" i="5" s="1"/>
  <c r="G512" i="5"/>
  <c r="E512" i="5"/>
  <c r="I511" i="5"/>
  <c r="J511" i="5" s="1"/>
  <c r="G511" i="5"/>
  <c r="H511" i="5" s="1"/>
  <c r="E511" i="5"/>
  <c r="I510" i="5"/>
  <c r="J510" i="5" s="1"/>
  <c r="G510" i="5"/>
  <c r="H510" i="5" s="1"/>
  <c r="E510" i="5"/>
  <c r="I504" i="5"/>
  <c r="J504" i="5" s="1"/>
  <c r="J507" i="5" s="1"/>
  <c r="G71" i="6" s="1"/>
  <c r="I185" i="7" s="1"/>
  <c r="G504" i="5"/>
  <c r="E504" i="5"/>
  <c r="I503" i="5"/>
  <c r="G503" i="5"/>
  <c r="K503" i="5" s="1"/>
  <c r="E503" i="5"/>
  <c r="I497" i="5"/>
  <c r="J497" i="5" s="1"/>
  <c r="G497" i="5"/>
  <c r="H497" i="5" s="1"/>
  <c r="E497" i="5"/>
  <c r="I491" i="5"/>
  <c r="J491" i="5" s="1"/>
  <c r="G491" i="5"/>
  <c r="H491" i="5" s="1"/>
  <c r="E491" i="5"/>
  <c r="I486" i="5"/>
  <c r="K486" i="5" s="1"/>
  <c r="G486" i="5"/>
  <c r="E486" i="5"/>
  <c r="I484" i="5"/>
  <c r="G484" i="5"/>
  <c r="H484" i="5" s="1"/>
  <c r="E484" i="5"/>
  <c r="I478" i="5"/>
  <c r="J478" i="5" s="1"/>
  <c r="G478" i="5"/>
  <c r="H478" i="5" s="1"/>
  <c r="E478" i="5"/>
  <c r="F478" i="5" s="1"/>
  <c r="I477" i="5"/>
  <c r="J477" i="5" s="1"/>
  <c r="G477" i="5"/>
  <c r="E477" i="5"/>
  <c r="I470" i="5"/>
  <c r="G470" i="5"/>
  <c r="H470" i="5" s="1"/>
  <c r="E470" i="5"/>
  <c r="I468" i="5"/>
  <c r="J468" i="5" s="1"/>
  <c r="G468" i="5"/>
  <c r="H468" i="5" s="1"/>
  <c r="E468" i="5"/>
  <c r="I467" i="5"/>
  <c r="J467" i="5" s="1"/>
  <c r="G467" i="5"/>
  <c r="H467" i="5" s="1"/>
  <c r="E467" i="5"/>
  <c r="I465" i="5"/>
  <c r="J465" i="5" s="1"/>
  <c r="G465" i="5"/>
  <c r="E465" i="5"/>
  <c r="I458" i="5"/>
  <c r="J458" i="5" s="1"/>
  <c r="G458" i="5"/>
  <c r="E458" i="5"/>
  <c r="I455" i="5"/>
  <c r="G455" i="5"/>
  <c r="H455" i="5" s="1"/>
  <c r="E455" i="5"/>
  <c r="I454" i="5"/>
  <c r="K454" i="5" s="1"/>
  <c r="G454" i="5"/>
  <c r="E454" i="5"/>
  <c r="I453" i="5"/>
  <c r="G453" i="5"/>
  <c r="E453" i="5"/>
  <c r="F453" i="5" s="1"/>
  <c r="I451" i="5"/>
  <c r="J451" i="5" s="1"/>
  <c r="G451" i="5"/>
  <c r="H451" i="5" s="1"/>
  <c r="E451" i="5"/>
  <c r="F451" i="5" s="1"/>
  <c r="I444" i="5"/>
  <c r="G444" i="5"/>
  <c r="E444" i="5"/>
  <c r="I441" i="5"/>
  <c r="J441" i="5" s="1"/>
  <c r="G441" i="5"/>
  <c r="E441" i="5"/>
  <c r="I440" i="5"/>
  <c r="J440" i="5" s="1"/>
  <c r="G440" i="5"/>
  <c r="K440" i="5" s="1"/>
  <c r="E440" i="5"/>
  <c r="I439" i="5"/>
  <c r="J439" i="5" s="1"/>
  <c r="G439" i="5"/>
  <c r="E439" i="5"/>
  <c r="I437" i="5"/>
  <c r="J437" i="5" s="1"/>
  <c r="G437" i="5"/>
  <c r="H437" i="5" s="1"/>
  <c r="E437" i="5"/>
  <c r="I430" i="5"/>
  <c r="G430" i="5"/>
  <c r="E430" i="5"/>
  <c r="I424" i="5"/>
  <c r="J424" i="5" s="1"/>
  <c r="G424" i="5"/>
  <c r="E424" i="5"/>
  <c r="I422" i="5"/>
  <c r="J422" i="5" s="1"/>
  <c r="G422" i="5"/>
  <c r="E422" i="5"/>
  <c r="I421" i="5"/>
  <c r="G421" i="5"/>
  <c r="E421" i="5"/>
  <c r="I420" i="5"/>
  <c r="J420" i="5" s="1"/>
  <c r="G420" i="5"/>
  <c r="H420" i="5" s="1"/>
  <c r="E420" i="5"/>
  <c r="F420" i="5" s="1"/>
  <c r="I418" i="5"/>
  <c r="G418" i="5"/>
  <c r="E418" i="5"/>
  <c r="I412" i="5"/>
  <c r="J412" i="5" s="1"/>
  <c r="G412" i="5"/>
  <c r="E412" i="5"/>
  <c r="I410" i="5"/>
  <c r="G410" i="5"/>
  <c r="E410" i="5"/>
  <c r="I409" i="5"/>
  <c r="G409" i="5"/>
  <c r="H409" i="5" s="1"/>
  <c r="E409" i="5"/>
  <c r="I407" i="5"/>
  <c r="J407" i="5" s="1"/>
  <c r="G407" i="5"/>
  <c r="E407" i="5"/>
  <c r="I402" i="5"/>
  <c r="J402" i="5" s="1"/>
  <c r="G402" i="5"/>
  <c r="E402" i="5"/>
  <c r="I401" i="5"/>
  <c r="J401" i="5" s="1"/>
  <c r="G401" i="5"/>
  <c r="E401" i="5"/>
  <c r="I400" i="5"/>
  <c r="K400" i="5" s="1"/>
  <c r="G400" i="5"/>
  <c r="E400" i="5"/>
  <c r="I398" i="5"/>
  <c r="J398" i="5" s="1"/>
  <c r="G398" i="5"/>
  <c r="H398" i="5" s="1"/>
  <c r="E398" i="5"/>
  <c r="I394" i="5"/>
  <c r="J394" i="5" s="1"/>
  <c r="G394" i="5"/>
  <c r="E394" i="5"/>
  <c r="I393" i="5"/>
  <c r="J393" i="5" s="1"/>
  <c r="G393" i="5"/>
  <c r="E393" i="5"/>
  <c r="I390" i="5"/>
  <c r="J390" i="5" s="1"/>
  <c r="G390" i="5"/>
  <c r="H390" i="5" s="1"/>
  <c r="E390" i="5"/>
  <c r="I389" i="5"/>
  <c r="G389" i="5"/>
  <c r="H389" i="5" s="1"/>
  <c r="E389" i="5"/>
  <c r="I388" i="5"/>
  <c r="J388" i="5" s="1"/>
  <c r="G388" i="5"/>
  <c r="E388" i="5"/>
  <c r="I383" i="5"/>
  <c r="G383" i="5"/>
  <c r="H383" i="5" s="1"/>
  <c r="E383" i="5"/>
  <c r="I382" i="5"/>
  <c r="K382" i="5" s="1"/>
  <c r="G382" i="5"/>
  <c r="E382" i="5"/>
  <c r="I381" i="5"/>
  <c r="G381" i="5"/>
  <c r="H381" i="5" s="1"/>
  <c r="E381" i="5"/>
  <c r="F381" i="5" s="1"/>
  <c r="I380" i="5"/>
  <c r="J380" i="5" s="1"/>
  <c r="G380" i="5"/>
  <c r="E380" i="5"/>
  <c r="I379" i="5"/>
  <c r="J379" i="5" s="1"/>
  <c r="G379" i="5"/>
  <c r="E379" i="5"/>
  <c r="I378" i="5"/>
  <c r="J378" i="5" s="1"/>
  <c r="G378" i="5"/>
  <c r="E378" i="5"/>
  <c r="I377" i="5"/>
  <c r="J377" i="5" s="1"/>
  <c r="G377" i="5"/>
  <c r="H377" i="5" s="1"/>
  <c r="E377" i="5"/>
  <c r="I372" i="5"/>
  <c r="J372" i="5" s="1"/>
  <c r="G372" i="5"/>
  <c r="H372" i="5" s="1"/>
  <c r="E372" i="5"/>
  <c r="I371" i="5"/>
  <c r="J371" i="5" s="1"/>
  <c r="G371" i="5"/>
  <c r="H371" i="5" s="1"/>
  <c r="E371" i="5"/>
  <c r="I370" i="5"/>
  <c r="J370" i="5" s="1"/>
  <c r="G370" i="5"/>
  <c r="H370" i="5" s="1"/>
  <c r="E370" i="5"/>
  <c r="F370" i="5" s="1"/>
  <c r="I369" i="5"/>
  <c r="G369" i="5"/>
  <c r="H369" i="5" s="1"/>
  <c r="E369" i="5"/>
  <c r="I368" i="5"/>
  <c r="J368" i="5" s="1"/>
  <c r="G368" i="5"/>
  <c r="E368" i="5"/>
  <c r="I367" i="5"/>
  <c r="G367" i="5"/>
  <c r="E367" i="5"/>
  <c r="I366" i="5"/>
  <c r="G366" i="5"/>
  <c r="E366" i="5"/>
  <c r="I361" i="5"/>
  <c r="G361" i="5"/>
  <c r="E361" i="5"/>
  <c r="I355" i="5"/>
  <c r="J355" i="5" s="1"/>
  <c r="G355" i="5"/>
  <c r="H355" i="5" s="1"/>
  <c r="E355" i="5"/>
  <c r="I349" i="5"/>
  <c r="J349" i="5" s="1"/>
  <c r="G349" i="5"/>
  <c r="H349" i="5" s="1"/>
  <c r="E349" i="5"/>
  <c r="I345" i="5"/>
  <c r="J345" i="5" s="1"/>
  <c r="G345" i="5"/>
  <c r="E345" i="5"/>
  <c r="I343" i="5"/>
  <c r="J343" i="5" s="1"/>
  <c r="G343" i="5"/>
  <c r="E343" i="5"/>
  <c r="I342" i="5"/>
  <c r="J342" i="5" s="1"/>
  <c r="G342" i="5"/>
  <c r="H342" i="5" s="1"/>
  <c r="E342" i="5"/>
  <c r="I341" i="5"/>
  <c r="J341" i="5" s="1"/>
  <c r="G341" i="5"/>
  <c r="E341" i="5"/>
  <c r="I340" i="5"/>
  <c r="K340" i="5" s="1"/>
  <c r="G340" i="5"/>
  <c r="E340" i="5"/>
  <c r="I339" i="5"/>
  <c r="G339" i="5"/>
  <c r="K339" i="5" s="1"/>
  <c r="E339" i="5"/>
  <c r="I335" i="5"/>
  <c r="J335" i="5" s="1"/>
  <c r="G335" i="5"/>
  <c r="E335" i="5"/>
  <c r="I333" i="5"/>
  <c r="J333" i="5" s="1"/>
  <c r="G333" i="5"/>
  <c r="E333" i="5"/>
  <c r="F333" i="5" s="1"/>
  <c r="I332" i="5"/>
  <c r="G332" i="5"/>
  <c r="E332" i="5"/>
  <c r="F332" i="5" s="1"/>
  <c r="I331" i="5"/>
  <c r="J331" i="5" s="1"/>
  <c r="G331" i="5"/>
  <c r="K331" i="5" s="1"/>
  <c r="E331" i="5"/>
  <c r="I330" i="5"/>
  <c r="J330" i="5" s="1"/>
  <c r="G330" i="5"/>
  <c r="H330" i="5" s="1"/>
  <c r="E330" i="5"/>
  <c r="I329" i="5"/>
  <c r="G329" i="5"/>
  <c r="H329" i="5" s="1"/>
  <c r="E329" i="5"/>
  <c r="I324" i="5"/>
  <c r="J324" i="5" s="1"/>
  <c r="G324" i="5"/>
  <c r="E324" i="5"/>
  <c r="I319" i="5"/>
  <c r="G319" i="5"/>
  <c r="H319" i="5" s="1"/>
  <c r="E319" i="5"/>
  <c r="I318" i="5"/>
  <c r="J318" i="5" s="1"/>
  <c r="G318" i="5"/>
  <c r="E318" i="5"/>
  <c r="I313" i="5"/>
  <c r="J313" i="5" s="1"/>
  <c r="G313" i="5"/>
  <c r="H313" i="5" s="1"/>
  <c r="E313" i="5"/>
  <c r="F313" i="5" s="1"/>
  <c r="I312" i="5"/>
  <c r="J312" i="5" s="1"/>
  <c r="G312" i="5"/>
  <c r="E312" i="5"/>
  <c r="I306" i="5"/>
  <c r="G306" i="5"/>
  <c r="E306" i="5"/>
  <c r="F306" i="5" s="1"/>
  <c r="I305" i="5"/>
  <c r="J305" i="5" s="1"/>
  <c r="G305" i="5"/>
  <c r="H305" i="5" s="1"/>
  <c r="E305" i="5"/>
  <c r="I304" i="5"/>
  <c r="G304" i="5"/>
  <c r="E304" i="5"/>
  <c r="I303" i="5"/>
  <c r="K303" i="5" s="1"/>
  <c r="G303" i="5"/>
  <c r="H303" i="5" s="1"/>
  <c r="E303" i="5"/>
  <c r="I298" i="5"/>
  <c r="J298" i="5" s="1"/>
  <c r="G298" i="5"/>
  <c r="K298" i="5" s="1"/>
  <c r="E298" i="5"/>
  <c r="I297" i="5"/>
  <c r="G297" i="5"/>
  <c r="E297" i="5"/>
  <c r="I296" i="5"/>
  <c r="J296" i="5" s="1"/>
  <c r="G296" i="5"/>
  <c r="H296" i="5" s="1"/>
  <c r="E296" i="5"/>
  <c r="F296" i="5" s="1"/>
  <c r="I295" i="5"/>
  <c r="J295" i="5" s="1"/>
  <c r="G295" i="5"/>
  <c r="H295" i="5" s="1"/>
  <c r="E295" i="5"/>
  <c r="I290" i="5"/>
  <c r="G290" i="5"/>
  <c r="E290" i="5"/>
  <c r="I289" i="5"/>
  <c r="J289" i="5" s="1"/>
  <c r="G289" i="5"/>
  <c r="E289" i="5"/>
  <c r="I288" i="5"/>
  <c r="J288" i="5" s="1"/>
  <c r="G288" i="5"/>
  <c r="H288" i="5" s="1"/>
  <c r="E288" i="5"/>
  <c r="I287" i="5"/>
  <c r="J287" i="5" s="1"/>
  <c r="G287" i="5"/>
  <c r="E287" i="5"/>
  <c r="F287" i="5" s="1"/>
  <c r="I282" i="5"/>
  <c r="G282" i="5"/>
  <c r="E282" i="5"/>
  <c r="I281" i="5"/>
  <c r="J281" i="5" s="1"/>
  <c r="G281" i="5"/>
  <c r="H281" i="5" s="1"/>
  <c r="E281" i="5"/>
  <c r="I280" i="5"/>
  <c r="J280" i="5" s="1"/>
  <c r="G280" i="5"/>
  <c r="E280" i="5"/>
  <c r="I279" i="5"/>
  <c r="J279" i="5" s="1"/>
  <c r="G279" i="5"/>
  <c r="E279" i="5"/>
  <c r="I274" i="5"/>
  <c r="J274" i="5" s="1"/>
  <c r="G274" i="5"/>
  <c r="E274" i="5"/>
  <c r="I273" i="5"/>
  <c r="J273" i="5" s="1"/>
  <c r="G273" i="5"/>
  <c r="E273" i="5"/>
  <c r="I272" i="5"/>
  <c r="J272" i="5" s="1"/>
  <c r="G272" i="5"/>
  <c r="H272" i="5" s="1"/>
  <c r="E272" i="5"/>
  <c r="I271" i="5"/>
  <c r="J271" i="5" s="1"/>
  <c r="G271" i="5"/>
  <c r="E271" i="5"/>
  <c r="I266" i="5"/>
  <c r="G266" i="5"/>
  <c r="H266" i="5" s="1"/>
  <c r="E266" i="5"/>
  <c r="I265" i="5"/>
  <c r="J265" i="5" s="1"/>
  <c r="G265" i="5"/>
  <c r="E265" i="5"/>
  <c r="I264" i="5"/>
  <c r="J264" i="5" s="1"/>
  <c r="G264" i="5"/>
  <c r="E264" i="5"/>
  <c r="I259" i="5"/>
  <c r="J259" i="5" s="1"/>
  <c r="G259" i="5"/>
  <c r="H259" i="5" s="1"/>
  <c r="E259" i="5"/>
  <c r="I258" i="5"/>
  <c r="J258" i="5" s="1"/>
  <c r="G258" i="5"/>
  <c r="E258" i="5"/>
  <c r="I253" i="5"/>
  <c r="J253" i="5" s="1"/>
  <c r="G253" i="5"/>
  <c r="H253" i="5" s="1"/>
  <c r="E253" i="5"/>
  <c r="I252" i="5"/>
  <c r="G252" i="5"/>
  <c r="K252" i="5" s="1"/>
  <c r="E252" i="5"/>
  <c r="I239" i="5"/>
  <c r="J239" i="5" s="1"/>
  <c r="G239" i="5"/>
  <c r="E239" i="5"/>
  <c r="I234" i="5"/>
  <c r="J234" i="5" s="1"/>
  <c r="G234" i="5"/>
  <c r="H234" i="5" s="1"/>
  <c r="E234" i="5"/>
  <c r="I233" i="5"/>
  <c r="J233" i="5" s="1"/>
  <c r="G233" i="5"/>
  <c r="H233" i="5" s="1"/>
  <c r="E233" i="5"/>
  <c r="F233" i="5" s="1"/>
  <c r="I232" i="5"/>
  <c r="J232" i="5" s="1"/>
  <c r="G232" i="5"/>
  <c r="K232" i="5" s="1"/>
  <c r="E232" i="5"/>
  <c r="I231" i="5"/>
  <c r="J231" i="5" s="1"/>
  <c r="G231" i="5"/>
  <c r="H231" i="5" s="1"/>
  <c r="E231" i="5"/>
  <c r="I230" i="5"/>
  <c r="G230" i="5"/>
  <c r="E230" i="5"/>
  <c r="I225" i="5"/>
  <c r="J225" i="5" s="1"/>
  <c r="G225" i="5"/>
  <c r="E225" i="5"/>
  <c r="I224" i="5"/>
  <c r="J224" i="5" s="1"/>
  <c r="G224" i="5"/>
  <c r="E224" i="5"/>
  <c r="I223" i="5"/>
  <c r="J223" i="5" s="1"/>
  <c r="G223" i="5"/>
  <c r="H223" i="5" s="1"/>
  <c r="E223" i="5"/>
  <c r="I222" i="5"/>
  <c r="J222" i="5" s="1"/>
  <c r="G222" i="5"/>
  <c r="H222" i="5" s="1"/>
  <c r="E222" i="5"/>
  <c r="F222" i="5" s="1"/>
  <c r="I221" i="5"/>
  <c r="G221" i="5"/>
  <c r="H221" i="5" s="1"/>
  <c r="E221" i="5"/>
  <c r="I216" i="5"/>
  <c r="J216" i="5" s="1"/>
  <c r="G216" i="5"/>
  <c r="K216" i="5" s="1"/>
  <c r="E216" i="5"/>
  <c r="I215" i="5"/>
  <c r="J215" i="5" s="1"/>
  <c r="G215" i="5"/>
  <c r="E215" i="5"/>
  <c r="I210" i="5"/>
  <c r="G210" i="5"/>
  <c r="E210" i="5"/>
  <c r="I209" i="5"/>
  <c r="J209" i="5" s="1"/>
  <c r="G209" i="5"/>
  <c r="H209" i="5" s="1"/>
  <c r="E209" i="5"/>
  <c r="I204" i="5"/>
  <c r="G204" i="5"/>
  <c r="H204" i="5" s="1"/>
  <c r="E204" i="5"/>
  <c r="I203" i="5"/>
  <c r="G203" i="5"/>
  <c r="H203" i="5" s="1"/>
  <c r="E203" i="5"/>
  <c r="I199" i="5"/>
  <c r="J199" i="5" s="1"/>
  <c r="G199" i="5"/>
  <c r="H199" i="5" s="1"/>
  <c r="E199" i="5"/>
  <c r="F199" i="5" s="1"/>
  <c r="I198" i="5"/>
  <c r="J198" i="5" s="1"/>
  <c r="G198" i="5"/>
  <c r="H198" i="5" s="1"/>
  <c r="E198" i="5"/>
  <c r="I194" i="5"/>
  <c r="G194" i="5"/>
  <c r="E194" i="5"/>
  <c r="I193" i="5"/>
  <c r="K193" i="5" s="1"/>
  <c r="G193" i="5"/>
  <c r="E193" i="5"/>
  <c r="F193" i="5" s="1"/>
  <c r="I192" i="5"/>
  <c r="J192" i="5" s="1"/>
  <c r="G192" i="5"/>
  <c r="E192" i="5"/>
  <c r="I191" i="5"/>
  <c r="J191" i="5" s="1"/>
  <c r="G191" i="5"/>
  <c r="E191" i="5"/>
  <c r="I190" i="5"/>
  <c r="J190" i="5" s="1"/>
  <c r="G190" i="5"/>
  <c r="E190" i="5"/>
  <c r="I186" i="5"/>
  <c r="J186" i="5" s="1"/>
  <c r="G186" i="5"/>
  <c r="E186" i="5"/>
  <c r="I185" i="5"/>
  <c r="G185" i="5"/>
  <c r="H185" i="5" s="1"/>
  <c r="E185" i="5"/>
  <c r="I184" i="5"/>
  <c r="G184" i="5"/>
  <c r="E184" i="5"/>
  <c r="I179" i="5"/>
  <c r="G179" i="5"/>
  <c r="E179" i="5"/>
  <c r="I178" i="5"/>
  <c r="J178" i="5" s="1"/>
  <c r="G178" i="5"/>
  <c r="E178" i="5"/>
  <c r="I177" i="5"/>
  <c r="G177" i="5"/>
  <c r="K177" i="5" s="1"/>
  <c r="E177" i="5"/>
  <c r="I172" i="5"/>
  <c r="K172" i="5" s="1"/>
  <c r="G172" i="5"/>
  <c r="E172" i="5"/>
  <c r="I171" i="5"/>
  <c r="G171" i="5"/>
  <c r="H171" i="5" s="1"/>
  <c r="E171" i="5"/>
  <c r="I170" i="5"/>
  <c r="J170" i="5" s="1"/>
  <c r="G170" i="5"/>
  <c r="E170" i="5"/>
  <c r="I165" i="5"/>
  <c r="G165" i="5"/>
  <c r="K165" i="5" s="1"/>
  <c r="E165" i="5"/>
  <c r="I164" i="5"/>
  <c r="G164" i="5"/>
  <c r="E164" i="5"/>
  <c r="I163" i="5"/>
  <c r="G163" i="5"/>
  <c r="E163" i="5"/>
  <c r="I158" i="5"/>
  <c r="J158" i="5" s="1"/>
  <c r="G158" i="5"/>
  <c r="E158" i="5"/>
  <c r="I157" i="5"/>
  <c r="J157" i="5" s="1"/>
  <c r="G157" i="5"/>
  <c r="H157" i="5" s="1"/>
  <c r="E157" i="5"/>
  <c r="I152" i="5"/>
  <c r="J152" i="5" s="1"/>
  <c r="G152" i="5"/>
  <c r="E152" i="5"/>
  <c r="I147" i="5"/>
  <c r="J147" i="5" s="1"/>
  <c r="G147" i="5"/>
  <c r="K147" i="5" s="1"/>
  <c r="E147" i="5"/>
  <c r="I143" i="5"/>
  <c r="J143" i="5" s="1"/>
  <c r="G143" i="5"/>
  <c r="H143" i="5" s="1"/>
  <c r="E143" i="5"/>
  <c r="I142" i="5"/>
  <c r="G142" i="5"/>
  <c r="H142" i="5" s="1"/>
  <c r="E142" i="5"/>
  <c r="I140" i="5"/>
  <c r="J140" i="5" s="1"/>
  <c r="G140" i="5"/>
  <c r="H140" i="5" s="1"/>
  <c r="E140" i="5"/>
  <c r="I139" i="5"/>
  <c r="G139" i="5"/>
  <c r="H139" i="5" s="1"/>
  <c r="E139" i="5"/>
  <c r="I138" i="5"/>
  <c r="K138" i="5" s="1"/>
  <c r="G138" i="5"/>
  <c r="E138" i="5"/>
  <c r="I134" i="5"/>
  <c r="G134" i="5"/>
  <c r="E134" i="5"/>
  <c r="I133" i="5"/>
  <c r="J133" i="5" s="1"/>
  <c r="G133" i="5"/>
  <c r="H133" i="5" s="1"/>
  <c r="E133" i="5"/>
  <c r="I131" i="5"/>
  <c r="G131" i="5"/>
  <c r="H131" i="5" s="1"/>
  <c r="E131" i="5"/>
  <c r="I130" i="5"/>
  <c r="J130" i="5" s="1"/>
  <c r="G130" i="5"/>
  <c r="E130" i="5"/>
  <c r="I129" i="5"/>
  <c r="G129" i="5"/>
  <c r="E129" i="5"/>
  <c r="I120" i="5"/>
  <c r="G120" i="5"/>
  <c r="E120" i="5"/>
  <c r="I119" i="5"/>
  <c r="G119" i="5"/>
  <c r="E119" i="5"/>
  <c r="I118" i="5"/>
  <c r="J118" i="5" s="1"/>
  <c r="G118" i="5"/>
  <c r="H118" i="5" s="1"/>
  <c r="E118" i="5"/>
  <c r="I109" i="5"/>
  <c r="J109" i="5" s="1"/>
  <c r="G109" i="5"/>
  <c r="E109" i="5"/>
  <c r="I108" i="5"/>
  <c r="J108" i="5" s="1"/>
  <c r="G108" i="5"/>
  <c r="H108" i="5" s="1"/>
  <c r="E108" i="5"/>
  <c r="I107" i="5"/>
  <c r="J107" i="5" s="1"/>
  <c r="G107" i="5"/>
  <c r="E107" i="5"/>
  <c r="I101" i="5"/>
  <c r="J101" i="5" s="1"/>
  <c r="G101" i="5"/>
  <c r="E101" i="5"/>
  <c r="I84" i="5"/>
  <c r="J84" i="5" s="1"/>
  <c r="G84" i="5"/>
  <c r="E84" i="5"/>
  <c r="I83" i="5"/>
  <c r="J83" i="5" s="1"/>
  <c r="G83" i="5"/>
  <c r="H83" i="5" s="1"/>
  <c r="E83" i="5"/>
  <c r="I82" i="5"/>
  <c r="J82" i="5" s="1"/>
  <c r="G82" i="5"/>
  <c r="H82" i="5" s="1"/>
  <c r="E82" i="5"/>
  <c r="I81" i="5"/>
  <c r="J81" i="5" s="1"/>
  <c r="G81" i="5"/>
  <c r="E81" i="5"/>
  <c r="I62" i="5"/>
  <c r="G62" i="5"/>
  <c r="K62" i="5" s="1"/>
  <c r="E62" i="5"/>
  <c r="I56" i="5"/>
  <c r="J56" i="5" s="1"/>
  <c r="G56" i="5"/>
  <c r="E56" i="5"/>
  <c r="I55" i="5"/>
  <c r="G55" i="5"/>
  <c r="H55" i="5" s="1"/>
  <c r="E55" i="5"/>
  <c r="I49" i="5"/>
  <c r="J49" i="5" s="1"/>
  <c r="G49" i="5"/>
  <c r="E49" i="5"/>
  <c r="I48" i="5"/>
  <c r="J48" i="5" s="1"/>
  <c r="G48" i="5"/>
  <c r="E48" i="5"/>
  <c r="I42" i="5"/>
  <c r="J42" i="5" s="1"/>
  <c r="G42" i="5"/>
  <c r="E42" i="5"/>
  <c r="I41" i="5"/>
  <c r="G41" i="5"/>
  <c r="E41" i="5"/>
  <c r="I40" i="5"/>
  <c r="K40" i="5" s="1"/>
  <c r="G40" i="5"/>
  <c r="E40" i="5"/>
  <c r="I36" i="5"/>
  <c r="G36" i="5"/>
  <c r="E36" i="5"/>
  <c r="I35" i="5"/>
  <c r="G35" i="5"/>
  <c r="E35" i="5"/>
  <c r="I30" i="5"/>
  <c r="G30" i="5"/>
  <c r="E30" i="5"/>
  <c r="I29" i="5"/>
  <c r="J29" i="5" s="1"/>
  <c r="G29" i="5"/>
  <c r="E29" i="5"/>
  <c r="I28" i="5"/>
  <c r="G28" i="5"/>
  <c r="E28" i="5"/>
  <c r="I27" i="5"/>
  <c r="K27" i="5" s="1"/>
  <c r="G27" i="5"/>
  <c r="E27" i="5"/>
  <c r="I26" i="5"/>
  <c r="G26" i="5"/>
  <c r="E26" i="5"/>
  <c r="I25" i="5"/>
  <c r="G25" i="5"/>
  <c r="E25" i="5"/>
  <c r="I24" i="5"/>
  <c r="G24" i="5"/>
  <c r="E24" i="5"/>
  <c r="I23" i="5"/>
  <c r="J23" i="5" s="1"/>
  <c r="G23" i="5"/>
  <c r="E23" i="5"/>
  <c r="I22" i="5"/>
  <c r="G22" i="5"/>
  <c r="E22" i="5"/>
  <c r="I21" i="5"/>
  <c r="K21" i="5" s="1"/>
  <c r="G21" i="5"/>
  <c r="E21" i="5"/>
  <c r="I17" i="5"/>
  <c r="J17" i="5" s="1"/>
  <c r="J18" i="5" s="1"/>
  <c r="G6" i="6" s="1"/>
  <c r="I7" i="7" s="1"/>
  <c r="G17" i="5"/>
  <c r="E17" i="5"/>
  <c r="I11" i="5"/>
  <c r="J11" i="5" s="1"/>
  <c r="G11" i="5"/>
  <c r="E11" i="5"/>
  <c r="I5" i="5"/>
  <c r="G5" i="5"/>
  <c r="E5" i="5"/>
  <c r="J1186" i="5"/>
  <c r="J1187" i="5" s="1"/>
  <c r="G184" i="6" s="1"/>
  <c r="I773" i="5" s="1"/>
  <c r="J773" i="5" s="1"/>
  <c r="H1182" i="5"/>
  <c r="J1182" i="5"/>
  <c r="F1181" i="5"/>
  <c r="H1181" i="5"/>
  <c r="J1181" i="5"/>
  <c r="K1181" i="5"/>
  <c r="J1180" i="5"/>
  <c r="F1179" i="5"/>
  <c r="H1179" i="5"/>
  <c r="J1179" i="5"/>
  <c r="K1179" i="5"/>
  <c r="H1178" i="5"/>
  <c r="J1178" i="5"/>
  <c r="H1174" i="5"/>
  <c r="J1174" i="5"/>
  <c r="F1173" i="5"/>
  <c r="H1173" i="5"/>
  <c r="F1172" i="5"/>
  <c r="H1172" i="5"/>
  <c r="J1172" i="5"/>
  <c r="K1172" i="5"/>
  <c r="H1168" i="5"/>
  <c r="J1168" i="5"/>
  <c r="H1167" i="5"/>
  <c r="F1166" i="5"/>
  <c r="J1166" i="5"/>
  <c r="K1166" i="5"/>
  <c r="H1162" i="5"/>
  <c r="J1162" i="5"/>
  <c r="H1161" i="5"/>
  <c r="J1161" i="5"/>
  <c r="F1160" i="5"/>
  <c r="H1160" i="5"/>
  <c r="H1156" i="5"/>
  <c r="J1156" i="5"/>
  <c r="F1155" i="5"/>
  <c r="F1154" i="5"/>
  <c r="H1154" i="5"/>
  <c r="F1150" i="5"/>
  <c r="H1150" i="5"/>
  <c r="F1148" i="5"/>
  <c r="J1148" i="5"/>
  <c r="K1148" i="5"/>
  <c r="F1144" i="5"/>
  <c r="H1144" i="5"/>
  <c r="J1143" i="5"/>
  <c r="F1138" i="5"/>
  <c r="H1138" i="5"/>
  <c r="F1137" i="5"/>
  <c r="H1137" i="5"/>
  <c r="H1139" i="5" s="1"/>
  <c r="F176" i="6" s="1"/>
  <c r="J1137" i="5"/>
  <c r="F1133" i="5"/>
  <c r="H1133" i="5"/>
  <c r="F1132" i="5"/>
  <c r="F1134" i="5" s="1"/>
  <c r="H1132" i="5"/>
  <c r="J1132" i="5"/>
  <c r="H1129" i="5"/>
  <c r="F174" i="6" s="1"/>
  <c r="G452" i="5" s="1"/>
  <c r="H452" i="5" s="1"/>
  <c r="F1128" i="5"/>
  <c r="H1128" i="5"/>
  <c r="F1127" i="5"/>
  <c r="H1127" i="5"/>
  <c r="I1128" i="5" s="1"/>
  <c r="J1128" i="5" s="1"/>
  <c r="J1127" i="5"/>
  <c r="F1126" i="5"/>
  <c r="H1126" i="5"/>
  <c r="F1122" i="5"/>
  <c r="H1122" i="5"/>
  <c r="F1121" i="5"/>
  <c r="J1121" i="5"/>
  <c r="K1121" i="5"/>
  <c r="H1120" i="5"/>
  <c r="J1120" i="5"/>
  <c r="F1116" i="5"/>
  <c r="H1116" i="5"/>
  <c r="H1115" i="5"/>
  <c r="F1114" i="5"/>
  <c r="H1114" i="5"/>
  <c r="I1116" i="5" s="1"/>
  <c r="J1116" i="5" s="1"/>
  <c r="J1114" i="5"/>
  <c r="F1110" i="5"/>
  <c r="H1110" i="5"/>
  <c r="H1111" i="5" s="1"/>
  <c r="F171" i="6" s="1"/>
  <c r="G1106" i="5" s="1"/>
  <c r="H1106" i="5" s="1"/>
  <c r="F1105" i="5"/>
  <c r="J1105" i="5"/>
  <c r="K1105" i="5"/>
  <c r="H1100" i="5"/>
  <c r="J1100" i="5"/>
  <c r="F1096" i="5"/>
  <c r="H1096" i="5"/>
  <c r="F1095" i="5"/>
  <c r="F1091" i="5"/>
  <c r="H1091" i="5"/>
  <c r="F1089" i="5"/>
  <c r="H1089" i="5"/>
  <c r="H1085" i="5"/>
  <c r="J1085" i="5"/>
  <c r="F1084" i="5"/>
  <c r="H1084" i="5"/>
  <c r="H1083" i="5"/>
  <c r="J1083" i="5"/>
  <c r="F1082" i="5"/>
  <c r="H1082" i="5"/>
  <c r="K1082" i="5"/>
  <c r="F1081" i="5"/>
  <c r="K1080" i="5"/>
  <c r="H1076" i="5"/>
  <c r="J1076" i="5"/>
  <c r="F1075" i="5"/>
  <c r="H1075" i="5"/>
  <c r="J1074" i="5"/>
  <c r="H1073" i="5"/>
  <c r="F1072" i="5"/>
  <c r="J1072" i="5"/>
  <c r="F1071" i="5"/>
  <c r="J1071" i="5"/>
  <c r="H1067" i="5"/>
  <c r="H1068" i="5" s="1"/>
  <c r="F164" i="6" s="1"/>
  <c r="G362" i="5" s="1"/>
  <c r="H362" i="5" s="1"/>
  <c r="F1063" i="5"/>
  <c r="H1063" i="5"/>
  <c r="F1062" i="5"/>
  <c r="K1062" i="5"/>
  <c r="F1058" i="5"/>
  <c r="J1058" i="5"/>
  <c r="F1057" i="5"/>
  <c r="H1057" i="5"/>
  <c r="F1056" i="5"/>
  <c r="H1056" i="5"/>
  <c r="J1056" i="5"/>
  <c r="J1059" i="5" s="1"/>
  <c r="G162" i="6" s="1"/>
  <c r="I325" i="5" s="1"/>
  <c r="J325" i="5" s="1"/>
  <c r="K1056" i="5"/>
  <c r="H1053" i="5"/>
  <c r="F161" i="6" s="1"/>
  <c r="G317" i="5" s="1"/>
  <c r="H317" i="5" s="1"/>
  <c r="J1052" i="5"/>
  <c r="H1051" i="5"/>
  <c r="F1050" i="5"/>
  <c r="H1050" i="5"/>
  <c r="F1046" i="5"/>
  <c r="H1046" i="5"/>
  <c r="J1046" i="5"/>
  <c r="F1045" i="5"/>
  <c r="J1045" i="5"/>
  <c r="F1044" i="5"/>
  <c r="H1044" i="5"/>
  <c r="J1044" i="5"/>
  <c r="F1039" i="5"/>
  <c r="H1039" i="5"/>
  <c r="H1038" i="5"/>
  <c r="K1038" i="5"/>
  <c r="F1034" i="5"/>
  <c r="H1034" i="5"/>
  <c r="H1033" i="5"/>
  <c r="H1035" i="5" s="1"/>
  <c r="F158" i="6" s="1"/>
  <c r="G240" i="5" s="1"/>
  <c r="H240" i="5" s="1"/>
  <c r="J1033" i="5"/>
  <c r="J1035" i="5" s="1"/>
  <c r="G158" i="6" s="1"/>
  <c r="I240" i="5" s="1"/>
  <c r="J240" i="5" s="1"/>
  <c r="F1029" i="5"/>
  <c r="H1029" i="5"/>
  <c r="F1028" i="5"/>
  <c r="H1028" i="5"/>
  <c r="J1028" i="5"/>
  <c r="K1028" i="5"/>
  <c r="F1027" i="5"/>
  <c r="J1027" i="5"/>
  <c r="F1024" i="5"/>
  <c r="F1023" i="5"/>
  <c r="F1022" i="5"/>
  <c r="J1022" i="5"/>
  <c r="F1019" i="5"/>
  <c r="F1018" i="5"/>
  <c r="H1018" i="5"/>
  <c r="F1017" i="5"/>
  <c r="J1017" i="5"/>
  <c r="F1016" i="5"/>
  <c r="H1016" i="5"/>
  <c r="J1016" i="5"/>
  <c r="F1012" i="5"/>
  <c r="H1012" i="5"/>
  <c r="F1011" i="5"/>
  <c r="J1010" i="5"/>
  <c r="H1006" i="5"/>
  <c r="F1005" i="5"/>
  <c r="J1005" i="5"/>
  <c r="F1001" i="5"/>
  <c r="H1001" i="5"/>
  <c r="F1000" i="5"/>
  <c r="H1000" i="5"/>
  <c r="J1000" i="5"/>
  <c r="F999" i="5"/>
  <c r="H999" i="5"/>
  <c r="I1001" i="5" s="1"/>
  <c r="J1001" i="5" s="1"/>
  <c r="F995" i="5"/>
  <c r="H995" i="5"/>
  <c r="F993" i="5"/>
  <c r="H993" i="5"/>
  <c r="J993" i="5"/>
  <c r="K993" i="5"/>
  <c r="F989" i="5"/>
  <c r="H989" i="5"/>
  <c r="H987" i="5"/>
  <c r="F983" i="5"/>
  <c r="F984" i="5" s="1"/>
  <c r="F979" i="5"/>
  <c r="H979" i="5"/>
  <c r="H978" i="5"/>
  <c r="F977" i="5"/>
  <c r="H977" i="5"/>
  <c r="I979" i="5" s="1"/>
  <c r="J979" i="5" s="1"/>
  <c r="J977" i="5"/>
  <c r="H972" i="5"/>
  <c r="H971" i="5"/>
  <c r="J971" i="5"/>
  <c r="H968" i="5"/>
  <c r="F146" i="6" s="1"/>
  <c r="G957" i="5" s="1"/>
  <c r="H957" i="5" s="1"/>
  <c r="F967" i="5"/>
  <c r="F968" i="5" s="1"/>
  <c r="E146" i="6" s="1"/>
  <c r="E957" i="5" s="1"/>
  <c r="F957" i="5" s="1"/>
  <c r="H967" i="5"/>
  <c r="K967" i="5"/>
  <c r="F963" i="5"/>
  <c r="H963" i="5"/>
  <c r="F962" i="5"/>
  <c r="H962" i="5"/>
  <c r="F961" i="5"/>
  <c r="H961" i="5"/>
  <c r="F955" i="5"/>
  <c r="H954" i="5"/>
  <c r="F950" i="5"/>
  <c r="F946" i="5"/>
  <c r="H946" i="5"/>
  <c r="F945" i="5"/>
  <c r="J945" i="5"/>
  <c r="F944" i="5"/>
  <c r="H944" i="5"/>
  <c r="J944" i="5"/>
  <c r="K944" i="5"/>
  <c r="F941" i="5"/>
  <c r="F940" i="5"/>
  <c r="F939" i="5"/>
  <c r="H939" i="5"/>
  <c r="J939" i="5"/>
  <c r="K939" i="5"/>
  <c r="F938" i="5"/>
  <c r="H938" i="5"/>
  <c r="J938" i="5"/>
  <c r="F934" i="5"/>
  <c r="H934" i="5"/>
  <c r="J933" i="5"/>
  <c r="F932" i="5"/>
  <c r="J928" i="5"/>
  <c r="J926" i="5"/>
  <c r="F922" i="5"/>
  <c r="H922" i="5"/>
  <c r="F921" i="5"/>
  <c r="J921" i="5"/>
  <c r="J920" i="5"/>
  <c r="K920" i="5"/>
  <c r="H916" i="5"/>
  <c r="F915" i="5"/>
  <c r="J915" i="5"/>
  <c r="F914" i="5"/>
  <c r="J911" i="5"/>
  <c r="G136" i="6" s="1"/>
  <c r="I31" i="5" s="1"/>
  <c r="J31" i="5" s="1"/>
  <c r="F910" i="5"/>
  <c r="J910" i="5"/>
  <c r="H909" i="5"/>
  <c r="J909" i="5"/>
  <c r="F905" i="5"/>
  <c r="H905" i="5"/>
  <c r="J905" i="5"/>
  <c r="H904" i="5"/>
  <c r="J904" i="5"/>
  <c r="H903" i="5"/>
  <c r="F902" i="5"/>
  <c r="H902" i="5"/>
  <c r="J902" i="5"/>
  <c r="K902" i="5"/>
  <c r="F899" i="5"/>
  <c r="E134" i="6" s="1"/>
  <c r="H899" i="5"/>
  <c r="F134" i="6" s="1"/>
  <c r="F898" i="5"/>
  <c r="H898" i="5"/>
  <c r="F896" i="5"/>
  <c r="H896" i="5"/>
  <c r="J896" i="5"/>
  <c r="K896" i="5"/>
  <c r="F895" i="5"/>
  <c r="J895" i="5"/>
  <c r="F891" i="5"/>
  <c r="H891" i="5"/>
  <c r="K891" i="5"/>
  <c r="F890" i="5"/>
  <c r="H890" i="5"/>
  <c r="J890" i="5"/>
  <c r="J892" i="5" s="1"/>
  <c r="G133" i="6" s="1"/>
  <c r="I332" i="7" s="1"/>
  <c r="J332" i="7" s="1"/>
  <c r="K890" i="5"/>
  <c r="J887" i="5"/>
  <c r="G132" i="6" s="1"/>
  <c r="I331" i="7" s="1"/>
  <c r="J331" i="7" s="1"/>
  <c r="F886" i="5"/>
  <c r="H886" i="5"/>
  <c r="J886" i="5"/>
  <c r="F885" i="5"/>
  <c r="F887" i="5" s="1"/>
  <c r="H885" i="5"/>
  <c r="H887" i="5" s="1"/>
  <c r="F132" i="6" s="1"/>
  <c r="G331" i="7" s="1"/>
  <c r="J885" i="5"/>
  <c r="K885" i="5"/>
  <c r="F881" i="5"/>
  <c r="F882" i="5" s="1"/>
  <c r="E131" i="6" s="1"/>
  <c r="E330" i="7" s="1"/>
  <c r="F330" i="7" s="1"/>
  <c r="H881" i="5"/>
  <c r="J881" i="5"/>
  <c r="K881" i="5"/>
  <c r="F880" i="5"/>
  <c r="H880" i="5"/>
  <c r="H882" i="5" s="1"/>
  <c r="F131" i="6" s="1"/>
  <c r="G330" i="7" s="1"/>
  <c r="H330" i="7" s="1"/>
  <c r="J880" i="5"/>
  <c r="K880" i="5"/>
  <c r="J877" i="5"/>
  <c r="G130" i="6" s="1"/>
  <c r="I329" i="7" s="1"/>
  <c r="H876" i="5"/>
  <c r="J876" i="5"/>
  <c r="F875" i="5"/>
  <c r="H875" i="5"/>
  <c r="E876" i="5" s="1"/>
  <c r="K876" i="5" s="1"/>
  <c r="K875" i="5"/>
  <c r="F874" i="5"/>
  <c r="H874" i="5"/>
  <c r="J874" i="5"/>
  <c r="K874" i="5"/>
  <c r="H870" i="5"/>
  <c r="J870" i="5"/>
  <c r="F869" i="5"/>
  <c r="F868" i="5"/>
  <c r="H868" i="5"/>
  <c r="J868" i="5"/>
  <c r="H864" i="5"/>
  <c r="J864" i="5"/>
  <c r="F863" i="5"/>
  <c r="H863" i="5"/>
  <c r="E864" i="5" s="1"/>
  <c r="F864" i="5" s="1"/>
  <c r="L864" i="5" s="1"/>
  <c r="J863" i="5"/>
  <c r="H862" i="5"/>
  <c r="H858" i="5"/>
  <c r="J858" i="5"/>
  <c r="H857" i="5"/>
  <c r="F856" i="5"/>
  <c r="F852" i="5"/>
  <c r="F847" i="5"/>
  <c r="H847" i="5"/>
  <c r="F846" i="5"/>
  <c r="F845" i="5"/>
  <c r="H845" i="5"/>
  <c r="J845" i="5"/>
  <c r="F841" i="5"/>
  <c r="H841" i="5"/>
  <c r="F839" i="5"/>
  <c r="H839" i="5"/>
  <c r="J839" i="5"/>
  <c r="F835" i="5"/>
  <c r="H835" i="5"/>
  <c r="H834" i="5"/>
  <c r="F833" i="5"/>
  <c r="H833" i="5"/>
  <c r="F829" i="5"/>
  <c r="J829" i="5"/>
  <c r="F824" i="5"/>
  <c r="K824" i="5"/>
  <c r="F823" i="5"/>
  <c r="F819" i="5"/>
  <c r="H819" i="5"/>
  <c r="F818" i="5"/>
  <c r="H818" i="5"/>
  <c r="K818" i="5"/>
  <c r="F817" i="5"/>
  <c r="H817" i="5"/>
  <c r="I819" i="5" s="1"/>
  <c r="J819" i="5" s="1"/>
  <c r="J817" i="5"/>
  <c r="F812" i="5"/>
  <c r="F808" i="5"/>
  <c r="H808" i="5"/>
  <c r="F807" i="5"/>
  <c r="J807" i="5"/>
  <c r="F806" i="5"/>
  <c r="F809" i="5" s="1"/>
  <c r="E118" i="6" s="1"/>
  <c r="E317" i="7" s="1"/>
  <c r="H806" i="5"/>
  <c r="J806" i="5"/>
  <c r="F802" i="5"/>
  <c r="H802" i="5"/>
  <c r="F801" i="5"/>
  <c r="J801" i="5"/>
  <c r="J800" i="5"/>
  <c r="F796" i="5"/>
  <c r="H796" i="5"/>
  <c r="F794" i="5"/>
  <c r="H790" i="5"/>
  <c r="J790" i="5"/>
  <c r="J789" i="5"/>
  <c r="K789" i="5"/>
  <c r="F788" i="5"/>
  <c r="J784" i="5"/>
  <c r="F783" i="5"/>
  <c r="H783" i="5"/>
  <c r="K783" i="5"/>
  <c r="F779" i="5"/>
  <c r="H774" i="5"/>
  <c r="J774" i="5"/>
  <c r="F772" i="5"/>
  <c r="F771" i="5"/>
  <c r="H771" i="5"/>
  <c r="F767" i="5"/>
  <c r="H767" i="5"/>
  <c r="I767" i="5"/>
  <c r="J767" i="5" s="1"/>
  <c r="F766" i="5"/>
  <c r="H766" i="5"/>
  <c r="J766" i="5"/>
  <c r="K766" i="5"/>
  <c r="J765" i="5"/>
  <c r="E764" i="5"/>
  <c r="F764" i="5" s="1"/>
  <c r="L764" i="5" s="1"/>
  <c r="H764" i="5"/>
  <c r="J764" i="5"/>
  <c r="F763" i="5"/>
  <c r="H763" i="5"/>
  <c r="K763" i="5"/>
  <c r="F759" i="5"/>
  <c r="H759" i="5"/>
  <c r="J759" i="5"/>
  <c r="K759" i="5"/>
  <c r="F758" i="5"/>
  <c r="J758" i="5"/>
  <c r="H754" i="5"/>
  <c r="J754" i="5"/>
  <c r="F753" i="5"/>
  <c r="J753" i="5"/>
  <c r="F752" i="5"/>
  <c r="H752" i="5"/>
  <c r="J752" i="5"/>
  <c r="F751" i="5"/>
  <c r="F747" i="5"/>
  <c r="H747" i="5"/>
  <c r="J747" i="5"/>
  <c r="K747" i="5"/>
  <c r="F746" i="5"/>
  <c r="H746" i="5"/>
  <c r="F745" i="5"/>
  <c r="H741" i="5"/>
  <c r="J741" i="5"/>
  <c r="F740" i="5"/>
  <c r="H740" i="5"/>
  <c r="J740" i="5"/>
  <c r="K740" i="5"/>
  <c r="F739" i="5"/>
  <c r="H739" i="5"/>
  <c r="J739" i="5"/>
  <c r="H735" i="5"/>
  <c r="J735" i="5"/>
  <c r="F734" i="5"/>
  <c r="H734" i="5"/>
  <c r="J734" i="5"/>
  <c r="K734" i="5"/>
  <c r="F733" i="5"/>
  <c r="J733" i="5"/>
  <c r="J736" i="5" s="1"/>
  <c r="G106" i="6" s="1"/>
  <c r="I258" i="7" s="1"/>
  <c r="J258" i="7" s="1"/>
  <c r="H729" i="5"/>
  <c r="J729" i="5"/>
  <c r="F728" i="5"/>
  <c r="H728" i="5"/>
  <c r="J728" i="5"/>
  <c r="K728" i="5"/>
  <c r="F727" i="5"/>
  <c r="H727" i="5"/>
  <c r="K727" i="5"/>
  <c r="F723" i="5"/>
  <c r="J723" i="5"/>
  <c r="K723" i="5"/>
  <c r="F722" i="5"/>
  <c r="H722" i="5"/>
  <c r="F721" i="5"/>
  <c r="F724" i="5" s="1"/>
  <c r="F717" i="5"/>
  <c r="H717" i="5"/>
  <c r="J717" i="5"/>
  <c r="K717" i="5"/>
  <c r="F716" i="5"/>
  <c r="H716" i="5"/>
  <c r="J716" i="5"/>
  <c r="F715" i="5"/>
  <c r="H715" i="5"/>
  <c r="J715" i="5"/>
  <c r="J718" i="5" s="1"/>
  <c r="G103" i="6" s="1"/>
  <c r="I246" i="7" s="1"/>
  <c r="J246" i="7" s="1"/>
  <c r="F711" i="5"/>
  <c r="L711" i="5" s="1"/>
  <c r="H711" i="5"/>
  <c r="J711" i="5"/>
  <c r="K711" i="5"/>
  <c r="F710" i="5"/>
  <c r="H710" i="5"/>
  <c r="F709" i="5"/>
  <c r="H709" i="5"/>
  <c r="H712" i="5" s="1"/>
  <c r="K709" i="5"/>
  <c r="H705" i="5"/>
  <c r="J705" i="5"/>
  <c r="F704" i="5"/>
  <c r="H704" i="5"/>
  <c r="E705" i="5" s="1"/>
  <c r="F705" i="5" s="1"/>
  <c r="K704" i="5"/>
  <c r="F703" i="5"/>
  <c r="H703" i="5"/>
  <c r="J703" i="5"/>
  <c r="K703" i="5"/>
  <c r="F702" i="5"/>
  <c r="J702" i="5"/>
  <c r="J706" i="5" s="1"/>
  <c r="G101" i="6" s="1"/>
  <c r="I244" i="7" s="1"/>
  <c r="E698" i="5"/>
  <c r="F698" i="5" s="1"/>
  <c r="L698" i="5" s="1"/>
  <c r="H698" i="5"/>
  <c r="J698" i="5"/>
  <c r="F697" i="5"/>
  <c r="H697" i="5"/>
  <c r="J697" i="5"/>
  <c r="K697" i="5"/>
  <c r="F696" i="5"/>
  <c r="H696" i="5"/>
  <c r="K696" i="5"/>
  <c r="F695" i="5"/>
  <c r="H695" i="5"/>
  <c r="J695" i="5"/>
  <c r="K695" i="5"/>
  <c r="H691" i="5"/>
  <c r="J691" i="5"/>
  <c r="F690" i="5"/>
  <c r="H690" i="5"/>
  <c r="E691" i="5" s="1"/>
  <c r="F691" i="5" s="1"/>
  <c r="L691" i="5" s="1"/>
  <c r="K690" i="5"/>
  <c r="F689" i="5"/>
  <c r="H689" i="5"/>
  <c r="J689" i="5"/>
  <c r="F688" i="5"/>
  <c r="H688" i="5"/>
  <c r="J688" i="5"/>
  <c r="K688" i="5"/>
  <c r="H684" i="5"/>
  <c r="J684" i="5"/>
  <c r="F683" i="5"/>
  <c r="H683" i="5"/>
  <c r="E684" i="5" s="1"/>
  <c r="F684" i="5" s="1"/>
  <c r="L684" i="5" s="1"/>
  <c r="J683" i="5"/>
  <c r="K683" i="5"/>
  <c r="F682" i="5"/>
  <c r="J682" i="5"/>
  <c r="F681" i="5"/>
  <c r="H681" i="5"/>
  <c r="J681" i="5"/>
  <c r="K681" i="5"/>
  <c r="F677" i="5"/>
  <c r="J677" i="5"/>
  <c r="J676" i="5"/>
  <c r="F675" i="5"/>
  <c r="H675" i="5"/>
  <c r="K675" i="5"/>
  <c r="F674" i="5"/>
  <c r="H673" i="5"/>
  <c r="J673" i="5"/>
  <c r="F672" i="5"/>
  <c r="H672" i="5"/>
  <c r="J672" i="5"/>
  <c r="K672" i="5"/>
  <c r="F668" i="5"/>
  <c r="H668" i="5"/>
  <c r="J668" i="5"/>
  <c r="K668" i="5"/>
  <c r="F667" i="5"/>
  <c r="J667" i="5"/>
  <c r="F666" i="5"/>
  <c r="H666" i="5"/>
  <c r="F665" i="5"/>
  <c r="H665" i="5"/>
  <c r="J665" i="5"/>
  <c r="H664" i="5"/>
  <c r="J664" i="5"/>
  <c r="F663" i="5"/>
  <c r="H663" i="5"/>
  <c r="J663" i="5"/>
  <c r="K663" i="5"/>
  <c r="F659" i="5"/>
  <c r="H659" i="5"/>
  <c r="J659" i="5"/>
  <c r="F658" i="5"/>
  <c r="H658" i="5"/>
  <c r="J658" i="5"/>
  <c r="K658" i="5"/>
  <c r="F657" i="5"/>
  <c r="H657" i="5"/>
  <c r="F656" i="5"/>
  <c r="H656" i="5"/>
  <c r="J656" i="5"/>
  <c r="K656" i="5"/>
  <c r="H655" i="5"/>
  <c r="J655" i="5"/>
  <c r="F654" i="5"/>
  <c r="H654" i="5"/>
  <c r="J650" i="5"/>
  <c r="K650" i="5"/>
  <c r="F649" i="5"/>
  <c r="H649" i="5"/>
  <c r="F648" i="5"/>
  <c r="E646" i="5"/>
  <c r="K646" i="5" s="1"/>
  <c r="H646" i="5"/>
  <c r="J646" i="5"/>
  <c r="F645" i="5"/>
  <c r="H645" i="5"/>
  <c r="K645" i="5"/>
  <c r="H641" i="5"/>
  <c r="J641" i="5"/>
  <c r="F640" i="5"/>
  <c r="F639" i="5"/>
  <c r="H639" i="5"/>
  <c r="J639" i="5"/>
  <c r="F638" i="5"/>
  <c r="H638" i="5"/>
  <c r="H634" i="5"/>
  <c r="J634" i="5"/>
  <c r="F633" i="5"/>
  <c r="H633" i="5"/>
  <c r="E634" i="5" s="1"/>
  <c r="K634" i="5" s="1"/>
  <c r="J633" i="5"/>
  <c r="F632" i="5"/>
  <c r="H632" i="5"/>
  <c r="J632" i="5"/>
  <c r="F631" i="5"/>
  <c r="H631" i="5"/>
  <c r="K631" i="5"/>
  <c r="H627" i="5"/>
  <c r="J627" i="5"/>
  <c r="F626" i="5"/>
  <c r="F624" i="5"/>
  <c r="J624" i="5"/>
  <c r="H620" i="5"/>
  <c r="J620" i="5"/>
  <c r="F619" i="5"/>
  <c r="F617" i="5"/>
  <c r="E613" i="5"/>
  <c r="F613" i="5" s="1"/>
  <c r="L613" i="5" s="1"/>
  <c r="H613" i="5"/>
  <c r="J613" i="5"/>
  <c r="F612" i="5"/>
  <c r="H612" i="5"/>
  <c r="F611" i="5"/>
  <c r="H611" i="5"/>
  <c r="H614" i="5" s="1"/>
  <c r="F89" i="6" s="1"/>
  <c r="G220" i="7" s="1"/>
  <c r="H220" i="7" s="1"/>
  <c r="H607" i="5"/>
  <c r="J607" i="5"/>
  <c r="F606" i="5"/>
  <c r="H606" i="5"/>
  <c r="E607" i="5" s="1"/>
  <c r="F607" i="5" s="1"/>
  <c r="L607" i="5" s="1"/>
  <c r="K606" i="5"/>
  <c r="F605" i="5"/>
  <c r="H601" i="5"/>
  <c r="J601" i="5"/>
  <c r="F600" i="5"/>
  <c r="H600" i="5"/>
  <c r="F599" i="5"/>
  <c r="F594" i="5"/>
  <c r="H594" i="5"/>
  <c r="J594" i="5"/>
  <c r="K594" i="5"/>
  <c r="H593" i="5"/>
  <c r="J593" i="5"/>
  <c r="F592" i="5"/>
  <c r="K588" i="5"/>
  <c r="F587" i="5"/>
  <c r="K587" i="5"/>
  <c r="F586" i="5"/>
  <c r="H586" i="5"/>
  <c r="J586" i="5"/>
  <c r="K586" i="5"/>
  <c r="H582" i="5"/>
  <c r="J582" i="5"/>
  <c r="F581" i="5"/>
  <c r="F580" i="5"/>
  <c r="K580" i="5"/>
  <c r="F576" i="5"/>
  <c r="H575" i="5"/>
  <c r="J575" i="5"/>
  <c r="F571" i="5"/>
  <c r="H571" i="5"/>
  <c r="J571" i="5"/>
  <c r="F570" i="5"/>
  <c r="K570" i="5"/>
  <c r="F566" i="5"/>
  <c r="H566" i="5"/>
  <c r="F565" i="5"/>
  <c r="K565" i="5"/>
  <c r="F564" i="5"/>
  <c r="H564" i="5"/>
  <c r="K564" i="5"/>
  <c r="F560" i="5"/>
  <c r="K560" i="5"/>
  <c r="F559" i="5"/>
  <c r="F561" i="5" s="1"/>
  <c r="K559" i="5"/>
  <c r="F558" i="5"/>
  <c r="F554" i="5"/>
  <c r="H553" i="5"/>
  <c r="K553" i="5"/>
  <c r="F552" i="5"/>
  <c r="F547" i="5"/>
  <c r="J547" i="5"/>
  <c r="F546" i="5"/>
  <c r="F542" i="5"/>
  <c r="H542" i="5"/>
  <c r="J542" i="5"/>
  <c r="F541" i="5"/>
  <c r="H541" i="5"/>
  <c r="J541" i="5"/>
  <c r="K541" i="5"/>
  <c r="F540" i="5"/>
  <c r="F543" i="5" s="1"/>
  <c r="E77" i="6" s="1"/>
  <c r="E208" i="7" s="1"/>
  <c r="F536" i="5"/>
  <c r="K536" i="5"/>
  <c r="F535" i="5"/>
  <c r="H535" i="5"/>
  <c r="J535" i="5"/>
  <c r="F530" i="5"/>
  <c r="F529" i="5"/>
  <c r="K529" i="5"/>
  <c r="F528" i="5"/>
  <c r="H528" i="5"/>
  <c r="K528" i="5"/>
  <c r="F524" i="5"/>
  <c r="J524" i="5"/>
  <c r="K524" i="5"/>
  <c r="F523" i="5"/>
  <c r="H523" i="5"/>
  <c r="J518" i="5"/>
  <c r="F517" i="5"/>
  <c r="F516" i="5"/>
  <c r="H516" i="5"/>
  <c r="J516" i="5"/>
  <c r="H512" i="5"/>
  <c r="F511" i="5"/>
  <c r="F510" i="5"/>
  <c r="K510" i="5"/>
  <c r="F506" i="5"/>
  <c r="J506" i="5"/>
  <c r="H505" i="5"/>
  <c r="J505" i="5"/>
  <c r="F504" i="5"/>
  <c r="H504" i="5"/>
  <c r="F503" i="5"/>
  <c r="H503" i="5"/>
  <c r="G506" i="5" s="1"/>
  <c r="J503" i="5"/>
  <c r="F497" i="5"/>
  <c r="F491" i="5"/>
  <c r="F486" i="5"/>
  <c r="H486" i="5"/>
  <c r="J486" i="5"/>
  <c r="F484" i="5"/>
  <c r="J484" i="5"/>
  <c r="K484" i="5"/>
  <c r="F477" i="5"/>
  <c r="H477" i="5"/>
  <c r="F470" i="5"/>
  <c r="J470" i="5"/>
  <c r="K470" i="5"/>
  <c r="F468" i="5"/>
  <c r="F467" i="5"/>
  <c r="K467" i="5"/>
  <c r="F465" i="5"/>
  <c r="H465" i="5"/>
  <c r="F458" i="5"/>
  <c r="H458" i="5"/>
  <c r="F455" i="5"/>
  <c r="J455" i="5"/>
  <c r="F454" i="5"/>
  <c r="H454" i="5"/>
  <c r="J454" i="5"/>
  <c r="H453" i="5"/>
  <c r="J453" i="5"/>
  <c r="K453" i="5"/>
  <c r="F444" i="5"/>
  <c r="H444" i="5"/>
  <c r="J444" i="5"/>
  <c r="F441" i="5"/>
  <c r="H441" i="5"/>
  <c r="K441" i="5"/>
  <c r="F440" i="5"/>
  <c r="H440" i="5"/>
  <c r="F439" i="5"/>
  <c r="H439" i="5"/>
  <c r="F437" i="5"/>
  <c r="F430" i="5"/>
  <c r="H430" i="5"/>
  <c r="J430" i="5"/>
  <c r="F424" i="5"/>
  <c r="H424" i="5"/>
  <c r="F422" i="5"/>
  <c r="H422" i="5"/>
  <c r="F421" i="5"/>
  <c r="H421" i="5"/>
  <c r="J421" i="5"/>
  <c r="K421" i="5"/>
  <c r="K420" i="5"/>
  <c r="F418" i="5"/>
  <c r="H418" i="5"/>
  <c r="J418" i="5"/>
  <c r="F412" i="5"/>
  <c r="H412" i="5"/>
  <c r="F410" i="5"/>
  <c r="H410" i="5"/>
  <c r="J410" i="5"/>
  <c r="K410" i="5"/>
  <c r="F409" i="5"/>
  <c r="J409" i="5"/>
  <c r="K409" i="5"/>
  <c r="F407" i="5"/>
  <c r="H407" i="5"/>
  <c r="H403" i="5"/>
  <c r="J403" i="5"/>
  <c r="F402" i="5"/>
  <c r="H402" i="5"/>
  <c r="H401" i="5"/>
  <c r="F400" i="5"/>
  <c r="H400" i="5"/>
  <c r="E399" i="5"/>
  <c r="F399" i="5" s="1"/>
  <c r="L399" i="5" s="1"/>
  <c r="H399" i="5"/>
  <c r="J399" i="5"/>
  <c r="F398" i="5"/>
  <c r="F394" i="5"/>
  <c r="H394" i="5"/>
  <c r="H393" i="5"/>
  <c r="F390" i="5"/>
  <c r="K390" i="5"/>
  <c r="J389" i="5"/>
  <c r="F388" i="5"/>
  <c r="H388" i="5"/>
  <c r="K388" i="5"/>
  <c r="H384" i="5"/>
  <c r="J384" i="5"/>
  <c r="F383" i="5"/>
  <c r="J383" i="5"/>
  <c r="F382" i="5"/>
  <c r="H382" i="5"/>
  <c r="J381" i="5"/>
  <c r="K381" i="5"/>
  <c r="F380" i="5"/>
  <c r="H380" i="5"/>
  <c r="F379" i="5"/>
  <c r="H379" i="5"/>
  <c r="F378" i="5"/>
  <c r="H378" i="5"/>
  <c r="F377" i="5"/>
  <c r="H373" i="5"/>
  <c r="J373" i="5"/>
  <c r="F372" i="5"/>
  <c r="F371" i="5"/>
  <c r="F369" i="5"/>
  <c r="J369" i="5"/>
  <c r="K369" i="5"/>
  <c r="F368" i="5"/>
  <c r="H368" i="5"/>
  <c r="F367" i="5"/>
  <c r="H367" i="5"/>
  <c r="J367" i="5"/>
  <c r="F366" i="5"/>
  <c r="H366" i="5"/>
  <c r="J366" i="5"/>
  <c r="H361" i="5"/>
  <c r="J361" i="5"/>
  <c r="E356" i="5"/>
  <c r="K356" i="5" s="1"/>
  <c r="H356" i="5"/>
  <c r="J356" i="5"/>
  <c r="F355" i="5"/>
  <c r="H350" i="5"/>
  <c r="J350" i="5"/>
  <c r="F349" i="5"/>
  <c r="E350" i="5" s="1"/>
  <c r="K349" i="5"/>
  <c r="F345" i="5"/>
  <c r="H345" i="5"/>
  <c r="H344" i="5"/>
  <c r="J344" i="5"/>
  <c r="F343" i="5"/>
  <c r="H343" i="5"/>
  <c r="F342" i="5"/>
  <c r="F341" i="5"/>
  <c r="H341" i="5"/>
  <c r="F340" i="5"/>
  <c r="H340" i="5"/>
  <c r="F339" i="5"/>
  <c r="H339" i="5"/>
  <c r="J339" i="5"/>
  <c r="F335" i="5"/>
  <c r="H335" i="5"/>
  <c r="H334" i="5"/>
  <c r="J334" i="5"/>
  <c r="H333" i="5"/>
  <c r="H332" i="5"/>
  <c r="J332" i="5"/>
  <c r="K332" i="5"/>
  <c r="F331" i="5"/>
  <c r="H331" i="5"/>
  <c r="F330" i="5"/>
  <c r="F329" i="5"/>
  <c r="J329" i="5"/>
  <c r="F324" i="5"/>
  <c r="F320" i="5"/>
  <c r="J320" i="5"/>
  <c r="F319" i="5"/>
  <c r="J319" i="5"/>
  <c r="K319" i="5"/>
  <c r="F318" i="5"/>
  <c r="H318" i="5"/>
  <c r="K318" i="5"/>
  <c r="F312" i="5"/>
  <c r="H312" i="5"/>
  <c r="H307" i="5"/>
  <c r="J307" i="5"/>
  <c r="H306" i="5"/>
  <c r="J306" i="5"/>
  <c r="F305" i="5"/>
  <c r="F304" i="5"/>
  <c r="H304" i="5"/>
  <c r="J304" i="5"/>
  <c r="K304" i="5"/>
  <c r="F303" i="5"/>
  <c r="F299" i="5"/>
  <c r="H299" i="5"/>
  <c r="F298" i="5"/>
  <c r="H298" i="5"/>
  <c r="F297" i="5"/>
  <c r="H297" i="5"/>
  <c r="J297" i="5"/>
  <c r="F295" i="5"/>
  <c r="F291" i="5"/>
  <c r="H291" i="5"/>
  <c r="F290" i="5"/>
  <c r="H290" i="5"/>
  <c r="J290" i="5"/>
  <c r="K290" i="5"/>
  <c r="F289" i="5"/>
  <c r="H289" i="5"/>
  <c r="K289" i="5"/>
  <c r="F288" i="5"/>
  <c r="H287" i="5"/>
  <c r="F283" i="5"/>
  <c r="H283" i="5"/>
  <c r="F282" i="5"/>
  <c r="H282" i="5"/>
  <c r="J282" i="5"/>
  <c r="K282" i="5"/>
  <c r="F281" i="5"/>
  <c r="K281" i="5"/>
  <c r="F280" i="5"/>
  <c r="H280" i="5"/>
  <c r="K280" i="5"/>
  <c r="F279" i="5"/>
  <c r="H279" i="5"/>
  <c r="F275" i="5"/>
  <c r="H275" i="5"/>
  <c r="F274" i="5"/>
  <c r="H274" i="5"/>
  <c r="F273" i="5"/>
  <c r="H273" i="5"/>
  <c r="F272" i="5"/>
  <c r="F271" i="5"/>
  <c r="H271" i="5"/>
  <c r="F267" i="5"/>
  <c r="H267" i="5"/>
  <c r="F266" i="5"/>
  <c r="F268" i="5" s="1"/>
  <c r="J266" i="5"/>
  <c r="F265" i="5"/>
  <c r="H265" i="5"/>
  <c r="F264" i="5"/>
  <c r="H264" i="5"/>
  <c r="K264" i="5"/>
  <c r="F260" i="5"/>
  <c r="H260" i="5"/>
  <c r="F259" i="5"/>
  <c r="F258" i="5"/>
  <c r="H258" i="5"/>
  <c r="K258" i="5"/>
  <c r="F254" i="5"/>
  <c r="H254" i="5"/>
  <c r="F253" i="5"/>
  <c r="F252" i="5"/>
  <c r="F255" i="5" s="1"/>
  <c r="H252" i="5"/>
  <c r="J252" i="5"/>
  <c r="F239" i="5"/>
  <c r="H239" i="5"/>
  <c r="H235" i="5"/>
  <c r="J235" i="5"/>
  <c r="F234" i="5"/>
  <c r="K234" i="5"/>
  <c r="K233" i="5"/>
  <c r="F232" i="5"/>
  <c r="H232" i="5"/>
  <c r="F231" i="5"/>
  <c r="K231" i="5"/>
  <c r="F230" i="5"/>
  <c r="H230" i="5"/>
  <c r="J230" i="5"/>
  <c r="H226" i="5"/>
  <c r="J226" i="5"/>
  <c r="F225" i="5"/>
  <c r="H225" i="5"/>
  <c r="F224" i="5"/>
  <c r="H224" i="5"/>
  <c r="F223" i="5"/>
  <c r="F221" i="5"/>
  <c r="J221" i="5"/>
  <c r="K221" i="5"/>
  <c r="F217" i="5"/>
  <c r="H217" i="5"/>
  <c r="F216" i="5"/>
  <c r="H216" i="5"/>
  <c r="F215" i="5"/>
  <c r="F218" i="5" s="1"/>
  <c r="H215" i="5"/>
  <c r="K215" i="5"/>
  <c r="F211" i="5"/>
  <c r="H211" i="5"/>
  <c r="F210" i="5"/>
  <c r="H210" i="5"/>
  <c r="J210" i="5"/>
  <c r="F209" i="5"/>
  <c r="K209" i="5"/>
  <c r="F205" i="5"/>
  <c r="H205" i="5"/>
  <c r="F204" i="5"/>
  <c r="J204" i="5"/>
  <c r="K204" i="5"/>
  <c r="F203" i="5"/>
  <c r="F206" i="5" s="1"/>
  <c r="J203" i="5"/>
  <c r="K199" i="5"/>
  <c r="F198" i="5"/>
  <c r="F194" i="5"/>
  <c r="H194" i="5"/>
  <c r="J194" i="5"/>
  <c r="H193" i="5"/>
  <c r="J193" i="5"/>
  <c r="F192" i="5"/>
  <c r="H192" i="5"/>
  <c r="H191" i="5"/>
  <c r="F190" i="5"/>
  <c r="H190" i="5"/>
  <c r="K190" i="5"/>
  <c r="F186" i="5"/>
  <c r="H186" i="5"/>
  <c r="F185" i="5"/>
  <c r="J185" i="5"/>
  <c r="F184" i="5"/>
  <c r="H184" i="5"/>
  <c r="J184" i="5"/>
  <c r="H180" i="5"/>
  <c r="J180" i="5"/>
  <c r="F179" i="5"/>
  <c r="H179" i="5"/>
  <c r="J179" i="5"/>
  <c r="F178" i="5"/>
  <c r="H178" i="5"/>
  <c r="K178" i="5"/>
  <c r="F177" i="5"/>
  <c r="J177" i="5"/>
  <c r="H173" i="5"/>
  <c r="J173" i="5"/>
  <c r="F172" i="5"/>
  <c r="H172" i="5"/>
  <c r="J172" i="5"/>
  <c r="J171" i="5"/>
  <c r="F170" i="5"/>
  <c r="H170" i="5"/>
  <c r="K170" i="5"/>
  <c r="H166" i="5"/>
  <c r="J166" i="5"/>
  <c r="F165" i="5"/>
  <c r="H165" i="5"/>
  <c r="J165" i="5"/>
  <c r="F164" i="5"/>
  <c r="L164" i="5" s="1"/>
  <c r="H164" i="5"/>
  <c r="J164" i="5"/>
  <c r="K164" i="5"/>
  <c r="F163" i="5"/>
  <c r="H163" i="5"/>
  <c r="J163" i="5"/>
  <c r="J167" i="5" s="1"/>
  <c r="G27" i="6" s="1"/>
  <c r="I74" i="7" s="1"/>
  <c r="J74" i="7" s="1"/>
  <c r="K163" i="5"/>
  <c r="F159" i="5"/>
  <c r="H159" i="5"/>
  <c r="F158" i="5"/>
  <c r="F160" i="5" s="1"/>
  <c r="E26" i="6" s="1"/>
  <c r="E73" i="7" s="1"/>
  <c r="H158" i="5"/>
  <c r="F157" i="5"/>
  <c r="K157" i="5"/>
  <c r="F152" i="5"/>
  <c r="H152" i="5"/>
  <c r="F147" i="5"/>
  <c r="H147" i="5"/>
  <c r="F143" i="5"/>
  <c r="F142" i="5"/>
  <c r="J142" i="5"/>
  <c r="K142" i="5"/>
  <c r="F141" i="5"/>
  <c r="H141" i="5"/>
  <c r="F140" i="5"/>
  <c r="F139" i="5"/>
  <c r="F144" i="5" s="1"/>
  <c r="J139" i="5"/>
  <c r="F138" i="5"/>
  <c r="H138" i="5"/>
  <c r="J138" i="5"/>
  <c r="F134" i="5"/>
  <c r="H134" i="5"/>
  <c r="J134" i="5"/>
  <c r="K134" i="5"/>
  <c r="F133" i="5"/>
  <c r="F132" i="5"/>
  <c r="H132" i="5"/>
  <c r="J131" i="5"/>
  <c r="F130" i="5"/>
  <c r="H130" i="5"/>
  <c r="K130" i="5"/>
  <c r="F129" i="5"/>
  <c r="H129" i="5"/>
  <c r="J129" i="5"/>
  <c r="K129" i="5"/>
  <c r="H121" i="5"/>
  <c r="J121" i="5"/>
  <c r="F120" i="5"/>
  <c r="H120" i="5"/>
  <c r="J120" i="5"/>
  <c r="K120" i="5"/>
  <c r="F119" i="5"/>
  <c r="H119" i="5"/>
  <c r="J119" i="5"/>
  <c r="K119" i="5"/>
  <c r="F118" i="5"/>
  <c r="H110" i="5"/>
  <c r="J110" i="5"/>
  <c r="F109" i="5"/>
  <c r="H109" i="5"/>
  <c r="F108" i="5"/>
  <c r="F107" i="5"/>
  <c r="H107" i="5"/>
  <c r="K107" i="5"/>
  <c r="F101" i="5"/>
  <c r="H101" i="5"/>
  <c r="H84" i="5"/>
  <c r="F83" i="5"/>
  <c r="F82" i="5"/>
  <c r="F81" i="5"/>
  <c r="F63" i="5"/>
  <c r="E12" i="6" s="1"/>
  <c r="E29" i="7" s="1"/>
  <c r="F62" i="5"/>
  <c r="H62" i="5"/>
  <c r="H63" i="5" s="1"/>
  <c r="F12" i="6" s="1"/>
  <c r="G29" i="7" s="1"/>
  <c r="J62" i="5"/>
  <c r="J63" i="5" s="1"/>
  <c r="G12" i="6" s="1"/>
  <c r="I29" i="7" s="1"/>
  <c r="F57" i="5"/>
  <c r="H57" i="5"/>
  <c r="F56" i="5"/>
  <c r="H56" i="5"/>
  <c r="F55" i="5"/>
  <c r="J55" i="5"/>
  <c r="K55" i="5"/>
  <c r="F52" i="5"/>
  <c r="E10" i="6" s="1"/>
  <c r="E12" i="7" s="1"/>
  <c r="F12" i="7" s="1"/>
  <c r="H52" i="5"/>
  <c r="F10" i="6" s="1"/>
  <c r="G12" i="7" s="1"/>
  <c r="H12" i="7" s="1"/>
  <c r="F51" i="5"/>
  <c r="H51" i="5"/>
  <c r="F50" i="5"/>
  <c r="H50" i="5"/>
  <c r="F49" i="5"/>
  <c r="H49" i="5"/>
  <c r="F48" i="5"/>
  <c r="H48" i="5"/>
  <c r="K48" i="5"/>
  <c r="F44" i="5"/>
  <c r="H44" i="5"/>
  <c r="F43" i="5"/>
  <c r="H43" i="5"/>
  <c r="F42" i="5"/>
  <c r="H42" i="5"/>
  <c r="K42" i="5"/>
  <c r="F41" i="5"/>
  <c r="H41" i="5"/>
  <c r="J41" i="5"/>
  <c r="K41" i="5"/>
  <c r="F40" i="5"/>
  <c r="H40" i="5"/>
  <c r="H45" i="5" s="1"/>
  <c r="F9" i="6" s="1"/>
  <c r="G10" i="7" s="1"/>
  <c r="H10" i="7" s="1"/>
  <c r="J40" i="5"/>
  <c r="F36" i="5"/>
  <c r="H36" i="5"/>
  <c r="J36" i="5"/>
  <c r="K36" i="5"/>
  <c r="F35" i="5"/>
  <c r="H35" i="5"/>
  <c r="J35" i="5"/>
  <c r="J37" i="5" s="1"/>
  <c r="G8" i="6" s="1"/>
  <c r="I9" i="7" s="1"/>
  <c r="K35" i="5"/>
  <c r="F30" i="5"/>
  <c r="H30" i="5"/>
  <c r="J30" i="5"/>
  <c r="K30" i="5"/>
  <c r="F29" i="5"/>
  <c r="H29" i="5"/>
  <c r="K29" i="5"/>
  <c r="F28" i="5"/>
  <c r="H28" i="5"/>
  <c r="J28" i="5"/>
  <c r="K28" i="5"/>
  <c r="F27" i="5"/>
  <c r="H27" i="5"/>
  <c r="J27" i="5"/>
  <c r="F26" i="5"/>
  <c r="H26" i="5"/>
  <c r="J26" i="5"/>
  <c r="K26" i="5"/>
  <c r="F25" i="5"/>
  <c r="H25" i="5"/>
  <c r="J25" i="5"/>
  <c r="K25" i="5"/>
  <c r="F24" i="5"/>
  <c r="H24" i="5"/>
  <c r="J24" i="5"/>
  <c r="K24" i="5"/>
  <c r="F23" i="5"/>
  <c r="H23" i="5"/>
  <c r="K23" i="5"/>
  <c r="F22" i="5"/>
  <c r="H22" i="5"/>
  <c r="J22" i="5"/>
  <c r="K22" i="5"/>
  <c r="F21" i="5"/>
  <c r="H21" i="5"/>
  <c r="J21" i="5"/>
  <c r="F17" i="5"/>
  <c r="F18" i="5" s="1"/>
  <c r="E6" i="6" s="1"/>
  <c r="E7" i="7" s="1"/>
  <c r="H17" i="5"/>
  <c r="H18" i="5" s="1"/>
  <c r="F6" i="6" s="1"/>
  <c r="G7" i="7" s="1"/>
  <c r="K17" i="5"/>
  <c r="F14" i="5"/>
  <c r="H14" i="5"/>
  <c r="F5" i="6" s="1"/>
  <c r="G6" i="7" s="1"/>
  <c r="H6" i="7" s="1"/>
  <c r="F13" i="5"/>
  <c r="H13" i="5"/>
  <c r="F11" i="5"/>
  <c r="H11" i="5"/>
  <c r="K11" i="5"/>
  <c r="F8" i="5"/>
  <c r="H8" i="5"/>
  <c r="F4" i="6" s="1"/>
  <c r="G5" i="7" s="1"/>
  <c r="F7" i="5"/>
  <c r="H7" i="5"/>
  <c r="F5" i="5"/>
  <c r="H5" i="5"/>
  <c r="J5" i="5"/>
  <c r="K5" i="5"/>
  <c r="F384" i="7"/>
  <c r="H384" i="7"/>
  <c r="J384" i="7"/>
  <c r="K384" i="7"/>
  <c r="J383" i="7"/>
  <c r="F382" i="7"/>
  <c r="H382" i="7"/>
  <c r="J382" i="7"/>
  <c r="K382" i="7"/>
  <c r="J381" i="7"/>
  <c r="F380" i="7"/>
  <c r="H380" i="7"/>
  <c r="J380" i="7"/>
  <c r="K380" i="7"/>
  <c r="J379" i="7"/>
  <c r="F357" i="7"/>
  <c r="F377" i="7" s="1"/>
  <c r="E18" i="8" s="1"/>
  <c r="F18" i="8" s="1"/>
  <c r="H357" i="7"/>
  <c r="H377" i="7" s="1"/>
  <c r="G18" i="8" s="1"/>
  <c r="H18" i="8" s="1"/>
  <c r="J357" i="7"/>
  <c r="J377" i="7" s="1"/>
  <c r="I18" i="8" s="1"/>
  <c r="J18" i="8" s="1"/>
  <c r="K357" i="7"/>
  <c r="J338" i="7"/>
  <c r="F337" i="7"/>
  <c r="H337" i="7"/>
  <c r="J337" i="7"/>
  <c r="K337" i="7"/>
  <c r="J336" i="7"/>
  <c r="F335" i="7"/>
  <c r="H335" i="7"/>
  <c r="J335" i="7"/>
  <c r="K335" i="7"/>
  <c r="H331" i="7"/>
  <c r="J329" i="7"/>
  <c r="F317" i="7"/>
  <c r="J300" i="7"/>
  <c r="F299" i="7"/>
  <c r="H299" i="7"/>
  <c r="K299" i="7"/>
  <c r="F297" i="7"/>
  <c r="H297" i="7"/>
  <c r="J297" i="7"/>
  <c r="K297" i="7"/>
  <c r="F296" i="7"/>
  <c r="J296" i="7"/>
  <c r="F269" i="7"/>
  <c r="J269" i="7"/>
  <c r="J289" i="7" s="1"/>
  <c r="I14" i="8" s="1"/>
  <c r="J14" i="8" s="1"/>
  <c r="F264" i="7"/>
  <c r="H264" i="7"/>
  <c r="J264" i="7"/>
  <c r="K264" i="7"/>
  <c r="F263" i="7"/>
  <c r="J263" i="7"/>
  <c r="H256" i="7"/>
  <c r="J256" i="7"/>
  <c r="J255" i="7"/>
  <c r="F254" i="7"/>
  <c r="J254" i="7"/>
  <c r="K254" i="7"/>
  <c r="J253" i="7"/>
  <c r="F252" i="7"/>
  <c r="H252" i="7"/>
  <c r="J252" i="7"/>
  <c r="K252" i="7"/>
  <c r="J251" i="7"/>
  <c r="F250" i="7"/>
  <c r="H250" i="7"/>
  <c r="J250" i="7"/>
  <c r="K250" i="7"/>
  <c r="J249" i="7"/>
  <c r="F248" i="7"/>
  <c r="H248" i="7"/>
  <c r="J248" i="7"/>
  <c r="K248" i="7"/>
  <c r="J244" i="7"/>
  <c r="F240" i="7"/>
  <c r="H240" i="7"/>
  <c r="J240" i="7"/>
  <c r="K240" i="7"/>
  <c r="J239" i="7"/>
  <c r="F238" i="7"/>
  <c r="H238" i="7"/>
  <c r="J238" i="7"/>
  <c r="K238" i="7"/>
  <c r="J237" i="7"/>
  <c r="F236" i="7"/>
  <c r="H236" i="7"/>
  <c r="J236" i="7"/>
  <c r="K236" i="7"/>
  <c r="J235" i="7"/>
  <c r="F234" i="7"/>
  <c r="H234" i="7"/>
  <c r="J234" i="7"/>
  <c r="K234" i="7"/>
  <c r="J233" i="7"/>
  <c r="F232" i="7"/>
  <c r="H232" i="7"/>
  <c r="J232" i="7"/>
  <c r="K232" i="7"/>
  <c r="J231" i="7"/>
  <c r="F230" i="7"/>
  <c r="H230" i="7"/>
  <c r="J230" i="7"/>
  <c r="K230" i="7"/>
  <c r="J229" i="7"/>
  <c r="J185" i="7"/>
  <c r="F137" i="7"/>
  <c r="H137" i="7"/>
  <c r="J137" i="7"/>
  <c r="K137" i="7"/>
  <c r="J114" i="7"/>
  <c r="F113" i="7"/>
  <c r="H113" i="7"/>
  <c r="J113" i="7"/>
  <c r="K113" i="7"/>
  <c r="J112" i="7"/>
  <c r="J100" i="7"/>
  <c r="F99" i="7"/>
  <c r="H99" i="7"/>
  <c r="J99" i="7"/>
  <c r="K99" i="7"/>
  <c r="J98" i="7"/>
  <c r="F95" i="7"/>
  <c r="H95" i="7"/>
  <c r="J95" i="7"/>
  <c r="K95" i="7"/>
  <c r="F93" i="7"/>
  <c r="H93" i="7"/>
  <c r="J93" i="7"/>
  <c r="K93" i="7"/>
  <c r="F91" i="7"/>
  <c r="H91" i="7"/>
  <c r="J91" i="7"/>
  <c r="K91" i="7"/>
  <c r="J90" i="7"/>
  <c r="F83" i="7"/>
  <c r="H83" i="7"/>
  <c r="J83" i="7"/>
  <c r="K83" i="7"/>
  <c r="F79" i="7"/>
  <c r="H79" i="7"/>
  <c r="J79" i="7"/>
  <c r="K79" i="7"/>
  <c r="F77" i="7"/>
  <c r="H77" i="7"/>
  <c r="J77" i="7"/>
  <c r="K77" i="7"/>
  <c r="F75" i="7"/>
  <c r="H75" i="7"/>
  <c r="J75" i="7"/>
  <c r="K75" i="7"/>
  <c r="J53" i="7"/>
  <c r="F52" i="7"/>
  <c r="H52" i="7"/>
  <c r="J52" i="7"/>
  <c r="K52" i="7"/>
  <c r="F29" i="7"/>
  <c r="H29" i="7"/>
  <c r="J29" i="7"/>
  <c r="K29" i="7"/>
  <c r="J28" i="7"/>
  <c r="F11" i="7"/>
  <c r="H11" i="7"/>
  <c r="J11" i="7"/>
  <c r="K11" i="7"/>
  <c r="J9" i="7"/>
  <c r="H7" i="7"/>
  <c r="J7" i="7"/>
  <c r="H5" i="7"/>
  <c r="F208" i="7" l="1"/>
  <c r="K7" i="7"/>
  <c r="F7" i="7"/>
  <c r="F73" i="7"/>
  <c r="F37" i="5"/>
  <c r="E8" i="6" s="1"/>
  <c r="E9" i="7" s="1"/>
  <c r="I283" i="5"/>
  <c r="J283" i="5" s="1"/>
  <c r="H699" i="5"/>
  <c r="F100" i="6" s="1"/>
  <c r="G243" i="7" s="1"/>
  <c r="H718" i="5"/>
  <c r="L439" i="5"/>
  <c r="J692" i="5"/>
  <c r="G99" i="6" s="1"/>
  <c r="I242" i="7" s="1"/>
  <c r="J242" i="7" s="1"/>
  <c r="J882" i="5"/>
  <c r="G131" i="6" s="1"/>
  <c r="I330" i="7" s="1"/>
  <c r="J330" i="7" s="1"/>
  <c r="F892" i="5"/>
  <c r="E180" i="5"/>
  <c r="F180" i="5" s="1"/>
  <c r="L180" i="5" s="1"/>
  <c r="L27" i="5"/>
  <c r="K158" i="5"/>
  <c r="J181" i="5"/>
  <c r="G29" i="6" s="1"/>
  <c r="I78" i="7" s="1"/>
  <c r="J78" i="7" s="1"/>
  <c r="H218" i="5"/>
  <c r="F35" i="6" s="1"/>
  <c r="G86" i="7" s="1"/>
  <c r="H86" i="7" s="1"/>
  <c r="K239" i="5"/>
  <c r="J340" i="5"/>
  <c r="J382" i="5"/>
  <c r="K422" i="5"/>
  <c r="K638" i="5"/>
  <c r="H692" i="5"/>
  <c r="F99" i="6" s="1"/>
  <c r="G242" i="7" s="1"/>
  <c r="H242" i="7" s="1"/>
  <c r="H742" i="5"/>
  <c r="K940" i="5"/>
  <c r="H1134" i="5"/>
  <c r="F175" i="6" s="1"/>
  <c r="I1133" i="5"/>
  <c r="J1133" i="5" s="1"/>
  <c r="H730" i="5"/>
  <c r="F105" i="6" s="1"/>
  <c r="G257" i="7" s="1"/>
  <c r="H257" i="7" s="1"/>
  <c r="J742" i="5"/>
  <c r="G107" i="6" s="1"/>
  <c r="I259" i="7" s="1"/>
  <c r="J259" i="7" s="1"/>
  <c r="I835" i="5"/>
  <c r="J835" i="5" s="1"/>
  <c r="J1047" i="5"/>
  <c r="G160" i="6" s="1"/>
  <c r="I248" i="5" s="1"/>
  <c r="J248" i="5" s="1"/>
  <c r="J249" i="5" s="1"/>
  <c r="G40" i="6" s="1"/>
  <c r="I94" i="7" s="1"/>
  <c r="J94" i="7" s="1"/>
  <c r="H1117" i="5"/>
  <c r="F172" i="6" s="1"/>
  <c r="G419" i="5" s="1"/>
  <c r="H419" i="5" s="1"/>
  <c r="L1127" i="5"/>
  <c r="K184" i="5"/>
  <c r="K186" i="5"/>
  <c r="H261" i="5"/>
  <c r="F42" i="6" s="1"/>
  <c r="G97" i="7" s="1"/>
  <c r="H97" i="7" s="1"/>
  <c r="K265" i="5"/>
  <c r="K271" i="5"/>
  <c r="K273" i="5"/>
  <c r="K312" i="5"/>
  <c r="K335" i="5"/>
  <c r="K345" i="5"/>
  <c r="K366" i="5"/>
  <c r="K368" i="5"/>
  <c r="K380" i="5"/>
  <c r="K430" i="5"/>
  <c r="K504" i="5"/>
  <c r="K523" i="5"/>
  <c r="K535" i="5"/>
  <c r="K600" i="5"/>
  <c r="K654" i="5"/>
  <c r="H736" i="5"/>
  <c r="E870" i="5"/>
  <c r="K870" i="5" s="1"/>
  <c r="K909" i="5"/>
  <c r="H947" i="5"/>
  <c r="F142" i="6" s="1"/>
  <c r="G90" i="5" s="1"/>
  <c r="H90" i="5" s="1"/>
  <c r="H1045" i="5"/>
  <c r="K1045" i="5"/>
  <c r="K1050" i="5"/>
  <c r="K1101" i="5"/>
  <c r="J577" i="5"/>
  <c r="G83" i="6" s="1"/>
  <c r="I214" i="7" s="1"/>
  <c r="J214" i="7" s="1"/>
  <c r="J941" i="5"/>
  <c r="G141" i="6" s="1"/>
  <c r="I89" i="5" s="1"/>
  <c r="J89" i="5" s="1"/>
  <c r="J1041" i="5"/>
  <c r="G159" i="6" s="1"/>
  <c r="I244" i="5" s="1"/>
  <c r="J244" i="5" s="1"/>
  <c r="J245" i="5" s="1"/>
  <c r="H37" i="5"/>
  <c r="F8" i="6" s="1"/>
  <c r="G9" i="7" s="1"/>
  <c r="H9" i="7" s="1"/>
  <c r="I50" i="5"/>
  <c r="J50" i="5" s="1"/>
  <c r="K83" i="5"/>
  <c r="K143" i="5"/>
  <c r="H167" i="5"/>
  <c r="F27" i="6" s="1"/>
  <c r="G74" i="7" s="1"/>
  <c r="H74" i="7" s="1"/>
  <c r="J303" i="5"/>
  <c r="J400" i="5"/>
  <c r="J612" i="5"/>
  <c r="L681" i="5"/>
  <c r="L739" i="5"/>
  <c r="L752" i="5"/>
  <c r="H363" i="5"/>
  <c r="F56" i="6" s="1"/>
  <c r="G140" i="7" s="1"/>
  <c r="J730" i="5"/>
  <c r="G105" i="6" s="1"/>
  <c r="I257" i="7" s="1"/>
  <c r="J257" i="7" s="1"/>
  <c r="J1102" i="5"/>
  <c r="G169" i="6" s="1"/>
  <c r="K179" i="5"/>
  <c r="E384" i="5"/>
  <c r="F384" i="5" s="1"/>
  <c r="E754" i="5"/>
  <c r="F754" i="5" s="1"/>
  <c r="L754" i="5" s="1"/>
  <c r="E735" i="5"/>
  <c r="J1134" i="5"/>
  <c r="G175" i="6" s="1"/>
  <c r="I456" i="5" s="1"/>
  <c r="J456" i="5" s="1"/>
  <c r="K194" i="5"/>
  <c r="K306" i="5"/>
  <c r="K329" i="5"/>
  <c r="K418" i="5"/>
  <c r="K444" i="5"/>
  <c r="K575" i="5"/>
  <c r="K633" i="5"/>
  <c r="K845" i="5"/>
  <c r="K868" i="5"/>
  <c r="K895" i="5"/>
  <c r="J1007" i="5"/>
  <c r="G153" i="6" s="1"/>
  <c r="I114" i="5" s="1"/>
  <c r="J114" i="5" s="1"/>
  <c r="K171" i="5"/>
  <c r="K582" i="5"/>
  <c r="K1034" i="5"/>
  <c r="K1083" i="5"/>
  <c r="K1120" i="5"/>
  <c r="K1074" i="5"/>
  <c r="K297" i="5"/>
  <c r="K665" i="5"/>
  <c r="K921" i="5"/>
  <c r="K945" i="5"/>
  <c r="K978" i="5"/>
  <c r="K987" i="5"/>
  <c r="K1033" i="5"/>
  <c r="K1057" i="5"/>
  <c r="K1071" i="5"/>
  <c r="K1115" i="5"/>
  <c r="K1127" i="5"/>
  <c r="K1137" i="5"/>
  <c r="H1145" i="5"/>
  <c r="F177" i="6" s="1"/>
  <c r="G471" i="5" s="1"/>
  <c r="H471" i="5" s="1"/>
  <c r="K231" i="7"/>
  <c r="K237" i="7"/>
  <c r="K251" i="7"/>
  <c r="K381" i="7"/>
  <c r="K338" i="7"/>
  <c r="H381" i="7"/>
  <c r="L381" i="7" s="1"/>
  <c r="K383" i="7"/>
  <c r="K255" i="7"/>
  <c r="K263" i="7"/>
  <c r="K28" i="7"/>
  <c r="K100" i="7"/>
  <c r="K112" i="7"/>
  <c r="H28" i="7"/>
  <c r="K53" i="7"/>
  <c r="K90" i="7"/>
  <c r="H100" i="7"/>
  <c r="L100" i="7" s="1"/>
  <c r="H112" i="7"/>
  <c r="L112" i="7" s="1"/>
  <c r="K114" i="7"/>
  <c r="H140" i="7"/>
  <c r="H231" i="7"/>
  <c r="L231" i="7" s="1"/>
  <c r="K233" i="7"/>
  <c r="H237" i="7"/>
  <c r="L237" i="7" s="1"/>
  <c r="K239" i="7"/>
  <c r="H243" i="7"/>
  <c r="H251" i="7"/>
  <c r="L251" i="7" s="1"/>
  <c r="K253" i="7"/>
  <c r="K300" i="7"/>
  <c r="L379" i="7"/>
  <c r="K98" i="7"/>
  <c r="K229" i="7"/>
  <c r="K235" i="7"/>
  <c r="K249" i="7"/>
  <c r="K269" i="7"/>
  <c r="K296" i="7"/>
  <c r="K379" i="7"/>
  <c r="L230" i="7"/>
  <c r="L233" i="7"/>
  <c r="K330" i="7"/>
  <c r="K256" i="7"/>
  <c r="L384" i="7"/>
  <c r="L383" i="7"/>
  <c r="L382" i="7"/>
  <c r="J399" i="7"/>
  <c r="I19" i="8" s="1"/>
  <c r="J19" i="8" s="1"/>
  <c r="L380" i="7"/>
  <c r="F399" i="7"/>
  <c r="E19" i="8" s="1"/>
  <c r="F19" i="8" s="1"/>
  <c r="L357" i="7"/>
  <c r="L377" i="7" s="1"/>
  <c r="J355" i="7"/>
  <c r="I17" i="8" s="1"/>
  <c r="J17" i="8" s="1"/>
  <c r="L338" i="7"/>
  <c r="L337" i="7"/>
  <c r="K336" i="7"/>
  <c r="H336" i="7"/>
  <c r="L336" i="7" s="1"/>
  <c r="L335" i="7"/>
  <c r="F355" i="7"/>
  <c r="E17" i="8" s="1"/>
  <c r="F17" i="8" s="1"/>
  <c r="L330" i="7"/>
  <c r="L300" i="7"/>
  <c r="L299" i="7"/>
  <c r="L297" i="7"/>
  <c r="L296" i="7"/>
  <c r="L269" i="7"/>
  <c r="L289" i="7" s="1"/>
  <c r="F289" i="7"/>
  <c r="E14" i="8" s="1"/>
  <c r="K14" i="8" s="1"/>
  <c r="L264" i="7"/>
  <c r="L263" i="7"/>
  <c r="L256" i="7"/>
  <c r="L255" i="7"/>
  <c r="L254" i="7"/>
  <c r="L253" i="7"/>
  <c r="L252" i="7"/>
  <c r="L250" i="7"/>
  <c r="L249" i="7"/>
  <c r="L248" i="7"/>
  <c r="L240" i="7"/>
  <c r="L239" i="7"/>
  <c r="L238" i="7"/>
  <c r="L236" i="7"/>
  <c r="L235" i="7"/>
  <c r="L234" i="7"/>
  <c r="L232" i="7"/>
  <c r="L229" i="7"/>
  <c r="L137" i="7"/>
  <c r="L114" i="7"/>
  <c r="L113" i="7"/>
  <c r="L99" i="7"/>
  <c r="L98" i="7"/>
  <c r="L95" i="7"/>
  <c r="L93" i="7"/>
  <c r="L91" i="7"/>
  <c r="L90" i="7"/>
  <c r="L83" i="7"/>
  <c r="L79" i="7"/>
  <c r="L77" i="7"/>
  <c r="L75" i="7"/>
  <c r="L53" i="7"/>
  <c r="L52" i="7"/>
  <c r="L29" i="7"/>
  <c r="L11" i="7"/>
  <c r="L7" i="7"/>
  <c r="K1186" i="5"/>
  <c r="L1186" i="5"/>
  <c r="F1187" i="5"/>
  <c r="E184" i="6" s="1"/>
  <c r="E773" i="5" s="1"/>
  <c r="F773" i="5" s="1"/>
  <c r="L1181" i="5"/>
  <c r="H1183" i="5"/>
  <c r="F183" i="6" s="1"/>
  <c r="G493" i="5" s="1"/>
  <c r="H493" i="5" s="1"/>
  <c r="K1180" i="5"/>
  <c r="L1180" i="5"/>
  <c r="J1183" i="5"/>
  <c r="G183" i="6" s="1"/>
  <c r="I499" i="5" s="1"/>
  <c r="J499" i="5" s="1"/>
  <c r="L1179" i="5"/>
  <c r="E1182" i="5"/>
  <c r="L1178" i="5"/>
  <c r="K1173" i="5"/>
  <c r="L1173" i="5"/>
  <c r="H1175" i="5"/>
  <c r="F182" i="6" s="1"/>
  <c r="G487" i="5" s="1"/>
  <c r="H487" i="5" s="1"/>
  <c r="E1174" i="5"/>
  <c r="L1172" i="5"/>
  <c r="K1167" i="5"/>
  <c r="F1167" i="5"/>
  <c r="L1167" i="5" s="1"/>
  <c r="I492" i="5"/>
  <c r="J492" i="5" s="1"/>
  <c r="I498" i="5"/>
  <c r="J498" i="5" s="1"/>
  <c r="H1169" i="5"/>
  <c r="F181" i="6" s="1"/>
  <c r="E1168" i="5"/>
  <c r="F1168" i="5" s="1"/>
  <c r="L1166" i="5"/>
  <c r="J1163" i="5"/>
  <c r="G180" i="6" s="1"/>
  <c r="I480" i="5" s="1"/>
  <c r="J480" i="5" s="1"/>
  <c r="H1163" i="5"/>
  <c r="F180" i="6" s="1"/>
  <c r="G480" i="5" s="1"/>
  <c r="H480" i="5" s="1"/>
  <c r="L1161" i="5"/>
  <c r="L1160" i="5"/>
  <c r="E1162" i="5"/>
  <c r="K1160" i="5"/>
  <c r="J1157" i="5"/>
  <c r="G179" i="6" s="1"/>
  <c r="I479" i="5" s="1"/>
  <c r="J479" i="5" s="1"/>
  <c r="K1155" i="5"/>
  <c r="H1155" i="5"/>
  <c r="L1155" i="5" s="1"/>
  <c r="H1157" i="5"/>
  <c r="F179" i="6" s="1"/>
  <c r="G479" i="5" s="1"/>
  <c r="H479" i="5" s="1"/>
  <c r="K1154" i="5"/>
  <c r="L1154" i="5"/>
  <c r="K1149" i="5"/>
  <c r="F1149" i="5"/>
  <c r="I1150" i="5"/>
  <c r="H1151" i="5"/>
  <c r="F178" i="6" s="1"/>
  <c r="G466" i="5" s="1"/>
  <c r="H466" i="5" s="1"/>
  <c r="L1148" i="5"/>
  <c r="I1144" i="5"/>
  <c r="J1144" i="5" s="1"/>
  <c r="L1143" i="5"/>
  <c r="K1142" i="5"/>
  <c r="J1145" i="5"/>
  <c r="G177" i="6" s="1"/>
  <c r="I445" i="5" s="1"/>
  <c r="J445" i="5" s="1"/>
  <c r="F1142" i="5"/>
  <c r="G457" i="5"/>
  <c r="H457" i="5" s="1"/>
  <c r="G443" i="5"/>
  <c r="H443" i="5" s="1"/>
  <c r="I1138" i="5"/>
  <c r="J1138" i="5" s="1"/>
  <c r="J1139" i="5" s="1"/>
  <c r="G176" i="6" s="1"/>
  <c r="L1137" i="5"/>
  <c r="F1139" i="5"/>
  <c r="G469" i="5"/>
  <c r="H469" i="5" s="1"/>
  <c r="G442" i="5"/>
  <c r="H442" i="5" s="1"/>
  <c r="G456" i="5"/>
  <c r="H456" i="5" s="1"/>
  <c r="L1132" i="5"/>
  <c r="L1134" i="5"/>
  <c r="J1129" i="5"/>
  <c r="G174" i="6" s="1"/>
  <c r="I438" i="5" s="1"/>
  <c r="J438" i="5" s="1"/>
  <c r="L1126" i="5"/>
  <c r="K1126" i="5"/>
  <c r="G438" i="5"/>
  <c r="H438" i="5" s="1"/>
  <c r="F1129" i="5"/>
  <c r="L1121" i="5"/>
  <c r="H1123" i="5"/>
  <c r="F173" i="6" s="1"/>
  <c r="G431" i="5" s="1"/>
  <c r="H431" i="5" s="1"/>
  <c r="I1122" i="5"/>
  <c r="J1122" i="5" s="1"/>
  <c r="J1123" i="5" s="1"/>
  <c r="F1120" i="5"/>
  <c r="F1115" i="5"/>
  <c r="J1117" i="5"/>
  <c r="G172" i="6" s="1"/>
  <c r="I419" i="5" s="1"/>
  <c r="J419" i="5" s="1"/>
  <c r="K1114" i="5"/>
  <c r="L1114" i="5"/>
  <c r="K1110" i="5"/>
  <c r="L1110" i="5"/>
  <c r="F1111" i="5"/>
  <c r="J1107" i="5"/>
  <c r="G170" i="6" s="1"/>
  <c r="I461" i="5" s="1"/>
  <c r="J461" i="5" s="1"/>
  <c r="H1107" i="5"/>
  <c r="F170" i="6" s="1"/>
  <c r="G432" i="5" s="1"/>
  <c r="L1105" i="5"/>
  <c r="H1101" i="5"/>
  <c r="L1101" i="5" s="1"/>
  <c r="H1102" i="5"/>
  <c r="F169" i="6" s="1"/>
  <c r="G425" i="5" s="1"/>
  <c r="H425" i="5" s="1"/>
  <c r="I413" i="5"/>
  <c r="J413" i="5" s="1"/>
  <c r="I472" i="5"/>
  <c r="J472" i="5" s="1"/>
  <c r="I433" i="5"/>
  <c r="J433" i="5" s="1"/>
  <c r="I460" i="5"/>
  <c r="J460" i="5" s="1"/>
  <c r="I425" i="5"/>
  <c r="J425" i="5" s="1"/>
  <c r="I446" i="5"/>
  <c r="J446" i="5" s="1"/>
  <c r="L1100" i="5"/>
  <c r="F1102" i="5"/>
  <c r="K1100" i="5"/>
  <c r="K1095" i="5"/>
  <c r="I1096" i="5"/>
  <c r="J1096" i="5" s="1"/>
  <c r="J1097" i="5" s="1"/>
  <c r="G168" i="6" s="1"/>
  <c r="H1097" i="5"/>
  <c r="F168" i="6" s="1"/>
  <c r="L1095" i="5"/>
  <c r="F1097" i="5"/>
  <c r="E168" i="6" s="1"/>
  <c r="K1090" i="5"/>
  <c r="H1090" i="5"/>
  <c r="L1090" i="5" s="1"/>
  <c r="I1091" i="5"/>
  <c r="J1091" i="5" s="1"/>
  <c r="J1092" i="5" s="1"/>
  <c r="G167" i="6" s="1"/>
  <c r="I408" i="5" s="1"/>
  <c r="J408" i="5" s="1"/>
  <c r="L1089" i="5"/>
  <c r="K1089" i="5"/>
  <c r="F1092" i="5"/>
  <c r="F1083" i="5"/>
  <c r="L1083" i="5" s="1"/>
  <c r="L1082" i="5"/>
  <c r="K1081" i="5"/>
  <c r="L1081" i="5"/>
  <c r="H1086" i="5"/>
  <c r="F166" i="6" s="1"/>
  <c r="G392" i="5" s="1"/>
  <c r="H392" i="5" s="1"/>
  <c r="I1084" i="5"/>
  <c r="J1084" i="5" s="1"/>
  <c r="J1086" i="5" s="1"/>
  <c r="G166" i="6" s="1"/>
  <c r="I392" i="5" s="1"/>
  <c r="J392" i="5" s="1"/>
  <c r="E1085" i="5"/>
  <c r="L1080" i="5"/>
  <c r="L1074" i="5"/>
  <c r="K1073" i="5"/>
  <c r="F1073" i="5"/>
  <c r="L1073" i="5" s="1"/>
  <c r="H1077" i="5"/>
  <c r="F165" i="6" s="1"/>
  <c r="G391" i="5" s="1"/>
  <c r="H391" i="5" s="1"/>
  <c r="L1072" i="5"/>
  <c r="K1072" i="5"/>
  <c r="L1071" i="5"/>
  <c r="I1075" i="5"/>
  <c r="J1075" i="5" s="1"/>
  <c r="J1077" i="5" s="1"/>
  <c r="G165" i="6" s="1"/>
  <c r="I391" i="5" s="1"/>
  <c r="J391" i="5" s="1"/>
  <c r="E1076" i="5"/>
  <c r="K1067" i="5"/>
  <c r="L1067" i="5"/>
  <c r="F1068" i="5"/>
  <c r="E164" i="6" s="1"/>
  <c r="E362" i="5" s="1"/>
  <c r="F362" i="5" s="1"/>
  <c r="L362" i="5" s="1"/>
  <c r="I1063" i="5"/>
  <c r="J1063" i="5" s="1"/>
  <c r="J1064" i="5" s="1"/>
  <c r="G163" i="6" s="1"/>
  <c r="H1064" i="5"/>
  <c r="F163" i="6" s="1"/>
  <c r="L1062" i="5"/>
  <c r="F1064" i="5"/>
  <c r="H1058" i="5"/>
  <c r="H1059" i="5" s="1"/>
  <c r="F162" i="6" s="1"/>
  <c r="G325" i="5" s="1"/>
  <c r="H325" i="5" s="1"/>
  <c r="L1058" i="5"/>
  <c r="L1057" i="5"/>
  <c r="F1059" i="5"/>
  <c r="L1056" i="5"/>
  <c r="J1053" i="5"/>
  <c r="G161" i="6" s="1"/>
  <c r="I317" i="5" s="1"/>
  <c r="J317" i="5" s="1"/>
  <c r="K1052" i="5"/>
  <c r="F1052" i="5"/>
  <c r="L1052" i="5" s="1"/>
  <c r="K1051" i="5"/>
  <c r="F1051" i="5"/>
  <c r="L1051" i="5" s="1"/>
  <c r="L1050" i="5"/>
  <c r="G311" i="5"/>
  <c r="H311" i="5" s="1"/>
  <c r="F1053" i="5"/>
  <c r="L1046" i="5"/>
  <c r="L1045" i="5"/>
  <c r="H1047" i="5"/>
  <c r="F1047" i="5"/>
  <c r="E160" i="6" s="1"/>
  <c r="E248" i="5" s="1"/>
  <c r="F248" i="5" s="1"/>
  <c r="L1044" i="5"/>
  <c r="L1040" i="5"/>
  <c r="H1041" i="5"/>
  <c r="K1040" i="5"/>
  <c r="K1039" i="5"/>
  <c r="L1039" i="5"/>
  <c r="F1041" i="5"/>
  <c r="E159" i="6" s="1"/>
  <c r="E244" i="5" s="1"/>
  <c r="F244" i="5" s="1"/>
  <c r="F245" i="5" s="1"/>
  <c r="E39" i="6" s="1"/>
  <c r="E92" i="7" s="1"/>
  <c r="F92" i="7" s="1"/>
  <c r="L92" i="7" s="1"/>
  <c r="L1038" i="5"/>
  <c r="L1034" i="5"/>
  <c r="F1033" i="5"/>
  <c r="L1028" i="5"/>
  <c r="I1029" i="5"/>
  <c r="J1029" i="5" s="1"/>
  <c r="J1030" i="5" s="1"/>
  <c r="G157" i="6" s="1"/>
  <c r="H1030" i="5"/>
  <c r="K1027" i="5"/>
  <c r="L1027" i="5"/>
  <c r="F1030" i="5"/>
  <c r="E157" i="6" s="1"/>
  <c r="J1024" i="5"/>
  <c r="G156" i="6" s="1"/>
  <c r="I125" i="5" s="1"/>
  <c r="J125" i="5" s="1"/>
  <c r="K1023" i="5"/>
  <c r="H1024" i="5"/>
  <c r="F156" i="6" s="1"/>
  <c r="G125" i="5" s="1"/>
  <c r="H125" i="5" s="1"/>
  <c r="L1023" i="5"/>
  <c r="L1022" i="5"/>
  <c r="E156" i="6"/>
  <c r="E125" i="5" s="1"/>
  <c r="F125" i="5" s="1"/>
  <c r="K1017" i="5"/>
  <c r="H1017" i="5"/>
  <c r="H1019" i="5" s="1"/>
  <c r="F155" i="6" s="1"/>
  <c r="G124" i="5" s="1"/>
  <c r="H124" i="5" s="1"/>
  <c r="I1018" i="5"/>
  <c r="J1018" i="5" s="1"/>
  <c r="J1019" i="5" s="1"/>
  <c r="G155" i="6" s="1"/>
  <c r="I124" i="5" s="1"/>
  <c r="J124" i="5" s="1"/>
  <c r="L1016" i="5"/>
  <c r="L1011" i="5"/>
  <c r="K1011" i="5"/>
  <c r="I1012" i="5"/>
  <c r="J1012" i="5" s="1"/>
  <c r="J1013" i="5" s="1"/>
  <c r="G154" i="6" s="1"/>
  <c r="I122" i="5" s="1"/>
  <c r="J122" i="5" s="1"/>
  <c r="H1013" i="5"/>
  <c r="F154" i="6" s="1"/>
  <c r="G122" i="5" s="1"/>
  <c r="H122" i="5" s="1"/>
  <c r="L1010" i="5"/>
  <c r="F1013" i="5"/>
  <c r="K1010" i="5"/>
  <c r="H1007" i="5"/>
  <c r="F153" i="6" s="1"/>
  <c r="G114" i="5" s="1"/>
  <c r="H114" i="5" s="1"/>
  <c r="K1006" i="5"/>
  <c r="F1006" i="5"/>
  <c r="L1006" i="5" s="1"/>
  <c r="K1005" i="5"/>
  <c r="L1005" i="5"/>
  <c r="L1000" i="5"/>
  <c r="K1000" i="5"/>
  <c r="J1002" i="5"/>
  <c r="G152" i="6" s="1"/>
  <c r="I113" i="5" s="1"/>
  <c r="J113" i="5" s="1"/>
  <c r="L999" i="5"/>
  <c r="H1002" i="5"/>
  <c r="F152" i="6" s="1"/>
  <c r="G113" i="5" s="1"/>
  <c r="H113" i="5" s="1"/>
  <c r="K999" i="5"/>
  <c r="F1002" i="5"/>
  <c r="K994" i="5"/>
  <c r="H994" i="5"/>
  <c r="L994" i="5" s="1"/>
  <c r="F996" i="5"/>
  <c r="E151" i="6" s="1"/>
  <c r="E123" i="5" s="1"/>
  <c r="F123" i="5" s="1"/>
  <c r="L993" i="5"/>
  <c r="H990" i="5"/>
  <c r="F150" i="6" s="1"/>
  <c r="G111" i="5" s="1"/>
  <c r="H111" i="5" s="1"/>
  <c r="L988" i="5"/>
  <c r="K988" i="5"/>
  <c r="I989" i="5"/>
  <c r="F987" i="5"/>
  <c r="K983" i="5"/>
  <c r="L984" i="5"/>
  <c r="L983" i="5"/>
  <c r="E149" i="6"/>
  <c r="E973" i="5" s="1"/>
  <c r="F973" i="5" s="1"/>
  <c r="L973" i="5" s="1"/>
  <c r="K973" i="5"/>
  <c r="F978" i="5"/>
  <c r="L978" i="5" s="1"/>
  <c r="J980" i="5"/>
  <c r="G148" i="6" s="1"/>
  <c r="I103" i="5" s="1"/>
  <c r="J103" i="5" s="1"/>
  <c r="J104" i="5" s="1"/>
  <c r="G19" i="6" s="1"/>
  <c r="I51" i="7" s="1"/>
  <c r="J51" i="7" s="1"/>
  <c r="K977" i="5"/>
  <c r="H980" i="5"/>
  <c r="L977" i="5"/>
  <c r="F980" i="5"/>
  <c r="E148" i="6" s="1"/>
  <c r="E103" i="5" s="1"/>
  <c r="F103" i="5" s="1"/>
  <c r="J974" i="5"/>
  <c r="G147" i="6" s="1"/>
  <c r="I102" i="5" s="1"/>
  <c r="J102" i="5" s="1"/>
  <c r="K972" i="5"/>
  <c r="H974" i="5"/>
  <c r="F147" i="6" s="1"/>
  <c r="G102" i="5" s="1"/>
  <c r="H102" i="5" s="1"/>
  <c r="F972" i="5"/>
  <c r="L972" i="5" s="1"/>
  <c r="K971" i="5"/>
  <c r="F971" i="5"/>
  <c r="L968" i="5"/>
  <c r="L967" i="5"/>
  <c r="K962" i="5"/>
  <c r="L962" i="5"/>
  <c r="I963" i="5"/>
  <c r="J963" i="5" s="1"/>
  <c r="J964" i="5" s="1"/>
  <c r="L961" i="5"/>
  <c r="H964" i="5"/>
  <c r="F145" i="6" s="1"/>
  <c r="G956" i="5" s="1"/>
  <c r="H956" i="5" s="1"/>
  <c r="K961" i="5"/>
  <c r="F964" i="5"/>
  <c r="E145" i="6" s="1"/>
  <c r="E956" i="5" s="1"/>
  <c r="L957" i="5"/>
  <c r="K957" i="5"/>
  <c r="K955" i="5"/>
  <c r="H958" i="5"/>
  <c r="F144" i="6" s="1"/>
  <c r="G97" i="5" s="1"/>
  <c r="H97" i="5" s="1"/>
  <c r="L955" i="5"/>
  <c r="K954" i="5"/>
  <c r="L954" i="5"/>
  <c r="K950" i="5"/>
  <c r="L950" i="5"/>
  <c r="F951" i="5"/>
  <c r="I946" i="5"/>
  <c r="J946" i="5" s="1"/>
  <c r="J947" i="5" s="1"/>
  <c r="L945" i="5"/>
  <c r="L944" i="5"/>
  <c r="F947" i="5"/>
  <c r="E142" i="6" s="1"/>
  <c r="E90" i="5" s="1"/>
  <c r="L940" i="5"/>
  <c r="H941" i="5"/>
  <c r="F141" i="6" s="1"/>
  <c r="G89" i="5" s="1"/>
  <c r="H89" i="5" s="1"/>
  <c r="L939" i="5"/>
  <c r="K938" i="5"/>
  <c r="L941" i="5"/>
  <c r="L938" i="5"/>
  <c r="E141" i="6"/>
  <c r="E89" i="5" s="1"/>
  <c r="F89" i="5" s="1"/>
  <c r="K933" i="5"/>
  <c r="F933" i="5"/>
  <c r="K932" i="5"/>
  <c r="H932" i="5"/>
  <c r="L932" i="5" s="1"/>
  <c r="J929" i="5"/>
  <c r="G139" i="6" s="1"/>
  <c r="I71" i="5" s="1"/>
  <c r="J71" i="5" s="1"/>
  <c r="L928" i="5"/>
  <c r="K928" i="5"/>
  <c r="K927" i="5"/>
  <c r="H929" i="5"/>
  <c r="F139" i="6" s="1"/>
  <c r="G71" i="5" s="1"/>
  <c r="H71" i="5" s="1"/>
  <c r="L927" i="5"/>
  <c r="K926" i="5"/>
  <c r="F926" i="5"/>
  <c r="L921" i="5"/>
  <c r="I922" i="5"/>
  <c r="J922" i="5" s="1"/>
  <c r="J923" i="5" s="1"/>
  <c r="G138" i="6" s="1"/>
  <c r="I67" i="5" s="1"/>
  <c r="J67" i="5" s="1"/>
  <c r="H923" i="5"/>
  <c r="L920" i="5"/>
  <c r="F923" i="5"/>
  <c r="E138" i="6" s="1"/>
  <c r="E67" i="5" s="1"/>
  <c r="F67" i="5" s="1"/>
  <c r="J917" i="5"/>
  <c r="G137" i="6" s="1"/>
  <c r="I88" i="5" s="1"/>
  <c r="J88" i="5" s="1"/>
  <c r="K916" i="5"/>
  <c r="F917" i="5"/>
  <c r="F916" i="5"/>
  <c r="L916" i="5" s="1"/>
  <c r="K915" i="5"/>
  <c r="H917" i="5"/>
  <c r="F137" i="6" s="1"/>
  <c r="G58" i="5" s="1"/>
  <c r="H58" i="5" s="1"/>
  <c r="H59" i="5" s="1"/>
  <c r="F11" i="6" s="1"/>
  <c r="G27" i="7" s="1"/>
  <c r="H27" i="7" s="1"/>
  <c r="L915" i="5"/>
  <c r="K914" i="5"/>
  <c r="L914" i="5"/>
  <c r="L910" i="5"/>
  <c r="H911" i="5"/>
  <c r="F136" i="6" s="1"/>
  <c r="G31" i="5" s="1"/>
  <c r="H31" i="5" s="1"/>
  <c r="H32" i="5" s="1"/>
  <c r="F7" i="6" s="1"/>
  <c r="G8" i="7" s="1"/>
  <c r="H8" i="7" s="1"/>
  <c r="H25" i="7" s="1"/>
  <c r="G6" i="8" s="1"/>
  <c r="H6" i="8" s="1"/>
  <c r="K910" i="5"/>
  <c r="J32" i="5"/>
  <c r="F911" i="5"/>
  <c r="E136" i="6" s="1"/>
  <c r="E31" i="5" s="1"/>
  <c r="L909" i="5"/>
  <c r="K905" i="5"/>
  <c r="H906" i="5"/>
  <c r="F135" i="6" s="1"/>
  <c r="G897" i="5" s="1"/>
  <c r="H897" i="5" s="1"/>
  <c r="L905" i="5"/>
  <c r="J903" i="5"/>
  <c r="J906" i="5" s="1"/>
  <c r="G135" i="6" s="1"/>
  <c r="I897" i="5" s="1"/>
  <c r="J897" i="5" s="1"/>
  <c r="E904" i="5"/>
  <c r="K904" i="5" s="1"/>
  <c r="L902" i="5"/>
  <c r="E12" i="5"/>
  <c r="F12" i="5" s="1"/>
  <c r="E6" i="5"/>
  <c r="F6" i="5" s="1"/>
  <c r="L896" i="5"/>
  <c r="G6" i="5"/>
  <c r="H6" i="5" s="1"/>
  <c r="G12" i="5"/>
  <c r="H12" i="5" s="1"/>
  <c r="L895" i="5"/>
  <c r="L891" i="5"/>
  <c r="H892" i="5"/>
  <c r="F133" i="6" s="1"/>
  <c r="G332" i="7" s="1"/>
  <c r="H332" i="7" s="1"/>
  <c r="L332" i="7" s="1"/>
  <c r="L892" i="5"/>
  <c r="L890" i="5"/>
  <c r="E133" i="6"/>
  <c r="E332" i="7" s="1"/>
  <c r="F332" i="7" s="1"/>
  <c r="L886" i="5"/>
  <c r="L885" i="5"/>
  <c r="L887" i="5"/>
  <c r="E132" i="6"/>
  <c r="E331" i="7" s="1"/>
  <c r="L881" i="5"/>
  <c r="L880" i="5"/>
  <c r="L882" i="5"/>
  <c r="L875" i="5"/>
  <c r="H877" i="5"/>
  <c r="F130" i="6" s="1"/>
  <c r="G329" i="7" s="1"/>
  <c r="H329" i="7" s="1"/>
  <c r="F876" i="5"/>
  <c r="L876" i="5" s="1"/>
  <c r="L874" i="5"/>
  <c r="J871" i="5"/>
  <c r="G129" i="6" s="1"/>
  <c r="I328" i="7" s="1"/>
  <c r="J328" i="7" s="1"/>
  <c r="H871" i="5"/>
  <c r="F129" i="6" s="1"/>
  <c r="G328" i="7" s="1"/>
  <c r="H328" i="7" s="1"/>
  <c r="L869" i="5"/>
  <c r="K869" i="5"/>
  <c r="F870" i="5"/>
  <c r="L868" i="5"/>
  <c r="J865" i="5"/>
  <c r="G128" i="6" s="1"/>
  <c r="I327" i="7" s="1"/>
  <c r="J327" i="7" s="1"/>
  <c r="K863" i="5"/>
  <c r="H865" i="5"/>
  <c r="F128" i="6" s="1"/>
  <c r="G327" i="7" s="1"/>
  <c r="H327" i="7" s="1"/>
  <c r="L863" i="5"/>
  <c r="L862" i="5"/>
  <c r="F865" i="5"/>
  <c r="K862" i="5"/>
  <c r="J859" i="5"/>
  <c r="G127" i="6" s="1"/>
  <c r="I326" i="7" s="1"/>
  <c r="J326" i="7" s="1"/>
  <c r="L857" i="5"/>
  <c r="K857" i="5"/>
  <c r="H859" i="5"/>
  <c r="E858" i="5"/>
  <c r="L856" i="5"/>
  <c r="K856" i="5"/>
  <c r="J853" i="5"/>
  <c r="G126" i="6" s="1"/>
  <c r="I325" i="7" s="1"/>
  <c r="J325" i="7" s="1"/>
  <c r="K852" i="5"/>
  <c r="H853" i="5"/>
  <c r="F126" i="6" s="1"/>
  <c r="G325" i="7" s="1"/>
  <c r="H325" i="7" s="1"/>
  <c r="L852" i="5"/>
  <c r="K851" i="5"/>
  <c r="F851" i="5"/>
  <c r="K846" i="5"/>
  <c r="I847" i="5"/>
  <c r="J847" i="5" s="1"/>
  <c r="J848" i="5" s="1"/>
  <c r="G125" i="6" s="1"/>
  <c r="I324" i="7" s="1"/>
  <c r="J324" i="7" s="1"/>
  <c r="H848" i="5"/>
  <c r="F125" i="6" s="1"/>
  <c r="G324" i="7" s="1"/>
  <c r="H324" i="7" s="1"/>
  <c r="L846" i="5"/>
  <c r="L845" i="5"/>
  <c r="F848" i="5"/>
  <c r="J840" i="5"/>
  <c r="L840" i="5" s="1"/>
  <c r="H842" i="5"/>
  <c r="F124" i="6" s="1"/>
  <c r="G323" i="7" s="1"/>
  <c r="H323" i="7" s="1"/>
  <c r="F842" i="5"/>
  <c r="E124" i="6" s="1"/>
  <c r="E323" i="7" s="1"/>
  <c r="K839" i="5"/>
  <c r="L839" i="5"/>
  <c r="I841" i="5"/>
  <c r="K834" i="5"/>
  <c r="H836" i="5"/>
  <c r="F123" i="6" s="1"/>
  <c r="G322" i="7" s="1"/>
  <c r="H322" i="7" s="1"/>
  <c r="J836" i="5"/>
  <c r="G123" i="6" s="1"/>
  <c r="I322" i="7" s="1"/>
  <c r="J322" i="7" s="1"/>
  <c r="F834" i="5"/>
  <c r="L834" i="5" s="1"/>
  <c r="K833" i="5"/>
  <c r="L833" i="5"/>
  <c r="K835" i="5"/>
  <c r="L835" i="5"/>
  <c r="F836" i="5"/>
  <c r="J830" i="5"/>
  <c r="G122" i="6" s="1"/>
  <c r="I321" i="7" s="1"/>
  <c r="J321" i="7" s="1"/>
  <c r="K829" i="5"/>
  <c r="H830" i="5"/>
  <c r="F122" i="6" s="1"/>
  <c r="G321" i="7" s="1"/>
  <c r="H321" i="7" s="1"/>
  <c r="L829" i="5"/>
  <c r="K828" i="5"/>
  <c r="F828" i="5"/>
  <c r="J825" i="5"/>
  <c r="G121" i="6" s="1"/>
  <c r="I320" i="7" s="1"/>
  <c r="J320" i="7" s="1"/>
  <c r="L824" i="5"/>
  <c r="H825" i="5"/>
  <c r="F121" i="6" s="1"/>
  <c r="G320" i="7" s="1"/>
  <c r="H320" i="7" s="1"/>
  <c r="K823" i="5"/>
  <c r="L823" i="5"/>
  <c r="F825" i="5"/>
  <c r="L818" i="5"/>
  <c r="J820" i="5"/>
  <c r="G120" i="6" s="1"/>
  <c r="I319" i="7" s="1"/>
  <c r="J319" i="7" s="1"/>
  <c r="L819" i="5"/>
  <c r="H820" i="5"/>
  <c r="K817" i="5"/>
  <c r="L817" i="5"/>
  <c r="F820" i="5"/>
  <c r="E120" i="6" s="1"/>
  <c r="E319" i="7" s="1"/>
  <c r="J814" i="5"/>
  <c r="G119" i="6" s="1"/>
  <c r="I318" i="7" s="1"/>
  <c r="J318" i="7" s="1"/>
  <c r="K813" i="5"/>
  <c r="H814" i="5"/>
  <c r="F119" i="6" s="1"/>
  <c r="G318" i="7" s="1"/>
  <c r="H318" i="7" s="1"/>
  <c r="L813" i="5"/>
  <c r="F814" i="5"/>
  <c r="E119" i="6" s="1"/>
  <c r="E318" i="7" s="1"/>
  <c r="F318" i="7" s="1"/>
  <c r="L318" i="7" s="1"/>
  <c r="K812" i="5"/>
  <c r="L812" i="5"/>
  <c r="K807" i="5"/>
  <c r="L807" i="5"/>
  <c r="I808" i="5"/>
  <c r="J808" i="5" s="1"/>
  <c r="J809" i="5" s="1"/>
  <c r="G118" i="6" s="1"/>
  <c r="I317" i="7" s="1"/>
  <c r="J317" i="7" s="1"/>
  <c r="H809" i="5"/>
  <c r="F118" i="6" s="1"/>
  <c r="G317" i="7" s="1"/>
  <c r="L806" i="5"/>
  <c r="L801" i="5"/>
  <c r="I802" i="5"/>
  <c r="J802" i="5" s="1"/>
  <c r="J803" i="5" s="1"/>
  <c r="G117" i="6" s="1"/>
  <c r="I316" i="7" s="1"/>
  <c r="J316" i="7" s="1"/>
  <c r="H803" i="5"/>
  <c r="F117" i="6" s="1"/>
  <c r="G316" i="7" s="1"/>
  <c r="H316" i="7" s="1"/>
  <c r="L800" i="5"/>
  <c r="F803" i="5"/>
  <c r="K800" i="5"/>
  <c r="K795" i="5"/>
  <c r="L795" i="5"/>
  <c r="F797" i="5"/>
  <c r="E116" i="6" s="1"/>
  <c r="E315" i="7" s="1"/>
  <c r="K794" i="5"/>
  <c r="I796" i="5"/>
  <c r="H797" i="5"/>
  <c r="L794" i="5"/>
  <c r="J791" i="5"/>
  <c r="G115" i="6" s="1"/>
  <c r="I314" i="7" s="1"/>
  <c r="J314" i="7" s="1"/>
  <c r="L789" i="5"/>
  <c r="K788" i="5"/>
  <c r="H791" i="5"/>
  <c r="F115" i="6" s="1"/>
  <c r="G314" i="7" s="1"/>
  <c r="H314" i="7" s="1"/>
  <c r="E790" i="5"/>
  <c r="F790" i="5" s="1"/>
  <c r="L788" i="5"/>
  <c r="J785" i="5"/>
  <c r="G114" i="6" s="1"/>
  <c r="I313" i="7" s="1"/>
  <c r="J313" i="7" s="1"/>
  <c r="K784" i="5"/>
  <c r="H785" i="5"/>
  <c r="F114" i="6" s="1"/>
  <c r="G313" i="7" s="1"/>
  <c r="H313" i="7" s="1"/>
  <c r="F784" i="5"/>
  <c r="L783" i="5"/>
  <c r="J780" i="5"/>
  <c r="G113" i="6" s="1"/>
  <c r="I293" i="7" s="1"/>
  <c r="J293" i="7" s="1"/>
  <c r="L779" i="5"/>
  <c r="K779" i="5"/>
  <c r="H778" i="5"/>
  <c r="H780" i="5" s="1"/>
  <c r="F113" i="6" s="1"/>
  <c r="G293" i="7" s="1"/>
  <c r="H293" i="7" s="1"/>
  <c r="F780" i="5"/>
  <c r="J775" i="5"/>
  <c r="G112" i="6" s="1"/>
  <c r="I292" i="7" s="1"/>
  <c r="J292" i="7" s="1"/>
  <c r="E774" i="5"/>
  <c r="K774" i="5" s="1"/>
  <c r="L772" i="5"/>
  <c r="K772" i="5"/>
  <c r="K771" i="5"/>
  <c r="L771" i="5"/>
  <c r="H768" i="5"/>
  <c r="F111" i="6" s="1"/>
  <c r="G291" i="7" s="1"/>
  <c r="H291" i="7" s="1"/>
  <c r="L766" i="5"/>
  <c r="K765" i="5"/>
  <c r="K767" i="5"/>
  <c r="J768" i="5"/>
  <c r="G111" i="6" s="1"/>
  <c r="I291" i="7" s="1"/>
  <c r="J291" i="7" s="1"/>
  <c r="F765" i="5"/>
  <c r="L765" i="5" s="1"/>
  <c r="L763" i="5"/>
  <c r="L767" i="5"/>
  <c r="J760" i="5"/>
  <c r="G110" i="6" s="1"/>
  <c r="I262" i="7" s="1"/>
  <c r="J262" i="7" s="1"/>
  <c r="L759" i="5"/>
  <c r="H760" i="5"/>
  <c r="F110" i="6" s="1"/>
  <c r="G262" i="7" s="1"/>
  <c r="H262" i="7" s="1"/>
  <c r="L758" i="5"/>
  <c r="K758" i="5"/>
  <c r="F760" i="5"/>
  <c r="K753" i="5"/>
  <c r="L753" i="5"/>
  <c r="H755" i="5"/>
  <c r="F109" i="6" s="1"/>
  <c r="G261" i="7" s="1"/>
  <c r="H261" i="7" s="1"/>
  <c r="L261" i="7" s="1"/>
  <c r="J755" i="5"/>
  <c r="G109" i="6" s="1"/>
  <c r="I261" i="7" s="1"/>
  <c r="J261" i="7" s="1"/>
  <c r="F755" i="5"/>
  <c r="E109" i="6" s="1"/>
  <c r="E261" i="7" s="1"/>
  <c r="F261" i="7" s="1"/>
  <c r="K751" i="5"/>
  <c r="L751" i="5"/>
  <c r="L747" i="5"/>
  <c r="J748" i="5"/>
  <c r="G108" i="6" s="1"/>
  <c r="I260" i="7" s="1"/>
  <c r="J260" i="7" s="1"/>
  <c r="K746" i="5"/>
  <c r="L746" i="5"/>
  <c r="H748" i="5"/>
  <c r="F108" i="6" s="1"/>
  <c r="G260" i="7" s="1"/>
  <c r="H260" i="7" s="1"/>
  <c r="K745" i="5"/>
  <c r="L745" i="5"/>
  <c r="F748" i="5"/>
  <c r="E108" i="6" s="1"/>
  <c r="E260" i="7" s="1"/>
  <c r="L740" i="5"/>
  <c r="E741" i="5"/>
  <c r="F741" i="5" s="1"/>
  <c r="L734" i="5"/>
  <c r="L733" i="5"/>
  <c r="L728" i="5"/>
  <c r="E729" i="5"/>
  <c r="L727" i="5"/>
  <c r="L723" i="5"/>
  <c r="J724" i="5"/>
  <c r="G104" i="6" s="1"/>
  <c r="I247" i="7" s="1"/>
  <c r="J247" i="7" s="1"/>
  <c r="K722" i="5"/>
  <c r="L722" i="5"/>
  <c r="H724" i="5"/>
  <c r="F104" i="6" s="1"/>
  <c r="G247" i="7" s="1"/>
  <c r="H247" i="7" s="1"/>
  <c r="K721" i="5"/>
  <c r="L721" i="5"/>
  <c r="L717" i="5"/>
  <c r="L716" i="5"/>
  <c r="K716" i="5"/>
  <c r="F718" i="5"/>
  <c r="E103" i="6" s="1"/>
  <c r="E246" i="7" s="1"/>
  <c r="F246" i="7" s="1"/>
  <c r="L246" i="7" s="1"/>
  <c r="L715" i="5"/>
  <c r="F712" i="5"/>
  <c r="E102" i="6" s="1"/>
  <c r="E245" i="7" s="1"/>
  <c r="F245" i="7" s="1"/>
  <c r="L245" i="7" s="1"/>
  <c r="K710" i="5"/>
  <c r="J712" i="5"/>
  <c r="G102" i="6" s="1"/>
  <c r="I245" i="7" s="1"/>
  <c r="J245" i="7" s="1"/>
  <c r="L710" i="5"/>
  <c r="L709" i="5"/>
  <c r="L705" i="5"/>
  <c r="F706" i="5"/>
  <c r="E101" i="6" s="1"/>
  <c r="E244" i="7" s="1"/>
  <c r="L704" i="5"/>
  <c r="L703" i="5"/>
  <c r="L702" i="5"/>
  <c r="H706" i="5"/>
  <c r="F101" i="6" s="1"/>
  <c r="K702" i="5"/>
  <c r="J699" i="5"/>
  <c r="G100" i="6" s="1"/>
  <c r="I243" i="7" s="1"/>
  <c r="J243" i="7" s="1"/>
  <c r="L697" i="5"/>
  <c r="F699" i="5"/>
  <c r="L696" i="5"/>
  <c r="L695" i="5"/>
  <c r="L690" i="5"/>
  <c r="K689" i="5"/>
  <c r="L689" i="5"/>
  <c r="K691" i="5"/>
  <c r="F692" i="5"/>
  <c r="L692" i="5" s="1"/>
  <c r="L688" i="5"/>
  <c r="J685" i="5"/>
  <c r="G98" i="6" s="1"/>
  <c r="I241" i="7" s="1"/>
  <c r="J241" i="7" s="1"/>
  <c r="L683" i="5"/>
  <c r="K682" i="5"/>
  <c r="L682" i="5"/>
  <c r="H685" i="5"/>
  <c r="F98" i="6" s="1"/>
  <c r="G241" i="7" s="1"/>
  <c r="H241" i="7" s="1"/>
  <c r="F685" i="5"/>
  <c r="K677" i="5"/>
  <c r="L677" i="5"/>
  <c r="L676" i="5"/>
  <c r="K676" i="5"/>
  <c r="L675" i="5"/>
  <c r="H678" i="5"/>
  <c r="F97" i="6" s="1"/>
  <c r="G228" i="7" s="1"/>
  <c r="H228" i="7" s="1"/>
  <c r="J678" i="5"/>
  <c r="G97" i="6" s="1"/>
  <c r="I228" i="7" s="1"/>
  <c r="J228" i="7" s="1"/>
  <c r="L674" i="5"/>
  <c r="K674" i="5"/>
  <c r="L672" i="5"/>
  <c r="E673" i="5"/>
  <c r="F673" i="5" s="1"/>
  <c r="L668" i="5"/>
  <c r="L667" i="5"/>
  <c r="J669" i="5"/>
  <c r="G96" i="6" s="1"/>
  <c r="I227" i="7" s="1"/>
  <c r="J227" i="7" s="1"/>
  <c r="K666" i="5"/>
  <c r="L666" i="5"/>
  <c r="H669" i="5"/>
  <c r="F96" i="6" s="1"/>
  <c r="G227" i="7" s="1"/>
  <c r="H227" i="7" s="1"/>
  <c r="L665" i="5"/>
  <c r="L663" i="5"/>
  <c r="E664" i="5"/>
  <c r="F664" i="5" s="1"/>
  <c r="K659" i="5"/>
  <c r="L659" i="5"/>
  <c r="H660" i="5"/>
  <c r="F95" i="6" s="1"/>
  <c r="G226" i="7" s="1"/>
  <c r="H226" i="7" s="1"/>
  <c r="L658" i="5"/>
  <c r="J660" i="5"/>
  <c r="G95" i="6" s="1"/>
  <c r="I226" i="7" s="1"/>
  <c r="J226" i="7" s="1"/>
  <c r="L657" i="5"/>
  <c r="K657" i="5"/>
  <c r="L656" i="5"/>
  <c r="L654" i="5"/>
  <c r="E655" i="5"/>
  <c r="K655" i="5" s="1"/>
  <c r="L650" i="5"/>
  <c r="K649" i="5"/>
  <c r="L649" i="5"/>
  <c r="K648" i="5"/>
  <c r="L648" i="5"/>
  <c r="J651" i="5"/>
  <c r="G94" i="6" s="1"/>
  <c r="I225" i="7" s="1"/>
  <c r="J225" i="7" s="1"/>
  <c r="H651" i="5"/>
  <c r="F94" i="6" s="1"/>
  <c r="G225" i="7" s="1"/>
  <c r="H225" i="7" s="1"/>
  <c r="L647" i="5"/>
  <c r="K647" i="5"/>
  <c r="L645" i="5"/>
  <c r="K640" i="5"/>
  <c r="L640" i="5"/>
  <c r="H642" i="5"/>
  <c r="F93" i="6" s="1"/>
  <c r="G224" i="7" s="1"/>
  <c r="H224" i="7" s="1"/>
  <c r="J642" i="5"/>
  <c r="G93" i="6" s="1"/>
  <c r="I224" i="7" s="1"/>
  <c r="J224" i="7" s="1"/>
  <c r="L639" i="5"/>
  <c r="E641" i="5"/>
  <c r="K641" i="5" s="1"/>
  <c r="L638" i="5"/>
  <c r="H635" i="5"/>
  <c r="F92" i="6" s="1"/>
  <c r="G223" i="7" s="1"/>
  <c r="H223" i="7" s="1"/>
  <c r="L633" i="5"/>
  <c r="L632" i="5"/>
  <c r="J635" i="5"/>
  <c r="G92" i="6" s="1"/>
  <c r="I223" i="7" s="1"/>
  <c r="J223" i="7" s="1"/>
  <c r="L631" i="5"/>
  <c r="F634" i="5"/>
  <c r="K626" i="5"/>
  <c r="E627" i="5"/>
  <c r="K627" i="5" s="1"/>
  <c r="L626" i="5"/>
  <c r="J628" i="5"/>
  <c r="G91" i="6" s="1"/>
  <c r="I222" i="7" s="1"/>
  <c r="J222" i="7" s="1"/>
  <c r="H628" i="5"/>
  <c r="F91" i="6" s="1"/>
  <c r="G222" i="7" s="1"/>
  <c r="H222" i="7" s="1"/>
  <c r="L625" i="5"/>
  <c r="K625" i="5"/>
  <c r="L624" i="5"/>
  <c r="K624" i="5"/>
  <c r="L619" i="5"/>
  <c r="K619" i="5"/>
  <c r="E620" i="5"/>
  <c r="F620" i="5" s="1"/>
  <c r="L620" i="5" s="1"/>
  <c r="J621" i="5"/>
  <c r="G90" i="6" s="1"/>
  <c r="I221" i="7" s="1"/>
  <c r="J221" i="7" s="1"/>
  <c r="H621" i="5"/>
  <c r="F90" i="6" s="1"/>
  <c r="G221" i="7" s="1"/>
  <c r="H221" i="7" s="1"/>
  <c r="F621" i="5"/>
  <c r="E90" i="6" s="1"/>
  <c r="E221" i="7" s="1"/>
  <c r="F221" i="7" s="1"/>
  <c r="L221" i="7" s="1"/>
  <c r="L618" i="5"/>
  <c r="K618" i="5"/>
  <c r="K617" i="5"/>
  <c r="L617" i="5"/>
  <c r="J614" i="5"/>
  <c r="G89" i="6" s="1"/>
  <c r="I220" i="7" s="1"/>
  <c r="J220" i="7" s="1"/>
  <c r="L612" i="5"/>
  <c r="K613" i="5"/>
  <c r="L611" i="5"/>
  <c r="F614" i="5"/>
  <c r="E89" i="6" s="1"/>
  <c r="E220" i="7" s="1"/>
  <c r="L606" i="5"/>
  <c r="J608" i="5"/>
  <c r="G88" i="6" s="1"/>
  <c r="I219" i="7" s="1"/>
  <c r="J219" i="7" s="1"/>
  <c r="F608" i="5"/>
  <c r="K607" i="5"/>
  <c r="H608" i="5"/>
  <c r="F88" i="6" s="1"/>
  <c r="G219" i="7" s="1"/>
  <c r="H219" i="7" s="1"/>
  <c r="K605" i="5"/>
  <c r="L605" i="5"/>
  <c r="E601" i="5"/>
  <c r="F601" i="5" s="1"/>
  <c r="L601" i="5" s="1"/>
  <c r="L600" i="5"/>
  <c r="J602" i="5"/>
  <c r="G87" i="6" s="1"/>
  <c r="I218" i="7" s="1"/>
  <c r="J218" i="7" s="1"/>
  <c r="K599" i="5"/>
  <c r="H602" i="5"/>
  <c r="F87" i="6" s="1"/>
  <c r="G218" i="7" s="1"/>
  <c r="H218" i="7" s="1"/>
  <c r="L599" i="5"/>
  <c r="K598" i="5"/>
  <c r="F598" i="5"/>
  <c r="L594" i="5"/>
  <c r="J595" i="5"/>
  <c r="G86" i="6" s="1"/>
  <c r="I217" i="7" s="1"/>
  <c r="J217" i="7" s="1"/>
  <c r="H595" i="5"/>
  <c r="F86" i="6" s="1"/>
  <c r="G217" i="7" s="1"/>
  <c r="H217" i="7" s="1"/>
  <c r="L593" i="5"/>
  <c r="K592" i="5"/>
  <c r="L592" i="5"/>
  <c r="F595" i="5"/>
  <c r="E86" i="6" s="1"/>
  <c r="E217" i="7" s="1"/>
  <c r="F217" i="7" s="1"/>
  <c r="L217" i="7" s="1"/>
  <c r="J589" i="5"/>
  <c r="G85" i="6" s="1"/>
  <c r="I216" i="7" s="1"/>
  <c r="J216" i="7" s="1"/>
  <c r="L588" i="5"/>
  <c r="L587" i="5"/>
  <c r="H589" i="5"/>
  <c r="F85" i="6" s="1"/>
  <c r="G216" i="7" s="1"/>
  <c r="H216" i="7" s="1"/>
  <c r="F589" i="5"/>
  <c r="E85" i="6" s="1"/>
  <c r="E216" i="7" s="1"/>
  <c r="L586" i="5"/>
  <c r="F582" i="5"/>
  <c r="L582" i="5" s="1"/>
  <c r="J583" i="5"/>
  <c r="G84" i="6" s="1"/>
  <c r="I215" i="7" s="1"/>
  <c r="J215" i="7" s="1"/>
  <c r="K581" i="5"/>
  <c r="H583" i="5"/>
  <c r="F84" i="6" s="1"/>
  <c r="G215" i="7" s="1"/>
  <c r="H215" i="7" s="1"/>
  <c r="L581" i="5"/>
  <c r="L580" i="5"/>
  <c r="F583" i="5"/>
  <c r="K576" i="5"/>
  <c r="H577" i="5"/>
  <c r="F83" i="6" s="1"/>
  <c r="G214" i="7" s="1"/>
  <c r="H214" i="7" s="1"/>
  <c r="L576" i="5"/>
  <c r="L575" i="5"/>
  <c r="F577" i="5"/>
  <c r="J572" i="5"/>
  <c r="G82" i="6" s="1"/>
  <c r="I213" i="7" s="1"/>
  <c r="J213" i="7" s="1"/>
  <c r="H572" i="5"/>
  <c r="F82" i="6" s="1"/>
  <c r="G213" i="7" s="1"/>
  <c r="H213" i="7" s="1"/>
  <c r="L213" i="7" s="1"/>
  <c r="L571" i="5"/>
  <c r="L570" i="5"/>
  <c r="F572" i="5"/>
  <c r="E82" i="6" s="1"/>
  <c r="E213" i="7" s="1"/>
  <c r="F213" i="7" s="1"/>
  <c r="K566" i="5"/>
  <c r="H567" i="5"/>
  <c r="F81" i="6" s="1"/>
  <c r="G212" i="7" s="1"/>
  <c r="H212" i="7" s="1"/>
  <c r="L566" i="5"/>
  <c r="J567" i="5"/>
  <c r="G81" i="6" s="1"/>
  <c r="I212" i="7" s="1"/>
  <c r="J212" i="7" s="1"/>
  <c r="L565" i="5"/>
  <c r="F567" i="5"/>
  <c r="L564" i="5"/>
  <c r="L560" i="5"/>
  <c r="J561" i="5"/>
  <c r="G80" i="6" s="1"/>
  <c r="I211" i="7" s="1"/>
  <c r="J211" i="7" s="1"/>
  <c r="L559" i="5"/>
  <c r="H561" i="5"/>
  <c r="F80" i="6" s="1"/>
  <c r="G211" i="7" s="1"/>
  <c r="H211" i="7" s="1"/>
  <c r="K558" i="5"/>
  <c r="L558" i="5"/>
  <c r="K554" i="5"/>
  <c r="L554" i="5"/>
  <c r="J555" i="5"/>
  <c r="G79" i="6" s="1"/>
  <c r="I210" i="7" s="1"/>
  <c r="J210" i="7" s="1"/>
  <c r="H555" i="5"/>
  <c r="F79" i="6" s="1"/>
  <c r="G210" i="7" s="1"/>
  <c r="H210" i="7" s="1"/>
  <c r="L553" i="5"/>
  <c r="F555" i="5"/>
  <c r="E79" i="6" s="1"/>
  <c r="E210" i="7" s="1"/>
  <c r="K552" i="5"/>
  <c r="L552" i="5"/>
  <c r="L548" i="5"/>
  <c r="F549" i="5"/>
  <c r="E78" i="6" s="1"/>
  <c r="E209" i="7" s="1"/>
  <c r="F209" i="7" s="1"/>
  <c r="L209" i="7" s="1"/>
  <c r="K548" i="5"/>
  <c r="J549" i="5"/>
  <c r="G78" i="6" s="1"/>
  <c r="I209" i="7" s="1"/>
  <c r="J209" i="7" s="1"/>
  <c r="H549" i="5"/>
  <c r="F78" i="6" s="1"/>
  <c r="G209" i="7" s="1"/>
  <c r="H209" i="7" s="1"/>
  <c r="L547" i="5"/>
  <c r="K546" i="5"/>
  <c r="L546" i="5"/>
  <c r="L542" i="5"/>
  <c r="L541" i="5"/>
  <c r="J543" i="5"/>
  <c r="G77" i="6" s="1"/>
  <c r="I208" i="7" s="1"/>
  <c r="J208" i="7" s="1"/>
  <c r="H543" i="5"/>
  <c r="F77" i="6" s="1"/>
  <c r="G208" i="7" s="1"/>
  <c r="H208" i="7" s="1"/>
  <c r="L208" i="7" s="1"/>
  <c r="K540" i="5"/>
  <c r="L540" i="5"/>
  <c r="L536" i="5"/>
  <c r="J537" i="5"/>
  <c r="G76" i="6" s="1"/>
  <c r="I207" i="7" s="1"/>
  <c r="J207" i="7" s="1"/>
  <c r="L535" i="5"/>
  <c r="H537" i="5"/>
  <c r="F76" i="6" s="1"/>
  <c r="G207" i="7" s="1"/>
  <c r="H207" i="7" s="1"/>
  <c r="K534" i="5"/>
  <c r="L534" i="5"/>
  <c r="F537" i="5"/>
  <c r="K530" i="5"/>
  <c r="L530" i="5"/>
  <c r="J531" i="5"/>
  <c r="G75" i="6" s="1"/>
  <c r="I206" i="7" s="1"/>
  <c r="J206" i="7" s="1"/>
  <c r="L529" i="5"/>
  <c r="H531" i="5"/>
  <c r="F75" i="6" s="1"/>
  <c r="G206" i="7" s="1"/>
  <c r="H206" i="7" s="1"/>
  <c r="L528" i="5"/>
  <c r="F531" i="5"/>
  <c r="L524" i="5"/>
  <c r="J525" i="5"/>
  <c r="G74" i="6" s="1"/>
  <c r="I205" i="7" s="1"/>
  <c r="J205" i="7" s="1"/>
  <c r="L523" i="5"/>
  <c r="H525" i="5"/>
  <c r="F74" i="6" s="1"/>
  <c r="G205" i="7" s="1"/>
  <c r="H205" i="7" s="1"/>
  <c r="L522" i="5"/>
  <c r="F525" i="5"/>
  <c r="E74" i="6" s="1"/>
  <c r="E205" i="7" s="1"/>
  <c r="F205" i="7" s="1"/>
  <c r="K522" i="5"/>
  <c r="K518" i="5"/>
  <c r="F518" i="5"/>
  <c r="J519" i="5"/>
  <c r="G73" i="6" s="1"/>
  <c r="I204" i="7" s="1"/>
  <c r="J204" i="7" s="1"/>
  <c r="K517" i="5"/>
  <c r="L517" i="5"/>
  <c r="H519" i="5"/>
  <c r="F73" i="6" s="1"/>
  <c r="G204" i="7" s="1"/>
  <c r="H204" i="7" s="1"/>
  <c r="L516" i="5"/>
  <c r="K512" i="5"/>
  <c r="F512" i="5"/>
  <c r="L512" i="5" s="1"/>
  <c r="K511" i="5"/>
  <c r="J513" i="5"/>
  <c r="G72" i="6" s="1"/>
  <c r="I203" i="7" s="1"/>
  <c r="J203" i="7" s="1"/>
  <c r="J267" i="7" s="1"/>
  <c r="I13" i="8" s="1"/>
  <c r="J13" i="8" s="1"/>
  <c r="H513" i="5"/>
  <c r="F72" i="6" s="1"/>
  <c r="G203" i="7" s="1"/>
  <c r="H203" i="7" s="1"/>
  <c r="L511" i="5"/>
  <c r="L510" i="5"/>
  <c r="F513" i="5"/>
  <c r="L504" i="5"/>
  <c r="K506" i="5"/>
  <c r="H506" i="5"/>
  <c r="H507" i="5" s="1"/>
  <c r="F71" i="6" s="1"/>
  <c r="G185" i="7" s="1"/>
  <c r="H185" i="7" s="1"/>
  <c r="E505" i="5"/>
  <c r="L503" i="5"/>
  <c r="K497" i="5"/>
  <c r="L497" i="5"/>
  <c r="K491" i="5"/>
  <c r="L491" i="5"/>
  <c r="J488" i="5"/>
  <c r="G68" i="6" s="1"/>
  <c r="I182" i="7" s="1"/>
  <c r="J182" i="7" s="1"/>
  <c r="L486" i="5"/>
  <c r="L484" i="5"/>
  <c r="J481" i="5"/>
  <c r="G67" i="6" s="1"/>
  <c r="I181" i="7" s="1"/>
  <c r="J181" i="7" s="1"/>
  <c r="L478" i="5"/>
  <c r="K478" i="5"/>
  <c r="K477" i="5"/>
  <c r="L477" i="5"/>
  <c r="L470" i="5"/>
  <c r="K468" i="5"/>
  <c r="L468" i="5"/>
  <c r="L467" i="5"/>
  <c r="K465" i="5"/>
  <c r="L465" i="5"/>
  <c r="K458" i="5"/>
  <c r="L458" i="5"/>
  <c r="K455" i="5"/>
  <c r="L455" i="5"/>
  <c r="L454" i="5"/>
  <c r="L453" i="5"/>
  <c r="L451" i="5"/>
  <c r="K451" i="5"/>
  <c r="L444" i="5"/>
  <c r="L441" i="5"/>
  <c r="L440" i="5"/>
  <c r="K439" i="5"/>
  <c r="K437" i="5"/>
  <c r="L437" i="5"/>
  <c r="L430" i="5"/>
  <c r="K424" i="5"/>
  <c r="L424" i="5"/>
  <c r="L422" i="5"/>
  <c r="L421" i="5"/>
  <c r="L420" i="5"/>
  <c r="L418" i="5"/>
  <c r="L412" i="5"/>
  <c r="K412" i="5"/>
  <c r="L410" i="5"/>
  <c r="L409" i="5"/>
  <c r="K407" i="5"/>
  <c r="L407" i="5"/>
  <c r="K402" i="5"/>
  <c r="L402" i="5"/>
  <c r="K401" i="5"/>
  <c r="E403" i="5"/>
  <c r="F403" i="5" s="1"/>
  <c r="L403" i="5" s="1"/>
  <c r="F401" i="5"/>
  <c r="L401" i="5" s="1"/>
  <c r="J404" i="5"/>
  <c r="G60" i="6" s="1"/>
  <c r="I144" i="7" s="1"/>
  <c r="J144" i="7" s="1"/>
  <c r="H404" i="5"/>
  <c r="F60" i="6" s="1"/>
  <c r="G144" i="7" s="1"/>
  <c r="H144" i="7" s="1"/>
  <c r="L400" i="5"/>
  <c r="K398" i="5"/>
  <c r="L398" i="5"/>
  <c r="F404" i="5"/>
  <c r="E60" i="6" s="1"/>
  <c r="E144" i="7" s="1"/>
  <c r="F144" i="7" s="1"/>
  <c r="L144" i="7" s="1"/>
  <c r="K394" i="5"/>
  <c r="L394" i="5"/>
  <c r="K393" i="5"/>
  <c r="F393" i="5"/>
  <c r="L393" i="5" s="1"/>
  <c r="L390" i="5"/>
  <c r="H395" i="5"/>
  <c r="F59" i="6" s="1"/>
  <c r="G143" i="7" s="1"/>
  <c r="H143" i="7" s="1"/>
  <c r="K389" i="5"/>
  <c r="F389" i="5"/>
  <c r="L388" i="5"/>
  <c r="K383" i="5"/>
  <c r="L383" i="5"/>
  <c r="L382" i="5"/>
  <c r="L381" i="5"/>
  <c r="L380" i="5"/>
  <c r="L379" i="5"/>
  <c r="K379" i="5"/>
  <c r="J385" i="5"/>
  <c r="G58" i="6" s="1"/>
  <c r="I142" i="7" s="1"/>
  <c r="J142" i="7" s="1"/>
  <c r="K378" i="5"/>
  <c r="K384" i="5"/>
  <c r="H385" i="5"/>
  <c r="F58" i="6" s="1"/>
  <c r="G142" i="7" s="1"/>
  <c r="H142" i="7" s="1"/>
  <c r="L378" i="5"/>
  <c r="L384" i="5"/>
  <c r="F385" i="5"/>
  <c r="K377" i="5"/>
  <c r="L377" i="5"/>
  <c r="K372" i="5"/>
  <c r="E373" i="5"/>
  <c r="K373" i="5" s="1"/>
  <c r="L372" i="5"/>
  <c r="K371" i="5"/>
  <c r="L371" i="5"/>
  <c r="L370" i="5"/>
  <c r="K370" i="5"/>
  <c r="L369" i="5"/>
  <c r="L368" i="5"/>
  <c r="K367" i="5"/>
  <c r="J374" i="5"/>
  <c r="G57" i="6" s="1"/>
  <c r="I141" i="7" s="1"/>
  <c r="J141" i="7" s="1"/>
  <c r="H374" i="5"/>
  <c r="F57" i="6" s="1"/>
  <c r="G141" i="7" s="1"/>
  <c r="H141" i="7" s="1"/>
  <c r="L367" i="5"/>
  <c r="L366" i="5"/>
  <c r="J363" i="5"/>
  <c r="G56" i="6" s="1"/>
  <c r="I140" i="7" s="1"/>
  <c r="J140" i="7" s="1"/>
  <c r="K361" i="5"/>
  <c r="F361" i="5"/>
  <c r="K355" i="5"/>
  <c r="L355" i="5"/>
  <c r="F356" i="5"/>
  <c r="L349" i="5"/>
  <c r="K350" i="5"/>
  <c r="F350" i="5"/>
  <c r="L345" i="5"/>
  <c r="L343" i="5"/>
  <c r="K343" i="5"/>
  <c r="E344" i="5"/>
  <c r="F344" i="5" s="1"/>
  <c r="L344" i="5" s="1"/>
  <c r="K342" i="5"/>
  <c r="H346" i="5"/>
  <c r="F53" i="6" s="1"/>
  <c r="G111" i="7" s="1"/>
  <c r="H111" i="7" s="1"/>
  <c r="L342" i="5"/>
  <c r="J346" i="5"/>
  <c r="G53" i="6" s="1"/>
  <c r="I111" i="7" s="1"/>
  <c r="J111" i="7" s="1"/>
  <c r="K341" i="5"/>
  <c r="L341" i="5"/>
  <c r="L340" i="5"/>
  <c r="L339" i="5"/>
  <c r="L335" i="5"/>
  <c r="L333" i="5"/>
  <c r="K333" i="5"/>
  <c r="L332" i="5"/>
  <c r="J336" i="5"/>
  <c r="G52" i="6" s="1"/>
  <c r="I110" i="7" s="1"/>
  <c r="J110" i="7" s="1"/>
  <c r="L331" i="5"/>
  <c r="K330" i="5"/>
  <c r="L330" i="5"/>
  <c r="H336" i="5"/>
  <c r="F52" i="6" s="1"/>
  <c r="G110" i="7" s="1"/>
  <c r="H110" i="7" s="1"/>
  <c r="E334" i="5"/>
  <c r="F334" i="5" s="1"/>
  <c r="L334" i="5" s="1"/>
  <c r="L329" i="5"/>
  <c r="J326" i="5"/>
  <c r="G51" i="6" s="1"/>
  <c r="I109" i="7" s="1"/>
  <c r="J109" i="7" s="1"/>
  <c r="K324" i="5"/>
  <c r="H324" i="5"/>
  <c r="L324" i="5" s="1"/>
  <c r="L319" i="5"/>
  <c r="J321" i="5"/>
  <c r="G50" i="6" s="1"/>
  <c r="I108" i="7" s="1"/>
  <c r="J108" i="7" s="1"/>
  <c r="L318" i="5"/>
  <c r="G320" i="5"/>
  <c r="H314" i="5"/>
  <c r="F49" i="6" s="1"/>
  <c r="G107" i="7" s="1"/>
  <c r="H107" i="7" s="1"/>
  <c r="L313" i="5"/>
  <c r="K313" i="5"/>
  <c r="L312" i="5"/>
  <c r="J308" i="5"/>
  <c r="G48" i="6" s="1"/>
  <c r="I106" i="7" s="1"/>
  <c r="J106" i="7" s="1"/>
  <c r="E307" i="5"/>
  <c r="K307" i="5" s="1"/>
  <c r="L306" i="5"/>
  <c r="K305" i="5"/>
  <c r="L305" i="5"/>
  <c r="L304" i="5"/>
  <c r="H308" i="5"/>
  <c r="F48" i="6" s="1"/>
  <c r="G106" i="7" s="1"/>
  <c r="H106" i="7" s="1"/>
  <c r="F307" i="5"/>
  <c r="L307" i="5" s="1"/>
  <c r="L303" i="5"/>
  <c r="L298" i="5"/>
  <c r="L297" i="5"/>
  <c r="L296" i="5"/>
  <c r="F300" i="5"/>
  <c r="E47" i="6" s="1"/>
  <c r="E105" i="7" s="1"/>
  <c r="K296" i="5"/>
  <c r="K295" i="5"/>
  <c r="I299" i="5"/>
  <c r="J299" i="5" s="1"/>
  <c r="J300" i="5" s="1"/>
  <c r="G47" i="6" s="1"/>
  <c r="I105" i="7" s="1"/>
  <c r="J105" i="7" s="1"/>
  <c r="H300" i="5"/>
  <c r="F47" i="6" s="1"/>
  <c r="G105" i="7" s="1"/>
  <c r="H105" i="7" s="1"/>
  <c r="L295" i="5"/>
  <c r="L290" i="5"/>
  <c r="L289" i="5"/>
  <c r="K288" i="5"/>
  <c r="H292" i="5"/>
  <c r="F46" i="6" s="1"/>
  <c r="G104" i="7" s="1"/>
  <c r="H104" i="7" s="1"/>
  <c r="I291" i="5"/>
  <c r="J291" i="5" s="1"/>
  <c r="J292" i="5" s="1"/>
  <c r="G46" i="6" s="1"/>
  <c r="I104" i="7" s="1"/>
  <c r="J104" i="7" s="1"/>
  <c r="L288" i="5"/>
  <c r="K287" i="5"/>
  <c r="L287" i="5"/>
  <c r="F292" i="5"/>
  <c r="L282" i="5"/>
  <c r="L281" i="5"/>
  <c r="L283" i="5"/>
  <c r="L280" i="5"/>
  <c r="H284" i="5"/>
  <c r="F45" i="6" s="1"/>
  <c r="G103" i="7" s="1"/>
  <c r="H103" i="7" s="1"/>
  <c r="F284" i="5"/>
  <c r="E45" i="6" s="1"/>
  <c r="E103" i="7" s="1"/>
  <c r="J284" i="5"/>
  <c r="G45" i="6" s="1"/>
  <c r="I103" i="7" s="1"/>
  <c r="J103" i="7" s="1"/>
  <c r="K279" i="5"/>
  <c r="L279" i="5"/>
  <c r="K274" i="5"/>
  <c r="L274" i="5"/>
  <c r="L273" i="5"/>
  <c r="K272" i="5"/>
  <c r="I275" i="5"/>
  <c r="J275" i="5" s="1"/>
  <c r="J276" i="5" s="1"/>
  <c r="G44" i="6" s="1"/>
  <c r="I102" i="7" s="1"/>
  <c r="J102" i="7" s="1"/>
  <c r="H276" i="5"/>
  <c r="F44" i="6" s="1"/>
  <c r="G102" i="7" s="1"/>
  <c r="H102" i="7" s="1"/>
  <c r="L272" i="5"/>
  <c r="L271" i="5"/>
  <c r="F276" i="5"/>
  <c r="E44" i="6" s="1"/>
  <c r="E102" i="7" s="1"/>
  <c r="F102" i="7" s="1"/>
  <c r="L102" i="7" s="1"/>
  <c r="K266" i="5"/>
  <c r="L266" i="5"/>
  <c r="I267" i="5"/>
  <c r="J267" i="5" s="1"/>
  <c r="L265" i="5"/>
  <c r="H268" i="5"/>
  <c r="F43" i="6" s="1"/>
  <c r="G101" i="7" s="1"/>
  <c r="H101" i="7" s="1"/>
  <c r="J268" i="5"/>
  <c r="G43" i="6" s="1"/>
  <c r="I101" i="7" s="1"/>
  <c r="J101" i="7" s="1"/>
  <c r="K267" i="5"/>
  <c r="L264" i="5"/>
  <c r="L267" i="5"/>
  <c r="K259" i="5"/>
  <c r="L259" i="5"/>
  <c r="I260" i="5"/>
  <c r="J260" i="5" s="1"/>
  <c r="J261" i="5" s="1"/>
  <c r="G42" i="6" s="1"/>
  <c r="I97" i="7" s="1"/>
  <c r="J97" i="7" s="1"/>
  <c r="L258" i="5"/>
  <c r="F261" i="5"/>
  <c r="K253" i="5"/>
  <c r="L253" i="5"/>
  <c r="I254" i="5"/>
  <c r="J254" i="5" s="1"/>
  <c r="L254" i="5" s="1"/>
  <c r="L252" i="5"/>
  <c r="H255" i="5"/>
  <c r="F41" i="6" s="1"/>
  <c r="F249" i="5"/>
  <c r="J241" i="5"/>
  <c r="G38" i="6" s="1"/>
  <c r="I89" i="7" s="1"/>
  <c r="J89" i="7" s="1"/>
  <c r="H241" i="5"/>
  <c r="F38" i="6" s="1"/>
  <c r="G89" i="7" s="1"/>
  <c r="H89" i="7" s="1"/>
  <c r="L239" i="5"/>
  <c r="L234" i="5"/>
  <c r="L233" i="5"/>
  <c r="J236" i="5"/>
  <c r="G37" i="6" s="1"/>
  <c r="I88" i="7" s="1"/>
  <c r="J88" i="7" s="1"/>
  <c r="L232" i="5"/>
  <c r="L231" i="5"/>
  <c r="H236" i="5"/>
  <c r="F37" i="6" s="1"/>
  <c r="G88" i="7" s="1"/>
  <c r="H88" i="7" s="1"/>
  <c r="K230" i="5"/>
  <c r="E235" i="5"/>
  <c r="F235" i="5" s="1"/>
  <c r="L230" i="5"/>
  <c r="K225" i="5"/>
  <c r="L225" i="5"/>
  <c r="K224" i="5"/>
  <c r="L224" i="5"/>
  <c r="K223" i="5"/>
  <c r="L223" i="5"/>
  <c r="J227" i="5"/>
  <c r="G36" i="6" s="1"/>
  <c r="I87" i="7" s="1"/>
  <c r="J87" i="7" s="1"/>
  <c r="L222" i="5"/>
  <c r="K222" i="5"/>
  <c r="E226" i="5"/>
  <c r="F226" i="5" s="1"/>
  <c r="H227" i="5"/>
  <c r="F36" i="6" s="1"/>
  <c r="G87" i="7" s="1"/>
  <c r="H87" i="7" s="1"/>
  <c r="L221" i="5"/>
  <c r="L216" i="5"/>
  <c r="L215" i="5"/>
  <c r="I217" i="5"/>
  <c r="J217" i="5" s="1"/>
  <c r="J218" i="5" s="1"/>
  <c r="G35" i="6" s="1"/>
  <c r="I86" i="7" s="1"/>
  <c r="J86" i="7" s="1"/>
  <c r="K210" i="5"/>
  <c r="L210" i="5"/>
  <c r="H212" i="5"/>
  <c r="F34" i="6" s="1"/>
  <c r="G85" i="7" s="1"/>
  <c r="H85" i="7" s="1"/>
  <c r="I211" i="5"/>
  <c r="J211" i="5" s="1"/>
  <c r="J212" i="5" s="1"/>
  <c r="G34" i="6" s="1"/>
  <c r="I85" i="7" s="1"/>
  <c r="J85" i="7" s="1"/>
  <c r="L209" i="5"/>
  <c r="F212" i="5"/>
  <c r="E34" i="6" s="1"/>
  <c r="E85" i="7" s="1"/>
  <c r="L204" i="5"/>
  <c r="I205" i="5"/>
  <c r="J205" i="5" s="1"/>
  <c r="J206" i="5" s="1"/>
  <c r="G33" i="6" s="1"/>
  <c r="H206" i="5"/>
  <c r="F33" i="6" s="1"/>
  <c r="K203" i="5"/>
  <c r="L203" i="5"/>
  <c r="J200" i="5"/>
  <c r="G32" i="6" s="1"/>
  <c r="I82" i="7" s="1"/>
  <c r="J82" i="7" s="1"/>
  <c r="H200" i="5"/>
  <c r="F32" i="6" s="1"/>
  <c r="G82" i="7" s="1"/>
  <c r="H82" i="7" s="1"/>
  <c r="L199" i="5"/>
  <c r="K198" i="5"/>
  <c r="L198" i="5"/>
  <c r="F200" i="5"/>
  <c r="E32" i="6" s="1"/>
  <c r="E82" i="7" s="1"/>
  <c r="F82" i="7" s="1"/>
  <c r="L194" i="5"/>
  <c r="L193" i="5"/>
  <c r="K192" i="5"/>
  <c r="L192" i="5"/>
  <c r="J195" i="5"/>
  <c r="G31" i="6" s="1"/>
  <c r="I81" i="7" s="1"/>
  <c r="J81" i="7" s="1"/>
  <c r="K191" i="5"/>
  <c r="H195" i="5"/>
  <c r="F31" i="6" s="1"/>
  <c r="G81" i="7" s="1"/>
  <c r="H81" i="7" s="1"/>
  <c r="F191" i="5"/>
  <c r="L191" i="5" s="1"/>
  <c r="L190" i="5"/>
  <c r="F195" i="5"/>
  <c r="J187" i="5"/>
  <c r="G30" i="6" s="1"/>
  <c r="I80" i="7" s="1"/>
  <c r="J80" i="7" s="1"/>
  <c r="L186" i="5"/>
  <c r="K185" i="5"/>
  <c r="L185" i="5"/>
  <c r="H187" i="5"/>
  <c r="F30" i="6" s="1"/>
  <c r="G80" i="7" s="1"/>
  <c r="H80" i="7" s="1"/>
  <c r="L184" i="5"/>
  <c r="F187" i="5"/>
  <c r="E30" i="6" s="1"/>
  <c r="E80" i="7" s="1"/>
  <c r="F80" i="7" s="1"/>
  <c r="L80" i="7" s="1"/>
  <c r="L179" i="5"/>
  <c r="F181" i="5"/>
  <c r="E29" i="6" s="1"/>
  <c r="E78" i="7" s="1"/>
  <c r="F78" i="7" s="1"/>
  <c r="L78" i="7" s="1"/>
  <c r="L178" i="5"/>
  <c r="K180" i="5"/>
  <c r="H177" i="5"/>
  <c r="H181" i="5" s="1"/>
  <c r="F29" i="6" s="1"/>
  <c r="G78" i="7" s="1"/>
  <c r="H78" i="7" s="1"/>
  <c r="L172" i="5"/>
  <c r="E173" i="5"/>
  <c r="F173" i="5" s="1"/>
  <c r="L173" i="5" s="1"/>
  <c r="J174" i="5"/>
  <c r="G28" i="6" s="1"/>
  <c r="I76" i="7" s="1"/>
  <c r="J76" i="7" s="1"/>
  <c r="H174" i="5"/>
  <c r="F28" i="6" s="1"/>
  <c r="G76" i="7" s="1"/>
  <c r="H76" i="7" s="1"/>
  <c r="F171" i="5"/>
  <c r="L170" i="5"/>
  <c r="L165" i="5"/>
  <c r="E166" i="5"/>
  <c r="K166" i="5" s="1"/>
  <c r="L163" i="5"/>
  <c r="L158" i="5"/>
  <c r="I159" i="5"/>
  <c r="H160" i="5"/>
  <c r="F26" i="6" s="1"/>
  <c r="G73" i="7" s="1"/>
  <c r="H73" i="7" s="1"/>
  <c r="L157" i="5"/>
  <c r="K152" i="5"/>
  <c r="L152" i="5"/>
  <c r="L147" i="5"/>
  <c r="L143" i="5"/>
  <c r="L142" i="5"/>
  <c r="K140" i="5"/>
  <c r="L140" i="5"/>
  <c r="K139" i="5"/>
  <c r="L139" i="5"/>
  <c r="H144" i="5"/>
  <c r="F23" i="6" s="1"/>
  <c r="G57" i="7" s="1"/>
  <c r="H57" i="7" s="1"/>
  <c r="L57" i="7" s="1"/>
  <c r="I141" i="5"/>
  <c r="J141" i="5" s="1"/>
  <c r="J144" i="5" s="1"/>
  <c r="G23" i="6" s="1"/>
  <c r="I57" i="7" s="1"/>
  <c r="J57" i="7" s="1"/>
  <c r="L138" i="5"/>
  <c r="L134" i="5"/>
  <c r="K133" i="5"/>
  <c r="L133" i="5"/>
  <c r="K131" i="5"/>
  <c r="H135" i="5"/>
  <c r="F22" i="6" s="1"/>
  <c r="G56" i="7" s="1"/>
  <c r="H56" i="7" s="1"/>
  <c r="F131" i="5"/>
  <c r="L130" i="5"/>
  <c r="L129" i="5"/>
  <c r="I132" i="5"/>
  <c r="K132" i="5" s="1"/>
  <c r="K125" i="5"/>
  <c r="L120" i="5"/>
  <c r="L119" i="5"/>
  <c r="K118" i="5"/>
  <c r="L118" i="5"/>
  <c r="E121" i="5"/>
  <c r="K109" i="5"/>
  <c r="L109" i="5"/>
  <c r="K108" i="5"/>
  <c r="L108" i="5"/>
  <c r="L107" i="5"/>
  <c r="E110" i="5"/>
  <c r="K110" i="5" s="1"/>
  <c r="K101" i="5"/>
  <c r="L101" i="5"/>
  <c r="K84" i="5"/>
  <c r="F84" i="5"/>
  <c r="L84" i="5" s="1"/>
  <c r="L83" i="5"/>
  <c r="K82" i="5"/>
  <c r="J85" i="5"/>
  <c r="G16" i="6" s="1"/>
  <c r="I33" i="7" s="1"/>
  <c r="J33" i="7" s="1"/>
  <c r="F85" i="5"/>
  <c r="E16" i="6" s="1"/>
  <c r="E33" i="7" s="1"/>
  <c r="L82" i="5"/>
  <c r="K81" i="5"/>
  <c r="H81" i="5"/>
  <c r="H85" i="5" s="1"/>
  <c r="F16" i="6" s="1"/>
  <c r="G33" i="7" s="1"/>
  <c r="H33" i="7" s="1"/>
  <c r="L62" i="5"/>
  <c r="K56" i="5"/>
  <c r="L56" i="5"/>
  <c r="I57" i="5"/>
  <c r="J57" i="5" s="1"/>
  <c r="L55" i="5"/>
  <c r="K49" i="5"/>
  <c r="L49" i="5"/>
  <c r="L48" i="5"/>
  <c r="L42" i="5"/>
  <c r="I43" i="5"/>
  <c r="J43" i="5" s="1"/>
  <c r="L41" i="5"/>
  <c r="L40" i="5"/>
  <c r="F45" i="5"/>
  <c r="E9" i="6" s="1"/>
  <c r="E10" i="7" s="1"/>
  <c r="F10" i="7" s="1"/>
  <c r="L36" i="5"/>
  <c r="L35" i="5"/>
  <c r="H8" i="6"/>
  <c r="L30" i="5"/>
  <c r="L29" i="5"/>
  <c r="L28" i="5"/>
  <c r="L26" i="5"/>
  <c r="L25" i="5"/>
  <c r="L24" i="5"/>
  <c r="L23" i="5"/>
  <c r="L22" i="5"/>
  <c r="L21" i="5"/>
  <c r="L18" i="5"/>
  <c r="L17" i="5"/>
  <c r="L11" i="5"/>
  <c r="L5" i="5"/>
  <c r="F184" i="6"/>
  <c r="G773" i="5" s="1"/>
  <c r="H773" i="5" s="1"/>
  <c r="H775" i="5" s="1"/>
  <c r="F112" i="6" s="1"/>
  <c r="G292" i="7" s="1"/>
  <c r="H292" i="7" s="1"/>
  <c r="K1168" i="5"/>
  <c r="L1144" i="5"/>
  <c r="K1144" i="5"/>
  <c r="E176" i="6"/>
  <c r="L1138" i="5"/>
  <c r="K1138" i="5"/>
  <c r="E175" i="6"/>
  <c r="L1133" i="5"/>
  <c r="K1133" i="5"/>
  <c r="L1128" i="5"/>
  <c r="K1128" i="5"/>
  <c r="G173" i="6"/>
  <c r="I431" i="5" s="1"/>
  <c r="J431" i="5" s="1"/>
  <c r="L1122" i="5"/>
  <c r="L1116" i="5"/>
  <c r="K1116" i="5"/>
  <c r="H168" i="6"/>
  <c r="L1097" i="5"/>
  <c r="L1096" i="5"/>
  <c r="K1096" i="5"/>
  <c r="L1091" i="5"/>
  <c r="K1091" i="5"/>
  <c r="L1075" i="5"/>
  <c r="L1068" i="5"/>
  <c r="E163" i="6"/>
  <c r="L1063" i="5"/>
  <c r="K1063" i="5"/>
  <c r="F160" i="6"/>
  <c r="F159" i="6"/>
  <c r="G244" i="5" s="1"/>
  <c r="H244" i="5" s="1"/>
  <c r="H245" i="5" s="1"/>
  <c r="F39" i="6" s="1"/>
  <c r="G92" i="7" s="1"/>
  <c r="H92" i="7" s="1"/>
  <c r="F157" i="6"/>
  <c r="L1029" i="5"/>
  <c r="K1029" i="5"/>
  <c r="E155" i="6"/>
  <c r="L1018" i="5"/>
  <c r="K1018" i="5"/>
  <c r="K1012" i="5"/>
  <c r="L1001" i="5"/>
  <c r="K1001" i="5"/>
  <c r="H149" i="6"/>
  <c r="F148" i="6"/>
  <c r="G103" i="5" s="1"/>
  <c r="H103" i="5" s="1"/>
  <c r="H104" i="5" s="1"/>
  <c r="F19" i="6" s="1"/>
  <c r="G51" i="7" s="1"/>
  <c r="H51" i="7" s="1"/>
  <c r="L979" i="5"/>
  <c r="K979" i="5"/>
  <c r="H146" i="6"/>
  <c r="G145" i="6"/>
  <c r="I956" i="5" s="1"/>
  <c r="J956" i="5" s="1"/>
  <c r="J958" i="5" s="1"/>
  <c r="G144" i="6" s="1"/>
  <c r="I97" i="5" s="1"/>
  <c r="J97" i="5" s="1"/>
  <c r="K963" i="5"/>
  <c r="G142" i="6"/>
  <c r="I90" i="5" s="1"/>
  <c r="J90" i="5" s="1"/>
  <c r="F138" i="6"/>
  <c r="G67" i="5" s="1"/>
  <c r="H67" i="5" s="1"/>
  <c r="L922" i="5"/>
  <c r="K922" i="5"/>
  <c r="E137" i="6"/>
  <c r="H132" i="6"/>
  <c r="H131" i="6"/>
  <c r="K864" i="5"/>
  <c r="F127" i="6"/>
  <c r="G326" i="7" s="1"/>
  <c r="H326" i="7" s="1"/>
  <c r="L847" i="5"/>
  <c r="K847" i="5"/>
  <c r="F120" i="6"/>
  <c r="G319" i="7" s="1"/>
  <c r="H319" i="7" s="1"/>
  <c r="K819" i="5"/>
  <c r="L808" i="5"/>
  <c r="K808" i="5"/>
  <c r="E117" i="6"/>
  <c r="E316" i="7" s="1"/>
  <c r="F316" i="7" s="1"/>
  <c r="K802" i="5"/>
  <c r="F116" i="6"/>
  <c r="G315" i="7" s="1"/>
  <c r="H315" i="7" s="1"/>
  <c r="K764" i="5"/>
  <c r="K754" i="5"/>
  <c r="F107" i="6"/>
  <c r="G259" i="7" s="1"/>
  <c r="H259" i="7" s="1"/>
  <c r="K741" i="5"/>
  <c r="F106" i="6"/>
  <c r="G258" i="7" s="1"/>
  <c r="H258" i="7" s="1"/>
  <c r="F735" i="5"/>
  <c r="K735" i="5"/>
  <c r="E104" i="6"/>
  <c r="E247" i="7" s="1"/>
  <c r="F247" i="7" s="1"/>
  <c r="L247" i="7" s="1"/>
  <c r="F103" i="6"/>
  <c r="G246" i="7" s="1"/>
  <c r="H246" i="7" s="1"/>
  <c r="F102" i="6"/>
  <c r="G245" i="7" s="1"/>
  <c r="H245" i="7" s="1"/>
  <c r="K705" i="5"/>
  <c r="K698" i="5"/>
  <c r="K684" i="5"/>
  <c r="F655" i="5"/>
  <c r="L655" i="5" s="1"/>
  <c r="F646" i="5"/>
  <c r="K620" i="5"/>
  <c r="E88" i="6"/>
  <c r="E81" i="6"/>
  <c r="E212" i="7" s="1"/>
  <c r="E80" i="6"/>
  <c r="E211" i="7" s="1"/>
  <c r="F211" i="7" s="1"/>
  <c r="L211" i="7" s="1"/>
  <c r="K403" i="5"/>
  <c r="K399" i="5"/>
  <c r="K283" i="5"/>
  <c r="K275" i="5"/>
  <c r="E43" i="6"/>
  <c r="E101" i="7" s="1"/>
  <c r="L260" i="5"/>
  <c r="K260" i="5"/>
  <c r="E41" i="6"/>
  <c r="K254" i="5"/>
  <c r="G39" i="6"/>
  <c r="I92" i="7" s="1"/>
  <c r="J92" i="7" s="1"/>
  <c r="E35" i="6"/>
  <c r="E86" i="7" s="1"/>
  <c r="F86" i="7" s="1"/>
  <c r="L86" i="7" s="1"/>
  <c r="E33" i="6"/>
  <c r="E23" i="6"/>
  <c r="E57" i="7" s="1"/>
  <c r="F57" i="7" s="1"/>
  <c r="L63" i="5"/>
  <c r="H12" i="6"/>
  <c r="L50" i="5"/>
  <c r="K50" i="5"/>
  <c r="L43" i="5"/>
  <c r="I44" i="5" s="1"/>
  <c r="K43" i="5"/>
  <c r="L37" i="5"/>
  <c r="G7" i="6"/>
  <c r="I8" i="7" s="1"/>
  <c r="J8" i="7" s="1"/>
  <c r="H6" i="6"/>
  <c r="E5" i="6"/>
  <c r="E6" i="7" s="1"/>
  <c r="F6" i="7" s="1"/>
  <c r="E4" i="6"/>
  <c r="E5" i="7" s="1"/>
  <c r="K18" i="8"/>
  <c r="L18" i="8"/>
  <c r="T18" i="8" s="1"/>
  <c r="E6" i="3" s="1"/>
  <c r="E6" i="9" s="1"/>
  <c r="G6" i="9" s="1"/>
  <c r="L82" i="7" l="1"/>
  <c r="F220" i="7"/>
  <c r="L220" i="7" s="1"/>
  <c r="K220" i="7"/>
  <c r="L778" i="5"/>
  <c r="H317" i="7"/>
  <c r="L317" i="7" s="1"/>
  <c r="K317" i="7"/>
  <c r="L836" i="5"/>
  <c r="F323" i="7"/>
  <c r="L903" i="5"/>
  <c r="H996" i="5"/>
  <c r="F151" i="6" s="1"/>
  <c r="F1007" i="5"/>
  <c r="G472" i="5"/>
  <c r="H472" i="5" s="1"/>
  <c r="G459" i="5"/>
  <c r="H459" i="5" s="1"/>
  <c r="K217" i="7"/>
  <c r="K80" i="7"/>
  <c r="K57" i="7"/>
  <c r="E295" i="7"/>
  <c r="E84" i="7"/>
  <c r="F105" i="7"/>
  <c r="L105" i="7" s="1"/>
  <c r="K105" i="7"/>
  <c r="F331" i="7"/>
  <c r="L331" i="7" s="1"/>
  <c r="K331" i="7"/>
  <c r="K211" i="7"/>
  <c r="K221" i="7"/>
  <c r="K78" i="7"/>
  <c r="G295" i="7"/>
  <c r="H295" i="7" s="1"/>
  <c r="G84" i="7"/>
  <c r="H84" i="7" s="1"/>
  <c r="K101" i="7"/>
  <c r="F101" i="7"/>
  <c r="L101" i="7" s="1"/>
  <c r="I295" i="7"/>
  <c r="J295" i="7" s="1"/>
  <c r="I84" i="7"/>
  <c r="J84" i="7" s="1"/>
  <c r="G298" i="7"/>
  <c r="H298" i="7" s="1"/>
  <c r="G96" i="7"/>
  <c r="H96" i="7" s="1"/>
  <c r="F210" i="7"/>
  <c r="L210" i="7" s="1"/>
  <c r="K210" i="7"/>
  <c r="F315" i="7"/>
  <c r="I995" i="5"/>
  <c r="J995" i="5" s="1"/>
  <c r="J500" i="5"/>
  <c r="G70" i="6" s="1"/>
  <c r="I184" i="7" s="1"/>
  <c r="J184" i="7" s="1"/>
  <c r="K261" i="7"/>
  <c r="F33" i="7"/>
  <c r="L33" i="7" s="1"/>
  <c r="K33" i="7"/>
  <c r="F212" i="7"/>
  <c r="L212" i="7" s="1"/>
  <c r="K212" i="7"/>
  <c r="H88" i="6"/>
  <c r="E219" i="7"/>
  <c r="L506" i="5"/>
  <c r="K216" i="7"/>
  <c r="F216" i="7"/>
  <c r="L216" i="7" s="1"/>
  <c r="F244" i="7"/>
  <c r="K246" i="7"/>
  <c r="K332" i="7"/>
  <c r="K213" i="7"/>
  <c r="F85" i="7"/>
  <c r="L85" i="7" s="1"/>
  <c r="K85" i="7"/>
  <c r="J255" i="5"/>
  <c r="G41" i="6" s="1"/>
  <c r="I442" i="5"/>
  <c r="J442" i="5" s="1"/>
  <c r="K144" i="7"/>
  <c r="K92" i="7"/>
  <c r="K247" i="7"/>
  <c r="K82" i="7"/>
  <c r="K205" i="7"/>
  <c r="K208" i="7"/>
  <c r="F5" i="7"/>
  <c r="E298" i="7"/>
  <c r="E96" i="7"/>
  <c r="K103" i="7"/>
  <c r="F103" i="7"/>
  <c r="L103" i="7" s="1"/>
  <c r="H326" i="5"/>
  <c r="F51" i="6" s="1"/>
  <c r="G109" i="7" s="1"/>
  <c r="H109" i="7" s="1"/>
  <c r="H101" i="6"/>
  <c r="G244" i="7"/>
  <c r="H244" i="7" s="1"/>
  <c r="F260" i="7"/>
  <c r="L260" i="7" s="1"/>
  <c r="K260" i="7"/>
  <c r="K319" i="7"/>
  <c r="F319" i="7"/>
  <c r="L319" i="7" s="1"/>
  <c r="F877" i="5"/>
  <c r="E130" i="6" s="1"/>
  <c r="H1092" i="5"/>
  <c r="F167" i="6" s="1"/>
  <c r="G408" i="5" s="1"/>
  <c r="H408" i="5" s="1"/>
  <c r="I469" i="5"/>
  <c r="J469" i="5" s="1"/>
  <c r="G445" i="5"/>
  <c r="H445" i="5" s="1"/>
  <c r="E1156" i="5"/>
  <c r="K318" i="7"/>
  <c r="K86" i="7"/>
  <c r="K245" i="7"/>
  <c r="K209" i="7"/>
  <c r="K102" i="7"/>
  <c r="K316" i="7"/>
  <c r="K9" i="7"/>
  <c r="F9" i="7"/>
  <c r="L9" i="7" s="1"/>
  <c r="H399" i="7"/>
  <c r="G19" i="8" s="1"/>
  <c r="H19" i="8" s="1"/>
  <c r="L19" i="8" s="1"/>
  <c r="T19" i="8" s="1"/>
  <c r="L28" i="7"/>
  <c r="H267" i="7"/>
  <c r="G13" i="8" s="1"/>
  <c r="H13" i="8" s="1"/>
  <c r="L205" i="7"/>
  <c r="L316" i="7"/>
  <c r="F14" i="8"/>
  <c r="L14" i="8" s="1"/>
  <c r="H355" i="7"/>
  <c r="G17" i="8" s="1"/>
  <c r="K17" i="8" s="1"/>
  <c r="L399" i="7"/>
  <c r="L355" i="7"/>
  <c r="L773" i="5"/>
  <c r="L1187" i="5"/>
  <c r="H184" i="6"/>
  <c r="K773" i="5"/>
  <c r="G499" i="5"/>
  <c r="H499" i="5" s="1"/>
  <c r="I493" i="5"/>
  <c r="J493" i="5" s="1"/>
  <c r="J494" i="5" s="1"/>
  <c r="G69" i="6" s="1"/>
  <c r="I183" i="7" s="1"/>
  <c r="J183" i="7" s="1"/>
  <c r="J201" i="7" s="1"/>
  <c r="I12" i="8" s="1"/>
  <c r="J12" i="8" s="1"/>
  <c r="K1182" i="5"/>
  <c r="F1182" i="5"/>
  <c r="F1174" i="5"/>
  <c r="K1174" i="5"/>
  <c r="L1168" i="5"/>
  <c r="F1169" i="5"/>
  <c r="G498" i="5"/>
  <c r="H498" i="5" s="1"/>
  <c r="G485" i="5"/>
  <c r="H485" i="5" s="1"/>
  <c r="H488" i="5" s="1"/>
  <c r="F68" i="6" s="1"/>
  <c r="G182" i="7" s="1"/>
  <c r="H182" i="7" s="1"/>
  <c r="G492" i="5"/>
  <c r="H492" i="5" s="1"/>
  <c r="H494" i="5" s="1"/>
  <c r="F69" i="6" s="1"/>
  <c r="G183" i="7" s="1"/>
  <c r="H183" i="7" s="1"/>
  <c r="H481" i="5"/>
  <c r="F67" i="6" s="1"/>
  <c r="G181" i="7" s="1"/>
  <c r="H181" i="7" s="1"/>
  <c r="K1162" i="5"/>
  <c r="F1162" i="5"/>
  <c r="F1156" i="5"/>
  <c r="K1156" i="5"/>
  <c r="F1151" i="5"/>
  <c r="E178" i="6" s="1"/>
  <c r="E466" i="5" s="1"/>
  <c r="F466" i="5" s="1"/>
  <c r="L1149" i="5"/>
  <c r="J1150" i="5"/>
  <c r="K1150" i="5"/>
  <c r="I471" i="5"/>
  <c r="J471" i="5" s="1"/>
  <c r="I459" i="5"/>
  <c r="J459" i="5" s="1"/>
  <c r="L1142" i="5"/>
  <c r="F1145" i="5"/>
  <c r="L1139" i="5"/>
  <c r="I457" i="5"/>
  <c r="J457" i="5" s="1"/>
  <c r="I443" i="5"/>
  <c r="J443" i="5" s="1"/>
  <c r="H176" i="6"/>
  <c r="E443" i="5"/>
  <c r="E457" i="5"/>
  <c r="H175" i="6"/>
  <c r="E469" i="5"/>
  <c r="E456" i="5"/>
  <c r="E442" i="5"/>
  <c r="I452" i="5"/>
  <c r="J452" i="5" s="1"/>
  <c r="L1129" i="5"/>
  <c r="E174" i="6"/>
  <c r="K1122" i="5"/>
  <c r="L1120" i="5"/>
  <c r="F1123" i="5"/>
  <c r="L1115" i="5"/>
  <c r="F1117" i="5"/>
  <c r="E172" i="6" s="1"/>
  <c r="H172" i="6" s="1"/>
  <c r="I473" i="5"/>
  <c r="J473" i="5" s="1"/>
  <c r="I414" i="5"/>
  <c r="J414" i="5" s="1"/>
  <c r="I426" i="5"/>
  <c r="J426" i="5" s="1"/>
  <c r="I432" i="5"/>
  <c r="J432" i="5" s="1"/>
  <c r="J434" i="5" s="1"/>
  <c r="G63" i="6" s="1"/>
  <c r="I161" i="7" s="1"/>
  <c r="J161" i="7" s="1"/>
  <c r="G461" i="5"/>
  <c r="H461" i="5" s="1"/>
  <c r="L1111" i="5"/>
  <c r="E171" i="6"/>
  <c r="I447" i="5"/>
  <c r="J447" i="5" s="1"/>
  <c r="J448" i="5" s="1"/>
  <c r="G64" i="6" s="1"/>
  <c r="I162" i="7" s="1"/>
  <c r="J162" i="7" s="1"/>
  <c r="H432" i="5"/>
  <c r="G447" i="5"/>
  <c r="H447" i="5" s="1"/>
  <c r="G414" i="5"/>
  <c r="G473" i="5"/>
  <c r="H473" i="5" s="1"/>
  <c r="G426" i="5"/>
  <c r="H426" i="5" s="1"/>
  <c r="G413" i="5"/>
  <c r="H413" i="5" s="1"/>
  <c r="G446" i="5"/>
  <c r="H446" i="5" s="1"/>
  <c r="G433" i="5"/>
  <c r="H433" i="5" s="1"/>
  <c r="H434" i="5" s="1"/>
  <c r="F63" i="6" s="1"/>
  <c r="G161" i="7" s="1"/>
  <c r="H161" i="7" s="1"/>
  <c r="G460" i="5"/>
  <c r="H460" i="5" s="1"/>
  <c r="H462" i="5" s="1"/>
  <c r="F65" i="6" s="1"/>
  <c r="G163" i="7" s="1"/>
  <c r="H163" i="7" s="1"/>
  <c r="L1102" i="5"/>
  <c r="E169" i="6"/>
  <c r="G423" i="5"/>
  <c r="H423" i="5" s="1"/>
  <c r="H427" i="5" s="1"/>
  <c r="F62" i="6" s="1"/>
  <c r="G160" i="7" s="1"/>
  <c r="H160" i="7" s="1"/>
  <c r="G411" i="5"/>
  <c r="H411" i="5" s="1"/>
  <c r="I423" i="5"/>
  <c r="J423" i="5" s="1"/>
  <c r="J427" i="5" s="1"/>
  <c r="G62" i="6" s="1"/>
  <c r="I160" i="7" s="1"/>
  <c r="J160" i="7" s="1"/>
  <c r="I411" i="5"/>
  <c r="J411" i="5" s="1"/>
  <c r="J415" i="5" s="1"/>
  <c r="G61" i="6" s="1"/>
  <c r="I159" i="7" s="1"/>
  <c r="J159" i="7" s="1"/>
  <c r="E411" i="5"/>
  <c r="E423" i="5"/>
  <c r="L1092" i="5"/>
  <c r="E167" i="6"/>
  <c r="J395" i="5"/>
  <c r="G59" i="6" s="1"/>
  <c r="I143" i="7" s="1"/>
  <c r="J143" i="7" s="1"/>
  <c r="K1084" i="5"/>
  <c r="L1084" i="5"/>
  <c r="K1085" i="5"/>
  <c r="F1085" i="5"/>
  <c r="K1075" i="5"/>
  <c r="K1076" i="5"/>
  <c r="F1076" i="5"/>
  <c r="H164" i="6"/>
  <c r="K362" i="5"/>
  <c r="L1064" i="5"/>
  <c r="G357" i="5"/>
  <c r="H357" i="5" s="1"/>
  <c r="H358" i="5" s="1"/>
  <c r="F55" i="6" s="1"/>
  <c r="G139" i="7" s="1"/>
  <c r="H139" i="7" s="1"/>
  <c r="G351" i="5"/>
  <c r="H351" i="5" s="1"/>
  <c r="H352" i="5" s="1"/>
  <c r="F54" i="6" s="1"/>
  <c r="G138" i="7" s="1"/>
  <c r="H138" i="7" s="1"/>
  <c r="H157" i="7" s="1"/>
  <c r="G10" i="8" s="1"/>
  <c r="H10" i="8" s="1"/>
  <c r="I351" i="5"/>
  <c r="J351" i="5" s="1"/>
  <c r="J352" i="5" s="1"/>
  <c r="G54" i="6" s="1"/>
  <c r="I138" i="7" s="1"/>
  <c r="J138" i="7" s="1"/>
  <c r="I357" i="5"/>
  <c r="J357" i="5" s="1"/>
  <c r="J358" i="5" s="1"/>
  <c r="G55" i="6" s="1"/>
  <c r="I139" i="7" s="1"/>
  <c r="J139" i="7" s="1"/>
  <c r="H163" i="6"/>
  <c r="E357" i="5"/>
  <c r="E351" i="5"/>
  <c r="L1059" i="5"/>
  <c r="E162" i="6"/>
  <c r="H162" i="6" s="1"/>
  <c r="I311" i="5"/>
  <c r="J311" i="5" s="1"/>
  <c r="J314" i="5" s="1"/>
  <c r="G49" i="6" s="1"/>
  <c r="I107" i="7" s="1"/>
  <c r="J107" i="7" s="1"/>
  <c r="L1053" i="5"/>
  <c r="E161" i="6"/>
  <c r="L1047" i="5"/>
  <c r="H160" i="6"/>
  <c r="G248" i="5"/>
  <c r="H159" i="6"/>
  <c r="L1041" i="5"/>
  <c r="L244" i="5"/>
  <c r="H39" i="6"/>
  <c r="K244" i="5"/>
  <c r="L245" i="5"/>
  <c r="L1033" i="5"/>
  <c r="F1035" i="5"/>
  <c r="H157" i="6"/>
  <c r="G153" i="5"/>
  <c r="H153" i="5" s="1"/>
  <c r="H154" i="5" s="1"/>
  <c r="F25" i="6" s="1"/>
  <c r="G72" i="7" s="1"/>
  <c r="H72" i="7" s="1"/>
  <c r="G148" i="5"/>
  <c r="H148" i="5" s="1"/>
  <c r="H149" i="5" s="1"/>
  <c r="F24" i="6" s="1"/>
  <c r="G71" i="7" s="1"/>
  <c r="H71" i="7" s="1"/>
  <c r="I148" i="5"/>
  <c r="J148" i="5" s="1"/>
  <c r="J149" i="5" s="1"/>
  <c r="G24" i="6" s="1"/>
  <c r="I71" i="7" s="1"/>
  <c r="J71" i="7" s="1"/>
  <c r="I153" i="5"/>
  <c r="J153" i="5" s="1"/>
  <c r="J154" i="5" s="1"/>
  <c r="G25" i="6" s="1"/>
  <c r="I72" i="7" s="1"/>
  <c r="J72" i="7" s="1"/>
  <c r="E153" i="5"/>
  <c r="E148" i="5"/>
  <c r="L1030" i="5"/>
  <c r="L1024" i="5"/>
  <c r="H156" i="6"/>
  <c r="L125" i="5"/>
  <c r="L1019" i="5"/>
  <c r="L1017" i="5"/>
  <c r="H155" i="6"/>
  <c r="E124" i="5"/>
  <c r="L1012" i="5"/>
  <c r="L1013" i="5"/>
  <c r="E154" i="6"/>
  <c r="L1007" i="5"/>
  <c r="E153" i="6"/>
  <c r="L1002" i="5"/>
  <c r="E152" i="6"/>
  <c r="J996" i="5"/>
  <c r="G151" i="6" s="1"/>
  <c r="H151" i="6" s="1"/>
  <c r="L995" i="5"/>
  <c r="K995" i="5"/>
  <c r="E112" i="5"/>
  <c r="F112" i="5" s="1"/>
  <c r="G123" i="5"/>
  <c r="G112" i="5"/>
  <c r="J989" i="5"/>
  <c r="K989" i="5"/>
  <c r="L987" i="5"/>
  <c r="F990" i="5"/>
  <c r="K103" i="5"/>
  <c r="L103" i="5"/>
  <c r="H148" i="6"/>
  <c r="L980" i="5"/>
  <c r="L971" i="5"/>
  <c r="F974" i="5"/>
  <c r="L963" i="5"/>
  <c r="L964" i="5"/>
  <c r="H145" i="6"/>
  <c r="F956" i="5"/>
  <c r="K956" i="5"/>
  <c r="L951" i="5"/>
  <c r="E143" i="6"/>
  <c r="K946" i="5"/>
  <c r="L946" i="5"/>
  <c r="J92" i="5"/>
  <c r="G17" i="6" s="1"/>
  <c r="I49" i="7" s="1"/>
  <c r="J49" i="7" s="1"/>
  <c r="K90" i="5"/>
  <c r="F90" i="5"/>
  <c r="L90" i="5" s="1"/>
  <c r="L947" i="5"/>
  <c r="H142" i="6"/>
  <c r="L89" i="5"/>
  <c r="H141" i="6"/>
  <c r="K89" i="5"/>
  <c r="L933" i="5"/>
  <c r="F935" i="5"/>
  <c r="E140" i="6" s="1"/>
  <c r="H935" i="5"/>
  <c r="I934" i="5"/>
  <c r="L926" i="5"/>
  <c r="F929" i="5"/>
  <c r="L67" i="5"/>
  <c r="L923" i="5"/>
  <c r="H138" i="6"/>
  <c r="K67" i="5"/>
  <c r="I76" i="5"/>
  <c r="J76" i="5" s="1"/>
  <c r="I66" i="5"/>
  <c r="J66" i="5" s="1"/>
  <c r="J68" i="5" s="1"/>
  <c r="G13" i="6" s="1"/>
  <c r="I30" i="7" s="1"/>
  <c r="J30" i="7" s="1"/>
  <c r="I95" i="5"/>
  <c r="J95" i="5" s="1"/>
  <c r="I58" i="5"/>
  <c r="J58" i="5" s="1"/>
  <c r="J59" i="5" s="1"/>
  <c r="G11" i="6" s="1"/>
  <c r="I27" i="7" s="1"/>
  <c r="J27" i="7" s="1"/>
  <c r="G95" i="5"/>
  <c r="H95" i="5" s="1"/>
  <c r="G88" i="5"/>
  <c r="H88" i="5" s="1"/>
  <c r="H92" i="5" s="1"/>
  <c r="F17" i="6" s="1"/>
  <c r="G49" i="7" s="1"/>
  <c r="H49" i="7" s="1"/>
  <c r="G76" i="5"/>
  <c r="H76" i="5" s="1"/>
  <c r="L917" i="5"/>
  <c r="G66" i="5"/>
  <c r="H66" i="5" s="1"/>
  <c r="H68" i="5" s="1"/>
  <c r="F13" i="6" s="1"/>
  <c r="G30" i="7" s="1"/>
  <c r="H30" i="7" s="1"/>
  <c r="H137" i="6"/>
  <c r="E95" i="5"/>
  <c r="E88" i="5"/>
  <c r="E76" i="5"/>
  <c r="E66" i="5"/>
  <c r="E58" i="5"/>
  <c r="K31" i="5"/>
  <c r="F31" i="5"/>
  <c r="H136" i="6"/>
  <c r="L911" i="5"/>
  <c r="F904" i="5"/>
  <c r="L904" i="5" s="1"/>
  <c r="F906" i="5"/>
  <c r="H133" i="6"/>
  <c r="L877" i="5"/>
  <c r="L870" i="5"/>
  <c r="F871" i="5"/>
  <c r="L865" i="5"/>
  <c r="E128" i="6"/>
  <c r="K858" i="5"/>
  <c r="F858" i="5"/>
  <c r="L851" i="5"/>
  <c r="F853" i="5"/>
  <c r="L848" i="5"/>
  <c r="E125" i="6"/>
  <c r="J841" i="5"/>
  <c r="K841" i="5"/>
  <c r="E123" i="6"/>
  <c r="L828" i="5"/>
  <c r="F830" i="5"/>
  <c r="L825" i="5"/>
  <c r="E121" i="6"/>
  <c r="H120" i="6"/>
  <c r="L820" i="5"/>
  <c r="H119" i="6"/>
  <c r="L814" i="5"/>
  <c r="H118" i="6"/>
  <c r="L809" i="5"/>
  <c r="L802" i="5"/>
  <c r="H117" i="6"/>
  <c r="L803" i="5"/>
  <c r="J796" i="5"/>
  <c r="K796" i="5"/>
  <c r="K790" i="5"/>
  <c r="L790" i="5"/>
  <c r="F791" i="5"/>
  <c r="L784" i="5"/>
  <c r="F785" i="5"/>
  <c r="L780" i="5"/>
  <c r="E113" i="6"/>
  <c r="F774" i="5"/>
  <c r="L774" i="5" s="1"/>
  <c r="F768" i="5"/>
  <c r="L760" i="5"/>
  <c r="E110" i="6"/>
  <c r="H109" i="6"/>
  <c r="L755" i="5"/>
  <c r="H108" i="6"/>
  <c r="L748" i="5"/>
  <c r="L741" i="5"/>
  <c r="F742" i="5"/>
  <c r="L735" i="5"/>
  <c r="F736" i="5"/>
  <c r="K729" i="5"/>
  <c r="F729" i="5"/>
  <c r="H104" i="6"/>
  <c r="L724" i="5"/>
  <c r="L718" i="5"/>
  <c r="H103" i="6"/>
  <c r="H102" i="6"/>
  <c r="L712" i="5"/>
  <c r="L706" i="5"/>
  <c r="L699" i="5"/>
  <c r="E100" i="6"/>
  <c r="E99" i="6"/>
  <c r="L685" i="5"/>
  <c r="E98" i="6"/>
  <c r="K673" i="5"/>
  <c r="L673" i="5"/>
  <c r="F678" i="5"/>
  <c r="L664" i="5"/>
  <c r="F669" i="5"/>
  <c r="K664" i="5"/>
  <c r="F660" i="5"/>
  <c r="L646" i="5"/>
  <c r="F651" i="5"/>
  <c r="F641" i="5"/>
  <c r="L641" i="5" s="1"/>
  <c r="L634" i="5"/>
  <c r="F635" i="5"/>
  <c r="F627" i="5"/>
  <c r="H90" i="6"/>
  <c r="L621" i="5"/>
  <c r="H89" i="6"/>
  <c r="L614" i="5"/>
  <c r="L608" i="5"/>
  <c r="K601" i="5"/>
  <c r="L598" i="5"/>
  <c r="F602" i="5"/>
  <c r="L595" i="5"/>
  <c r="H86" i="6"/>
  <c r="H85" i="6"/>
  <c r="L589" i="5"/>
  <c r="L583" i="5"/>
  <c r="E84" i="6"/>
  <c r="L577" i="5"/>
  <c r="E83" i="6"/>
  <c r="H82" i="6"/>
  <c r="L572" i="5"/>
  <c r="H81" i="6"/>
  <c r="L567" i="5"/>
  <c r="H80" i="6"/>
  <c r="L561" i="5"/>
  <c r="H79" i="6"/>
  <c r="L555" i="5"/>
  <c r="H78" i="6"/>
  <c r="L549" i="5"/>
  <c r="H77" i="6"/>
  <c r="L543" i="5"/>
  <c r="E76" i="6"/>
  <c r="L537" i="5"/>
  <c r="E75" i="6"/>
  <c r="L531" i="5"/>
  <c r="H74" i="6"/>
  <c r="L525" i="5"/>
  <c r="L518" i="5"/>
  <c r="F519" i="5"/>
  <c r="E73" i="6" s="1"/>
  <c r="L513" i="5"/>
  <c r="E72" i="6"/>
  <c r="K505" i="5"/>
  <c r="F505" i="5"/>
  <c r="H60" i="6"/>
  <c r="L404" i="5"/>
  <c r="L389" i="5"/>
  <c r="L385" i="5"/>
  <c r="E58" i="6"/>
  <c r="F373" i="5"/>
  <c r="L373" i="5" s="1"/>
  <c r="F374" i="5"/>
  <c r="L361" i="5"/>
  <c r="F363" i="5"/>
  <c r="L356" i="5"/>
  <c r="L350" i="5"/>
  <c r="K344" i="5"/>
  <c r="F346" i="5"/>
  <c r="L346" i="5" s="1"/>
  <c r="F336" i="5"/>
  <c r="E52" i="6" s="1"/>
  <c r="K334" i="5"/>
  <c r="K320" i="5"/>
  <c r="H320" i="5"/>
  <c r="F308" i="5"/>
  <c r="E48" i="6" s="1"/>
  <c r="L299" i="5"/>
  <c r="H47" i="6"/>
  <c r="L300" i="5"/>
  <c r="K299" i="5"/>
  <c r="L291" i="5"/>
  <c r="K291" i="5"/>
  <c r="L292" i="5"/>
  <c r="E46" i="6"/>
  <c r="H45" i="6"/>
  <c r="L284" i="5"/>
  <c r="L275" i="5"/>
  <c r="H44" i="6"/>
  <c r="L276" i="5"/>
  <c r="H43" i="6"/>
  <c r="L268" i="5"/>
  <c r="L261" i="5"/>
  <c r="E42" i="6"/>
  <c r="H41" i="6"/>
  <c r="L255" i="5"/>
  <c r="E40" i="6"/>
  <c r="E94" i="7" s="1"/>
  <c r="K235" i="5"/>
  <c r="L235" i="5"/>
  <c r="F236" i="5"/>
  <c r="K226" i="5"/>
  <c r="L226" i="5"/>
  <c r="F227" i="5"/>
  <c r="K217" i="5"/>
  <c r="L217" i="5"/>
  <c r="H35" i="6"/>
  <c r="L218" i="5"/>
  <c r="L211" i="5"/>
  <c r="H34" i="6"/>
  <c r="K211" i="5"/>
  <c r="L212" i="5"/>
  <c r="L205" i="5"/>
  <c r="K205" i="5"/>
  <c r="H33" i="6"/>
  <c r="L206" i="5"/>
  <c r="H32" i="6"/>
  <c r="L200" i="5"/>
  <c r="E31" i="6"/>
  <c r="L195" i="5"/>
  <c r="H30" i="6"/>
  <c r="L187" i="5"/>
  <c r="H29" i="6"/>
  <c r="L177" i="5"/>
  <c r="L181" i="5"/>
  <c r="K173" i="5"/>
  <c r="L171" i="5"/>
  <c r="F174" i="5"/>
  <c r="F166" i="5"/>
  <c r="L166" i="5" s="1"/>
  <c r="J159" i="5"/>
  <c r="K159" i="5"/>
  <c r="K141" i="5"/>
  <c r="L141" i="5"/>
  <c r="H23" i="6"/>
  <c r="L144" i="5"/>
  <c r="L131" i="5"/>
  <c r="F135" i="5"/>
  <c r="E22" i="6" s="1"/>
  <c r="E56" i="7" s="1"/>
  <c r="J132" i="5"/>
  <c r="L132" i="5" s="1"/>
  <c r="J135" i="5"/>
  <c r="K121" i="5"/>
  <c r="F121" i="5"/>
  <c r="F110" i="5"/>
  <c r="H16" i="6"/>
  <c r="L81" i="5"/>
  <c r="L85" i="5"/>
  <c r="L57" i="5"/>
  <c r="K57" i="5"/>
  <c r="I51" i="5"/>
  <c r="J51" i="5" s="1"/>
  <c r="J44" i="5"/>
  <c r="K44" i="5"/>
  <c r="F94" i="7" l="1"/>
  <c r="H46" i="6"/>
  <c r="E104" i="7"/>
  <c r="H52" i="6"/>
  <c r="E110" i="7"/>
  <c r="H75" i="6"/>
  <c r="E206" i="7"/>
  <c r="H100" i="6"/>
  <c r="E243" i="7"/>
  <c r="H113" i="6"/>
  <c r="E293" i="7"/>
  <c r="H121" i="6"/>
  <c r="E320" i="7"/>
  <c r="J157" i="7"/>
  <c r="I10" i="8" s="1"/>
  <c r="J10" i="8" s="1"/>
  <c r="J462" i="5"/>
  <c r="G65" i="6" s="1"/>
  <c r="I163" i="7" s="1"/>
  <c r="J163" i="7" s="1"/>
  <c r="F84" i="7"/>
  <c r="L84" i="7" s="1"/>
  <c r="K84" i="7"/>
  <c r="H333" i="7"/>
  <c r="G16" i="8" s="1"/>
  <c r="H16" i="8" s="1"/>
  <c r="F96" i="7"/>
  <c r="K96" i="7"/>
  <c r="I298" i="7"/>
  <c r="J298" i="7" s="1"/>
  <c r="I96" i="7"/>
  <c r="J96" i="7" s="1"/>
  <c r="F219" i="7"/>
  <c r="L219" i="7" s="1"/>
  <c r="K219" i="7"/>
  <c r="F295" i="7"/>
  <c r="L295" i="7" s="1"/>
  <c r="K295" i="7"/>
  <c r="H48" i="6"/>
  <c r="E106" i="7"/>
  <c r="H76" i="6"/>
  <c r="E207" i="7"/>
  <c r="H448" i="5"/>
  <c r="F64" i="6" s="1"/>
  <c r="G162" i="7" s="1"/>
  <c r="H162" i="7" s="1"/>
  <c r="F298" i="7"/>
  <c r="L298" i="7" s="1"/>
  <c r="K298" i="7"/>
  <c r="L244" i="7"/>
  <c r="H73" i="6"/>
  <c r="E204" i="7"/>
  <c r="F56" i="7"/>
  <c r="H31" i="6"/>
  <c r="E81" i="7"/>
  <c r="H83" i="6"/>
  <c r="E214" i="7"/>
  <c r="H98" i="6"/>
  <c r="E241" i="7"/>
  <c r="H130" i="6"/>
  <c r="E329" i="7"/>
  <c r="K244" i="7"/>
  <c r="H110" i="6"/>
  <c r="E262" i="7"/>
  <c r="H125" i="6"/>
  <c r="E324" i="7"/>
  <c r="H128" i="6"/>
  <c r="E327" i="7"/>
  <c r="H42" i="6"/>
  <c r="E97" i="7"/>
  <c r="F167" i="5"/>
  <c r="L167" i="5" s="1"/>
  <c r="H58" i="6"/>
  <c r="E142" i="7"/>
  <c r="F642" i="5"/>
  <c r="F775" i="5"/>
  <c r="H123" i="6"/>
  <c r="E322" i="7"/>
  <c r="H72" i="6"/>
  <c r="E203" i="7"/>
  <c r="H84" i="6"/>
  <c r="E215" i="7"/>
  <c r="H99" i="6"/>
  <c r="E242" i="7"/>
  <c r="K19" i="8"/>
  <c r="H17" i="8"/>
  <c r="L17" i="8" s="1"/>
  <c r="T17" i="8" s="1"/>
  <c r="H500" i="5"/>
  <c r="F70" i="6" s="1"/>
  <c r="G184" i="7" s="1"/>
  <c r="H184" i="7" s="1"/>
  <c r="H201" i="7" s="1"/>
  <c r="G12" i="8" s="1"/>
  <c r="H12" i="8" s="1"/>
  <c r="L1182" i="5"/>
  <c r="F1183" i="5"/>
  <c r="L1174" i="5"/>
  <c r="F1175" i="5"/>
  <c r="L1169" i="5"/>
  <c r="E181" i="6"/>
  <c r="L1162" i="5"/>
  <c r="F1163" i="5"/>
  <c r="L1156" i="5"/>
  <c r="F1157" i="5"/>
  <c r="J1151" i="5"/>
  <c r="L1150" i="5"/>
  <c r="L1145" i="5"/>
  <c r="E177" i="6"/>
  <c r="F443" i="5"/>
  <c r="L443" i="5" s="1"/>
  <c r="K443" i="5"/>
  <c r="F457" i="5"/>
  <c r="L457" i="5" s="1"/>
  <c r="K457" i="5"/>
  <c r="F442" i="5"/>
  <c r="L442" i="5" s="1"/>
  <c r="K442" i="5"/>
  <c r="K469" i="5"/>
  <c r="F469" i="5"/>
  <c r="L469" i="5" s="1"/>
  <c r="K456" i="5"/>
  <c r="F456" i="5"/>
  <c r="L456" i="5" s="1"/>
  <c r="E452" i="5"/>
  <c r="E438" i="5"/>
  <c r="H174" i="6"/>
  <c r="E173" i="6"/>
  <c r="L1123" i="5"/>
  <c r="E419" i="5"/>
  <c r="F419" i="5" s="1"/>
  <c r="L419" i="5" s="1"/>
  <c r="L1117" i="5"/>
  <c r="E1106" i="5"/>
  <c r="H171" i="6"/>
  <c r="H414" i="5"/>
  <c r="H474" i="5"/>
  <c r="F66" i="6" s="1"/>
  <c r="G164" i="7" s="1"/>
  <c r="H164" i="7" s="1"/>
  <c r="E460" i="5"/>
  <c r="E425" i="5"/>
  <c r="E413" i="5"/>
  <c r="E433" i="5"/>
  <c r="E446" i="5"/>
  <c r="E472" i="5"/>
  <c r="H169" i="6"/>
  <c r="F423" i="5"/>
  <c r="K423" i="5"/>
  <c r="F411" i="5"/>
  <c r="L411" i="5" s="1"/>
  <c r="K411" i="5"/>
  <c r="H167" i="6"/>
  <c r="E408" i="5"/>
  <c r="L1085" i="5"/>
  <c r="F1086" i="5"/>
  <c r="L1076" i="5"/>
  <c r="F1077" i="5"/>
  <c r="F357" i="5"/>
  <c r="K357" i="5"/>
  <c r="F351" i="5"/>
  <c r="K351" i="5"/>
  <c r="E325" i="5"/>
  <c r="F325" i="5" s="1"/>
  <c r="E317" i="5"/>
  <c r="E311" i="5"/>
  <c r="H161" i="6"/>
  <c r="H248" i="5"/>
  <c r="K248" i="5"/>
  <c r="E158" i="6"/>
  <c r="L1035" i="5"/>
  <c r="F148" i="5"/>
  <c r="K148" i="5"/>
  <c r="F153" i="5"/>
  <c r="K153" i="5"/>
  <c r="K124" i="5"/>
  <c r="F124" i="5"/>
  <c r="L124" i="5" s="1"/>
  <c r="E122" i="5"/>
  <c r="H154" i="6"/>
  <c r="E114" i="5"/>
  <c r="H153" i="6"/>
  <c r="H152" i="6"/>
  <c r="E113" i="5"/>
  <c r="L996" i="5"/>
  <c r="I123" i="5"/>
  <c r="J123" i="5" s="1"/>
  <c r="J126" i="5" s="1"/>
  <c r="G21" i="6" s="1"/>
  <c r="I55" i="7" s="1"/>
  <c r="J55" i="7" s="1"/>
  <c r="I112" i="5"/>
  <c r="J112" i="5" s="1"/>
  <c r="H112" i="5"/>
  <c r="K112" i="5"/>
  <c r="H123" i="5"/>
  <c r="J990" i="5"/>
  <c r="G150" i="6" s="1"/>
  <c r="I111" i="5" s="1"/>
  <c r="J111" i="5" s="1"/>
  <c r="J115" i="5" s="1"/>
  <c r="G20" i="6" s="1"/>
  <c r="I54" i="7" s="1"/>
  <c r="J54" i="7" s="1"/>
  <c r="L989" i="5"/>
  <c r="E150" i="6"/>
  <c r="L974" i="5"/>
  <c r="E147" i="6"/>
  <c r="L956" i="5"/>
  <c r="F958" i="5"/>
  <c r="E91" i="5"/>
  <c r="H143" i="6"/>
  <c r="E96" i="5"/>
  <c r="F96" i="5" s="1"/>
  <c r="E72" i="5"/>
  <c r="F72" i="5" s="1"/>
  <c r="E77" i="5"/>
  <c r="F77" i="5" s="1"/>
  <c r="J934" i="5"/>
  <c r="K934" i="5"/>
  <c r="F140" i="6"/>
  <c r="E139" i="6"/>
  <c r="L929" i="5"/>
  <c r="K58" i="5"/>
  <c r="F58" i="5"/>
  <c r="F66" i="5"/>
  <c r="K66" i="5"/>
  <c r="F76" i="5"/>
  <c r="K76" i="5"/>
  <c r="F88" i="5"/>
  <c r="K88" i="5"/>
  <c r="F95" i="5"/>
  <c r="K95" i="5"/>
  <c r="L31" i="5"/>
  <c r="F32" i="5"/>
  <c r="E135" i="6"/>
  <c r="L906" i="5"/>
  <c r="L871" i="5"/>
  <c r="E129" i="6"/>
  <c r="L858" i="5"/>
  <c r="F859" i="5"/>
  <c r="E126" i="6"/>
  <c r="L853" i="5"/>
  <c r="J842" i="5"/>
  <c r="L841" i="5"/>
  <c r="L830" i="5"/>
  <c r="E122" i="6"/>
  <c r="J797" i="5"/>
  <c r="L796" i="5"/>
  <c r="L791" i="5"/>
  <c r="E115" i="6"/>
  <c r="L785" i="5"/>
  <c r="E114" i="6"/>
  <c r="L775" i="5"/>
  <c r="E112" i="6"/>
  <c r="E111" i="6"/>
  <c r="L768" i="5"/>
  <c r="E107" i="6"/>
  <c r="L742" i="5"/>
  <c r="E106" i="6"/>
  <c r="L736" i="5"/>
  <c r="L729" i="5"/>
  <c r="F730" i="5"/>
  <c r="L678" i="5"/>
  <c r="E97" i="6"/>
  <c r="L669" i="5"/>
  <c r="E96" i="6"/>
  <c r="L660" i="5"/>
  <c r="E95" i="6"/>
  <c r="L651" i="5"/>
  <c r="E94" i="6"/>
  <c r="L642" i="5"/>
  <c r="E93" i="6"/>
  <c r="E92" i="6"/>
  <c r="L635" i="5"/>
  <c r="L627" i="5"/>
  <c r="F628" i="5"/>
  <c r="L602" i="5"/>
  <c r="E87" i="6"/>
  <c r="L519" i="5"/>
  <c r="L505" i="5"/>
  <c r="F507" i="5"/>
  <c r="L374" i="5"/>
  <c r="E57" i="6"/>
  <c r="E56" i="6"/>
  <c r="L363" i="5"/>
  <c r="E53" i="6"/>
  <c r="L336" i="5"/>
  <c r="H321" i="5"/>
  <c r="L320" i="5"/>
  <c r="L308" i="5"/>
  <c r="L236" i="5"/>
  <c r="E37" i="6"/>
  <c r="L227" i="5"/>
  <c r="E36" i="6"/>
  <c r="L174" i="5"/>
  <c r="E28" i="6"/>
  <c r="E27" i="6"/>
  <c r="J160" i="5"/>
  <c r="L159" i="5"/>
  <c r="G22" i="6"/>
  <c r="L135" i="5"/>
  <c r="L121" i="5"/>
  <c r="L110" i="5"/>
  <c r="K51" i="5"/>
  <c r="L51" i="5"/>
  <c r="J52" i="5"/>
  <c r="L44" i="5"/>
  <c r="J45" i="5"/>
  <c r="H56" i="6" l="1"/>
  <c r="E140" i="7"/>
  <c r="H112" i="6"/>
  <c r="E292" i="7"/>
  <c r="F142" i="7"/>
  <c r="L142" i="7" s="1"/>
  <c r="K142" i="7"/>
  <c r="F106" i="7"/>
  <c r="L106" i="7" s="1"/>
  <c r="K106" i="7"/>
  <c r="F320" i="7"/>
  <c r="L320" i="7" s="1"/>
  <c r="K320" i="7"/>
  <c r="K206" i="7"/>
  <c r="F206" i="7"/>
  <c r="L206" i="7" s="1"/>
  <c r="H87" i="6"/>
  <c r="E218" i="7"/>
  <c r="H96" i="6"/>
  <c r="E227" i="7"/>
  <c r="H57" i="6"/>
  <c r="E141" i="7"/>
  <c r="H106" i="6"/>
  <c r="E258" i="7"/>
  <c r="H126" i="6"/>
  <c r="E325" i="7"/>
  <c r="F215" i="7"/>
  <c r="L215" i="7" s="1"/>
  <c r="K215" i="7"/>
  <c r="F324" i="7"/>
  <c r="L324" i="7" s="1"/>
  <c r="K324" i="7"/>
  <c r="F241" i="7"/>
  <c r="L241" i="7" s="1"/>
  <c r="K241" i="7"/>
  <c r="H22" i="6"/>
  <c r="I56" i="7"/>
  <c r="H36" i="6"/>
  <c r="E87" i="7"/>
  <c r="F322" i="7"/>
  <c r="L322" i="7" s="1"/>
  <c r="K322" i="7"/>
  <c r="F293" i="7"/>
  <c r="L293" i="7" s="1"/>
  <c r="K293" i="7"/>
  <c r="F110" i="7"/>
  <c r="L110" i="7" s="1"/>
  <c r="K110" i="7"/>
  <c r="H28" i="6"/>
  <c r="E76" i="7"/>
  <c r="H93" i="6"/>
  <c r="E224" i="7"/>
  <c r="F203" i="7"/>
  <c r="K203" i="7"/>
  <c r="F97" i="7"/>
  <c r="L97" i="7" s="1"/>
  <c r="K97" i="7"/>
  <c r="K262" i="7"/>
  <c r="F262" i="7"/>
  <c r="L262" i="7" s="1"/>
  <c r="K329" i="7"/>
  <c r="F329" i="7"/>
  <c r="L329" i="7" s="1"/>
  <c r="K214" i="7"/>
  <c r="F214" i="7"/>
  <c r="L214" i="7" s="1"/>
  <c r="K204" i="7"/>
  <c r="F204" i="7"/>
  <c r="L204" i="7" s="1"/>
  <c r="L96" i="7"/>
  <c r="H94" i="6"/>
  <c r="E225" i="7"/>
  <c r="H114" i="6"/>
  <c r="E313" i="7"/>
  <c r="H122" i="6"/>
  <c r="E321" i="7"/>
  <c r="H107" i="6"/>
  <c r="E259" i="7"/>
  <c r="H37" i="6"/>
  <c r="E88" i="7"/>
  <c r="H53" i="6"/>
  <c r="E111" i="7"/>
  <c r="H95" i="6"/>
  <c r="E226" i="7"/>
  <c r="H115" i="6"/>
  <c r="E314" i="7"/>
  <c r="H129" i="6"/>
  <c r="E328" i="7"/>
  <c r="F207" i="7"/>
  <c r="L207" i="7" s="1"/>
  <c r="K207" i="7"/>
  <c r="F243" i="7"/>
  <c r="L243" i="7" s="1"/>
  <c r="K243" i="7"/>
  <c r="F104" i="7"/>
  <c r="L104" i="7" s="1"/>
  <c r="K104" i="7"/>
  <c r="H97" i="6"/>
  <c r="E228" i="7"/>
  <c r="H27" i="6"/>
  <c r="E74" i="7"/>
  <c r="H92" i="6"/>
  <c r="E223" i="7"/>
  <c r="H111" i="6"/>
  <c r="E291" i="7"/>
  <c r="F242" i="7"/>
  <c r="L242" i="7" s="1"/>
  <c r="K242" i="7"/>
  <c r="F327" i="7"/>
  <c r="L327" i="7" s="1"/>
  <c r="K327" i="7"/>
  <c r="F81" i="7"/>
  <c r="L81" i="7" s="1"/>
  <c r="K81" i="7"/>
  <c r="L1183" i="5"/>
  <c r="E183" i="6"/>
  <c r="L1175" i="5"/>
  <c r="E182" i="6"/>
  <c r="E485" i="5"/>
  <c r="E498" i="5"/>
  <c r="H181" i="6"/>
  <c r="E492" i="5"/>
  <c r="L1163" i="5"/>
  <c r="E180" i="6"/>
  <c r="L1157" i="5"/>
  <c r="E179" i="6"/>
  <c r="G178" i="6"/>
  <c r="L1151" i="5"/>
  <c r="E471" i="5"/>
  <c r="E459" i="5"/>
  <c r="E445" i="5"/>
  <c r="H177" i="6"/>
  <c r="F452" i="5"/>
  <c r="L452" i="5" s="1"/>
  <c r="K452" i="5"/>
  <c r="F438" i="5"/>
  <c r="L438" i="5" s="1"/>
  <c r="K438" i="5"/>
  <c r="E431" i="5"/>
  <c r="H173" i="6"/>
  <c r="K419" i="5"/>
  <c r="F1106" i="5"/>
  <c r="K1106" i="5"/>
  <c r="H415" i="5"/>
  <c r="F61" i="6" s="1"/>
  <c r="G159" i="7" s="1"/>
  <c r="H159" i="7" s="1"/>
  <c r="H179" i="7" s="1"/>
  <c r="G11" i="8" s="1"/>
  <c r="H11" i="8" s="1"/>
  <c r="F446" i="5"/>
  <c r="K446" i="5"/>
  <c r="F433" i="5"/>
  <c r="K433" i="5"/>
  <c r="K425" i="5"/>
  <c r="F425" i="5"/>
  <c r="L425" i="5" s="1"/>
  <c r="F413" i="5"/>
  <c r="L413" i="5" s="1"/>
  <c r="K413" i="5"/>
  <c r="F460" i="5"/>
  <c r="K460" i="5"/>
  <c r="F472" i="5"/>
  <c r="K472" i="5"/>
  <c r="L423" i="5"/>
  <c r="F408" i="5"/>
  <c r="K408" i="5"/>
  <c r="L1086" i="5"/>
  <c r="E166" i="6"/>
  <c r="L1077" i="5"/>
  <c r="E165" i="6"/>
  <c r="L357" i="5"/>
  <c r="F358" i="5"/>
  <c r="L351" i="5"/>
  <c r="F352" i="5"/>
  <c r="K325" i="5"/>
  <c r="F326" i="5"/>
  <c r="L325" i="5"/>
  <c r="F311" i="5"/>
  <c r="K311" i="5"/>
  <c r="F317" i="5"/>
  <c r="K317" i="5"/>
  <c r="H249" i="5"/>
  <c r="L248" i="5"/>
  <c r="E240" i="5"/>
  <c r="H158" i="6"/>
  <c r="F149" i="5"/>
  <c r="L148" i="5"/>
  <c r="F154" i="5"/>
  <c r="L153" i="5"/>
  <c r="F122" i="5"/>
  <c r="K122" i="5"/>
  <c r="F114" i="5"/>
  <c r="L114" i="5" s="1"/>
  <c r="K114" i="5"/>
  <c r="F113" i="5"/>
  <c r="L113" i="5" s="1"/>
  <c r="K113" i="5"/>
  <c r="K123" i="5"/>
  <c r="H115" i="5"/>
  <c r="F20" i="6" s="1"/>
  <c r="G54" i="7" s="1"/>
  <c r="H54" i="7" s="1"/>
  <c r="L112" i="5"/>
  <c r="H126" i="5"/>
  <c r="F21" i="6" s="1"/>
  <c r="G55" i="7" s="1"/>
  <c r="H55" i="7" s="1"/>
  <c r="L123" i="5"/>
  <c r="L990" i="5"/>
  <c r="E111" i="5"/>
  <c r="H150" i="6"/>
  <c r="H147" i="6"/>
  <c r="E102" i="5"/>
  <c r="L958" i="5"/>
  <c r="E144" i="6"/>
  <c r="F91" i="5"/>
  <c r="L91" i="5" s="1"/>
  <c r="K91" i="5"/>
  <c r="G96" i="5"/>
  <c r="G72" i="5"/>
  <c r="G77" i="5"/>
  <c r="J935" i="5"/>
  <c r="L934" i="5"/>
  <c r="E71" i="5"/>
  <c r="H139" i="6"/>
  <c r="F59" i="5"/>
  <c r="L58" i="5"/>
  <c r="F92" i="5"/>
  <c r="L88" i="5"/>
  <c r="F78" i="5"/>
  <c r="L76" i="5"/>
  <c r="L95" i="5"/>
  <c r="F68" i="5"/>
  <c r="L66" i="5"/>
  <c r="E7" i="6"/>
  <c r="L32" i="5"/>
  <c r="E897" i="5"/>
  <c r="H135" i="6"/>
  <c r="E127" i="6"/>
  <c r="L859" i="5"/>
  <c r="G124" i="6"/>
  <c r="L842" i="5"/>
  <c r="G116" i="6"/>
  <c r="L797" i="5"/>
  <c r="L730" i="5"/>
  <c r="E105" i="6"/>
  <c r="E91" i="6"/>
  <c r="L628" i="5"/>
  <c r="L507" i="5"/>
  <c r="E71" i="6"/>
  <c r="F50" i="6"/>
  <c r="G108" i="7" s="1"/>
  <c r="H108" i="7" s="1"/>
  <c r="G26" i="6"/>
  <c r="L160" i="5"/>
  <c r="G10" i="6"/>
  <c r="L52" i="5"/>
  <c r="G9" i="6"/>
  <c r="L45" i="5"/>
  <c r="F74" i="7" l="1"/>
  <c r="L74" i="7" s="1"/>
  <c r="K74" i="7"/>
  <c r="F88" i="7"/>
  <c r="L88" i="7" s="1"/>
  <c r="K88" i="7"/>
  <c r="K141" i="7"/>
  <c r="F141" i="7"/>
  <c r="L141" i="7" s="1"/>
  <c r="F76" i="7"/>
  <c r="L76" i="7" s="1"/>
  <c r="K76" i="7"/>
  <c r="H116" i="6"/>
  <c r="I315" i="7"/>
  <c r="F314" i="7"/>
  <c r="L314" i="7" s="1"/>
  <c r="K314" i="7"/>
  <c r="F313" i="7"/>
  <c r="K313" i="7"/>
  <c r="J56" i="7"/>
  <c r="L56" i="7" s="1"/>
  <c r="K56" i="7"/>
  <c r="H10" i="6"/>
  <c r="I12" i="7"/>
  <c r="H91" i="6"/>
  <c r="E222" i="7"/>
  <c r="H124" i="6"/>
  <c r="I323" i="7"/>
  <c r="H7" i="6"/>
  <c r="E8" i="7"/>
  <c r="K291" i="7"/>
  <c r="F291" i="7"/>
  <c r="K228" i="7"/>
  <c r="F228" i="7"/>
  <c r="L228" i="7" s="1"/>
  <c r="F226" i="7"/>
  <c r="L226" i="7" s="1"/>
  <c r="K226" i="7"/>
  <c r="F259" i="7"/>
  <c r="L259" i="7" s="1"/>
  <c r="K259" i="7"/>
  <c r="F225" i="7"/>
  <c r="L225" i="7" s="1"/>
  <c r="K225" i="7"/>
  <c r="F325" i="7"/>
  <c r="L325" i="7" s="1"/>
  <c r="K325" i="7"/>
  <c r="F227" i="7"/>
  <c r="L227" i="7" s="1"/>
  <c r="K227" i="7"/>
  <c r="F292" i="7"/>
  <c r="L292" i="7" s="1"/>
  <c r="K292" i="7"/>
  <c r="H26" i="6"/>
  <c r="I73" i="7"/>
  <c r="H105" i="6"/>
  <c r="E257" i="7"/>
  <c r="H127" i="6"/>
  <c r="E326" i="7"/>
  <c r="F223" i="7"/>
  <c r="L223" i="7" s="1"/>
  <c r="K223" i="7"/>
  <c r="F328" i="7"/>
  <c r="L328" i="7" s="1"/>
  <c r="K328" i="7"/>
  <c r="K111" i="7"/>
  <c r="F111" i="7"/>
  <c r="L111" i="7" s="1"/>
  <c r="F321" i="7"/>
  <c r="L321" i="7" s="1"/>
  <c r="K321" i="7"/>
  <c r="L203" i="7"/>
  <c r="K87" i="7"/>
  <c r="F87" i="7"/>
  <c r="L87" i="7" s="1"/>
  <c r="F258" i="7"/>
  <c r="L258" i="7" s="1"/>
  <c r="K258" i="7"/>
  <c r="F218" i="7"/>
  <c r="L218" i="7" s="1"/>
  <c r="K218" i="7"/>
  <c r="F140" i="7"/>
  <c r="L140" i="7" s="1"/>
  <c r="K140" i="7"/>
  <c r="H9" i="6"/>
  <c r="I10" i="7"/>
  <c r="H71" i="6"/>
  <c r="E185" i="7"/>
  <c r="K224" i="7"/>
  <c r="F224" i="7"/>
  <c r="L224" i="7" s="1"/>
  <c r="H183" i="6"/>
  <c r="E493" i="5"/>
  <c r="E499" i="5"/>
  <c r="H182" i="6"/>
  <c r="E487" i="5"/>
  <c r="K492" i="5"/>
  <c r="F492" i="5"/>
  <c r="F498" i="5"/>
  <c r="K498" i="5"/>
  <c r="F485" i="5"/>
  <c r="K485" i="5"/>
  <c r="H180" i="6"/>
  <c r="E480" i="5"/>
  <c r="H179" i="6"/>
  <c r="E479" i="5"/>
  <c r="I466" i="5"/>
  <c r="H178" i="6"/>
  <c r="K471" i="5"/>
  <c r="F471" i="5"/>
  <c r="L471" i="5" s="1"/>
  <c r="F459" i="5"/>
  <c r="L459" i="5" s="1"/>
  <c r="K459" i="5"/>
  <c r="F445" i="5"/>
  <c r="L445" i="5" s="1"/>
  <c r="K445" i="5"/>
  <c r="F431" i="5"/>
  <c r="L431" i="5" s="1"/>
  <c r="K431" i="5"/>
  <c r="F1107" i="5"/>
  <c r="L1106" i="5"/>
  <c r="L446" i="5"/>
  <c r="L472" i="5"/>
  <c r="L460" i="5"/>
  <c r="L433" i="5"/>
  <c r="L408" i="5"/>
  <c r="E392" i="5"/>
  <c r="H166" i="6"/>
  <c r="H165" i="6"/>
  <c r="E391" i="5"/>
  <c r="E54" i="6"/>
  <c r="L352" i="5"/>
  <c r="E55" i="6"/>
  <c r="L358" i="5"/>
  <c r="L326" i="5"/>
  <c r="E51" i="6"/>
  <c r="L311" i="5"/>
  <c r="F314" i="5"/>
  <c r="F321" i="5"/>
  <c r="L317" i="5"/>
  <c r="F40" i="6"/>
  <c r="L249" i="5"/>
  <c r="F240" i="5"/>
  <c r="K240" i="5"/>
  <c r="E24" i="6"/>
  <c r="L149" i="5"/>
  <c r="E25" i="6"/>
  <c r="L154" i="5"/>
  <c r="L122" i="5"/>
  <c r="F126" i="5"/>
  <c r="E21" i="6" s="1"/>
  <c r="F111" i="5"/>
  <c r="K111" i="5"/>
  <c r="K102" i="5"/>
  <c r="F102" i="5"/>
  <c r="E97" i="5"/>
  <c r="H144" i="6"/>
  <c r="G140" i="6"/>
  <c r="L935" i="5"/>
  <c r="H96" i="5"/>
  <c r="H77" i="5"/>
  <c r="H72" i="5"/>
  <c r="F71" i="5"/>
  <c r="K71" i="5"/>
  <c r="E11" i="6"/>
  <c r="L59" i="5"/>
  <c r="E15" i="6"/>
  <c r="E13" i="6"/>
  <c r="L68" i="5"/>
  <c r="L92" i="5"/>
  <c r="E17" i="6"/>
  <c r="F897" i="5"/>
  <c r="L897" i="5" s="1"/>
  <c r="I898" i="5" s="1"/>
  <c r="K897" i="5"/>
  <c r="J10" i="7" l="1"/>
  <c r="L10" i="7" s="1"/>
  <c r="K10" i="7"/>
  <c r="J73" i="7"/>
  <c r="K73" i="7"/>
  <c r="F8" i="7"/>
  <c r="K8" i="7"/>
  <c r="J12" i="7"/>
  <c r="L12" i="7" s="1"/>
  <c r="K12" i="7"/>
  <c r="H24" i="6"/>
  <c r="E71" i="7"/>
  <c r="H54" i="6"/>
  <c r="E138" i="7"/>
  <c r="H13" i="6"/>
  <c r="E30" i="7"/>
  <c r="E294" i="7"/>
  <c r="E32" i="7"/>
  <c r="H51" i="6"/>
  <c r="E109" i="7"/>
  <c r="F326" i="7"/>
  <c r="L326" i="7" s="1"/>
  <c r="K326" i="7"/>
  <c r="J323" i="7"/>
  <c r="L323" i="7" s="1"/>
  <c r="K323" i="7"/>
  <c r="J315" i="7"/>
  <c r="K315" i="7"/>
  <c r="H21" i="6"/>
  <c r="E55" i="7"/>
  <c r="H25" i="6"/>
  <c r="E72" i="7"/>
  <c r="H40" i="6"/>
  <c r="G94" i="7"/>
  <c r="H17" i="6"/>
  <c r="E49" i="7"/>
  <c r="H11" i="6"/>
  <c r="E27" i="7"/>
  <c r="F185" i="7"/>
  <c r="L185" i="7" s="1"/>
  <c r="K185" i="7"/>
  <c r="F257" i="7"/>
  <c r="L257" i="7" s="1"/>
  <c r="K257" i="7"/>
  <c r="L291" i="7"/>
  <c r="F222" i="7"/>
  <c r="L222" i="7" s="1"/>
  <c r="K222" i="7"/>
  <c r="H55" i="6"/>
  <c r="E139" i="7"/>
  <c r="L267" i="7"/>
  <c r="F333" i="7"/>
  <c r="E16" i="8" s="1"/>
  <c r="L313" i="7"/>
  <c r="F499" i="5"/>
  <c r="L499" i="5" s="1"/>
  <c r="K499" i="5"/>
  <c r="F493" i="5"/>
  <c r="L493" i="5" s="1"/>
  <c r="K493" i="5"/>
  <c r="F487" i="5"/>
  <c r="L487" i="5" s="1"/>
  <c r="K487" i="5"/>
  <c r="F488" i="5"/>
  <c r="L485" i="5"/>
  <c r="L498" i="5"/>
  <c r="F500" i="5"/>
  <c r="L492" i="5"/>
  <c r="F494" i="5"/>
  <c r="F480" i="5"/>
  <c r="L480" i="5" s="1"/>
  <c r="K480" i="5"/>
  <c r="F479" i="5"/>
  <c r="K479" i="5"/>
  <c r="J466" i="5"/>
  <c r="K466" i="5"/>
  <c r="E170" i="6"/>
  <c r="L1107" i="5"/>
  <c r="F392" i="5"/>
  <c r="L392" i="5" s="1"/>
  <c r="K392" i="5"/>
  <c r="K391" i="5"/>
  <c r="F391" i="5"/>
  <c r="E49" i="6"/>
  <c r="L314" i="5"/>
  <c r="E50" i="6"/>
  <c r="L321" i="5"/>
  <c r="F241" i="5"/>
  <c r="L240" i="5"/>
  <c r="L126" i="5"/>
  <c r="L111" i="5"/>
  <c r="F115" i="5"/>
  <c r="L102" i="5"/>
  <c r="F104" i="5"/>
  <c r="F97" i="5"/>
  <c r="K97" i="5"/>
  <c r="H73" i="5"/>
  <c r="F14" i="6" s="1"/>
  <c r="G31" i="7" s="1"/>
  <c r="H31" i="7" s="1"/>
  <c r="I72" i="5"/>
  <c r="I77" i="5"/>
  <c r="I96" i="5"/>
  <c r="H140" i="6"/>
  <c r="H78" i="5"/>
  <c r="H98" i="5"/>
  <c r="F73" i="5"/>
  <c r="L71" i="5"/>
  <c r="K898" i="5"/>
  <c r="J898" i="5"/>
  <c r="H50" i="6" l="1"/>
  <c r="E108" i="7"/>
  <c r="F16" i="8"/>
  <c r="L16" i="8" s="1"/>
  <c r="K16" i="8"/>
  <c r="K109" i="7"/>
  <c r="F109" i="7"/>
  <c r="L109" i="7" s="1"/>
  <c r="F138" i="7"/>
  <c r="K138" i="7"/>
  <c r="K27" i="7"/>
  <c r="F27" i="7"/>
  <c r="J333" i="7"/>
  <c r="I16" i="8" s="1"/>
  <c r="J16" i="8" s="1"/>
  <c r="L315" i="7"/>
  <c r="L8" i="7"/>
  <c r="F25" i="7"/>
  <c r="E6" i="8" s="1"/>
  <c r="H49" i="6"/>
  <c r="E107" i="7"/>
  <c r="F139" i="7"/>
  <c r="L139" i="7" s="1"/>
  <c r="K139" i="7"/>
  <c r="F72" i="7"/>
  <c r="L72" i="7" s="1"/>
  <c r="K72" i="7"/>
  <c r="F32" i="7"/>
  <c r="F71" i="7"/>
  <c r="K71" i="7"/>
  <c r="F49" i="7"/>
  <c r="K49" i="7"/>
  <c r="F294" i="7"/>
  <c r="L73" i="7"/>
  <c r="J135" i="7"/>
  <c r="I9" i="8" s="1"/>
  <c r="J9" i="8" s="1"/>
  <c r="F267" i="7"/>
  <c r="E13" i="8" s="1"/>
  <c r="F55" i="7"/>
  <c r="L55" i="7" s="1"/>
  <c r="K55" i="7"/>
  <c r="F30" i="7"/>
  <c r="L30" i="7" s="1"/>
  <c r="K30" i="7"/>
  <c r="L333" i="7"/>
  <c r="H94" i="7"/>
  <c r="K94" i="7"/>
  <c r="E69" i="6"/>
  <c r="L494" i="5"/>
  <c r="E70" i="6"/>
  <c r="L500" i="5"/>
  <c r="L488" i="5"/>
  <c r="E68" i="6"/>
  <c r="F481" i="5"/>
  <c r="L479" i="5"/>
  <c r="L466" i="5"/>
  <c r="J474" i="5"/>
  <c r="G66" i="6" s="1"/>
  <c r="I164" i="7" s="1"/>
  <c r="J164" i="7" s="1"/>
  <c r="J179" i="7" s="1"/>
  <c r="I11" i="8" s="1"/>
  <c r="J11" i="8" s="1"/>
  <c r="E473" i="5"/>
  <c r="E447" i="5"/>
  <c r="H170" i="6"/>
  <c r="E461" i="5"/>
  <c r="E414" i="5"/>
  <c r="E432" i="5"/>
  <c r="E426" i="5"/>
  <c r="L391" i="5"/>
  <c r="F395" i="5"/>
  <c r="E38" i="6"/>
  <c r="L241" i="5"/>
  <c r="L115" i="5"/>
  <c r="E20" i="6"/>
  <c r="E19" i="6"/>
  <c r="L104" i="5"/>
  <c r="L97" i="5"/>
  <c r="F98" i="5"/>
  <c r="E18" i="6" s="1"/>
  <c r="E50" i="7" s="1"/>
  <c r="F18" i="6"/>
  <c r="G50" i="7" s="1"/>
  <c r="H50" i="7" s="1"/>
  <c r="H69" i="7" s="1"/>
  <c r="G8" i="8" s="1"/>
  <c r="H8" i="8" s="1"/>
  <c r="F15" i="6"/>
  <c r="J77" i="5"/>
  <c r="K77" i="5"/>
  <c r="J96" i="5"/>
  <c r="K96" i="5"/>
  <c r="J72" i="5"/>
  <c r="K72" i="5"/>
  <c r="E14" i="6"/>
  <c r="E31" i="7" s="1"/>
  <c r="L898" i="5"/>
  <c r="J899" i="5"/>
  <c r="H69" i="6" l="1"/>
  <c r="E183" i="7"/>
  <c r="F107" i="7"/>
  <c r="L107" i="7" s="1"/>
  <c r="K107" i="7"/>
  <c r="L27" i="7"/>
  <c r="L94" i="7"/>
  <c r="H135" i="7"/>
  <c r="G9" i="8" s="1"/>
  <c r="H9" i="8" s="1"/>
  <c r="H19" i="6"/>
  <c r="E51" i="7"/>
  <c r="H68" i="6"/>
  <c r="E182" i="7"/>
  <c r="F311" i="7"/>
  <c r="E15" i="8" s="1"/>
  <c r="F31" i="7"/>
  <c r="G294" i="7"/>
  <c r="G32" i="7"/>
  <c r="H20" i="6"/>
  <c r="E54" i="7"/>
  <c r="F6" i="8"/>
  <c r="F13" i="8"/>
  <c r="L13" i="8" s="1"/>
  <c r="K13" i="8"/>
  <c r="L49" i="7"/>
  <c r="F50" i="7"/>
  <c r="H70" i="6"/>
  <c r="E184" i="7"/>
  <c r="F108" i="7"/>
  <c r="L108" i="7" s="1"/>
  <c r="K108" i="7"/>
  <c r="H38" i="6"/>
  <c r="E89" i="7"/>
  <c r="L71" i="7"/>
  <c r="L138" i="7"/>
  <c r="E67" i="6"/>
  <c r="L481" i="5"/>
  <c r="K426" i="5"/>
  <c r="F426" i="5"/>
  <c r="F473" i="5"/>
  <c r="K473" i="5"/>
  <c r="F432" i="5"/>
  <c r="K432" i="5"/>
  <c r="F461" i="5"/>
  <c r="K461" i="5"/>
  <c r="F414" i="5"/>
  <c r="K414" i="5"/>
  <c r="F447" i="5"/>
  <c r="K447" i="5"/>
  <c r="L395" i="5"/>
  <c r="E59" i="6"/>
  <c r="J78" i="5"/>
  <c r="L77" i="5"/>
  <c r="J98" i="5"/>
  <c r="L96" i="5"/>
  <c r="J73" i="5"/>
  <c r="L72" i="5"/>
  <c r="G134" i="6"/>
  <c r="L899" i="5"/>
  <c r="H67" i="6" l="1"/>
  <c r="E181" i="7"/>
  <c r="K89" i="7"/>
  <c r="F89" i="7"/>
  <c r="F51" i="7"/>
  <c r="K51" i="7"/>
  <c r="F47" i="7"/>
  <c r="E7" i="8" s="1"/>
  <c r="K54" i="7"/>
  <c r="F54" i="7"/>
  <c r="L54" i="7" s="1"/>
  <c r="F15" i="8"/>
  <c r="F184" i="7"/>
  <c r="L184" i="7" s="1"/>
  <c r="K184" i="7"/>
  <c r="H32" i="7"/>
  <c r="K183" i="7"/>
  <c r="F183" i="7"/>
  <c r="L183" i="7" s="1"/>
  <c r="H59" i="6"/>
  <c r="E143" i="7"/>
  <c r="H294" i="7"/>
  <c r="F182" i="7"/>
  <c r="L182" i="7" s="1"/>
  <c r="K182" i="7"/>
  <c r="L461" i="5"/>
  <c r="F462" i="5"/>
  <c r="L432" i="5"/>
  <c r="F434" i="5"/>
  <c r="L473" i="5"/>
  <c r="F474" i="5"/>
  <c r="L447" i="5"/>
  <c r="F448" i="5"/>
  <c r="L414" i="5"/>
  <c r="F415" i="5"/>
  <c r="L426" i="5"/>
  <c r="F427" i="5"/>
  <c r="G18" i="6"/>
  <c r="L98" i="5"/>
  <c r="G15" i="6"/>
  <c r="L78" i="5"/>
  <c r="G14" i="6"/>
  <c r="L73" i="5"/>
  <c r="I12" i="5"/>
  <c r="H134" i="6"/>
  <c r="I6" i="5"/>
  <c r="H14" i="6" l="1"/>
  <c r="I31" i="7"/>
  <c r="F7" i="8"/>
  <c r="H15" i="6"/>
  <c r="I294" i="7"/>
  <c r="I32" i="7"/>
  <c r="H311" i="7"/>
  <c r="G15" i="8" s="1"/>
  <c r="L51" i="7"/>
  <c r="F69" i="7"/>
  <c r="E8" i="8" s="1"/>
  <c r="L89" i="7"/>
  <c r="L135" i="7" s="1"/>
  <c r="F135" i="7"/>
  <c r="E9" i="8" s="1"/>
  <c r="H47" i="7"/>
  <c r="G7" i="8" s="1"/>
  <c r="H7" i="8" s="1"/>
  <c r="H18" i="6"/>
  <c r="I50" i="7"/>
  <c r="F143" i="7"/>
  <c r="K143" i="7"/>
  <c r="F181" i="7"/>
  <c r="K181" i="7"/>
  <c r="E66" i="6"/>
  <c r="L474" i="5"/>
  <c r="L427" i="5"/>
  <c r="E62" i="6"/>
  <c r="L434" i="5"/>
  <c r="E63" i="6"/>
  <c r="E61" i="6"/>
  <c r="L415" i="5"/>
  <c r="E64" i="6"/>
  <c r="L448" i="5"/>
  <c r="E65" i="6"/>
  <c r="L462" i="5"/>
  <c r="J6" i="5"/>
  <c r="L6" i="5" s="1"/>
  <c r="I7" i="5" s="1"/>
  <c r="K6" i="5"/>
  <c r="K12" i="5"/>
  <c r="J12" i="5"/>
  <c r="L12" i="5" s="1"/>
  <c r="I13" i="5" s="1"/>
  <c r="J50" i="7" l="1"/>
  <c r="K50" i="7"/>
  <c r="F8" i="8"/>
  <c r="H61" i="6"/>
  <c r="E159" i="7"/>
  <c r="H66" i="6"/>
  <c r="E164" i="7"/>
  <c r="H63" i="6"/>
  <c r="E161" i="7"/>
  <c r="L181" i="7"/>
  <c r="L201" i="7" s="1"/>
  <c r="F201" i="7"/>
  <c r="E12" i="8" s="1"/>
  <c r="H15" i="8"/>
  <c r="H65" i="6"/>
  <c r="E163" i="7"/>
  <c r="H62" i="6"/>
  <c r="E160" i="7"/>
  <c r="F9" i="8"/>
  <c r="L9" i="8" s="1"/>
  <c r="K9" i="8"/>
  <c r="J32" i="7"/>
  <c r="L32" i="7" s="1"/>
  <c r="K32" i="7"/>
  <c r="J31" i="7"/>
  <c r="K31" i="7"/>
  <c r="H64" i="6"/>
  <c r="E162" i="7"/>
  <c r="L143" i="7"/>
  <c r="L157" i="7" s="1"/>
  <c r="F157" i="7"/>
  <c r="E10" i="8" s="1"/>
  <c r="J294" i="7"/>
  <c r="K294" i="7"/>
  <c r="K7" i="5"/>
  <c r="J7" i="5"/>
  <c r="J13" i="5"/>
  <c r="K13" i="5"/>
  <c r="F162" i="7" l="1"/>
  <c r="L162" i="7" s="1"/>
  <c r="K162" i="7"/>
  <c r="K159" i="7"/>
  <c r="F159" i="7"/>
  <c r="F160" i="7"/>
  <c r="L160" i="7" s="1"/>
  <c r="K160" i="7"/>
  <c r="K161" i="7"/>
  <c r="F161" i="7"/>
  <c r="L161" i="7" s="1"/>
  <c r="J311" i="7"/>
  <c r="I15" i="8" s="1"/>
  <c r="L294" i="7"/>
  <c r="L311" i="7" s="1"/>
  <c r="J47" i="7"/>
  <c r="I7" i="8" s="1"/>
  <c r="L31" i="7"/>
  <c r="L47" i="7" s="1"/>
  <c r="F10" i="8"/>
  <c r="L10" i="8" s="1"/>
  <c r="K10" i="8"/>
  <c r="F163" i="7"/>
  <c r="L163" i="7" s="1"/>
  <c r="K163" i="7"/>
  <c r="G5" i="8"/>
  <c r="H5" i="8" s="1"/>
  <c r="F164" i="7"/>
  <c r="L164" i="7" s="1"/>
  <c r="K164" i="7"/>
  <c r="F12" i="8"/>
  <c r="L12" i="8" s="1"/>
  <c r="K12" i="8"/>
  <c r="J69" i="7"/>
  <c r="I8" i="8" s="1"/>
  <c r="L50" i="7"/>
  <c r="L69" i="7" s="1"/>
  <c r="J8" i="5"/>
  <c r="L7" i="5"/>
  <c r="J14" i="5"/>
  <c r="L13" i="5"/>
  <c r="J7" i="8" l="1"/>
  <c r="L7" i="8" s="1"/>
  <c r="K7" i="8"/>
  <c r="F179" i="7"/>
  <c r="E11" i="8" s="1"/>
  <c r="L159" i="7"/>
  <c r="L179" i="7" s="1"/>
  <c r="J15" i="8"/>
  <c r="L15" i="8" s="1"/>
  <c r="K15" i="8"/>
  <c r="H25" i="8"/>
  <c r="E8" i="3"/>
  <c r="J8" i="8"/>
  <c r="L8" i="8" s="1"/>
  <c r="K8" i="8"/>
  <c r="G5" i="6"/>
  <c r="L14" i="5"/>
  <c r="G4" i="6"/>
  <c r="L8" i="5"/>
  <c r="H5" i="6" l="1"/>
  <c r="I6" i="7"/>
  <c r="F11" i="8"/>
  <c r="K11" i="8"/>
  <c r="H4" i="6"/>
  <c r="I5" i="7"/>
  <c r="E16" i="3"/>
  <c r="E8" i="9"/>
  <c r="E9" i="3"/>
  <c r="E10" i="3" s="1"/>
  <c r="E14" i="3"/>
  <c r="E15" i="3"/>
  <c r="J5" i="7" l="1"/>
  <c r="K5" i="7"/>
  <c r="E12" i="3"/>
  <c r="E13" i="3"/>
  <c r="J6" i="7"/>
  <c r="L6" i="7" s="1"/>
  <c r="K6" i="7"/>
  <c r="L11" i="8"/>
  <c r="E5" i="8"/>
  <c r="G8" i="9"/>
  <c r="E14" i="9"/>
  <c r="E9" i="9"/>
  <c r="E10" i="9" l="1"/>
  <c r="G9" i="9"/>
  <c r="G14" i="9"/>
  <c r="F5" i="8"/>
  <c r="J25" i="7"/>
  <c r="I6" i="8" s="1"/>
  <c r="L5" i="7"/>
  <c r="L25" i="7" s="1"/>
  <c r="E4" i="3" l="1"/>
  <c r="F25" i="8"/>
  <c r="J6" i="8"/>
  <c r="K6" i="8"/>
  <c r="G10" i="9"/>
  <c r="E13" i="9"/>
  <c r="G13" i="9" s="1"/>
  <c r="E12" i="9"/>
  <c r="G12" i="9" s="1"/>
  <c r="I5" i="8" l="1"/>
  <c r="L6" i="8"/>
  <c r="E7" i="3"/>
  <c r="E4" i="9"/>
  <c r="G4" i="9" l="1"/>
  <c r="E7" i="9"/>
  <c r="J5" i="8"/>
  <c r="K5" i="8"/>
  <c r="J25" i="8" l="1"/>
  <c r="E11" i="3"/>
  <c r="L5" i="8"/>
  <c r="L25" i="8" s="1"/>
  <c r="G7" i="9"/>
  <c r="E11" i="9" l="1"/>
  <c r="G11" i="9" l="1"/>
</calcChain>
</file>

<file path=xl/sharedStrings.xml><?xml version="1.0" encoding="utf-8"?>
<sst xmlns="http://schemas.openxmlformats.org/spreadsheetml/2006/main" count="18236" uniqueCount="2671">
  <si>
    <t>공 종 별 집 계 표</t>
  </si>
  <si>
    <t>[ 부산역 4층(부고열소) 내부개수 기타공사(총체) ]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</si>
  <si>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</si>
  <si>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</si>
  <si>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</si>
  <si>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</si>
  <si>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</si>
  <si>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</si>
  <si>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</si>
  <si>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</si>
  <si>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</si>
  <si>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</si>
  <si>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</si>
  <si>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</si>
  <si>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</si>
  <si>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</si>
  <si>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</si>
  <si>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</si>
  <si>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</si>
  <si>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</si>
  <si>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</si>
  <si>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</si>
  <si>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</si>
  <si>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</si>
  <si>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</si>
  <si>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</si>
  <si>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</si>
  <si>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</si>
  <si>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</si>
  <si>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</si>
  <si>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</si>
  <si>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</si>
  <si>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</si>
  <si>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</si>
  <si>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</si>
  <si>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</si>
  <si>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</si>
  <si>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</si>
  <si>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</si>
  <si>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</si>
  <si>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</si>
  <si>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</si>
  <si>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</si>
  <si>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</si>
  <si>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</si>
  <si>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</si>
  <si>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</si>
  <si>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</si>
  <si>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</si>
  <si>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</si>
  <si>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</si>
  <si>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>01  부산역 4층(부고열소) 내부개수 기타공사(총체)</t>
  </si>
  <si>
    <t/>
  </si>
  <si>
    <t>01</t>
  </si>
  <si>
    <t>0101  가설공사</t>
  </si>
  <si>
    <t>0101</t>
  </si>
  <si>
    <t>콘테이너형 가설사무소 설치 및 해체</t>
  </si>
  <si>
    <t>3.0*6.0m, 3개월</t>
  </si>
  <si>
    <t>개소</t>
  </si>
  <si>
    <t>528CE206FA04C98EB34FCA3743B093</t>
  </si>
  <si>
    <t>T</t>
  </si>
  <si>
    <t>F</t>
  </si>
  <si>
    <t>0101528CE206FA04C98EB34FCA3743B093</t>
  </si>
  <si>
    <t>콘테이너형 가설창고 설치 및 해체</t>
  </si>
  <si>
    <t>528CE206FA04F95DAB2BC23B235ECF</t>
  </si>
  <si>
    <t>0101528CE206FA04F95DAB2BC23B235ECF</t>
  </si>
  <si>
    <t>건축물 현장정리</t>
  </si>
  <si>
    <t>목조, 철골조, 조적조</t>
  </si>
  <si>
    <t>M2</t>
  </si>
  <si>
    <t>528CE20691B3B972B985053583A21F</t>
  </si>
  <si>
    <t>0101528CE20691B3B972B985053583A21F</t>
  </si>
  <si>
    <t>강관 조립말비계(이동식)설치 및 해체</t>
  </si>
  <si>
    <t>높이 4m, 3개월</t>
  </si>
  <si>
    <t>대</t>
  </si>
  <si>
    <t>528CE206CEDAC9860073CE3B53545E</t>
  </si>
  <si>
    <t>0101528CE206CEDAC9860073CE3B53545E</t>
  </si>
  <si>
    <t>시스템비계 설치 및 해체</t>
  </si>
  <si>
    <t>10m 이하</t>
  </si>
  <si>
    <t>528CE206CEDAC98602247D3B532581</t>
  </si>
  <si>
    <t>0101528CE206CEDAC98602247D3B532581</t>
  </si>
  <si>
    <t>RPP가설울타리판 설치</t>
  </si>
  <si>
    <t>설치높이 6m 이하</t>
  </si>
  <si>
    <t>M</t>
  </si>
  <si>
    <t>528CE206CEF5C913FD184B3B537AB61C</t>
  </si>
  <si>
    <t>0101528CE206CEF5C913FD184B3B537AB61C</t>
  </si>
  <si>
    <t>RPP 가설흡음형 방음판</t>
  </si>
  <si>
    <t>H-667*40T</t>
  </si>
  <si>
    <t>㎡</t>
  </si>
  <si>
    <t>55A91276F33FC9B81C1B63395392CE628CD7387C</t>
  </si>
  <si>
    <t>010155A91276F33FC9B81C1B63395392CE628CD7387C</t>
  </si>
  <si>
    <t>RPP가설울타리판 해체</t>
  </si>
  <si>
    <t>528CE206CEF5C913FD184B3B537B5CE1</t>
  </si>
  <si>
    <t>0101528CE206CEF5C913FD184B3B537B5CE1</t>
  </si>
  <si>
    <t>[ 합           계 ]</t>
  </si>
  <si>
    <t>TOTAL</t>
  </si>
  <si>
    <t>0102  조적공사 및 미장공사</t>
  </si>
  <si>
    <t>0102</t>
  </si>
  <si>
    <t>1.0B 벽돌쌓기</t>
  </si>
  <si>
    <t>3.6m 초과</t>
  </si>
  <si>
    <t>528C9286A920C9AA1212993083EF9B</t>
  </si>
  <si>
    <t>0102528C9286A920C9AA1212993083EF9B</t>
  </si>
  <si>
    <t>콘크리트벽돌</t>
  </si>
  <si>
    <t>콘크리트벽돌, 190*57*90mm, 부산, C종2급</t>
  </si>
  <si>
    <t>매</t>
  </si>
  <si>
    <t>55A91276F32D69BA3EC34E3DC3FEFBFD509264</t>
  </si>
  <si>
    <t>010255A91276F32D69BA3EC34E3DC3FEFBFD509264</t>
  </si>
  <si>
    <t>벽돌운반</t>
  </si>
  <si>
    <t>인력, 4층</t>
  </si>
  <si>
    <t>천매</t>
  </si>
  <si>
    <t>528C9286A90419EA3F99A93D539B80</t>
  </si>
  <si>
    <t>0102528C9286A90419EA3F99A93D539B80</t>
  </si>
  <si>
    <t>모르타르 바름</t>
  </si>
  <si>
    <t>내벽, 18mm, 3.6m 초과</t>
  </si>
  <si>
    <t>528C82A6506BD9409745C83ED332CF</t>
  </si>
  <si>
    <t>0102528C82A6506BD9409745C83ED332CF</t>
  </si>
  <si>
    <t>구배모르타르 바름</t>
  </si>
  <si>
    <t>바닥, 24mm</t>
  </si>
  <si>
    <t>528C82A6506BF97316C7B53683AF23E0</t>
  </si>
  <si>
    <t>0102528C82A6506BF97316C7B53683AF23E0</t>
  </si>
  <si>
    <t>바닥, 30mm</t>
  </si>
  <si>
    <t>528C82A6506BF97316C7B53693B2BA</t>
  </si>
  <si>
    <t>0102528C82A6506BF97316C7B53693B2BA</t>
  </si>
  <si>
    <t>자동 수평 모르타르 바름</t>
  </si>
  <si>
    <t>바닥 10T</t>
  </si>
  <si>
    <t>528C82A6506BF908FCCB2A3A031E5119</t>
  </si>
  <si>
    <t>0102528C82A6506BF908FCCB2A3A031E5119</t>
  </si>
  <si>
    <t>0103  타일공사 및 방수공사</t>
  </si>
  <si>
    <t>0103</t>
  </si>
  <si>
    <t>타일 떠붙이기(바탕 24mm)</t>
  </si>
  <si>
    <t>벽, 0.11∼0.20 이하, 백색줄눈</t>
  </si>
  <si>
    <t>528C2236DDB5A9868959173153EBC0</t>
  </si>
  <si>
    <t>0103528C2236DDB5A9868959173153EBC0</t>
  </si>
  <si>
    <t>타일 압착 붙이기(바탕 12mm+압 5mm)</t>
  </si>
  <si>
    <t>바닥, 300*300(타일C, 백색줄눈)</t>
  </si>
  <si>
    <t>528C2236DD9AF9FF62219F3BB320A3</t>
  </si>
  <si>
    <t>0103528C2236DD9AF9FF62219F3BB320A3</t>
  </si>
  <si>
    <t>화강석 두겁돌(습식, 물갈기)</t>
  </si>
  <si>
    <t>창대, 마천석 120*30mm, 모르타르 30mm</t>
  </si>
  <si>
    <t>528C2236EE62B987D089DD3563E2B14D</t>
  </si>
  <si>
    <t>0103528C2236EE62B987D089DD3563E2B14D</t>
  </si>
  <si>
    <t>도기질타일</t>
  </si>
  <si>
    <t>도기질타일, 일반색, 300*600*10mm</t>
  </si>
  <si>
    <t>55A91276F32D69BBC555DF33D3A2DB45AA928F</t>
  </si>
  <si>
    <t>010355A91276F32D69BBC555DF33D3A2DB45AA928F</t>
  </si>
  <si>
    <t>자기질타일</t>
  </si>
  <si>
    <t>자기질타일, 시유, 300*300*8mm</t>
  </si>
  <si>
    <t>55A91276F32D69BBC555DF33F35D08EE3EEC56</t>
  </si>
  <si>
    <t>010355A91276F32D69BBC555DF33F35D08EE3EEC56</t>
  </si>
  <si>
    <t>수용성 고무화 아스팔트방수</t>
  </si>
  <si>
    <t>바닥, 비노출</t>
  </si>
  <si>
    <t>528C72B6D26AD9C653490E35E304BB</t>
  </si>
  <si>
    <t>0103528C72B6D26AD9C653490E35E304BB</t>
  </si>
  <si>
    <t>벽, 비노출</t>
  </si>
  <si>
    <t>528C72B6D26AD9C653490E35E304BA</t>
  </si>
  <si>
    <t>0103528C72B6D26AD9C653490E35E304BA</t>
  </si>
  <si>
    <t>시멘트 액체방수 바름</t>
  </si>
  <si>
    <t>바닥</t>
  </si>
  <si>
    <t>528C72B679E069B4976E273913F293</t>
  </si>
  <si>
    <t>0103528C72B679E069B4976E273913F293</t>
  </si>
  <si>
    <t>벽</t>
  </si>
  <si>
    <t>528C72B679E069B4976E273913F2935C</t>
  </si>
  <si>
    <t>0103528C72B679E069B4976E273913F2935C</t>
  </si>
  <si>
    <t>0104  목공사 및 수장공사</t>
  </si>
  <si>
    <t>0104</t>
  </si>
  <si>
    <t>마루틀 설치</t>
  </si>
  <si>
    <t>45*45, @450</t>
  </si>
  <si>
    <t>528C625664E5499988B0D5373338BE</t>
  </si>
  <si>
    <t>0104528C625664E5499988B0D5373338BE</t>
  </si>
  <si>
    <t>90*90, @900</t>
  </si>
  <si>
    <t>528C625664E5499988B1F23193C65A</t>
  </si>
  <si>
    <t>0104528C625664E5499988B1F23193C65A</t>
  </si>
  <si>
    <t>마루귀틀 설치</t>
  </si>
  <si>
    <t>528C02E65E7E892056AF3039C38A37</t>
  </si>
  <si>
    <t>0104528C02E65E7E892056AF3039C38A37</t>
  </si>
  <si>
    <t>합판 2겹 깔기</t>
  </si>
  <si>
    <t>바닥, 12㎜ 내수합판 2겹</t>
  </si>
  <si>
    <t>528C02E6D3D839CDDF2BA4376372FDC4</t>
  </si>
  <si>
    <t>0104528C02E6D3D839CDDF2BA4376372FDC4</t>
  </si>
  <si>
    <t>보통합판</t>
  </si>
  <si>
    <t>보통합판, 1급, 12*1220*2440mm</t>
  </si>
  <si>
    <t>558E22F6D24E09A5E3A74F32A391CBF022DCF4</t>
  </si>
  <si>
    <t>0104558E22F6D24E09A5E3A74F32A391CBF022DCF4</t>
  </si>
  <si>
    <t>바닥, 15㎜ 내수합판 2겹</t>
  </si>
  <si>
    <t>528C02E6D3D839CDDF2BA4376372FDC7</t>
  </si>
  <si>
    <t>0104528C02E6D3D839CDDF2BA4376372FDC7</t>
  </si>
  <si>
    <t>보통합판, 1급, 15*1220*2440mm</t>
  </si>
  <si>
    <t>558E22F6D24E09A5E3A74F32A391CBF022DCFA</t>
  </si>
  <si>
    <t>0104558E22F6D24E09A5E3A74F32A391CBF022DCFA</t>
  </si>
  <si>
    <t>벽, T15 목모흡음보드 붙임</t>
  </si>
  <si>
    <t>T15, 국내산</t>
  </si>
  <si>
    <t>528C02E6D3D839CDDF2BA4376372FDC1</t>
  </si>
  <si>
    <t>0104528C02E6D3D839CDDF2BA4376372FDC1</t>
  </si>
  <si>
    <t>T15 목모흡음보드</t>
  </si>
  <si>
    <t>558E22F6D24E09A5E3A5823BD3E3DF31B6FEC7C2</t>
  </si>
  <si>
    <t>0104558E22F6D24E09A5E3A5823BD3E3DF31B6FEC7C2</t>
  </si>
  <si>
    <t>차은시트 붙임</t>
  </si>
  <si>
    <t>2T</t>
  </si>
  <si>
    <t>528C02E6D3D839CDDF2BA4376372FDC0</t>
  </si>
  <si>
    <t>0104528C02E6D3D839CDDF2BA4376372FDC0</t>
  </si>
  <si>
    <t>백페인트글라스 붙이기</t>
  </si>
  <si>
    <t>T8, 화이트보드, 제비스코</t>
  </si>
  <si>
    <t>528C3226AB96A98EFBAEF431D36B364C</t>
  </si>
  <si>
    <t>0104528C3226AB96A98EFBAEF431D36B364C</t>
  </si>
  <si>
    <t>단열재 깔기</t>
  </si>
  <si>
    <t>압출발포폴리스티렌단열재, 압출, 0.03, 100mm</t>
  </si>
  <si>
    <t>528C02E6A64A09867EA349356391B0</t>
  </si>
  <si>
    <t>0104528C02E6A64A09867EA349356391B0</t>
  </si>
  <si>
    <t>압출발포폴리스티렌단열재</t>
  </si>
  <si>
    <t>55A91276F35AA91E20C6AA3EE3B9EDD91FCBA4</t>
  </si>
  <si>
    <t>010455A91276F35AA91E20C6AA3EE3B9EDD91FCBA4</t>
  </si>
  <si>
    <t>석고판 설치(나사고정) - 바탕용</t>
  </si>
  <si>
    <t>벽, 2겹 붙임</t>
  </si>
  <si>
    <t>528C02E6D3BD59526658B239C38B41</t>
  </si>
  <si>
    <t>0104528C02E6D3BD59526658B239C38B41</t>
  </si>
  <si>
    <t>천장, 1겹 붙임</t>
  </si>
  <si>
    <t>528C02E6D3BD59515F678133438DF2</t>
  </si>
  <si>
    <t>0104528C02E6D3BD59515F678133438DF2</t>
  </si>
  <si>
    <t>천장, 2겹 붙임</t>
  </si>
  <si>
    <t>528C02E6D3BD59515F678133438E98</t>
  </si>
  <si>
    <t>0104528C02E6D3BD59515F678133438E98</t>
  </si>
  <si>
    <t>드라이월 벽 설치(일반)</t>
  </si>
  <si>
    <t>일반 9.5mm 양면 2겹 C-골조 125현 이하</t>
  </si>
  <si>
    <t>528C527674AE490248499A37A3BF37AC</t>
  </si>
  <si>
    <t>0104528C527674AE490248499A37A3BF37AC</t>
  </si>
  <si>
    <t>드라이월 벽 설치(방화)</t>
  </si>
  <si>
    <t>방화 12.5mm 양면 2겹 C-골조 125현 이하</t>
  </si>
  <si>
    <t>528C527674AE490248499A37A3BF37AF</t>
  </si>
  <si>
    <t>0104528C527674AE490248499A37A3BF37AF</t>
  </si>
  <si>
    <t>단열재 격자넣기 - 벽</t>
  </si>
  <si>
    <t>그라스울 24K, 50T*450*1000</t>
  </si>
  <si>
    <t>528C02E6A677496478D8DC3033CD045C</t>
  </si>
  <si>
    <t>0104528C02E6A677496478D8DC3033CD045C</t>
  </si>
  <si>
    <t>석고보드</t>
  </si>
  <si>
    <t>석고보드, 평보드, 9.5*900*1800mm(㎡)</t>
  </si>
  <si>
    <t>55A91276F3759998B51DDC3B5305E80C4E5820</t>
  </si>
  <si>
    <t>010455A91276F3759998B51DDC3B5305E80C4E5820</t>
  </si>
  <si>
    <t>석고보드, 평보드, 방화, 12.5*900*1800mm(㎡)</t>
  </si>
  <si>
    <t>55A91276F3759998B51DDF3093420D95E83DF8</t>
  </si>
  <si>
    <t>010455A91276F3759998B51DDF3093420D95E83DF8</t>
  </si>
  <si>
    <t>비닐타일 깔기</t>
  </si>
  <si>
    <t>비닐타일, 3*450*450mm, 데코타일</t>
  </si>
  <si>
    <t>528C02E6FE7409FF40712B3103D588</t>
  </si>
  <si>
    <t>0104528C02E6FE7409FF40712B3103D588</t>
  </si>
  <si>
    <t>비닐타일</t>
  </si>
  <si>
    <t>55A91276F375999A6388283F033E1C22582354</t>
  </si>
  <si>
    <t>010455A91276F375999A6388283F033E1C22582354</t>
  </si>
  <si>
    <t>비닐시트 깔기 - 전면접합</t>
  </si>
  <si>
    <t>비닐시트, 2.0mm, 모노륨</t>
  </si>
  <si>
    <t>528C02E6FE7409FEBC732B3DF33866</t>
  </si>
  <si>
    <t>0104528C02E6FE7409FEBC732B3DF33866</t>
  </si>
  <si>
    <t>비닐시트</t>
  </si>
  <si>
    <t>LG 명품기준</t>
  </si>
  <si>
    <t>55A91276F375999A6388283F033E1C27D2E997</t>
  </si>
  <si>
    <t>010455A91276F375999A6388283F033E1C27D2E997</t>
  </si>
  <si>
    <t>흡음텍스 설치</t>
  </si>
  <si>
    <t>천정, THK9.5 석고계 텍스</t>
  </si>
  <si>
    <t>528C02E6D38029DD72367231A34EAF</t>
  </si>
  <si>
    <t>0104528C02E6D38029DD72367231A34EAF</t>
  </si>
  <si>
    <t>천정, THK12 마이톤(타카형)</t>
  </si>
  <si>
    <t>528C02E6D38029DD72367231A34EAFD6</t>
  </si>
  <si>
    <t>0104528C02E6D38029DD72367231A34EAFD6</t>
  </si>
  <si>
    <t>불연천장재</t>
  </si>
  <si>
    <t>불연천장재, 집텍스, 9.5*300*600mm</t>
  </si>
  <si>
    <t>55A91276F375999B0A7826327347F55840907F</t>
  </si>
  <si>
    <t>010455A91276F375999B0A7826327347F55840907F</t>
  </si>
  <si>
    <t>불연천장재, 마이톤, M-Bar용, 12*300*600mm</t>
  </si>
  <si>
    <t>55A91276F375999B0A78263263A960B9BA6BCD</t>
  </si>
  <si>
    <t>010455A91276F375999B0A78263263A960B9BA6BCD</t>
  </si>
  <si>
    <t>열경화성수지천장재</t>
  </si>
  <si>
    <t>열경화성수지천장재(난연3급), SMC, 1.2*600*600mm</t>
  </si>
  <si>
    <t>55A91276F375999B0A78263263A960B9BB73DC</t>
  </si>
  <si>
    <t>010455A91276F375999B0A78263263A960B9BB73DC</t>
  </si>
  <si>
    <t>걸레받이 설치</t>
  </si>
  <si>
    <t>중밀도섬유판, H=75~120mm 기준</t>
  </si>
  <si>
    <t>528C02E6FE3E79794DEAE0343316E1</t>
  </si>
  <si>
    <t>0104528C02E6FE3E79794DEAE0343316E1</t>
  </si>
  <si>
    <t>THK9, MDF루바용 H75~120mm 기준</t>
  </si>
  <si>
    <t>528C02E6FE3E79794DEAE0343316E101</t>
  </si>
  <si>
    <t>0104528C02E6FE3E79794DEAE0343316E101</t>
  </si>
  <si>
    <t>마감몰딩 설치</t>
  </si>
  <si>
    <t>528C02E6FE3E79794DEAE0343316E102</t>
  </si>
  <si>
    <t>0104528C02E6FE3E79794DEAE0343316E102</t>
  </si>
  <si>
    <t>문선몰딩 설치</t>
  </si>
  <si>
    <t>평몰딩 12*40*2240(MDF+무늬목시트)</t>
  </si>
  <si>
    <t>528C02E6FE3E79794DEAE0343316E103</t>
  </si>
  <si>
    <t>0104528C02E6FE3E79794DEAE0343316E103</t>
  </si>
  <si>
    <t>천정몰딩 설치</t>
  </si>
  <si>
    <t>마이너스몰딩, 25*15*2400mm</t>
  </si>
  <si>
    <t>528C02E6FE3E79794DEAE0343316E104</t>
  </si>
  <si>
    <t>0104528C02E6FE3E79794DEAE0343316E104</t>
  </si>
  <si>
    <t>패널류 설치</t>
  </si>
  <si>
    <t>벽, THK9 MDF루바, 무늬목시트마감</t>
  </si>
  <si>
    <t>528C02E6FE3E79794DEAE0343316E105</t>
  </si>
  <si>
    <t>0104528C02E6FE3E79794DEAE0343316E105</t>
  </si>
  <si>
    <t>도배바름</t>
  </si>
  <si>
    <t>합판·석고보드면, 벽, 실크형, A급</t>
  </si>
  <si>
    <t>528C02E6C13259672CB06D39B31BEF</t>
  </si>
  <si>
    <t>0104528C02E6C13259672CB06D39B31BEF</t>
  </si>
  <si>
    <t>합판·석고보드면, 천장, 실크형, A급</t>
  </si>
  <si>
    <t>528C02E6C13259672CB06C3F43AEC9</t>
  </si>
  <si>
    <t>0104528C02E6C13259672CB06C3F43AEC9</t>
  </si>
  <si>
    <t>비닐시트 깔기 - 부분접합 방식</t>
  </si>
  <si>
    <t>비닐시트, 5.0mm, 고탄성비닐시트</t>
  </si>
  <si>
    <t>528C02E6FE7409FEBC732830F37E695F</t>
  </si>
  <si>
    <t>0104528C02E6FE7409FEBC732830F37E695F</t>
  </si>
  <si>
    <t>전기온돌판넬 설치(여숙소1~4호)</t>
  </si>
  <si>
    <t>훈기나는 전기온돌판넬, 온도조절기 포함</t>
  </si>
  <si>
    <t>식</t>
  </si>
  <si>
    <t>528C6256649D79C06205D9383311257C</t>
  </si>
  <si>
    <t>0104528C6256649D79C06205D9383311257C</t>
  </si>
  <si>
    <t>전기온돌판넬 설치(남숙소1~10호)</t>
  </si>
  <si>
    <t>528C6256649D79C06205D9383311257F</t>
  </si>
  <si>
    <t>0104528C6256649D79C06205D9383311257F</t>
  </si>
  <si>
    <t>화장실칸막이(HDC 300시리즈)</t>
  </si>
  <si>
    <t>일반HPM(바닥형) 포스트 하부S'STL(H/L)걸레받이(20T)</t>
  </si>
  <si>
    <t>시공도</t>
  </si>
  <si>
    <t>55A91276F390797C34FD3631632D4CCFE8AF5C90</t>
  </si>
  <si>
    <t>010455A91276F390797C34FD3631632D4CCFE8AF5C90</t>
  </si>
  <si>
    <t>소변기칸막이(UG100)</t>
  </si>
  <si>
    <t>8T*450*1200, 엣칭 강화유리</t>
  </si>
  <si>
    <t>EA</t>
  </si>
  <si>
    <t>55A91276F390797C34FD3631632D4CCFE8AF5C93</t>
  </si>
  <si>
    <t>010455A91276F390797C34FD3631632D4CCFE8AF5C93</t>
  </si>
  <si>
    <t>샤워칸막이 설치</t>
  </si>
  <si>
    <t>유리부스, W1000*D1200*H1900</t>
  </si>
  <si>
    <t>55A91276F390797C34FD3631632D4CCFE8AF5C92</t>
  </si>
  <si>
    <t>010455A91276F390797C34FD3631632D4CCFE8AF5C92</t>
  </si>
  <si>
    <t>0105  금속공사</t>
  </si>
  <si>
    <t>0105</t>
  </si>
  <si>
    <t>경량철골천장틀</t>
  </si>
  <si>
    <t>경량철골천장틀, M-BAR, 시공도</t>
  </si>
  <si>
    <t>55A91276F375999B0A7E4E382333117A307F351D</t>
  </si>
  <si>
    <t>010555A91276F375999B0A7E4E382333117A307F351D</t>
  </si>
  <si>
    <t>AL몰딩 설치</t>
  </si>
  <si>
    <t>L형, 15*15*1.0mm</t>
  </si>
  <si>
    <t>528C02E6792F09897108CD32C38AFA</t>
  </si>
  <si>
    <t>0105528C02E6792F09897108CD32C38AFA</t>
  </si>
  <si>
    <t>ㄷ형, 15*30*15*1.3mm</t>
  </si>
  <si>
    <t>528C02E6792F09897108CD32C38AFA1E</t>
  </si>
  <si>
    <t>0105528C02E6792F09897108CD32C38AFA1E</t>
  </si>
  <si>
    <t>타일용 코너비드 설치</t>
  </si>
  <si>
    <t>코너비드, 알루미늄, 타일코너, MC-17</t>
  </si>
  <si>
    <t>528C82A6E642D9080D59BD3CA305A356</t>
  </si>
  <si>
    <t>0105528C82A6E642D9080D59BD3CA305A356</t>
  </si>
  <si>
    <t>C-90 메탈스터드 설치</t>
  </si>
  <si>
    <t>90*45*@450</t>
  </si>
  <si>
    <t>528C527674AE490248499A37A3BF37AE</t>
  </si>
  <si>
    <t>0105528C527674AE490248499A37A3BF37AE</t>
  </si>
  <si>
    <t>C-75 메탈스터드 설치</t>
  </si>
  <si>
    <t>75*45*@450</t>
  </si>
  <si>
    <t>528C527674AE490248499A37A3BF37A9</t>
  </si>
  <si>
    <t>0105528C527674AE490248499A37A3BF37A9</t>
  </si>
  <si>
    <t>스테인리스재료분리대</t>
  </si>
  <si>
    <t>바닥, W45*H20*1.5t</t>
  </si>
  <si>
    <t>528C02E695F7E97181386E3883FEA5</t>
  </si>
  <si>
    <t>0105528C02E695F7E97181386E3883FEA5</t>
  </si>
  <si>
    <t>스틸 각파이프 구조틀 설치</t>
  </si>
  <si>
    <t>50*50*@300, H450이하</t>
  </si>
  <si>
    <t>528C5276F9E93913FEF9E63903FB5F0E</t>
  </si>
  <si>
    <t>0105528C5276F9E93913FEF9E63903FB5F0E</t>
  </si>
  <si>
    <t>0106  창호공사</t>
  </si>
  <si>
    <t>0106</t>
  </si>
  <si>
    <t>ABS1_합성수지(목무늬) 도어</t>
  </si>
  <si>
    <t>편개 0.90*2.10, 여닫이</t>
  </si>
  <si>
    <t>528C3226146EC956727EEB3353624854</t>
  </si>
  <si>
    <t>0106528C3226146EC956727EEB3353624854</t>
  </si>
  <si>
    <t>ABS2_합성수지(목무늬) 도어</t>
  </si>
  <si>
    <t>양개 1.50*2.10, 여닫이</t>
  </si>
  <si>
    <t>528C3226146EC956727EEB3353624857</t>
  </si>
  <si>
    <t>0106528C3226146EC956727EEB3353624857</t>
  </si>
  <si>
    <t>ABS3 3연동 도어, 목무늬Sheet</t>
  </si>
  <si>
    <t>1.5*2.10, 3연동 미서기</t>
  </si>
  <si>
    <t>528C3226146EC956727EEA32E3746C9139F695</t>
  </si>
  <si>
    <t>0106528C3226146EC956727EEA32E3746C9139F695</t>
  </si>
  <si>
    <t>FSD1_철재 방화문(갑종)</t>
  </si>
  <si>
    <t>양개 1.80*2.10 (문틀포함)</t>
  </si>
  <si>
    <t>528C322626647931E863E53B43AA3DD3</t>
  </si>
  <si>
    <t>0106528C322626647931E863E53B43AA3DD3</t>
  </si>
  <si>
    <t>SD1_철재 방화문</t>
  </si>
  <si>
    <t>528C322626647931E863E53B43AA3DD2</t>
  </si>
  <si>
    <t>0106528C322626647931E863E53B43AA3DD2</t>
  </si>
  <si>
    <t>SD2_철재 방화문</t>
  </si>
  <si>
    <t>편개 1.0*2.10 (문틀포함)</t>
  </si>
  <si>
    <t>528C322626647931E863E53B43AA3DD1</t>
  </si>
  <si>
    <t>0106528C322626647931E863E53B43AA3DD1</t>
  </si>
  <si>
    <t>0107  칠공사</t>
  </si>
  <si>
    <t>0107</t>
  </si>
  <si>
    <t>바탕만들기+유성페인트 붓칠</t>
  </si>
  <si>
    <t>석고보드면 줄퍼티, 1회 1급</t>
  </si>
  <si>
    <t>528C12D67C64897D08AE0A345392A7AC</t>
  </si>
  <si>
    <t>0107528C12D67C64897D08AE0A345392A7AC</t>
  </si>
  <si>
    <t>바탕만들기+걸레받이용 페인트칠</t>
  </si>
  <si>
    <t>붓칠 2회, con'c·mortar면</t>
  </si>
  <si>
    <t>528C12D67C49C9B77B00AC3E53199985</t>
  </si>
  <si>
    <t>0107528C12D67C49C9B77B00AC3E53199985</t>
  </si>
  <si>
    <t>바탕만들기+수성페인트 롤러칠</t>
  </si>
  <si>
    <t>내부, 2회 1급, con'c·mortar면</t>
  </si>
  <si>
    <t>528C12D6621CC9DB8F383F30833E05F0</t>
  </si>
  <si>
    <t>0107528C12D6621CC9DB8F383F30833E05F0</t>
  </si>
  <si>
    <t>바탕만들기+비닐페인트</t>
  </si>
  <si>
    <t>528C12D6621CC9DB8F383F30833E05F3</t>
  </si>
  <si>
    <t>0107528C12D6621CC9DB8F383F30833E05F3</t>
  </si>
  <si>
    <t>콘크리트·모르타르면 바탕만들기</t>
  </si>
  <si>
    <t>노무비, 4∼6층</t>
  </si>
  <si>
    <t>528C12C66955695B6091413F13ABD4</t>
  </si>
  <si>
    <t>0107528C12C66955695B6091413F13ABD4</t>
  </si>
  <si>
    <t>0108  급수·위생설비공사</t>
  </si>
  <si>
    <t>0108</t>
  </si>
  <si>
    <t>세면기 설치</t>
  </si>
  <si>
    <t>폽업/P트랩/앵글밸브/비누대 포함, L-206UD 동등이상</t>
  </si>
  <si>
    <t>조</t>
  </si>
  <si>
    <t>524BC2468012B98FA39D2C33A33FFB</t>
  </si>
  <si>
    <t>0108524BC2468012B98FA39D2C33A33FFB</t>
  </si>
  <si>
    <t>대변기 설치</t>
  </si>
  <si>
    <t>절수형,로탱크일체형,C-973F 동등이상</t>
  </si>
  <si>
    <t>524BC246804FE9049619C836436B62</t>
  </si>
  <si>
    <t>0108524BC246804FE9049619C836436B62</t>
  </si>
  <si>
    <t>소변기 설치</t>
  </si>
  <si>
    <t>절수형, 스톨형, 전자감응기 일체형(건전지), C-350(F) 동등이상</t>
  </si>
  <si>
    <t>524B32D6D9A2295C3804C238B3B44D</t>
  </si>
  <si>
    <t>0108524B32D6D9A2295C3804C238B3B44D</t>
  </si>
  <si>
    <t>청소수채 설치</t>
  </si>
  <si>
    <t>VS-210 동등이상</t>
  </si>
  <si>
    <t>524B32D6D9A2295A0A0948374337BB</t>
  </si>
  <si>
    <t>0108524B32D6D9A2295A0A0948374337BB</t>
  </si>
  <si>
    <t>세면기수전 설치</t>
  </si>
  <si>
    <t>원홀, 싱글레버, KLA-100C 동등이상</t>
  </si>
  <si>
    <t>개</t>
  </si>
  <si>
    <t>524B32D6D991B968B37D5534E374BF</t>
  </si>
  <si>
    <t>0108524B32D6D991B968B37D5534E374BF</t>
  </si>
  <si>
    <t>샤워기수전 설치</t>
  </si>
  <si>
    <t>벽붙이, 싱글레버, KRS-3000 동등이상</t>
  </si>
  <si>
    <t>524B32D6D991B968B37D5534E374BD</t>
  </si>
  <si>
    <t>0108524B32D6D991B968B37D5534E374BD</t>
  </si>
  <si>
    <t>씽크수전설치</t>
  </si>
  <si>
    <t>대붙이, 싱글레버, KSA110-C 동등이상</t>
  </si>
  <si>
    <t>524B32D6D991B96FE2CC5D3D43F9E2</t>
  </si>
  <si>
    <t>0108524B32D6D991B96FE2CC5D3D43F9E2</t>
  </si>
  <si>
    <t>수도꼭지</t>
  </si>
  <si>
    <t>가로꼭지, 15mm, KA-100 동등이상</t>
  </si>
  <si>
    <t>524BC246D879E97DFBF229369321AA</t>
  </si>
  <si>
    <t>0108524BC246D879E97DFBF229369321AA</t>
  </si>
  <si>
    <t>욕실거울 설치</t>
  </si>
  <si>
    <t>0.5㎡ 미만, 450*600, 5t</t>
  </si>
  <si>
    <t>524B32D6D98749E0772AA833B3A7D7</t>
  </si>
  <si>
    <t>0108524B32D6D98749E0772AA833B3A7D7</t>
  </si>
  <si>
    <t>커플링가로꼭지, 15mm, KA-200 동등이상</t>
  </si>
  <si>
    <t>524BC246D879E97DFBF229369321AB</t>
  </si>
  <si>
    <t>0108524BC246D879E97DFBF229369321AB</t>
  </si>
  <si>
    <t>수건걸이 설치</t>
  </si>
  <si>
    <t>BAR 형</t>
  </si>
  <si>
    <t>524B32D6D98749E3CB2899385314CE</t>
  </si>
  <si>
    <t>0108524B32D6D98749E3CB2899385314CE</t>
  </si>
  <si>
    <t>휴지걸이 설치</t>
  </si>
  <si>
    <t>SUS제, 노출형</t>
  </si>
  <si>
    <t>524BC246BDD9C9FDB9D7C93083428724</t>
  </si>
  <si>
    <t>0108524BC246BDD9C9FDB9D7C93083428724</t>
  </si>
  <si>
    <t>바닥배수구 설치</t>
  </si>
  <si>
    <t>일반육가, D75, 150*150</t>
  </si>
  <si>
    <t>524B32D6D98749E224FFBD3C833C86E5</t>
  </si>
  <si>
    <t>0108524B32D6D98749E224FFBD3C833C86E5</t>
  </si>
  <si>
    <t>일반육가, 세탁호스겸용, D75, 150*150</t>
  </si>
  <si>
    <t>524B32D6D98749E224FFBD3C833C86E6</t>
  </si>
  <si>
    <t>0108524B32D6D98749E224FFBD3C833C86E6</t>
  </si>
  <si>
    <t>전기온수기 설치</t>
  </si>
  <si>
    <t>800L, 8Kw, 스텐, 감압/안전밸브 포함</t>
  </si>
  <si>
    <t>524BC23699BB49CC989AE938E32F7C</t>
  </si>
  <si>
    <t>0108524BC23699BB49CC989AE938E32F7C</t>
  </si>
  <si>
    <t>온수순환펌프설치</t>
  </si>
  <si>
    <t>0.35kw, GH-350M 동등이상</t>
  </si>
  <si>
    <t>524B0206856D59721C57D63963D654</t>
  </si>
  <si>
    <t>0108524B0206856D59721C57D63963D654</t>
  </si>
  <si>
    <t>볼밸브설치(스텐, 10kg)</t>
  </si>
  <si>
    <t>D32</t>
  </si>
  <si>
    <t>524B22467863B9B02863B433834B32</t>
  </si>
  <si>
    <t>0108524B22467863B9B02863B433834B32</t>
  </si>
  <si>
    <t>D25</t>
  </si>
  <si>
    <t>524B22467863C95A66D2343893CCF6</t>
  </si>
  <si>
    <t>0108524B22467863C95A66D2343893CCF6</t>
  </si>
  <si>
    <t>스테인리스강관옥내배관</t>
  </si>
  <si>
    <t>D32*3.0t</t>
  </si>
  <si>
    <t>524B62E64737D90F17847D300379E6</t>
  </si>
  <si>
    <t>0108524B62E64737D90F17847D300379E6</t>
  </si>
  <si>
    <t>D25*3.0t</t>
  </si>
  <si>
    <t>524B62E64737A9BBD87C753E13CC3D</t>
  </si>
  <si>
    <t>0108524B62E64737A9BBD87C753E13CC3D</t>
  </si>
  <si>
    <t>D20*3.0t</t>
  </si>
  <si>
    <t>524B62E64737B940FC602D34831EED</t>
  </si>
  <si>
    <t>0108524B62E64737B940FC602D34831EED</t>
  </si>
  <si>
    <t>D15*3.0t</t>
  </si>
  <si>
    <t>524B62E64737898DDCDCB93C3398A3</t>
  </si>
  <si>
    <t>0108524B62E64737898DDCDCB93C3398A3</t>
  </si>
  <si>
    <t>관보온(아티론. 슈퍼매직303)</t>
  </si>
  <si>
    <t>25t*D32</t>
  </si>
  <si>
    <t>524B0276974FE9D5349B513083F90C</t>
  </si>
  <si>
    <t>0108524B0276974FE9D5349B513083F90C</t>
  </si>
  <si>
    <t>25t*D25</t>
  </si>
  <si>
    <t>524B0276974F99568F2D5E38B3FFF7</t>
  </si>
  <si>
    <t>0108524B0276974F99568F2D5E38B3FFF7</t>
  </si>
  <si>
    <t>25t*D20</t>
  </si>
  <si>
    <t>524B0276974F894DEFFA0B3453C64D</t>
  </si>
  <si>
    <t>0108524B0276974F894DEFFA0B3453C64D</t>
  </si>
  <si>
    <t>25t*D15</t>
  </si>
  <si>
    <t>524B0276974FB9197822A232A35D95</t>
  </si>
  <si>
    <t>0108524B0276974FB9197822A232A35D95</t>
  </si>
  <si>
    <t>일반배관용스테인리스강관관이음쇠</t>
  </si>
  <si>
    <t>일반배관용스테인리스강관관이음쇠, ∮32mm, 용접식, 엘보, #10</t>
  </si>
  <si>
    <t>55D652D6C472394ED299B533F3FACB22642DDA</t>
  </si>
  <si>
    <t>010855D652D6C472394ED299B533F3FACB22642DDA</t>
  </si>
  <si>
    <t>일반배관용스테인리스강관관이음쇠, ∮25mm, 용접식, 엘보, #10</t>
  </si>
  <si>
    <t>55D652D6C472394ED299B533F3FACB22642DDB</t>
  </si>
  <si>
    <t>010855D652D6C472394ED299B533F3FACB22642DDB</t>
  </si>
  <si>
    <t>일반배관용스테인리스강관관이음쇠, ∮20mm, 용접식, 엘보, #10</t>
  </si>
  <si>
    <t>55D652D6C472394ED299B533F3FACB22642DDC</t>
  </si>
  <si>
    <t>010855D652D6C472394ED299B533F3FACB22642DDC</t>
  </si>
  <si>
    <t>일반배관용스테인리스강관관이음쇠, ∮15mm, 용접식, 엘보, #10</t>
  </si>
  <si>
    <t>55D652D6C472394ED299B533F3FACB22642DDD</t>
  </si>
  <si>
    <t>010855D652D6C472394ED299B533F3FACB22642DDD</t>
  </si>
  <si>
    <t>일반배관용스테인리스강관관이음쇠, ∮32mm, 용접식, 티, #10</t>
  </si>
  <si>
    <t>55D652D6C472394ED299B533F3FACB22653C0E</t>
  </si>
  <si>
    <t>010855D652D6C472394ED299B533F3FACB22653C0E</t>
  </si>
  <si>
    <t>일반배관용스테인리스강관관이음쇠, ∮25mm, 용접식, 티, #10</t>
  </si>
  <si>
    <t>55D652D6C472394ED299B533F3FACB22653C0F</t>
  </si>
  <si>
    <t>010855D652D6C472394ED299B533F3FACB22653C0F</t>
  </si>
  <si>
    <t>일반배관용스테인리스강관관이음쇠, ∮20mm, 용접식, 티, #10</t>
  </si>
  <si>
    <t>55D652D6C472394ED299B533F3FACB22653C00</t>
  </si>
  <si>
    <t>010855D652D6C472394ED299B533F3FACB22653C00</t>
  </si>
  <si>
    <t>일반배관용스테인리스강관관이음쇠, ∮15mm, 용접식, 티, #10</t>
  </si>
  <si>
    <t>55D652D6C472394ED299B533F3FACB22653C01</t>
  </si>
  <si>
    <t>010855D652D6C472394ED299B533F3FACB22653C01</t>
  </si>
  <si>
    <t>일반배관용스테인리스강관관이음쇠, ∮32mm, 유니언, 나사식</t>
  </si>
  <si>
    <t>55D652D6C472394ED299B533F3FACB21428DA8</t>
  </si>
  <si>
    <t>010855D652D6C472394ED299B533F3FACB21428DA8</t>
  </si>
  <si>
    <t>일반배관용스테인리스강관관이음쇠, ∮20mm, 유니언, 나사식</t>
  </si>
  <si>
    <t>55D652D6C472394ED299B533F3FACB21428DAE</t>
  </si>
  <si>
    <t>010855D652D6C472394ED299B533F3FACB21428DAE</t>
  </si>
  <si>
    <t>∮60*30mm, 티, SP 조인트</t>
  </si>
  <si>
    <t>55D652D6C472394ED299B533F3FACB21470795</t>
  </si>
  <si>
    <t>010855D652D6C472394ED299B533F3FACB21470795</t>
  </si>
  <si>
    <t>∮60*25mm, 티, SP 조인트</t>
  </si>
  <si>
    <t>55D652D6C472394ED299B533F3FACB21470794</t>
  </si>
  <si>
    <t>010855D652D6C472394ED299B533F3FACB21470794</t>
  </si>
  <si>
    <t>스테인리스용접(TIG)</t>
  </si>
  <si>
    <t>524B62E6472529895C2E773B536E9B</t>
  </si>
  <si>
    <t>0108524B62E6472529895C2E773B536E9B</t>
  </si>
  <si>
    <t>524B62E6472529895C2E70306360C9</t>
  </si>
  <si>
    <t>0108524B62E6472529895C2E70306360C9</t>
  </si>
  <si>
    <t>D20</t>
  </si>
  <si>
    <t>524B62E6472529895C2E7132D30A2A</t>
  </si>
  <si>
    <t>0108524B62E6472529895C2E7132D30A2A</t>
  </si>
  <si>
    <t>D15</t>
  </si>
  <si>
    <t>524B62E6472529895C2E7233335578</t>
  </si>
  <si>
    <t>0108524B62E6472529895C2E7233335578</t>
  </si>
  <si>
    <t>PVC관 설치</t>
  </si>
  <si>
    <t>PVC관(VG1), D100, DRF</t>
  </si>
  <si>
    <t>524B62E6BA01B9068731DB31A3796CEE</t>
  </si>
  <si>
    <t>0108524B62E6BA01B9068731DB31A3796CEE</t>
  </si>
  <si>
    <t>PVC관(VG1), D75, DRF</t>
  </si>
  <si>
    <t>524B62E68EC5B9A860E6783953E0E9F9</t>
  </si>
  <si>
    <t>0108524B62E68EC5B9A860E6783953E0E9F9</t>
  </si>
  <si>
    <t>PVC관(VG1), D50, DRF</t>
  </si>
  <si>
    <t>524B62E68EC5B9A860E6783953E0E9FA</t>
  </si>
  <si>
    <t>0108524B62E68EC5B9A860E6783953E0E9FA</t>
  </si>
  <si>
    <t>PVC YT</t>
  </si>
  <si>
    <t>일반용경질폴리염화비닐이음관, ∮75mm, 90˚YT관, DRF-LT</t>
  </si>
  <si>
    <t>55D652D6C472394ED3A37F331325314FFD6377</t>
  </si>
  <si>
    <t>010855D652D6C472394ED3A37F331325314FFD6377</t>
  </si>
  <si>
    <t>일반용경질폴리염화비닐이음관, ∮100mm, 90˚YT관, DRF-LT</t>
  </si>
  <si>
    <t>55D652D6C472394ED3A37F331325314FFD6370</t>
  </si>
  <si>
    <t>010855D652D6C472394ED3A37F331325314FFD6370</t>
  </si>
  <si>
    <t>PVC 엘보</t>
  </si>
  <si>
    <t>75mm, 90˚곡관, DRF</t>
  </si>
  <si>
    <t>55D652D6C472394ED3A37F331325314FFC5A5489</t>
  </si>
  <si>
    <t>010855D652D6C472394ED3A37F331325314FFC5A5489</t>
  </si>
  <si>
    <t>100mm, 90˚곡관, DRF</t>
  </si>
  <si>
    <t>55D652D6C472394ED3A37F331325314FFC5A55AE</t>
  </si>
  <si>
    <t>010855D652D6C472394ED3A37F331325314FFC5A55AE</t>
  </si>
  <si>
    <t>50mm, 90˚곡관, DRF</t>
  </si>
  <si>
    <t>55D652D6C472394ED3A37F331325314FFD67EC</t>
  </si>
  <si>
    <t>010855D652D6C472394ED3A37F331325314FFD67EC</t>
  </si>
  <si>
    <t>PVC 소켓</t>
  </si>
  <si>
    <t>일반용경질폴리염화비닐이음관, ∮100mm, 소켓, DRF-DS</t>
  </si>
  <si>
    <t>55D652D6C472394ED3A37F331325314FFC5B78</t>
  </si>
  <si>
    <t>010855D652D6C472394ED3A37F331325314FFC5B78</t>
  </si>
  <si>
    <t>일반용경질폴리염화비닐이음관, ∮75mm, 소켓, DRF-DS</t>
  </si>
  <si>
    <t>55D652D6C472394ED3A37F331325314FFC5B79</t>
  </si>
  <si>
    <t>010855D652D6C472394ED3A37F331325314FFC5B79</t>
  </si>
  <si>
    <t>PVC 캡</t>
  </si>
  <si>
    <t>∮100mm, 캡, DRF</t>
  </si>
  <si>
    <t>55D652D6C472394ED3A37F331325314FFD67EB</t>
  </si>
  <si>
    <t>010855D652D6C472394ED3A37F331325314FFD67EB</t>
  </si>
  <si>
    <t>∮75mm, 캡, DRF</t>
  </si>
  <si>
    <t>55D652D6C472394ED3A37F331325314FFD67EA</t>
  </si>
  <si>
    <t>010855D652D6C472394ED3A37F331325314FFD67EA</t>
  </si>
  <si>
    <t>구멍뚫기</t>
  </si>
  <si>
    <t>D100, 바닥300mm, 콘크리트, 코어드릴</t>
  </si>
  <si>
    <t>524BE296512C69008FAD4E3CF3016DBF7D</t>
  </si>
  <si>
    <t>0108524BE296512C69008FAD4E3CF3016DBF7D</t>
  </si>
  <si>
    <t>D75, 바닥300mm, 콘크리트, 코어드릴</t>
  </si>
  <si>
    <t>524BE296512C69008FAD4E3CF3016DBF7A</t>
  </si>
  <si>
    <t>0108524BE296512C69008FAD4E3CF3016DBF7A</t>
  </si>
  <si>
    <t>D50, 바닥300mm, 콘크리트, 코어드릴</t>
  </si>
  <si>
    <t>524BE296512C69008FAD4E3CF3016DBF7B</t>
  </si>
  <si>
    <t>0108524BE296512C69008FAD4E3CF3016DBF7B</t>
  </si>
  <si>
    <t>환풍기 설치</t>
  </si>
  <si>
    <t>Ø250*250㎜, 210CMH, EK-160NST 동등이상</t>
  </si>
  <si>
    <t>524B0206855CE902D36F423113649C</t>
  </si>
  <si>
    <t>0108524B0206855CE902D36F423113649C</t>
  </si>
  <si>
    <t>환풍기 배관</t>
  </si>
  <si>
    <t>PVC관(VG2), D100</t>
  </si>
  <si>
    <t>524B62E6BA3EF9A47014853EB31DE5</t>
  </si>
  <si>
    <t>0108524B62E6BA3EF9A47014853EB31DE5</t>
  </si>
  <si>
    <t>AL후렉시블덕트호수, D100</t>
  </si>
  <si>
    <t>524B6296143C597D66BFCA3053A2B1</t>
  </si>
  <si>
    <t>0108524B6296143C597D66BFCA3053A2B1</t>
  </si>
  <si>
    <t>일반용경질폴리염화비닐이음관</t>
  </si>
  <si>
    <t>일반용경질폴리염화비닐이음관, ∮100mm, 90˚단곡관(DTS)</t>
  </si>
  <si>
    <t>55D652D6C472394ED3A37F33031FEE723AF3AD</t>
  </si>
  <si>
    <t>010855D652D6C472394ED3A37F33031FEE723AF3AD</t>
  </si>
  <si>
    <t>후드캡</t>
  </si>
  <si>
    <t>원형루버, 스테인리스</t>
  </si>
  <si>
    <t>55A91276F3759994DA426137D3EF1C7007C8CA</t>
  </si>
  <si>
    <t>010855A91276F3759994DA426137D3EF1C7007C8CA</t>
  </si>
  <si>
    <t>0109  공기조화설비공사</t>
  </si>
  <si>
    <t>0109</t>
  </si>
  <si>
    <t>시스템형에어컨 및 전열교환기 설치</t>
  </si>
  <si>
    <t>실외기2대, 실내기25대, 전열교환기(1000)3대</t>
  </si>
  <si>
    <t>55D652D6C43479D17787B1384305C36219342037</t>
  </si>
  <si>
    <t>010955D652D6C43479D17787B1384305C36219342037</t>
  </si>
  <si>
    <t>0110  부대공사</t>
  </si>
  <si>
    <t>0110</t>
  </si>
  <si>
    <t>샌드위치(단열)페널 설치 - 칸막이벽</t>
  </si>
  <si>
    <t>두께 50~100mm 기준</t>
  </si>
  <si>
    <t>528C02E6C14CA9E26B0F3337B3ECFB</t>
  </si>
  <si>
    <t>0110528C02E6C14CA9E26B0F3337B3ECFB</t>
  </si>
  <si>
    <t>콘크리트구조물 헐기(소형장비)</t>
  </si>
  <si>
    <t>전기식, 철근</t>
  </si>
  <si>
    <t>M3</t>
  </si>
  <si>
    <t>528DE2F688D9C9A634D619326380CE</t>
  </si>
  <si>
    <t>0110528DE2F688D9C9A634D619326380CE</t>
  </si>
  <si>
    <t>흡음판 철거</t>
  </si>
  <si>
    <t>벽체</t>
  </si>
  <si>
    <t>528DE2F68866997B56961C346337D7BD</t>
  </si>
  <si>
    <t>0110528DE2F68866997B56961C346337D7BD</t>
  </si>
  <si>
    <t>0110528C82A6506BF97316C7B53693B2BA</t>
  </si>
  <si>
    <t>0110528C02E6D3BD59526658B239C38B41</t>
  </si>
  <si>
    <t>011055A91276F3759998B51DDC3B5305E80C4E5820</t>
  </si>
  <si>
    <t>011055A91276F375999B0A7E4E382333117A307F351D</t>
  </si>
  <si>
    <t>0110528C02E6D38029DD72367231A34EAF</t>
  </si>
  <si>
    <t>011055A91276F375999B0A7826327347F55840907F</t>
  </si>
  <si>
    <t>에어컨 이설(철거)</t>
  </si>
  <si>
    <t>스탠드 4대 이설후 철거, 스탠드 3대, 벽걸이 5대 철거</t>
  </si>
  <si>
    <t>55D652D6C43479D17787B1384305C36219342034</t>
  </si>
  <si>
    <t>011055D652D6C43479D17787B1384305C36219342034</t>
  </si>
  <si>
    <t>0111  철거공사</t>
  </si>
  <si>
    <t>0111</t>
  </si>
  <si>
    <t>PVC계바닥재 해체</t>
  </si>
  <si>
    <t>528DE2F68866997B569CA53B23BEB8</t>
  </si>
  <si>
    <t>0111528DE2F68866997B569CA53B23BEB8</t>
  </si>
  <si>
    <t>비닐 시트류 철거</t>
  </si>
  <si>
    <t>528DE2F68866997B569CA53B23BEB881</t>
  </si>
  <si>
    <t>0111528DE2F68866997B569CA53B23BEB881</t>
  </si>
  <si>
    <t>경량벽체철골틀 해체</t>
  </si>
  <si>
    <t>528DE2F68866997B56919B313346DF</t>
  </si>
  <si>
    <t>0111528DE2F68866997B56919B313346DF</t>
  </si>
  <si>
    <t>석고판 해체</t>
  </si>
  <si>
    <t>528DE2F68866997B5692A137E34D59</t>
  </si>
  <si>
    <t>0111528DE2F68866997B5692A137E34D59</t>
  </si>
  <si>
    <t>경량천장철골틀 해체</t>
  </si>
  <si>
    <t>528DE2F68866997B5697233B832C4D</t>
  </si>
  <si>
    <t>0111528DE2F68866997B5697233B832C4D</t>
  </si>
  <si>
    <t>흡음텍스 해체</t>
  </si>
  <si>
    <t>528DE2F68866997B56961C346337D7</t>
  </si>
  <si>
    <t>0111528DE2F68866997B56961C346337D7</t>
  </si>
  <si>
    <t>천장</t>
  </si>
  <si>
    <t>528DE2F68866997B5692A137E34E60</t>
  </si>
  <si>
    <t>0111528DE2F68866997B5692A137E34E60</t>
  </si>
  <si>
    <t>도배 해체</t>
  </si>
  <si>
    <t>528DE2F68866997B5693483E835D99</t>
  </si>
  <si>
    <t>0111528DE2F68866997B5693483E835D99</t>
  </si>
  <si>
    <t>528DE2F68866997B5693483E835EA0</t>
  </si>
  <si>
    <t>0111528DE2F68866997B5693483E835EA0</t>
  </si>
  <si>
    <t>조적벽 해체</t>
  </si>
  <si>
    <t>H=3.6m 이하</t>
  </si>
  <si>
    <t>528DE2F68866997B5690F43A836FFE</t>
  </si>
  <si>
    <t>0111528DE2F68866997B5690F43A836FFE</t>
  </si>
  <si>
    <t>타일 해체</t>
  </si>
  <si>
    <t>떠붙이기</t>
  </si>
  <si>
    <t>528DE2F68866997B569D4C33C3A90E</t>
  </si>
  <si>
    <t>0111528DE2F68866997B569D4C33C3A90E</t>
  </si>
  <si>
    <t>압착붙이기, 접착붙이기</t>
  </si>
  <si>
    <t>528DE2F68866997B569D4C33C3AA15</t>
  </si>
  <si>
    <t>0111528DE2F68866997B569D4C33C3AA15</t>
  </si>
  <si>
    <t>바닥 목구조틀 철거</t>
  </si>
  <si>
    <t>528DE2F68866997B569D4C33C3AA1530</t>
  </si>
  <si>
    <t>0111528DE2F68866997B569D4C33C3AA1530</t>
  </si>
  <si>
    <t>창호철거</t>
  </si>
  <si>
    <t>목재창호, 900*2100</t>
  </si>
  <si>
    <t>528DE2F68866997B569D4C33C3AA1533</t>
  </si>
  <si>
    <t>0111528DE2F68866997B569D4C33C3AA1533</t>
  </si>
  <si>
    <t>목재창호, 1800*2100</t>
  </si>
  <si>
    <t>528DE2F68866997B569D4C33C3AA1532</t>
  </si>
  <si>
    <t>0111528DE2F68866997B569D4C33C3AA1532</t>
  </si>
  <si>
    <t>철재창호, 900*2100</t>
  </si>
  <si>
    <t>528DE2F68866997B569D4C33C3AA1535</t>
  </si>
  <si>
    <t>0111528DE2F68866997B569D4C33C3AA1535</t>
  </si>
  <si>
    <t>철재창호, 1800*2100</t>
  </si>
  <si>
    <t>528DE2F68866997B569D4C33C3AA1534</t>
  </si>
  <si>
    <t>0111528DE2F68866997B569D4C33C3AA1534</t>
  </si>
  <si>
    <t>세면기 철거</t>
  </si>
  <si>
    <t>도기세면기</t>
  </si>
  <si>
    <t>524BC2468012B98FA39D2C33A33FF8</t>
  </si>
  <si>
    <t>0111524BC2468012B98FA39D2C33A33FF8</t>
  </si>
  <si>
    <t>대변기 철거</t>
  </si>
  <si>
    <t>로탱크</t>
  </si>
  <si>
    <t>524BC246804FE9049619C836436B61</t>
  </si>
  <si>
    <t>0111524BC246804FE9049619C836436B61</t>
  </si>
  <si>
    <t>소변기 철거</t>
  </si>
  <si>
    <t>스톨형</t>
  </si>
  <si>
    <t>524B32D6D9A2295C3804C238B3B44E</t>
  </si>
  <si>
    <t>0111524B32D6D9A2295C3804C238B3B44E</t>
  </si>
  <si>
    <t>0112  폐기물처리비</t>
  </si>
  <si>
    <t>0112</t>
  </si>
  <si>
    <t>6</t>
  </si>
  <si>
    <t>건설폐재류</t>
  </si>
  <si>
    <t>가연성이 제거된 재활용이 가능한 혼합물</t>
  </si>
  <si>
    <t>TON</t>
  </si>
  <si>
    <t>528CE20691B389BDEB863B38E3E373</t>
  </si>
  <si>
    <t>0112528CE20691B389BDEB863B38E3E373</t>
  </si>
  <si>
    <t>혼합건설폐기물</t>
  </si>
  <si>
    <t>건설폐재류에 가연성 5% 이하 혼합</t>
  </si>
  <si>
    <t>528CE20691B389BDEB863B38937F64</t>
  </si>
  <si>
    <t>0112528CE20691B389BDEB863B38937F64</t>
  </si>
  <si>
    <t>건설폐재류 상차비 및 운반비</t>
  </si>
  <si>
    <t>15톤 덤프트럭, 30km</t>
  </si>
  <si>
    <t>528CE20691B389BCC2CF9D32535988</t>
  </si>
  <si>
    <t>0112528CE20691B389BCC2CF9D32535988</t>
  </si>
  <si>
    <t>혼합건설폐기물 상차비 및 운반비</t>
  </si>
  <si>
    <t>16톤 암롤트럭, 30km</t>
  </si>
  <si>
    <t>528CE20691B389BCC2CF9D32238529</t>
  </si>
  <si>
    <t>0112528CE20691B389BCC2CF9D32238529</t>
  </si>
  <si>
    <t>0113  작업부산물</t>
  </si>
  <si>
    <t>0113</t>
  </si>
  <si>
    <t>1</t>
  </si>
  <si>
    <t>철강설</t>
  </si>
  <si>
    <t>철강설, 고철, 작업설부산물</t>
  </si>
  <si>
    <t>수집상차도</t>
  </si>
  <si>
    <t>558E22F6D2F8D917C4EAFF3CD364D6C4553658</t>
  </si>
  <si>
    <t>0113558E22F6D2F8D917C4EAFF3CD364D6C4553658</t>
  </si>
  <si>
    <t>0114  사급자재비</t>
  </si>
  <si>
    <t>0114</t>
  </si>
  <si>
    <t>4</t>
  </si>
  <si>
    <t>중량 선반설치</t>
  </si>
  <si>
    <t>1550*600*2100</t>
  </si>
  <si>
    <t>견적단가</t>
  </si>
  <si>
    <t>55A90256AD5809487F76BF3923ECD7DB471594E0</t>
  </si>
  <si>
    <t>011455A90256AD5809487F76BF3923ECD7DB471594E0</t>
  </si>
  <si>
    <t>1250*600*2100</t>
  </si>
  <si>
    <t>55A90256AD5809487F76BF3923ECD7DB471594E3</t>
  </si>
  <si>
    <t>011455A90256AD5809487F76BF3923ECD7DB471594E3</t>
  </si>
  <si>
    <t>1250*450*2100</t>
  </si>
  <si>
    <t>55A90256AD5809487F76BF3923ECD7DB471594E2</t>
  </si>
  <si>
    <t>011455A90256AD5809487F76BF3923ECD7DB471594E2</t>
  </si>
  <si>
    <t>1550*450*2100</t>
  </si>
  <si>
    <t>55A90256AD5809487F76BF3923ECD7DB471594E5</t>
  </si>
  <si>
    <t>011455A90256AD5809487F76BF3923ECD7DB471594E5</t>
  </si>
  <si>
    <t>씽크대(상·하부장 포함)</t>
  </si>
  <si>
    <t>L3600, 상판 인조대리석, 전기렌지 포함</t>
  </si>
  <si>
    <t>SET</t>
  </si>
  <si>
    <t>55A90256AD5809487F76BF3923ECD7DB471594E4</t>
  </si>
  <si>
    <t>011455A90256AD5809487F76BF3923ECD7DB471594E4</t>
  </si>
  <si>
    <t>붙박이장 제작설치</t>
  </si>
  <si>
    <t>옷장+이블장+화장대, 800*2200*600</t>
  </si>
  <si>
    <t>55A90256AD5809487F76BF3923ECD7DB471594E7</t>
  </si>
  <si>
    <t>011455A90256AD5809487F76BF3923ECD7DB471594E7</t>
  </si>
  <si>
    <t>일 위 대 가 목 록</t>
  </si>
  <si>
    <t>코  드</t>
  </si>
  <si>
    <t>재 료 비</t>
  </si>
  <si>
    <t>노 무 비</t>
  </si>
  <si>
    <t>경    비</t>
  </si>
  <si>
    <t>합    계</t>
  </si>
  <si>
    <t>번  호</t>
  </si>
  <si>
    <t>비      고</t>
  </si>
  <si>
    <t>노임계수</t>
  </si>
  <si>
    <t>할증</t>
  </si>
  <si>
    <t>품셈개요</t>
  </si>
  <si>
    <t>장비일위</t>
  </si>
  <si>
    <t>일위대가</t>
  </si>
  <si>
    <t>할증적용</t>
  </si>
  <si>
    <t>할증저장</t>
  </si>
  <si>
    <t>할증율</t>
  </si>
  <si>
    <t>HAL1</t>
  </si>
  <si>
    <t>HAL2</t>
  </si>
  <si>
    <t>HAL3</t>
  </si>
  <si>
    <t>일위대가+자재</t>
  </si>
  <si>
    <t>콘테이너형 가설사무소 설치 및 해체  3.0*6.0m, 3개월  개소     ( 호표 1 )</t>
  </si>
  <si>
    <t>호표 1</t>
  </si>
  <si>
    <t>컨테이너하우스</t>
  </si>
  <si>
    <t>컨테이너하우스, 사무실용, 3.0*6.0*2.6m</t>
  </si>
  <si>
    <t>금액제외</t>
  </si>
  <si>
    <t>55A91276C7E1199B5DDF2A35C342C267C6D383</t>
  </si>
  <si>
    <t>528CE206FA04C98EB34FCA3743B09355A91276C7E1199B5DDF2A35C342C267C6D383</t>
  </si>
  <si>
    <t>-</t>
  </si>
  <si>
    <t>콘테이너형 가설건축물 설치 및 해체</t>
  </si>
  <si>
    <t>3.0*6.0m</t>
  </si>
  <si>
    <t>528CE206FA04C98EBB858B3943BAB8</t>
  </si>
  <si>
    <t>528CE206FA04C98EB34FCA3743B093528CE206FA04C98EBB858B3943BAB8</t>
  </si>
  <si>
    <t>경비로 적용</t>
  </si>
  <si>
    <t>합계의 100%</t>
  </si>
  <si>
    <t>539B22A6953859AA28AAA535B340001</t>
  </si>
  <si>
    <t>528CE206FA04C98EB34FCA3743B093539B22A6953859AA28AAA535B340001</t>
  </si>
  <si>
    <t xml:space="preserve"> [ 합          계 ]</t>
  </si>
  <si>
    <t>콘테이너형 가설창고 설치 및 해체  3.0*6.0m, 3개월  개소     ( 호표 2 )</t>
  </si>
  <si>
    <t>호표 2</t>
  </si>
  <si>
    <t>컨테이너하우스, 창고용, 3.0*6.0*2.6m</t>
  </si>
  <si>
    <t>55A91276C7E1199B5DDF2A35C342C267C6D5BA</t>
  </si>
  <si>
    <t>528CE206FA04F95DAB2BC23B235ECF55A91276C7E1199B5DDF2A35C342C267C6D5BA</t>
  </si>
  <si>
    <t>528CE206FA04F95DAB2BC23B235ECF528CE206FA04C98EBB858B3943BAB8</t>
  </si>
  <si>
    <t>528CE206FA04F95DAB2BC23B235ECF539B22A6953859AA28AAA535B340001</t>
  </si>
  <si>
    <t>건축물 현장정리  목조, 철골조, 조적조  M2     ( 호표 3 )</t>
  </si>
  <si>
    <t>호표 3</t>
  </si>
  <si>
    <t>보통인부</t>
  </si>
  <si>
    <t>일반공사 직종</t>
  </si>
  <si>
    <t>인</t>
  </si>
  <si>
    <t>525EB2169A3C69E10E693C3EB327F425525855</t>
  </si>
  <si>
    <t>528CE20691B3B972B985053583A21F525EB2169A3C69E10E693C3EB327F425525855</t>
  </si>
  <si>
    <t>강관 조립말비계(이동식)설치 및 해체  높이 4m, 3개월  대     ( 호표 4 )</t>
  </si>
  <si>
    <t>호표 4</t>
  </si>
  <si>
    <t>비계안정장치</t>
  </si>
  <si>
    <t>비계안정장치, 비계기본틀, 기둥, 1.2*1.7m</t>
  </si>
  <si>
    <t>55A91276F387E9FF4D387D3A933811961EBFE0</t>
  </si>
  <si>
    <t>528CE206CEDAC9860073CE3B53545E55A91276F387E9FF4D387D3A933811961EBFE0</t>
  </si>
  <si>
    <t>비계안정장치, 가새, 1.2*1.9m</t>
  </si>
  <si>
    <t>55A91276F387E9FF4D387D3A933811961EBFEE</t>
  </si>
  <si>
    <t>528CE206CEDAC9860073CE3B53545E55A91276F387E9FF4D387D3A933811961EBFEE</t>
  </si>
  <si>
    <t>비계안정장치, 수평띠장, 1829mm</t>
  </si>
  <si>
    <t>55A91276F387E9FF4D387D3A933811961EB063</t>
  </si>
  <si>
    <t>528CE206CEDAC9860073CE3B53545E55A91276F387E9FF4D387D3A933811961EB063</t>
  </si>
  <si>
    <t>비계안정장치, 손잡이기둥</t>
  </si>
  <si>
    <t>55A91276F387E9FF4D387D3A933811961EB064</t>
  </si>
  <si>
    <t>528CE206CEDAC9860073CE3B53545E55A91276F387E9FF4D387D3A933811961EB064</t>
  </si>
  <si>
    <t>비계안정장치, 손잡이, 1229mm</t>
  </si>
  <si>
    <t>55A91276F387E9FF4D387D3A933811961EB062</t>
  </si>
  <si>
    <t>528CE206CEDAC9860073CE3B53545E55A91276F387E9FF4D387D3A933811961EB062</t>
  </si>
  <si>
    <t>비계안정장치, 손잡이, 1829mm</t>
  </si>
  <si>
    <t>55A91276F387E9FF4D387D3A933811961EB065</t>
  </si>
  <si>
    <t>528CE206CEDAC9860073CE3B53545E55A91276F387E9FF4D387D3A933811961EB065</t>
  </si>
  <si>
    <t>비계안정장치, 이음철물, 연결핀</t>
  </si>
  <si>
    <t>55A91276F387E9FF4D387D3A933811961EBD3E</t>
  </si>
  <si>
    <t>528CE206CEDAC9860073CE3B53545E55A91276F387E9FF4D387D3A933811961EBD3E</t>
  </si>
  <si>
    <t>비계안정장치, 바퀴</t>
  </si>
  <si>
    <t>55A91276F387E9FF4D387D3A933811961EB067</t>
  </si>
  <si>
    <t>528CE206CEDAC9860073CE3B53545E55A91276F387E9FF4D387D3A933811961EB067</t>
  </si>
  <si>
    <t>비계안정장치, 쟈키</t>
  </si>
  <si>
    <t>55A91276F387E9FF4D387D3A933811961EB066</t>
  </si>
  <si>
    <t>528CE206CEDAC9860073CE3B53545E55A91276F387E9FF4D387D3A933811961EB066</t>
  </si>
  <si>
    <t>비계안정장치, 발판, 40*200*2000</t>
  </si>
  <si>
    <t>장</t>
  </si>
  <si>
    <t>55A91276F387E9FF4D387D3AB3E5A911184850</t>
  </si>
  <si>
    <t>528CE206CEDAC9860073CE3B53545E55A91276F387E9FF4D387D3AB3E5A911184850</t>
  </si>
  <si>
    <t>높이 4m, 노무비</t>
  </si>
  <si>
    <t>528CE206CEDAC9860073CC388362E3</t>
  </si>
  <si>
    <t>528CE206CEDAC9860073CE3B53545E528CE206CEDAC9860073CC388362E3</t>
  </si>
  <si>
    <t>시스템비계 설치 및 해체  10m 이하  M2     ( 호표 5 )</t>
  </si>
  <si>
    <t>호표 5</t>
  </si>
  <si>
    <t>비계공</t>
  </si>
  <si>
    <t>525EB2169A3C69E10E693C3EB327F425525851</t>
  </si>
  <si>
    <t>528CE206CEDAC98602247D3B532581525EB2169A3C69E10E693C3EB327F425525851</t>
  </si>
  <si>
    <t>528CE206CEDAC98602247D3B532581525EB2169A3C69E10E693C3EB327F425525855</t>
  </si>
  <si>
    <t>RPP가설울타리판 설치  설치높이 6m 이하  M     ( 호표 6 )</t>
  </si>
  <si>
    <t>호표 6</t>
  </si>
  <si>
    <t>528CE206CEF5C913FD184B3B537AB61C55A91276F33FC9B81C1B63395392CE628CD7387C</t>
  </si>
  <si>
    <t>528CE206CEF5C913FD184B3B537AB61C525EB2169A3C69E10E693C3EB327F425525851</t>
  </si>
  <si>
    <t>528CE206CEF5C913FD184B3B537AB61C525EB2169A3C69E10E693C3EB327F425525855</t>
  </si>
  <si>
    <t>공구손료</t>
  </si>
  <si>
    <t>인력품의 3%</t>
  </si>
  <si>
    <t>528CE206CEF5C913FD184B3B537AB61C539B22A6953859AA28AAA535B340001</t>
  </si>
  <si>
    <t>539B22A6953859AA28AAA535B343002</t>
  </si>
  <si>
    <t>528CE206CEF5C913FD184B3B537AB61C539B22A6953859AA28AAA535B343002</t>
  </si>
  <si>
    <t>RPP가설울타리판 해체  설치높이 6m 이하  M     ( 호표 7 )</t>
  </si>
  <si>
    <t>호표 7</t>
  </si>
  <si>
    <t>528CE206CEF5C913FD184B3B537B5CE1525EB2169A3C69E10E693C3EB327F425525851</t>
  </si>
  <si>
    <t>528CE206CEF5C913FD184B3B537B5CE1525EB2169A3C69E10E693C3EB327F425525855</t>
  </si>
  <si>
    <t>528CE206CEF5C913FD184B3B537B5CE1539B22A6953859AA28AAA535B340001</t>
  </si>
  <si>
    <t>528CE206CEF5C913FD184B3B537B5CE1539B22A6953859AA28AAA535B343002</t>
  </si>
  <si>
    <t>1.0B 벽돌쌓기  3.6m 초과  M2     ( 호표 8 )</t>
  </si>
  <si>
    <t>호표 8</t>
  </si>
  <si>
    <t>조적공</t>
  </si>
  <si>
    <t>525EB2169A3C69E10E693C3EB327F425525A05</t>
  </si>
  <si>
    <t>528C9286A920C9AA1212993083EF9B525EB2169A3C69E10E693C3EB327F425525A05</t>
  </si>
  <si>
    <t>528C9286A920C9AA1212993083EF9B525EB2169A3C69E10E693C3EB327F425525855</t>
  </si>
  <si>
    <t>인력품의 2%</t>
  </si>
  <si>
    <t>528C9286A920C9AA1212993083EF9B539B22A6953859AA28AAA535B340001</t>
  </si>
  <si>
    <t>모르타르 배합(배합품 포함)</t>
  </si>
  <si>
    <t>배합용적비 1:3, 시멘트, 모래 포함</t>
  </si>
  <si>
    <t>528C82A6506BC9BC97971833A3AFCC</t>
  </si>
  <si>
    <t>528C9286A920C9AA1212993083EF9B528C82A6506BC9BC97971833A3AFCC</t>
  </si>
  <si>
    <t>벽돌운반  인력, 4층  천매     ( 호표 9 )</t>
  </si>
  <si>
    <t>호표 9</t>
  </si>
  <si>
    <t>528C9286A90419EA3F99A93D539B80525EB2169A3C69E10E693C3EB327F425525855</t>
  </si>
  <si>
    <t>모르타르 바름  내벽, 18mm, 3.6m 초과  M2     ( 호표 10 )</t>
  </si>
  <si>
    <t>호표 10</t>
  </si>
  <si>
    <t>528C82A6506BD9409745C83ED332CF528C82A6506BC9BC97971833A3AFCC</t>
  </si>
  <si>
    <t>3.6m 초과, 3회(T=24mm 이하 기준)</t>
  </si>
  <si>
    <t>528C82A6506BD942426D4A3F830754</t>
  </si>
  <si>
    <t>528C82A6506BD9409745C83ED332CF528C82A6506BD942426D4A3F830754</t>
  </si>
  <si>
    <t>구배모르타르 바름  바닥, 24mm  M2     ( 호표 11 )</t>
  </si>
  <si>
    <t>호표 11</t>
  </si>
  <si>
    <t>배합용적비 1:5, 시멘트, 모래 포함</t>
  </si>
  <si>
    <t>528C82A6506BC9BC97971E34337A17</t>
  </si>
  <si>
    <t>528C82A6506BF97316C7B53683AF23E0528C82A6506BC9BC97971E34337A17</t>
  </si>
  <si>
    <t>바탕 고르기</t>
  </si>
  <si>
    <t>바닥, 24mm 이하 기준</t>
  </si>
  <si>
    <t>528C2236DDB5B9AAC06AAF3BF3C2FD</t>
  </si>
  <si>
    <t>528C82A6506BF97316C7B53683AF23E0528C2236DDB5B9AAC06AAF3BF3C2FD</t>
  </si>
  <si>
    <t>모르타르 바름  바닥, 30mm  M2     ( 호표 12 )</t>
  </si>
  <si>
    <t>호표 12</t>
  </si>
  <si>
    <t>528C82A6506BF97316C7B53693B2BA528C82A6506BC9BC97971833A3AFCC</t>
  </si>
  <si>
    <t>528C82A6506BF97316C7B53693B2BA528C2236DDB5B9AAC06AAF3BF3C2FD</t>
  </si>
  <si>
    <t>자동 수평 모르타르 바름  바닥 10T  M2     ( 호표 13 )</t>
  </si>
  <si>
    <t>호표 13</t>
  </si>
  <si>
    <t>프라이머</t>
  </si>
  <si>
    <t>수평모르타르용</t>
  </si>
  <si>
    <t>L</t>
  </si>
  <si>
    <t>55A91276F3028904F6209D3F8351548E881B4D88</t>
  </si>
  <si>
    <t>528C82A6506BF908FCCB2A3A031E511955A91276F3028904F6209D3F8351548E881B4D88</t>
  </si>
  <si>
    <t>S/L재</t>
  </si>
  <si>
    <t>무기질불연바닥재</t>
  </si>
  <si>
    <t>㎏</t>
  </si>
  <si>
    <t>55A91276F3028904F6209D3F8351548E881B4D8B</t>
  </si>
  <si>
    <t>528C82A6506BF908FCCB2A3A031E511955A91276F3028904F6209D3F8351548E881B4D8B</t>
  </si>
  <si>
    <t>미장공</t>
  </si>
  <si>
    <t>525EB2169A3C69E10E693C3EB327F425525A03</t>
  </si>
  <si>
    <t>528C82A6506BF908FCCB2A3A031E5119525EB2169A3C69E10E693C3EB327F425525A03</t>
  </si>
  <si>
    <t>528C82A6506BF908FCCB2A3A031E5119525EB2169A3C69E10E693C3EB327F425525855</t>
  </si>
  <si>
    <t>타일 떠붙이기(바탕 24mm)  벽, 0.11∼0.20 이하, 백색줄눈  M2     ( 호표 14 )</t>
  </si>
  <si>
    <t>호표 14</t>
  </si>
  <si>
    <t>528C2236DDB5A9868959173153EBC0528C82A6506BC9BC97971833A3AFCC</t>
  </si>
  <si>
    <t>줄눈 모르타르(배합품 포함)</t>
  </si>
  <si>
    <t>배합용적비 1:1(백시멘트), 모래 포함</t>
  </si>
  <si>
    <t>528C2236DDB5A9868959133B939318</t>
  </si>
  <si>
    <t>528C2236DDB5A9868959173153EBC0528C2236DDB5A9868959133B939318</t>
  </si>
  <si>
    <t>타일 붙임 / 떠붙이기</t>
  </si>
  <si>
    <t>타일규격 m2, 0.11 ~ 0.20 이하</t>
  </si>
  <si>
    <t>528C2236DDB5A98689503434330364</t>
  </si>
  <si>
    <t>528C2236DDB5A9868959173153EBC0528C2236DDB5A98689503434330364</t>
  </si>
  <si>
    <t>타일줄눈 설치 / 벽면</t>
  </si>
  <si>
    <t>528C2236DDB5294E1C435731A32F9E</t>
  </si>
  <si>
    <t>528C2236DDB5A9868959173153EBC0528C2236DDB5294E1C435731A32F9E</t>
  </si>
  <si>
    <t>타일 압착 붙이기(바탕 12mm+압 5mm)  바닥, 300*300(타일C, 백색줄눈)  M2     ( 호표 15 )</t>
  </si>
  <si>
    <t>호표 15</t>
  </si>
  <si>
    <t>528C2236DD9AF9FF62219F3BB320A3528C82A6506BC9BC97971833A3AFCC</t>
  </si>
  <si>
    <t>528C2236DD9AF9FF62219F3BB320A3528C2236DDB5B9AAC06AAF3BF3C2FD</t>
  </si>
  <si>
    <t>압착 붙이기, 바닥면, 바름두께 5mm</t>
  </si>
  <si>
    <t>0.04∼0.10 이하, 타일C, 백색줄눈</t>
  </si>
  <si>
    <t>528C2236DD9AF9FE41BC7E30F371B2</t>
  </si>
  <si>
    <t>528C2236DD9AF9FF62219F3BB320A3528C2236DD9AF9FE41BC7E30F371B2</t>
  </si>
  <si>
    <t>화강석 두겁돌(습식, 물갈기)  창대, 마천석 120*30mm, 모르타르 30mm  M     ( 호표 16 )</t>
  </si>
  <si>
    <t>호표 16</t>
  </si>
  <si>
    <t>자연석판석</t>
  </si>
  <si>
    <t>자연석판석, 물갈기, 30mm, 마천석판재</t>
  </si>
  <si>
    <t>55A91276F32D69BBC5532D3273B066BB6B8E6B</t>
  </si>
  <si>
    <t>528C2236EE62B987D089DD3563E2B14D55A91276F32D69BBC5532D3273B066BB6B8E6B</t>
  </si>
  <si>
    <t>모르타르비빔 - 돌붙임(바닥)</t>
  </si>
  <si>
    <t>528C2236EE1A69F82970903B232536</t>
  </si>
  <si>
    <t>528C2236EE62B987D089DD3563E2B14D528C2236EE1A69F82970903B232536</t>
  </si>
  <si>
    <t>습식공법 - 화강석</t>
  </si>
  <si>
    <t>바닥, 자재 별도</t>
  </si>
  <si>
    <t>528C2236EE24F910D60F8830F3C86F</t>
  </si>
  <si>
    <t>528C2236EE62B987D089DD3563E2B14D528C2236EE24F910D60F8830F3C86F</t>
  </si>
  <si>
    <t>수용성 고무화 아스팔트방수  바닥, 비노출  M2     ( 호표 17 )</t>
  </si>
  <si>
    <t>호표 17</t>
  </si>
  <si>
    <t>아스팔트방수재</t>
  </si>
  <si>
    <t>수용성 아스팔트 프라이머 AP-100</t>
  </si>
  <si>
    <t>KG</t>
  </si>
  <si>
    <t>558E12D6469EC95917239132F3FC139EBC440F</t>
  </si>
  <si>
    <t>528C72B6D26AD9C653490E35E304BB558E12D6469EC95917239132F3FC139EBC440F</t>
  </si>
  <si>
    <t>수용성 고무화아스팔트 AP-300</t>
  </si>
  <si>
    <t>558E12D6469EC95917239132F3FC139EBC440C</t>
  </si>
  <si>
    <t>528C72B6D26AD9C653490E35E304BB558E12D6469EC95917239132F3FC139EBC440C</t>
  </si>
  <si>
    <t>보강포</t>
  </si>
  <si>
    <t>558E12D6469EC95917239132F3FC139EBC440E</t>
  </si>
  <si>
    <t>528C72B6D26AD9C653490E35E304BB558E12D6469EC95917239132F3FC139EBC440E</t>
  </si>
  <si>
    <t>잡재료</t>
  </si>
  <si>
    <t>주재료비의 2%</t>
  </si>
  <si>
    <t>528C72B6D26AD9C653490E35E304BB539B22A6953859AA28AAA535B340001</t>
  </si>
  <si>
    <t>바탕처리 - 23-1/4 삭제</t>
  </si>
  <si>
    <t>528C72B6FD5EE9BC037673324330C7</t>
  </si>
  <si>
    <t>528C72B6D26AD9C653490E35E304BB528C72B6FD5EE9BC037673324330C7</t>
  </si>
  <si>
    <t>방수프라이머 바름</t>
  </si>
  <si>
    <t>롤러 1층(회) 바름 기준</t>
  </si>
  <si>
    <t>528C72B6FD5EE9BFD8BA5F3BF3021F</t>
  </si>
  <si>
    <t>528C72B6D26AD9C653490E35E304BB528C72B6FD5EE9BFD8BA5F3BF3021F</t>
  </si>
  <si>
    <t>도막바름</t>
  </si>
  <si>
    <t>바닥, 도막 1층(회) 형성 기준</t>
  </si>
  <si>
    <t>528C72B6D26AC921D723F83FE392FC</t>
  </si>
  <si>
    <t>528C72B6D26AD9C653490E35E304BB528C72B6D26AC921D723F83FE392FC</t>
  </si>
  <si>
    <t>보강포 붙임</t>
  </si>
  <si>
    <t>바닥, 1층(회) 붙임 기준</t>
  </si>
  <si>
    <t>528C72B6D26AC921D720233BA345D3</t>
  </si>
  <si>
    <t>528C72B6D26AD9C653490E35E304BB528C72B6D26AC921D720233BA345D3</t>
  </si>
  <si>
    <t>수용성 고무화 아스팔트방수  벽, 비노출  M2     ( 호표 18 )</t>
  </si>
  <si>
    <t>호표 18</t>
  </si>
  <si>
    <t>528C72B6D26AD9C653490E35E304BA558E12D6469EC95917239132F3FC139EBC440F</t>
  </si>
  <si>
    <t>528C72B6D26AD9C653490E35E304BA558E12D6469EC95917239132F3FC139EBC440C</t>
  </si>
  <si>
    <t>528C72B6D26AD9C653490E35E304BA558E12D6469EC95917239132F3FC139EBC440E</t>
  </si>
  <si>
    <t>528C72B6D26AD9C653490E35E304BA539B22A6953859AA28AAA535B340001</t>
  </si>
  <si>
    <t>수직부</t>
  </si>
  <si>
    <t>528C72B6FD5EE9BC03756A305304E5</t>
  </si>
  <si>
    <t>528C72B6D26AD9C653490E35E304BA528C72B6FD5EE9BC03756A305304E5</t>
  </si>
  <si>
    <t>528C72B6D26AD9C653490E35E304BA528C72B6FD5EE9BFD8BA5F3BF3021F</t>
  </si>
  <si>
    <t>수직부, 도막 1층(회) 형성 기준</t>
  </si>
  <si>
    <t>528C72B6D25859170ED3943C337242</t>
  </si>
  <si>
    <t>528C72B6D26AD9C653490E35E304BA528C72B6D25859170ED3943C337242</t>
  </si>
  <si>
    <t>수직부, 1층(회) 붙임 기준</t>
  </si>
  <si>
    <t>528C72B6D25859170ED0C0362305DC</t>
  </si>
  <si>
    <t>528C72B6D26AD9C653490E35E304BA528C72B6D25859170ED0C0362305DC</t>
  </si>
  <si>
    <t>시멘트 액체방수 바름  바닥  M2     ( 호표 19 )</t>
  </si>
  <si>
    <t>호표 19</t>
  </si>
  <si>
    <t>시멘트</t>
  </si>
  <si>
    <t>시멘트, 분공장도</t>
  </si>
  <si>
    <t>kg</t>
  </si>
  <si>
    <t>55A91276F30289074B0BD33C938FA1CE505102</t>
  </si>
  <si>
    <t>528C72B679E069B4976E273913F29355A91276F30289074B0BD33C938FA1CE505102</t>
  </si>
  <si>
    <t>모래</t>
  </si>
  <si>
    <t>모래, 부산, 도착도</t>
  </si>
  <si>
    <t>558E22F6D27B79DF31E62538A38FD09941FD79</t>
  </si>
  <si>
    <t>528C72B679E069B4976E273913F293558E22F6D27B79DF31E62538A38FD09941FD79</t>
  </si>
  <si>
    <t>침투성방수제</t>
  </si>
  <si>
    <t>침투성방수제, 급결방수액</t>
  </si>
  <si>
    <t>558E12D6469EC95917270C37739FD08DB0D7D8</t>
  </si>
  <si>
    <t>528C72B679E069B4976E273913F293558E12D6469EC95917270C37739FD08DB0D7D8</t>
  </si>
  <si>
    <t>528C72B679E069B4976E273913F293539B22A6953859AA28AAA535B340001</t>
  </si>
  <si>
    <t>방수공</t>
  </si>
  <si>
    <t>525EB2169A3C69E10E693C3EB327F425525A02</t>
  </si>
  <si>
    <t>528C72B679E069B4976E273913F293525EB2169A3C69E10E693C3EB327F425525A02</t>
  </si>
  <si>
    <t>528C72B679E069B4976E273913F293525EB2169A3C69E10E693C3EB327F425525855</t>
  </si>
  <si>
    <t>시멘트 액체방수 바름  벽  M2     ( 호표 20 )</t>
  </si>
  <si>
    <t>호표 20</t>
  </si>
  <si>
    <t>528C72B679E069B4976E273913F2935C55A91276F30289074B0BD33C938FA1CE505102</t>
  </si>
  <si>
    <t>528C72B679E069B4976E273913F2935C558E22F6D27B79DF31E62538A38FD09941FD79</t>
  </si>
  <si>
    <t>528C72B679E069B4976E273913F2935C558E12D6469EC95917270C37739FD08DB0D7D8</t>
  </si>
  <si>
    <t>528C72B679E069B4976E273913F2935C539B22A6953859AA28AAA535B340001</t>
  </si>
  <si>
    <t>528C72B679E069B4976E273913F2935C525EB2169A3C69E10E693C3EB327F425525A02</t>
  </si>
  <si>
    <t>528C72B679E069B4976E273913F2935C525EB2169A3C69E10E693C3EB327F425525855</t>
  </si>
  <si>
    <t>마루틀 설치  45*45, @450  M2     ( 호표 21 )</t>
  </si>
  <si>
    <t>호표 21</t>
  </si>
  <si>
    <t>각재</t>
  </si>
  <si>
    <t>각재, 외송</t>
  </si>
  <si>
    <t>55A91276F31339E891023A3743E44F71C56F8D</t>
  </si>
  <si>
    <t>528C625664E5499988B0D5373338BE55A91276F31339E891023A3743E44F71C56F8D</t>
  </si>
  <si>
    <t>시공비</t>
  </si>
  <si>
    <t>528C625664E5499989575A3FB345C4</t>
  </si>
  <si>
    <t>528C625664E5499988B0D5373338BE528C625664E5499989575A3FB345C4</t>
  </si>
  <si>
    <t>마루틀 설치  90*90, @900  M2     ( 호표 22 )</t>
  </si>
  <si>
    <t>호표 22</t>
  </si>
  <si>
    <t>528C625664E5499988B1F23193C65A55A91276F31339E891023A3743E44F71C56F8D</t>
  </si>
  <si>
    <t>528C625664E5499988B1F23193C65A528C625664E5499989575A3FB345C4</t>
  </si>
  <si>
    <t>마루귀틀 설치    M     ( 호표 23 )</t>
  </si>
  <si>
    <t>호표 23</t>
  </si>
  <si>
    <t>내장공</t>
  </si>
  <si>
    <t>525EB2169A3C69E10E693C3EB327F425525B2B</t>
  </si>
  <si>
    <t>528C02E65E7E892056AF3039C38A37525EB2169A3C69E10E693C3EB327F425525B2B</t>
  </si>
  <si>
    <t>528C02E65E7E892056AF3039C38A37525EB2169A3C69E10E693C3EB327F425525855</t>
  </si>
  <si>
    <t>528C02E65E7E892056AF3039C38A37539B22A6953859AA28AAA535B340001</t>
  </si>
  <si>
    <t>합판 2겹 깔기  바닥, 12㎜ 내수합판 2겹  M2     ( 호표 24 )</t>
  </si>
  <si>
    <t>호표 24</t>
  </si>
  <si>
    <t>초산비닐계접착제</t>
  </si>
  <si>
    <t>초산비닐계접착제, 일반목공용</t>
  </si>
  <si>
    <t>55A90256AD5809487F72C034F31E0D59AF029F</t>
  </si>
  <si>
    <t>528C02E6D3D839CDDF2BA4376372FDC455A90256AD5809487F72C034F31E0D59AF029F</t>
  </si>
  <si>
    <t>건축목공</t>
  </si>
  <si>
    <t>525EB2169A3C69E10E693C3EB327F425525A07</t>
  </si>
  <si>
    <t>528C02E6D3D839CDDF2BA4376372FDC4525EB2169A3C69E10E693C3EB327F425525A07</t>
  </si>
  <si>
    <t>528C02E6D3D839CDDF2BA4376372FDC4525EB2169A3C69E10E693C3EB327F425525855</t>
  </si>
  <si>
    <t>528C02E6D3D839CDDF2BA4376372FDC4539B22A6953859AA28AAA535B340001</t>
  </si>
  <si>
    <t>합판 2겹 깔기  바닥, 15㎜ 내수합판 2겹  M2     ( 호표 25 )</t>
  </si>
  <si>
    <t>호표 25</t>
  </si>
  <si>
    <t>528C02E6D3D839CDDF2BA4376372FDC755A90256AD5809487F72C034F31E0D59AF029F</t>
  </si>
  <si>
    <t>528C02E6D3D839CDDF2BA4376372FDC7525EB2169A3C69E10E693C3EB327F425525A07</t>
  </si>
  <si>
    <t>528C02E6D3D839CDDF2BA4376372FDC7525EB2169A3C69E10E693C3EB327F425525855</t>
  </si>
  <si>
    <t>528C02E6D3D839CDDF2BA4376372FDC7539B22A6953859AA28AAA535B340001</t>
  </si>
  <si>
    <t>벽, T15 목모흡음보드 붙임  T15, 국내산  M2     ( 호표 26 )</t>
  </si>
  <si>
    <t>호표 26</t>
  </si>
  <si>
    <t>528C02E6D3D839CDDF2BA4376372FDC155A90256AD5809487F72C034F31E0D59AF029F</t>
  </si>
  <si>
    <t>528C02E6D3D839CDDF2BA4376372FDC1525EB2169A3C69E10E693C3EB327F425525A07</t>
  </si>
  <si>
    <t>528C02E6D3D839CDDF2BA4376372FDC1525EB2169A3C69E10E693C3EB327F425525855</t>
  </si>
  <si>
    <t>528C02E6D3D839CDDF2BA4376372FDC1539B22A6953859AA28AAA535B340001</t>
  </si>
  <si>
    <t>차은시트 붙임  2T  M2     ( 호표 27 )</t>
  </si>
  <si>
    <t>호표 27</t>
  </si>
  <si>
    <t>차은시트</t>
  </si>
  <si>
    <t>558E22F6D24E09A5E3A5823BD3E3DF31B6FEC7C3</t>
  </si>
  <si>
    <t>528C02E6D3D839CDDF2BA4376372FDC0558E22F6D24E09A5E3A5823BD3E3DF31B6FEC7C3</t>
  </si>
  <si>
    <t>초산비닐계접착제, 비닐타일용</t>
  </si>
  <si>
    <t>55A90256AD5809487F72C034F31E0D59AF03BC</t>
  </si>
  <si>
    <t>528C02E6D3D839CDDF2BA4376372FDC055A90256AD5809487F72C034F31E0D59AF03BC</t>
  </si>
  <si>
    <t>특별인부</t>
  </si>
  <si>
    <t>525EB2169A3C69E10E693C3EB327F425525854</t>
  </si>
  <si>
    <t>528C02E6D3D839CDDF2BA4376372FDC0525EB2169A3C69E10E693C3EB327F425525854</t>
  </si>
  <si>
    <t>백페인트글라스 붙이기  T8, 화이트보드, 제비스코  M2     ( 호표 28 )</t>
  </si>
  <si>
    <t>호표 28</t>
  </si>
  <si>
    <t>백페인트글라스</t>
  </si>
  <si>
    <t>55A91276F36B393DEC74323AB3807C22E9712DB6</t>
  </si>
  <si>
    <t>528C3226AB96A98EFBAEF431D36B364C55A91276F36B393DEC74323AB3807C22E9712DB6</t>
  </si>
  <si>
    <t>초산비닐계접착제, 창호목공용</t>
  </si>
  <si>
    <t>55A90256AD5809487F72C034F31E0D59AF03BD</t>
  </si>
  <si>
    <t>528C3226AB96A98EFBAEF431D36B364C55A90256AD5809487F72C034F31E0D59AF03BD</t>
  </si>
  <si>
    <t>접착테이프</t>
  </si>
  <si>
    <t>1,500*1,200기준</t>
  </si>
  <si>
    <t>조인트 보강용</t>
  </si>
  <si>
    <t>55A90256AD5839024EC59D3CC3763E1D47CACE</t>
  </si>
  <si>
    <t>528C3226AB96A98EFBAEF431D36B364C55A90256AD5839024EC59D3CC3763E1D47CACE</t>
  </si>
  <si>
    <t>유리공</t>
  </si>
  <si>
    <t>525EB2169A3C69E10E693C3EB327F425525A01</t>
  </si>
  <si>
    <t>528C3226AB96A98EFBAEF431D36B364C525EB2169A3C69E10E693C3EB327F425525A01</t>
  </si>
  <si>
    <t>528C3226AB96A98EFBAEF431D36B364C525EB2169A3C69E10E693C3EB327F425525855</t>
  </si>
  <si>
    <t>단열재 깔기  압출발포폴리스티렌단열재, 압출, 0.03, 100mm  M2     ( 호표 29 )</t>
  </si>
  <si>
    <t>호표 29</t>
  </si>
  <si>
    <t>528C02E6A64A09867EA349356391B0525EB2169A3C69E10E693C3EB327F425525B2B</t>
  </si>
  <si>
    <t>528C02E6A64A09867EA349356391B0525EB2169A3C69E10E693C3EB327F425525855</t>
  </si>
  <si>
    <t>석고판 설치(나사고정) - 바탕용  벽, 2겹 붙임  M2     ( 호표 30 )</t>
  </si>
  <si>
    <t>호표 30</t>
  </si>
  <si>
    <t>528C02E6D3BD59526658B239C38B41525EB2169A3C69E10E693C3EB327F425525B2B</t>
  </si>
  <si>
    <t>528C02E6D3BD59526658B239C38B41525EB2169A3C69E10E693C3EB327F425525855</t>
  </si>
  <si>
    <t>인력품의 1%</t>
  </si>
  <si>
    <t>528C02E6D3BD59526658B239C38B41539B22A6953859AA28AAA535B340001</t>
  </si>
  <si>
    <t>석고판 설치(나사고정) - 바탕용  천장, 1겹 붙임  M2     ( 호표 31 )</t>
  </si>
  <si>
    <t>호표 31</t>
  </si>
  <si>
    <t>528C02E6D3BD59515F678133438DF2525EB2169A3C69E10E693C3EB327F425525B2B</t>
  </si>
  <si>
    <t>528C02E6D3BD59515F678133438DF2525EB2169A3C69E10E693C3EB327F425525855</t>
  </si>
  <si>
    <t>528C02E6D3BD59515F678133438DF2539B22A6953859AA28AAA535B340001</t>
  </si>
  <si>
    <t>석고판 설치(나사고정) - 바탕용  천장, 2겹 붙임  M2     ( 호표 32 )</t>
  </si>
  <si>
    <t>호표 32</t>
  </si>
  <si>
    <t>528C02E6D3BD59515F678133438E98525EB2169A3C69E10E693C3EB327F425525B2B</t>
  </si>
  <si>
    <t>528C02E6D3BD59515F678133438E98525EB2169A3C69E10E693C3EB327F425525855</t>
  </si>
  <si>
    <t>528C02E6D3BD59515F678133438E98539B22A6953859AA28AAA535B340001</t>
  </si>
  <si>
    <t>드라이월 벽 설치(일반)  일반 9.5mm 양면 2겹 C-골조 125현 이하  ㎡     ( 호표 33 )</t>
  </si>
  <si>
    <t>호표 33</t>
  </si>
  <si>
    <t>철공</t>
  </si>
  <si>
    <t>525EB2169A3C69E10E693C3EB327F42552585E</t>
  </si>
  <si>
    <t>528C527674AE490248499A37A3BF37AC525EB2169A3C69E10E693C3EB327F42552585E</t>
  </si>
  <si>
    <t>석고설치</t>
  </si>
  <si>
    <t>525EB2169A3C69E10E693C3EB327F425525B2BBB</t>
  </si>
  <si>
    <t>528C527674AE490248499A37A3BF37AC525EB2169A3C69E10E693C3EB327F425525B2BBB</t>
  </si>
  <si>
    <t>조인트퍼티</t>
  </si>
  <si>
    <t>525EB2169A3C69E10E693C3EB327F425525B2BB8</t>
  </si>
  <si>
    <t>528C527674AE490248499A37A3BF37AC525EB2169A3C69E10E693C3EB327F425525B2BB8</t>
  </si>
  <si>
    <t>단열재 설치</t>
  </si>
  <si>
    <t>525EB2169A3C69E10E693C3EB327F425525B2BB9</t>
  </si>
  <si>
    <t>528C527674AE490248499A37A3BF37AC525EB2169A3C69E10E693C3EB327F425525B2BB9</t>
  </si>
  <si>
    <t>코킹</t>
  </si>
  <si>
    <t>525EB2169A3C69E10E693C3EB327F425525B2BBE</t>
  </si>
  <si>
    <t>528C527674AE490248499A37A3BF37AC525EB2169A3C69E10E693C3EB327F425525B2BBE</t>
  </si>
  <si>
    <t>528C527674AE490248499A37A3BF37AC539B22A6953859AA28AAA535B340001</t>
  </si>
  <si>
    <t>드라이월 벽 설치(방화)  방화 12.5mm 양면 2겹 C-골조 125현 이하  ㎡     ( 호표 34 )</t>
  </si>
  <si>
    <t>호표 34</t>
  </si>
  <si>
    <t>528C527674AE490248499A37A3BF37AF525EB2169A3C69E10E693C3EB327F42552585E</t>
  </si>
  <si>
    <t>528C527674AE490248499A37A3BF37AF525EB2169A3C69E10E693C3EB327F425525B2BBB</t>
  </si>
  <si>
    <t>528C527674AE490248499A37A3BF37AF525EB2169A3C69E10E693C3EB327F425525B2BB8</t>
  </si>
  <si>
    <t>528C527674AE490248499A37A3BF37AF525EB2169A3C69E10E693C3EB327F425525B2BB9</t>
  </si>
  <si>
    <t>528C527674AE490248499A37A3BF37AF525EB2169A3C69E10E693C3EB327F425525B2BBE</t>
  </si>
  <si>
    <t>528C527674AE490248499A37A3BF37AF539B22A6953859AA28AAA535B340001</t>
  </si>
  <si>
    <t>단열재 격자넣기 - 벽  그라스울 24K, 50T*450*1000  M2     ( 호표 35 )</t>
  </si>
  <si>
    <t>호표 35</t>
  </si>
  <si>
    <t>그라스울</t>
  </si>
  <si>
    <t>24K, 50T*450*1000</t>
  </si>
  <si>
    <t>55A91276F34859374176AC33638E9D9B7F7EB0E6</t>
  </si>
  <si>
    <t>528C02E6A677496478D8DC3033CD045C55A91276F34859374176AC33638E9D9B7F7EB0E6</t>
  </si>
  <si>
    <t>단열재 격자넣기</t>
  </si>
  <si>
    <t>50mm 이하, 벽</t>
  </si>
  <si>
    <t>528C02E6A677496626B6303B2316C3</t>
  </si>
  <si>
    <t>528C02E6A677496478D8DC3033CD045C528C02E6A677496626B6303B2316C3</t>
  </si>
  <si>
    <t>비닐타일 깔기  비닐타일, 3*450*450mm, 데코타일  M2     ( 호표 36 )</t>
  </si>
  <si>
    <t>호표 36</t>
  </si>
  <si>
    <t>PVC계 바닥재 설치 - 타일</t>
  </si>
  <si>
    <t>주재료 제외</t>
  </si>
  <si>
    <t>528C02E6FE7409FF44EC303183368F</t>
  </si>
  <si>
    <t>528C02E6FE7409FF40712B3103D588528C02E6FE7409FF44EC303183368F</t>
  </si>
  <si>
    <t>비닐시트 깔기 - 전면접합  비닐시트, 2.0mm, 모노륨  M2     ( 호표 37 )</t>
  </si>
  <si>
    <t>호표 37</t>
  </si>
  <si>
    <t>PVC계 바닥재 설치 - 시트</t>
  </si>
  <si>
    <t>주재료 제외, 전면접합</t>
  </si>
  <si>
    <t>528C02E6FE7409FF44EC3031833796</t>
  </si>
  <si>
    <t>528C02E6FE7409FEBC732B3DF33866528C02E6FE7409FF44EC3031833796</t>
  </si>
  <si>
    <t>흡음텍스 설치  천정, THK9.5 석고계 텍스  M2     ( 호표 38 )</t>
  </si>
  <si>
    <t>호표 38</t>
  </si>
  <si>
    <t>528C02E6D38029DD72367231A34EAF525EB2169A3C69E10E693C3EB327F425525B2B</t>
  </si>
  <si>
    <t>528C02E6D38029DD72367231A34EAF525EB2169A3C69E10E693C3EB327F425525855</t>
  </si>
  <si>
    <t>528C02E6D38029DD72367231A34EAF539B22A6953859AA28AAA535B340001</t>
  </si>
  <si>
    <t>흡음텍스 설치  천정, THK12 마이톤(타카형)  M2     ( 호표 39 )</t>
  </si>
  <si>
    <t>호표 39</t>
  </si>
  <si>
    <t>528C02E6D38029DD72367231A34EAFD6525EB2169A3C69E10E693C3EB327F425525B2B</t>
  </si>
  <si>
    <t>528C02E6D38029DD72367231A34EAFD6525EB2169A3C69E10E693C3EB327F425525855</t>
  </si>
  <si>
    <t>528C02E6D38029DD72367231A34EAFD6539B22A6953859AA28AAA535B340001</t>
  </si>
  <si>
    <t>걸레받이 설치  중밀도섬유판, H=75~120mm 기준  M     ( 호표 40 )</t>
  </si>
  <si>
    <t>호표 40</t>
  </si>
  <si>
    <t>걸레받이</t>
  </si>
  <si>
    <t>THK9, MDF 무늬목 랩핑 H75~120mm 기준</t>
  </si>
  <si>
    <t>55A91276F3759998B5112E3A13F6F61154AFD976</t>
  </si>
  <si>
    <t>528C02E6FE3E79794DEAE0343316E155A91276F3759998B5112E3A13F6F61154AFD976</t>
  </si>
  <si>
    <t>528C02E6FE3E79794DEAE0343316E1525EB2169A3C69E10E693C3EB327F425525B2B</t>
  </si>
  <si>
    <t>528C02E6FE3E79794DEAE0343316E1525EB2169A3C69E10E693C3EB327F425525855</t>
  </si>
  <si>
    <t>528C02E6FE3E79794DEAE0343316E1539B22A6953859AA28AAA535B340001</t>
  </si>
  <si>
    <t>걸레받이 설치  THK9, MDF루바용 H75~120mm 기준  M     ( 호표 41 )</t>
  </si>
  <si>
    <t>호표 41</t>
  </si>
  <si>
    <t>55A91276F3759998B5112E3A13F6F61154AFD971</t>
  </si>
  <si>
    <t>528C02E6FE3E79794DEAE0343316E10155A91276F3759998B5112E3A13F6F61154AFD971</t>
  </si>
  <si>
    <t>528C02E6FE3E79794DEAE0343316E10155A90256AD5809487F72C034F31E0D59AF029F</t>
  </si>
  <si>
    <t>528C02E6FE3E79794DEAE0343316E101525EB2169A3C69E10E693C3EB327F425525B2B</t>
  </si>
  <si>
    <t>528C02E6FE3E79794DEAE0343316E101525EB2169A3C69E10E693C3EB327F425525855</t>
  </si>
  <si>
    <t>528C02E6FE3E79794DEAE0343316E101539B22A6953859AA28AAA535B340001</t>
  </si>
  <si>
    <t>마감몰딩 설치  THK9, MDF루바용 H75~120mm 기준  M     ( 호표 42 )</t>
  </si>
  <si>
    <t>호표 42</t>
  </si>
  <si>
    <t>허리몰딩</t>
  </si>
  <si>
    <t>55A91276F3759998B5112E3A13F6F61154AFD972</t>
  </si>
  <si>
    <t>528C02E6FE3E79794DEAE0343316E10255A91276F3759998B5112E3A13F6F61154AFD972</t>
  </si>
  <si>
    <t>528C02E6FE3E79794DEAE0343316E10255A90256AD5809487F72C034F31E0D59AF029F</t>
  </si>
  <si>
    <t>528C02E6FE3E79794DEAE0343316E102525EB2169A3C69E10E693C3EB327F425525B2B</t>
  </si>
  <si>
    <t>528C02E6FE3E79794DEAE0343316E102525EB2169A3C69E10E693C3EB327F425525855</t>
  </si>
  <si>
    <t>528C02E6FE3E79794DEAE0343316E102539B22A6953859AA28AAA535B340001</t>
  </si>
  <si>
    <t>문선몰딩 설치  평몰딩 12*40*2240(MDF+무늬목시트)  M     ( 호표 43 )</t>
  </si>
  <si>
    <t>호표 43</t>
  </si>
  <si>
    <t>문선몰딩</t>
  </si>
  <si>
    <t>55A91276F3759998B5112E3A13F6F61154AFD973</t>
  </si>
  <si>
    <t>528C02E6FE3E79794DEAE0343316E10355A91276F3759998B5112E3A13F6F61154AFD973</t>
  </si>
  <si>
    <t>528C02E6FE3E79794DEAE0343316E10355A90256AD5809487F72C034F31E0D59AF029F</t>
  </si>
  <si>
    <t>528C02E6FE3E79794DEAE0343316E103525EB2169A3C69E10E693C3EB327F425525B2B</t>
  </si>
  <si>
    <t>528C02E6FE3E79794DEAE0343316E103525EB2169A3C69E10E693C3EB327F425525855</t>
  </si>
  <si>
    <t>528C02E6FE3E79794DEAE0343316E103539B22A6953859AA28AAA535B340001</t>
  </si>
  <si>
    <t>천정몰딩 설치  마이너스몰딩, 25*15*2400mm  M     ( 호표 44 )</t>
  </si>
  <si>
    <t>호표 44</t>
  </si>
  <si>
    <t>천정몰딩</t>
  </si>
  <si>
    <t>55A91276F3759998B5112E3A13F6F61154AFD974</t>
  </si>
  <si>
    <t>528C02E6FE3E79794DEAE0343316E10455A91276F3759998B5112E3A13F6F61154AFD974</t>
  </si>
  <si>
    <t>528C02E6FE3E79794DEAE0343316E10455A90256AD5809487F72C034F31E0D59AF029F</t>
  </si>
  <si>
    <t>528C02E6FE3E79794DEAE0343316E104525EB2169A3C69E10E693C3EB327F425525B2B</t>
  </si>
  <si>
    <t>528C02E6FE3E79794DEAE0343316E104525EB2169A3C69E10E693C3EB327F425525855</t>
  </si>
  <si>
    <t>528C02E6FE3E79794DEAE0343316E104539B22A6953859AA28AAA535B340001</t>
  </si>
  <si>
    <t>패널류 설치  벽, THK9 MDF루바, 무늬목시트마감  M2     ( 호표 45 )</t>
  </si>
  <si>
    <t>호표 45</t>
  </si>
  <si>
    <t>무늬목 루바</t>
  </si>
  <si>
    <t>THK9 MDF루바, 무늬목시트마감</t>
  </si>
  <si>
    <t>55A91276F3759998B5112E3A13F6F61154AFD975</t>
  </si>
  <si>
    <t>528C02E6FE3E79794DEAE0343316E10555A91276F3759998B5112E3A13F6F61154AFD975</t>
  </si>
  <si>
    <t>528C02E6FE3E79794DEAE0343316E10555A90256AD5809487F72C034F31E0D59AF029F</t>
  </si>
  <si>
    <t>528C02E6FE3E79794DEAE0343316E105525EB2169A3C69E10E693C3EB327F425525A07</t>
  </si>
  <si>
    <t>528C02E6FE3E79794DEAE0343316E105525EB2169A3C69E10E693C3EB327F425525855</t>
  </si>
  <si>
    <t>528C02E6FE3E79794DEAE0343316E105539B22A6953859AA28AAA535B340001</t>
  </si>
  <si>
    <t>도배바름  합판·석고보드면, 벽, 실크형, A급  M2     ( 호표 46 )</t>
  </si>
  <si>
    <t>호표 46</t>
  </si>
  <si>
    <t>도배바름(합판·석고보드면)</t>
  </si>
  <si>
    <t>재료비, 비닐벽지, 실크형, A급</t>
  </si>
  <si>
    <t>528C02E6C132596605A7AB37C37BB7</t>
  </si>
  <si>
    <t>528C02E6C13259672CB06D39B31BEF528C02E6C132596605A7AB37C37BB7</t>
  </si>
  <si>
    <t>도배공</t>
  </si>
  <si>
    <t>525EB2169A3C69E10E693C3EB327F425525B2A</t>
  </si>
  <si>
    <t>528C02E6C13259672CB06D39B31BEF525EB2169A3C69E10E693C3EB327F425525B2A</t>
  </si>
  <si>
    <t>528C02E6C13259672CB06D39B31BEF525EB2169A3C69E10E693C3EB327F425525855</t>
  </si>
  <si>
    <t>도배바름  합판·석고보드면, 천장, 실크형, A급  M2     ( 호표 47 )</t>
  </si>
  <si>
    <t>호표 47</t>
  </si>
  <si>
    <t>528C02E6C13259672CB06C3F43AEC9528C02E6C132596605A7AB37C37BB7</t>
  </si>
  <si>
    <t>528C02E6C13259672CB06C3F43AEC9525EB2169A3C69E10E693C3EB327F425525B2A</t>
  </si>
  <si>
    <t>528C02E6C13259672CB06C3F43AEC9525EB2169A3C69E10E693C3EB327F425525855</t>
  </si>
  <si>
    <t>노임할증</t>
  </si>
  <si>
    <t>인력품의 30%</t>
  </si>
  <si>
    <t>528C02E6C13259672CB06C3F43AEC9539B22A6953859AA28AAA535B340001</t>
  </si>
  <si>
    <t>비닐시트 깔기 - 부분접합 방식  비닐시트, 5.0mm, 고탄성비닐시트  M2     ( 호표 48 )</t>
  </si>
  <si>
    <t>호표 48</t>
  </si>
  <si>
    <t>비닐시트, 6.0mm, 고탄성비닐시트, EQ-Floor</t>
  </si>
  <si>
    <t>55A91276F375999A6388283F033B46917C724F</t>
  </si>
  <si>
    <t>528C02E6FE7409FEBC732830F37E695F55A91276F375999A6388283F033B46917C724F</t>
  </si>
  <si>
    <t>주재료 제외, 부분접합 방식</t>
  </si>
  <si>
    <t>528C02E6FE7409FF44EC30318334C2</t>
  </si>
  <si>
    <t>528C02E6FE7409FEBC732830F37E695F528C02E6FE7409FF44EC30318334C2</t>
  </si>
  <si>
    <t>전기온돌판넬 설치(여숙소1~4호)  훈기나는 전기온돌판넬, 온도조절기 포함  식     ( 호표 49 )</t>
  </si>
  <si>
    <t>호표 49</t>
  </si>
  <si>
    <t>전기온돌판넬</t>
  </si>
  <si>
    <t>15T*1700*850</t>
  </si>
  <si>
    <t>55A91276F375999A638DAE36539C63839409D87C</t>
  </si>
  <si>
    <t>528C6256649D79C06205D9383311257C55A91276F375999A638DAE36539C63839409D87C</t>
  </si>
  <si>
    <t>15T*1700*425</t>
  </si>
  <si>
    <t>55A91276F375999A638DAE36539C63839409D87F</t>
  </si>
  <si>
    <t>528C6256649D79C06205D9383311257C55A91276F375999A638DAE36539C63839409D87F</t>
  </si>
  <si>
    <t>15T*850*425</t>
  </si>
  <si>
    <t>55A91276F375999A638DAE36539C63839409D87E</t>
  </si>
  <si>
    <t>528C6256649D79C06205D9383311257C55A91276F375999A638DAE36539C63839409D87E</t>
  </si>
  <si>
    <t>보조블록</t>
  </si>
  <si>
    <t>15T*212.5*425</t>
  </si>
  <si>
    <t>55A91276F375999A638DAE36539C63839409D879</t>
  </si>
  <si>
    <t>528C6256649D79C06205D9383311257C55A91276F375999A638DAE36539C63839409D879</t>
  </si>
  <si>
    <t>온도조절기</t>
  </si>
  <si>
    <t>소형</t>
  </si>
  <si>
    <t>55A91276F375999A638DAE36539C63839409D878</t>
  </si>
  <si>
    <t>528C6256649D79C06205D9383311257C55A91276F375999A638DAE36539C63839409D878</t>
  </si>
  <si>
    <t>528C6256649D79C06205D9383311257C539B22A6953859AA28AAA535B340001</t>
  </si>
  <si>
    <t>내선전공</t>
  </si>
  <si>
    <t>525EB2169A3C69E10E693C3EB327F425525F83</t>
  </si>
  <si>
    <t>528C6256649D79C06205D9383311257C525EB2169A3C69E10E693C3EB327F425525F83</t>
  </si>
  <si>
    <t>전기온돌판넬 설치(남숙소1~10호)  훈기나는 전기온돌판넬, 온도조절기 포함  식     ( 호표 50 )</t>
  </si>
  <si>
    <t>호표 50</t>
  </si>
  <si>
    <t>528C6256649D79C06205D9383311257F55A91276F375999A638DAE36539C63839409D87C</t>
  </si>
  <si>
    <t>528C6256649D79C06205D9383311257F55A91276F375999A638DAE36539C63839409D87F</t>
  </si>
  <si>
    <t>528C6256649D79C06205D9383311257F55A91276F375999A638DAE36539C63839409D87E</t>
  </si>
  <si>
    <t>528C6256649D79C06205D9383311257F55A91276F375999A638DAE36539C63839409D879</t>
  </si>
  <si>
    <t>528C6256649D79C06205D9383311257F55A91276F375999A638DAE36539C63839409D878</t>
  </si>
  <si>
    <t>528C6256649D79C06205D9383311257F539B22A6953859AA28AAA535B340001</t>
  </si>
  <si>
    <t>528C6256649D79C06205D9383311257F525EB2169A3C69E10E693C3EB327F425525F83</t>
  </si>
  <si>
    <t>AL몰딩 설치  L형, 15*15*1.0mm  M     ( 호표 51 )</t>
  </si>
  <si>
    <t>호표 51</t>
  </si>
  <si>
    <t>경량철골천장틀, 몰딩(알루미늄), L형, 15*15*1.0mm</t>
  </si>
  <si>
    <t>55A91276F375999B0A7E4E382333117A307F3D</t>
  </si>
  <si>
    <t>528C02E6792F09897108CD32C38AFA55A91276F375999B0A7E4E382333117A307F3D</t>
  </si>
  <si>
    <t>재료비의 5%</t>
  </si>
  <si>
    <t>528C02E6792F09897108CD32C38AFA539B22A6953859AA28AAA535B340001</t>
  </si>
  <si>
    <t>몰딩 설치</t>
  </si>
  <si>
    <t>528C02E6790C298EF4FB483713F7CA</t>
  </si>
  <si>
    <t>528C02E6792F09897108CD32C38AFA528C02E6790C298EF4FB483713F7CA</t>
  </si>
  <si>
    <t>AL몰딩 설치  ㄷ형, 15*30*15*1.3mm  M     ( 호표 52 )</t>
  </si>
  <si>
    <t>호표 52</t>
  </si>
  <si>
    <t>경량철골천장틀, 몰딩(알루미늄), ㄷ형, 15*30*15*1.0mm</t>
  </si>
  <si>
    <t>55A91276F375999B0A7E4E382336EF9E04C7AD</t>
  </si>
  <si>
    <t>528C02E6792F09897108CD32C38AFA1E55A91276F375999B0A7E4E382336EF9E04C7AD</t>
  </si>
  <si>
    <t>528C02E6792F09897108CD32C38AFA1E539B22A6953859AA28AAA535B340001</t>
  </si>
  <si>
    <t>528C02E6792F09897108CD32C38AFA1E528C02E6790C298EF4FB483713F7CA</t>
  </si>
  <si>
    <t>타일용 코너비드 설치  코너비드, 알루미늄, 타일코너, MC-17  M     ( 호표 53 )</t>
  </si>
  <si>
    <t>호표 53</t>
  </si>
  <si>
    <t>코너비드</t>
  </si>
  <si>
    <t>55A91276F348593748AE583C633EE25BA48C5F</t>
  </si>
  <si>
    <t>528C82A6E642D9080D59BD3CA305A35655A91276F348593748AE583C633EE25BA48C5F</t>
  </si>
  <si>
    <t>코너비드 설치</t>
  </si>
  <si>
    <t>재료비 별도</t>
  </si>
  <si>
    <t>528C82A6E642D90916786B3BA3FE61</t>
  </si>
  <si>
    <t>528C82A6E642D9080D59BD3CA305A356528C82A6E642D90916786B3BA3FE61</t>
  </si>
  <si>
    <t>C-90 메탈스터드 설치  90*45*@450  ㎡     ( 호표 54 )</t>
  </si>
  <si>
    <t>호표 54</t>
  </si>
  <si>
    <t>메탈스터드</t>
  </si>
  <si>
    <t>90*45*0.8t</t>
  </si>
  <si>
    <t>55A91276F375999B0A7E4E382333117A311D4E</t>
  </si>
  <si>
    <t>528C527674AE490248499A37A3BF37AE55A91276F375999B0A7E4E382333117A311D4E</t>
  </si>
  <si>
    <t>메탈러너</t>
  </si>
  <si>
    <t>92*40*0.8t</t>
  </si>
  <si>
    <t>55A91276F375999B0A7E4E382333117A311D4C</t>
  </si>
  <si>
    <t>528C527674AE490248499A37A3BF37AE55A91276F375999B0A7E4E382333117A311D4C</t>
  </si>
  <si>
    <t>나사</t>
  </si>
  <si>
    <t>SCREW</t>
  </si>
  <si>
    <t>55A91276F375999B0A7E4E382333117A311D42</t>
  </si>
  <si>
    <t>528C527674AE490248499A37A3BF37AE55A91276F375999B0A7E4E382333117A311D42</t>
  </si>
  <si>
    <t>HILTI PIN</t>
  </si>
  <si>
    <t>55A91276F375999B0A7E4E382333117A311D43</t>
  </si>
  <si>
    <t>528C527674AE490248499A37A3BF37AE55A91276F375999B0A7E4E382333117A311D43</t>
  </si>
  <si>
    <t>용접봉(연강용)</t>
  </si>
  <si>
    <t>3.2(KSE5016)</t>
  </si>
  <si>
    <t>55BBB2D6EA7309A0AD36DC353352918510535E</t>
  </si>
  <si>
    <t>528C527674AE490248499A37A3BF37AE55BBB2D6EA7309A0AD36DC353352918510535E</t>
  </si>
  <si>
    <t>528C527674AE490248499A37A3BF37AE525EB2169A3C69E10E693C3EB327F425525B2B</t>
  </si>
  <si>
    <t>528C527674AE490248499A37A3BF37AE525EB2169A3C69E10E693C3EB327F425525855</t>
  </si>
  <si>
    <t>528C527674AE490248499A37A3BF37AE539B22A6953859AA28AAA535B340001</t>
  </si>
  <si>
    <t>C-75 메탈스터드 설치  75*45*@450  ㎡     ( 호표 55 )</t>
  </si>
  <si>
    <t>호표 55</t>
  </si>
  <si>
    <t>75*45*0.8t</t>
  </si>
  <si>
    <t>55A91276F375999B0A7E4E382333117A311D4F</t>
  </si>
  <si>
    <t>528C527674AE490248499A37A3BF37A955A91276F375999B0A7E4E382333117A311D4F</t>
  </si>
  <si>
    <t>77*40*0.8t</t>
  </si>
  <si>
    <t>55A91276F375999B0A7E4E382333117A311D4D</t>
  </si>
  <si>
    <t>528C527674AE490248499A37A3BF37A955A91276F375999B0A7E4E382333117A311D4D</t>
  </si>
  <si>
    <t>528C527674AE490248499A37A3BF37A955A91276F375999B0A7E4E382333117A311D42</t>
  </si>
  <si>
    <t>528C527674AE490248499A37A3BF37A955A91276F375999B0A7E4E382333117A311D43</t>
  </si>
  <si>
    <t>528C527674AE490248499A37A3BF37A955BBB2D6EA7309A0AD36DC353352918510535E</t>
  </si>
  <si>
    <t>528C527674AE490248499A37A3BF37A9525EB2169A3C69E10E693C3EB327F425525B2B</t>
  </si>
  <si>
    <t>528C527674AE490248499A37A3BF37A9525EB2169A3C69E10E693C3EB327F425525855</t>
  </si>
  <si>
    <t>528C527674AE490248499A37A3BF37A9539B22A6953859AA28AAA535B340001</t>
  </si>
  <si>
    <t>스테인리스재료분리대  바닥, W45*H20*1.5t  M     ( 호표 56 )</t>
  </si>
  <si>
    <t>호표 56</t>
  </si>
  <si>
    <t>스테인리스강판</t>
  </si>
  <si>
    <t>스테인리스강판, STS304, 1.5mm</t>
  </si>
  <si>
    <t>55A91276F31329C56A428F33B303261D0F0038</t>
  </si>
  <si>
    <t>528C02E695F7E97181386E3883FEA555A91276F31329C56A428F33B303261D0F0038</t>
  </si>
  <si>
    <t>일반구조용압연강판</t>
  </si>
  <si>
    <t>일반구조용압연강판, 2.3mm</t>
  </si>
  <si>
    <t>55A91276F31329C56A43913AB39CD4B05C0C5A</t>
  </si>
  <si>
    <t>528C02E695F7E97181386E3883FEA555A91276F31329C56A43913AB39CD4B05C0C5A</t>
  </si>
  <si>
    <t>일반구조용압연강판, 1.6mm</t>
  </si>
  <si>
    <t>55A91276F31329C56A43913AB39CD4B05C0C5D</t>
  </si>
  <si>
    <t>528C02E695F7E97181386E3883FEA555A91276F31329C56A43913AB39CD4B05C0C5D</t>
  </si>
  <si>
    <t>잡철물 제작 및 설치</t>
  </si>
  <si>
    <t>현장제작 설치, 경량철재</t>
  </si>
  <si>
    <t>528C5276DD01E993A1CF4036934803</t>
  </si>
  <si>
    <t>528C02E695F7E97181386E3883FEA5528C5276DD01E993A1CF4036934803</t>
  </si>
  <si>
    <t>현장제작 설치, 일반철재</t>
  </si>
  <si>
    <t>528C5276DD01E993A1CD933943719A</t>
  </si>
  <si>
    <t>528C02E695F7E97181386E3883FEA5528C5276DD01E993A1CD933943719A</t>
  </si>
  <si>
    <t>철강설, 스텐레스, 작업설부산물</t>
  </si>
  <si>
    <t>558E22F6D2F8D917C4EAFF3CD364D6C455377E</t>
  </si>
  <si>
    <t>528C02E695F7E97181386E3883FEA5558E22F6D2F8D917C4EAFF3CD364D6C455377E</t>
  </si>
  <si>
    <t>558E22F6D2F8D917C4EAFF3CD364D6C455365B</t>
  </si>
  <si>
    <t>528C02E695F7E97181386E3883FEA5558E22F6D2F8D917C4EAFF3CD364D6C455365B</t>
  </si>
  <si>
    <t>스틸 각파이프 구조틀 설치  50*50*@300, H450이하  M2     ( 호표 57 )</t>
  </si>
  <si>
    <t>호표 57</t>
  </si>
  <si>
    <t>아연도각관</t>
  </si>
  <si>
    <t>50*50*t2.3mm, 3.338kg/m</t>
  </si>
  <si>
    <t>55D652D6C472394C24628A32532C3191D09B52</t>
  </si>
  <si>
    <t>528C5276F9E93913FEF9E63903FB5F0E55D652D6C472394C24628A32532C3191D09B52</t>
  </si>
  <si>
    <t>주재료비의 3%</t>
  </si>
  <si>
    <t>528C5276F9E93913FEF9E63903FB5F0E539B22A6953859AA28AAA535B340001</t>
  </si>
  <si>
    <t>528C5276F9E93913FEF9E63903FB5F0E525EB2169A3C69E10E693C3EB327F42552585E</t>
  </si>
  <si>
    <t>용접공</t>
  </si>
  <si>
    <t>525EB2169A3C69E10E693C3EB327F42552597C</t>
  </si>
  <si>
    <t>528C5276F9E93913FEF9E63903FB5F0E525EB2169A3C69E10E693C3EB327F42552597C</t>
  </si>
  <si>
    <t>528C5276F9E93913FEF9E63903FB5F0E525EB2169A3C69E10E693C3EB327F425525855</t>
  </si>
  <si>
    <t>528C5276F9E93913FEF9E63903FB5F0E539B22A6953859AA28AAA535B343002</t>
  </si>
  <si>
    <t>ABS1_합성수지(목무늬) 도어  편개 0.90*2.10, 여닫이  개소     ( 호표 58 )</t>
  </si>
  <si>
    <t>호표 58</t>
  </si>
  <si>
    <t>ABS 진공성형도어 문짝 및 문틀</t>
  </si>
  <si>
    <t>편개 900*2100*230</t>
  </si>
  <si>
    <t>55A91276F36B393CCF53073B732973BF4413D107</t>
  </si>
  <si>
    <t>528C3226146EC956727EEB335362485455A91276F36B393CCF53073B732973BF4413D107</t>
  </si>
  <si>
    <t>목재창호 설치 / 여닫이</t>
  </si>
  <si>
    <t>창호면적 m2, 1.0 ~ 3.0 이하</t>
  </si>
  <si>
    <t>528C32262649894F54B6723DC3AAC6</t>
  </si>
  <si>
    <t>528C3226146EC956727EEB3353624854528C32262649894F54B6723DC3AAC6</t>
  </si>
  <si>
    <t>도어힌지</t>
  </si>
  <si>
    <t>도어힌지, 황동, 베어링2개, 4인치</t>
  </si>
  <si>
    <t>55A902569C80598FEE664D3EC3B93A3A325C5E4A</t>
  </si>
  <si>
    <t>528C3226146EC956727EEB335362485455A902569C80598FEE664D3EC3B93A3A325C5E4A</t>
  </si>
  <si>
    <t>디지털 도어록</t>
  </si>
  <si>
    <t>레바일체형 목재문용</t>
  </si>
  <si>
    <t>558E22F6D200591750453D3483ACAFEABC9FBD40</t>
  </si>
  <si>
    <t>528C3226146EC956727EEB3353624854558E22F6D200591750453D3483ACAFEABC9FBD40</t>
  </si>
  <si>
    <t>도어록 설치 / 일반도어록 목재창호</t>
  </si>
  <si>
    <t>528C322653A269D09A21AB3733FFEF</t>
  </si>
  <si>
    <t>528C3226146EC956727EEB3353624854528C322653A269D09A21AB3733FFEF</t>
  </si>
  <si>
    <t>도어스톱</t>
  </si>
  <si>
    <t>도어스톱, 일자형 90mm</t>
  </si>
  <si>
    <t>55A902569C8059833D9C4F3B53AC8683DEF92DC3</t>
  </si>
  <si>
    <t>528C3226146EC956727EEB335362485455A902569C8059833D9C4F3B53AC8683DEF92DC3</t>
  </si>
  <si>
    <t>창호주위 발포우레탄 충전</t>
  </si>
  <si>
    <t>528C322653FA79C5E8CF0439B3442D</t>
  </si>
  <si>
    <t>528C3226146EC956727EEB3353624854528C322653FA79C5E8CF0439B3442D</t>
  </si>
  <si>
    <t>수밀코킹(실리콘)</t>
  </si>
  <si>
    <t>삼각, 10mm, 창호주위</t>
  </si>
  <si>
    <t>528C72B68A61D964DC045F31830A3E</t>
  </si>
  <si>
    <t>528C3226146EC956727EEB3353624854528C72B68A61D964DC045F31830A3E</t>
  </si>
  <si>
    <t>ABS2_합성수지(목무늬) 도어  양개 1.50*2.10, 여닫이  개소     ( 호표 59 )</t>
  </si>
  <si>
    <t>호표 59</t>
  </si>
  <si>
    <t>양개 1500*2100*230</t>
  </si>
  <si>
    <t>한화</t>
  </si>
  <si>
    <t>55A91276F36B393CCF53073B732973BF4413D105</t>
  </si>
  <si>
    <t>528C3226146EC956727EEB335362485755A91276F36B393CCF53073B732973BF4413D105</t>
  </si>
  <si>
    <t>창호면적 m2, 3.0 ~ 6.0 이하</t>
  </si>
  <si>
    <t>528C32262649894F54B6723DC3ABEC</t>
  </si>
  <si>
    <t>528C3226146EC956727EEB3353624857528C32262649894F54B6723DC3ABEC</t>
  </si>
  <si>
    <t>528C3226146EC956727EEB335362485755A902569C80598FEE664D3EC3B93A3A325C5E4A</t>
  </si>
  <si>
    <t>도어핸들</t>
  </si>
  <si>
    <t>도어핸들, LEVER 3300 황동, (주거용-침실)</t>
  </si>
  <si>
    <t>55A902569C8059833D9C4F3B735227F765F0AD</t>
  </si>
  <si>
    <t>528C3226146EC956727EEB335362485755A902569C8059833D9C4F3B735227F765F0AD</t>
  </si>
  <si>
    <t>528C3226146EC956727EEB3353624857558E22F6D200591750453D3483ACAFEABC9FBD40</t>
  </si>
  <si>
    <t>528C3226146EC956727EEB3353624857528C322653A269D09A21AB3733FFEF</t>
  </si>
  <si>
    <t>528C3226146EC956727EEB335362485755A902569C8059833D9C4F3B53AC8683DEF92DC3</t>
  </si>
  <si>
    <t>528C3226146EC956727EEB3353624857528C322653FA79C5E8CF0439B3442D</t>
  </si>
  <si>
    <t>528C3226146EC956727EEB3353624857528C72B68A61D964DC045F31830A3E</t>
  </si>
  <si>
    <t>ABS3 3연동 도어, 목무늬Sheet  1.5*2.10, 3연동 미서기  개소     ( 호표 60 )</t>
  </si>
  <si>
    <t>호표 60</t>
  </si>
  <si>
    <t>ABS 3연동 도어, 목무늬Sheet</t>
  </si>
  <si>
    <t>3짝 연동 1.5*2.1 미서기</t>
  </si>
  <si>
    <t>현장설치도</t>
  </si>
  <si>
    <t>55A91276F36B393CCF53043E23A2C4D7212DD8D1</t>
  </si>
  <si>
    <t>528C3226146EC956727EEA32E3746C9139F69555A91276F36B393CCF53043E23A2C4D7212DD8D1</t>
  </si>
  <si>
    <t>목재창호 설치 / 미서기(단창)</t>
  </si>
  <si>
    <t>528C32262649894F54B67133537DB0</t>
  </si>
  <si>
    <t>528C3226146EC956727EEA32E3746C9139F695528C32262649894F54B67133537DB0</t>
  </si>
  <si>
    <t>528C3226146EC956727EEA32E3746C9139F695528C72B68A61D964DC045F31830A3E</t>
  </si>
  <si>
    <t>528C3226146EC956727EEA32E3746C9139F695528C322653FA79C5E8CF0439B3442D</t>
  </si>
  <si>
    <t>FSD1_철재 방화문(갑종)  양개 1.80*2.10 (문틀포함)  개소     ( 호표 61 )</t>
  </si>
  <si>
    <t>호표 61</t>
  </si>
  <si>
    <t>갑종방화문(F:1.6t D:1.2t)</t>
  </si>
  <si>
    <t>양개 1.8*2.1기준 그라스울채움, 정전분체도장</t>
  </si>
  <si>
    <t>55A91276F36B393F9829AE3B935656C7018AAA</t>
  </si>
  <si>
    <t>528C322626647931E863E53B43AA3DD355A91276F36B393F9829AE3B935656C7018AAA</t>
  </si>
  <si>
    <t>강재창호 설치 / 여닫이</t>
  </si>
  <si>
    <t>528C322626647931E863E53B43ABC4</t>
  </si>
  <si>
    <t>528C322626647931E863E53B43AA3DD3528C322626647931E863E53B43ABC4</t>
  </si>
  <si>
    <t>피벗힌지</t>
  </si>
  <si>
    <t>피벗힌지, 80kg이하, K1200</t>
  </si>
  <si>
    <t>55A902569C80598FEE664D3EC3B93CE97B05D0</t>
  </si>
  <si>
    <t>528C322626647931E863E53B43AA3DD355A902569C80598FEE664D3EC3B93CE97B05D0</t>
  </si>
  <si>
    <t>도어핸들, 공정</t>
  </si>
  <si>
    <t>55A902569C8059833D9C4F3B43962E9D6E66F7</t>
  </si>
  <si>
    <t>528C322626647931E863E53B43AA3DD355A902569C8059833D9C4F3B43962E9D6E66F7</t>
  </si>
  <si>
    <t>레바일체형 철재문용</t>
  </si>
  <si>
    <t>558E22F6D200591750453D3483ACAFEABC9FBD43</t>
  </si>
  <si>
    <t>528C322626647931E863E53B43AA3DD3558E22F6D200591750453D3483ACAFEABC9FBD43</t>
  </si>
  <si>
    <t>도어록 설치 / 디지탈도어록 강재창호</t>
  </si>
  <si>
    <t>528C322653A269D09A23593EF37FD4</t>
  </si>
  <si>
    <t>528C322626647931E863E53B43AA3DD3528C322653A269D09A23593EF37FD4</t>
  </si>
  <si>
    <t>도어록 설치 / 일반도어록 강재창호</t>
  </si>
  <si>
    <t>528C322653A269D09A22B23653B662</t>
  </si>
  <si>
    <t>528C322626647931E863E53B43AA3DD3528C322653A269D09A22B23653B662</t>
  </si>
  <si>
    <t>도어클로저</t>
  </si>
  <si>
    <t>도어클로저, K-1620 중급정지형, 25~45kg</t>
  </si>
  <si>
    <t>55A91276F36B393F9BFA7432A3061539C2E1C413</t>
  </si>
  <si>
    <t>528C322626647931E863E53B43AA3DD355A91276F36B393F9BFA7432A3061539C2E1C413</t>
  </si>
  <si>
    <t>도어체크 설치</t>
  </si>
  <si>
    <t>528C322653A2391D39A5AC34233326</t>
  </si>
  <si>
    <t>528C322626647931E863E53B43AA3DD3528C322653A2391D39A5AC34233326</t>
  </si>
  <si>
    <t>528C322626647931E863E53B43AA3DD3528C322653FA79C5E8CF0439B3442D</t>
  </si>
  <si>
    <t>528C322626647931E863E53B43AA3DD3528C72B68A61D964DC045F31830A3E</t>
  </si>
  <si>
    <t>SD1_철재 방화문  양개 1.80*2.10 (문틀포함)  개소     ( 호표 62 )</t>
  </si>
  <si>
    <t>호표 62</t>
  </si>
  <si>
    <t>방화문(F:1.6t D:1.0t)</t>
  </si>
  <si>
    <t>양개 1.8*2.1기준 정전분체도장</t>
  </si>
  <si>
    <t>55A91276F36B393F9829AE3B935656C7018AAB</t>
  </si>
  <si>
    <t>528C322626647931E863E53B43AA3DD255A91276F36B393F9829AE3B935656C7018AAB</t>
  </si>
  <si>
    <t>528C322626647931E863E53B43AA3DD2528C322626647931E863E53B43ABC4</t>
  </si>
  <si>
    <t>528C322626647931E863E53B43AA3DD255A902569C80598FEE664D3EC3B93CE97B05D0</t>
  </si>
  <si>
    <t>528C322626647931E863E53B43AA3DD255A902569C8059833D9C4F3B43962E9D6E66F7</t>
  </si>
  <si>
    <t>528C322626647931E863E53B43AA3DD2558E22F6D200591750453D3483ACAFEABC9FBD43</t>
  </si>
  <si>
    <t>528C322626647931E863E53B43AA3DD2528C322653A269D09A23593EF37FD4</t>
  </si>
  <si>
    <t>528C322626647931E863E53B43AA3DD2528C322653A269D09A22B23653B662</t>
  </si>
  <si>
    <t>528C322626647931E863E53B43AA3DD255A91276F36B393F9BFA7432A3061539C2E1C413</t>
  </si>
  <si>
    <t>528C322626647931E863E53B43AA3DD2528C322653A2391D39A5AC34233326</t>
  </si>
  <si>
    <t>528C322626647931E863E53B43AA3DD2528C322653FA79C5E8CF0439B3442D</t>
  </si>
  <si>
    <t>528C322626647931E863E53B43AA3DD2528C72B68A61D964DC045F31830A3E</t>
  </si>
  <si>
    <t>SD2_철재 방화문  편개 1.0*2.10 (문틀포함)  개소     ( 호표 63 )</t>
  </si>
  <si>
    <t>호표 63</t>
  </si>
  <si>
    <t>편개 1.0*2.1기준 정전분체도장</t>
  </si>
  <si>
    <t>55A91276F36B393F9829AE3B935656C7018AA9</t>
  </si>
  <si>
    <t>528C322626647931E863E53B43AA3DD155A91276F36B393F9829AE3B935656C7018AA9</t>
  </si>
  <si>
    <t>528C322626647931E863E53B43AA3D</t>
  </si>
  <si>
    <t>528C322626647931E863E53B43AA3DD1528C322626647931E863E53B43AA3D</t>
  </si>
  <si>
    <t>528C322626647931E863E53B43AA3DD155A902569C80598FEE664D3EC3B93CE97B05D0</t>
  </si>
  <si>
    <t>528C322626647931E863E53B43AA3DD1558E22F6D200591750453D3483ACAFEABC9FBD43</t>
  </si>
  <si>
    <t>528C322626647931E863E53B43AA3DD1528C322653A269D09A23593EF37FD4</t>
  </si>
  <si>
    <t>528C322626647931E863E53B43AA3DD155A91276F36B393F9BFA7432A3061539C2E1C413</t>
  </si>
  <si>
    <t>528C322626647931E863E53B43AA3DD1528C322653A2391D39A5AC34233326</t>
  </si>
  <si>
    <t>528C322626647931E863E53B43AA3DD1528C322653FA79C5E8CF0439B3442D</t>
  </si>
  <si>
    <t>528C322626647931E863E53B43AA3DD1528C72B68A61D964DC045F31830A3E</t>
  </si>
  <si>
    <t>바탕만들기+유성페인트 붓칠  석고보드면 줄퍼티, 1회 1급  M2     ( 호표 64 )</t>
  </si>
  <si>
    <t>호표 64</t>
  </si>
  <si>
    <t>조합페인트</t>
  </si>
  <si>
    <t>조합페인트, KSM6020-1종1급, 백색</t>
  </si>
  <si>
    <t>55A90256AD4FA987FC3A4F30635BC3140BA119</t>
  </si>
  <si>
    <t>528C12D67C64897D08AE0A345392A7AC55A90256AD4FA987FC3A4F30635BC3140BA119</t>
  </si>
  <si>
    <t>시너</t>
  </si>
  <si>
    <t>시너, KSM6060, 2종</t>
  </si>
  <si>
    <t>55A90256AD4FA98A4AD7E23693A46DA678F0FE</t>
  </si>
  <si>
    <t>528C12D67C64897D08AE0A345392A7AC55A90256AD4FA98A4AD7E23693A46DA678F0FE</t>
  </si>
  <si>
    <t>석고보드면 바탕만들기</t>
  </si>
  <si>
    <t>줄퍼티 노무비</t>
  </si>
  <si>
    <t>528C12C66955695B6090BF3A037C7E</t>
  </si>
  <si>
    <t>528C12D67C64897D08AE0A345392A7AC528C12C66955695B6090BF3A037C7E</t>
  </si>
  <si>
    <t>유성페인트 붓칠</t>
  </si>
  <si>
    <t>con'c·mortar면, G.B.면 1회 노무비</t>
  </si>
  <si>
    <t>528C12D67C64897D08AC5F3BE30F61</t>
  </si>
  <si>
    <t>528C12D67C64897D08AE0A345392A7AC528C12D67C64897D08AC5F3BE30F61</t>
  </si>
  <si>
    <t>바탕만들기+걸레받이용 페인트칠  붓칠 2회, con'c·mortar면  M2     ( 호표 65 )</t>
  </si>
  <si>
    <t>호표 65</t>
  </si>
  <si>
    <t>528C12D67C49C9B77B00AC3E5319998555A90256AD4FA987FC3A4F30635BC3140BA119</t>
  </si>
  <si>
    <t>노무비</t>
  </si>
  <si>
    <t>528C12C66955695B6091413F13A927</t>
  </si>
  <si>
    <t>528C12D67C49C9B77B00AC3E53199985528C12C66955695B6091413F13A927</t>
  </si>
  <si>
    <t>528C12D67C49C9B77B00AC3E5319998555A90256AD4FA98A4AD7E23693A46DA678F0FE</t>
  </si>
  <si>
    <t>걸레받이용 페인트칠</t>
  </si>
  <si>
    <t>붓칠 2회 노무비</t>
  </si>
  <si>
    <t>528C12D67C49C9B77B00AE3923ECE1</t>
  </si>
  <si>
    <t>528C12D67C49C9B77B00AC3E53199985528C12D67C49C9B77B00AE3923ECE1</t>
  </si>
  <si>
    <t>바탕만들기+수성페인트 롤러칠  내부, 2회 1급, con'c·mortar면  M2     ( 호표 66 )</t>
  </si>
  <si>
    <t>호표 66</t>
  </si>
  <si>
    <t>수성페인트</t>
  </si>
  <si>
    <t>수성페인트, KSM6010-1종1급, 백색</t>
  </si>
  <si>
    <t>55A90256AD4FA987F58C2736735E9787FD30C1</t>
  </si>
  <si>
    <t>528C12D6621CC9DB8F383F30833E05F055A90256AD4FA987F58C2736735E9787FD30C1</t>
  </si>
  <si>
    <t>528C12D6621CC9DB8F383F30833E05F0528C12C66955695B6091413F13A927</t>
  </si>
  <si>
    <t>수성페인트 롤러칠</t>
  </si>
  <si>
    <t>2회 노무비</t>
  </si>
  <si>
    <t>528C12D6621CC9DB8F3BF338E394E4</t>
  </si>
  <si>
    <t>528C12D6621CC9DB8F383F30833E05F0528C12D6621CC9DB8F3BF338E394E4</t>
  </si>
  <si>
    <t>바탕만들기+비닐페인트  내부, 2회 1급, con'c·mortar면  M2     ( 호표 67 )</t>
  </si>
  <si>
    <t>호표 67</t>
  </si>
  <si>
    <t>528C12D6621CC9DB8F383F30833E05F355A90256AD4FA987F58C2736735E9787FD30C1</t>
  </si>
  <si>
    <t>528C12D6621CC9DB8F383F30833E05F3528C12C66955695B6091413F13A927</t>
  </si>
  <si>
    <t>528C12D6621CC9DB8F383F30833E05F3528C12D6621CC9DB8F3BF338E394E4</t>
  </si>
  <si>
    <t>콘크리트·모르타르면 바탕만들기  노무비, 4∼6층  M2     ( 호표 68 )</t>
  </si>
  <si>
    <t>호표 68</t>
  </si>
  <si>
    <t>도장공</t>
  </si>
  <si>
    <t>525EB2169A3C69E10E693C3EB327F425525A0D</t>
  </si>
  <si>
    <t>528C12C66955695B6091413F13ABD4525EB2169A3C69E10E693C3EB327F425525A0D</t>
  </si>
  <si>
    <t>528C12C66955695B6091413F13ABD4525EB2169A3C69E10E693C3EB327F425525855</t>
  </si>
  <si>
    <t>공구손료 및 잡재료비</t>
  </si>
  <si>
    <t>528C12C66955695B6091413F13ABD4539B22A6953859AA28AAA535B343002</t>
  </si>
  <si>
    <t>인력품의 5%</t>
  </si>
  <si>
    <t>528C12C66955695B6091413F13ABD4539B22A6953859AA28AAA535B340001</t>
  </si>
  <si>
    <t>세면기 설치  폽업/P트랩/앵글밸브/비누대 포함, L-206UD 동등이상  조     ( 호표 69 )</t>
  </si>
  <si>
    <t>호표 69</t>
  </si>
  <si>
    <t>세면기</t>
  </si>
  <si>
    <t>폽업/P트랩/비누대 포함, L-206UD</t>
  </si>
  <si>
    <t>55A91276F390797C34F1013723A0DAB161A8A8D1</t>
  </si>
  <si>
    <t>524BC2468012B98FA39D2C33A33FFB55A91276F390797C34F1013723A0DAB161A8A8D1</t>
  </si>
  <si>
    <t>위생공</t>
  </si>
  <si>
    <t>525EB2169A3C69E10E693C3EB327F425525C30</t>
  </si>
  <si>
    <t>524BC2468012B98FA39D2C33A33FFB525EB2169A3C69E10E693C3EB327F425525C30</t>
  </si>
  <si>
    <t>524BC2468012B98FA39D2C33A33FFB525EB2169A3C69E10E693C3EB327F425525855</t>
  </si>
  <si>
    <t>대변기 설치  절수형,로탱크일체형,C-973F 동등이상  조     ( 호표 70 )</t>
  </si>
  <si>
    <t>호표 70</t>
  </si>
  <si>
    <t>대변기(양변기)</t>
  </si>
  <si>
    <t>절수형, 로탱크일체형, C-973F</t>
  </si>
  <si>
    <t>55A91276F390797C34F07E31B32AF143C51E25</t>
  </si>
  <si>
    <t>524BC246804FE9049619C836436B6255A91276F390797C34F07E31B32AF143C51E25</t>
  </si>
  <si>
    <t>524BC246804FE9049619C836436B62525EB2169A3C69E10E693C3EB327F425525C30</t>
  </si>
  <si>
    <t>524BC246804FE9049619C836436B62525EB2169A3C69E10E693C3EB327F425525855</t>
  </si>
  <si>
    <t>소변기 설치  절수형, 스톨형, 전자감응기 일체형(건전지), C-350(F) 동등이상  조     ( 호표 71 )</t>
  </si>
  <si>
    <t>호표 71</t>
  </si>
  <si>
    <t>트랩탈착식스톨소변기</t>
  </si>
  <si>
    <t>U-350(F), 센서 내장형 ㉿U312R</t>
  </si>
  <si>
    <t>55A91276F390797C34F3333E83C2A5F1753A7C</t>
  </si>
  <si>
    <t>524B32D6D9A2295C3804C238B3B44D55A91276F390797C34F3333E83C2A5F1753A7C</t>
  </si>
  <si>
    <t>524B32D6D9A2295C3804C238B3B44D525EB2169A3C69E10E693C3EB327F425525C30</t>
  </si>
  <si>
    <t>524B32D6D9A2295C3804C238B3B44D525EB2169A3C69E10E693C3EB327F425525855</t>
  </si>
  <si>
    <t>청소수채 설치  VS-210 동등이상  조     ( 호표 72 )</t>
  </si>
  <si>
    <t>호표 72</t>
  </si>
  <si>
    <t>수채</t>
  </si>
  <si>
    <t>수채, vs-210, 소제용수채</t>
  </si>
  <si>
    <t>55A91276F390797C3DDB0732A3FB666FD6ABEE</t>
  </si>
  <si>
    <t>524B32D6D9A2295A0A0948374337BB55A91276F390797C3DDB0732A3FB666FD6ABEE</t>
  </si>
  <si>
    <t>524B32D6D9A2295A0A0948374337BB525EB2169A3C69E10E693C3EB327F425525C30</t>
  </si>
  <si>
    <t>524B32D6D9A2295A0A0948374337BB525EB2169A3C69E10E693C3EB327F425525855</t>
  </si>
  <si>
    <t>세면기수전 설치  원홀, 싱글레버, KLA-100C 동등이상  개     ( 호표 73 )</t>
  </si>
  <si>
    <t>호표 73</t>
  </si>
  <si>
    <t>세면기수전</t>
  </si>
  <si>
    <t>원홀, 싱글레버, KLA-100C</t>
  </si>
  <si>
    <t>55A91276F390797C35953B39730BF5F8F32629</t>
  </si>
  <si>
    <t>524B32D6D991B968B37D5534E374BF55A91276F390797C35953B39730BF5F8F32629</t>
  </si>
  <si>
    <t>524B32D6D991B968B37D5534E374BF525EB2169A3C69E10E693C3EB327F425525C30</t>
  </si>
  <si>
    <t>524B32D6D991B968B37D5534E374BF525EB2169A3C69E10E693C3EB327F425525855</t>
  </si>
  <si>
    <t>샤워기수전 설치  벽붙이, 싱글레버, KRS-3000 동등이상  개     ( 호표 74 )</t>
  </si>
  <si>
    <t>호표 74</t>
  </si>
  <si>
    <t>샤워기수전</t>
  </si>
  <si>
    <t>벽붙이, 싱글레버, KRS-3000</t>
  </si>
  <si>
    <t>55A91276F390797C35953B39730BF5F8F32351BC</t>
  </si>
  <si>
    <t>524B32D6D991B968B37D5534E374BD55A91276F390797C35953B39730BF5F8F32351BC</t>
  </si>
  <si>
    <t>524B32D6D991B968B37D5534E374BD525EB2169A3C69E10E693C3EB327F425525C30</t>
  </si>
  <si>
    <t>524B32D6D991B968B37D5534E374BD525EB2169A3C69E10E693C3EB327F425525855</t>
  </si>
  <si>
    <t>씽크수전설치  대붙이, 싱글레버, KSA110-C 동등이상  개     ( 호표 75 )</t>
  </si>
  <si>
    <t>호표 75</t>
  </si>
  <si>
    <t>싱크수전</t>
  </si>
  <si>
    <t>대붙이, 싱글레버, KSA110-C</t>
  </si>
  <si>
    <t>55A91276F390797C35953B39730BF5F8F32351B3</t>
  </si>
  <si>
    <t>524B32D6D991B96FE2CC5D3D43F9E255A91276F390797C35953B39730BF5F8F32351B3</t>
  </si>
  <si>
    <t>524B32D6D991B96FE2CC5D3D43F9E2525EB2169A3C69E10E693C3EB327F425525C30</t>
  </si>
  <si>
    <t>524B32D6D991B96FE2CC5D3D43F9E2525EB2169A3C69E10E693C3EB327F425525855</t>
  </si>
  <si>
    <t>수도꼭지  가로꼭지, 15mm, KA-100 동등이상  개     ( 호표 76 )</t>
  </si>
  <si>
    <t>호표 76</t>
  </si>
  <si>
    <t>55A91276F390797C35953B39730BF5F8F32628</t>
  </si>
  <si>
    <t>524BC246D879E97DFBF229369321AA55A91276F390797C35953B39730BF5F8F32628</t>
  </si>
  <si>
    <t>524BC246D879E97DFBF229369321AA525EB2169A3C69E10E693C3EB327F425525C30</t>
  </si>
  <si>
    <t>524BC246D879E97DFBF229369321AA525EB2169A3C69E10E693C3EB327F425525855</t>
  </si>
  <si>
    <t>욕실거울 설치  0.5㎡ 미만, 450*600, 5t  개     ( 호표 77 )</t>
  </si>
  <si>
    <t>호표 77</t>
  </si>
  <si>
    <t>거울</t>
  </si>
  <si>
    <t>거울, 450*600*5mm</t>
  </si>
  <si>
    <t>A * M2단가</t>
  </si>
  <si>
    <t>55C582462F05991564467131B3414B7C67B819</t>
  </si>
  <si>
    <t>524B32D6D98749E0772AA833B3A7D755C582462F05991564467131B3414B7C67B819</t>
  </si>
  <si>
    <t>524B32D6D98749E0772AA833B3A7D7525EB2169A3C69E10E693C3EB327F425525C30</t>
  </si>
  <si>
    <t>524B32D6D98749E0772AA833B3A7D7525EB2169A3C69E10E693C3EB327F425525855</t>
  </si>
  <si>
    <t>수도꼭지  커플링가로꼭지, 15mm, KA-200 동등이상  개     ( 호표 78 )</t>
  </si>
  <si>
    <t>호표 78</t>
  </si>
  <si>
    <t>55A91276F390797C35953B39730BF5F8F3262F</t>
  </si>
  <si>
    <t>524BC246D879E97DFBF229369321AB55A91276F390797C35953B39730BF5F8F3262F</t>
  </si>
  <si>
    <t>524BC246D879E97DFBF229369321AB525EB2169A3C69E10E693C3EB327F425525C30</t>
  </si>
  <si>
    <t>524BC246D879E97DFBF229369321AB525EB2169A3C69E10E693C3EB327F425525855</t>
  </si>
  <si>
    <t>수건걸이 설치  BAR 형  개     ( 호표 79 )</t>
  </si>
  <si>
    <t>호표 79</t>
  </si>
  <si>
    <t>수건걸이</t>
  </si>
  <si>
    <t>크롬도장, BAR형, 1BAR</t>
  </si>
  <si>
    <t>55A91276F390797C359C6A3663DA7A8D70AB7BE7</t>
  </si>
  <si>
    <t>524B32D6D98749E3CB2899385314CE55A91276F390797C359C6A3663DA7A8D70AB7BE7</t>
  </si>
  <si>
    <t>524B32D6D98749E3CB2899385314CE525EB2169A3C69E10E693C3EB327F425525C30</t>
  </si>
  <si>
    <t>휴지걸이 설치  SUS제, 노출형  개     ( 호표 80 )</t>
  </si>
  <si>
    <t>호표 80</t>
  </si>
  <si>
    <t>휴지걸이</t>
  </si>
  <si>
    <t>55A91276F390797C37481433830ABD2E50ED60DE</t>
  </si>
  <si>
    <t>524BC246BDD9C9FDB9D7C9308342872455A91276F390797C37481433830ABD2E50ED60DE</t>
  </si>
  <si>
    <t>524BC246BDD9C9FDB9D7C93083428724525EB2169A3C69E10E693C3EB327F425525C30</t>
  </si>
  <si>
    <t>바닥배수구 설치  일반육가, D75, 150*150  개     ( 호표 81 )</t>
  </si>
  <si>
    <t>호표 81</t>
  </si>
  <si>
    <t>바닥배수구</t>
  </si>
  <si>
    <t>55D652D6C472394ED3A37E32932D170ADEAE4505</t>
  </si>
  <si>
    <t>524B32D6D98749E224FFBD3C833C86E555D652D6C472394ED3A37E32932D170ADEAE4505</t>
  </si>
  <si>
    <t>배관공</t>
  </si>
  <si>
    <t>525EB2169A3C69E10E693C3EB327F425525B22</t>
  </si>
  <si>
    <t>524B32D6D98749E224FFBD3C833C86E5525EB2169A3C69E10E693C3EB327F425525B22</t>
  </si>
  <si>
    <t>524B32D6D98749E224FFBD3C833C86E5525EB2169A3C69E10E693C3EB327F425525855</t>
  </si>
  <si>
    <t>바닥배수구 설치  일반육가, 세탁호스겸용, D75, 150*150  개     ( 호표 82 )</t>
  </si>
  <si>
    <t>호표 82</t>
  </si>
  <si>
    <t>524B32D6D98749E224FFBD3C833C86E655D652D6C472394ED3A37E32932D170ADEAE4505</t>
  </si>
  <si>
    <t>524B32D6D98749E224FFBD3C833C86E6525EB2169A3C69E10E693C3EB327F425525B22</t>
  </si>
  <si>
    <t>524B32D6D98749E224FFBD3C833C86E6525EB2169A3C69E10E693C3EB327F425525855</t>
  </si>
  <si>
    <t>전기온수기 설치  800L, 8Kw, 스텐, 감압/안전밸브 포함  대     ( 호표 83 )</t>
  </si>
  <si>
    <t>호표 83</t>
  </si>
  <si>
    <t>전기온수기</t>
  </si>
  <si>
    <t>800L, 스테인리스(내통), 8kW</t>
  </si>
  <si>
    <t>55D652D6C4B9D94E9EDFB53263CF3084A2D91DAB</t>
  </si>
  <si>
    <t>524BC23699BB49CC989AE938E32F7C55D652D6C4B9D94E9EDFB53263CF3084A2D91DAB</t>
  </si>
  <si>
    <t>보일러공</t>
  </si>
  <si>
    <t>525EB2169A3C69E10E693C3EB327F425525C33</t>
  </si>
  <si>
    <t>524BC23699BB49CC989AE938E32F7C525EB2169A3C69E10E693C3EB327F425525C33</t>
  </si>
  <si>
    <t>524BC23699BB49CC989AE938E32F7C525EB2169A3C69E10E693C3EB327F425525851</t>
  </si>
  <si>
    <t>온수순환펌프설치  0.35kw, GH-350M 동등이상  대     ( 호표 84 )</t>
  </si>
  <si>
    <t>호표 84</t>
  </si>
  <si>
    <t>온수순환펌프</t>
  </si>
  <si>
    <t>0.35kW, GH-350m 동등이</t>
  </si>
  <si>
    <t>55D652D6C461A9ABD259A23D83435A1B6E1979</t>
  </si>
  <si>
    <t>524B0206856D59721C57D63963D65455D652D6C461A9ABD259A23D83435A1B6E1979</t>
  </si>
  <si>
    <t>기계설비공</t>
  </si>
  <si>
    <t>525EB2169A3C69E10E693C3EB327F425525DD8</t>
  </si>
  <si>
    <t>524B0206856D59721C57D63963D654525EB2169A3C69E10E693C3EB327F425525DD8</t>
  </si>
  <si>
    <t>524B0206856D59721C57D63963D654525EB2169A3C69E10E693C3EB327F425525855</t>
  </si>
  <si>
    <t>524B0206856D59721C57D63963D654539B22A6953859AA28AAA535B340001</t>
  </si>
  <si>
    <t>볼밸브설치(스텐, 10kg)  D32  개     ( 호표 85 )</t>
  </si>
  <si>
    <t>호표 85</t>
  </si>
  <si>
    <t>볼밸브</t>
  </si>
  <si>
    <t>볼밸브, ∮32mm*0.98MPa, 수동식, STS</t>
  </si>
  <si>
    <t>55D652D6C47209FF1C260A32932365425ED86B</t>
  </si>
  <si>
    <t>524B22467863B9B02863B433834B3255D652D6C47209FF1C260A32932365425ED86B</t>
  </si>
  <si>
    <t>524B22467863B9B02863B433834B32525EB2169A3C69E10E693C3EB327F425525B22</t>
  </si>
  <si>
    <t>524B22467863B9B02863B433834B32539B22A6953859AA28AAA535B340001</t>
  </si>
  <si>
    <t>볼밸브설치(스텐, 10kg)  D25  개     ( 호표 86 )</t>
  </si>
  <si>
    <t>호표 86</t>
  </si>
  <si>
    <t>볼밸브, ∮25mm*0.98MPa, 수동식, STS</t>
  </si>
  <si>
    <t>55D652D6C47209FF1C260A32932365425ED86A</t>
  </si>
  <si>
    <t>524B22467863C95A66D2343893CCF655D652D6C47209FF1C260A32932365425ED86A</t>
  </si>
  <si>
    <t>524B22467863C95A66D2343893CCF6525EB2169A3C69E10E693C3EB327F425525B22</t>
  </si>
  <si>
    <t>524B22467863C95A66D2343893CCF6539B22A6953859AA28AAA535B340001</t>
  </si>
  <si>
    <t>스테인리스강관옥내배관  D32*3.0t  M     ( 호표 87 )</t>
  </si>
  <si>
    <t>호표 87</t>
  </si>
  <si>
    <t>배관용스테인리스강관</t>
  </si>
  <si>
    <t>배관용스테인리스강관, ∮32*3mm</t>
  </si>
  <si>
    <t>55D652D6C472394C2D466032B32315D156DD8E</t>
  </si>
  <si>
    <t>524B62E64737D90F17847D300379E655D652D6C472394C2D466032B32315D156DD8E</t>
  </si>
  <si>
    <t>524B62E64737D90F17847D300379E6525EB2169A3C69E10E693C3EB327F425525B22</t>
  </si>
  <si>
    <t>524B62E64737D90F17847D300379E6525EB2169A3C69E10E693C3EB327F425525855</t>
  </si>
  <si>
    <t>524B62E64737D90F17847D300379E6539B22A6953859AA28AAA535B340001</t>
  </si>
  <si>
    <t>스테인리스강관옥내배관  D25*3.0t  M     ( 호표 88 )</t>
  </si>
  <si>
    <t>호표 88</t>
  </si>
  <si>
    <t>배관용스테인리스강관, ∮25*3mm</t>
  </si>
  <si>
    <t>55D652D6C472394C2D466032B32315D156DD8D</t>
  </si>
  <si>
    <t>524B62E64737A9BBD87C753E13CC3D55D652D6C472394C2D466032B32315D156DD8D</t>
  </si>
  <si>
    <t>524B62E64737A9BBD87C753E13CC3D525EB2169A3C69E10E693C3EB327F425525B22</t>
  </si>
  <si>
    <t>524B62E64737A9BBD87C753E13CC3D525EB2169A3C69E10E693C3EB327F425525855</t>
  </si>
  <si>
    <t>524B62E64737A9BBD87C753E13CC3D539B22A6953859AA28AAA535B340001</t>
  </si>
  <si>
    <t>스테인리스강관옥내배관  D20*3.0t  M     ( 호표 89 )</t>
  </si>
  <si>
    <t>호표 89</t>
  </si>
  <si>
    <t>배관용스테인리스강관, ∮20*3mm</t>
  </si>
  <si>
    <t>55D652D6C472394C2D466032B32315D156DD8C</t>
  </si>
  <si>
    <t>524B62E64737B940FC602D34831EED55D652D6C472394C2D466032B32315D156DD8C</t>
  </si>
  <si>
    <t>524B62E64737B940FC602D34831EED525EB2169A3C69E10E693C3EB327F425525B22</t>
  </si>
  <si>
    <t>524B62E64737B940FC602D34831EED525EB2169A3C69E10E693C3EB327F425525855</t>
  </si>
  <si>
    <t>524B62E64737B940FC602D34831EED539B22A6953859AA28AAA535B340001</t>
  </si>
  <si>
    <t>스테인리스강관옥내배관  D15*3.0t  M     ( 호표 90 )</t>
  </si>
  <si>
    <t>호표 90</t>
  </si>
  <si>
    <t>배관용스테인리스강관, ∮15*3mm</t>
  </si>
  <si>
    <t>55D652D6C472394C2D466032B32315D156DCEC</t>
  </si>
  <si>
    <t>524B62E64737898DDCDCB93C3398A355D652D6C472394C2D466032B32315D156DCEC</t>
  </si>
  <si>
    <t>524B62E64737898DDCDCB93C3398A3525EB2169A3C69E10E693C3EB327F425525B22</t>
  </si>
  <si>
    <t>524B62E64737898DDCDCB93C3398A3525EB2169A3C69E10E693C3EB327F425525855</t>
  </si>
  <si>
    <t>524B62E64737898DDCDCB93C3398A3539B22A6953859AA28AAA535B340001</t>
  </si>
  <si>
    <t>관보온(아티론. 슈퍼매직303)  25t*D32  M     ( 호표 91 )</t>
  </si>
  <si>
    <t>호표 91</t>
  </si>
  <si>
    <t>관보온재</t>
  </si>
  <si>
    <t>관보온재, 아티론, 난연, ∮32*25mm</t>
  </si>
  <si>
    <t>55D652D6C43479DEC94E953B63AE98ECAEEAC8</t>
  </si>
  <si>
    <t>524B0276974FE9D5349B513083F90C55D652D6C43479DEC94E953B63AE98ECAEEAC8</t>
  </si>
  <si>
    <t>보온통의 3%</t>
  </si>
  <si>
    <t>524B0276974FE9D5349B513083F90C539B22A6953859AA28AAA535B340001</t>
  </si>
  <si>
    <t>슈퍼매직 303</t>
  </si>
  <si>
    <t>0.2t, 100mm*15m</t>
  </si>
  <si>
    <t>55A902569C65B98D6F0B6E3A83E7CA850C0F45</t>
  </si>
  <si>
    <t>524B0276974FE9D5349B513083F90C55A902569C65B98D6F0B6E3A83E7CA850C0F45</t>
  </si>
  <si>
    <t>AL 밴드</t>
  </si>
  <si>
    <t>0.3*30w</t>
  </si>
  <si>
    <t>55A902569C65B98D6F0B6E3A83E7CA850C0EBC</t>
  </si>
  <si>
    <t>524B0276974FE9D5349B513083F90C55A902569C65B98D6F0B6E3A83E7CA850C0EBC</t>
  </si>
  <si>
    <t>보온공</t>
  </si>
  <si>
    <t>525EB2169A3C69E10E693C3EB327F425525C36</t>
  </si>
  <si>
    <t>524B0276974FE9D5349B513083F90C525EB2169A3C69E10E693C3EB327F425525C36</t>
  </si>
  <si>
    <t>524B0276974FE9D5349B513083F90C525EB2169A3C69E10E693C3EB327F425525855</t>
  </si>
  <si>
    <t>관보온(아티론. 슈퍼매직303)  25t*D25  M     ( 호표 92 )</t>
  </si>
  <si>
    <t>호표 92</t>
  </si>
  <si>
    <t>관보온재, 아티론, 난연, ∮25*25mm</t>
  </si>
  <si>
    <t>55D652D6C43479DEC94E953B63AE98ECAEEAC9</t>
  </si>
  <si>
    <t>524B0276974F99568F2D5E38B3FFF755D652D6C43479DEC94E953B63AE98ECAEEAC9</t>
  </si>
  <si>
    <t>524B0276974F99568F2D5E38B3FFF7539B22A6953859AA28AAA535B340001</t>
  </si>
  <si>
    <t>524B0276974F99568F2D5E38B3FFF755A902569C65B98D6F0B6E3A83E7CA850C0F45</t>
  </si>
  <si>
    <t>524B0276974F99568F2D5E38B3FFF755A902569C65B98D6F0B6E3A83E7CA850C0EBC</t>
  </si>
  <si>
    <t>524B0276974F99568F2D5E38B3FFF7525EB2169A3C69E10E693C3EB327F425525C36</t>
  </si>
  <si>
    <t>524B0276974F99568F2D5E38B3FFF7525EB2169A3C69E10E693C3EB327F425525855</t>
  </si>
  <si>
    <t>관보온(아티론. 슈퍼매직303)  25t*D20  M     ( 호표 93 )</t>
  </si>
  <si>
    <t>호표 93</t>
  </si>
  <si>
    <t>관보온재, 아티론, 난연, ∮20*25mm</t>
  </si>
  <si>
    <t>55D652D6C43479DEC94E953B63AE98ECAEEACA</t>
  </si>
  <si>
    <t>524B0276974F894DEFFA0B3453C64D55D652D6C43479DEC94E953B63AE98ECAEEACA</t>
  </si>
  <si>
    <t>524B0276974F894DEFFA0B3453C64D539B22A6953859AA28AAA535B340001</t>
  </si>
  <si>
    <t>524B0276974F894DEFFA0B3453C64D55A902569C65B98D6F0B6E3A83E7CA850C0F45</t>
  </si>
  <si>
    <t>524B0276974F894DEFFA0B3453C64D55A902569C65B98D6F0B6E3A83E7CA850C0EBC</t>
  </si>
  <si>
    <t>524B0276974F894DEFFA0B3453C64D525EB2169A3C69E10E693C3EB327F425525C36</t>
  </si>
  <si>
    <t>524B0276974F894DEFFA0B3453C64D525EB2169A3C69E10E693C3EB327F425525855</t>
  </si>
  <si>
    <t>관보온(아티론. 슈퍼매직303)  25t*D15  M     ( 호표 94 )</t>
  </si>
  <si>
    <t>호표 94</t>
  </si>
  <si>
    <t>관보온재, 아티론, 난연, ∮15*25mm</t>
  </si>
  <si>
    <t>55D652D6C43479DEC94E953B63AE98ECAEEACB</t>
  </si>
  <si>
    <t>524B0276974FB9197822A232A35D9555D652D6C43479DEC94E953B63AE98ECAEEACB</t>
  </si>
  <si>
    <t>524B0276974FB9197822A232A35D95539B22A6953859AA28AAA535B340001</t>
  </si>
  <si>
    <t>524B0276974FB9197822A232A35D9555A902569C65B98D6F0B6E3A83E7CA850C0F45</t>
  </si>
  <si>
    <t>524B0276974FB9197822A232A35D9555A902569C65B98D6F0B6E3A83E7CA850C0EBC</t>
  </si>
  <si>
    <t>524B0276974FB9197822A232A35D95525EB2169A3C69E10E693C3EB327F425525C36</t>
  </si>
  <si>
    <t>524B0276974FB9197822A232A35D95525EB2169A3C69E10E693C3EB327F425525855</t>
  </si>
  <si>
    <t>스테인리스용접(TIG)  D32  개소     ( 호표 95 )</t>
  </si>
  <si>
    <t>호표 95</t>
  </si>
  <si>
    <t>스테인리스강용알곤용접봉</t>
  </si>
  <si>
    <t>스테인리스강용알곤용접봉, ∮3.2mm, T-308</t>
  </si>
  <si>
    <t>55BBB2D6EA7309A0AD36DC35335291851202DC</t>
  </si>
  <si>
    <t>524B62E6472529895C2E773B536E9B55BBB2D6EA7309A0AD36DC35335291851202DC</t>
  </si>
  <si>
    <t>아르곤가스</t>
  </si>
  <si>
    <t>아르곤가스, 건설용알곤가스</t>
  </si>
  <si>
    <t>558E12D646B949A33667F33393D6790B39E66D</t>
  </si>
  <si>
    <t>524B62E6472529895C2E773B536E9B558E12D646B949A33667F33393D6790B39E66D</t>
  </si>
  <si>
    <t>524B62E6472529895C2E773B536E9B525EB2169A3C69E10E693C3EB327F42552597C</t>
  </si>
  <si>
    <t>인력품의 4%</t>
  </si>
  <si>
    <t>524B62E6472529895C2E773B536E9B539B22A6953859AA28AAA535B340001</t>
  </si>
  <si>
    <t>스테인리스용접(TIG)  D25  개소     ( 호표 96 )</t>
  </si>
  <si>
    <t>호표 96</t>
  </si>
  <si>
    <t>524B62E6472529895C2E70306360C955BBB2D6EA7309A0AD36DC35335291851202DC</t>
  </si>
  <si>
    <t>524B62E6472529895C2E70306360C9558E12D646B949A33667F33393D6790B39E66D</t>
  </si>
  <si>
    <t>524B62E6472529895C2E70306360C9525EB2169A3C69E10E693C3EB327F42552597C</t>
  </si>
  <si>
    <t>524B62E6472529895C2E70306360C9539B22A6953859AA28AAA535B340001</t>
  </si>
  <si>
    <t>스테인리스용접(TIG)  D20  개소     ( 호표 97 )</t>
  </si>
  <si>
    <t>호표 97</t>
  </si>
  <si>
    <t>524B62E6472529895C2E7132D30A2A55BBB2D6EA7309A0AD36DC35335291851202DC</t>
  </si>
  <si>
    <t>524B62E6472529895C2E7132D30A2A558E12D646B949A33667F33393D6790B39E66D</t>
  </si>
  <si>
    <t>524B62E6472529895C2E7132D30A2A525EB2169A3C69E10E693C3EB327F42552597C</t>
  </si>
  <si>
    <t>524B62E6472529895C2E7132D30A2A539B22A6953859AA28AAA535B340001</t>
  </si>
  <si>
    <t>스테인리스용접(TIG)  D15  개소     ( 호표 98 )</t>
  </si>
  <si>
    <t>호표 98</t>
  </si>
  <si>
    <t>524B62E6472529895C2E723333557855BBB2D6EA7309A0AD36DC35335291851202DC</t>
  </si>
  <si>
    <t>524B62E6472529895C2E7233335578558E12D646B949A33667F33393D6790B39E66D</t>
  </si>
  <si>
    <t>524B62E6472529895C2E7233335578525EB2169A3C69E10E693C3EB327F42552597C</t>
  </si>
  <si>
    <t>524B62E6472529895C2E7233335578539B22A6953859AA28AAA535B340001</t>
  </si>
  <si>
    <t>PVC관 설치  PVC관(VG1), D100, DRF  M     ( 호표 99 )</t>
  </si>
  <si>
    <t>호표 99</t>
  </si>
  <si>
    <t>일반용경질폴리염화비닐관(고무링)</t>
  </si>
  <si>
    <t>PVC관(VG1), D100, 부산</t>
  </si>
  <si>
    <t>55D652D6C472394C2461E33BC3E352BAAA05D329</t>
  </si>
  <si>
    <t>524B62E6BA01B9068731DB31A3796CEE55D652D6C472394C2461E33BC3E352BAAA05D329</t>
  </si>
  <si>
    <t>524B62E6BA01B9068731DB31A3796CEE525EB2169A3C69E10E693C3EB327F425525B22</t>
  </si>
  <si>
    <t>524B62E6BA01B9068731DB31A3796CEE525EB2169A3C69E10E693C3EB327F425525855</t>
  </si>
  <si>
    <t>PVC관 설치  PVC관(VG1), D75, DRF  M     ( 호표 100 )</t>
  </si>
  <si>
    <t>호표 100</t>
  </si>
  <si>
    <t>PVC관(VG1), D75, 부산</t>
  </si>
  <si>
    <t>55D652D6C472394C2461E33BC3E352BAAA05D055</t>
  </si>
  <si>
    <t>524B62E68EC5B9A860E6783953E0E9F955D652D6C472394C2461E33BC3E352BAAA05D055</t>
  </si>
  <si>
    <t>524B62E68EC5B9A860E6783953E0E9F9525EB2169A3C69E10E693C3EB327F425525B22</t>
  </si>
  <si>
    <t>524B62E68EC5B9A860E6783953E0E9F9525EB2169A3C69E10E693C3EB327F425525855</t>
  </si>
  <si>
    <t>PVC관 설치  PVC관(VG1), D50, DRF  M     ( 호표 101 )</t>
  </si>
  <si>
    <t>호표 101</t>
  </si>
  <si>
    <t>PVC관(VG1), D50</t>
  </si>
  <si>
    <t>55D652D6C472394C2461E33BC3E352BAAA05D6</t>
  </si>
  <si>
    <t>524B62E68EC5B9A860E6783953E0E9FA55D652D6C472394C2461E33BC3E352BAAA05D6</t>
  </si>
  <si>
    <t>524B62E68EC5B9A860E6783953E0E9FA525EB2169A3C69E10E693C3EB327F425525B22</t>
  </si>
  <si>
    <t>524B62E68EC5B9A860E6783953E0E9FA525EB2169A3C69E10E693C3EB327F425525855</t>
  </si>
  <si>
    <t>구멍뚫기  D100, 바닥300mm, 콘크리트, 코어드릴  개소     ( 호표 102 )</t>
  </si>
  <si>
    <t>호표 102</t>
  </si>
  <si>
    <t>착암공</t>
  </si>
  <si>
    <t>525EB2169A3C69E10E693C3EB327F42552597B</t>
  </si>
  <si>
    <t>524BE296512C69008FAD4E3CF3016DBF7D525EB2169A3C69E10E693C3EB327F42552597B</t>
  </si>
  <si>
    <t>524BE296512C69008FAD4E3CF3016DBF7D525EB2169A3C69E10E693C3EB327F425525855</t>
  </si>
  <si>
    <t>524BE296512C69008FAD4E3CF3016DBF7D539B22A6953859AA28AAA535B340001</t>
  </si>
  <si>
    <t>구멍뚫기  D75, 바닥300mm, 콘크리트, 코어드릴  개소     ( 호표 103 )</t>
  </si>
  <si>
    <t>호표 103</t>
  </si>
  <si>
    <t>524BE296512C69008FAD4E3CF3016DBF7A525EB2169A3C69E10E693C3EB327F42552597B</t>
  </si>
  <si>
    <t>524BE296512C69008FAD4E3CF3016DBF7A525EB2169A3C69E10E693C3EB327F425525855</t>
  </si>
  <si>
    <t>524BE296512C69008FAD4E3CF3016DBF7A539B22A6953859AA28AAA535B340001</t>
  </si>
  <si>
    <t>구멍뚫기  D50, 바닥300mm, 콘크리트, 코어드릴  개소     ( 호표 104 )</t>
  </si>
  <si>
    <t>호표 104</t>
  </si>
  <si>
    <t>524BE296512C69008FAD4E3CF3016DBF7B525EB2169A3C69E10E693C3EB327F42552597B</t>
  </si>
  <si>
    <t>524BE296512C69008FAD4E3CF3016DBF7B525EB2169A3C69E10E693C3EB327F425525855</t>
  </si>
  <si>
    <t>524BE296512C69008FAD4E3CF3016DBF7B539B22A6953859AA28AAA535B340001</t>
  </si>
  <si>
    <t>환풍기 설치  Ø250*250㎜, 210CMH, EK-160NST 동등이상  개     ( 호표 105 )</t>
  </si>
  <si>
    <t>호표 105</t>
  </si>
  <si>
    <t>환풍기</t>
  </si>
  <si>
    <t>55D652D6C43479D050FD0B3613A9EEF186EEFC</t>
  </si>
  <si>
    <t>524B0206855CE902D36F423113649C55D652D6C43479D050FD0B3613A9EEF186EEFC</t>
  </si>
  <si>
    <t>524B0206855CE902D36F423113649C525EB2169A3C69E10E693C3EB327F425525DD8</t>
  </si>
  <si>
    <t>524B0206855CE902D36F423113649C525EB2169A3C69E10E693C3EB327F425525855</t>
  </si>
  <si>
    <t>환풍기 배관  PVC관(VG2), D100  M     ( 호표 106 )</t>
  </si>
  <si>
    <t>호표 106</t>
  </si>
  <si>
    <t>일반용경질폴리염화비닐관</t>
  </si>
  <si>
    <t>일반용경질폴리염화비닐관, ∮100mm, VG2</t>
  </si>
  <si>
    <t>55D652D6C472394C2461E33BC3E352B98BB89C</t>
  </si>
  <si>
    <t>524B62E6BA3EF9A47014853EB31DE555D652D6C472394C2461E33BC3E352B98BB89C</t>
  </si>
  <si>
    <t>524B62E6BA3EF9A47014853EB31DE5525EB2169A3C69E10E693C3EB327F425525B22</t>
  </si>
  <si>
    <t>524B62E6BA3EF9A47014853EB31DE5525EB2169A3C69E10E693C3EB327F425525855</t>
  </si>
  <si>
    <t>524B62E6BA3EF9A47014853EB31DE5539B22A6953859AA28AAA535B343002</t>
  </si>
  <si>
    <t>환풍기 배관  AL후렉시블덕트호수, D100  M     ( 호표 107 )</t>
  </si>
  <si>
    <t>호표 107</t>
  </si>
  <si>
    <t>공조용플렉시블덕트</t>
  </si>
  <si>
    <t>플렉시블덕트호스, AL비보온, ∮100mm</t>
  </si>
  <si>
    <t>55D652D6C47209F097BB8836D3CB047AE5DC4A</t>
  </si>
  <si>
    <t>524B6296143C597D66BFCA3053A2B155D652D6C47209F097BB8836D3CB047AE5DC4A</t>
  </si>
  <si>
    <t>덕트공</t>
  </si>
  <si>
    <t>525EB2169A3C69E10E693C3EB327F425525C31</t>
  </si>
  <si>
    <t>524B6296143C597D66BFCA3053A2B1525EB2169A3C69E10E693C3EB327F425525C31</t>
  </si>
  <si>
    <t>샌드위치(단열)페널 설치 - 칸막이벽  두께 50~100mm 기준  M2     ( 호표 108 )</t>
  </si>
  <si>
    <t>호표 108</t>
  </si>
  <si>
    <t>샌드위치패널</t>
  </si>
  <si>
    <t>샌드위치패널, EPS(0.016), 벽재, 50mm</t>
  </si>
  <si>
    <t>55A91276F348593748AF613E73AF9F05532EF4</t>
  </si>
  <si>
    <t>528C02E6C14CA9E26B0F3337B3ECFB55A91276F348593748AF613E73AF9F05532EF4</t>
  </si>
  <si>
    <t>주재료비의 5%</t>
  </si>
  <si>
    <t>528C02E6C14CA9E26B0F3337B3ECFB539B22A6953859AA28AAA535B343002</t>
  </si>
  <si>
    <t>528C02E6C14CA9E26B0F3337B3ECFB525EB2169A3C69E10E693C3EB327F425525B2B</t>
  </si>
  <si>
    <t>528C02E6C14CA9E26B0F3337B3ECFB525EB2169A3C69E10E693C3EB327F425525855</t>
  </si>
  <si>
    <t>528C02E6C14CA9E26B0F3337B3ECFB539B22A6953859AA28AAA535B340001</t>
  </si>
  <si>
    <t>콘크리트구조물 헐기(소형장비)  전기식, 철근  M3     ( 호표 109 )</t>
  </si>
  <si>
    <t>호표 109</t>
  </si>
  <si>
    <t>528DE2F688D9C9A634D619326380CE525EB2169A3C69E10E693C3EB327F42552597B</t>
  </si>
  <si>
    <t>528DE2F688D9C9A634D619326380CE525EB2169A3C69E10E693C3EB327F425525855</t>
  </si>
  <si>
    <t>소형브레이커(전기식)</t>
  </si>
  <si>
    <t>1.5kw</t>
  </si>
  <si>
    <t>HR</t>
  </si>
  <si>
    <t>5598A206DDB8F9F9F7032031D3A0EA11F75B5097</t>
  </si>
  <si>
    <t>528DE2F688D9C9A634D619326380CE5598A206DDB8F9F9F7032031D3A0EA11F75B5097</t>
  </si>
  <si>
    <t>528DE2F688D9C9A634D619326380CE539B22A6953859AA28AAA535B340001</t>
  </si>
  <si>
    <t>흡음판 철거  벽체  M2     ( 호표 110 )</t>
  </si>
  <si>
    <t>호표 110</t>
  </si>
  <si>
    <t>528DE2F68866997B56961C346337D7BD525EB2169A3C69E10E693C3EB327F425525B2B</t>
  </si>
  <si>
    <t>528DE2F68866997B56961C346337D7BD525EB2169A3C69E10E693C3EB327F425525855</t>
  </si>
  <si>
    <t>PVC계바닥재 해체    M2     ( 호표 111 )</t>
  </si>
  <si>
    <t>호표 111</t>
  </si>
  <si>
    <t>528DE2F68866997B569CA53B23BEB8525EB2169A3C69E10E693C3EB327F425525B2B</t>
  </si>
  <si>
    <t>528DE2F68866997B569CA53B23BEB8525EB2169A3C69E10E693C3EB327F425525855</t>
  </si>
  <si>
    <t>비닐 시트류 철거  바닥  M2     ( 호표 112 )</t>
  </si>
  <si>
    <t>호표 112</t>
  </si>
  <si>
    <t>528DE2F68866997B569CA53B23BEB881525EB2169A3C69E10E693C3EB327F425525B2B</t>
  </si>
  <si>
    <t>528DE2F68866997B569CA53B23BEB881525EB2169A3C69E10E693C3EB327F425525855</t>
  </si>
  <si>
    <t>528DE2F68866997B569CA53B23BEB881539B22A6953859AA28AAA535B340001</t>
  </si>
  <si>
    <t>경량벽체철골틀 해체    M2     ( 호표 113 )</t>
  </si>
  <si>
    <t>호표 113</t>
  </si>
  <si>
    <t>528DE2F68866997B56919B313346DF525EB2169A3C69E10E693C3EB327F425525B2B</t>
  </si>
  <si>
    <t>528DE2F68866997B56919B313346DF525EB2169A3C69E10E693C3EB327F425525855</t>
  </si>
  <si>
    <t>528DE2F68866997B56919B313346DF539B22A6953859AA28AAA535B340001</t>
  </si>
  <si>
    <t>석고판 해체  벽  M2     ( 호표 114 )</t>
  </si>
  <si>
    <t>호표 114</t>
  </si>
  <si>
    <t>528DE2F68866997B5692A137E34D59525EB2169A3C69E10E693C3EB327F425525B2B</t>
  </si>
  <si>
    <t>528DE2F68866997B5692A137E34D59525EB2169A3C69E10E693C3EB327F425525855</t>
  </si>
  <si>
    <t>528DE2F68866997B5692A137E34D59539B22A6953859AA28AAA535B340001</t>
  </si>
  <si>
    <t>경량천장철골틀 해체    M2     ( 호표 115 )</t>
  </si>
  <si>
    <t>호표 115</t>
  </si>
  <si>
    <t>528DE2F68866997B5697233B832C4D525EB2169A3C69E10E693C3EB327F425525B2B</t>
  </si>
  <si>
    <t>528DE2F68866997B5697233B832C4D525EB2169A3C69E10E693C3EB327F425525855</t>
  </si>
  <si>
    <t>528DE2F68866997B5697233B832C4D539B22A6953859AA28AAA535B340001</t>
  </si>
  <si>
    <t>흡음텍스 해체    M2     ( 호표 116 )</t>
  </si>
  <si>
    <t>호표 116</t>
  </si>
  <si>
    <t>528DE2F68866997B56961C346337D7525EB2169A3C69E10E693C3EB327F425525B2B</t>
  </si>
  <si>
    <t>528DE2F68866997B56961C346337D7525EB2169A3C69E10E693C3EB327F425525855</t>
  </si>
  <si>
    <t>석고판 해체  천장  M2     ( 호표 117 )</t>
  </si>
  <si>
    <t>호표 117</t>
  </si>
  <si>
    <t>528DE2F68866997B5692A137E34E60525EB2169A3C69E10E693C3EB327F425525B2B</t>
  </si>
  <si>
    <t>528DE2F68866997B5692A137E34E60525EB2169A3C69E10E693C3EB327F425525855</t>
  </si>
  <si>
    <t>528DE2F68866997B5692A137E34E60539B22A6953859AA28AAA535B340001</t>
  </si>
  <si>
    <t>도배 해체  벽  M2     ( 호표 118 )</t>
  </si>
  <si>
    <t>호표 118</t>
  </si>
  <si>
    <t>528DE2F68866997B5693483E835D99525EB2169A3C69E10E693C3EB327F425525B2A</t>
  </si>
  <si>
    <t>528DE2F68866997B5693483E835D99525EB2169A3C69E10E693C3EB327F425525855</t>
  </si>
  <si>
    <t>도배 해체  천장  M2     ( 호표 119 )</t>
  </si>
  <si>
    <t>호표 119</t>
  </si>
  <si>
    <t>528DE2F68866997B5693483E835EA0525EB2169A3C69E10E693C3EB327F425525B2A</t>
  </si>
  <si>
    <t>528DE2F68866997B5693483E835EA0525EB2169A3C69E10E693C3EB327F425525855</t>
  </si>
  <si>
    <t>조적벽 해체  H=3.6m 이하  M3     ( 호표 120 )</t>
  </si>
  <si>
    <t>호표 120</t>
  </si>
  <si>
    <t>할석공</t>
  </si>
  <si>
    <t>525EB2169A3C69E10E693C3EB327F425525979</t>
  </si>
  <si>
    <t>528DE2F68866997B5690F43A836FFE525EB2169A3C69E10E693C3EB327F425525979</t>
  </si>
  <si>
    <t>528DE2F68866997B5690F43A836FFE525EB2169A3C69E10E693C3EB327F425525855</t>
  </si>
  <si>
    <t>528DE2F68866997B5690F43A836FFE539B22A6953859AA28AAA535B340001</t>
  </si>
  <si>
    <t>타일 해체  떠붙이기  M2     ( 호표 121 )</t>
  </si>
  <si>
    <t>호표 121</t>
  </si>
  <si>
    <t>타일공</t>
  </si>
  <si>
    <t>525EB2169A3C69E10E693C3EB327F425525A0C</t>
  </si>
  <si>
    <t>528DE2F68866997B569D4C33C3A90E525EB2169A3C69E10E693C3EB327F425525A0C</t>
  </si>
  <si>
    <t>528DE2F68866997B569D4C33C3A90E525EB2169A3C69E10E693C3EB327F425525855</t>
  </si>
  <si>
    <t>인력품의 6%</t>
  </si>
  <si>
    <t>528DE2F68866997B569D4C33C3A90E539B22A6953859AA28AAA535B340001</t>
  </si>
  <si>
    <t>타일 해체  압착붙이기, 접착붙이기  M2     ( 호표 122 )</t>
  </si>
  <si>
    <t>호표 122</t>
  </si>
  <si>
    <t>528DE2F68866997B569D4C33C3AA15525EB2169A3C69E10E693C3EB327F425525A0C</t>
  </si>
  <si>
    <t>528DE2F68866997B569D4C33C3AA15525EB2169A3C69E10E693C3EB327F425525855</t>
  </si>
  <si>
    <t>528DE2F68866997B569D4C33C3AA15539B22A6953859AA28AAA535B340001</t>
  </si>
  <si>
    <t>바닥 목구조틀 철거  바닥  M2     ( 호표 123 )</t>
  </si>
  <si>
    <t>호표 123</t>
  </si>
  <si>
    <t>528DE2F68866997B569D4C33C3AA1530525EB2169A3C69E10E693C3EB327F425525A07</t>
  </si>
  <si>
    <t>528DE2F68866997B569D4C33C3AA1530525EB2169A3C69E10E693C3EB327F425525855</t>
  </si>
  <si>
    <t>창호철거  목재창호, 900*2100  EA     ( 호표 124 )</t>
  </si>
  <si>
    <t>호표 124</t>
  </si>
  <si>
    <t>528DE2F68866997B569D4C33C3AA1533525EB2169A3C69E10E693C3EB327F425525A07</t>
  </si>
  <si>
    <t>528DE2F68866997B569D4C33C3AA1533525EB2169A3C69E10E693C3EB327F425525855</t>
  </si>
  <si>
    <t>기구손료</t>
  </si>
  <si>
    <t>528DE2F68866997B569D4C33C3AA1533539B22A6953859AA28AAA535B340001</t>
  </si>
  <si>
    <t>창호철거  목재창호, 1800*2100  EA     ( 호표 125 )</t>
  </si>
  <si>
    <t>호표 125</t>
  </si>
  <si>
    <t>528DE2F68866997B569D4C33C3AA1532525EB2169A3C69E10E693C3EB327F425525A07</t>
  </si>
  <si>
    <t>528DE2F68866997B569D4C33C3AA1532525EB2169A3C69E10E693C3EB327F425525855</t>
  </si>
  <si>
    <t>528DE2F68866997B569D4C33C3AA1532539B22A6953859AA28AAA535B340001</t>
  </si>
  <si>
    <t>창호철거  철재창호, 900*2100  EA     ( 호표 126 )</t>
  </si>
  <si>
    <t>호표 126</t>
  </si>
  <si>
    <t>창호공</t>
  </si>
  <si>
    <t>525EB2169A3C69E10E693C3EB327F425525A00</t>
  </si>
  <si>
    <t>528DE2F68866997B569D4C33C3AA1535525EB2169A3C69E10E693C3EB327F425525A00</t>
  </si>
  <si>
    <t>528DE2F68866997B569D4C33C3AA1535525EB2169A3C69E10E693C3EB327F425525855</t>
  </si>
  <si>
    <t>528DE2F68866997B569D4C33C3AA1535539B22A6953859AA28AAA535B340001</t>
  </si>
  <si>
    <t>창호철거  철재창호, 1800*2100  EA     ( 호표 127 )</t>
  </si>
  <si>
    <t>호표 127</t>
  </si>
  <si>
    <t>528DE2F68866997B569D4C33C3AA1534525EB2169A3C69E10E693C3EB327F425525A00</t>
  </si>
  <si>
    <t>528DE2F68866997B569D4C33C3AA1534525EB2169A3C69E10E693C3EB327F425525855</t>
  </si>
  <si>
    <t>528DE2F68866997B569D4C33C3AA1534539B22A6953859AA28AAA535B340001</t>
  </si>
  <si>
    <t>세면기 철거  도기세면기  조     ( 호표 128 )</t>
  </si>
  <si>
    <t>호표 128</t>
  </si>
  <si>
    <t>524BC2468012B98FA39D2C33A33FF8525EB2169A3C69E10E693C3EB327F425525C30</t>
  </si>
  <si>
    <t>524BC2468012B98FA39D2C33A33FF8525EB2169A3C69E10E693C3EB327F425525855</t>
  </si>
  <si>
    <t>대변기 철거  로탱크  조     ( 호표 129 )</t>
  </si>
  <si>
    <t>호표 129</t>
  </si>
  <si>
    <t>524BC246804FE9049619C836436B61525EB2169A3C69E10E693C3EB327F425525C30</t>
  </si>
  <si>
    <t>524BC246804FE9049619C836436B61525EB2169A3C69E10E693C3EB327F425525855</t>
  </si>
  <si>
    <t>소변기 철거  스톨형  조     ( 호표 130 )</t>
  </si>
  <si>
    <t>호표 130</t>
  </si>
  <si>
    <t>524B32D6D9A2295C3804C238B3B44E525EB2169A3C69E10E693C3EB327F425525C30</t>
  </si>
  <si>
    <t>524B32D6D9A2295C3804C238B3B44E525EB2169A3C69E10E693C3EB327F425525855</t>
  </si>
  <si>
    <t>콘테이너형 가설건축물 설치 및 해체  3.0*6.0m  개소     ( 호표 131 )</t>
  </si>
  <si>
    <t>호표 131</t>
  </si>
  <si>
    <t>528CE206FA04C98EBB858B3943BAB8525EB2169A3C69E10E693C3EB327F425525851</t>
  </si>
  <si>
    <t>528CE206FA04C98EBB858B3943BAB8525EB2169A3C69E10E693C3EB327F425525854</t>
  </si>
  <si>
    <t>크레인(타이어)</t>
  </si>
  <si>
    <t>10ton</t>
  </si>
  <si>
    <t>5598A206DDB8894D5BFEB939A38989B97BC4DD9B</t>
  </si>
  <si>
    <t>528CE206FA04C98EBB858B3943BAB85598A206DDB8894D5BFEB939A38989B97BC4DD9B</t>
  </si>
  <si>
    <t>528CE206FA04C98EBB858B3943BAB8539B22A6953859AA28AAA535B340001</t>
  </si>
  <si>
    <t>크레인(타이어)  10ton  HR     ( 호표 132 )</t>
  </si>
  <si>
    <t>호표 132</t>
  </si>
  <si>
    <t>A</t>
  </si>
  <si>
    <t>천원</t>
  </si>
  <si>
    <t>5598A206DDB8894D5BFEB939A38989B97BC4DD</t>
  </si>
  <si>
    <t>5598A206DDB8894D5BFEB939A38989B97BC4DD9B5598A206DDB8894D5BFEB939A38989B97BC4DD</t>
  </si>
  <si>
    <t>경유</t>
  </si>
  <si>
    <t>경유, 저유황</t>
  </si>
  <si>
    <t>558E62566A9D390C7355633E03BE07898F72E2</t>
  </si>
  <si>
    <t>5598A206DDB8894D5BFEB939A38989B97BC4DD9B558E62566A9D390C7355633E03BE07898F72E2</t>
  </si>
  <si>
    <t>주연료비의 39%</t>
  </si>
  <si>
    <t>5598A206DDB8894D5BFEB939A38989B97BC4DD9B539B22A6953859AA28AAA535B340001</t>
  </si>
  <si>
    <t>건설기계운전사</t>
  </si>
  <si>
    <t>525EB2169A3C69E10E693C3EB327F425525C3A</t>
  </si>
  <si>
    <t>5598A206DDB8894D5BFEB939A38989B97BC4DD9B525EB2169A3C69E10E693C3EB327F425525C3A</t>
  </si>
  <si>
    <t>강관 조립말비계(이동식)설치 및 해체  높이 4m, 노무비  대     ( 호표 133 )</t>
  </si>
  <si>
    <t>호표 133</t>
  </si>
  <si>
    <t>528CE206CEDAC9860073CC388362E3525EB2169A3C69E10E693C3EB327F425525851</t>
  </si>
  <si>
    <t>528CE206CEDAC9860073CC388362E3525EB2169A3C69E10E693C3EB327F425525855</t>
  </si>
  <si>
    <t>모르타르 배합(배합품 포함)  배합용적비 1:3, 시멘트, 모래 포함  M3     ( 호표 134 )</t>
  </si>
  <si>
    <t>호표 134</t>
  </si>
  <si>
    <t>528C82A6506BC9BC97971833A3AFCC55A91276F30289074B0BD33C938FA1CE505102</t>
  </si>
  <si>
    <t>528C82A6506BC9BC97971833A3AFCC558E22F6D27B79DF31E62538A38FD09941FD79</t>
  </si>
  <si>
    <t>528C82A6506BC9BC97971833A3AFCC525EB2169A3C69E10E693C3EB327F425525855</t>
  </si>
  <si>
    <t>모르타르 바름  3.6m 초과, 3회(T=24mm 이하 기준)  M2     ( 호표 135 )</t>
  </si>
  <si>
    <t>호표 135</t>
  </si>
  <si>
    <t>528C82A6506BD942426D4A3F830754525EB2169A3C69E10E693C3EB327F425525A03</t>
  </si>
  <si>
    <t>528C82A6506BD942426D4A3F830754525EB2169A3C69E10E693C3EB327F425525855</t>
  </si>
  <si>
    <t>528C82A6506BD942426D4A3F830754539B22A6953859AA28AAA535B340001</t>
  </si>
  <si>
    <t>모르타르 배합(배합품 포함)  배합용적비 1:5, 시멘트, 모래 포함  M3     ( 호표 136 )</t>
  </si>
  <si>
    <t>호표 136</t>
  </si>
  <si>
    <t>528C82A6506BC9BC97971E34337A1755A91276F30289074B0BD33C938FA1CE505102</t>
  </si>
  <si>
    <t>528C82A6506BC9BC97971E34337A17558E22F6D27B79DF31E62538A38FD09941FD79</t>
  </si>
  <si>
    <t>528C82A6506BC9BC97971E34337A17525EB2169A3C69E10E693C3EB327F425525855</t>
  </si>
  <si>
    <t>바탕 고르기  바닥, 24mm 이하 기준  M2     ( 호표 137 )</t>
  </si>
  <si>
    <t>호표 137</t>
  </si>
  <si>
    <t>528C2236DDB5B9AAC06AAF3BF3C2FD525EB2169A3C69E10E693C3EB327F425525A03</t>
  </si>
  <si>
    <t>528C2236DDB5B9AAC06AAF3BF3C2FD525EB2169A3C69E10E693C3EB327F425525855</t>
  </si>
  <si>
    <t>528C2236DDB5B9AAC06AAF3BF3C2FD539B22A6953859AA28AAA535B340001</t>
  </si>
  <si>
    <t>줄눈 모르타르(배합품 포함)  배합용적비 1:1(백시멘트), 모래 포함  M3     ( 호표 138 )</t>
  </si>
  <si>
    <t>호표 138</t>
  </si>
  <si>
    <t>특수시멘트</t>
  </si>
  <si>
    <t>특수시멘트, 백색시멘트</t>
  </si>
  <si>
    <t>55A91276F30289074B0BD33C938FA1C8C9DF3D</t>
  </si>
  <si>
    <t>528C2236DDB5A9868959133B93931855A91276F30289074B0BD33C938FA1C8C9DF3D</t>
  </si>
  <si>
    <t>528C2236DDB5A9868959133B939318558E22F6D27B79DF31E62538A38FD09941FD79</t>
  </si>
  <si>
    <t>528C2236DDB5A9868959133B939318525EB2169A3C69E10E693C3EB327F425525855</t>
  </si>
  <si>
    <t>타일 붙임 / 떠붙이기  타일규격 m2, 0.11 ~ 0.20 이하  M2     ( 호표 139 )</t>
  </si>
  <si>
    <t>호표 139</t>
  </si>
  <si>
    <t>528C2236DDB5A98689503434330364525EB2169A3C69E10E693C3EB327F425525A0C</t>
  </si>
  <si>
    <t>528C2236DDB5A98689503434330364525EB2169A3C69E10E693C3EB327F425525855</t>
  </si>
  <si>
    <t>528C2236DDB5A98689503434330364539B22A6953859AA28AAA535B340001</t>
  </si>
  <si>
    <t>타일줄눈 설치 / 벽면  타일규격 m2, 0.11 ~ 0.20 이하  M2     ( 호표 140 )</t>
  </si>
  <si>
    <t>호표 140</t>
  </si>
  <si>
    <t>줄눈공</t>
  </si>
  <si>
    <t>525EB2169A3C69E10E693C3EB327F425525B2F</t>
  </si>
  <si>
    <t>528C2236DDB5294E1C435731A32F9E525EB2169A3C69E10E693C3EB327F425525B2F</t>
  </si>
  <si>
    <t>압착 붙이기, 바닥면, 바름두께 5mm  0.04∼0.10 이하, 타일C, 백색줄눈  M2     ( 호표 141 )</t>
  </si>
  <si>
    <t>호표 141</t>
  </si>
  <si>
    <t>타일시멘트</t>
  </si>
  <si>
    <t>타일시멘트, 압착용, 회색</t>
  </si>
  <si>
    <t>55A91276F30289074B0BD33C938FA1C8C9D30D</t>
  </si>
  <si>
    <t>528C2236DD9AF9FE41BC7E30F371B255A91276F30289074B0BD33C938FA1C8C9D30D</t>
  </si>
  <si>
    <t>타일시멘트, 줄눈용, 백색</t>
  </si>
  <si>
    <t>55A91276F30289074B0BD33C938FA1C8C60616</t>
  </si>
  <si>
    <t>528C2236DD9AF9FE41BC7E30F371B255A91276F30289074B0BD33C938FA1C8C60616</t>
  </si>
  <si>
    <t>타일 붙임 / 압착 붙이기</t>
  </si>
  <si>
    <t>바닥면, 타일규격 m2, 0.04 ~ 0.10 이하</t>
  </si>
  <si>
    <t>528C2236DD9AF9FF6222A73B33C25B</t>
  </si>
  <si>
    <t>528C2236DD9AF9FE41BC7E30F371B2528C2236DD9AF9FF6222A73B33C25B</t>
  </si>
  <si>
    <t>타일줄눈 설치 / 바닥면</t>
  </si>
  <si>
    <t>타일규격 m2, 0.04 ∼ 0.10 이하</t>
  </si>
  <si>
    <t>528C2236DDB5294E1C435731C3DD38</t>
  </si>
  <si>
    <t>528C2236DD9AF9FE41BC7E30F371B2528C2236DDB5294E1C435731C3DD38</t>
  </si>
  <si>
    <t>타일 붙임 / 압착 붙이기  바닥면, 타일규격 m2, 0.04 ~ 0.10 이하  M2     ( 호표 142 )</t>
  </si>
  <si>
    <t>호표 142</t>
  </si>
  <si>
    <t>528C2236DD9AF9FF6222A73B33C25B525EB2169A3C69E10E693C3EB327F425525A0C</t>
  </si>
  <si>
    <t>528C2236DD9AF9FF6222A73B33C25B525EB2169A3C69E10E693C3EB327F425525855</t>
  </si>
  <si>
    <t>528C2236DD9AF9FF6222A73B33C25B539B22A6953859AA28AAA535B343002</t>
  </si>
  <si>
    <t>타일줄눈 설치 / 바닥면  타일규격 m2, 0.04 ∼ 0.10 이하  M2     ( 호표 143 )</t>
  </si>
  <si>
    <t>호표 143</t>
  </si>
  <si>
    <t>528C2236DDB5294E1C435731C3DD38525EB2169A3C69E10E693C3EB327F425525B2F</t>
  </si>
  <si>
    <t>모르타르비빔 - 돌붙임(바닥)  배합용적비 1:3, 시멘트, 모래 포함  M3     ( 호표 144 )</t>
  </si>
  <si>
    <t>호표 144</t>
  </si>
  <si>
    <t>528C2236EE1A69F82970903B23253655A91276F30289074B0BD33C938FA1CE505102</t>
  </si>
  <si>
    <t>528C2236EE1A69F82970903B232536558E22F6D27B79DF31E62538A38FD09941FD79</t>
  </si>
  <si>
    <t>모르타르 배합</t>
  </si>
  <si>
    <t>모래채가름 포함</t>
  </si>
  <si>
    <t>528C82A6506BC9BC97971B38E3AD3E</t>
  </si>
  <si>
    <t>528C2236EE1A69F82970903B232536528C82A6506BC9BC97971B38E3AD3E</t>
  </si>
  <si>
    <t>습식공법 - 화강석  바닥, 자재 별도  M2     ( 호표 145 )</t>
  </si>
  <si>
    <t>호표 145</t>
  </si>
  <si>
    <t>석공</t>
  </si>
  <si>
    <t>525EB2169A3C69E10E693C3EB327F425525B28</t>
  </si>
  <si>
    <t>528C2236EE24F910D60F8830F3C86F525EB2169A3C69E10E693C3EB327F425525B28</t>
  </si>
  <si>
    <t>528C2236EE24F910D60F8830F3C86F525EB2169A3C69E10E693C3EB327F425525855</t>
  </si>
  <si>
    <t>528C2236EE24F910D60F8830F3C86F539B22A6953859AA28AAA535B340001</t>
  </si>
  <si>
    <t>모르타르 배합  모래채가름 포함  M3     ( 호표 146 )</t>
  </si>
  <si>
    <t>호표 146</t>
  </si>
  <si>
    <t>528C82A6506BC9BC97971B38E3AD3E525EB2169A3C69E10E693C3EB327F425525855</t>
  </si>
  <si>
    <t>바탕처리 - 23-1/4 삭제  바닥  M2     ( 호표 147 )</t>
  </si>
  <si>
    <t>호표 147</t>
  </si>
  <si>
    <t>528C72B6FD5EE9BC037673324330C7525EB2169A3C69E10E693C3EB327F425525A02</t>
  </si>
  <si>
    <t>528C72B6FD5EE9BC037673324330C7525EB2169A3C69E10E693C3EB327F425525855</t>
  </si>
  <si>
    <t>528C72B6FD5EE9BC037673324330C7539B22A6953859AA28AAA535B340001</t>
  </si>
  <si>
    <t>방수프라이머 바름  롤러 1층(회) 바름 기준  M2     ( 호표 148 )</t>
  </si>
  <si>
    <t>호표 148</t>
  </si>
  <si>
    <t>528C72B6FD5EE9BFD8BA5F3BF3021F525EB2169A3C69E10E693C3EB327F425525A02</t>
  </si>
  <si>
    <t>528C72B6FD5EE9BFD8BA5F3BF3021F525EB2169A3C69E10E693C3EB327F425525855</t>
  </si>
  <si>
    <t>528C72B6FD5EE9BFD8BA5F3BF3021F539B22A6953859AA28AAA535B340001</t>
  </si>
  <si>
    <t>도막바름  바닥, 도막 1층(회) 형성 기준  M2     ( 호표 149 )</t>
  </si>
  <si>
    <t>호표 149</t>
  </si>
  <si>
    <t>528C72B6D26AC921D723F83FE392FC525EB2169A3C69E10E693C3EB327F425525A02</t>
  </si>
  <si>
    <t>528C72B6D26AC921D723F83FE392FC525EB2169A3C69E10E693C3EB327F425525855</t>
  </si>
  <si>
    <t>528C72B6D26AC921D723F83FE392FC539B22A6953859AA28AAA535B340001</t>
  </si>
  <si>
    <t>보강포 붙임  바닥, 1층(회) 붙임 기준  M2     ( 호표 150 )</t>
  </si>
  <si>
    <t>호표 150</t>
  </si>
  <si>
    <t>528C72B6D26AC921D720233BA345D3525EB2169A3C69E10E693C3EB327F425525A02</t>
  </si>
  <si>
    <t>528C72B6D26AC921D720233BA345D3525EB2169A3C69E10E693C3EB327F425525855</t>
  </si>
  <si>
    <t>바탕처리 - 23-1/4 삭제  수직부  M2     ( 호표 151 )</t>
  </si>
  <si>
    <t>호표 151</t>
  </si>
  <si>
    <t>528C72B6FD5EE9BC03756A305304E5525EB2169A3C69E10E693C3EB327F425525A02</t>
  </si>
  <si>
    <t>528C72B6FD5EE9BC03756A305304E5525EB2169A3C69E10E693C3EB327F425525855</t>
  </si>
  <si>
    <t>528C72B6FD5EE9BC03756A305304E5539B22A6953859AA28AAA535B340001</t>
  </si>
  <si>
    <t>도막바름  수직부, 도막 1층(회) 형성 기준  M2     ( 호표 152 )</t>
  </si>
  <si>
    <t>호표 152</t>
  </si>
  <si>
    <t>528C72B6D25859170ED3943C337242525EB2169A3C69E10E693C3EB327F425525A02</t>
  </si>
  <si>
    <t>528C72B6D25859170ED3943C337242525EB2169A3C69E10E693C3EB327F425525855</t>
  </si>
  <si>
    <t>528C72B6D25859170ED3943C337242539B22A6953859AA28AAA535B340001</t>
  </si>
  <si>
    <t>보강포 붙임  수직부, 1층(회) 붙임 기준  M2     ( 호표 153 )</t>
  </si>
  <si>
    <t>호표 153</t>
  </si>
  <si>
    <t>528C72B6D25859170ED0C0362305DC525EB2169A3C69E10E693C3EB327F425525A02</t>
  </si>
  <si>
    <t>528C72B6D25859170ED0C0362305DC525EB2169A3C69E10E693C3EB327F425525855</t>
  </si>
  <si>
    <t>마루틀 설치  시공비  M2     ( 호표 154 )</t>
  </si>
  <si>
    <t>호표 154</t>
  </si>
  <si>
    <t>528C625664E5499989575A3FB345C4525EB2169A3C69E10E693C3EB327F425525A07</t>
  </si>
  <si>
    <t>528C625664E5499989575A3FB345C4525EB2169A3C69E10E693C3EB327F425525855</t>
  </si>
  <si>
    <t>528C625664E5499989575A3FB345C4539B22A6953859AA28AAA535B340001</t>
  </si>
  <si>
    <t>단열재 격자넣기  50mm 이하, 벽  M2     ( 호표 155 )</t>
  </si>
  <si>
    <t>호표 155</t>
  </si>
  <si>
    <t>528C02E6A677496626B6303B2316C3525EB2169A3C69E10E693C3EB327F425525B2B</t>
  </si>
  <si>
    <t>528C02E6A677496626B6303B2316C3525EB2169A3C69E10E693C3EB327F425525855</t>
  </si>
  <si>
    <t>PVC계 바닥재 설치 - 타일  주재료 제외  M2     ( 호표 156 )</t>
  </si>
  <si>
    <t>호표 156</t>
  </si>
  <si>
    <t>528C02E6FE7409FF44EC303183368F525EB2169A3C69E10E693C3EB327F425525B2B</t>
  </si>
  <si>
    <t>528C02E6FE7409FF44EC303183368F525EB2169A3C69E10E693C3EB327F425525855</t>
  </si>
  <si>
    <t>528C02E6FE7409FF44EC303183368F55A90256AD5809487F72C034F31E0D59AF03BC</t>
  </si>
  <si>
    <t>PVC계 바닥재 설치 - 시트  주재료 제외, 전면접합  M2     ( 호표 157 )</t>
  </si>
  <si>
    <t>호표 157</t>
  </si>
  <si>
    <t>528C02E6FE7409FF44EC3031833796525EB2169A3C69E10E693C3EB327F425525B2B</t>
  </si>
  <si>
    <t>528C02E6FE7409FF44EC3031833796525EB2169A3C69E10E693C3EB327F425525855</t>
  </si>
  <si>
    <t>528C02E6FE7409FF44EC303183379655A90256AD5809487F72C034F31E0D59AF03BC</t>
  </si>
  <si>
    <t>도배바름(합판·석고보드면)  재료비, 비닐벽지, 실크형, A급  M2     ( 호표 158 )</t>
  </si>
  <si>
    <t>호표 158</t>
  </si>
  <si>
    <t>종이벽지</t>
  </si>
  <si>
    <t>종이벽지, 초배지</t>
  </si>
  <si>
    <t>55A91276F3759998B516AC3DF34B98D107F582</t>
  </si>
  <si>
    <t>528C02E6C132596605A7AB37C37BB755A91276F3759998B516AC3DF34B98D107F582</t>
  </si>
  <si>
    <t>비닐벽지</t>
  </si>
  <si>
    <t>비닐벽지, 실크형, A급</t>
  </si>
  <si>
    <t>55A91276F3759998B516AC3DF34B98D107F584</t>
  </si>
  <si>
    <t>528C02E6C132596605A7AB37C37BB755A91276F3759998B516AC3DF34B98D107F584</t>
  </si>
  <si>
    <t>초산비닐계접착제, 벽지용</t>
  </si>
  <si>
    <t>55A90256AD5809487F72C034F31E0D59AF029E</t>
  </si>
  <si>
    <t>528C02E6C132596605A7AB37C37BB755A90256AD5809487F72C034F31E0D59AF029E</t>
  </si>
  <si>
    <t>PVC계 바닥재 설치 - 시트  주재료 제외, 부분접합 방식  M2     ( 호표 159 )</t>
  </si>
  <si>
    <t>호표 159</t>
  </si>
  <si>
    <t>528C02E6FE7409FF44EC30318334C2525EB2169A3C69E10E693C3EB327F425525B2B</t>
  </si>
  <si>
    <t>528C02E6FE7409FF44EC30318334C2525EB2169A3C69E10E693C3EB327F425525855</t>
  </si>
  <si>
    <t>528C02E6FE7409FF44EC30318334C255A90256AD5809487F72C034F31E0D59AF03BC</t>
  </si>
  <si>
    <t>몰딩 설치    M     ( 호표 160 )</t>
  </si>
  <si>
    <t>호표 160</t>
  </si>
  <si>
    <t>528C02E6790C298EF4FB483713F7CA525EB2169A3C69E10E693C3EB327F425525B2B</t>
  </si>
  <si>
    <t>528C02E6790C298EF4FB483713F7CA539B22A6953859AA28AAA535B340001</t>
  </si>
  <si>
    <t>코너비드 설치  재료비 별도  M     ( 호표 161 )</t>
  </si>
  <si>
    <t>호표 161</t>
  </si>
  <si>
    <t>528C82A6E642D90916786B3BA3FE61525EB2169A3C69E10E693C3EB327F425525A03</t>
  </si>
  <si>
    <t>잡철물 제작 및 설치  현장제작 설치, 경량철재  kg     ( 호표 162 )</t>
  </si>
  <si>
    <t>호표 162</t>
  </si>
  <si>
    <t>528C5276DD01E993A1CF4036934803525EB2169A3C69E10E693C3EB327F42552585E</t>
  </si>
  <si>
    <t>528C5276DD01E993A1CF4036934803525EB2169A3C69E10E693C3EB327F42552597C</t>
  </si>
  <si>
    <t>528C5276DD01E993A1CF4036934803525EB2169A3C69E10E693C3EB327F425525854</t>
  </si>
  <si>
    <t>528C5276DD01E993A1CF4036934803525EB2169A3C69E10E693C3EB327F425525855</t>
  </si>
  <si>
    <t>528C5276DD01E993A1CF4036934803539B22A6953859AA28AAA535B340001</t>
  </si>
  <si>
    <t>528C5276DD01E993A1CF4036934803539B22A6953859AA28AAA535B343002</t>
  </si>
  <si>
    <t>잡철물 제작 및 설치  현장제작 설치, 일반철재  kg     ( 호표 163 )</t>
  </si>
  <si>
    <t>호표 163</t>
  </si>
  <si>
    <t>528C5276DD01E993A1CD933943719A525EB2169A3C69E10E693C3EB327F42552585E</t>
  </si>
  <si>
    <t>528C5276DD01E993A1CD933943719A525EB2169A3C69E10E693C3EB327F42552597C</t>
  </si>
  <si>
    <t>528C5276DD01E993A1CD933943719A525EB2169A3C69E10E693C3EB327F425525854</t>
  </si>
  <si>
    <t>528C5276DD01E993A1CD933943719A525EB2169A3C69E10E693C3EB327F425525855</t>
  </si>
  <si>
    <t>528C5276DD01E993A1CD933943719A539B22A6953859AA28AAA535B340001</t>
  </si>
  <si>
    <t>528C5276DD01E993A1CD933943719A539B22A6953859AA28AAA535B343002</t>
  </si>
  <si>
    <t>목재창호 설치 / 여닫이  창호면적 m2, 1.0 ~ 3.0 이하  개소     ( 호표 164 )</t>
  </si>
  <si>
    <t>호표 164</t>
  </si>
  <si>
    <t>528C32262649894F54B6723DC3AAC6525EB2169A3C69E10E693C3EB327F425525A00</t>
  </si>
  <si>
    <t>528C32262649894F54B6723DC3AAC6525EB2169A3C69E10E693C3EB327F425525855</t>
  </si>
  <si>
    <t>528C32262649894F54B6723DC3AAC6539B22A6953859AA28AAA535B340001</t>
  </si>
  <si>
    <t>도어록 설치 / 일반도어록 목재창호  재료비 별도  개소     ( 호표 165 )</t>
  </si>
  <si>
    <t>호표 165</t>
  </si>
  <si>
    <t>528C322653A269D09A21AB3733FFEF525EB2169A3C69E10E693C3EB327F425525A00</t>
  </si>
  <si>
    <t>528C322653A269D09A21AB3733FFEF539B22A6953859AA28AAA535B340001</t>
  </si>
  <si>
    <t>창호주위 발포우레탄 충전    M     ( 호표 166 )</t>
  </si>
  <si>
    <t>호표 166</t>
  </si>
  <si>
    <t>528C322653FA79C5E8CF0439B3442D525EB2169A3C69E10E693C3EB327F425525A03</t>
  </si>
  <si>
    <t>528C322653FA79C5E8CF0439B3442D525EB2169A3C69E10E693C3EB327F425525855</t>
  </si>
  <si>
    <t>수밀코킹(실리콘)  삼각, 10mm, 창호주위  M     ( 호표 167 )</t>
  </si>
  <si>
    <t>호표 167</t>
  </si>
  <si>
    <t>실링재</t>
  </si>
  <si>
    <t>실링재, 실리콘, 비초산, 유리용, 창호주위</t>
  </si>
  <si>
    <t>55A90256AD4FA985C89D1D3C33946A963F7033</t>
  </si>
  <si>
    <t>528C72B68A61D964DC045F31830A3E55A90256AD4FA985C89D1D3C33946A963F7033</t>
  </si>
  <si>
    <t>수밀코킹</t>
  </si>
  <si>
    <t>528C72B68A5789AB3BF5983E33537C</t>
  </si>
  <si>
    <t>528C72B68A61D964DC045F31830A3E528C72B68A5789AB3BF5983E33537C</t>
  </si>
  <si>
    <t>수밀코킹  재료비 별도  M     ( 호표 168 )</t>
  </si>
  <si>
    <t>호표 168</t>
  </si>
  <si>
    <t>코킹공</t>
  </si>
  <si>
    <t>기타 직종</t>
  </si>
  <si>
    <t>525EB2169A3C69E10E6D973DB3D0B7FBF658B8</t>
  </si>
  <si>
    <t>528C72B68A5789AB3BF5983E33537C525EB2169A3C69E10E6D973DB3D0B7FBF658B8</t>
  </si>
  <si>
    <t>목재창호 설치 / 여닫이  창호면적 m2, 3.0 ~ 6.0 이하  개소     ( 호표 169 )</t>
  </si>
  <si>
    <t>호표 169</t>
  </si>
  <si>
    <t>528C32262649894F54B6723DC3ABEC525EB2169A3C69E10E693C3EB327F425525A00</t>
  </si>
  <si>
    <t>528C32262649894F54B6723DC3ABEC525EB2169A3C69E10E693C3EB327F425525855</t>
  </si>
  <si>
    <t>528C32262649894F54B6723DC3ABEC539B22A6953859AA28AAA535B340001</t>
  </si>
  <si>
    <t>목재창호 설치 / 미서기(단창)  창호면적 m2, 3.0 ~ 6.0 이하  개소     ( 호표 170 )</t>
  </si>
  <si>
    <t>호표 170</t>
  </si>
  <si>
    <t>528C32262649894F54B67133537DB0525EB2169A3C69E10E693C3EB327F425525A00</t>
  </si>
  <si>
    <t>528C32262649894F54B67133537DB0525EB2169A3C69E10E693C3EB327F425525855</t>
  </si>
  <si>
    <t>528C32262649894F54B67133537DB0539B22A6953859AA28AAA535B340001</t>
  </si>
  <si>
    <t>강재창호 설치 / 여닫이  창호면적 m2, 3.0 ~ 6.0 이하  개소     ( 호표 171 )</t>
  </si>
  <si>
    <t>호표 171</t>
  </si>
  <si>
    <t>528C322626647931E863E53B43ABC4525EB2169A3C69E10E693C3EB327F425525A00</t>
  </si>
  <si>
    <t>528C322626647931E863E53B43ABC4525EB2169A3C69E10E693C3EB327F425525855</t>
  </si>
  <si>
    <t>528C322626647931E863E53B43ABC4539B22A6953859AA28AAA535B340001</t>
  </si>
  <si>
    <t>도어록 설치 / 디지탈도어록 강재창호  재료비 별도  개소     ( 호표 172 )</t>
  </si>
  <si>
    <t>호표 172</t>
  </si>
  <si>
    <t>528C322653A269D09A23593EF37FD4525EB2169A3C69E10E693C3EB327F425525A00</t>
  </si>
  <si>
    <t>528C322653A269D09A23593EF37FD4539B22A6953859AA28AAA535B340001</t>
  </si>
  <si>
    <t>도어록 설치 / 일반도어록 강재창호  재료비 별도  개소     ( 호표 173 )</t>
  </si>
  <si>
    <t>호표 173</t>
  </si>
  <si>
    <t>528C322653A269D09A22B23653B662525EB2169A3C69E10E693C3EB327F425525A00</t>
  </si>
  <si>
    <t>528C322653A269D09A22B23653B662539B22A6953859AA28AAA535B340001</t>
  </si>
  <si>
    <t>도어체크 설치  재료비 별도  개소     ( 호표 174 )</t>
  </si>
  <si>
    <t>호표 174</t>
  </si>
  <si>
    <t>528C322653A2391D39A5AC34233326525EB2169A3C69E10E693C3EB327F425525A00</t>
  </si>
  <si>
    <t>528C322653A2391D39A5AC34233326525EB2169A3C69E10E693C3EB327F425525855</t>
  </si>
  <si>
    <t>528C322653A2391D39A5AC34233326539B22A6953859AA28AAA535B340001</t>
  </si>
  <si>
    <t>강재창호 설치 / 여닫이  창호면적 m2, 1.0 ~ 3.0 이하  개소     ( 호표 175 )</t>
  </si>
  <si>
    <t>호표 175</t>
  </si>
  <si>
    <t>528C322626647931E863E53B43AA3D525EB2169A3C69E10E693C3EB327F425525A00</t>
  </si>
  <si>
    <t>528C322626647931E863E53B43AA3D525EB2169A3C69E10E693C3EB327F425525855</t>
  </si>
  <si>
    <t>528C322626647931E863E53B43AA3D539B22A6953859AA28AAA535B340001</t>
  </si>
  <si>
    <t>석고보드면 바탕만들기  줄퍼티 노무비  M2     ( 호표 176 )</t>
  </si>
  <si>
    <t>호표 176</t>
  </si>
  <si>
    <t>528C12C66955695B6090BF3A037C7E525EB2169A3C69E10E693C3EB327F425525A0D</t>
  </si>
  <si>
    <t>528C12C66955695B6090BF3A037C7E525EB2169A3C69E10E693C3EB327F425525855</t>
  </si>
  <si>
    <t>528C12C66955695B6090BF3A037C7E539B22A6953859AA28AAA535B340001</t>
  </si>
  <si>
    <t>유성페인트 붓칠  con'c·mortar면, G.B.면 1회 노무비  M2     ( 호표 177 )</t>
  </si>
  <si>
    <t>호표 177</t>
  </si>
  <si>
    <t>528C12D67C64897D08AC5F3BE30F61525EB2169A3C69E10E693C3EB327F425525A0D</t>
  </si>
  <si>
    <t>528C12D67C64897D08AC5F3BE30F61525EB2169A3C69E10E693C3EB327F425525855</t>
  </si>
  <si>
    <t>528C12D67C64897D08AC5F3BE30F61539B22A6953859AA28AAA535B340001</t>
  </si>
  <si>
    <t>콘크리트·모르타르면 바탕만들기  노무비  M2     ( 호표 178 )</t>
  </si>
  <si>
    <t>호표 178</t>
  </si>
  <si>
    <t>528C12C66955695B6091413F13A927525EB2169A3C69E10E693C3EB327F425525A0D</t>
  </si>
  <si>
    <t>528C12C66955695B6091413F13A927525EB2169A3C69E10E693C3EB327F425525855</t>
  </si>
  <si>
    <t>528C12C66955695B6091413F13A927539B22A6953859AA28AAA535B340001</t>
  </si>
  <si>
    <t>걸레받이용 페인트칠  붓칠 2회 노무비  M2     ( 호표 179 )</t>
  </si>
  <si>
    <t>호표 179</t>
  </si>
  <si>
    <t>528C12D67C49C9B77B00AE3923ECE1525EB2169A3C69E10E693C3EB327F425525A0D</t>
  </si>
  <si>
    <t>528C12D67C49C9B77B00AE3923ECE1525EB2169A3C69E10E693C3EB327F425525855</t>
  </si>
  <si>
    <t>528C12D67C49C9B77B00AE3923ECE1539B22A6953859AA28AAA535B340001</t>
  </si>
  <si>
    <t>수성페인트 롤러칠  2회 노무비  M2     ( 호표 180 )</t>
  </si>
  <si>
    <t>호표 180</t>
  </si>
  <si>
    <t>528C12D6621CC9DB8F3BF338E394E4525EB2169A3C69E10E693C3EB327F425525A0D</t>
  </si>
  <si>
    <t>528C12D6621CC9DB8F3BF338E394E4525EB2169A3C69E10E693C3EB327F425525855</t>
  </si>
  <si>
    <t>528C12D6621CC9DB8F3BF338E394E4539B22A6953859AA28AAA535B340001</t>
  </si>
  <si>
    <t>소형브레이커(전기식)  1.5kw  HR     ( 호표 181 )</t>
  </si>
  <si>
    <t>호표 181</t>
  </si>
  <si>
    <t>5598A206DDB8F9F9F7032031D3A0EA11F75B50</t>
  </si>
  <si>
    <t>5598A206DDB8F9F9F7032031D3A0EA11F75B50975598A206DDB8F9F9F7032031D3A0EA11F75B50</t>
  </si>
  <si>
    <t>단 가 대 비 표</t>
  </si>
  <si>
    <t>규격</t>
  </si>
  <si>
    <t>조달청가격</t>
  </si>
  <si>
    <t>PAGE</t>
  </si>
  <si>
    <t>거래가격</t>
  </si>
  <si>
    <t>유통물가</t>
  </si>
  <si>
    <t>조사가격1</t>
  </si>
  <si>
    <t>조사가격2</t>
  </si>
  <si>
    <t>적용단가</t>
  </si>
  <si>
    <t>품목구분</t>
  </si>
  <si>
    <t>노임구분</t>
  </si>
  <si>
    <t>소수점처리</t>
  </si>
  <si>
    <t>자재 1</t>
  </si>
  <si>
    <t>자재 2</t>
  </si>
  <si>
    <t>자재 3</t>
  </si>
  <si>
    <t>자재 4</t>
  </si>
  <si>
    <t>자재 5</t>
  </si>
  <si>
    <t>자재 6</t>
  </si>
  <si>
    <t>자재 7</t>
  </si>
  <si>
    <t>자재 8</t>
  </si>
  <si>
    <t>자재 9</t>
  </si>
  <si>
    <t>자재 10</t>
  </si>
  <si>
    <t>자재 11</t>
  </si>
  <si>
    <t>자재 12</t>
  </si>
  <si>
    <t>자재 13</t>
  </si>
  <si>
    <t>자재 14</t>
  </si>
  <si>
    <t>자재 15</t>
  </si>
  <si>
    <t>자재 16</t>
  </si>
  <si>
    <t>자재 17</t>
  </si>
  <si>
    <t>자재 18</t>
  </si>
  <si>
    <t>자재 19</t>
  </si>
  <si>
    <t>자재 20</t>
  </si>
  <si>
    <t>자재 21</t>
  </si>
  <si>
    <t>자재 22</t>
  </si>
  <si>
    <t>자재 23</t>
  </si>
  <si>
    <t>자재 24</t>
  </si>
  <si>
    <t>자재 25</t>
  </si>
  <si>
    <t>자재 26</t>
  </si>
  <si>
    <t>자재 27</t>
  </si>
  <si>
    <t>자재 28</t>
  </si>
  <si>
    <t>자재 29</t>
  </si>
  <si>
    <t>자재 30</t>
  </si>
  <si>
    <t>자재 31</t>
  </si>
  <si>
    <t>자재 32</t>
  </si>
  <si>
    <t>자재 33</t>
  </si>
  <si>
    <t>자재 34</t>
  </si>
  <si>
    <t>자재 35</t>
  </si>
  <si>
    <t>자재 36</t>
  </si>
  <si>
    <t>자재 37</t>
  </si>
  <si>
    <t>자재 38</t>
  </si>
  <si>
    <t>자재 39</t>
  </si>
  <si>
    <t>자재 40</t>
  </si>
  <si>
    <t>자재 41</t>
  </si>
  <si>
    <t>자재 42</t>
  </si>
  <si>
    <t>자재 43</t>
  </si>
  <si>
    <t>자재 44</t>
  </si>
  <si>
    <t>자재 45</t>
  </si>
  <si>
    <t>자재 46</t>
  </si>
  <si>
    <t>자재 47</t>
  </si>
  <si>
    <t>자재 48</t>
  </si>
  <si>
    <t>자재 49</t>
  </si>
  <si>
    <t>자재 50</t>
  </si>
  <si>
    <t>자재 51</t>
  </si>
  <si>
    <t>자재 52</t>
  </si>
  <si>
    <t>자재 53</t>
  </si>
  <si>
    <t>자재 54</t>
  </si>
  <si>
    <t>자재 55</t>
  </si>
  <si>
    <t>자재 56</t>
  </si>
  <si>
    <t>자재 57</t>
  </si>
  <si>
    <t>자재 58</t>
  </si>
  <si>
    <t>자재 59</t>
  </si>
  <si>
    <t>자재 60</t>
  </si>
  <si>
    <t>자재 61</t>
  </si>
  <si>
    <t>자재 62</t>
  </si>
  <si>
    <t>자재 63</t>
  </si>
  <si>
    <t>자재 64</t>
  </si>
  <si>
    <t>자재 65</t>
  </si>
  <si>
    <t>자재 66</t>
  </si>
  <si>
    <t>자재 67</t>
  </si>
  <si>
    <t>자재 68</t>
  </si>
  <si>
    <t>자재 69</t>
  </si>
  <si>
    <t>자재 70</t>
  </si>
  <si>
    <t>자재 71</t>
  </si>
  <si>
    <t>자재 72</t>
  </si>
  <si>
    <t>자재 73</t>
  </si>
  <si>
    <t>자재 74</t>
  </si>
  <si>
    <t>자재 75</t>
  </si>
  <si>
    <t>자재 76</t>
  </si>
  <si>
    <t>자재 77</t>
  </si>
  <si>
    <t>자재 78</t>
  </si>
  <si>
    <t>자재 79</t>
  </si>
  <si>
    <t>자재 80</t>
  </si>
  <si>
    <t>자재 81</t>
  </si>
  <si>
    <t>자재 82</t>
  </si>
  <si>
    <t>자재 83</t>
  </si>
  <si>
    <t>자재 84</t>
  </si>
  <si>
    <t>자재 85</t>
  </si>
  <si>
    <t>자재 86</t>
  </si>
  <si>
    <t>자재 87</t>
  </si>
  <si>
    <t>자재 88</t>
  </si>
  <si>
    <t>자재 89</t>
  </si>
  <si>
    <t>자재 90</t>
  </si>
  <si>
    <t>자재 91</t>
  </si>
  <si>
    <t>자재 92</t>
  </si>
  <si>
    <t>자재 93</t>
  </si>
  <si>
    <t>자재 94</t>
  </si>
  <si>
    <t>자재 95</t>
  </si>
  <si>
    <t>자재 96</t>
  </si>
  <si>
    <t>자재 97</t>
  </si>
  <si>
    <t>자재 98</t>
  </si>
  <si>
    <t>자재 99</t>
  </si>
  <si>
    <t>자재 100</t>
  </si>
  <si>
    <t>자재 101</t>
  </si>
  <si>
    <t>자재 102</t>
  </si>
  <si>
    <t>자재 103</t>
  </si>
  <si>
    <t>자재 104</t>
  </si>
  <si>
    <t>자재 105</t>
  </si>
  <si>
    <t>자재 106</t>
  </si>
  <si>
    <t>자재 107</t>
  </si>
  <si>
    <t>자재 108</t>
  </si>
  <si>
    <t>자재 109</t>
  </si>
  <si>
    <t>자재 110</t>
  </si>
  <si>
    <t>자재 111</t>
  </si>
  <si>
    <t>자재 112</t>
  </si>
  <si>
    <t>자재 113</t>
  </si>
  <si>
    <t>자재 114</t>
  </si>
  <si>
    <t>자재 115</t>
  </si>
  <si>
    <t>자재 116</t>
  </si>
  <si>
    <t>자재 117</t>
  </si>
  <si>
    <t>자재 118</t>
  </si>
  <si>
    <t>자재 119</t>
  </si>
  <si>
    <t>자재 120</t>
  </si>
  <si>
    <t>자재 121</t>
  </si>
  <si>
    <t>자재 122</t>
  </si>
  <si>
    <t>자재 123</t>
  </si>
  <si>
    <t>자재 124</t>
  </si>
  <si>
    <t>자재 125</t>
  </si>
  <si>
    <t>자재 126</t>
  </si>
  <si>
    <t>자재 127</t>
  </si>
  <si>
    <t>자재 128</t>
  </si>
  <si>
    <t>자재 129</t>
  </si>
  <si>
    <t>자재 130</t>
  </si>
  <si>
    <t>자재 131</t>
  </si>
  <si>
    <t>자재 132</t>
  </si>
  <si>
    <t>자재 133</t>
  </si>
  <si>
    <t>자재 134</t>
  </si>
  <si>
    <t>자재 135</t>
  </si>
  <si>
    <t>자재 136</t>
  </si>
  <si>
    <t>자재 137</t>
  </si>
  <si>
    <t>자재 138</t>
  </si>
  <si>
    <t>자재 139</t>
  </si>
  <si>
    <t>자재 140</t>
  </si>
  <si>
    <t>자재 141</t>
  </si>
  <si>
    <t>자재 142</t>
  </si>
  <si>
    <t>자재 143</t>
  </si>
  <si>
    <t>자재 144</t>
  </si>
  <si>
    <t>자재 145</t>
  </si>
  <si>
    <t>자재 146</t>
  </si>
  <si>
    <t>자재 147</t>
  </si>
  <si>
    <t>자재 148</t>
  </si>
  <si>
    <t>자재 149</t>
  </si>
  <si>
    <t>자재 150</t>
  </si>
  <si>
    <t>자재 151</t>
  </si>
  <si>
    <t>자재 152</t>
  </si>
  <si>
    <t>자재 153</t>
  </si>
  <si>
    <t>자재 154</t>
  </si>
  <si>
    <t>자재 155</t>
  </si>
  <si>
    <t>자재 156</t>
  </si>
  <si>
    <t>자재 157</t>
  </si>
  <si>
    <t>자재 158</t>
  </si>
  <si>
    <t>자재 159</t>
  </si>
  <si>
    <t>자재 160</t>
  </si>
  <si>
    <t>자재 161</t>
  </si>
  <si>
    <t>자재 162</t>
  </si>
  <si>
    <t>자재 163</t>
  </si>
  <si>
    <t>자재 164</t>
  </si>
  <si>
    <t>자재 165</t>
  </si>
  <si>
    <t>자재 166</t>
  </si>
  <si>
    <t>자재 167</t>
  </si>
  <si>
    <t>자재 168</t>
  </si>
  <si>
    <t>자재 169</t>
  </si>
  <si>
    <t>자재 170</t>
  </si>
  <si>
    <t>자재 171</t>
  </si>
  <si>
    <t>자재 172</t>
  </si>
  <si>
    <t>C</t>
  </si>
  <si>
    <t>자재 173</t>
  </si>
  <si>
    <t>자재 174</t>
  </si>
  <si>
    <t>자재 175</t>
  </si>
  <si>
    <t>노임 1</t>
  </si>
  <si>
    <t>B</t>
  </si>
  <si>
    <t>노임 2</t>
  </si>
  <si>
    <t>노임 3</t>
  </si>
  <si>
    <t>노임 4</t>
  </si>
  <si>
    <t>노임 5</t>
  </si>
  <si>
    <t>노임 6</t>
  </si>
  <si>
    <t>노임 7</t>
  </si>
  <si>
    <t>노임 8</t>
  </si>
  <si>
    <t>노임 9</t>
  </si>
  <si>
    <t>노임 10</t>
  </si>
  <si>
    <t>노임 11</t>
  </si>
  <si>
    <t>노임 12</t>
  </si>
  <si>
    <t>노임 13</t>
  </si>
  <si>
    <t>노임 14</t>
  </si>
  <si>
    <t>노임 15</t>
  </si>
  <si>
    <t>노임 16</t>
  </si>
  <si>
    <t>노임 17</t>
  </si>
  <si>
    <t>노임 18</t>
  </si>
  <si>
    <t>노임 19</t>
  </si>
  <si>
    <t>노임 20</t>
  </si>
  <si>
    <t>노임 21</t>
  </si>
  <si>
    <t>노임 22</t>
  </si>
  <si>
    <t>노임 23</t>
  </si>
  <si>
    <t>노임 24</t>
  </si>
  <si>
    <t>노임 25</t>
  </si>
  <si>
    <t>노임 26</t>
  </si>
  <si>
    <t>노임 27</t>
  </si>
  <si>
    <t>노임 28</t>
  </si>
  <si>
    <t>노임 29</t>
  </si>
  <si>
    <t>노임 30</t>
  </si>
  <si>
    <t>노임 31</t>
  </si>
  <si>
    <t>노임 32</t>
  </si>
  <si>
    <t>공 사 원 가 계 산 서</t>
  </si>
  <si>
    <t>공사명 : 부산역 4층(부고열소) 내부개수 기타공사(총체)</t>
  </si>
  <si>
    <t>비        목</t>
  </si>
  <si>
    <t>금      액</t>
  </si>
  <si>
    <t>구        성        비</t>
  </si>
  <si>
    <t>순   공   사   원   가</t>
  </si>
  <si>
    <t>재   료   비</t>
  </si>
  <si>
    <t>노   무   비</t>
  </si>
  <si>
    <t>경        비</t>
  </si>
  <si>
    <t>A1</t>
  </si>
  <si>
    <t>직  접  재  료  비</t>
  </si>
  <si>
    <t>A2</t>
  </si>
  <si>
    <t>간  접  재  료  비</t>
  </si>
  <si>
    <t>A3</t>
  </si>
  <si>
    <t>작 업 부 산 물</t>
  </si>
  <si>
    <t>AS</t>
  </si>
  <si>
    <t>[ 소          계 ]</t>
  </si>
  <si>
    <t>B1</t>
  </si>
  <si>
    <t>직  접  노  무  비</t>
  </si>
  <si>
    <t>B2</t>
  </si>
  <si>
    <t>간  접  노  무  비</t>
  </si>
  <si>
    <t>직접노무비 * 12.2%</t>
  </si>
  <si>
    <t>BS</t>
  </si>
  <si>
    <t>C2</t>
  </si>
  <si>
    <t>경              비</t>
  </si>
  <si>
    <t>C4</t>
  </si>
  <si>
    <t>산  재  보  험  료</t>
  </si>
  <si>
    <t>노무비 * 3.7%</t>
  </si>
  <si>
    <t>C5</t>
  </si>
  <si>
    <t>고  용  보  험  료</t>
  </si>
  <si>
    <t>노무비 * 1.01%</t>
  </si>
  <si>
    <t>C6</t>
  </si>
  <si>
    <t>국민  건강  보험료</t>
  </si>
  <si>
    <t>직접노무비 * 3.545%</t>
  </si>
  <si>
    <t>C7</t>
  </si>
  <si>
    <t>국민  연금  보험료</t>
  </si>
  <si>
    <t>직접노무비 * 4.5%</t>
  </si>
  <si>
    <t>C8</t>
  </si>
  <si>
    <t>퇴직  공제  부금비</t>
  </si>
  <si>
    <t>직접노무비 * 2.3%</t>
  </si>
  <si>
    <t>CA</t>
  </si>
  <si>
    <t>산업안전보건관리비</t>
  </si>
  <si>
    <t>(재료비+직노+관급자재비) * 1.86%</t>
  </si>
  <si>
    <t>CB</t>
  </si>
  <si>
    <t>노인장기요양보험료</t>
  </si>
  <si>
    <t>건강보험료 * 12.81%</t>
  </si>
  <si>
    <t>CG</t>
  </si>
  <si>
    <t>기   타    경   비</t>
  </si>
  <si>
    <t>(재료비+노무비) * 5.8%</t>
  </si>
  <si>
    <t>CH</t>
  </si>
  <si>
    <t>환  경  보  전  비</t>
  </si>
  <si>
    <t>(재료비+직노+경비) * 0.3%</t>
  </si>
  <si>
    <t>CK</t>
  </si>
  <si>
    <t>하도급지급보증수수료</t>
  </si>
  <si>
    <t>(재료비+직노+경비) * 0.081%</t>
  </si>
  <si>
    <t>최저가대상공사</t>
  </si>
  <si>
    <t>CL</t>
  </si>
  <si>
    <t>건설기계대여금지급보증서발급수수료</t>
  </si>
  <si>
    <t>(재료비+직노+경비) * 0.07%</t>
  </si>
  <si>
    <t>CS</t>
  </si>
  <si>
    <t>S1</t>
  </si>
  <si>
    <t xml:space="preserve">        계</t>
  </si>
  <si>
    <t>D1</t>
  </si>
  <si>
    <t>일  반  관  리  비</t>
  </si>
  <si>
    <t>계 * 5.5%</t>
  </si>
  <si>
    <t>D2</t>
  </si>
  <si>
    <t>이              윤</t>
  </si>
  <si>
    <t>(노무비+경비+일반관리비) * 15%</t>
  </si>
  <si>
    <t>D3</t>
  </si>
  <si>
    <t>사 급 자 재 비</t>
  </si>
  <si>
    <t>D4</t>
  </si>
  <si>
    <t>폐기물처리비</t>
  </si>
  <si>
    <t>D9</t>
  </si>
  <si>
    <t>공   급    가   액</t>
  </si>
  <si>
    <t>DB</t>
  </si>
  <si>
    <t>부  가  가  치  세</t>
  </si>
  <si>
    <t>공급가액 * 10%</t>
  </si>
  <si>
    <t>DH</t>
  </si>
  <si>
    <t>도      급      액</t>
  </si>
  <si>
    <t>S2</t>
  </si>
  <si>
    <t>총   공   사    비</t>
  </si>
  <si>
    <t>이 Sheet는 수정하지 마십시요</t>
  </si>
  <si>
    <t>공사구분</t>
  </si>
  <si>
    <t>타이틀</t>
  </si>
  <si>
    <t>확정내역</t>
  </si>
  <si>
    <t>원내역</t>
  </si>
  <si>
    <t>자재단가적용</t>
  </si>
  <si>
    <t>경비단가적용</t>
  </si>
  <si>
    <t>품목코드형식</t>
  </si>
  <si>
    <t>XXXX-XXXXXXXXXXXXX</t>
  </si>
  <si>
    <t>내역금액소수점처리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</si>
  <si>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</si>
  <si>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</si>
  <si>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</si>
  <si>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</si>
  <si>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</si>
  <si>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</si>
  <si>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</si>
  <si>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</si>
  <si>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</si>
  <si>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</si>
  <si>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</si>
  <si>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</si>
  <si>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</si>
  <si>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</si>
  <si>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</si>
  <si>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</si>
  <si>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코드</t>
  </si>
  <si>
    <t>공종구분명</t>
  </si>
  <si>
    <t>원가비목코드</t>
  </si>
  <si>
    <t>운    반    비</t>
  </si>
  <si>
    <t>C1</t>
  </si>
  <si>
    <t>관 급 자 재 비</t>
  </si>
  <si>
    <t>DJ</t>
  </si>
  <si>
    <t>외    자    재</t>
  </si>
  <si>
    <t>...</t>
  </si>
  <si>
    <t>총체 금액</t>
    <phoneticPr fontId="1" type="noConversion"/>
  </si>
  <si>
    <t>1차 금액</t>
    <phoneticPr fontId="1" type="noConversion"/>
  </si>
  <si>
    <t>2차 금액</t>
    <phoneticPr fontId="1" type="noConversion"/>
  </si>
  <si>
    <t>공사명 : 부산역 4층(부고열소) 내부개수 기타공사(1차)</t>
  </si>
  <si>
    <t>금액 : 오억오천일백육십오만원(￦551,650,000)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</si>
</sst>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#"/>
    <numFmt numFmtId="177" formatCode="#,###;\-#,###;#;"/>
    <numFmt numFmtId="178" formatCode="#,##0.00#"/>
    <numFmt numFmtId="179" formatCode="#,##0.0"/>
    <numFmt numFmtId="180" formatCode="#,##0.00#;\-#,##0.00#;#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돋움체"/>
      <family val="3"/>
      <charset val="129"/>
    </font>
    <font>
      <b/>
      <u/>
      <sz val="16"/>
      <color theme="1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>
      <alignment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177" fontId="5" fillId="0" borderId="1" xfId="0" applyNumberFormat="1" applyFont="1" applyBorder="1" applyAlignment="1">
      <alignment vertical="center" wrapText="1"/>
    </xf>
    <xf numFmtId="0" fontId="0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8" fontId="5" fillId="0" borderId="1" xfId="0" applyNumberFormat="1" applyFont="1" applyBorder="1" applyAlignment="1">
      <alignment vertical="center" wrapText="1"/>
    </xf>
    <xf numFmtId="179" fontId="5" fillId="0" borderId="1" xfId="0" applyNumberFormat="1" applyFont="1" applyBorder="1" applyAlignment="1">
      <alignment vertical="center" wrapText="1"/>
    </xf>
    <xf numFmtId="0" fontId="6" fillId="0" borderId="0" xfId="0" quotePrefix="1" applyFont="1" applyAlignment="1">
      <alignment vertical="center"/>
    </xf>
    <xf numFmtId="180" fontId="5" fillId="0" borderId="1" xfId="0" quotePrefix="1" applyNumberFormat="1" applyFont="1" applyBorder="1" applyAlignment="1">
      <alignment vertical="center" wrapText="1"/>
    </xf>
    <xf numFmtId="180" fontId="5" fillId="0" borderId="1" xfId="0" applyNumberFormat="1" applyFont="1" applyBorder="1" applyAlignment="1">
      <alignment vertical="center" wrapText="1"/>
    </xf>
    <xf numFmtId="180" fontId="0" fillId="0" borderId="0" xfId="0" applyNumberFormat="1" applyAlignment="1">
      <alignment vertical="center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quotePrefix="1" applyFont="1" applyBorder="1" applyAlignment="1">
      <alignment vertical="center" wrapText="1"/>
    </xf>
    <xf numFmtId="0" fontId="0" fillId="0" borderId="1" xfId="0" quotePrefix="1" applyFont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176" fontId="0" fillId="2" borderId="1" xfId="0" applyNumberFormat="1" applyFont="1" applyFill="1" applyBorder="1" applyAlignment="1">
      <alignment vertical="center" wrapText="1"/>
    </xf>
    <xf numFmtId="176" fontId="0" fillId="3" borderId="1" xfId="0" applyNumberFormat="1" applyFont="1" applyFill="1" applyBorder="1" applyAlignment="1">
      <alignment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vertical="center" wrapText="1"/>
    </xf>
    <xf numFmtId="0" fontId="0" fillId="0" borderId="1" xfId="0" quotePrefix="1" applyFont="1" applyBorder="1" applyAlignment="1">
      <alignment vertical="center" wrapText="1"/>
    </xf>
    <xf numFmtId="0" fontId="0" fillId="0" borderId="1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distributed" vertical="center" wrapText="1"/>
    </xf>
    <xf numFmtId="0" fontId="2" fillId="0" borderId="0" xfId="0" quotePrefix="1" applyFont="1" applyAlignment="1">
      <alignment horizontal="center" vertical="center"/>
    </xf>
    <xf numFmtId="0" fontId="0" fillId="0" borderId="0" xfId="0" quotePrefix="1" applyFont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>
      <alignment vertical="center"/>
    </xf>
    <xf numFmtId="0" fontId="5" fillId="0" borderId="1" xfId="0" applyFont="1" applyBorder="1" applyAlignment="1">
      <alignment vertical="center" wrapText="1"/>
    </xf>
    <xf numFmtId="178" fontId="5" fillId="0" borderId="1" xfId="0" applyNumberFormat="1" applyFont="1" applyBorder="1" applyAlignment="1">
      <alignment vertical="center" wrapText="1"/>
    </xf>
    <xf numFmtId="179" fontId="5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tabSelected="1" view="pageBreakPreview" topLeftCell="B1" zoomScaleNormal="100" zoomScaleSheetLayoutView="100" workbookViewId="0">
      <selection activeCell="F10" sqref="F10"/>
    </sheetView>
  </sheetViews>
  <sheetFormatPr defaultRowHeight="16.5" x14ac:dyDescent="0.3"/>
  <cols>
    <col min="1" max="1" width="0" hidden="1" customWidth="1"/>
    <col min="2" max="3" width="4.625" customWidth="1"/>
    <col min="4" max="4" width="40.75" customWidth="1"/>
    <col min="5" max="7" width="20.625" customWidth="1"/>
    <col min="8" max="8" width="38.875" customWidth="1"/>
    <col min="9" max="9" width="25.125" customWidth="1"/>
  </cols>
  <sheetData>
    <row r="1" spans="1:9" ht="24" customHeight="1" x14ac:dyDescent="0.3">
      <c r="B1" s="34" t="s">
        <v>2550</v>
      </c>
      <c r="C1" s="34"/>
      <c r="D1" s="34"/>
      <c r="E1" s="34"/>
      <c r="F1" s="34"/>
      <c r="G1" s="34"/>
      <c r="H1" s="34"/>
      <c r="I1" s="34"/>
    </row>
    <row r="2" spans="1:9" ht="21.95" customHeight="1" x14ac:dyDescent="0.3">
      <c r="B2" s="35" t="s">
        <v>2551</v>
      </c>
      <c r="C2" s="35"/>
      <c r="D2" s="35"/>
      <c r="E2" s="35"/>
      <c r="F2" s="17"/>
      <c r="G2" s="17"/>
      <c r="H2" s="36"/>
      <c r="I2" s="36"/>
    </row>
    <row r="3" spans="1:9" ht="21.95" customHeight="1" x14ac:dyDescent="0.3">
      <c r="B3" s="37" t="s">
        <v>2552</v>
      </c>
      <c r="C3" s="37"/>
      <c r="D3" s="37"/>
      <c r="E3" s="26" t="s">
        <v>2666</v>
      </c>
      <c r="F3" s="30" t="s">
        <v>2667</v>
      </c>
      <c r="G3" s="27" t="s">
        <v>2668</v>
      </c>
      <c r="H3" s="21" t="s">
        <v>2554</v>
      </c>
      <c r="I3" s="21" t="s">
        <v>782</v>
      </c>
    </row>
    <row r="4" spans="1:9" ht="21.95" customHeight="1" x14ac:dyDescent="0.3">
      <c r="A4" s="4" t="s">
        <v>2559</v>
      </c>
      <c r="B4" s="38" t="s">
        <v>2555</v>
      </c>
      <c r="C4" s="38" t="s">
        <v>2556</v>
      </c>
      <c r="D4" s="24" t="s">
        <v>2560</v>
      </c>
      <c r="E4" s="28">
        <f>'원가계산서(총체)'!E4</f>
        <v>0</v>
      </c>
      <c r="F4" s="31">
        <f>'원가계산서(1차)'!E4</f>
        <v>0</v>
      </c>
      <c r="G4" s="29">
        <f>E4-F4</f>
        <v>0</v>
      </c>
      <c r="H4" s="22" t="s">
        <v>52</v>
      </c>
      <c r="I4" s="22" t="s">
        <v>52</v>
      </c>
    </row>
    <row r="5" spans="1:9" ht="21.95" customHeight="1" x14ac:dyDescent="0.3">
      <c r="A5" s="4" t="s">
        <v>2561</v>
      </c>
      <c r="B5" s="38"/>
      <c r="C5" s="38"/>
      <c r="D5" s="24" t="s">
        <v>2562</v>
      </c>
      <c r="E5" s="28">
        <v>0</v>
      </c>
      <c r="F5" s="31">
        <v>0</v>
      </c>
      <c r="G5" s="29">
        <f t="shared" ref="G5:G32" si="0">E5-F5</f>
        <v>0</v>
      </c>
      <c r="H5" s="22" t="s">
        <v>52</v>
      </c>
      <c r="I5" s="22" t="s">
        <v>52</v>
      </c>
    </row>
    <row r="6" spans="1:9" ht="21.95" customHeight="1" x14ac:dyDescent="0.3">
      <c r="A6" s="4" t="s">
        <v>2563</v>
      </c>
      <c r="B6" s="38"/>
      <c r="C6" s="38"/>
      <c r="D6" s="24" t="s">
        <v>2564</v>
      </c>
      <c r="E6" s="28">
        <f>'원가계산서(총체)'!E6</f>
        <v>0</v>
      </c>
      <c r="F6" s="31">
        <f>'원가계산서(1차)'!E6</f>
        <v>0</v>
      </c>
      <c r="G6" s="29">
        <f t="shared" si="0"/>
        <v>0</v>
      </c>
      <c r="H6" s="22" t="s">
        <v>52</v>
      </c>
      <c r="I6" s="22" t="s">
        <v>52</v>
      </c>
    </row>
    <row r="7" spans="1:9" ht="21.95" customHeight="1" x14ac:dyDescent="0.3">
      <c r="A7" s="4" t="s">
        <v>2565</v>
      </c>
      <c r="B7" s="38"/>
      <c r="C7" s="38"/>
      <c r="D7" s="24" t="s">
        <v>2566</v>
      </c>
      <c r="E7" s="28">
        <f>TRUNC(E4+E5-E6, 0)</f>
        <v>0</v>
      </c>
      <c r="F7" s="31">
        <f>TRUNC(F4+F5-F6, 0)</f>
        <v>0</v>
      </c>
      <c r="G7" s="29">
        <f t="shared" si="0"/>
        <v>0</v>
      </c>
      <c r="H7" s="22" t="s">
        <v>52</v>
      </c>
      <c r="I7" s="22" t="s">
        <v>52</v>
      </c>
    </row>
    <row r="8" spans="1:9" ht="21.95" customHeight="1" x14ac:dyDescent="0.3">
      <c r="A8" s="4" t="s">
        <v>2567</v>
      </c>
      <c r="B8" s="38"/>
      <c r="C8" s="38" t="s">
        <v>2557</v>
      </c>
      <c r="D8" s="24" t="s">
        <v>2568</v>
      </c>
      <c r="E8" s="28">
        <f>'원가계산서(총체)'!E8</f>
        <v>0</v>
      </c>
      <c r="F8" s="31">
        <f>'원가계산서(1차)'!E8</f>
        <v>0</v>
      </c>
      <c r="G8" s="29">
        <f t="shared" si="0"/>
        <v>0</v>
      </c>
      <c r="H8" s="22" t="s">
        <v>52</v>
      </c>
      <c r="I8" s="22" t="s">
        <v>52</v>
      </c>
    </row>
    <row r="9" spans="1:9" ht="21.95" customHeight="1" x14ac:dyDescent="0.3">
      <c r="A9" s="4" t="s">
        <v>2569</v>
      </c>
      <c r="B9" s="38"/>
      <c r="C9" s="38"/>
      <c r="D9" s="24" t="s">
        <v>2570</v>
      </c>
      <c r="E9" s="28">
        <f>TRUNC(E8*0.122, 0)</f>
        <v>0</v>
      </c>
      <c r="F9" s="31">
        <f>TRUNC(F8*0.122, 0)</f>
        <v>0</v>
      </c>
      <c r="G9" s="29">
        <f t="shared" si="0"/>
        <v>0</v>
      </c>
      <c r="H9" s="22" t="s">
        <v>2571</v>
      </c>
      <c r="I9" s="22" t="s">
        <v>52</v>
      </c>
    </row>
    <row r="10" spans="1:9" ht="21.95" customHeight="1" x14ac:dyDescent="0.3">
      <c r="A10" s="4" t="s">
        <v>2572</v>
      </c>
      <c r="B10" s="38"/>
      <c r="C10" s="38"/>
      <c r="D10" s="24" t="s">
        <v>2566</v>
      </c>
      <c r="E10" s="28">
        <f>TRUNC(E8+E9, 0)</f>
        <v>0</v>
      </c>
      <c r="F10" s="31">
        <f>TRUNC(F8+F9, 0)</f>
        <v>0</v>
      </c>
      <c r="G10" s="29">
        <f t="shared" si="0"/>
        <v>0</v>
      </c>
      <c r="H10" s="22" t="s">
        <v>52</v>
      </c>
      <c r="I10" s="22" t="s">
        <v>52</v>
      </c>
    </row>
    <row r="11" spans="1:9" ht="21.95" customHeight="1" x14ac:dyDescent="0.3">
      <c r="A11" s="4" t="s">
        <v>2573</v>
      </c>
      <c r="B11" s="38"/>
      <c r="C11" s="38" t="s">
        <v>2558</v>
      </c>
      <c r="D11" s="24" t="s">
        <v>2574</v>
      </c>
      <c r="E11" s="28">
        <f>'원가계산서(총체)'!E11</f>
        <v>0</v>
      </c>
      <c r="F11" s="31">
        <f>'원가계산서(1차)'!E11</f>
        <v>0</v>
      </c>
      <c r="G11" s="29">
        <f t="shared" si="0"/>
        <v>0</v>
      </c>
      <c r="H11" s="22" t="s">
        <v>52</v>
      </c>
      <c r="I11" s="22" t="s">
        <v>52</v>
      </c>
    </row>
    <row r="12" spans="1:9" ht="21.95" customHeight="1" x14ac:dyDescent="0.3">
      <c r="A12" s="4" t="s">
        <v>2575</v>
      </c>
      <c r="B12" s="38"/>
      <c r="C12" s="38"/>
      <c r="D12" s="24" t="s">
        <v>2576</v>
      </c>
      <c r="E12" s="28">
        <f>TRUNC(E10*0.037, 0)</f>
        <v>0</v>
      </c>
      <c r="F12" s="31">
        <f>TRUNC(F10*0.037, 0)</f>
        <v>0</v>
      </c>
      <c r="G12" s="29">
        <f t="shared" si="0"/>
        <v>0</v>
      </c>
      <c r="H12" s="22" t="s">
        <v>2577</v>
      </c>
      <c r="I12" s="22" t="s">
        <v>52</v>
      </c>
    </row>
    <row r="13" spans="1:9" ht="21.95" customHeight="1" x14ac:dyDescent="0.3">
      <c r="A13" s="4" t="s">
        <v>2578</v>
      </c>
      <c r="B13" s="38"/>
      <c r="C13" s="38"/>
      <c r="D13" s="24" t="s">
        <v>2579</v>
      </c>
      <c r="E13" s="28">
        <f>TRUNC(E10*0.0101, 0)</f>
        <v>0</v>
      </c>
      <c r="F13" s="31">
        <f>TRUNC(F10*0.0101, 0)</f>
        <v>0</v>
      </c>
      <c r="G13" s="29">
        <f t="shared" si="0"/>
        <v>0</v>
      </c>
      <c r="H13" s="22" t="s">
        <v>2580</v>
      </c>
      <c r="I13" s="22" t="s">
        <v>52</v>
      </c>
    </row>
    <row r="14" spans="1:9" ht="21.95" customHeight="1" x14ac:dyDescent="0.3">
      <c r="A14" s="4" t="s">
        <v>2581</v>
      </c>
      <c r="B14" s="38"/>
      <c r="C14" s="38"/>
      <c r="D14" s="24" t="s">
        <v>2582</v>
      </c>
      <c r="E14" s="28">
        <f>TRUNC(E8*0.03545, 0)</f>
        <v>0</v>
      </c>
      <c r="F14" s="31">
        <f>TRUNC(F8*0.03545, 0)</f>
        <v>0</v>
      </c>
      <c r="G14" s="29">
        <f t="shared" si="0"/>
        <v>0</v>
      </c>
      <c r="H14" s="22" t="s">
        <v>2583</v>
      </c>
      <c r="I14" s="22" t="s">
        <v>52</v>
      </c>
    </row>
    <row r="15" spans="1:9" ht="21.95" customHeight="1" x14ac:dyDescent="0.3">
      <c r="A15" s="4" t="s">
        <v>2584</v>
      </c>
      <c r="B15" s="38"/>
      <c r="C15" s="38"/>
      <c r="D15" s="24" t="s">
        <v>2585</v>
      </c>
      <c r="E15" s="28"/>
      <c r="F15" s="31"/>
      <c r="G15" s="29"/>
      <c r="H15" s="22" t="s">
        <v>2586</v>
      </c>
      <c r="I15" s="22" t="s">
        <v>52</v>
      </c>
    </row>
    <row r="16" spans="1:9" ht="21.95" customHeight="1" x14ac:dyDescent="0.3">
      <c r="A16" s="4" t="s">
        <v>2587</v>
      </c>
      <c r="B16" s="38"/>
      <c r="C16" s="38"/>
      <c r="D16" s="24" t="s">
        <v>2588</v>
      </c>
      <c r="E16" s="28"/>
      <c r="F16" s="31"/>
      <c r="G16" s="29"/>
      <c r="H16" s="22" t="s">
        <v>2589</v>
      </c>
      <c r="I16" s="22" t="s">
        <v>52</v>
      </c>
    </row>
    <row r="17" spans="1:9" ht="21.95" customHeight="1" x14ac:dyDescent="0.3">
      <c r="A17" s="4" t="s">
        <v>2590</v>
      </c>
      <c r="B17" s="38"/>
      <c r="C17" s="38"/>
      <c r="D17" s="24" t="s">
        <v>2591</v>
      </c>
      <c r="E17" s="28"/>
      <c r="F17" s="31"/>
      <c r="G17" s="29"/>
      <c r="H17" s="22" t="s">
        <v>2592</v>
      </c>
      <c r="I17" s="22" t="s">
        <v>52</v>
      </c>
    </row>
    <row r="18" spans="1:9" ht="21.95" customHeight="1" x14ac:dyDescent="0.3">
      <c r="A18" s="4" t="s">
        <v>2593</v>
      </c>
      <c r="B18" s="38"/>
      <c r="C18" s="38"/>
      <c r="D18" s="24" t="s">
        <v>2594</v>
      </c>
      <c r="E18" s="28"/>
      <c r="F18" s="31"/>
      <c r="G18" s="29"/>
      <c r="H18" s="22" t="s">
        <v>2595</v>
      </c>
      <c r="I18" s="22" t="s">
        <v>52</v>
      </c>
    </row>
    <row r="19" spans="1:9" ht="21.95" customHeight="1" x14ac:dyDescent="0.3">
      <c r="A19" s="4" t="s">
        <v>2596</v>
      </c>
      <c r="B19" s="38"/>
      <c r="C19" s="38"/>
      <c r="D19" s="24" t="s">
        <v>2597</v>
      </c>
      <c r="E19" s="28"/>
      <c r="F19" s="31"/>
      <c r="G19" s="29"/>
      <c r="H19" s="22" t="s">
        <v>2598</v>
      </c>
      <c r="I19" s="22" t="s">
        <v>52</v>
      </c>
    </row>
    <row r="20" spans="1:9" ht="21.95" customHeight="1" x14ac:dyDescent="0.3">
      <c r="A20" s="4" t="s">
        <v>2599</v>
      </c>
      <c r="B20" s="38"/>
      <c r="C20" s="38"/>
      <c r="D20" s="24" t="s">
        <v>2600</v>
      </c>
      <c r="E20" s="28"/>
      <c r="F20" s="31"/>
      <c r="G20" s="29"/>
      <c r="H20" s="22" t="s">
        <v>2601</v>
      </c>
      <c r="I20" s="22" t="s">
        <v>52</v>
      </c>
    </row>
    <row r="21" spans="1:9" ht="21.95" customHeight="1" x14ac:dyDescent="0.3">
      <c r="A21" s="4" t="s">
        <v>2602</v>
      </c>
      <c r="B21" s="38"/>
      <c r="C21" s="38"/>
      <c r="D21" s="24" t="s">
        <v>2603</v>
      </c>
      <c r="E21" s="28"/>
      <c r="F21" s="31"/>
      <c r="G21" s="29"/>
      <c r="H21" s="22" t="s">
        <v>2604</v>
      </c>
      <c r="I21" s="22" t="s">
        <v>2605</v>
      </c>
    </row>
    <row r="22" spans="1:9" ht="21.95" customHeight="1" x14ac:dyDescent="0.3">
      <c r="A22" s="4" t="s">
        <v>2606</v>
      </c>
      <c r="B22" s="38"/>
      <c r="C22" s="38"/>
      <c r="D22" s="24" t="s">
        <v>2607</v>
      </c>
      <c r="E22" s="28"/>
      <c r="F22" s="31"/>
      <c r="G22" s="29"/>
      <c r="H22" s="22" t="s">
        <v>2608</v>
      </c>
      <c r="I22" s="22" t="s">
        <v>52</v>
      </c>
    </row>
    <row r="23" spans="1:9" ht="21.95" customHeight="1" x14ac:dyDescent="0.3">
      <c r="A23" s="4" t="s">
        <v>2609</v>
      </c>
      <c r="B23" s="38"/>
      <c r="C23" s="38"/>
      <c r="D23" s="24" t="s">
        <v>2566</v>
      </c>
      <c r="E23" s="28"/>
      <c r="F23" s="31"/>
      <c r="G23" s="29"/>
      <c r="H23" s="22" t="s">
        <v>52</v>
      </c>
      <c r="I23" s="22" t="s">
        <v>52</v>
      </c>
    </row>
    <row r="24" spans="1:9" ht="21.95" customHeight="1" x14ac:dyDescent="0.3">
      <c r="A24" s="4" t="s">
        <v>2610</v>
      </c>
      <c r="B24" s="32" t="s">
        <v>2611</v>
      </c>
      <c r="C24" s="32"/>
      <c r="D24" s="33"/>
      <c r="E24" s="28"/>
      <c r="F24" s="31"/>
      <c r="G24" s="29"/>
      <c r="H24" s="22" t="s">
        <v>52</v>
      </c>
      <c r="I24" s="22" t="s">
        <v>52</v>
      </c>
    </row>
    <row r="25" spans="1:9" ht="21.95" customHeight="1" x14ac:dyDescent="0.3">
      <c r="A25" s="4" t="s">
        <v>2612</v>
      </c>
      <c r="B25" s="32" t="s">
        <v>2613</v>
      </c>
      <c r="C25" s="32"/>
      <c r="D25" s="33"/>
      <c r="E25" s="28"/>
      <c r="F25" s="31"/>
      <c r="G25" s="29"/>
      <c r="H25" s="22" t="s">
        <v>2614</v>
      </c>
      <c r="I25" s="22" t="s">
        <v>52</v>
      </c>
    </row>
    <row r="26" spans="1:9" ht="21.95" customHeight="1" x14ac:dyDescent="0.3">
      <c r="A26" s="4" t="s">
        <v>2615</v>
      </c>
      <c r="B26" s="32" t="s">
        <v>2616</v>
      </c>
      <c r="C26" s="32"/>
      <c r="D26" s="33"/>
      <c r="E26" s="28"/>
      <c r="F26" s="31"/>
      <c r="G26" s="29"/>
      <c r="H26" s="22" t="s">
        <v>2617</v>
      </c>
      <c r="I26" s="22" t="s">
        <v>52</v>
      </c>
    </row>
    <row r="27" spans="1:9" ht="21.95" customHeight="1" x14ac:dyDescent="0.3">
      <c r="A27" s="4" t="s">
        <v>2618</v>
      </c>
      <c r="B27" s="32" t="s">
        <v>2619</v>
      </c>
      <c r="C27" s="32"/>
      <c r="D27" s="33"/>
      <c r="E27" s="28"/>
      <c r="F27" s="31"/>
      <c r="G27" s="29"/>
      <c r="H27" s="22" t="s">
        <v>52</v>
      </c>
      <c r="I27" s="22" t="s">
        <v>52</v>
      </c>
    </row>
    <row r="28" spans="1:9" ht="21.95" customHeight="1" x14ac:dyDescent="0.3">
      <c r="A28" s="4" t="s">
        <v>2620</v>
      </c>
      <c r="B28" s="32" t="s">
        <v>2621</v>
      </c>
      <c r="C28" s="32"/>
      <c r="D28" s="33"/>
      <c r="E28" s="28"/>
      <c r="F28" s="31"/>
      <c r="G28" s="29"/>
      <c r="H28" s="22" t="s">
        <v>52</v>
      </c>
      <c r="I28" s="22" t="s">
        <v>52</v>
      </c>
    </row>
    <row r="29" spans="1:9" ht="21.95" customHeight="1" x14ac:dyDescent="0.3">
      <c r="A29" s="4" t="s">
        <v>2622</v>
      </c>
      <c r="B29" s="32" t="s">
        <v>2623</v>
      </c>
      <c r="C29" s="32"/>
      <c r="D29" s="33"/>
      <c r="E29" s="28"/>
      <c r="F29" s="31"/>
      <c r="G29" s="29"/>
      <c r="H29" s="22" t="s">
        <v>52</v>
      </c>
      <c r="I29" s="22" t="s">
        <v>52</v>
      </c>
    </row>
    <row r="30" spans="1:9" ht="21.95" customHeight="1" x14ac:dyDescent="0.3">
      <c r="A30" s="4" t="s">
        <v>2624</v>
      </c>
      <c r="B30" s="32" t="s">
        <v>2625</v>
      </c>
      <c r="C30" s="32"/>
      <c r="D30" s="33"/>
      <c r="E30" s="28"/>
      <c r="F30" s="31"/>
      <c r="G30" s="29"/>
      <c r="H30" s="22" t="s">
        <v>2626</v>
      </c>
      <c r="I30" s="22" t="s">
        <v>52</v>
      </c>
    </row>
    <row r="31" spans="1:9" ht="21.95" customHeight="1" x14ac:dyDescent="0.3">
      <c r="A31" s="4" t="s">
        <v>2627</v>
      </c>
      <c r="B31" s="32" t="s">
        <v>2628</v>
      </c>
      <c r="C31" s="32"/>
      <c r="D31" s="33"/>
      <c r="E31" s="28"/>
      <c r="F31" s="31"/>
      <c r="G31" s="29"/>
      <c r="H31" s="22" t="s">
        <v>52</v>
      </c>
      <c r="I31" s="22" t="s">
        <v>52</v>
      </c>
    </row>
    <row r="32" spans="1:9" ht="21.95" customHeight="1" x14ac:dyDescent="0.3">
      <c r="A32" s="4" t="s">
        <v>2629</v>
      </c>
      <c r="B32" s="32" t="s">
        <v>2630</v>
      </c>
      <c r="C32" s="32"/>
      <c r="D32" s="33"/>
      <c r="E32" s="28"/>
      <c r="F32" s="31"/>
      <c r="G32" s="29"/>
      <c r="H32" s="22" t="s">
        <v>52</v>
      </c>
      <c r="I32" s="22" t="s">
        <v>52</v>
      </c>
    </row>
  </sheetData>
  <mergeCells count="17">
    <mergeCell ref="B1:I1"/>
    <mergeCell ref="B2:E2"/>
    <mergeCell ref="H2:I2"/>
    <mergeCell ref="B3:D3"/>
    <mergeCell ref="B4:B23"/>
    <mergeCell ref="C4:C7"/>
    <mergeCell ref="C8:C10"/>
    <mergeCell ref="C11:C23"/>
    <mergeCell ref="B30:D30"/>
    <mergeCell ref="B31:D31"/>
    <mergeCell ref="B32:D32"/>
    <mergeCell ref="B24:D24"/>
    <mergeCell ref="B25:D25"/>
    <mergeCell ref="B26:D26"/>
    <mergeCell ref="B27:D27"/>
    <mergeCell ref="B28:D28"/>
    <mergeCell ref="B29:D29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view="pageBreakPreview" topLeftCell="B1" zoomScaleNormal="100" zoomScaleSheetLayoutView="100" workbookViewId="0">
      <selection activeCell="F10" sqref="F10"/>
    </sheetView>
  </sheetViews>
  <sheetFormatPr defaultRowHeight="16.5" x14ac:dyDescent="0.3"/>
  <cols>
    <col min="1" max="1" width="0" hidden="1" customWidth="1"/>
    <col min="2" max="3" width="4.625" customWidth="1"/>
    <col min="4" max="4" width="40.75" customWidth="1"/>
    <col min="5" max="5" width="34.375" customWidth="1"/>
    <col min="6" max="6" width="60.625" customWidth="1"/>
    <col min="7" max="7" width="30.625" customWidth="1"/>
  </cols>
  <sheetData>
    <row r="1" spans="1:7" ht="24" customHeight="1" x14ac:dyDescent="0.3">
      <c r="B1" s="34" t="s">
        <v>2550</v>
      </c>
      <c r="C1" s="34"/>
      <c r="D1" s="34"/>
      <c r="E1" s="34"/>
      <c r="F1" s="34"/>
      <c r="G1" s="34"/>
    </row>
    <row r="2" spans="1:7" ht="21.95" customHeight="1" x14ac:dyDescent="0.3">
      <c r="B2" s="35" t="s">
        <v>2551</v>
      </c>
      <c r="C2" s="35"/>
      <c r="D2" s="35"/>
      <c r="E2" s="35"/>
      <c r="F2" s="36"/>
      <c r="G2" s="36"/>
    </row>
    <row r="3" spans="1:7" ht="21.95" customHeight="1" x14ac:dyDescent="0.3">
      <c r="B3" s="37" t="s">
        <v>2552</v>
      </c>
      <c r="C3" s="37"/>
      <c r="D3" s="37"/>
      <c r="E3" s="21" t="s">
        <v>2553</v>
      </c>
      <c r="F3" s="21" t="s">
        <v>2554</v>
      </c>
      <c r="G3" s="21" t="s">
        <v>782</v>
      </c>
    </row>
    <row r="4" spans="1:7" ht="21.95" customHeight="1" x14ac:dyDescent="0.3">
      <c r="A4" s="1" t="s">
        <v>2559</v>
      </c>
      <c r="B4" s="38" t="s">
        <v>2555</v>
      </c>
      <c r="C4" s="38" t="s">
        <v>2556</v>
      </c>
      <c r="D4" s="23" t="s">
        <v>2560</v>
      </c>
      <c r="E4" s="25">
        <f>TRUNC('공종별집계표(총체)'!F5, 0)</f>
        <v>0</v>
      </c>
      <c r="F4" s="13" t="s">
        <v>52</v>
      </c>
      <c r="G4" s="13" t="s">
        <v>52</v>
      </c>
    </row>
    <row r="5" spans="1:7" ht="21.95" customHeight="1" x14ac:dyDescent="0.3">
      <c r="A5" s="1" t="s">
        <v>2561</v>
      </c>
      <c r="B5" s="38"/>
      <c r="C5" s="38"/>
      <c r="D5" s="23" t="s">
        <v>2562</v>
      </c>
      <c r="E5" s="25">
        <v>0</v>
      </c>
      <c r="F5" s="13" t="s">
        <v>52</v>
      </c>
      <c r="G5" s="13" t="s">
        <v>52</v>
      </c>
    </row>
    <row r="6" spans="1:7" ht="21.95" customHeight="1" x14ac:dyDescent="0.3">
      <c r="A6" s="1" t="s">
        <v>2563</v>
      </c>
      <c r="B6" s="38"/>
      <c r="C6" s="38"/>
      <c r="D6" s="23" t="s">
        <v>2564</v>
      </c>
      <c r="E6" s="25">
        <f>TRUNC('공종별집계표(총체)'!T18, 0)</f>
        <v>0</v>
      </c>
      <c r="F6" s="13" t="s">
        <v>52</v>
      </c>
      <c r="G6" s="13" t="s">
        <v>52</v>
      </c>
    </row>
    <row r="7" spans="1:7" ht="21.95" customHeight="1" x14ac:dyDescent="0.3">
      <c r="A7" s="1" t="s">
        <v>2565</v>
      </c>
      <c r="B7" s="38"/>
      <c r="C7" s="38"/>
      <c r="D7" s="23" t="s">
        <v>2566</v>
      </c>
      <c r="E7" s="25">
        <f>TRUNC(E4+E5-E6, 0)</f>
        <v>0</v>
      </c>
      <c r="F7" s="13" t="s">
        <v>52</v>
      </c>
      <c r="G7" s="13" t="s">
        <v>52</v>
      </c>
    </row>
    <row r="8" spans="1:7" ht="21.95" customHeight="1" x14ac:dyDescent="0.3">
      <c r="A8" s="1" t="s">
        <v>2567</v>
      </c>
      <c r="B8" s="38"/>
      <c r="C8" s="38" t="s">
        <v>2557</v>
      </c>
      <c r="D8" s="23" t="s">
        <v>2568</v>
      </c>
      <c r="E8" s="25">
        <f>TRUNC('공종별집계표(총체)'!H5, 0)</f>
        <v>0</v>
      </c>
      <c r="F8" s="13" t="s">
        <v>52</v>
      </c>
      <c r="G8" s="13" t="s">
        <v>52</v>
      </c>
    </row>
    <row r="9" spans="1:7" ht="21.95" customHeight="1" x14ac:dyDescent="0.3">
      <c r="A9" s="1" t="s">
        <v>2569</v>
      </c>
      <c r="B9" s="38"/>
      <c r="C9" s="38"/>
      <c r="D9" s="23" t="s">
        <v>2570</v>
      </c>
      <c r="E9" s="25">
        <f>TRUNC(E8*0.122, 0)</f>
        <v>0</v>
      </c>
      <c r="F9" s="13" t="s">
        <v>2571</v>
      </c>
      <c r="G9" s="13" t="s">
        <v>52</v>
      </c>
    </row>
    <row r="10" spans="1:7" ht="21.95" customHeight="1" x14ac:dyDescent="0.3">
      <c r="A10" s="1" t="s">
        <v>2572</v>
      </c>
      <c r="B10" s="38"/>
      <c r="C10" s="38"/>
      <c r="D10" s="23" t="s">
        <v>2566</v>
      </c>
      <c r="E10" s="25">
        <f>TRUNC(E8+E9, 0)</f>
        <v>0</v>
      </c>
      <c r="F10" s="13" t="s">
        <v>52</v>
      </c>
      <c r="G10" s="13" t="s">
        <v>52</v>
      </c>
    </row>
    <row r="11" spans="1:7" ht="21.95" customHeight="1" x14ac:dyDescent="0.3">
      <c r="A11" s="1" t="s">
        <v>2573</v>
      </c>
      <c r="B11" s="38"/>
      <c r="C11" s="38" t="s">
        <v>2558</v>
      </c>
      <c r="D11" s="23" t="s">
        <v>2574</v>
      </c>
      <c r="E11" s="25">
        <f>TRUNC('공종별집계표(총체)'!J5, 0)</f>
        <v>0</v>
      </c>
      <c r="F11" s="13" t="s">
        <v>52</v>
      </c>
      <c r="G11" s="13" t="s">
        <v>52</v>
      </c>
    </row>
    <row r="12" spans="1:7" ht="21.95" customHeight="1" x14ac:dyDescent="0.3">
      <c r="A12" s="1" t="s">
        <v>2575</v>
      </c>
      <c r="B12" s="38"/>
      <c r="C12" s="38"/>
      <c r="D12" s="23" t="s">
        <v>2576</v>
      </c>
      <c r="E12" s="25">
        <f>TRUNC(E10*0.037, 0)</f>
        <v>0</v>
      </c>
      <c r="F12" s="13" t="s">
        <v>2577</v>
      </c>
      <c r="G12" s="13" t="s">
        <v>52</v>
      </c>
    </row>
    <row r="13" spans="1:7" ht="21.95" customHeight="1" x14ac:dyDescent="0.3">
      <c r="A13" s="1" t="s">
        <v>2578</v>
      </c>
      <c r="B13" s="38"/>
      <c r="C13" s="38"/>
      <c r="D13" s="23" t="s">
        <v>2579</v>
      </c>
      <c r="E13" s="25">
        <f>TRUNC(E10*0.0101, 0)</f>
        <v>0</v>
      </c>
      <c r="F13" s="13" t="s">
        <v>2580</v>
      </c>
      <c r="G13" s="13" t="s">
        <v>52</v>
      </c>
    </row>
    <row r="14" spans="1:7" ht="21.95" customHeight="1" x14ac:dyDescent="0.3">
      <c r="A14" s="1" t="s">
        <v>2581</v>
      </c>
      <c r="B14" s="38"/>
      <c r="C14" s="38"/>
      <c r="D14" s="23" t="s">
        <v>2582</v>
      </c>
      <c r="E14" s="25">
        <f>TRUNC(E8*0.03545, 0)</f>
        <v>0</v>
      </c>
      <c r="F14" s="13" t="s">
        <v>2583</v>
      </c>
      <c r="G14" s="13" t="s">
        <v>52</v>
      </c>
    </row>
    <row r="15" spans="1:7" ht="21.95" customHeight="1" x14ac:dyDescent="0.3">
      <c r="A15" s="1" t="s">
        <v>2584</v>
      </c>
      <c r="B15" s="38"/>
      <c r="C15" s="38"/>
      <c r="D15" s="23" t="s">
        <v>2585</v>
      </c>
      <c r="E15" s="25">
        <f>TRUNC(E8*0.045, 0)</f>
        <v>0</v>
      </c>
      <c r="F15" s="13" t="s">
        <v>2586</v>
      </c>
      <c r="G15" s="13" t="s">
        <v>52</v>
      </c>
    </row>
    <row r="16" spans="1:7" ht="21.95" customHeight="1" x14ac:dyDescent="0.3">
      <c r="A16" s="1" t="s">
        <v>2587</v>
      </c>
      <c r="B16" s="38"/>
      <c r="C16" s="38"/>
      <c r="D16" s="23" t="s">
        <v>2588</v>
      </c>
      <c r="E16" s="25">
        <f>TRUNC(E8*0.023, 0)</f>
        <v>0</v>
      </c>
      <c r="F16" s="13" t="s">
        <v>2589</v>
      </c>
      <c r="G16" s="13" t="s">
        <v>52</v>
      </c>
    </row>
    <row r="17" spans="1:7" ht="21.95" customHeight="1" x14ac:dyDescent="0.3">
      <c r="A17" s="1" t="s">
        <v>2590</v>
      </c>
      <c r="B17" s="38"/>
      <c r="C17" s="38"/>
      <c r="D17" s="23" t="s">
        <v>2591</v>
      </c>
      <c r="E17" s="25"/>
      <c r="F17" s="13" t="s">
        <v>2592</v>
      </c>
      <c r="G17" s="13" t="s">
        <v>52</v>
      </c>
    </row>
    <row r="18" spans="1:7" ht="21.95" customHeight="1" x14ac:dyDescent="0.3">
      <c r="A18" s="1" t="s">
        <v>2593</v>
      </c>
      <c r="B18" s="38"/>
      <c r="C18" s="38"/>
      <c r="D18" s="23" t="s">
        <v>2594</v>
      </c>
      <c r="E18" s="25"/>
      <c r="F18" s="13" t="s">
        <v>2595</v>
      </c>
      <c r="G18" s="13" t="s">
        <v>52</v>
      </c>
    </row>
    <row r="19" spans="1:7" ht="21.95" customHeight="1" x14ac:dyDescent="0.3">
      <c r="A19" s="1" t="s">
        <v>2596</v>
      </c>
      <c r="B19" s="38"/>
      <c r="C19" s="38"/>
      <c r="D19" s="23" t="s">
        <v>2597</v>
      </c>
      <c r="E19" s="25"/>
      <c r="F19" s="13" t="s">
        <v>2598</v>
      </c>
      <c r="G19" s="13" t="s">
        <v>52</v>
      </c>
    </row>
    <row r="20" spans="1:7" ht="21.95" customHeight="1" x14ac:dyDescent="0.3">
      <c r="A20" s="1" t="s">
        <v>2599</v>
      </c>
      <c r="B20" s="38"/>
      <c r="C20" s="38"/>
      <c r="D20" s="23" t="s">
        <v>2600</v>
      </c>
      <c r="E20" s="25"/>
      <c r="F20" s="13" t="s">
        <v>2601</v>
      </c>
      <c r="G20" s="13" t="s">
        <v>52</v>
      </c>
    </row>
    <row r="21" spans="1:7" ht="21.95" customHeight="1" x14ac:dyDescent="0.3">
      <c r="A21" s="1" t="s">
        <v>2602</v>
      </c>
      <c r="B21" s="38"/>
      <c r="C21" s="38"/>
      <c r="D21" s="23" t="s">
        <v>2603</v>
      </c>
      <c r="E21" s="25"/>
      <c r="F21" s="13" t="s">
        <v>2604</v>
      </c>
      <c r="G21" s="13" t="s">
        <v>2605</v>
      </c>
    </row>
    <row r="22" spans="1:7" ht="21.95" customHeight="1" x14ac:dyDescent="0.3">
      <c r="A22" s="1" t="s">
        <v>2606</v>
      </c>
      <c r="B22" s="38"/>
      <c r="C22" s="38"/>
      <c r="D22" s="23" t="s">
        <v>2607</v>
      </c>
      <c r="E22" s="25"/>
      <c r="F22" s="13" t="s">
        <v>2608</v>
      </c>
      <c r="G22" s="13" t="s">
        <v>52</v>
      </c>
    </row>
    <row r="23" spans="1:7" ht="21.95" customHeight="1" x14ac:dyDescent="0.3">
      <c r="A23" s="1" t="s">
        <v>2609</v>
      </c>
      <c r="B23" s="38"/>
      <c r="C23" s="38"/>
      <c r="D23" s="23" t="s">
        <v>2566</v>
      </c>
      <c r="E23" s="25"/>
      <c r="F23" s="13" t="s">
        <v>52</v>
      </c>
      <c r="G23" s="13" t="s">
        <v>52</v>
      </c>
    </row>
    <row r="24" spans="1:7" ht="21.95" customHeight="1" x14ac:dyDescent="0.3">
      <c r="A24" s="1" t="s">
        <v>2610</v>
      </c>
      <c r="B24" s="32" t="s">
        <v>2611</v>
      </c>
      <c r="C24" s="32"/>
      <c r="D24" s="33"/>
      <c r="E24" s="25"/>
      <c r="F24" s="13" t="s">
        <v>52</v>
      </c>
      <c r="G24" s="13" t="s">
        <v>52</v>
      </c>
    </row>
    <row r="25" spans="1:7" ht="21.95" customHeight="1" x14ac:dyDescent="0.3">
      <c r="A25" s="1" t="s">
        <v>2612</v>
      </c>
      <c r="B25" s="32" t="s">
        <v>2613</v>
      </c>
      <c r="C25" s="32"/>
      <c r="D25" s="33"/>
      <c r="E25" s="25"/>
      <c r="F25" s="13" t="s">
        <v>2614</v>
      </c>
      <c r="G25" s="13" t="s">
        <v>52</v>
      </c>
    </row>
    <row r="26" spans="1:7" ht="21.95" customHeight="1" x14ac:dyDescent="0.3">
      <c r="A26" s="1" t="s">
        <v>2615</v>
      </c>
      <c r="B26" s="32" t="s">
        <v>2616</v>
      </c>
      <c r="C26" s="32"/>
      <c r="D26" s="33"/>
      <c r="E26" s="25"/>
      <c r="F26" s="13" t="s">
        <v>2617</v>
      </c>
      <c r="G26" s="13" t="s">
        <v>52</v>
      </c>
    </row>
    <row r="27" spans="1:7" ht="21.95" customHeight="1" x14ac:dyDescent="0.3">
      <c r="A27" s="1" t="s">
        <v>2618</v>
      </c>
      <c r="B27" s="32" t="s">
        <v>2619</v>
      </c>
      <c r="C27" s="32"/>
      <c r="D27" s="33"/>
      <c r="E27" s="25"/>
      <c r="F27" s="13" t="s">
        <v>52</v>
      </c>
      <c r="G27" s="13" t="s">
        <v>52</v>
      </c>
    </row>
    <row r="28" spans="1:7" ht="21.95" customHeight="1" x14ac:dyDescent="0.3">
      <c r="A28" s="1" t="s">
        <v>2620</v>
      </c>
      <c r="B28" s="32" t="s">
        <v>2621</v>
      </c>
      <c r="C28" s="32"/>
      <c r="D28" s="33"/>
      <c r="E28" s="25"/>
      <c r="F28" s="13" t="s">
        <v>52</v>
      </c>
      <c r="G28" s="13" t="s">
        <v>52</v>
      </c>
    </row>
    <row r="29" spans="1:7" ht="21.95" customHeight="1" x14ac:dyDescent="0.3">
      <c r="A29" s="1" t="s">
        <v>2622</v>
      </c>
      <c r="B29" s="32" t="s">
        <v>2623</v>
      </c>
      <c r="C29" s="32"/>
      <c r="D29" s="33"/>
      <c r="E29" s="25"/>
      <c r="F29" s="13" t="s">
        <v>52</v>
      </c>
      <c r="G29" s="13" t="s">
        <v>52</v>
      </c>
    </row>
    <row r="30" spans="1:7" ht="21.95" customHeight="1" x14ac:dyDescent="0.3">
      <c r="A30" s="1" t="s">
        <v>2624</v>
      </c>
      <c r="B30" s="32" t="s">
        <v>2625</v>
      </c>
      <c r="C30" s="32"/>
      <c r="D30" s="33"/>
      <c r="E30" s="25"/>
      <c r="F30" s="13" t="s">
        <v>2626</v>
      </c>
      <c r="G30" s="13" t="s">
        <v>52</v>
      </c>
    </row>
    <row r="31" spans="1:7" ht="21.95" customHeight="1" x14ac:dyDescent="0.3">
      <c r="A31" s="1" t="s">
        <v>2627</v>
      </c>
      <c r="B31" s="32" t="s">
        <v>2628</v>
      </c>
      <c r="C31" s="32"/>
      <c r="D31" s="33"/>
      <c r="E31" s="25"/>
      <c r="F31" s="13" t="s">
        <v>52</v>
      </c>
      <c r="G31" s="13" t="s">
        <v>52</v>
      </c>
    </row>
    <row r="32" spans="1:7" ht="21.95" customHeight="1" x14ac:dyDescent="0.3">
      <c r="A32" s="1" t="s">
        <v>2629</v>
      </c>
      <c r="B32" s="32" t="s">
        <v>2630</v>
      </c>
      <c r="C32" s="32"/>
      <c r="D32" s="33"/>
      <c r="E32" s="25"/>
      <c r="F32" s="13" t="s">
        <v>52</v>
      </c>
      <c r="G32" s="13" t="s">
        <v>52</v>
      </c>
    </row>
  </sheetData>
  <mergeCells count="17">
    <mergeCell ref="B30:D30"/>
    <mergeCell ref="B31:D31"/>
    <mergeCell ref="B32:D32"/>
    <mergeCell ref="B24:D24"/>
    <mergeCell ref="B25:D25"/>
    <mergeCell ref="B26:D26"/>
    <mergeCell ref="B27:D27"/>
    <mergeCell ref="B28:D28"/>
    <mergeCell ref="B29:D29"/>
    <mergeCell ref="B1:G1"/>
    <mergeCell ref="B2:E2"/>
    <mergeCell ref="F2:G2"/>
    <mergeCell ref="B3:D3"/>
    <mergeCell ref="B4:B23"/>
    <mergeCell ref="C4:C7"/>
    <mergeCell ref="C8:C10"/>
    <mergeCell ref="C11:C23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7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view="pageBreakPreview" topLeftCell="B1" zoomScaleNormal="100" zoomScaleSheetLayoutView="100" workbookViewId="0">
      <selection activeCell="E4" sqref="E4:E31"/>
    </sheetView>
  </sheetViews>
  <sheetFormatPr defaultRowHeight="16.5" x14ac:dyDescent="0.3"/>
  <cols>
    <col min="1" max="1" width="0" hidden="1" customWidth="1"/>
    <col min="2" max="3" width="4.625" customWidth="1"/>
    <col min="4" max="4" width="39.125" customWidth="1"/>
    <col min="5" max="5" width="32" customWidth="1"/>
    <col min="6" max="6" width="60.625" customWidth="1"/>
    <col min="7" max="7" width="30.625" customWidth="1"/>
  </cols>
  <sheetData>
    <row r="1" spans="1:7" ht="24" customHeight="1" x14ac:dyDescent="0.3">
      <c r="B1" s="34" t="s">
        <v>2550</v>
      </c>
      <c r="C1" s="34"/>
      <c r="D1" s="34"/>
      <c r="E1" s="34"/>
      <c r="F1" s="34"/>
      <c r="G1" s="34"/>
    </row>
    <row r="2" spans="1:7" ht="21.95" customHeight="1" x14ac:dyDescent="0.3">
      <c r="B2" s="35" t="s">
        <v>2669</v>
      </c>
      <c r="C2" s="35"/>
      <c r="D2" s="35"/>
      <c r="E2" s="35"/>
      <c r="F2" s="36" t="s">
        <v>2670</v>
      </c>
      <c r="G2" s="36"/>
    </row>
    <row r="3" spans="1:7" ht="21.95" customHeight="1" x14ac:dyDescent="0.3">
      <c r="B3" s="37" t="s">
        <v>2552</v>
      </c>
      <c r="C3" s="37"/>
      <c r="D3" s="37"/>
      <c r="E3" s="21" t="s">
        <v>2553</v>
      </c>
      <c r="F3" s="21" t="s">
        <v>2554</v>
      </c>
      <c r="G3" s="21" t="s">
        <v>782</v>
      </c>
    </row>
    <row r="4" spans="1:7" ht="21.95" customHeight="1" x14ac:dyDescent="0.3">
      <c r="A4" s="4" t="s">
        <v>2559</v>
      </c>
      <c r="B4" s="38" t="s">
        <v>2555</v>
      </c>
      <c r="C4" s="38" t="s">
        <v>2556</v>
      </c>
      <c r="D4" s="24" t="s">
        <v>2560</v>
      </c>
      <c r="E4" s="25"/>
      <c r="F4" s="22" t="s">
        <v>52</v>
      </c>
      <c r="G4" s="22" t="s">
        <v>52</v>
      </c>
    </row>
    <row r="5" spans="1:7" ht="21.95" customHeight="1" x14ac:dyDescent="0.3">
      <c r="A5" s="4" t="s">
        <v>2561</v>
      </c>
      <c r="B5" s="38"/>
      <c r="C5" s="38"/>
      <c r="D5" s="24" t="s">
        <v>2562</v>
      </c>
      <c r="E5" s="25"/>
      <c r="F5" s="22" t="s">
        <v>52</v>
      </c>
      <c r="G5" s="22" t="s">
        <v>52</v>
      </c>
    </row>
    <row r="6" spans="1:7" ht="21.95" customHeight="1" x14ac:dyDescent="0.3">
      <c r="A6" s="4" t="s">
        <v>2563</v>
      </c>
      <c r="B6" s="38"/>
      <c r="C6" s="38"/>
      <c r="D6" s="24" t="s">
        <v>2564</v>
      </c>
      <c r="E6" s="25"/>
      <c r="F6" s="22" t="s">
        <v>52</v>
      </c>
      <c r="G6" s="22" t="s">
        <v>52</v>
      </c>
    </row>
    <row r="7" spans="1:7" ht="21.95" customHeight="1" x14ac:dyDescent="0.3">
      <c r="A7" s="4" t="s">
        <v>2565</v>
      </c>
      <c r="B7" s="38"/>
      <c r="C7" s="38"/>
      <c r="D7" s="24" t="s">
        <v>2566</v>
      </c>
      <c r="E7" s="25"/>
      <c r="F7" s="22" t="s">
        <v>52</v>
      </c>
      <c r="G7" s="22" t="s">
        <v>52</v>
      </c>
    </row>
    <row r="8" spans="1:7" ht="21.95" customHeight="1" x14ac:dyDescent="0.3">
      <c r="A8" s="4" t="s">
        <v>2567</v>
      </c>
      <c r="B8" s="38"/>
      <c r="C8" s="38" t="s">
        <v>2557</v>
      </c>
      <c r="D8" s="24" t="s">
        <v>2568</v>
      </c>
      <c r="E8" s="25"/>
      <c r="F8" s="22" t="s">
        <v>52</v>
      </c>
      <c r="G8" s="22" t="s">
        <v>52</v>
      </c>
    </row>
    <row r="9" spans="1:7" ht="21.95" customHeight="1" x14ac:dyDescent="0.3">
      <c r="A9" s="4" t="s">
        <v>2569</v>
      </c>
      <c r="B9" s="38"/>
      <c r="C9" s="38"/>
      <c r="D9" s="24" t="s">
        <v>2570</v>
      </c>
      <c r="E9" s="25"/>
      <c r="F9" s="22" t="s">
        <v>2571</v>
      </c>
      <c r="G9" s="22" t="s">
        <v>52</v>
      </c>
    </row>
    <row r="10" spans="1:7" ht="21.95" customHeight="1" x14ac:dyDescent="0.3">
      <c r="A10" s="4" t="s">
        <v>2572</v>
      </c>
      <c r="B10" s="38"/>
      <c r="C10" s="38"/>
      <c r="D10" s="24" t="s">
        <v>2566</v>
      </c>
      <c r="E10" s="25"/>
      <c r="F10" s="22" t="s">
        <v>52</v>
      </c>
      <c r="G10" s="22" t="s">
        <v>52</v>
      </c>
    </row>
    <row r="11" spans="1:7" ht="21.95" customHeight="1" x14ac:dyDescent="0.3">
      <c r="A11" s="4" t="s">
        <v>2573</v>
      </c>
      <c r="B11" s="38"/>
      <c r="C11" s="38" t="s">
        <v>2558</v>
      </c>
      <c r="D11" s="24" t="s">
        <v>2574</v>
      </c>
      <c r="E11" s="25"/>
      <c r="F11" s="22" t="s">
        <v>52</v>
      </c>
      <c r="G11" s="22" t="s">
        <v>52</v>
      </c>
    </row>
    <row r="12" spans="1:7" ht="21.95" customHeight="1" x14ac:dyDescent="0.3">
      <c r="A12" s="4" t="s">
        <v>2575</v>
      </c>
      <c r="B12" s="38"/>
      <c r="C12" s="38"/>
      <c r="D12" s="24" t="s">
        <v>2576</v>
      </c>
      <c r="E12" s="25"/>
      <c r="F12" s="22" t="s">
        <v>2577</v>
      </c>
      <c r="G12" s="22" t="s">
        <v>52</v>
      </c>
    </row>
    <row r="13" spans="1:7" ht="21.95" customHeight="1" x14ac:dyDescent="0.3">
      <c r="A13" s="4" t="s">
        <v>2578</v>
      </c>
      <c r="B13" s="38"/>
      <c r="C13" s="38"/>
      <c r="D13" s="24" t="s">
        <v>2579</v>
      </c>
      <c r="E13" s="25"/>
      <c r="F13" s="22" t="s">
        <v>2580</v>
      </c>
      <c r="G13" s="22" t="s">
        <v>52</v>
      </c>
    </row>
    <row r="14" spans="1:7" ht="21.95" customHeight="1" x14ac:dyDescent="0.3">
      <c r="A14" s="4" t="s">
        <v>2581</v>
      </c>
      <c r="B14" s="38"/>
      <c r="C14" s="38"/>
      <c r="D14" s="24" t="s">
        <v>2582</v>
      </c>
      <c r="E14" s="25"/>
      <c r="F14" s="22" t="s">
        <v>2583</v>
      </c>
      <c r="G14" s="22" t="s">
        <v>52</v>
      </c>
    </row>
    <row r="15" spans="1:7" ht="21.95" customHeight="1" x14ac:dyDescent="0.3">
      <c r="A15" s="4" t="s">
        <v>2584</v>
      </c>
      <c r="B15" s="38"/>
      <c r="C15" s="38"/>
      <c r="D15" s="24" t="s">
        <v>2585</v>
      </c>
      <c r="E15" s="25"/>
      <c r="F15" s="22" t="s">
        <v>2586</v>
      </c>
      <c r="G15" s="22" t="s">
        <v>52</v>
      </c>
    </row>
    <row r="16" spans="1:7" ht="21.95" customHeight="1" x14ac:dyDescent="0.3">
      <c r="A16" s="4" t="s">
        <v>2587</v>
      </c>
      <c r="B16" s="38"/>
      <c r="C16" s="38"/>
      <c r="D16" s="24" t="s">
        <v>2588</v>
      </c>
      <c r="E16" s="25"/>
      <c r="F16" s="22" t="s">
        <v>2589</v>
      </c>
      <c r="G16" s="22" t="s">
        <v>52</v>
      </c>
    </row>
    <row r="17" spans="1:7" ht="21.95" customHeight="1" x14ac:dyDescent="0.3">
      <c r="A17" s="4" t="s">
        <v>2590</v>
      </c>
      <c r="B17" s="38"/>
      <c r="C17" s="38"/>
      <c r="D17" s="24" t="s">
        <v>2591</v>
      </c>
      <c r="E17" s="25"/>
      <c r="F17" s="22" t="s">
        <v>2592</v>
      </c>
      <c r="G17" s="22" t="s">
        <v>52</v>
      </c>
    </row>
    <row r="18" spans="1:7" ht="21.95" customHeight="1" x14ac:dyDescent="0.3">
      <c r="A18" s="4" t="s">
        <v>2593</v>
      </c>
      <c r="B18" s="38"/>
      <c r="C18" s="38"/>
      <c r="D18" s="24" t="s">
        <v>2594</v>
      </c>
      <c r="E18" s="25"/>
      <c r="F18" s="22" t="s">
        <v>2595</v>
      </c>
      <c r="G18" s="22" t="s">
        <v>52</v>
      </c>
    </row>
    <row r="19" spans="1:7" ht="21.95" customHeight="1" x14ac:dyDescent="0.3">
      <c r="A19" s="4" t="s">
        <v>2596</v>
      </c>
      <c r="B19" s="38"/>
      <c r="C19" s="38"/>
      <c r="D19" s="24" t="s">
        <v>2597</v>
      </c>
      <c r="E19" s="25"/>
      <c r="F19" s="22" t="s">
        <v>2598</v>
      </c>
      <c r="G19" s="22" t="s">
        <v>52</v>
      </c>
    </row>
    <row r="20" spans="1:7" ht="21.95" customHeight="1" x14ac:dyDescent="0.3">
      <c r="A20" s="4" t="s">
        <v>2599</v>
      </c>
      <c r="B20" s="38"/>
      <c r="C20" s="38"/>
      <c r="D20" s="24" t="s">
        <v>2600</v>
      </c>
      <c r="E20" s="25"/>
      <c r="F20" s="22" t="s">
        <v>2601</v>
      </c>
      <c r="G20" s="22" t="s">
        <v>52</v>
      </c>
    </row>
    <row r="21" spans="1:7" ht="21.95" customHeight="1" x14ac:dyDescent="0.3">
      <c r="A21" s="4" t="s">
        <v>2602</v>
      </c>
      <c r="B21" s="38"/>
      <c r="C21" s="38"/>
      <c r="D21" s="24" t="s">
        <v>2603</v>
      </c>
      <c r="E21" s="25"/>
      <c r="F21" s="22" t="s">
        <v>2604</v>
      </c>
      <c r="G21" s="22" t="s">
        <v>2605</v>
      </c>
    </row>
    <row r="22" spans="1:7" ht="21.95" customHeight="1" x14ac:dyDescent="0.3">
      <c r="A22" s="4" t="s">
        <v>2606</v>
      </c>
      <c r="B22" s="38"/>
      <c r="C22" s="38"/>
      <c r="D22" s="24" t="s">
        <v>2607</v>
      </c>
      <c r="E22" s="25"/>
      <c r="F22" s="22" t="s">
        <v>2608</v>
      </c>
      <c r="G22" s="22" t="s">
        <v>52</v>
      </c>
    </row>
    <row r="23" spans="1:7" ht="21.95" customHeight="1" x14ac:dyDescent="0.3">
      <c r="A23" s="4" t="s">
        <v>2609</v>
      </c>
      <c r="B23" s="38"/>
      <c r="C23" s="38"/>
      <c r="D23" s="24" t="s">
        <v>2566</v>
      </c>
      <c r="E23" s="25"/>
      <c r="F23" s="22" t="s">
        <v>52</v>
      </c>
      <c r="G23" s="22" t="s">
        <v>52</v>
      </c>
    </row>
    <row r="24" spans="1:7" ht="21.95" customHeight="1" x14ac:dyDescent="0.3">
      <c r="A24" s="4" t="s">
        <v>2610</v>
      </c>
      <c r="B24" s="32" t="s">
        <v>2611</v>
      </c>
      <c r="C24" s="32"/>
      <c r="D24" s="33"/>
      <c r="E24" s="25"/>
      <c r="F24" s="22" t="s">
        <v>52</v>
      </c>
      <c r="G24" s="22" t="s">
        <v>52</v>
      </c>
    </row>
    <row r="25" spans="1:7" ht="21.95" customHeight="1" x14ac:dyDescent="0.3">
      <c r="A25" s="4" t="s">
        <v>2612</v>
      </c>
      <c r="B25" s="32" t="s">
        <v>2613</v>
      </c>
      <c r="C25" s="32"/>
      <c r="D25" s="33"/>
      <c r="E25" s="25"/>
      <c r="F25" s="22" t="s">
        <v>2614</v>
      </c>
      <c r="G25" s="22" t="s">
        <v>52</v>
      </c>
    </row>
    <row r="26" spans="1:7" ht="21.95" customHeight="1" x14ac:dyDescent="0.3">
      <c r="A26" s="4" t="s">
        <v>2615</v>
      </c>
      <c r="B26" s="32" t="s">
        <v>2616</v>
      </c>
      <c r="C26" s="32"/>
      <c r="D26" s="33"/>
      <c r="E26" s="25"/>
      <c r="F26" s="22" t="s">
        <v>2617</v>
      </c>
      <c r="G26" s="22" t="s">
        <v>52</v>
      </c>
    </row>
    <row r="27" spans="1:7" ht="21.95" customHeight="1" x14ac:dyDescent="0.3">
      <c r="A27" s="4" t="s">
        <v>2618</v>
      </c>
      <c r="B27" s="32" t="s">
        <v>2619</v>
      </c>
      <c r="C27" s="32"/>
      <c r="D27" s="33"/>
      <c r="E27" s="25"/>
      <c r="F27" s="22" t="s">
        <v>52</v>
      </c>
      <c r="G27" s="22" t="s">
        <v>52</v>
      </c>
    </row>
    <row r="28" spans="1:7" ht="21.95" customHeight="1" x14ac:dyDescent="0.3">
      <c r="A28" s="4" t="s">
        <v>2622</v>
      </c>
      <c r="B28" s="32" t="s">
        <v>2623</v>
      </c>
      <c r="C28" s="32"/>
      <c r="D28" s="33"/>
      <c r="E28" s="25"/>
      <c r="F28" s="22" t="s">
        <v>52</v>
      </c>
      <c r="G28" s="22" t="s">
        <v>52</v>
      </c>
    </row>
    <row r="29" spans="1:7" ht="21.95" customHeight="1" x14ac:dyDescent="0.3">
      <c r="A29" s="4" t="s">
        <v>2624</v>
      </c>
      <c r="B29" s="32" t="s">
        <v>2625</v>
      </c>
      <c r="C29" s="32"/>
      <c r="D29" s="33"/>
      <c r="E29" s="25"/>
      <c r="F29" s="22" t="s">
        <v>2626</v>
      </c>
      <c r="G29" s="22" t="s">
        <v>52</v>
      </c>
    </row>
    <row r="30" spans="1:7" ht="21.95" customHeight="1" x14ac:dyDescent="0.3">
      <c r="A30" s="4" t="s">
        <v>2627</v>
      </c>
      <c r="B30" s="32" t="s">
        <v>2628</v>
      </c>
      <c r="C30" s="32"/>
      <c r="D30" s="33"/>
      <c r="E30" s="25"/>
      <c r="F30" s="22" t="s">
        <v>52</v>
      </c>
      <c r="G30" s="22" t="s">
        <v>52</v>
      </c>
    </row>
    <row r="31" spans="1:7" ht="21.95" customHeight="1" x14ac:dyDescent="0.3">
      <c r="A31" s="4" t="s">
        <v>2629</v>
      </c>
      <c r="B31" s="32" t="s">
        <v>2630</v>
      </c>
      <c r="C31" s="32"/>
      <c r="D31" s="33"/>
      <c r="E31" s="25"/>
      <c r="F31" s="22" t="s">
        <v>52</v>
      </c>
      <c r="G31" s="22" t="s">
        <v>52</v>
      </c>
    </row>
  </sheetData>
  <mergeCells count="16">
    <mergeCell ref="B1:G1"/>
    <mergeCell ref="B2:E2"/>
    <mergeCell ref="F2:G2"/>
    <mergeCell ref="B3:D3"/>
    <mergeCell ref="B4:B23"/>
    <mergeCell ref="C4:C7"/>
    <mergeCell ref="C8:C10"/>
    <mergeCell ref="C11:C23"/>
    <mergeCell ref="B30:D30"/>
    <mergeCell ref="B31:D31"/>
    <mergeCell ref="B24:D24"/>
    <mergeCell ref="B25:D25"/>
    <mergeCell ref="B26:D26"/>
    <mergeCell ref="B27:D27"/>
    <mergeCell ref="B28:D28"/>
    <mergeCell ref="B29:D29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5"/>
  <sheetViews>
    <sheetView view="pageBreakPreview" zoomScaleNormal="100" zoomScaleSheetLayoutView="100" workbookViewId="0">
      <selection activeCell="B23" sqref="B23"/>
    </sheetView>
  </sheetViews>
  <sheetFormatPr defaultRowHeight="16.5" x14ac:dyDescent="0.3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20" ht="30" customHeight="1" x14ac:dyDescent="0.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20" ht="30" customHeight="1" x14ac:dyDescent="0.3">
      <c r="A3" s="41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/>
      <c r="G3" s="41" t="s">
        <v>9</v>
      </c>
      <c r="H3" s="41"/>
      <c r="I3" s="41" t="s">
        <v>10</v>
      </c>
      <c r="J3" s="41"/>
      <c r="K3" s="41" t="s">
        <v>11</v>
      </c>
      <c r="L3" s="41"/>
      <c r="M3" s="41" t="s">
        <v>12</v>
      </c>
      <c r="N3" s="43" t="s">
        <v>13</v>
      </c>
      <c r="O3" s="43" t="s">
        <v>14</v>
      </c>
      <c r="P3" s="43" t="s">
        <v>15</v>
      </c>
      <c r="Q3" s="43" t="s">
        <v>16</v>
      </c>
      <c r="R3" s="43" t="s">
        <v>17</v>
      </c>
      <c r="S3" s="43" t="s">
        <v>18</v>
      </c>
      <c r="T3" s="43" t="s">
        <v>19</v>
      </c>
    </row>
    <row r="4" spans="1:20" ht="30" customHeight="1" x14ac:dyDescent="0.3">
      <c r="A4" s="42"/>
      <c r="B4" s="42"/>
      <c r="C4" s="42"/>
      <c r="D4" s="42"/>
      <c r="E4" s="8" t="s">
        <v>7</v>
      </c>
      <c r="F4" s="8" t="s">
        <v>8</v>
      </c>
      <c r="G4" s="8" t="s">
        <v>7</v>
      </c>
      <c r="H4" s="8" t="s">
        <v>8</v>
      </c>
      <c r="I4" s="8" t="s">
        <v>7</v>
      </c>
      <c r="J4" s="8" t="s">
        <v>8</v>
      </c>
      <c r="K4" s="8" t="s">
        <v>7</v>
      </c>
      <c r="L4" s="8" t="s">
        <v>8</v>
      </c>
      <c r="M4" s="42"/>
      <c r="N4" s="43"/>
      <c r="O4" s="43"/>
      <c r="P4" s="43"/>
      <c r="Q4" s="43"/>
      <c r="R4" s="43"/>
      <c r="S4" s="43"/>
      <c r="T4" s="43"/>
    </row>
    <row r="5" spans="1:20" ht="30" customHeight="1" x14ac:dyDescent="0.3">
      <c r="A5" s="9" t="s">
        <v>51</v>
      </c>
      <c r="B5" s="9" t="s">
        <v>52</v>
      </c>
      <c r="C5" s="9" t="s">
        <v>52</v>
      </c>
      <c r="D5" s="10">
        <v>1</v>
      </c>
      <c r="E5" s="11">
        <f>F6+F7+F8+F9+F10+F11+F12+F13+F14+F15+F16</f>
        <v>0</v>
      </c>
      <c r="F5" s="11">
        <f t="shared" ref="F5:F19" si="0">E5*D5</f>
        <v>0</v>
      </c>
      <c r="G5" s="11">
        <f>H6+H7+H8+H9+H10+H11+H12+H13+H14+H15+H16</f>
        <v>0</v>
      </c>
      <c r="H5" s="11">
        <f t="shared" ref="H5:H19" si="1">G5*D5</f>
        <v>0</v>
      </c>
      <c r="I5" s="11">
        <f>J6+J7+J8+J9+J10+J11+J12+J13+J14+J15+J16</f>
        <v>0</v>
      </c>
      <c r="J5" s="11">
        <f t="shared" ref="J5:J19" si="2">I5*D5</f>
        <v>0</v>
      </c>
      <c r="K5" s="11">
        <f t="shared" ref="K5:K19" si="3">E5+G5+I5</f>
        <v>0</v>
      </c>
      <c r="L5" s="11">
        <f t="shared" ref="L5:L19" si="4">F5+H5+J5</f>
        <v>0</v>
      </c>
      <c r="M5" s="9" t="s">
        <v>52</v>
      </c>
      <c r="N5" s="2" t="s">
        <v>53</v>
      </c>
      <c r="O5" s="2" t="s">
        <v>52</v>
      </c>
      <c r="P5" s="2" t="s">
        <v>52</v>
      </c>
      <c r="Q5" s="2" t="s">
        <v>52</v>
      </c>
      <c r="R5" s="3">
        <v>1</v>
      </c>
      <c r="S5" s="2" t="s">
        <v>52</v>
      </c>
      <c r="T5" s="7"/>
    </row>
    <row r="6" spans="1:20" ht="30" customHeight="1" x14ac:dyDescent="0.3">
      <c r="A6" s="9" t="s">
        <v>54</v>
      </c>
      <c r="B6" s="9" t="s">
        <v>52</v>
      </c>
      <c r="C6" s="9" t="s">
        <v>52</v>
      </c>
      <c r="D6" s="10">
        <v>1</v>
      </c>
      <c r="E6" s="11">
        <f>'공종별내역서(총체)'!F25</f>
        <v>0</v>
      </c>
      <c r="F6" s="11">
        <f t="shared" si="0"/>
        <v>0</v>
      </c>
      <c r="G6" s="11">
        <f>'공종별내역서(총체)'!H25</f>
        <v>0</v>
      </c>
      <c r="H6" s="11">
        <f t="shared" si="1"/>
        <v>0</v>
      </c>
      <c r="I6" s="11">
        <f>'공종별내역서(총체)'!J25</f>
        <v>0</v>
      </c>
      <c r="J6" s="11">
        <f t="shared" si="2"/>
        <v>0</v>
      </c>
      <c r="K6" s="11">
        <f t="shared" si="3"/>
        <v>0</v>
      </c>
      <c r="L6" s="11">
        <f t="shared" si="4"/>
        <v>0</v>
      </c>
      <c r="M6" s="9" t="s">
        <v>52</v>
      </c>
      <c r="N6" s="2" t="s">
        <v>55</v>
      </c>
      <c r="O6" s="2" t="s">
        <v>52</v>
      </c>
      <c r="P6" s="2" t="s">
        <v>53</v>
      </c>
      <c r="Q6" s="2" t="s">
        <v>52</v>
      </c>
      <c r="R6" s="3">
        <v>2</v>
      </c>
      <c r="S6" s="2" t="s">
        <v>52</v>
      </c>
      <c r="T6" s="7"/>
    </row>
    <row r="7" spans="1:20" ht="30" customHeight="1" x14ac:dyDescent="0.3">
      <c r="A7" s="9" t="s">
        <v>95</v>
      </c>
      <c r="B7" s="9" t="s">
        <v>52</v>
      </c>
      <c r="C7" s="9" t="s">
        <v>52</v>
      </c>
      <c r="D7" s="10">
        <v>1</v>
      </c>
      <c r="E7" s="11">
        <f>'공종별내역서(총체)'!F47</f>
        <v>0</v>
      </c>
      <c r="F7" s="11">
        <f t="shared" si="0"/>
        <v>0</v>
      </c>
      <c r="G7" s="11">
        <f>'공종별내역서(총체)'!H47</f>
        <v>0</v>
      </c>
      <c r="H7" s="11">
        <f t="shared" si="1"/>
        <v>0</v>
      </c>
      <c r="I7" s="11">
        <f>'공종별내역서(총체)'!J47</f>
        <v>0</v>
      </c>
      <c r="J7" s="11">
        <f t="shared" si="2"/>
        <v>0</v>
      </c>
      <c r="K7" s="11">
        <f t="shared" si="3"/>
        <v>0</v>
      </c>
      <c r="L7" s="11">
        <f t="shared" si="4"/>
        <v>0</v>
      </c>
      <c r="M7" s="9" t="s">
        <v>52</v>
      </c>
      <c r="N7" s="2" t="s">
        <v>96</v>
      </c>
      <c r="O7" s="2" t="s">
        <v>52</v>
      </c>
      <c r="P7" s="2" t="s">
        <v>53</v>
      </c>
      <c r="Q7" s="2" t="s">
        <v>52</v>
      </c>
      <c r="R7" s="3">
        <v>2</v>
      </c>
      <c r="S7" s="2" t="s">
        <v>52</v>
      </c>
      <c r="T7" s="7"/>
    </row>
    <row r="8" spans="1:20" ht="30" customHeight="1" x14ac:dyDescent="0.3">
      <c r="A8" s="9" t="s">
        <v>126</v>
      </c>
      <c r="B8" s="9" t="s">
        <v>52</v>
      </c>
      <c r="C8" s="9" t="s">
        <v>52</v>
      </c>
      <c r="D8" s="10">
        <v>1</v>
      </c>
      <c r="E8" s="11">
        <f>'공종별내역서(총체)'!F69</f>
        <v>0</v>
      </c>
      <c r="F8" s="11">
        <f t="shared" si="0"/>
        <v>0</v>
      </c>
      <c r="G8" s="11">
        <f>'공종별내역서(총체)'!H69</f>
        <v>0</v>
      </c>
      <c r="H8" s="11">
        <f t="shared" si="1"/>
        <v>0</v>
      </c>
      <c r="I8" s="11">
        <f>'공종별내역서(총체)'!J69</f>
        <v>0</v>
      </c>
      <c r="J8" s="11">
        <f t="shared" si="2"/>
        <v>0</v>
      </c>
      <c r="K8" s="11">
        <f t="shared" si="3"/>
        <v>0</v>
      </c>
      <c r="L8" s="11">
        <f t="shared" si="4"/>
        <v>0</v>
      </c>
      <c r="M8" s="9" t="s">
        <v>52</v>
      </c>
      <c r="N8" s="2" t="s">
        <v>127</v>
      </c>
      <c r="O8" s="2" t="s">
        <v>52</v>
      </c>
      <c r="P8" s="2" t="s">
        <v>53</v>
      </c>
      <c r="Q8" s="2" t="s">
        <v>52</v>
      </c>
      <c r="R8" s="3">
        <v>2</v>
      </c>
      <c r="S8" s="2" t="s">
        <v>52</v>
      </c>
      <c r="T8" s="7"/>
    </row>
    <row r="9" spans="1:20" ht="30" customHeight="1" x14ac:dyDescent="0.3">
      <c r="A9" s="9" t="s">
        <v>162</v>
      </c>
      <c r="B9" s="9" t="s">
        <v>52</v>
      </c>
      <c r="C9" s="9" t="s">
        <v>52</v>
      </c>
      <c r="D9" s="10">
        <v>1</v>
      </c>
      <c r="E9" s="11">
        <f>'공종별내역서(총체)'!F135</f>
        <v>0</v>
      </c>
      <c r="F9" s="11">
        <f t="shared" si="0"/>
        <v>0</v>
      </c>
      <c r="G9" s="11">
        <f>'공종별내역서(총체)'!H135</f>
        <v>0</v>
      </c>
      <c r="H9" s="11">
        <f t="shared" si="1"/>
        <v>0</v>
      </c>
      <c r="I9" s="11">
        <f>'공종별내역서(총체)'!J135</f>
        <v>0</v>
      </c>
      <c r="J9" s="11">
        <f t="shared" si="2"/>
        <v>0</v>
      </c>
      <c r="K9" s="11">
        <f t="shared" si="3"/>
        <v>0</v>
      </c>
      <c r="L9" s="11">
        <f t="shared" si="4"/>
        <v>0</v>
      </c>
      <c r="M9" s="9" t="s">
        <v>52</v>
      </c>
      <c r="N9" s="2" t="s">
        <v>163</v>
      </c>
      <c r="O9" s="2" t="s">
        <v>52</v>
      </c>
      <c r="P9" s="2" t="s">
        <v>53</v>
      </c>
      <c r="Q9" s="2" t="s">
        <v>52</v>
      </c>
      <c r="R9" s="3">
        <v>2</v>
      </c>
      <c r="S9" s="2" t="s">
        <v>52</v>
      </c>
      <c r="T9" s="7"/>
    </row>
    <row r="10" spans="1:20" ht="30" customHeight="1" x14ac:dyDescent="0.3">
      <c r="A10" s="9" t="s">
        <v>327</v>
      </c>
      <c r="B10" s="9" t="s">
        <v>52</v>
      </c>
      <c r="C10" s="9" t="s">
        <v>52</v>
      </c>
      <c r="D10" s="10">
        <v>1</v>
      </c>
      <c r="E10" s="11">
        <f>'공종별내역서(총체)'!F157</f>
        <v>0</v>
      </c>
      <c r="F10" s="11">
        <f t="shared" si="0"/>
        <v>0</v>
      </c>
      <c r="G10" s="11">
        <f>'공종별내역서(총체)'!H157</f>
        <v>0</v>
      </c>
      <c r="H10" s="11">
        <f t="shared" si="1"/>
        <v>0</v>
      </c>
      <c r="I10" s="11">
        <f>'공종별내역서(총체)'!J157</f>
        <v>0</v>
      </c>
      <c r="J10" s="11">
        <f t="shared" si="2"/>
        <v>0</v>
      </c>
      <c r="K10" s="11">
        <f t="shared" si="3"/>
        <v>0</v>
      </c>
      <c r="L10" s="11">
        <f t="shared" si="4"/>
        <v>0</v>
      </c>
      <c r="M10" s="9" t="s">
        <v>52</v>
      </c>
      <c r="N10" s="2" t="s">
        <v>328</v>
      </c>
      <c r="O10" s="2" t="s">
        <v>52</v>
      </c>
      <c r="P10" s="2" t="s">
        <v>53</v>
      </c>
      <c r="Q10" s="2" t="s">
        <v>52</v>
      </c>
      <c r="R10" s="3">
        <v>2</v>
      </c>
      <c r="S10" s="2" t="s">
        <v>52</v>
      </c>
      <c r="T10" s="7"/>
    </row>
    <row r="11" spans="1:20" ht="30" customHeight="1" x14ac:dyDescent="0.3">
      <c r="A11" s="9" t="s">
        <v>360</v>
      </c>
      <c r="B11" s="9" t="s">
        <v>52</v>
      </c>
      <c r="C11" s="9" t="s">
        <v>52</v>
      </c>
      <c r="D11" s="10">
        <v>1</v>
      </c>
      <c r="E11" s="11">
        <f>'공종별내역서(총체)'!F179</f>
        <v>0</v>
      </c>
      <c r="F11" s="11">
        <f t="shared" si="0"/>
        <v>0</v>
      </c>
      <c r="G11" s="11">
        <f>'공종별내역서(총체)'!H179</f>
        <v>0</v>
      </c>
      <c r="H11" s="11">
        <f t="shared" si="1"/>
        <v>0</v>
      </c>
      <c r="I11" s="11">
        <f>'공종별내역서(총체)'!J179</f>
        <v>0</v>
      </c>
      <c r="J11" s="11">
        <f t="shared" si="2"/>
        <v>0</v>
      </c>
      <c r="K11" s="11">
        <f t="shared" si="3"/>
        <v>0</v>
      </c>
      <c r="L11" s="11">
        <f t="shared" si="4"/>
        <v>0</v>
      </c>
      <c r="M11" s="9" t="s">
        <v>52</v>
      </c>
      <c r="N11" s="2" t="s">
        <v>361</v>
      </c>
      <c r="O11" s="2" t="s">
        <v>52</v>
      </c>
      <c r="P11" s="2" t="s">
        <v>53</v>
      </c>
      <c r="Q11" s="2" t="s">
        <v>52</v>
      </c>
      <c r="R11" s="3">
        <v>2</v>
      </c>
      <c r="S11" s="2" t="s">
        <v>52</v>
      </c>
      <c r="T11" s="7"/>
    </row>
    <row r="12" spans="1:20" ht="30" customHeight="1" x14ac:dyDescent="0.3">
      <c r="A12" s="9" t="s">
        <v>385</v>
      </c>
      <c r="B12" s="9" t="s">
        <v>52</v>
      </c>
      <c r="C12" s="9" t="s">
        <v>52</v>
      </c>
      <c r="D12" s="10">
        <v>1</v>
      </c>
      <c r="E12" s="11">
        <f>'공종별내역서(총체)'!F201</f>
        <v>0</v>
      </c>
      <c r="F12" s="11">
        <f t="shared" si="0"/>
        <v>0</v>
      </c>
      <c r="G12" s="11">
        <f>'공종별내역서(총체)'!H201</f>
        <v>0</v>
      </c>
      <c r="H12" s="11">
        <f t="shared" si="1"/>
        <v>0</v>
      </c>
      <c r="I12" s="11">
        <f>'공종별내역서(총체)'!J201</f>
        <v>0</v>
      </c>
      <c r="J12" s="11">
        <f t="shared" si="2"/>
        <v>0</v>
      </c>
      <c r="K12" s="11">
        <f t="shared" si="3"/>
        <v>0</v>
      </c>
      <c r="L12" s="11">
        <f t="shared" si="4"/>
        <v>0</v>
      </c>
      <c r="M12" s="9" t="s">
        <v>52</v>
      </c>
      <c r="N12" s="2" t="s">
        <v>386</v>
      </c>
      <c r="O12" s="2" t="s">
        <v>52</v>
      </c>
      <c r="P12" s="2" t="s">
        <v>53</v>
      </c>
      <c r="Q12" s="2" t="s">
        <v>52</v>
      </c>
      <c r="R12" s="3">
        <v>2</v>
      </c>
      <c r="S12" s="2" t="s">
        <v>52</v>
      </c>
      <c r="T12" s="7"/>
    </row>
    <row r="13" spans="1:20" ht="30" customHeight="1" x14ac:dyDescent="0.3">
      <c r="A13" s="9" t="s">
        <v>406</v>
      </c>
      <c r="B13" s="9" t="s">
        <v>52</v>
      </c>
      <c r="C13" s="9" t="s">
        <v>52</v>
      </c>
      <c r="D13" s="10">
        <v>1</v>
      </c>
      <c r="E13" s="11">
        <f>'공종별내역서(총체)'!F267</f>
        <v>0</v>
      </c>
      <c r="F13" s="11">
        <f t="shared" si="0"/>
        <v>0</v>
      </c>
      <c r="G13" s="11">
        <f>'공종별내역서(총체)'!H267</f>
        <v>0</v>
      </c>
      <c r="H13" s="11">
        <f t="shared" si="1"/>
        <v>0</v>
      </c>
      <c r="I13" s="11">
        <f>'공종별내역서(총체)'!J267</f>
        <v>0</v>
      </c>
      <c r="J13" s="11">
        <f t="shared" si="2"/>
        <v>0</v>
      </c>
      <c r="K13" s="11">
        <f t="shared" si="3"/>
        <v>0</v>
      </c>
      <c r="L13" s="11">
        <f t="shared" si="4"/>
        <v>0</v>
      </c>
      <c r="M13" s="9" t="s">
        <v>52</v>
      </c>
      <c r="N13" s="2" t="s">
        <v>407</v>
      </c>
      <c r="O13" s="2" t="s">
        <v>52</v>
      </c>
      <c r="P13" s="2" t="s">
        <v>53</v>
      </c>
      <c r="Q13" s="2" t="s">
        <v>52</v>
      </c>
      <c r="R13" s="3">
        <v>2</v>
      </c>
      <c r="S13" s="2" t="s">
        <v>52</v>
      </c>
      <c r="T13" s="7"/>
    </row>
    <row r="14" spans="1:20" ht="30" customHeight="1" x14ac:dyDescent="0.3">
      <c r="A14" s="9" t="s">
        <v>623</v>
      </c>
      <c r="B14" s="9" t="s">
        <v>52</v>
      </c>
      <c r="C14" s="9" t="s">
        <v>52</v>
      </c>
      <c r="D14" s="10">
        <v>1</v>
      </c>
      <c r="E14" s="11">
        <f>'공종별내역서(총체)'!F289</f>
        <v>0</v>
      </c>
      <c r="F14" s="11">
        <f t="shared" si="0"/>
        <v>0</v>
      </c>
      <c r="G14" s="11">
        <f>'공종별내역서(총체)'!H289</f>
        <v>0</v>
      </c>
      <c r="H14" s="11">
        <f t="shared" si="1"/>
        <v>0</v>
      </c>
      <c r="I14" s="11">
        <f>'공종별내역서(총체)'!J289</f>
        <v>0</v>
      </c>
      <c r="J14" s="11">
        <f t="shared" si="2"/>
        <v>0</v>
      </c>
      <c r="K14" s="11">
        <f t="shared" si="3"/>
        <v>0</v>
      </c>
      <c r="L14" s="11">
        <f t="shared" si="4"/>
        <v>0</v>
      </c>
      <c r="M14" s="9" t="s">
        <v>52</v>
      </c>
      <c r="N14" s="2" t="s">
        <v>624</v>
      </c>
      <c r="O14" s="2" t="s">
        <v>52</v>
      </c>
      <c r="P14" s="2" t="s">
        <v>53</v>
      </c>
      <c r="Q14" s="2" t="s">
        <v>52</v>
      </c>
      <c r="R14" s="3">
        <v>2</v>
      </c>
      <c r="S14" s="2" t="s">
        <v>52</v>
      </c>
      <c r="T14" s="7"/>
    </row>
    <row r="15" spans="1:20" ht="30" customHeight="1" x14ac:dyDescent="0.3">
      <c r="A15" s="9" t="s">
        <v>629</v>
      </c>
      <c r="B15" s="9" t="s">
        <v>52</v>
      </c>
      <c r="C15" s="9" t="s">
        <v>52</v>
      </c>
      <c r="D15" s="10">
        <v>1</v>
      </c>
      <c r="E15" s="11">
        <f>'공종별내역서(총체)'!F311</f>
        <v>0</v>
      </c>
      <c r="F15" s="11">
        <f t="shared" si="0"/>
        <v>0</v>
      </c>
      <c r="G15" s="11">
        <f>'공종별내역서(총체)'!H311</f>
        <v>0</v>
      </c>
      <c r="H15" s="11">
        <f t="shared" si="1"/>
        <v>0</v>
      </c>
      <c r="I15" s="11">
        <f>'공종별내역서(총체)'!J311</f>
        <v>0</v>
      </c>
      <c r="J15" s="11">
        <f t="shared" si="2"/>
        <v>0</v>
      </c>
      <c r="K15" s="11">
        <f t="shared" si="3"/>
        <v>0</v>
      </c>
      <c r="L15" s="11">
        <f t="shared" si="4"/>
        <v>0</v>
      </c>
      <c r="M15" s="9" t="s">
        <v>52</v>
      </c>
      <c r="N15" s="2" t="s">
        <v>630</v>
      </c>
      <c r="O15" s="2" t="s">
        <v>52</v>
      </c>
      <c r="P15" s="2" t="s">
        <v>53</v>
      </c>
      <c r="Q15" s="2" t="s">
        <v>52</v>
      </c>
      <c r="R15" s="3">
        <v>2</v>
      </c>
      <c r="S15" s="2" t="s">
        <v>52</v>
      </c>
      <c r="T15" s="7"/>
    </row>
    <row r="16" spans="1:20" ht="30" customHeight="1" x14ac:dyDescent="0.3">
      <c r="A16" s="9" t="s">
        <v>654</v>
      </c>
      <c r="B16" s="9" t="s">
        <v>52</v>
      </c>
      <c r="C16" s="9" t="s">
        <v>52</v>
      </c>
      <c r="D16" s="10">
        <v>1</v>
      </c>
      <c r="E16" s="11">
        <f>'공종별내역서(총체)'!F333</f>
        <v>0</v>
      </c>
      <c r="F16" s="11">
        <f t="shared" si="0"/>
        <v>0</v>
      </c>
      <c r="G16" s="11">
        <f>'공종별내역서(총체)'!H333</f>
        <v>0</v>
      </c>
      <c r="H16" s="11">
        <f t="shared" si="1"/>
        <v>0</v>
      </c>
      <c r="I16" s="11">
        <f>'공종별내역서(총체)'!J333</f>
        <v>0</v>
      </c>
      <c r="J16" s="11">
        <f t="shared" si="2"/>
        <v>0</v>
      </c>
      <c r="K16" s="11">
        <f t="shared" si="3"/>
        <v>0</v>
      </c>
      <c r="L16" s="11">
        <f t="shared" si="4"/>
        <v>0</v>
      </c>
      <c r="M16" s="9" t="s">
        <v>52</v>
      </c>
      <c r="N16" s="2" t="s">
        <v>655</v>
      </c>
      <c r="O16" s="2" t="s">
        <v>52</v>
      </c>
      <c r="P16" s="2" t="s">
        <v>53</v>
      </c>
      <c r="Q16" s="2" t="s">
        <v>52</v>
      </c>
      <c r="R16" s="3">
        <v>2</v>
      </c>
      <c r="S16" s="2" t="s">
        <v>52</v>
      </c>
      <c r="T16" s="7"/>
    </row>
    <row r="17" spans="1:20" ht="30" customHeight="1" x14ac:dyDescent="0.3">
      <c r="A17" s="9" t="s">
        <v>721</v>
      </c>
      <c r="B17" s="9" t="s">
        <v>52</v>
      </c>
      <c r="C17" s="9" t="s">
        <v>52</v>
      </c>
      <c r="D17" s="10">
        <v>1</v>
      </c>
      <c r="E17" s="11">
        <f>'공종별내역서(총체)'!F355</f>
        <v>0</v>
      </c>
      <c r="F17" s="11">
        <f t="shared" si="0"/>
        <v>0</v>
      </c>
      <c r="G17" s="11">
        <f>'공종별내역서(총체)'!H355</f>
        <v>0</v>
      </c>
      <c r="H17" s="11">
        <f t="shared" si="1"/>
        <v>0</v>
      </c>
      <c r="I17" s="11">
        <f>'공종별내역서(총체)'!J355</f>
        <v>0</v>
      </c>
      <c r="J17" s="11">
        <f t="shared" si="2"/>
        <v>0</v>
      </c>
      <c r="K17" s="11">
        <f t="shared" si="3"/>
        <v>0</v>
      </c>
      <c r="L17" s="11">
        <f t="shared" si="4"/>
        <v>0</v>
      </c>
      <c r="M17" s="9" t="s">
        <v>52</v>
      </c>
      <c r="N17" s="2" t="s">
        <v>722</v>
      </c>
      <c r="O17" s="2" t="s">
        <v>52</v>
      </c>
      <c r="P17" s="2" t="s">
        <v>52</v>
      </c>
      <c r="Q17" s="2" t="s">
        <v>723</v>
      </c>
      <c r="R17" s="3">
        <v>2</v>
      </c>
      <c r="S17" s="2" t="s">
        <v>52</v>
      </c>
      <c r="T17" s="7">
        <f>L17*1</f>
        <v>0</v>
      </c>
    </row>
    <row r="18" spans="1:20" ht="30" customHeight="1" x14ac:dyDescent="0.3">
      <c r="A18" s="9" t="s">
        <v>741</v>
      </c>
      <c r="B18" s="9" t="s">
        <v>52</v>
      </c>
      <c r="C18" s="9" t="s">
        <v>52</v>
      </c>
      <c r="D18" s="10">
        <v>1</v>
      </c>
      <c r="E18" s="11">
        <f>'공종별내역서(총체)'!F377</f>
        <v>0</v>
      </c>
      <c r="F18" s="11">
        <f t="shared" si="0"/>
        <v>0</v>
      </c>
      <c r="G18" s="11">
        <f>'공종별내역서(총체)'!H377</f>
        <v>0</v>
      </c>
      <c r="H18" s="11">
        <f t="shared" si="1"/>
        <v>0</v>
      </c>
      <c r="I18" s="11">
        <f>'공종별내역서(총체)'!J377</f>
        <v>0</v>
      </c>
      <c r="J18" s="11">
        <f t="shared" si="2"/>
        <v>0</v>
      </c>
      <c r="K18" s="11">
        <f t="shared" si="3"/>
        <v>0</v>
      </c>
      <c r="L18" s="11">
        <f t="shared" si="4"/>
        <v>0</v>
      </c>
      <c r="M18" s="9" t="s">
        <v>52</v>
      </c>
      <c r="N18" s="2" t="s">
        <v>742</v>
      </c>
      <c r="O18" s="2" t="s">
        <v>52</v>
      </c>
      <c r="P18" s="2" t="s">
        <v>52</v>
      </c>
      <c r="Q18" s="2" t="s">
        <v>743</v>
      </c>
      <c r="R18" s="3">
        <v>2</v>
      </c>
      <c r="S18" s="2" t="s">
        <v>52</v>
      </c>
      <c r="T18" s="7">
        <f>L18*1</f>
        <v>0</v>
      </c>
    </row>
    <row r="19" spans="1:20" ht="30" customHeight="1" x14ac:dyDescent="0.3">
      <c r="A19" s="9" t="s">
        <v>749</v>
      </c>
      <c r="B19" s="9" t="s">
        <v>52</v>
      </c>
      <c r="C19" s="9" t="s">
        <v>52</v>
      </c>
      <c r="D19" s="10">
        <v>1</v>
      </c>
      <c r="E19" s="11">
        <f>'공종별내역서(총체)'!F399</f>
        <v>0</v>
      </c>
      <c r="F19" s="11">
        <f t="shared" si="0"/>
        <v>0</v>
      </c>
      <c r="G19" s="11">
        <f>'공종별내역서(총체)'!H399</f>
        <v>0</v>
      </c>
      <c r="H19" s="11">
        <f t="shared" si="1"/>
        <v>0</v>
      </c>
      <c r="I19" s="11">
        <f>'공종별내역서(총체)'!J399</f>
        <v>0</v>
      </c>
      <c r="J19" s="11">
        <f t="shared" si="2"/>
        <v>0</v>
      </c>
      <c r="K19" s="11">
        <f t="shared" si="3"/>
        <v>0</v>
      </c>
      <c r="L19" s="11">
        <f t="shared" si="4"/>
        <v>0</v>
      </c>
      <c r="M19" s="9" t="s">
        <v>52</v>
      </c>
      <c r="N19" s="2" t="s">
        <v>750</v>
      </c>
      <c r="O19" s="2" t="s">
        <v>52</v>
      </c>
      <c r="P19" s="2" t="s">
        <v>52</v>
      </c>
      <c r="Q19" s="2" t="s">
        <v>751</v>
      </c>
      <c r="R19" s="3">
        <v>2</v>
      </c>
      <c r="S19" s="2" t="s">
        <v>52</v>
      </c>
      <c r="T19" s="7">
        <f>L19*1</f>
        <v>0</v>
      </c>
    </row>
    <row r="20" spans="1:20" ht="30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T20" s="6"/>
    </row>
    <row r="21" spans="1:20" ht="30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T21" s="6"/>
    </row>
    <row r="22" spans="1:20" ht="30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T22" s="6"/>
    </row>
    <row r="23" spans="1:20" ht="30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T23" s="6"/>
    </row>
    <row r="24" spans="1:20" ht="30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T24" s="6"/>
    </row>
    <row r="25" spans="1:20" ht="30" customHeight="1" x14ac:dyDescent="0.3">
      <c r="A25" s="9" t="s">
        <v>93</v>
      </c>
      <c r="B25" s="10"/>
      <c r="C25" s="10"/>
      <c r="D25" s="10"/>
      <c r="E25" s="10"/>
      <c r="F25" s="11">
        <f>F5</f>
        <v>0</v>
      </c>
      <c r="G25" s="10"/>
      <c r="H25" s="11">
        <f>H5</f>
        <v>0</v>
      </c>
      <c r="I25" s="10"/>
      <c r="J25" s="11">
        <f>J5</f>
        <v>0</v>
      </c>
      <c r="K25" s="10"/>
      <c r="L25" s="11">
        <f>L5</f>
        <v>0</v>
      </c>
      <c r="M25" s="10"/>
      <c r="T25" s="6"/>
    </row>
  </sheetData>
  <mergeCells count="18">
    <mergeCell ref="S3:S4"/>
    <mergeCell ref="T3:T4"/>
    <mergeCell ref="M3:M4"/>
    <mergeCell ref="N3:N4"/>
    <mergeCell ref="O3:O4"/>
    <mergeCell ref="P3:P4"/>
    <mergeCell ref="Q3:Q4"/>
    <mergeCell ref="R3:R4"/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399"/>
  <sheetViews>
    <sheetView view="pageBreakPreview" zoomScaleNormal="100" zoomScaleSheetLayoutView="100" workbookViewId="0">
      <selection activeCell="D395" sqref="D395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 x14ac:dyDescent="0.3">
      <c r="A1" s="40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48" ht="30" customHeight="1" x14ac:dyDescent="0.3">
      <c r="A2" s="41" t="s">
        <v>2</v>
      </c>
      <c r="B2" s="41" t="s">
        <v>3</v>
      </c>
      <c r="C2" s="41" t="s">
        <v>4</v>
      </c>
      <c r="D2" s="41" t="s">
        <v>5</v>
      </c>
      <c r="E2" s="41" t="s">
        <v>6</v>
      </c>
      <c r="F2" s="41"/>
      <c r="G2" s="41" t="s">
        <v>9</v>
      </c>
      <c r="H2" s="41"/>
      <c r="I2" s="41" t="s">
        <v>10</v>
      </c>
      <c r="J2" s="41"/>
      <c r="K2" s="41" t="s">
        <v>11</v>
      </c>
      <c r="L2" s="41"/>
      <c r="M2" s="41" t="s">
        <v>12</v>
      </c>
      <c r="N2" s="43" t="s">
        <v>20</v>
      </c>
      <c r="O2" s="43" t="s">
        <v>14</v>
      </c>
      <c r="P2" s="43" t="s">
        <v>21</v>
      </c>
      <c r="Q2" s="43" t="s">
        <v>13</v>
      </c>
      <c r="R2" s="43" t="s">
        <v>22</v>
      </c>
      <c r="S2" s="43" t="s">
        <v>23</v>
      </c>
      <c r="T2" s="43" t="s">
        <v>24</v>
      </c>
      <c r="U2" s="43" t="s">
        <v>25</v>
      </c>
      <c r="V2" s="43" t="s">
        <v>26</v>
      </c>
      <c r="W2" s="43" t="s">
        <v>27</v>
      </c>
      <c r="X2" s="43" t="s">
        <v>28</v>
      </c>
      <c r="Y2" s="43" t="s">
        <v>29</v>
      </c>
      <c r="Z2" s="43" t="s">
        <v>30</v>
      </c>
      <c r="AA2" s="43" t="s">
        <v>31</v>
      </c>
      <c r="AB2" s="43" t="s">
        <v>32</v>
      </c>
      <c r="AC2" s="43" t="s">
        <v>33</v>
      </c>
      <c r="AD2" s="43" t="s">
        <v>34</v>
      </c>
      <c r="AE2" s="43" t="s">
        <v>35</v>
      </c>
      <c r="AF2" s="43" t="s">
        <v>36</v>
      </c>
      <c r="AG2" s="43" t="s">
        <v>37</v>
      </c>
      <c r="AH2" s="43" t="s">
        <v>38</v>
      </c>
      <c r="AI2" s="43" t="s">
        <v>39</v>
      </c>
      <c r="AJ2" s="43" t="s">
        <v>40</v>
      </c>
      <c r="AK2" s="43" t="s">
        <v>41</v>
      </c>
      <c r="AL2" s="43" t="s">
        <v>42</v>
      </c>
      <c r="AM2" s="43" t="s">
        <v>43</v>
      </c>
      <c r="AN2" s="43" t="s">
        <v>44</v>
      </c>
      <c r="AO2" s="43" t="s">
        <v>45</v>
      </c>
      <c r="AP2" s="43" t="s">
        <v>46</v>
      </c>
      <c r="AQ2" s="43" t="s">
        <v>47</v>
      </c>
      <c r="AR2" s="43" t="s">
        <v>48</v>
      </c>
      <c r="AS2" s="43" t="s">
        <v>16</v>
      </c>
      <c r="AT2" s="43" t="s">
        <v>17</v>
      </c>
      <c r="AU2" s="43" t="s">
        <v>49</v>
      </c>
      <c r="AV2" s="43" t="s">
        <v>50</v>
      </c>
    </row>
    <row r="3" spans="1:48" ht="30" customHeight="1" x14ac:dyDescent="0.3">
      <c r="A3" s="41"/>
      <c r="B3" s="41"/>
      <c r="C3" s="41"/>
      <c r="D3" s="41"/>
      <c r="E3" s="5" t="s">
        <v>7</v>
      </c>
      <c r="F3" s="5" t="s">
        <v>8</v>
      </c>
      <c r="G3" s="5" t="s">
        <v>7</v>
      </c>
      <c r="H3" s="5" t="s">
        <v>8</v>
      </c>
      <c r="I3" s="5" t="s">
        <v>7</v>
      </c>
      <c r="J3" s="5" t="s">
        <v>8</v>
      </c>
      <c r="K3" s="5" t="s">
        <v>7</v>
      </c>
      <c r="L3" s="5" t="s">
        <v>8</v>
      </c>
      <c r="M3" s="41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48" ht="30" customHeight="1" x14ac:dyDescent="0.3">
      <c r="A4" s="9" t="s">
        <v>54</v>
      </c>
      <c r="B4" s="9" t="s">
        <v>52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3"/>
      <c r="O4" s="3"/>
      <c r="P4" s="3"/>
      <c r="Q4" s="2" t="s">
        <v>55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ht="30" customHeight="1" x14ac:dyDescent="0.3">
      <c r="A5" s="9" t="s">
        <v>56</v>
      </c>
      <c r="B5" s="9" t="s">
        <v>57</v>
      </c>
      <c r="C5" s="9" t="s">
        <v>58</v>
      </c>
      <c r="D5" s="10">
        <v>3</v>
      </c>
      <c r="E5" s="12">
        <f>TRUNC('일위대가목록(총체)'!E4,0)</f>
        <v>0</v>
      </c>
      <c r="F5" s="12">
        <f t="shared" ref="F5:F12" si="0">TRUNC(E5*D5, 0)</f>
        <v>0</v>
      </c>
      <c r="G5" s="12">
        <f>TRUNC('일위대가목록(총체)'!F4,0)</f>
        <v>0</v>
      </c>
      <c r="H5" s="12">
        <f t="shared" ref="H5:H12" si="1">TRUNC(G5*D5, 0)</f>
        <v>0</v>
      </c>
      <c r="I5" s="12">
        <f>TRUNC('일위대가목록(총체)'!G4,0)</f>
        <v>0</v>
      </c>
      <c r="J5" s="12">
        <f t="shared" ref="J5:J12" si="2">TRUNC(I5*D5, 0)</f>
        <v>0</v>
      </c>
      <c r="K5" s="12">
        <f t="shared" ref="K5:L12" si="3">TRUNC(E5+G5+I5, 0)</f>
        <v>0</v>
      </c>
      <c r="L5" s="12">
        <f t="shared" si="3"/>
        <v>0</v>
      </c>
      <c r="M5" s="9" t="s">
        <v>52</v>
      </c>
      <c r="N5" s="2" t="s">
        <v>59</v>
      </c>
      <c r="O5" s="2" t="s">
        <v>52</v>
      </c>
      <c r="P5" s="2" t="s">
        <v>52</v>
      </c>
      <c r="Q5" s="2" t="s">
        <v>55</v>
      </c>
      <c r="R5" s="2" t="s">
        <v>60</v>
      </c>
      <c r="S5" s="2" t="s">
        <v>61</v>
      </c>
      <c r="T5" s="2" t="s">
        <v>61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2" t="s">
        <v>52</v>
      </c>
      <c r="AS5" s="2" t="s">
        <v>52</v>
      </c>
      <c r="AT5" s="3"/>
      <c r="AU5" s="2" t="s">
        <v>62</v>
      </c>
      <c r="AV5" s="3">
        <v>3</v>
      </c>
    </row>
    <row r="6" spans="1:48" ht="30" customHeight="1" x14ac:dyDescent="0.3">
      <c r="A6" s="9" t="s">
        <v>63</v>
      </c>
      <c r="B6" s="9" t="s">
        <v>57</v>
      </c>
      <c r="C6" s="9" t="s">
        <v>58</v>
      </c>
      <c r="D6" s="10">
        <v>1</v>
      </c>
      <c r="E6" s="12">
        <f>TRUNC('일위대가목록(총체)'!E5,0)</f>
        <v>0</v>
      </c>
      <c r="F6" s="12">
        <f t="shared" si="0"/>
        <v>0</v>
      </c>
      <c r="G6" s="12">
        <f>TRUNC('일위대가목록(총체)'!F5,0)</f>
        <v>0</v>
      </c>
      <c r="H6" s="12">
        <f t="shared" si="1"/>
        <v>0</v>
      </c>
      <c r="I6" s="12">
        <f>TRUNC('일위대가목록(총체)'!G5,0)</f>
        <v>0</v>
      </c>
      <c r="J6" s="12">
        <f t="shared" si="2"/>
        <v>0</v>
      </c>
      <c r="K6" s="12">
        <f t="shared" si="3"/>
        <v>0</v>
      </c>
      <c r="L6" s="12">
        <f t="shared" si="3"/>
        <v>0</v>
      </c>
      <c r="M6" s="9" t="s">
        <v>52</v>
      </c>
      <c r="N6" s="2" t="s">
        <v>64</v>
      </c>
      <c r="O6" s="2" t="s">
        <v>52</v>
      </c>
      <c r="P6" s="2" t="s">
        <v>52</v>
      </c>
      <c r="Q6" s="2" t="s">
        <v>55</v>
      </c>
      <c r="R6" s="2" t="s">
        <v>60</v>
      </c>
      <c r="S6" s="2" t="s">
        <v>61</v>
      </c>
      <c r="T6" s="2" t="s">
        <v>61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2" t="s">
        <v>52</v>
      </c>
      <c r="AS6" s="2" t="s">
        <v>52</v>
      </c>
      <c r="AT6" s="3"/>
      <c r="AU6" s="2" t="s">
        <v>65</v>
      </c>
      <c r="AV6" s="3">
        <v>4</v>
      </c>
    </row>
    <row r="7" spans="1:48" ht="30" customHeight="1" x14ac:dyDescent="0.3">
      <c r="A7" s="9" t="s">
        <v>66</v>
      </c>
      <c r="B7" s="9" t="s">
        <v>67</v>
      </c>
      <c r="C7" s="9" t="s">
        <v>68</v>
      </c>
      <c r="D7" s="10">
        <v>245</v>
      </c>
      <c r="E7" s="12">
        <f>TRUNC('일위대가목록(총체)'!E6,0)</f>
        <v>0</v>
      </c>
      <c r="F7" s="12">
        <f t="shared" si="0"/>
        <v>0</v>
      </c>
      <c r="G7" s="12">
        <f>TRUNC('일위대가목록(총체)'!F6,0)</f>
        <v>0</v>
      </c>
      <c r="H7" s="12">
        <f t="shared" si="1"/>
        <v>0</v>
      </c>
      <c r="I7" s="12">
        <f>TRUNC('일위대가목록(총체)'!G6,0)</f>
        <v>0</v>
      </c>
      <c r="J7" s="12">
        <f t="shared" si="2"/>
        <v>0</v>
      </c>
      <c r="K7" s="12">
        <f t="shared" si="3"/>
        <v>0</v>
      </c>
      <c r="L7" s="12">
        <f t="shared" si="3"/>
        <v>0</v>
      </c>
      <c r="M7" s="9" t="s">
        <v>52</v>
      </c>
      <c r="N7" s="2" t="s">
        <v>69</v>
      </c>
      <c r="O7" s="2" t="s">
        <v>52</v>
      </c>
      <c r="P7" s="2" t="s">
        <v>52</v>
      </c>
      <c r="Q7" s="2" t="s">
        <v>55</v>
      </c>
      <c r="R7" s="2" t="s">
        <v>60</v>
      </c>
      <c r="S7" s="2" t="s">
        <v>61</v>
      </c>
      <c r="T7" s="2" t="s">
        <v>61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2" t="s">
        <v>52</v>
      </c>
      <c r="AS7" s="2" t="s">
        <v>52</v>
      </c>
      <c r="AT7" s="3"/>
      <c r="AU7" s="2" t="s">
        <v>70</v>
      </c>
      <c r="AV7" s="3">
        <v>5</v>
      </c>
    </row>
    <row r="8" spans="1:48" ht="30" customHeight="1" x14ac:dyDescent="0.3">
      <c r="A8" s="9" t="s">
        <v>71</v>
      </c>
      <c r="B8" s="9" t="s">
        <v>72</v>
      </c>
      <c r="C8" s="9" t="s">
        <v>73</v>
      </c>
      <c r="D8" s="10">
        <v>2</v>
      </c>
      <c r="E8" s="12">
        <f>TRUNC('일위대가목록(총체)'!E7,0)</f>
        <v>0</v>
      </c>
      <c r="F8" s="12">
        <f t="shared" si="0"/>
        <v>0</v>
      </c>
      <c r="G8" s="12">
        <f>TRUNC('일위대가목록(총체)'!F7,0)</f>
        <v>0</v>
      </c>
      <c r="H8" s="12">
        <f t="shared" si="1"/>
        <v>0</v>
      </c>
      <c r="I8" s="12">
        <f>TRUNC('일위대가목록(총체)'!G7,0)</f>
        <v>0</v>
      </c>
      <c r="J8" s="12">
        <f t="shared" si="2"/>
        <v>0</v>
      </c>
      <c r="K8" s="12">
        <f t="shared" si="3"/>
        <v>0</v>
      </c>
      <c r="L8" s="12">
        <f t="shared" si="3"/>
        <v>0</v>
      </c>
      <c r="M8" s="9" t="s">
        <v>52</v>
      </c>
      <c r="N8" s="2" t="s">
        <v>74</v>
      </c>
      <c r="O8" s="2" t="s">
        <v>52</v>
      </c>
      <c r="P8" s="2" t="s">
        <v>52</v>
      </c>
      <c r="Q8" s="2" t="s">
        <v>55</v>
      </c>
      <c r="R8" s="2" t="s">
        <v>60</v>
      </c>
      <c r="S8" s="2" t="s">
        <v>61</v>
      </c>
      <c r="T8" s="2" t="s">
        <v>61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2" t="s">
        <v>52</v>
      </c>
      <c r="AS8" s="2" t="s">
        <v>52</v>
      </c>
      <c r="AT8" s="3"/>
      <c r="AU8" s="2" t="s">
        <v>75</v>
      </c>
      <c r="AV8" s="3">
        <v>6</v>
      </c>
    </row>
    <row r="9" spans="1:48" ht="30" customHeight="1" x14ac:dyDescent="0.3">
      <c r="A9" s="9" t="s">
        <v>76</v>
      </c>
      <c r="B9" s="9" t="s">
        <v>77</v>
      </c>
      <c r="C9" s="9" t="s">
        <v>68</v>
      </c>
      <c r="D9" s="10">
        <v>336</v>
      </c>
      <c r="E9" s="12">
        <f>TRUNC('일위대가목록(총체)'!E8,0)</f>
        <v>0</v>
      </c>
      <c r="F9" s="12">
        <f t="shared" si="0"/>
        <v>0</v>
      </c>
      <c r="G9" s="12">
        <f>TRUNC('일위대가목록(총체)'!F8,0)</f>
        <v>0</v>
      </c>
      <c r="H9" s="12">
        <f t="shared" si="1"/>
        <v>0</v>
      </c>
      <c r="I9" s="12">
        <f>TRUNC('일위대가목록(총체)'!G8,0)</f>
        <v>0</v>
      </c>
      <c r="J9" s="12">
        <f t="shared" si="2"/>
        <v>0</v>
      </c>
      <c r="K9" s="12">
        <f t="shared" si="3"/>
        <v>0</v>
      </c>
      <c r="L9" s="12">
        <f t="shared" si="3"/>
        <v>0</v>
      </c>
      <c r="M9" s="9" t="s">
        <v>52</v>
      </c>
      <c r="N9" s="2" t="s">
        <v>78</v>
      </c>
      <c r="O9" s="2" t="s">
        <v>52</v>
      </c>
      <c r="P9" s="2" t="s">
        <v>52</v>
      </c>
      <c r="Q9" s="2" t="s">
        <v>55</v>
      </c>
      <c r="R9" s="2" t="s">
        <v>60</v>
      </c>
      <c r="S9" s="2" t="s">
        <v>61</v>
      </c>
      <c r="T9" s="2" t="s">
        <v>61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2" t="s">
        <v>52</v>
      </c>
      <c r="AS9" s="2" t="s">
        <v>52</v>
      </c>
      <c r="AT9" s="3"/>
      <c r="AU9" s="2" t="s">
        <v>79</v>
      </c>
      <c r="AV9" s="3">
        <v>7</v>
      </c>
    </row>
    <row r="10" spans="1:48" ht="30" customHeight="1" x14ac:dyDescent="0.3">
      <c r="A10" s="9" t="s">
        <v>80</v>
      </c>
      <c r="B10" s="9" t="s">
        <v>81</v>
      </c>
      <c r="C10" s="9" t="s">
        <v>82</v>
      </c>
      <c r="D10" s="10">
        <v>145</v>
      </c>
      <c r="E10" s="12">
        <f>TRUNC('일위대가목록(총체)'!E9,0)</f>
        <v>0</v>
      </c>
      <c r="F10" s="12">
        <f t="shared" si="0"/>
        <v>0</v>
      </c>
      <c r="G10" s="12">
        <f>TRUNC('일위대가목록(총체)'!F9,0)</f>
        <v>0</v>
      </c>
      <c r="H10" s="12">
        <f t="shared" si="1"/>
        <v>0</v>
      </c>
      <c r="I10" s="12">
        <f>TRUNC('일위대가목록(총체)'!G9,0)</f>
        <v>0</v>
      </c>
      <c r="J10" s="12">
        <f t="shared" si="2"/>
        <v>0</v>
      </c>
      <c r="K10" s="12">
        <f t="shared" si="3"/>
        <v>0</v>
      </c>
      <c r="L10" s="12">
        <f t="shared" si="3"/>
        <v>0</v>
      </c>
      <c r="M10" s="9" t="s">
        <v>52</v>
      </c>
      <c r="N10" s="2" t="s">
        <v>83</v>
      </c>
      <c r="O10" s="2" t="s">
        <v>52</v>
      </c>
      <c r="P10" s="2" t="s">
        <v>52</v>
      </c>
      <c r="Q10" s="2" t="s">
        <v>55</v>
      </c>
      <c r="R10" s="2" t="s">
        <v>60</v>
      </c>
      <c r="S10" s="2" t="s">
        <v>61</v>
      </c>
      <c r="T10" s="2" t="s">
        <v>61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 t="s">
        <v>52</v>
      </c>
      <c r="AS10" s="2" t="s">
        <v>52</v>
      </c>
      <c r="AT10" s="3"/>
      <c r="AU10" s="2" t="s">
        <v>84</v>
      </c>
      <c r="AV10" s="3">
        <v>100</v>
      </c>
    </row>
    <row r="11" spans="1:48" ht="30" customHeight="1" x14ac:dyDescent="0.3">
      <c r="A11" s="9" t="s">
        <v>85</v>
      </c>
      <c r="B11" s="9" t="s">
        <v>86</v>
      </c>
      <c r="C11" s="9" t="s">
        <v>87</v>
      </c>
      <c r="D11" s="10">
        <v>593</v>
      </c>
      <c r="E11" s="12">
        <f>TRUNC('단가대비표(총체)'!O35,0)</f>
        <v>0</v>
      </c>
      <c r="F11" s="12">
        <f t="shared" si="0"/>
        <v>0</v>
      </c>
      <c r="G11" s="12">
        <f>TRUNC('단가대비표(총체)'!P35,0)</f>
        <v>0</v>
      </c>
      <c r="H11" s="12">
        <f t="shared" si="1"/>
        <v>0</v>
      </c>
      <c r="I11" s="12">
        <f>TRUNC('단가대비표(총체)'!V35,0)</f>
        <v>0</v>
      </c>
      <c r="J11" s="12">
        <f t="shared" si="2"/>
        <v>0</v>
      </c>
      <c r="K11" s="12">
        <f t="shared" si="3"/>
        <v>0</v>
      </c>
      <c r="L11" s="12">
        <f t="shared" si="3"/>
        <v>0</v>
      </c>
      <c r="M11" s="9" t="s">
        <v>52</v>
      </c>
      <c r="N11" s="2" t="s">
        <v>88</v>
      </c>
      <c r="O11" s="2" t="s">
        <v>52</v>
      </c>
      <c r="P11" s="2" t="s">
        <v>52</v>
      </c>
      <c r="Q11" s="2" t="s">
        <v>55</v>
      </c>
      <c r="R11" s="2" t="s">
        <v>61</v>
      </c>
      <c r="S11" s="2" t="s">
        <v>61</v>
      </c>
      <c r="T11" s="2" t="s">
        <v>60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2" t="s">
        <v>52</v>
      </c>
      <c r="AS11" s="2" t="s">
        <v>52</v>
      </c>
      <c r="AT11" s="3"/>
      <c r="AU11" s="2" t="s">
        <v>89</v>
      </c>
      <c r="AV11" s="3">
        <v>102</v>
      </c>
    </row>
    <row r="12" spans="1:48" ht="30" customHeight="1" x14ac:dyDescent="0.3">
      <c r="A12" s="9" t="s">
        <v>90</v>
      </c>
      <c r="B12" s="9" t="s">
        <v>81</v>
      </c>
      <c r="C12" s="9" t="s">
        <v>82</v>
      </c>
      <c r="D12" s="10">
        <v>145</v>
      </c>
      <c r="E12" s="12">
        <f>TRUNC('일위대가목록(총체)'!E10,0)</f>
        <v>0</v>
      </c>
      <c r="F12" s="12">
        <f t="shared" si="0"/>
        <v>0</v>
      </c>
      <c r="G12" s="12">
        <f>TRUNC('일위대가목록(총체)'!F10,0)</f>
        <v>0</v>
      </c>
      <c r="H12" s="12">
        <f t="shared" si="1"/>
        <v>0</v>
      </c>
      <c r="I12" s="12">
        <f>TRUNC('일위대가목록(총체)'!G10,0)</f>
        <v>0</v>
      </c>
      <c r="J12" s="12">
        <f t="shared" si="2"/>
        <v>0</v>
      </c>
      <c r="K12" s="12">
        <f t="shared" si="3"/>
        <v>0</v>
      </c>
      <c r="L12" s="12">
        <f t="shared" si="3"/>
        <v>0</v>
      </c>
      <c r="M12" s="9" t="s">
        <v>52</v>
      </c>
      <c r="N12" s="2" t="s">
        <v>91</v>
      </c>
      <c r="O12" s="2" t="s">
        <v>52</v>
      </c>
      <c r="P12" s="2" t="s">
        <v>52</v>
      </c>
      <c r="Q12" s="2" t="s">
        <v>55</v>
      </c>
      <c r="R12" s="2" t="s">
        <v>60</v>
      </c>
      <c r="S12" s="2" t="s">
        <v>61</v>
      </c>
      <c r="T12" s="2" t="s">
        <v>61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2" t="s">
        <v>52</v>
      </c>
      <c r="AS12" s="2" t="s">
        <v>52</v>
      </c>
      <c r="AT12" s="3"/>
      <c r="AU12" s="2" t="s">
        <v>92</v>
      </c>
      <c r="AV12" s="3">
        <v>101</v>
      </c>
    </row>
    <row r="13" spans="1:48" ht="30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48" ht="30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48" ht="30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48" ht="30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48" ht="30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48" ht="30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48" ht="30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48" ht="30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48" ht="30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48" ht="30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48" ht="30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48" ht="30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48" ht="30" customHeight="1" x14ac:dyDescent="0.3">
      <c r="A25" s="9" t="s">
        <v>93</v>
      </c>
      <c r="B25" s="10"/>
      <c r="C25" s="10"/>
      <c r="D25" s="10"/>
      <c r="E25" s="10"/>
      <c r="F25" s="12">
        <f>SUM(F5:F24)</f>
        <v>0</v>
      </c>
      <c r="G25" s="10"/>
      <c r="H25" s="12">
        <f>SUM(H5:H24)</f>
        <v>0</v>
      </c>
      <c r="I25" s="10"/>
      <c r="J25" s="12">
        <f>SUM(J5:J24)</f>
        <v>0</v>
      </c>
      <c r="K25" s="10"/>
      <c r="L25" s="12">
        <f>SUM(L5:L24)</f>
        <v>0</v>
      </c>
      <c r="M25" s="10"/>
      <c r="N25" t="s">
        <v>94</v>
      </c>
    </row>
    <row r="26" spans="1:48" ht="30" customHeight="1" x14ac:dyDescent="0.3">
      <c r="A26" s="9" t="s">
        <v>95</v>
      </c>
      <c r="B26" s="9" t="s">
        <v>52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3"/>
      <c r="O26" s="3"/>
      <c r="P26" s="3"/>
      <c r="Q26" s="2" t="s">
        <v>96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30" customHeight="1" x14ac:dyDescent="0.3">
      <c r="A27" s="9" t="s">
        <v>97</v>
      </c>
      <c r="B27" s="9" t="s">
        <v>98</v>
      </c>
      <c r="C27" s="9" t="s">
        <v>68</v>
      </c>
      <c r="D27" s="10">
        <v>228</v>
      </c>
      <c r="E27" s="12">
        <f>TRUNC('일위대가목록(총체)'!E11,0)</f>
        <v>0</v>
      </c>
      <c r="F27" s="12">
        <f t="shared" ref="F27:F33" si="4">TRUNC(E27*D27, 0)</f>
        <v>0</v>
      </c>
      <c r="G27" s="12">
        <f>TRUNC('일위대가목록(총체)'!F11,0)</f>
        <v>0</v>
      </c>
      <c r="H27" s="12">
        <f t="shared" ref="H27:H33" si="5">TRUNC(G27*D27, 0)</f>
        <v>0</v>
      </c>
      <c r="I27" s="12">
        <f>TRUNC('일위대가목록(총체)'!G11,0)</f>
        <v>0</v>
      </c>
      <c r="J27" s="12">
        <f t="shared" ref="J27:J33" si="6">TRUNC(I27*D27, 0)</f>
        <v>0</v>
      </c>
      <c r="K27" s="12">
        <f t="shared" ref="K27:L33" si="7">TRUNC(E27+G27+I27, 0)</f>
        <v>0</v>
      </c>
      <c r="L27" s="12">
        <f t="shared" si="7"/>
        <v>0</v>
      </c>
      <c r="M27" s="9" t="s">
        <v>52</v>
      </c>
      <c r="N27" s="2" t="s">
        <v>99</v>
      </c>
      <c r="O27" s="2" t="s">
        <v>52</v>
      </c>
      <c r="P27" s="2" t="s">
        <v>52</v>
      </c>
      <c r="Q27" s="2" t="s">
        <v>96</v>
      </c>
      <c r="R27" s="2" t="s">
        <v>60</v>
      </c>
      <c r="S27" s="2" t="s">
        <v>61</v>
      </c>
      <c r="T27" s="2" t="s">
        <v>61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2" t="s">
        <v>52</v>
      </c>
      <c r="AS27" s="2" t="s">
        <v>52</v>
      </c>
      <c r="AT27" s="3"/>
      <c r="AU27" s="2" t="s">
        <v>100</v>
      </c>
      <c r="AV27" s="3">
        <v>10</v>
      </c>
    </row>
    <row r="28" spans="1:48" ht="30" customHeight="1" x14ac:dyDescent="0.3">
      <c r="A28" s="9" t="s">
        <v>101</v>
      </c>
      <c r="B28" s="9" t="s">
        <v>102</v>
      </c>
      <c r="C28" s="9" t="s">
        <v>103</v>
      </c>
      <c r="D28" s="10">
        <v>34689</v>
      </c>
      <c r="E28" s="12">
        <f>TRUNC('단가대비표(총체)'!O36,0)</f>
        <v>0</v>
      </c>
      <c r="F28" s="12">
        <f t="shared" si="4"/>
        <v>0</v>
      </c>
      <c r="G28" s="12">
        <f>TRUNC('단가대비표(총체)'!P36,0)</f>
        <v>0</v>
      </c>
      <c r="H28" s="12">
        <f t="shared" si="5"/>
        <v>0</v>
      </c>
      <c r="I28" s="12">
        <f>TRUNC('단가대비표(총체)'!V36,0)</f>
        <v>0</v>
      </c>
      <c r="J28" s="12">
        <f t="shared" si="6"/>
        <v>0</v>
      </c>
      <c r="K28" s="12">
        <f t="shared" si="7"/>
        <v>0</v>
      </c>
      <c r="L28" s="12">
        <f t="shared" si="7"/>
        <v>0</v>
      </c>
      <c r="M28" s="9" t="s">
        <v>52</v>
      </c>
      <c r="N28" s="2" t="s">
        <v>104</v>
      </c>
      <c r="O28" s="2" t="s">
        <v>52</v>
      </c>
      <c r="P28" s="2" t="s">
        <v>52</v>
      </c>
      <c r="Q28" s="2" t="s">
        <v>96</v>
      </c>
      <c r="R28" s="2" t="s">
        <v>61</v>
      </c>
      <c r="S28" s="2" t="s">
        <v>61</v>
      </c>
      <c r="T28" s="2" t="s">
        <v>60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2" t="s">
        <v>52</v>
      </c>
      <c r="AS28" s="2" t="s">
        <v>52</v>
      </c>
      <c r="AT28" s="3"/>
      <c r="AU28" s="2" t="s">
        <v>105</v>
      </c>
      <c r="AV28" s="3">
        <v>11</v>
      </c>
    </row>
    <row r="29" spans="1:48" ht="30" customHeight="1" x14ac:dyDescent="0.3">
      <c r="A29" s="9" t="s">
        <v>106</v>
      </c>
      <c r="B29" s="9" t="s">
        <v>107</v>
      </c>
      <c r="C29" s="9" t="s">
        <v>108</v>
      </c>
      <c r="D29" s="10">
        <v>35.441000000000003</v>
      </c>
      <c r="E29" s="12">
        <f>TRUNC('일위대가목록(총체)'!E12,0)</f>
        <v>0</v>
      </c>
      <c r="F29" s="12">
        <f t="shared" si="4"/>
        <v>0</v>
      </c>
      <c r="G29" s="12">
        <f>TRUNC('일위대가목록(총체)'!F12,0)</f>
        <v>0</v>
      </c>
      <c r="H29" s="12">
        <f t="shared" si="5"/>
        <v>0</v>
      </c>
      <c r="I29" s="12">
        <f>TRUNC('일위대가목록(총체)'!G12,0)</f>
        <v>0</v>
      </c>
      <c r="J29" s="12">
        <f t="shared" si="6"/>
        <v>0</v>
      </c>
      <c r="K29" s="12">
        <f t="shared" si="7"/>
        <v>0</v>
      </c>
      <c r="L29" s="12">
        <f t="shared" si="7"/>
        <v>0</v>
      </c>
      <c r="M29" s="9" t="s">
        <v>52</v>
      </c>
      <c r="N29" s="2" t="s">
        <v>109</v>
      </c>
      <c r="O29" s="2" t="s">
        <v>52</v>
      </c>
      <c r="P29" s="2" t="s">
        <v>52</v>
      </c>
      <c r="Q29" s="2" t="s">
        <v>96</v>
      </c>
      <c r="R29" s="2" t="s">
        <v>60</v>
      </c>
      <c r="S29" s="2" t="s">
        <v>61</v>
      </c>
      <c r="T29" s="2" t="s">
        <v>61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2" t="s">
        <v>52</v>
      </c>
      <c r="AS29" s="2" t="s">
        <v>52</v>
      </c>
      <c r="AT29" s="3"/>
      <c r="AU29" s="2" t="s">
        <v>110</v>
      </c>
      <c r="AV29" s="3">
        <v>12</v>
      </c>
    </row>
    <row r="30" spans="1:48" ht="30" customHeight="1" x14ac:dyDescent="0.3">
      <c r="A30" s="9" t="s">
        <v>111</v>
      </c>
      <c r="B30" s="9" t="s">
        <v>112</v>
      </c>
      <c r="C30" s="9" t="s">
        <v>68</v>
      </c>
      <c r="D30" s="10">
        <v>451</v>
      </c>
      <c r="E30" s="12">
        <f>TRUNC('일위대가목록(총체)'!E13,0)</f>
        <v>0</v>
      </c>
      <c r="F30" s="12">
        <f t="shared" si="4"/>
        <v>0</v>
      </c>
      <c r="G30" s="12">
        <f>TRUNC('일위대가목록(총체)'!F13,0)</f>
        <v>0</v>
      </c>
      <c r="H30" s="12">
        <f t="shared" si="5"/>
        <v>0</v>
      </c>
      <c r="I30" s="12">
        <f>TRUNC('일위대가목록(총체)'!G13,0)</f>
        <v>0</v>
      </c>
      <c r="J30" s="12">
        <f t="shared" si="6"/>
        <v>0</v>
      </c>
      <c r="K30" s="12">
        <f t="shared" si="7"/>
        <v>0</v>
      </c>
      <c r="L30" s="12">
        <f t="shared" si="7"/>
        <v>0</v>
      </c>
      <c r="M30" s="9" t="s">
        <v>52</v>
      </c>
      <c r="N30" s="2" t="s">
        <v>113</v>
      </c>
      <c r="O30" s="2" t="s">
        <v>52</v>
      </c>
      <c r="P30" s="2" t="s">
        <v>52</v>
      </c>
      <c r="Q30" s="2" t="s">
        <v>96</v>
      </c>
      <c r="R30" s="2" t="s">
        <v>60</v>
      </c>
      <c r="S30" s="2" t="s">
        <v>61</v>
      </c>
      <c r="T30" s="2" t="s">
        <v>61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2" t="s">
        <v>52</v>
      </c>
      <c r="AS30" s="2" t="s">
        <v>52</v>
      </c>
      <c r="AT30" s="3"/>
      <c r="AU30" s="2" t="s">
        <v>114</v>
      </c>
      <c r="AV30" s="3">
        <v>13</v>
      </c>
    </row>
    <row r="31" spans="1:48" ht="30" customHeight="1" x14ac:dyDescent="0.3">
      <c r="A31" s="9" t="s">
        <v>115</v>
      </c>
      <c r="B31" s="9" t="s">
        <v>116</v>
      </c>
      <c r="C31" s="9" t="s">
        <v>68</v>
      </c>
      <c r="D31" s="10">
        <v>54</v>
      </c>
      <c r="E31" s="12">
        <f>TRUNC('일위대가목록(총체)'!E14,0)</f>
        <v>0</v>
      </c>
      <c r="F31" s="12">
        <f t="shared" si="4"/>
        <v>0</v>
      </c>
      <c r="G31" s="12">
        <f>TRUNC('일위대가목록(총체)'!F14,0)</f>
        <v>0</v>
      </c>
      <c r="H31" s="12">
        <f t="shared" si="5"/>
        <v>0</v>
      </c>
      <c r="I31" s="12">
        <f>TRUNC('일위대가목록(총체)'!G14,0)</f>
        <v>0</v>
      </c>
      <c r="J31" s="12">
        <f t="shared" si="6"/>
        <v>0</v>
      </c>
      <c r="K31" s="12">
        <f t="shared" si="7"/>
        <v>0</v>
      </c>
      <c r="L31" s="12">
        <f t="shared" si="7"/>
        <v>0</v>
      </c>
      <c r="M31" s="9" t="s">
        <v>52</v>
      </c>
      <c r="N31" s="2" t="s">
        <v>117</v>
      </c>
      <c r="O31" s="2" t="s">
        <v>52</v>
      </c>
      <c r="P31" s="2" t="s">
        <v>52</v>
      </c>
      <c r="Q31" s="2" t="s">
        <v>96</v>
      </c>
      <c r="R31" s="2" t="s">
        <v>60</v>
      </c>
      <c r="S31" s="2" t="s">
        <v>61</v>
      </c>
      <c r="T31" s="2" t="s">
        <v>61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2" t="s">
        <v>52</v>
      </c>
      <c r="AS31" s="2" t="s">
        <v>52</v>
      </c>
      <c r="AT31" s="3"/>
      <c r="AU31" s="2" t="s">
        <v>118</v>
      </c>
      <c r="AV31" s="3">
        <v>14</v>
      </c>
    </row>
    <row r="32" spans="1:48" ht="30" customHeight="1" x14ac:dyDescent="0.3">
      <c r="A32" s="9" t="s">
        <v>111</v>
      </c>
      <c r="B32" s="9" t="s">
        <v>119</v>
      </c>
      <c r="C32" s="9" t="s">
        <v>68</v>
      </c>
      <c r="D32" s="10">
        <v>40</v>
      </c>
      <c r="E32" s="12">
        <f>TRUNC('일위대가목록(총체)'!E15,0)</f>
        <v>0</v>
      </c>
      <c r="F32" s="12">
        <f t="shared" si="4"/>
        <v>0</v>
      </c>
      <c r="G32" s="12">
        <f>TRUNC('일위대가목록(총체)'!F15,0)</f>
        <v>0</v>
      </c>
      <c r="H32" s="12">
        <f t="shared" si="5"/>
        <v>0</v>
      </c>
      <c r="I32" s="12">
        <f>TRUNC('일위대가목록(총체)'!G15,0)</f>
        <v>0</v>
      </c>
      <c r="J32" s="12">
        <f t="shared" si="6"/>
        <v>0</v>
      </c>
      <c r="K32" s="12">
        <f t="shared" si="7"/>
        <v>0</v>
      </c>
      <c r="L32" s="12">
        <f t="shared" si="7"/>
        <v>0</v>
      </c>
      <c r="M32" s="9" t="s">
        <v>52</v>
      </c>
      <c r="N32" s="2" t="s">
        <v>120</v>
      </c>
      <c r="O32" s="2" t="s">
        <v>52</v>
      </c>
      <c r="P32" s="2" t="s">
        <v>52</v>
      </c>
      <c r="Q32" s="2" t="s">
        <v>96</v>
      </c>
      <c r="R32" s="2" t="s">
        <v>60</v>
      </c>
      <c r="S32" s="2" t="s">
        <v>61</v>
      </c>
      <c r="T32" s="2" t="s">
        <v>61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2" t="s">
        <v>52</v>
      </c>
      <c r="AS32" s="2" t="s">
        <v>52</v>
      </c>
      <c r="AT32" s="3"/>
      <c r="AU32" s="2" t="s">
        <v>121</v>
      </c>
      <c r="AV32" s="3">
        <v>15</v>
      </c>
    </row>
    <row r="33" spans="1:48" ht="30" customHeight="1" x14ac:dyDescent="0.3">
      <c r="A33" s="9" t="s">
        <v>122</v>
      </c>
      <c r="B33" s="9" t="s">
        <v>123</v>
      </c>
      <c r="C33" s="9" t="s">
        <v>68</v>
      </c>
      <c r="D33" s="10">
        <v>662</v>
      </c>
      <c r="E33" s="12">
        <f>TRUNC('일위대가목록(총체)'!E16,0)</f>
        <v>0</v>
      </c>
      <c r="F33" s="12">
        <f t="shared" si="4"/>
        <v>0</v>
      </c>
      <c r="G33" s="12">
        <f>TRUNC('일위대가목록(총체)'!F16,0)</f>
        <v>0</v>
      </c>
      <c r="H33" s="12">
        <f t="shared" si="5"/>
        <v>0</v>
      </c>
      <c r="I33" s="12">
        <f>TRUNC('일위대가목록(총체)'!G16,0)</f>
        <v>0</v>
      </c>
      <c r="J33" s="12">
        <f t="shared" si="6"/>
        <v>0</v>
      </c>
      <c r="K33" s="12">
        <f t="shared" si="7"/>
        <v>0</v>
      </c>
      <c r="L33" s="12">
        <f t="shared" si="7"/>
        <v>0</v>
      </c>
      <c r="M33" s="9" t="s">
        <v>52</v>
      </c>
      <c r="N33" s="2" t="s">
        <v>124</v>
      </c>
      <c r="O33" s="2" t="s">
        <v>52</v>
      </c>
      <c r="P33" s="2" t="s">
        <v>52</v>
      </c>
      <c r="Q33" s="2" t="s">
        <v>96</v>
      </c>
      <c r="R33" s="2" t="s">
        <v>60</v>
      </c>
      <c r="S33" s="2" t="s">
        <v>61</v>
      </c>
      <c r="T33" s="2" t="s">
        <v>61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2" t="s">
        <v>52</v>
      </c>
      <c r="AS33" s="2" t="s">
        <v>52</v>
      </c>
      <c r="AT33" s="3"/>
      <c r="AU33" s="2" t="s">
        <v>125</v>
      </c>
      <c r="AV33" s="3">
        <v>16</v>
      </c>
    </row>
    <row r="34" spans="1:48" ht="30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48" ht="30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48" ht="30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48" ht="30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48" ht="30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48" ht="30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48" ht="30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48" ht="30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48" ht="30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48" ht="30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48" ht="30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48" ht="30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48" ht="30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48" ht="30" customHeight="1" x14ac:dyDescent="0.3">
      <c r="A47" s="9" t="s">
        <v>93</v>
      </c>
      <c r="B47" s="10"/>
      <c r="C47" s="10"/>
      <c r="D47" s="10"/>
      <c r="E47" s="10"/>
      <c r="F47" s="12">
        <f>SUM(F27:F46)</f>
        <v>0</v>
      </c>
      <c r="G47" s="10"/>
      <c r="H47" s="12">
        <f>SUM(H27:H46)</f>
        <v>0</v>
      </c>
      <c r="I47" s="10"/>
      <c r="J47" s="12">
        <f>SUM(J27:J46)</f>
        <v>0</v>
      </c>
      <c r="K47" s="10"/>
      <c r="L47" s="12">
        <f>SUM(L27:L46)</f>
        <v>0</v>
      </c>
      <c r="M47" s="10"/>
      <c r="N47" t="s">
        <v>94</v>
      </c>
    </row>
    <row r="48" spans="1:48" ht="30" customHeight="1" x14ac:dyDescent="0.3">
      <c r="A48" s="9" t="s">
        <v>126</v>
      </c>
      <c r="B48" s="9" t="s">
        <v>52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3"/>
      <c r="O48" s="3"/>
      <c r="P48" s="3"/>
      <c r="Q48" s="2" t="s">
        <v>127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30" customHeight="1" x14ac:dyDescent="0.3">
      <c r="A49" s="9" t="s">
        <v>128</v>
      </c>
      <c r="B49" s="9" t="s">
        <v>129</v>
      </c>
      <c r="C49" s="9" t="s">
        <v>68</v>
      </c>
      <c r="D49" s="10">
        <v>141</v>
      </c>
      <c r="E49" s="12">
        <f>TRUNC('일위대가목록(총체)'!E17,0)</f>
        <v>0</v>
      </c>
      <c r="F49" s="12">
        <f t="shared" ref="F49:F57" si="8">TRUNC(E49*D49, 0)</f>
        <v>0</v>
      </c>
      <c r="G49" s="12">
        <f>TRUNC('일위대가목록(총체)'!F17,0)</f>
        <v>0</v>
      </c>
      <c r="H49" s="12">
        <f t="shared" ref="H49:H57" si="9">TRUNC(G49*D49, 0)</f>
        <v>0</v>
      </c>
      <c r="I49" s="12">
        <f>TRUNC('일위대가목록(총체)'!G17,0)</f>
        <v>0</v>
      </c>
      <c r="J49" s="12">
        <f t="shared" ref="J49:J57" si="10">TRUNC(I49*D49, 0)</f>
        <v>0</v>
      </c>
      <c r="K49" s="12">
        <f t="shared" ref="K49:K57" si="11">TRUNC(E49+G49+I49, 0)</f>
        <v>0</v>
      </c>
      <c r="L49" s="12">
        <f t="shared" ref="L49:L57" si="12">TRUNC(F49+H49+J49, 0)</f>
        <v>0</v>
      </c>
      <c r="M49" s="9" t="s">
        <v>52</v>
      </c>
      <c r="N49" s="2" t="s">
        <v>130</v>
      </c>
      <c r="O49" s="2" t="s">
        <v>52</v>
      </c>
      <c r="P49" s="2" t="s">
        <v>52</v>
      </c>
      <c r="Q49" s="2" t="s">
        <v>127</v>
      </c>
      <c r="R49" s="2" t="s">
        <v>60</v>
      </c>
      <c r="S49" s="2" t="s">
        <v>61</v>
      </c>
      <c r="T49" s="2" t="s">
        <v>61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2" t="s">
        <v>52</v>
      </c>
      <c r="AS49" s="2" t="s">
        <v>52</v>
      </c>
      <c r="AT49" s="3"/>
      <c r="AU49" s="2" t="s">
        <v>131</v>
      </c>
      <c r="AV49" s="3">
        <v>18</v>
      </c>
    </row>
    <row r="50" spans="1:48" ht="30" customHeight="1" x14ac:dyDescent="0.3">
      <c r="A50" s="9" t="s">
        <v>132</v>
      </c>
      <c r="B50" s="9" t="s">
        <v>133</v>
      </c>
      <c r="C50" s="9" t="s">
        <v>68</v>
      </c>
      <c r="D50" s="10">
        <v>57</v>
      </c>
      <c r="E50" s="12">
        <f>TRUNC('일위대가목록(총체)'!E18,0)</f>
        <v>0</v>
      </c>
      <c r="F50" s="12">
        <f t="shared" si="8"/>
        <v>0</v>
      </c>
      <c r="G50" s="12">
        <f>TRUNC('일위대가목록(총체)'!F18,0)</f>
        <v>0</v>
      </c>
      <c r="H50" s="12">
        <f t="shared" si="9"/>
        <v>0</v>
      </c>
      <c r="I50" s="12">
        <f>TRUNC('일위대가목록(총체)'!G18,0)</f>
        <v>0</v>
      </c>
      <c r="J50" s="12">
        <f t="shared" si="10"/>
        <v>0</v>
      </c>
      <c r="K50" s="12">
        <f t="shared" si="11"/>
        <v>0</v>
      </c>
      <c r="L50" s="12">
        <f t="shared" si="12"/>
        <v>0</v>
      </c>
      <c r="M50" s="9" t="s">
        <v>52</v>
      </c>
      <c r="N50" s="2" t="s">
        <v>134</v>
      </c>
      <c r="O50" s="2" t="s">
        <v>52</v>
      </c>
      <c r="P50" s="2" t="s">
        <v>52</v>
      </c>
      <c r="Q50" s="2" t="s">
        <v>127</v>
      </c>
      <c r="R50" s="2" t="s">
        <v>60</v>
      </c>
      <c r="S50" s="2" t="s">
        <v>61</v>
      </c>
      <c r="T50" s="2" t="s">
        <v>61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2" t="s">
        <v>52</v>
      </c>
      <c r="AS50" s="2" t="s">
        <v>52</v>
      </c>
      <c r="AT50" s="3"/>
      <c r="AU50" s="2" t="s">
        <v>135</v>
      </c>
      <c r="AV50" s="3">
        <v>19</v>
      </c>
    </row>
    <row r="51" spans="1:48" ht="30" customHeight="1" x14ac:dyDescent="0.3">
      <c r="A51" s="9" t="s">
        <v>136</v>
      </c>
      <c r="B51" s="9" t="s">
        <v>137</v>
      </c>
      <c r="C51" s="9" t="s">
        <v>82</v>
      </c>
      <c r="D51" s="10">
        <v>9</v>
      </c>
      <c r="E51" s="12">
        <f>TRUNC('일위대가목록(총체)'!E19,0)</f>
        <v>0</v>
      </c>
      <c r="F51" s="12">
        <f t="shared" si="8"/>
        <v>0</v>
      </c>
      <c r="G51" s="12">
        <f>TRUNC('일위대가목록(총체)'!F19,0)</f>
        <v>0</v>
      </c>
      <c r="H51" s="12">
        <f t="shared" si="9"/>
        <v>0</v>
      </c>
      <c r="I51" s="12">
        <f>TRUNC('일위대가목록(총체)'!G19,0)</f>
        <v>0</v>
      </c>
      <c r="J51" s="12">
        <f t="shared" si="10"/>
        <v>0</v>
      </c>
      <c r="K51" s="12">
        <f t="shared" si="11"/>
        <v>0</v>
      </c>
      <c r="L51" s="12">
        <f t="shared" si="12"/>
        <v>0</v>
      </c>
      <c r="M51" s="9" t="s">
        <v>52</v>
      </c>
      <c r="N51" s="2" t="s">
        <v>138</v>
      </c>
      <c r="O51" s="2" t="s">
        <v>52</v>
      </c>
      <c r="P51" s="2" t="s">
        <v>52</v>
      </c>
      <c r="Q51" s="2" t="s">
        <v>127</v>
      </c>
      <c r="R51" s="2" t="s">
        <v>60</v>
      </c>
      <c r="S51" s="2" t="s">
        <v>61</v>
      </c>
      <c r="T51" s="2" t="s">
        <v>61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2" t="s">
        <v>52</v>
      </c>
      <c r="AS51" s="2" t="s">
        <v>52</v>
      </c>
      <c r="AT51" s="3"/>
      <c r="AU51" s="2" t="s">
        <v>139</v>
      </c>
      <c r="AV51" s="3">
        <v>40</v>
      </c>
    </row>
    <row r="52" spans="1:48" ht="30" customHeight="1" x14ac:dyDescent="0.3">
      <c r="A52" s="9" t="s">
        <v>140</v>
      </c>
      <c r="B52" s="9" t="s">
        <v>141</v>
      </c>
      <c r="C52" s="9" t="s">
        <v>68</v>
      </c>
      <c r="D52" s="10">
        <v>146</v>
      </c>
      <c r="E52" s="12">
        <f>TRUNC('단가대비표(총체)'!O38,0)</f>
        <v>0</v>
      </c>
      <c r="F52" s="12">
        <f t="shared" si="8"/>
        <v>0</v>
      </c>
      <c r="G52" s="12">
        <f>TRUNC('단가대비표(총체)'!P38,0)</f>
        <v>0</v>
      </c>
      <c r="H52" s="12">
        <f t="shared" si="9"/>
        <v>0</v>
      </c>
      <c r="I52" s="12">
        <f>TRUNC('단가대비표(총체)'!V38,0)</f>
        <v>0</v>
      </c>
      <c r="J52" s="12">
        <f t="shared" si="10"/>
        <v>0</v>
      </c>
      <c r="K52" s="12">
        <f t="shared" si="11"/>
        <v>0</v>
      </c>
      <c r="L52" s="12">
        <f t="shared" si="12"/>
        <v>0</v>
      </c>
      <c r="M52" s="9" t="s">
        <v>52</v>
      </c>
      <c r="N52" s="2" t="s">
        <v>142</v>
      </c>
      <c r="O52" s="2" t="s">
        <v>52</v>
      </c>
      <c r="P52" s="2" t="s">
        <v>52</v>
      </c>
      <c r="Q52" s="2" t="s">
        <v>127</v>
      </c>
      <c r="R52" s="2" t="s">
        <v>61</v>
      </c>
      <c r="S52" s="2" t="s">
        <v>61</v>
      </c>
      <c r="T52" s="2" t="s">
        <v>60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2" t="s">
        <v>52</v>
      </c>
      <c r="AS52" s="2" t="s">
        <v>52</v>
      </c>
      <c r="AT52" s="3"/>
      <c r="AU52" s="2" t="s">
        <v>143</v>
      </c>
      <c r="AV52" s="3">
        <v>20</v>
      </c>
    </row>
    <row r="53" spans="1:48" ht="30" customHeight="1" x14ac:dyDescent="0.3">
      <c r="A53" s="9" t="s">
        <v>144</v>
      </c>
      <c r="B53" s="9" t="s">
        <v>145</v>
      </c>
      <c r="C53" s="9" t="s">
        <v>68</v>
      </c>
      <c r="D53" s="10">
        <v>59</v>
      </c>
      <c r="E53" s="12">
        <f>TRUNC('단가대비표(총체)'!O39,0)</f>
        <v>0</v>
      </c>
      <c r="F53" s="12">
        <f t="shared" si="8"/>
        <v>0</v>
      </c>
      <c r="G53" s="12">
        <f>TRUNC('단가대비표(총체)'!P39,0)</f>
        <v>0</v>
      </c>
      <c r="H53" s="12">
        <f t="shared" si="9"/>
        <v>0</v>
      </c>
      <c r="I53" s="12">
        <f>TRUNC('단가대비표(총체)'!V39,0)</f>
        <v>0</v>
      </c>
      <c r="J53" s="12">
        <f t="shared" si="10"/>
        <v>0</v>
      </c>
      <c r="K53" s="12">
        <f t="shared" si="11"/>
        <v>0</v>
      </c>
      <c r="L53" s="12">
        <f t="shared" si="12"/>
        <v>0</v>
      </c>
      <c r="M53" s="9" t="s">
        <v>52</v>
      </c>
      <c r="N53" s="2" t="s">
        <v>146</v>
      </c>
      <c r="O53" s="2" t="s">
        <v>52</v>
      </c>
      <c r="P53" s="2" t="s">
        <v>52</v>
      </c>
      <c r="Q53" s="2" t="s">
        <v>127</v>
      </c>
      <c r="R53" s="2" t="s">
        <v>61</v>
      </c>
      <c r="S53" s="2" t="s">
        <v>61</v>
      </c>
      <c r="T53" s="2" t="s">
        <v>60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2" t="s">
        <v>52</v>
      </c>
      <c r="AS53" s="2" t="s">
        <v>52</v>
      </c>
      <c r="AT53" s="3"/>
      <c r="AU53" s="2" t="s">
        <v>147</v>
      </c>
      <c r="AV53" s="3">
        <v>21</v>
      </c>
    </row>
    <row r="54" spans="1:48" ht="30" customHeight="1" x14ac:dyDescent="0.3">
      <c r="A54" s="9" t="s">
        <v>148</v>
      </c>
      <c r="B54" s="9" t="s">
        <v>149</v>
      </c>
      <c r="C54" s="9" t="s">
        <v>68</v>
      </c>
      <c r="D54" s="10">
        <v>54</v>
      </c>
      <c r="E54" s="12">
        <f>TRUNC('일위대가목록(총체)'!E20,0)</f>
        <v>0</v>
      </c>
      <c r="F54" s="12">
        <f t="shared" si="8"/>
        <v>0</v>
      </c>
      <c r="G54" s="12">
        <f>TRUNC('일위대가목록(총체)'!F20,0)</f>
        <v>0</v>
      </c>
      <c r="H54" s="12">
        <f t="shared" si="9"/>
        <v>0</v>
      </c>
      <c r="I54" s="12">
        <f>TRUNC('일위대가목록(총체)'!G20,0)</f>
        <v>0</v>
      </c>
      <c r="J54" s="12">
        <f t="shared" si="10"/>
        <v>0</v>
      </c>
      <c r="K54" s="12">
        <f t="shared" si="11"/>
        <v>0</v>
      </c>
      <c r="L54" s="12">
        <f t="shared" si="12"/>
        <v>0</v>
      </c>
      <c r="M54" s="9" t="s">
        <v>52</v>
      </c>
      <c r="N54" s="2" t="s">
        <v>150</v>
      </c>
      <c r="O54" s="2" t="s">
        <v>52</v>
      </c>
      <c r="P54" s="2" t="s">
        <v>52</v>
      </c>
      <c r="Q54" s="2" t="s">
        <v>127</v>
      </c>
      <c r="R54" s="2" t="s">
        <v>60</v>
      </c>
      <c r="S54" s="2" t="s">
        <v>61</v>
      </c>
      <c r="T54" s="2" t="s">
        <v>61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2" t="s">
        <v>52</v>
      </c>
      <c r="AS54" s="2" t="s">
        <v>52</v>
      </c>
      <c r="AT54" s="3"/>
      <c r="AU54" s="2" t="s">
        <v>151</v>
      </c>
      <c r="AV54" s="3">
        <v>22</v>
      </c>
    </row>
    <row r="55" spans="1:48" ht="30" customHeight="1" x14ac:dyDescent="0.3">
      <c r="A55" s="9" t="s">
        <v>148</v>
      </c>
      <c r="B55" s="9" t="s">
        <v>152</v>
      </c>
      <c r="C55" s="9" t="s">
        <v>68</v>
      </c>
      <c r="D55" s="10">
        <v>14</v>
      </c>
      <c r="E55" s="12">
        <f>TRUNC('일위대가목록(총체)'!E21,0)</f>
        <v>0</v>
      </c>
      <c r="F55" s="12">
        <f t="shared" si="8"/>
        <v>0</v>
      </c>
      <c r="G55" s="12">
        <f>TRUNC('일위대가목록(총체)'!F21,0)</f>
        <v>0</v>
      </c>
      <c r="H55" s="12">
        <f t="shared" si="9"/>
        <v>0</v>
      </c>
      <c r="I55" s="12">
        <f>TRUNC('일위대가목록(총체)'!G21,0)</f>
        <v>0</v>
      </c>
      <c r="J55" s="12">
        <f t="shared" si="10"/>
        <v>0</v>
      </c>
      <c r="K55" s="12">
        <f t="shared" si="11"/>
        <v>0</v>
      </c>
      <c r="L55" s="12">
        <f t="shared" si="12"/>
        <v>0</v>
      </c>
      <c r="M55" s="9" t="s">
        <v>52</v>
      </c>
      <c r="N55" s="2" t="s">
        <v>153</v>
      </c>
      <c r="O55" s="2" t="s">
        <v>52</v>
      </c>
      <c r="P55" s="2" t="s">
        <v>52</v>
      </c>
      <c r="Q55" s="2" t="s">
        <v>127</v>
      </c>
      <c r="R55" s="2" t="s">
        <v>60</v>
      </c>
      <c r="S55" s="2" t="s">
        <v>61</v>
      </c>
      <c r="T55" s="2" t="s">
        <v>61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2" t="s">
        <v>52</v>
      </c>
      <c r="AS55" s="2" t="s">
        <v>52</v>
      </c>
      <c r="AT55" s="3"/>
      <c r="AU55" s="2" t="s">
        <v>154</v>
      </c>
      <c r="AV55" s="3">
        <v>23</v>
      </c>
    </row>
    <row r="56" spans="1:48" ht="30" customHeight="1" x14ac:dyDescent="0.3">
      <c r="A56" s="9" t="s">
        <v>155</v>
      </c>
      <c r="B56" s="9" t="s">
        <v>156</v>
      </c>
      <c r="C56" s="9" t="s">
        <v>68</v>
      </c>
      <c r="D56" s="10">
        <v>54</v>
      </c>
      <c r="E56" s="12">
        <f>TRUNC('일위대가목록(총체)'!E22,0)</f>
        <v>0</v>
      </c>
      <c r="F56" s="12">
        <f t="shared" si="8"/>
        <v>0</v>
      </c>
      <c r="G56" s="12">
        <f>TRUNC('일위대가목록(총체)'!F22,0)</f>
        <v>0</v>
      </c>
      <c r="H56" s="12">
        <f t="shared" si="9"/>
        <v>0</v>
      </c>
      <c r="I56" s="12">
        <f>TRUNC('일위대가목록(총체)'!G22,0)</f>
        <v>0</v>
      </c>
      <c r="J56" s="12">
        <f t="shared" si="10"/>
        <v>0</v>
      </c>
      <c r="K56" s="12">
        <f t="shared" si="11"/>
        <v>0</v>
      </c>
      <c r="L56" s="12">
        <f t="shared" si="12"/>
        <v>0</v>
      </c>
      <c r="M56" s="9" t="s">
        <v>52</v>
      </c>
      <c r="N56" s="2" t="s">
        <v>157</v>
      </c>
      <c r="O56" s="2" t="s">
        <v>52</v>
      </c>
      <c r="P56" s="2" t="s">
        <v>52</v>
      </c>
      <c r="Q56" s="2" t="s">
        <v>127</v>
      </c>
      <c r="R56" s="2" t="s">
        <v>60</v>
      </c>
      <c r="S56" s="2" t="s">
        <v>61</v>
      </c>
      <c r="T56" s="2" t="s">
        <v>61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2" t="s">
        <v>52</v>
      </c>
      <c r="AS56" s="2" t="s">
        <v>52</v>
      </c>
      <c r="AT56" s="3"/>
      <c r="AU56" s="2" t="s">
        <v>158</v>
      </c>
      <c r="AV56" s="3">
        <v>24</v>
      </c>
    </row>
    <row r="57" spans="1:48" ht="30" customHeight="1" x14ac:dyDescent="0.3">
      <c r="A57" s="9" t="s">
        <v>155</v>
      </c>
      <c r="B57" s="9" t="s">
        <v>159</v>
      </c>
      <c r="C57" s="9" t="s">
        <v>68</v>
      </c>
      <c r="D57" s="10">
        <v>127</v>
      </c>
      <c r="E57" s="12">
        <f>TRUNC('일위대가목록(총체)'!E23,0)</f>
        <v>0</v>
      </c>
      <c r="F57" s="12">
        <f t="shared" si="8"/>
        <v>0</v>
      </c>
      <c r="G57" s="12">
        <f>TRUNC('일위대가목록(총체)'!F23,0)</f>
        <v>0</v>
      </c>
      <c r="H57" s="12">
        <f t="shared" si="9"/>
        <v>0</v>
      </c>
      <c r="I57" s="12">
        <f>TRUNC('일위대가목록(총체)'!G23,0)</f>
        <v>0</v>
      </c>
      <c r="J57" s="12">
        <f t="shared" si="10"/>
        <v>0</v>
      </c>
      <c r="K57" s="12">
        <f t="shared" si="11"/>
        <v>0</v>
      </c>
      <c r="L57" s="12">
        <f t="shared" si="12"/>
        <v>0</v>
      </c>
      <c r="M57" s="9" t="s">
        <v>52</v>
      </c>
      <c r="N57" s="2" t="s">
        <v>160</v>
      </c>
      <c r="O57" s="2" t="s">
        <v>52</v>
      </c>
      <c r="P57" s="2" t="s">
        <v>52</v>
      </c>
      <c r="Q57" s="2" t="s">
        <v>127</v>
      </c>
      <c r="R57" s="2" t="s">
        <v>60</v>
      </c>
      <c r="S57" s="2" t="s">
        <v>61</v>
      </c>
      <c r="T57" s="2" t="s">
        <v>61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2" t="s">
        <v>52</v>
      </c>
      <c r="AS57" s="2" t="s">
        <v>52</v>
      </c>
      <c r="AT57" s="3"/>
      <c r="AU57" s="2" t="s">
        <v>161</v>
      </c>
      <c r="AV57" s="3">
        <v>26</v>
      </c>
    </row>
    <row r="58" spans="1:48" ht="30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48" ht="30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48" ht="30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48" ht="30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48" ht="30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48" ht="30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48" ht="30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48" ht="30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48" ht="30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48" ht="30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48" ht="30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48" ht="30" customHeight="1" x14ac:dyDescent="0.3">
      <c r="A69" s="9" t="s">
        <v>93</v>
      </c>
      <c r="B69" s="10"/>
      <c r="C69" s="10"/>
      <c r="D69" s="10"/>
      <c r="E69" s="10"/>
      <c r="F69" s="12">
        <f>SUM(F49:F68)</f>
        <v>0</v>
      </c>
      <c r="G69" s="10"/>
      <c r="H69" s="12">
        <f>SUM(H49:H68)</f>
        <v>0</v>
      </c>
      <c r="I69" s="10"/>
      <c r="J69" s="12">
        <f>SUM(J49:J68)</f>
        <v>0</v>
      </c>
      <c r="K69" s="10"/>
      <c r="L69" s="12">
        <f>SUM(L49:L68)</f>
        <v>0</v>
      </c>
      <c r="M69" s="10"/>
      <c r="N69" t="s">
        <v>94</v>
      </c>
    </row>
    <row r="70" spans="1:48" ht="30" customHeight="1" x14ac:dyDescent="0.3">
      <c r="A70" s="9" t="s">
        <v>162</v>
      </c>
      <c r="B70" s="9" t="s">
        <v>52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3"/>
      <c r="O70" s="3"/>
      <c r="P70" s="3"/>
      <c r="Q70" s="2" t="s">
        <v>163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30" customHeight="1" x14ac:dyDescent="0.3">
      <c r="A71" s="9" t="s">
        <v>164</v>
      </c>
      <c r="B71" s="9" t="s">
        <v>165</v>
      </c>
      <c r="C71" s="9" t="s">
        <v>68</v>
      </c>
      <c r="D71" s="10">
        <v>77</v>
      </c>
      <c r="E71" s="12">
        <f>TRUNC('일위대가목록(총체)'!E24,0)</f>
        <v>0</v>
      </c>
      <c r="F71" s="12">
        <f t="shared" ref="F71:F114" si="13">TRUNC(E71*D71, 0)</f>
        <v>0</v>
      </c>
      <c r="G71" s="12">
        <f>TRUNC('일위대가목록(총체)'!F24,0)</f>
        <v>0</v>
      </c>
      <c r="H71" s="12">
        <f t="shared" ref="H71:H114" si="14">TRUNC(G71*D71, 0)</f>
        <v>0</v>
      </c>
      <c r="I71" s="12">
        <f>TRUNC('일위대가목록(총체)'!G24,0)</f>
        <v>0</v>
      </c>
      <c r="J71" s="12">
        <f t="shared" ref="J71:J114" si="15">TRUNC(I71*D71, 0)</f>
        <v>0</v>
      </c>
      <c r="K71" s="12">
        <f t="shared" ref="K71:K114" si="16">TRUNC(E71+G71+I71, 0)</f>
        <v>0</v>
      </c>
      <c r="L71" s="12">
        <f t="shared" ref="L71:L114" si="17">TRUNC(F71+H71+J71, 0)</f>
        <v>0</v>
      </c>
      <c r="M71" s="9" t="s">
        <v>52</v>
      </c>
      <c r="N71" s="2" t="s">
        <v>166</v>
      </c>
      <c r="O71" s="2" t="s">
        <v>52</v>
      </c>
      <c r="P71" s="2" t="s">
        <v>52</v>
      </c>
      <c r="Q71" s="2" t="s">
        <v>163</v>
      </c>
      <c r="R71" s="2" t="s">
        <v>60</v>
      </c>
      <c r="S71" s="2" t="s">
        <v>61</v>
      </c>
      <c r="T71" s="2" t="s">
        <v>61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2" t="s">
        <v>52</v>
      </c>
      <c r="AS71" s="2" t="s">
        <v>52</v>
      </c>
      <c r="AT71" s="3"/>
      <c r="AU71" s="2" t="s">
        <v>167</v>
      </c>
      <c r="AV71" s="3">
        <v>30</v>
      </c>
    </row>
    <row r="72" spans="1:48" ht="30" customHeight="1" x14ac:dyDescent="0.3">
      <c r="A72" s="9" t="s">
        <v>164</v>
      </c>
      <c r="B72" s="9" t="s">
        <v>168</v>
      </c>
      <c r="C72" s="9" t="s">
        <v>68</v>
      </c>
      <c r="D72" s="10">
        <v>77</v>
      </c>
      <c r="E72" s="12">
        <f>TRUNC('일위대가목록(총체)'!E25,0)</f>
        <v>0</v>
      </c>
      <c r="F72" s="12">
        <f t="shared" si="13"/>
        <v>0</v>
      </c>
      <c r="G72" s="12">
        <f>TRUNC('일위대가목록(총체)'!F25,0)</f>
        <v>0</v>
      </c>
      <c r="H72" s="12">
        <f t="shared" si="14"/>
        <v>0</v>
      </c>
      <c r="I72" s="12">
        <f>TRUNC('일위대가목록(총체)'!G25,0)</f>
        <v>0</v>
      </c>
      <c r="J72" s="12">
        <f t="shared" si="15"/>
        <v>0</v>
      </c>
      <c r="K72" s="12">
        <f t="shared" si="16"/>
        <v>0</v>
      </c>
      <c r="L72" s="12">
        <f t="shared" si="17"/>
        <v>0</v>
      </c>
      <c r="M72" s="9" t="s">
        <v>52</v>
      </c>
      <c r="N72" s="2" t="s">
        <v>169</v>
      </c>
      <c r="O72" s="2" t="s">
        <v>52</v>
      </c>
      <c r="P72" s="2" t="s">
        <v>52</v>
      </c>
      <c r="Q72" s="2" t="s">
        <v>163</v>
      </c>
      <c r="R72" s="2" t="s">
        <v>60</v>
      </c>
      <c r="S72" s="2" t="s">
        <v>61</v>
      </c>
      <c r="T72" s="2" t="s">
        <v>61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2" t="s">
        <v>52</v>
      </c>
      <c r="AS72" s="2" t="s">
        <v>52</v>
      </c>
      <c r="AT72" s="3"/>
      <c r="AU72" s="2" t="s">
        <v>170</v>
      </c>
      <c r="AV72" s="3">
        <v>31</v>
      </c>
    </row>
    <row r="73" spans="1:48" ht="30" customHeight="1" x14ac:dyDescent="0.3">
      <c r="A73" s="9" t="s">
        <v>171</v>
      </c>
      <c r="B73" s="9" t="s">
        <v>52</v>
      </c>
      <c r="C73" s="9" t="s">
        <v>82</v>
      </c>
      <c r="D73" s="10">
        <v>24</v>
      </c>
      <c r="E73" s="12">
        <f>TRUNC('일위대가목록(총체)'!E26,0)</f>
        <v>0</v>
      </c>
      <c r="F73" s="12">
        <f t="shared" si="13"/>
        <v>0</v>
      </c>
      <c r="G73" s="12">
        <f>TRUNC('일위대가목록(총체)'!F26,0)</f>
        <v>0</v>
      </c>
      <c r="H73" s="12">
        <f t="shared" si="14"/>
        <v>0</v>
      </c>
      <c r="I73" s="12">
        <f>TRUNC('일위대가목록(총체)'!G26,0)</f>
        <v>0</v>
      </c>
      <c r="J73" s="12">
        <f t="shared" si="15"/>
        <v>0</v>
      </c>
      <c r="K73" s="12">
        <f t="shared" si="16"/>
        <v>0</v>
      </c>
      <c r="L73" s="12">
        <f t="shared" si="17"/>
        <v>0</v>
      </c>
      <c r="M73" s="9" t="s">
        <v>52</v>
      </c>
      <c r="N73" s="2" t="s">
        <v>172</v>
      </c>
      <c r="O73" s="2" t="s">
        <v>52</v>
      </c>
      <c r="P73" s="2" t="s">
        <v>52</v>
      </c>
      <c r="Q73" s="2" t="s">
        <v>163</v>
      </c>
      <c r="R73" s="2" t="s">
        <v>60</v>
      </c>
      <c r="S73" s="2" t="s">
        <v>61</v>
      </c>
      <c r="T73" s="2" t="s">
        <v>61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2" t="s">
        <v>52</v>
      </c>
      <c r="AS73" s="2" t="s">
        <v>52</v>
      </c>
      <c r="AT73" s="3"/>
      <c r="AU73" s="2" t="s">
        <v>173</v>
      </c>
      <c r="AV73" s="3">
        <v>35</v>
      </c>
    </row>
    <row r="74" spans="1:48" ht="30" customHeight="1" x14ac:dyDescent="0.3">
      <c r="A74" s="9" t="s">
        <v>174</v>
      </c>
      <c r="B74" s="9" t="s">
        <v>175</v>
      </c>
      <c r="C74" s="9" t="s">
        <v>68</v>
      </c>
      <c r="D74" s="10">
        <v>115</v>
      </c>
      <c r="E74" s="12">
        <f>TRUNC('일위대가목록(총체)'!E27,0)</f>
        <v>0</v>
      </c>
      <c r="F74" s="12">
        <f t="shared" si="13"/>
        <v>0</v>
      </c>
      <c r="G74" s="12">
        <f>TRUNC('일위대가목록(총체)'!F27,0)</f>
        <v>0</v>
      </c>
      <c r="H74" s="12">
        <f t="shared" si="14"/>
        <v>0</v>
      </c>
      <c r="I74" s="12">
        <f>TRUNC('일위대가목록(총체)'!G27,0)</f>
        <v>0</v>
      </c>
      <c r="J74" s="12">
        <f t="shared" si="15"/>
        <v>0</v>
      </c>
      <c r="K74" s="12">
        <f t="shared" si="16"/>
        <v>0</v>
      </c>
      <c r="L74" s="12">
        <f t="shared" si="17"/>
        <v>0</v>
      </c>
      <c r="M74" s="9" t="s">
        <v>52</v>
      </c>
      <c r="N74" s="2" t="s">
        <v>176</v>
      </c>
      <c r="O74" s="2" t="s">
        <v>52</v>
      </c>
      <c r="P74" s="2" t="s">
        <v>52</v>
      </c>
      <c r="Q74" s="2" t="s">
        <v>163</v>
      </c>
      <c r="R74" s="2" t="s">
        <v>60</v>
      </c>
      <c r="S74" s="2" t="s">
        <v>61</v>
      </c>
      <c r="T74" s="2" t="s">
        <v>61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2" t="s">
        <v>52</v>
      </c>
      <c r="AS74" s="2" t="s">
        <v>52</v>
      </c>
      <c r="AT74" s="3"/>
      <c r="AU74" s="2" t="s">
        <v>177</v>
      </c>
      <c r="AV74" s="3">
        <v>32</v>
      </c>
    </row>
    <row r="75" spans="1:48" ht="30" customHeight="1" x14ac:dyDescent="0.3">
      <c r="A75" s="9" t="s">
        <v>178</v>
      </c>
      <c r="B75" s="9" t="s">
        <v>179</v>
      </c>
      <c r="C75" s="9" t="s">
        <v>68</v>
      </c>
      <c r="D75" s="10">
        <v>285</v>
      </c>
      <c r="E75" s="12">
        <f>TRUNC('단가대비표(총체)'!O8,0)</f>
        <v>0</v>
      </c>
      <c r="F75" s="12">
        <f t="shared" si="13"/>
        <v>0</v>
      </c>
      <c r="G75" s="12">
        <f>TRUNC('단가대비표(총체)'!P8,0)</f>
        <v>0</v>
      </c>
      <c r="H75" s="12">
        <f t="shared" si="14"/>
        <v>0</v>
      </c>
      <c r="I75" s="12">
        <f>TRUNC('단가대비표(총체)'!V8,0)</f>
        <v>0</v>
      </c>
      <c r="J75" s="12">
        <f t="shared" si="15"/>
        <v>0</v>
      </c>
      <c r="K75" s="12">
        <f t="shared" si="16"/>
        <v>0</v>
      </c>
      <c r="L75" s="12">
        <f t="shared" si="17"/>
        <v>0</v>
      </c>
      <c r="M75" s="9" t="s">
        <v>52</v>
      </c>
      <c r="N75" s="2" t="s">
        <v>180</v>
      </c>
      <c r="O75" s="2" t="s">
        <v>52</v>
      </c>
      <c r="P75" s="2" t="s">
        <v>52</v>
      </c>
      <c r="Q75" s="2" t="s">
        <v>163</v>
      </c>
      <c r="R75" s="2" t="s">
        <v>61</v>
      </c>
      <c r="S75" s="2" t="s">
        <v>61</v>
      </c>
      <c r="T75" s="2" t="s">
        <v>60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2" t="s">
        <v>52</v>
      </c>
      <c r="AS75" s="2" t="s">
        <v>52</v>
      </c>
      <c r="AT75" s="3"/>
      <c r="AU75" s="2" t="s">
        <v>181</v>
      </c>
      <c r="AV75" s="3">
        <v>218</v>
      </c>
    </row>
    <row r="76" spans="1:48" ht="30" customHeight="1" x14ac:dyDescent="0.3">
      <c r="A76" s="9" t="s">
        <v>174</v>
      </c>
      <c r="B76" s="9" t="s">
        <v>182</v>
      </c>
      <c r="C76" s="9" t="s">
        <v>68</v>
      </c>
      <c r="D76" s="10">
        <v>23</v>
      </c>
      <c r="E76" s="12">
        <f>TRUNC('일위대가목록(총체)'!E28,0)</f>
        <v>0</v>
      </c>
      <c r="F76" s="12">
        <f t="shared" si="13"/>
        <v>0</v>
      </c>
      <c r="G76" s="12">
        <f>TRUNC('일위대가목록(총체)'!F28,0)</f>
        <v>0</v>
      </c>
      <c r="H76" s="12">
        <f t="shared" si="14"/>
        <v>0</v>
      </c>
      <c r="I76" s="12">
        <f>TRUNC('일위대가목록(총체)'!G28,0)</f>
        <v>0</v>
      </c>
      <c r="J76" s="12">
        <f t="shared" si="15"/>
        <v>0</v>
      </c>
      <c r="K76" s="12">
        <f t="shared" si="16"/>
        <v>0</v>
      </c>
      <c r="L76" s="12">
        <f t="shared" si="17"/>
        <v>0</v>
      </c>
      <c r="M76" s="9" t="s">
        <v>52</v>
      </c>
      <c r="N76" s="2" t="s">
        <v>183</v>
      </c>
      <c r="O76" s="2" t="s">
        <v>52</v>
      </c>
      <c r="P76" s="2" t="s">
        <v>52</v>
      </c>
      <c r="Q76" s="2" t="s">
        <v>163</v>
      </c>
      <c r="R76" s="2" t="s">
        <v>60</v>
      </c>
      <c r="S76" s="2" t="s">
        <v>61</v>
      </c>
      <c r="T76" s="2" t="s">
        <v>61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2" t="s">
        <v>52</v>
      </c>
      <c r="AS76" s="2" t="s">
        <v>52</v>
      </c>
      <c r="AT76" s="3"/>
      <c r="AU76" s="2" t="s">
        <v>184</v>
      </c>
      <c r="AV76" s="3">
        <v>33</v>
      </c>
    </row>
    <row r="77" spans="1:48" ht="30" customHeight="1" x14ac:dyDescent="0.3">
      <c r="A77" s="9" t="s">
        <v>178</v>
      </c>
      <c r="B77" s="9" t="s">
        <v>185</v>
      </c>
      <c r="C77" s="9" t="s">
        <v>68</v>
      </c>
      <c r="D77" s="10">
        <v>24</v>
      </c>
      <c r="E77" s="12">
        <f>TRUNC('단가대비표(총체)'!O9,0)</f>
        <v>0</v>
      </c>
      <c r="F77" s="12">
        <f t="shared" si="13"/>
        <v>0</v>
      </c>
      <c r="G77" s="12">
        <f>TRUNC('단가대비표(총체)'!P9,0)</f>
        <v>0</v>
      </c>
      <c r="H77" s="12">
        <f t="shared" si="14"/>
        <v>0</v>
      </c>
      <c r="I77" s="12">
        <f>TRUNC('단가대비표(총체)'!V9,0)</f>
        <v>0</v>
      </c>
      <c r="J77" s="12">
        <f t="shared" si="15"/>
        <v>0</v>
      </c>
      <c r="K77" s="12">
        <f t="shared" si="16"/>
        <v>0</v>
      </c>
      <c r="L77" s="12">
        <f t="shared" si="17"/>
        <v>0</v>
      </c>
      <c r="M77" s="9" t="s">
        <v>52</v>
      </c>
      <c r="N77" s="2" t="s">
        <v>186</v>
      </c>
      <c r="O77" s="2" t="s">
        <v>52</v>
      </c>
      <c r="P77" s="2" t="s">
        <v>52</v>
      </c>
      <c r="Q77" s="2" t="s">
        <v>163</v>
      </c>
      <c r="R77" s="2" t="s">
        <v>61</v>
      </c>
      <c r="S77" s="2" t="s">
        <v>61</v>
      </c>
      <c r="T77" s="2" t="s">
        <v>60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2" t="s">
        <v>52</v>
      </c>
      <c r="AS77" s="2" t="s">
        <v>52</v>
      </c>
      <c r="AT77" s="3"/>
      <c r="AU77" s="2" t="s">
        <v>187</v>
      </c>
      <c r="AV77" s="3">
        <v>219</v>
      </c>
    </row>
    <row r="78" spans="1:48" ht="30" customHeight="1" x14ac:dyDescent="0.3">
      <c r="A78" s="9" t="s">
        <v>188</v>
      </c>
      <c r="B78" s="9" t="s">
        <v>189</v>
      </c>
      <c r="C78" s="9" t="s">
        <v>68</v>
      </c>
      <c r="D78" s="10">
        <v>70</v>
      </c>
      <c r="E78" s="12">
        <f>TRUNC('일위대가목록(총체)'!E29,0)</f>
        <v>0</v>
      </c>
      <c r="F78" s="12">
        <f t="shared" si="13"/>
        <v>0</v>
      </c>
      <c r="G78" s="12">
        <f>TRUNC('일위대가목록(총체)'!F29,0)</f>
        <v>0</v>
      </c>
      <c r="H78" s="12">
        <f t="shared" si="14"/>
        <v>0</v>
      </c>
      <c r="I78" s="12">
        <f>TRUNC('일위대가목록(총체)'!G29,0)</f>
        <v>0</v>
      </c>
      <c r="J78" s="12">
        <f t="shared" si="15"/>
        <v>0</v>
      </c>
      <c r="K78" s="12">
        <f t="shared" si="16"/>
        <v>0</v>
      </c>
      <c r="L78" s="12">
        <f t="shared" si="17"/>
        <v>0</v>
      </c>
      <c r="M78" s="9" t="s">
        <v>52</v>
      </c>
      <c r="N78" s="2" t="s">
        <v>190</v>
      </c>
      <c r="O78" s="2" t="s">
        <v>52</v>
      </c>
      <c r="P78" s="2" t="s">
        <v>52</v>
      </c>
      <c r="Q78" s="2" t="s">
        <v>163</v>
      </c>
      <c r="R78" s="2" t="s">
        <v>60</v>
      </c>
      <c r="S78" s="2" t="s">
        <v>61</v>
      </c>
      <c r="T78" s="2" t="s">
        <v>61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2" t="s">
        <v>52</v>
      </c>
      <c r="AS78" s="2" t="s">
        <v>52</v>
      </c>
      <c r="AT78" s="3"/>
      <c r="AU78" s="2" t="s">
        <v>191</v>
      </c>
      <c r="AV78" s="3">
        <v>36</v>
      </c>
    </row>
    <row r="79" spans="1:48" ht="30" customHeight="1" x14ac:dyDescent="0.3">
      <c r="A79" s="9" t="s">
        <v>192</v>
      </c>
      <c r="B79" s="9" t="s">
        <v>189</v>
      </c>
      <c r="C79" s="9" t="s">
        <v>68</v>
      </c>
      <c r="D79" s="10">
        <v>74</v>
      </c>
      <c r="E79" s="12">
        <f>TRUNC('단가대비표(총체)'!O10,0)</f>
        <v>0</v>
      </c>
      <c r="F79" s="12">
        <f t="shared" si="13"/>
        <v>0</v>
      </c>
      <c r="G79" s="12">
        <f>TRUNC('단가대비표(총체)'!P10,0)</f>
        <v>0</v>
      </c>
      <c r="H79" s="12">
        <f t="shared" si="14"/>
        <v>0</v>
      </c>
      <c r="I79" s="12">
        <f>TRUNC('단가대비표(총체)'!V10,0)</f>
        <v>0</v>
      </c>
      <c r="J79" s="12">
        <f t="shared" si="15"/>
        <v>0</v>
      </c>
      <c r="K79" s="12">
        <f t="shared" si="16"/>
        <v>0</v>
      </c>
      <c r="L79" s="12">
        <f t="shared" si="17"/>
        <v>0</v>
      </c>
      <c r="M79" s="9" t="s">
        <v>52</v>
      </c>
      <c r="N79" s="2" t="s">
        <v>193</v>
      </c>
      <c r="O79" s="2" t="s">
        <v>52</v>
      </c>
      <c r="P79" s="2" t="s">
        <v>52</v>
      </c>
      <c r="Q79" s="2" t="s">
        <v>163</v>
      </c>
      <c r="R79" s="2" t="s">
        <v>61</v>
      </c>
      <c r="S79" s="2" t="s">
        <v>61</v>
      </c>
      <c r="T79" s="2" t="s">
        <v>60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2" t="s">
        <v>52</v>
      </c>
      <c r="AS79" s="2" t="s">
        <v>52</v>
      </c>
      <c r="AT79" s="3"/>
      <c r="AU79" s="2" t="s">
        <v>194</v>
      </c>
      <c r="AV79" s="3">
        <v>44</v>
      </c>
    </row>
    <row r="80" spans="1:48" ht="30" customHeight="1" x14ac:dyDescent="0.3">
      <c r="A80" s="9" t="s">
        <v>195</v>
      </c>
      <c r="B80" s="9" t="s">
        <v>196</v>
      </c>
      <c r="C80" s="9" t="s">
        <v>68</v>
      </c>
      <c r="D80" s="10">
        <v>91</v>
      </c>
      <c r="E80" s="12">
        <f>TRUNC('일위대가목록(총체)'!E30,0)</f>
        <v>0</v>
      </c>
      <c r="F80" s="12">
        <f t="shared" si="13"/>
        <v>0</v>
      </c>
      <c r="G80" s="12">
        <f>TRUNC('일위대가목록(총체)'!F30,0)</f>
        <v>0</v>
      </c>
      <c r="H80" s="12">
        <f t="shared" si="14"/>
        <v>0</v>
      </c>
      <c r="I80" s="12">
        <f>TRUNC('일위대가목록(총체)'!G30,0)</f>
        <v>0</v>
      </c>
      <c r="J80" s="12">
        <f t="shared" si="15"/>
        <v>0</v>
      </c>
      <c r="K80" s="12">
        <f t="shared" si="16"/>
        <v>0</v>
      </c>
      <c r="L80" s="12">
        <f t="shared" si="17"/>
        <v>0</v>
      </c>
      <c r="M80" s="9" t="s">
        <v>52</v>
      </c>
      <c r="N80" s="2" t="s">
        <v>197</v>
      </c>
      <c r="O80" s="2" t="s">
        <v>52</v>
      </c>
      <c r="P80" s="2" t="s">
        <v>52</v>
      </c>
      <c r="Q80" s="2" t="s">
        <v>163</v>
      </c>
      <c r="R80" s="2" t="s">
        <v>60</v>
      </c>
      <c r="S80" s="2" t="s">
        <v>61</v>
      </c>
      <c r="T80" s="2" t="s">
        <v>61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2" t="s">
        <v>52</v>
      </c>
      <c r="AS80" s="2" t="s">
        <v>52</v>
      </c>
      <c r="AT80" s="3"/>
      <c r="AU80" s="2" t="s">
        <v>198</v>
      </c>
      <c r="AV80" s="3">
        <v>37</v>
      </c>
    </row>
    <row r="81" spans="1:48" ht="30" customHeight="1" x14ac:dyDescent="0.3">
      <c r="A81" s="9" t="s">
        <v>199</v>
      </c>
      <c r="B81" s="9" t="s">
        <v>200</v>
      </c>
      <c r="C81" s="9" t="s">
        <v>68</v>
      </c>
      <c r="D81" s="10">
        <v>8</v>
      </c>
      <c r="E81" s="12">
        <f>TRUNC('일위대가목록(총체)'!E31,0)</f>
        <v>0</v>
      </c>
      <c r="F81" s="12">
        <f t="shared" si="13"/>
        <v>0</v>
      </c>
      <c r="G81" s="12">
        <f>TRUNC('일위대가목록(총체)'!F31,0)</f>
        <v>0</v>
      </c>
      <c r="H81" s="12">
        <f t="shared" si="14"/>
        <v>0</v>
      </c>
      <c r="I81" s="12">
        <f>TRUNC('일위대가목록(총체)'!G31,0)</f>
        <v>0</v>
      </c>
      <c r="J81" s="12">
        <f t="shared" si="15"/>
        <v>0</v>
      </c>
      <c r="K81" s="12">
        <f t="shared" si="16"/>
        <v>0</v>
      </c>
      <c r="L81" s="12">
        <f t="shared" si="17"/>
        <v>0</v>
      </c>
      <c r="M81" s="9" t="s">
        <v>52</v>
      </c>
      <c r="N81" s="2" t="s">
        <v>201</v>
      </c>
      <c r="O81" s="2" t="s">
        <v>52</v>
      </c>
      <c r="P81" s="2" t="s">
        <v>52</v>
      </c>
      <c r="Q81" s="2" t="s">
        <v>163</v>
      </c>
      <c r="R81" s="2" t="s">
        <v>60</v>
      </c>
      <c r="S81" s="2" t="s">
        <v>61</v>
      </c>
      <c r="T81" s="2" t="s">
        <v>61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2" t="s">
        <v>52</v>
      </c>
      <c r="AS81" s="2" t="s">
        <v>52</v>
      </c>
      <c r="AT81" s="3"/>
      <c r="AU81" s="2" t="s">
        <v>202</v>
      </c>
      <c r="AV81" s="3">
        <v>39</v>
      </c>
    </row>
    <row r="82" spans="1:48" ht="30" customHeight="1" x14ac:dyDescent="0.3">
      <c r="A82" s="9" t="s">
        <v>203</v>
      </c>
      <c r="B82" s="9" t="s">
        <v>204</v>
      </c>
      <c r="C82" s="9" t="s">
        <v>68</v>
      </c>
      <c r="D82" s="10">
        <v>51</v>
      </c>
      <c r="E82" s="12">
        <f>TRUNC('일위대가목록(총체)'!E32,0)</f>
        <v>0</v>
      </c>
      <c r="F82" s="12">
        <f t="shared" si="13"/>
        <v>0</v>
      </c>
      <c r="G82" s="12">
        <f>TRUNC('일위대가목록(총체)'!F32,0)</f>
        <v>0</v>
      </c>
      <c r="H82" s="12">
        <f t="shared" si="14"/>
        <v>0</v>
      </c>
      <c r="I82" s="12">
        <f>TRUNC('일위대가목록(총체)'!G32,0)</f>
        <v>0</v>
      </c>
      <c r="J82" s="12">
        <f t="shared" si="15"/>
        <v>0</v>
      </c>
      <c r="K82" s="12">
        <f t="shared" si="16"/>
        <v>0</v>
      </c>
      <c r="L82" s="12">
        <f t="shared" si="17"/>
        <v>0</v>
      </c>
      <c r="M82" s="9" t="s">
        <v>52</v>
      </c>
      <c r="N82" s="2" t="s">
        <v>205</v>
      </c>
      <c r="O82" s="2" t="s">
        <v>52</v>
      </c>
      <c r="P82" s="2" t="s">
        <v>52</v>
      </c>
      <c r="Q82" s="2" t="s">
        <v>163</v>
      </c>
      <c r="R82" s="2" t="s">
        <v>60</v>
      </c>
      <c r="S82" s="2" t="s">
        <v>61</v>
      </c>
      <c r="T82" s="2" t="s">
        <v>61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2" t="s">
        <v>52</v>
      </c>
      <c r="AS82" s="2" t="s">
        <v>52</v>
      </c>
      <c r="AT82" s="3"/>
      <c r="AU82" s="2" t="s">
        <v>206</v>
      </c>
      <c r="AV82" s="3">
        <v>38</v>
      </c>
    </row>
    <row r="83" spans="1:48" ht="30" customHeight="1" x14ac:dyDescent="0.3">
      <c r="A83" s="9" t="s">
        <v>207</v>
      </c>
      <c r="B83" s="9" t="s">
        <v>204</v>
      </c>
      <c r="C83" s="9" t="s">
        <v>68</v>
      </c>
      <c r="D83" s="10">
        <v>57</v>
      </c>
      <c r="E83" s="12">
        <f>TRUNC('단가대비표(총체)'!O40,0)</f>
        <v>0</v>
      </c>
      <c r="F83" s="12">
        <f t="shared" si="13"/>
        <v>0</v>
      </c>
      <c r="G83" s="12">
        <f>TRUNC('단가대비표(총체)'!P40,0)</f>
        <v>0</v>
      </c>
      <c r="H83" s="12">
        <f t="shared" si="14"/>
        <v>0</v>
      </c>
      <c r="I83" s="12">
        <f>TRUNC('단가대비표(총체)'!V40,0)</f>
        <v>0</v>
      </c>
      <c r="J83" s="12">
        <f t="shared" si="15"/>
        <v>0</v>
      </c>
      <c r="K83" s="12">
        <f t="shared" si="16"/>
        <v>0</v>
      </c>
      <c r="L83" s="12">
        <f t="shared" si="17"/>
        <v>0</v>
      </c>
      <c r="M83" s="9" t="s">
        <v>52</v>
      </c>
      <c r="N83" s="2" t="s">
        <v>208</v>
      </c>
      <c r="O83" s="2" t="s">
        <v>52</v>
      </c>
      <c r="P83" s="2" t="s">
        <v>52</v>
      </c>
      <c r="Q83" s="2" t="s">
        <v>163</v>
      </c>
      <c r="R83" s="2" t="s">
        <v>61</v>
      </c>
      <c r="S83" s="2" t="s">
        <v>61</v>
      </c>
      <c r="T83" s="2" t="s">
        <v>60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2" t="s">
        <v>52</v>
      </c>
      <c r="AS83" s="2" t="s">
        <v>52</v>
      </c>
      <c r="AT83" s="3"/>
      <c r="AU83" s="2" t="s">
        <v>209</v>
      </c>
      <c r="AV83" s="3">
        <v>45</v>
      </c>
    </row>
    <row r="84" spans="1:48" ht="30" customHeight="1" x14ac:dyDescent="0.3">
      <c r="A84" s="9" t="s">
        <v>210</v>
      </c>
      <c r="B84" s="9" t="s">
        <v>211</v>
      </c>
      <c r="C84" s="9" t="s">
        <v>68</v>
      </c>
      <c r="D84" s="10">
        <v>88</v>
      </c>
      <c r="E84" s="12">
        <f>TRUNC('일위대가목록(총체)'!E33,0)</f>
        <v>0</v>
      </c>
      <c r="F84" s="12">
        <f t="shared" si="13"/>
        <v>0</v>
      </c>
      <c r="G84" s="12">
        <f>TRUNC('일위대가목록(총체)'!F33,0)</f>
        <v>0</v>
      </c>
      <c r="H84" s="12">
        <f t="shared" si="14"/>
        <v>0</v>
      </c>
      <c r="I84" s="12">
        <f>TRUNC('일위대가목록(총체)'!G33,0)</f>
        <v>0</v>
      </c>
      <c r="J84" s="12">
        <f t="shared" si="15"/>
        <v>0</v>
      </c>
      <c r="K84" s="12">
        <f t="shared" si="16"/>
        <v>0</v>
      </c>
      <c r="L84" s="12">
        <f t="shared" si="17"/>
        <v>0</v>
      </c>
      <c r="M84" s="9" t="s">
        <v>52</v>
      </c>
      <c r="N84" s="2" t="s">
        <v>212</v>
      </c>
      <c r="O84" s="2" t="s">
        <v>52</v>
      </c>
      <c r="P84" s="2" t="s">
        <v>52</v>
      </c>
      <c r="Q84" s="2" t="s">
        <v>163</v>
      </c>
      <c r="R84" s="2" t="s">
        <v>60</v>
      </c>
      <c r="S84" s="2" t="s">
        <v>61</v>
      </c>
      <c r="T84" s="2" t="s">
        <v>61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2" t="s">
        <v>52</v>
      </c>
      <c r="AS84" s="2" t="s">
        <v>52</v>
      </c>
      <c r="AT84" s="3"/>
      <c r="AU84" s="2" t="s">
        <v>213</v>
      </c>
      <c r="AV84" s="3">
        <v>46</v>
      </c>
    </row>
    <row r="85" spans="1:48" ht="30" customHeight="1" x14ac:dyDescent="0.3">
      <c r="A85" s="9" t="s">
        <v>210</v>
      </c>
      <c r="B85" s="9" t="s">
        <v>214</v>
      </c>
      <c r="C85" s="9" t="s">
        <v>68</v>
      </c>
      <c r="D85" s="10">
        <v>69</v>
      </c>
      <c r="E85" s="12">
        <f>TRUNC('일위대가목록(총체)'!E34,0)</f>
        <v>0</v>
      </c>
      <c r="F85" s="12">
        <f t="shared" si="13"/>
        <v>0</v>
      </c>
      <c r="G85" s="12">
        <f>TRUNC('일위대가목록(총체)'!F34,0)</f>
        <v>0</v>
      </c>
      <c r="H85" s="12">
        <f t="shared" si="14"/>
        <v>0</v>
      </c>
      <c r="I85" s="12">
        <f>TRUNC('일위대가목록(총체)'!G34,0)</f>
        <v>0</v>
      </c>
      <c r="J85" s="12">
        <f t="shared" si="15"/>
        <v>0</v>
      </c>
      <c r="K85" s="12">
        <f t="shared" si="16"/>
        <v>0</v>
      </c>
      <c r="L85" s="12">
        <f t="shared" si="17"/>
        <v>0</v>
      </c>
      <c r="M85" s="9" t="s">
        <v>52</v>
      </c>
      <c r="N85" s="2" t="s">
        <v>215</v>
      </c>
      <c r="O85" s="2" t="s">
        <v>52</v>
      </c>
      <c r="P85" s="2" t="s">
        <v>52</v>
      </c>
      <c r="Q85" s="2" t="s">
        <v>163</v>
      </c>
      <c r="R85" s="2" t="s">
        <v>60</v>
      </c>
      <c r="S85" s="2" t="s">
        <v>61</v>
      </c>
      <c r="T85" s="2" t="s">
        <v>61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2" t="s">
        <v>52</v>
      </c>
      <c r="AS85" s="2" t="s">
        <v>52</v>
      </c>
      <c r="AT85" s="3"/>
      <c r="AU85" s="2" t="s">
        <v>216</v>
      </c>
      <c r="AV85" s="3">
        <v>47</v>
      </c>
    </row>
    <row r="86" spans="1:48" ht="30" customHeight="1" x14ac:dyDescent="0.3">
      <c r="A86" s="9" t="s">
        <v>210</v>
      </c>
      <c r="B86" s="9" t="s">
        <v>217</v>
      </c>
      <c r="C86" s="9" t="s">
        <v>68</v>
      </c>
      <c r="D86" s="10">
        <v>56</v>
      </c>
      <c r="E86" s="12">
        <f>TRUNC('일위대가목록(총체)'!E35,0)</f>
        <v>0</v>
      </c>
      <c r="F86" s="12">
        <f t="shared" si="13"/>
        <v>0</v>
      </c>
      <c r="G86" s="12">
        <f>TRUNC('일위대가목록(총체)'!F35,0)</f>
        <v>0</v>
      </c>
      <c r="H86" s="12">
        <f t="shared" si="14"/>
        <v>0</v>
      </c>
      <c r="I86" s="12">
        <f>TRUNC('일위대가목록(총체)'!G35,0)</f>
        <v>0</v>
      </c>
      <c r="J86" s="12">
        <f t="shared" si="15"/>
        <v>0</v>
      </c>
      <c r="K86" s="12">
        <f t="shared" si="16"/>
        <v>0</v>
      </c>
      <c r="L86" s="12">
        <f t="shared" si="17"/>
        <v>0</v>
      </c>
      <c r="M86" s="9" t="s">
        <v>52</v>
      </c>
      <c r="N86" s="2" t="s">
        <v>218</v>
      </c>
      <c r="O86" s="2" t="s">
        <v>52</v>
      </c>
      <c r="P86" s="2" t="s">
        <v>52</v>
      </c>
      <c r="Q86" s="2" t="s">
        <v>163</v>
      </c>
      <c r="R86" s="2" t="s">
        <v>60</v>
      </c>
      <c r="S86" s="2" t="s">
        <v>61</v>
      </c>
      <c r="T86" s="2" t="s">
        <v>61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2" t="s">
        <v>52</v>
      </c>
      <c r="AS86" s="2" t="s">
        <v>52</v>
      </c>
      <c r="AT86" s="3"/>
      <c r="AU86" s="2" t="s">
        <v>219</v>
      </c>
      <c r="AV86" s="3">
        <v>48</v>
      </c>
    </row>
    <row r="87" spans="1:48" ht="30" customHeight="1" x14ac:dyDescent="0.3">
      <c r="A87" s="9" t="s">
        <v>220</v>
      </c>
      <c r="B87" s="9" t="s">
        <v>221</v>
      </c>
      <c r="C87" s="9" t="s">
        <v>87</v>
      </c>
      <c r="D87" s="10">
        <v>788</v>
      </c>
      <c r="E87" s="12">
        <f>TRUNC('일위대가목록(총체)'!E36,0)</f>
        <v>0</v>
      </c>
      <c r="F87" s="12">
        <f t="shared" si="13"/>
        <v>0</v>
      </c>
      <c r="G87" s="12">
        <f>TRUNC('일위대가목록(총체)'!F36,0)</f>
        <v>0</v>
      </c>
      <c r="H87" s="12">
        <f t="shared" si="14"/>
        <v>0</v>
      </c>
      <c r="I87" s="12">
        <f>TRUNC('일위대가목록(총체)'!G36,0)</f>
        <v>0</v>
      </c>
      <c r="J87" s="12">
        <f t="shared" si="15"/>
        <v>0</v>
      </c>
      <c r="K87" s="12">
        <f t="shared" si="16"/>
        <v>0</v>
      </c>
      <c r="L87" s="12">
        <f t="shared" si="17"/>
        <v>0</v>
      </c>
      <c r="M87" s="9" t="s">
        <v>52</v>
      </c>
      <c r="N87" s="2" t="s">
        <v>222</v>
      </c>
      <c r="O87" s="2" t="s">
        <v>52</v>
      </c>
      <c r="P87" s="2" t="s">
        <v>52</v>
      </c>
      <c r="Q87" s="2" t="s">
        <v>163</v>
      </c>
      <c r="R87" s="2" t="s">
        <v>60</v>
      </c>
      <c r="S87" s="2" t="s">
        <v>61</v>
      </c>
      <c r="T87" s="2" t="s">
        <v>61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2" t="s">
        <v>52</v>
      </c>
      <c r="AS87" s="2" t="s">
        <v>52</v>
      </c>
      <c r="AT87" s="3"/>
      <c r="AU87" s="2" t="s">
        <v>223</v>
      </c>
      <c r="AV87" s="3">
        <v>49</v>
      </c>
    </row>
    <row r="88" spans="1:48" ht="30" customHeight="1" x14ac:dyDescent="0.3">
      <c r="A88" s="9" t="s">
        <v>224</v>
      </c>
      <c r="B88" s="9" t="s">
        <v>225</v>
      </c>
      <c r="C88" s="9" t="s">
        <v>87</v>
      </c>
      <c r="D88" s="10">
        <v>11</v>
      </c>
      <c r="E88" s="12">
        <f>TRUNC('일위대가목록(총체)'!E37,0)</f>
        <v>0</v>
      </c>
      <c r="F88" s="12">
        <f t="shared" si="13"/>
        <v>0</v>
      </c>
      <c r="G88" s="12">
        <f>TRUNC('일위대가목록(총체)'!F37,0)</f>
        <v>0</v>
      </c>
      <c r="H88" s="12">
        <f t="shared" si="14"/>
        <v>0</v>
      </c>
      <c r="I88" s="12">
        <f>TRUNC('일위대가목록(총체)'!G37,0)</f>
        <v>0</v>
      </c>
      <c r="J88" s="12">
        <f t="shared" si="15"/>
        <v>0</v>
      </c>
      <c r="K88" s="12">
        <f t="shared" si="16"/>
        <v>0</v>
      </c>
      <c r="L88" s="12">
        <f t="shared" si="17"/>
        <v>0</v>
      </c>
      <c r="M88" s="9" t="s">
        <v>52</v>
      </c>
      <c r="N88" s="2" t="s">
        <v>226</v>
      </c>
      <c r="O88" s="2" t="s">
        <v>52</v>
      </c>
      <c r="P88" s="2" t="s">
        <v>52</v>
      </c>
      <c r="Q88" s="2" t="s">
        <v>163</v>
      </c>
      <c r="R88" s="2" t="s">
        <v>60</v>
      </c>
      <c r="S88" s="2" t="s">
        <v>61</v>
      </c>
      <c r="T88" s="2" t="s">
        <v>61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2" t="s">
        <v>52</v>
      </c>
      <c r="AS88" s="2" t="s">
        <v>52</v>
      </c>
      <c r="AT88" s="3"/>
      <c r="AU88" s="2" t="s">
        <v>227</v>
      </c>
      <c r="AV88" s="3">
        <v>50</v>
      </c>
    </row>
    <row r="89" spans="1:48" ht="30" customHeight="1" x14ac:dyDescent="0.3">
      <c r="A89" s="9" t="s">
        <v>228</v>
      </c>
      <c r="B89" s="9" t="s">
        <v>229</v>
      </c>
      <c r="C89" s="9" t="s">
        <v>68</v>
      </c>
      <c r="D89" s="10">
        <v>799</v>
      </c>
      <c r="E89" s="12">
        <f>TRUNC('일위대가목록(총체)'!E38,0)</f>
        <v>0</v>
      </c>
      <c r="F89" s="12">
        <f t="shared" si="13"/>
        <v>0</v>
      </c>
      <c r="G89" s="12">
        <f>TRUNC('일위대가목록(총체)'!F38,0)</f>
        <v>0</v>
      </c>
      <c r="H89" s="12">
        <f t="shared" si="14"/>
        <v>0</v>
      </c>
      <c r="I89" s="12">
        <f>TRUNC('일위대가목록(총체)'!G38,0)</f>
        <v>0</v>
      </c>
      <c r="J89" s="12">
        <f t="shared" si="15"/>
        <v>0</v>
      </c>
      <c r="K89" s="12">
        <f t="shared" si="16"/>
        <v>0</v>
      </c>
      <c r="L89" s="12">
        <f t="shared" si="17"/>
        <v>0</v>
      </c>
      <c r="M89" s="9" t="s">
        <v>52</v>
      </c>
      <c r="N89" s="2" t="s">
        <v>230</v>
      </c>
      <c r="O89" s="2" t="s">
        <v>52</v>
      </c>
      <c r="P89" s="2" t="s">
        <v>52</v>
      </c>
      <c r="Q89" s="2" t="s">
        <v>163</v>
      </c>
      <c r="R89" s="2" t="s">
        <v>60</v>
      </c>
      <c r="S89" s="2" t="s">
        <v>61</v>
      </c>
      <c r="T89" s="2" t="s">
        <v>61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2" t="s">
        <v>52</v>
      </c>
      <c r="AS89" s="2" t="s">
        <v>52</v>
      </c>
      <c r="AT89" s="3"/>
      <c r="AU89" s="2" t="s">
        <v>231</v>
      </c>
      <c r="AV89" s="3">
        <v>51</v>
      </c>
    </row>
    <row r="90" spans="1:48" ht="30" customHeight="1" x14ac:dyDescent="0.3">
      <c r="A90" s="9" t="s">
        <v>232</v>
      </c>
      <c r="B90" s="9" t="s">
        <v>233</v>
      </c>
      <c r="C90" s="9" t="s">
        <v>68</v>
      </c>
      <c r="D90" s="10">
        <v>3560</v>
      </c>
      <c r="E90" s="12">
        <f>TRUNC('단가대비표(총체)'!O52,0)</f>
        <v>0</v>
      </c>
      <c r="F90" s="12">
        <f t="shared" si="13"/>
        <v>0</v>
      </c>
      <c r="G90" s="12">
        <f>TRUNC('단가대비표(총체)'!P52,0)</f>
        <v>0</v>
      </c>
      <c r="H90" s="12">
        <f t="shared" si="14"/>
        <v>0</v>
      </c>
      <c r="I90" s="12">
        <f>TRUNC('단가대비표(총체)'!V52,0)</f>
        <v>0</v>
      </c>
      <c r="J90" s="12">
        <f t="shared" si="15"/>
        <v>0</v>
      </c>
      <c r="K90" s="12">
        <f t="shared" si="16"/>
        <v>0</v>
      </c>
      <c r="L90" s="12">
        <f t="shared" si="17"/>
        <v>0</v>
      </c>
      <c r="M90" s="9" t="s">
        <v>52</v>
      </c>
      <c r="N90" s="2" t="s">
        <v>234</v>
      </c>
      <c r="O90" s="2" t="s">
        <v>52</v>
      </c>
      <c r="P90" s="2" t="s">
        <v>52</v>
      </c>
      <c r="Q90" s="2" t="s">
        <v>163</v>
      </c>
      <c r="R90" s="2" t="s">
        <v>61</v>
      </c>
      <c r="S90" s="2" t="s">
        <v>61</v>
      </c>
      <c r="T90" s="2" t="s">
        <v>60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2" t="s">
        <v>52</v>
      </c>
      <c r="AS90" s="2" t="s">
        <v>52</v>
      </c>
      <c r="AT90" s="3"/>
      <c r="AU90" s="2" t="s">
        <v>235</v>
      </c>
      <c r="AV90" s="3">
        <v>52</v>
      </c>
    </row>
    <row r="91" spans="1:48" ht="30" customHeight="1" x14ac:dyDescent="0.3">
      <c r="A91" s="9" t="s">
        <v>232</v>
      </c>
      <c r="B91" s="9" t="s">
        <v>236</v>
      </c>
      <c r="C91" s="9" t="s">
        <v>68</v>
      </c>
      <c r="D91" s="10">
        <v>47</v>
      </c>
      <c r="E91" s="12">
        <f>TRUNC('단가대비표(총체)'!O53,0)</f>
        <v>0</v>
      </c>
      <c r="F91" s="12">
        <f t="shared" si="13"/>
        <v>0</v>
      </c>
      <c r="G91" s="12">
        <f>TRUNC('단가대비표(총체)'!P53,0)</f>
        <v>0</v>
      </c>
      <c r="H91" s="12">
        <f t="shared" si="14"/>
        <v>0</v>
      </c>
      <c r="I91" s="12">
        <f>TRUNC('단가대비표(총체)'!V53,0)</f>
        <v>0</v>
      </c>
      <c r="J91" s="12">
        <f t="shared" si="15"/>
        <v>0</v>
      </c>
      <c r="K91" s="12">
        <f t="shared" si="16"/>
        <v>0</v>
      </c>
      <c r="L91" s="12">
        <f t="shared" si="17"/>
        <v>0</v>
      </c>
      <c r="M91" s="9" t="s">
        <v>52</v>
      </c>
      <c r="N91" s="2" t="s">
        <v>237</v>
      </c>
      <c r="O91" s="2" t="s">
        <v>52</v>
      </c>
      <c r="P91" s="2" t="s">
        <v>52</v>
      </c>
      <c r="Q91" s="2" t="s">
        <v>163</v>
      </c>
      <c r="R91" s="2" t="s">
        <v>61</v>
      </c>
      <c r="S91" s="2" t="s">
        <v>61</v>
      </c>
      <c r="T91" s="2" t="s">
        <v>60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2" t="s">
        <v>52</v>
      </c>
      <c r="AS91" s="2" t="s">
        <v>52</v>
      </c>
      <c r="AT91" s="3"/>
      <c r="AU91" s="2" t="s">
        <v>238</v>
      </c>
      <c r="AV91" s="3">
        <v>53</v>
      </c>
    </row>
    <row r="92" spans="1:48" ht="30" customHeight="1" x14ac:dyDescent="0.3">
      <c r="A92" s="9" t="s">
        <v>239</v>
      </c>
      <c r="B92" s="9" t="s">
        <v>240</v>
      </c>
      <c r="C92" s="9" t="s">
        <v>68</v>
      </c>
      <c r="D92" s="10">
        <v>644</v>
      </c>
      <c r="E92" s="12">
        <f>TRUNC('일위대가목록(총체)'!E39,0)</f>
        <v>0</v>
      </c>
      <c r="F92" s="12">
        <f t="shared" si="13"/>
        <v>0</v>
      </c>
      <c r="G92" s="12">
        <f>TRUNC('일위대가목록(총체)'!F39,0)</f>
        <v>0</v>
      </c>
      <c r="H92" s="12">
        <f t="shared" si="14"/>
        <v>0</v>
      </c>
      <c r="I92" s="12">
        <f>TRUNC('일위대가목록(총체)'!G39,0)</f>
        <v>0</v>
      </c>
      <c r="J92" s="12">
        <f t="shared" si="15"/>
        <v>0</v>
      </c>
      <c r="K92" s="12">
        <f t="shared" si="16"/>
        <v>0</v>
      </c>
      <c r="L92" s="12">
        <f t="shared" si="17"/>
        <v>0</v>
      </c>
      <c r="M92" s="9" t="s">
        <v>52</v>
      </c>
      <c r="N92" s="2" t="s">
        <v>241</v>
      </c>
      <c r="O92" s="2" t="s">
        <v>52</v>
      </c>
      <c r="P92" s="2" t="s">
        <v>52</v>
      </c>
      <c r="Q92" s="2" t="s">
        <v>163</v>
      </c>
      <c r="R92" s="2" t="s">
        <v>60</v>
      </c>
      <c r="S92" s="2" t="s">
        <v>61</v>
      </c>
      <c r="T92" s="2" t="s">
        <v>61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2" t="s">
        <v>52</v>
      </c>
      <c r="AS92" s="2" t="s">
        <v>52</v>
      </c>
      <c r="AT92" s="3"/>
      <c r="AU92" s="2" t="s">
        <v>242</v>
      </c>
      <c r="AV92" s="3">
        <v>54</v>
      </c>
    </row>
    <row r="93" spans="1:48" ht="30" customHeight="1" x14ac:dyDescent="0.3">
      <c r="A93" s="9" t="s">
        <v>243</v>
      </c>
      <c r="B93" s="9" t="s">
        <v>240</v>
      </c>
      <c r="C93" s="9" t="s">
        <v>68</v>
      </c>
      <c r="D93" s="10">
        <v>676</v>
      </c>
      <c r="E93" s="12">
        <f>TRUNC('단가대비표(총체)'!O71,0)</f>
        <v>0</v>
      </c>
      <c r="F93" s="12">
        <f t="shared" si="13"/>
        <v>0</v>
      </c>
      <c r="G93" s="12">
        <f>TRUNC('단가대비표(총체)'!P71,0)</f>
        <v>0</v>
      </c>
      <c r="H93" s="12">
        <f t="shared" si="14"/>
        <v>0</v>
      </c>
      <c r="I93" s="12">
        <f>TRUNC('단가대비표(총체)'!V71,0)</f>
        <v>0</v>
      </c>
      <c r="J93" s="12">
        <f t="shared" si="15"/>
        <v>0</v>
      </c>
      <c r="K93" s="12">
        <f t="shared" si="16"/>
        <v>0</v>
      </c>
      <c r="L93" s="12">
        <f t="shared" si="17"/>
        <v>0</v>
      </c>
      <c r="M93" s="9" t="s">
        <v>52</v>
      </c>
      <c r="N93" s="2" t="s">
        <v>244</v>
      </c>
      <c r="O93" s="2" t="s">
        <v>52</v>
      </c>
      <c r="P93" s="2" t="s">
        <v>52</v>
      </c>
      <c r="Q93" s="2" t="s">
        <v>163</v>
      </c>
      <c r="R93" s="2" t="s">
        <v>61</v>
      </c>
      <c r="S93" s="2" t="s">
        <v>61</v>
      </c>
      <c r="T93" s="2" t="s">
        <v>60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2" t="s">
        <v>52</v>
      </c>
      <c r="AS93" s="2" t="s">
        <v>52</v>
      </c>
      <c r="AT93" s="3"/>
      <c r="AU93" s="2" t="s">
        <v>245</v>
      </c>
      <c r="AV93" s="3">
        <v>56</v>
      </c>
    </row>
    <row r="94" spans="1:48" ht="30" customHeight="1" x14ac:dyDescent="0.3">
      <c r="A94" s="9" t="s">
        <v>246</v>
      </c>
      <c r="B94" s="9" t="s">
        <v>247</v>
      </c>
      <c r="C94" s="9" t="s">
        <v>68</v>
      </c>
      <c r="D94" s="10">
        <v>104</v>
      </c>
      <c r="E94" s="12">
        <f>TRUNC('일위대가목록(총체)'!E40,0)</f>
        <v>0</v>
      </c>
      <c r="F94" s="12">
        <f t="shared" si="13"/>
        <v>0</v>
      </c>
      <c r="G94" s="12">
        <f>TRUNC('일위대가목록(총체)'!F40,0)</f>
        <v>0</v>
      </c>
      <c r="H94" s="12">
        <f t="shared" si="14"/>
        <v>0</v>
      </c>
      <c r="I94" s="12">
        <f>TRUNC('일위대가목록(총체)'!G40,0)</f>
        <v>0</v>
      </c>
      <c r="J94" s="12">
        <f t="shared" si="15"/>
        <v>0</v>
      </c>
      <c r="K94" s="12">
        <f t="shared" si="16"/>
        <v>0</v>
      </c>
      <c r="L94" s="12">
        <f t="shared" si="17"/>
        <v>0</v>
      </c>
      <c r="M94" s="9" t="s">
        <v>52</v>
      </c>
      <c r="N94" s="2" t="s">
        <v>248</v>
      </c>
      <c r="O94" s="2" t="s">
        <v>52</v>
      </c>
      <c r="P94" s="2" t="s">
        <v>52</v>
      </c>
      <c r="Q94" s="2" t="s">
        <v>163</v>
      </c>
      <c r="R94" s="2" t="s">
        <v>60</v>
      </c>
      <c r="S94" s="2" t="s">
        <v>61</v>
      </c>
      <c r="T94" s="2" t="s">
        <v>61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2" t="s">
        <v>52</v>
      </c>
      <c r="AS94" s="2" t="s">
        <v>52</v>
      </c>
      <c r="AT94" s="3"/>
      <c r="AU94" s="2" t="s">
        <v>249</v>
      </c>
      <c r="AV94" s="3">
        <v>55</v>
      </c>
    </row>
    <row r="95" spans="1:48" ht="30" customHeight="1" x14ac:dyDescent="0.3">
      <c r="A95" s="9" t="s">
        <v>250</v>
      </c>
      <c r="B95" s="9" t="s">
        <v>247</v>
      </c>
      <c r="C95" s="9" t="s">
        <v>68</v>
      </c>
      <c r="D95" s="10">
        <v>111</v>
      </c>
      <c r="E95" s="12">
        <f>TRUNC('단가대비표(총체)'!O72,0)</f>
        <v>0</v>
      </c>
      <c r="F95" s="12">
        <f t="shared" si="13"/>
        <v>0</v>
      </c>
      <c r="G95" s="12">
        <f>TRUNC('단가대비표(총체)'!P72,0)</f>
        <v>0</v>
      </c>
      <c r="H95" s="12">
        <f t="shared" si="14"/>
        <v>0</v>
      </c>
      <c r="I95" s="12">
        <f>TRUNC('단가대비표(총체)'!V72,0)</f>
        <v>0</v>
      </c>
      <c r="J95" s="12">
        <f t="shared" si="15"/>
        <v>0</v>
      </c>
      <c r="K95" s="12">
        <f t="shared" si="16"/>
        <v>0</v>
      </c>
      <c r="L95" s="12">
        <f t="shared" si="17"/>
        <v>0</v>
      </c>
      <c r="M95" s="9" t="s">
        <v>251</v>
      </c>
      <c r="N95" s="2" t="s">
        <v>252</v>
      </c>
      <c r="O95" s="2" t="s">
        <v>52</v>
      </c>
      <c r="P95" s="2" t="s">
        <v>52</v>
      </c>
      <c r="Q95" s="2" t="s">
        <v>163</v>
      </c>
      <c r="R95" s="2" t="s">
        <v>61</v>
      </c>
      <c r="S95" s="2" t="s">
        <v>61</v>
      </c>
      <c r="T95" s="2" t="s">
        <v>60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2" t="s">
        <v>52</v>
      </c>
      <c r="AS95" s="2" t="s">
        <v>52</v>
      </c>
      <c r="AT95" s="3"/>
      <c r="AU95" s="2" t="s">
        <v>253</v>
      </c>
      <c r="AV95" s="3">
        <v>57</v>
      </c>
    </row>
    <row r="96" spans="1:48" ht="30" customHeight="1" x14ac:dyDescent="0.3">
      <c r="A96" s="9" t="s">
        <v>254</v>
      </c>
      <c r="B96" s="9" t="s">
        <v>255</v>
      </c>
      <c r="C96" s="9" t="s">
        <v>68</v>
      </c>
      <c r="D96" s="10">
        <v>704</v>
      </c>
      <c r="E96" s="12">
        <f>TRUNC('일위대가목록(총체)'!E41,0)</f>
        <v>0</v>
      </c>
      <c r="F96" s="12">
        <f t="shared" si="13"/>
        <v>0</v>
      </c>
      <c r="G96" s="12">
        <f>TRUNC('일위대가목록(총체)'!F41,0)</f>
        <v>0</v>
      </c>
      <c r="H96" s="12">
        <f t="shared" si="14"/>
        <v>0</v>
      </c>
      <c r="I96" s="12">
        <f>TRUNC('일위대가목록(총체)'!G41,0)</f>
        <v>0</v>
      </c>
      <c r="J96" s="12">
        <f t="shared" si="15"/>
        <v>0</v>
      </c>
      <c r="K96" s="12">
        <f t="shared" si="16"/>
        <v>0</v>
      </c>
      <c r="L96" s="12">
        <f t="shared" si="17"/>
        <v>0</v>
      </c>
      <c r="M96" s="9" t="s">
        <v>52</v>
      </c>
      <c r="N96" s="2" t="s">
        <v>256</v>
      </c>
      <c r="O96" s="2" t="s">
        <v>52</v>
      </c>
      <c r="P96" s="2" t="s">
        <v>52</v>
      </c>
      <c r="Q96" s="2" t="s">
        <v>163</v>
      </c>
      <c r="R96" s="2" t="s">
        <v>60</v>
      </c>
      <c r="S96" s="2" t="s">
        <v>61</v>
      </c>
      <c r="T96" s="2" t="s">
        <v>61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2" t="s">
        <v>52</v>
      </c>
      <c r="AS96" s="2" t="s">
        <v>52</v>
      </c>
      <c r="AT96" s="3"/>
      <c r="AU96" s="2" t="s">
        <v>257</v>
      </c>
      <c r="AV96" s="3">
        <v>58</v>
      </c>
    </row>
    <row r="97" spans="1:48" ht="30" customHeight="1" x14ac:dyDescent="0.3">
      <c r="A97" s="9" t="s">
        <v>254</v>
      </c>
      <c r="B97" s="9" t="s">
        <v>258</v>
      </c>
      <c r="C97" s="9" t="s">
        <v>68</v>
      </c>
      <c r="D97" s="10">
        <v>69</v>
      </c>
      <c r="E97" s="12">
        <f>TRUNC('일위대가목록(총체)'!E42,0)</f>
        <v>0</v>
      </c>
      <c r="F97" s="12">
        <f t="shared" si="13"/>
        <v>0</v>
      </c>
      <c r="G97" s="12">
        <f>TRUNC('일위대가목록(총체)'!F42,0)</f>
        <v>0</v>
      </c>
      <c r="H97" s="12">
        <f t="shared" si="14"/>
        <v>0</v>
      </c>
      <c r="I97" s="12">
        <f>TRUNC('일위대가목록(총체)'!G42,0)</f>
        <v>0</v>
      </c>
      <c r="J97" s="12">
        <f t="shared" si="15"/>
        <v>0</v>
      </c>
      <c r="K97" s="12">
        <f t="shared" si="16"/>
        <v>0</v>
      </c>
      <c r="L97" s="12">
        <f t="shared" si="17"/>
        <v>0</v>
      </c>
      <c r="M97" s="9" t="s">
        <v>52</v>
      </c>
      <c r="N97" s="2" t="s">
        <v>259</v>
      </c>
      <c r="O97" s="2" t="s">
        <v>52</v>
      </c>
      <c r="P97" s="2" t="s">
        <v>52</v>
      </c>
      <c r="Q97" s="2" t="s">
        <v>163</v>
      </c>
      <c r="R97" s="2" t="s">
        <v>60</v>
      </c>
      <c r="S97" s="2" t="s">
        <v>61</v>
      </c>
      <c r="T97" s="2" t="s">
        <v>61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2" t="s">
        <v>52</v>
      </c>
      <c r="AS97" s="2" t="s">
        <v>52</v>
      </c>
      <c r="AT97" s="3"/>
      <c r="AU97" s="2" t="s">
        <v>260</v>
      </c>
      <c r="AV97" s="3">
        <v>103</v>
      </c>
    </row>
    <row r="98" spans="1:48" ht="30" customHeight="1" x14ac:dyDescent="0.3">
      <c r="A98" s="9" t="s">
        <v>261</v>
      </c>
      <c r="B98" s="9" t="s">
        <v>262</v>
      </c>
      <c r="C98" s="9" t="s">
        <v>68</v>
      </c>
      <c r="D98" s="10">
        <v>739</v>
      </c>
      <c r="E98" s="12">
        <f>TRUNC('단가대비표(총체)'!O56,0)</f>
        <v>0</v>
      </c>
      <c r="F98" s="12">
        <f t="shared" si="13"/>
        <v>0</v>
      </c>
      <c r="G98" s="12">
        <f>TRUNC('단가대비표(총체)'!P56,0)</f>
        <v>0</v>
      </c>
      <c r="H98" s="12">
        <f t="shared" si="14"/>
        <v>0</v>
      </c>
      <c r="I98" s="12">
        <f>TRUNC('단가대비표(총체)'!V56,0)</f>
        <v>0</v>
      </c>
      <c r="J98" s="12">
        <f t="shared" si="15"/>
        <v>0</v>
      </c>
      <c r="K98" s="12">
        <f t="shared" si="16"/>
        <v>0</v>
      </c>
      <c r="L98" s="12">
        <f t="shared" si="17"/>
        <v>0</v>
      </c>
      <c r="M98" s="9" t="s">
        <v>52</v>
      </c>
      <c r="N98" s="2" t="s">
        <v>263</v>
      </c>
      <c r="O98" s="2" t="s">
        <v>52</v>
      </c>
      <c r="P98" s="2" t="s">
        <v>52</v>
      </c>
      <c r="Q98" s="2" t="s">
        <v>163</v>
      </c>
      <c r="R98" s="2" t="s">
        <v>61</v>
      </c>
      <c r="S98" s="2" t="s">
        <v>61</v>
      </c>
      <c r="T98" s="2" t="s">
        <v>60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2" t="s">
        <v>52</v>
      </c>
      <c r="AS98" s="2" t="s">
        <v>52</v>
      </c>
      <c r="AT98" s="3"/>
      <c r="AU98" s="2" t="s">
        <v>264</v>
      </c>
      <c r="AV98" s="3">
        <v>59</v>
      </c>
    </row>
    <row r="99" spans="1:48" ht="30" customHeight="1" x14ac:dyDescent="0.3">
      <c r="A99" s="9" t="s">
        <v>261</v>
      </c>
      <c r="B99" s="9" t="s">
        <v>265</v>
      </c>
      <c r="C99" s="9" t="s">
        <v>68</v>
      </c>
      <c r="D99" s="10">
        <v>73</v>
      </c>
      <c r="E99" s="12">
        <f>TRUNC('단가대비표(총체)'!O54,0)</f>
        <v>0</v>
      </c>
      <c r="F99" s="12">
        <f t="shared" si="13"/>
        <v>0</v>
      </c>
      <c r="G99" s="12">
        <f>TRUNC('단가대비표(총체)'!P54,0)</f>
        <v>0</v>
      </c>
      <c r="H99" s="12">
        <f t="shared" si="14"/>
        <v>0</v>
      </c>
      <c r="I99" s="12">
        <f>TRUNC('단가대비표(총체)'!V54,0)</f>
        <v>0</v>
      </c>
      <c r="J99" s="12">
        <f t="shared" si="15"/>
        <v>0</v>
      </c>
      <c r="K99" s="12">
        <f t="shared" si="16"/>
        <v>0</v>
      </c>
      <c r="L99" s="12">
        <f t="shared" si="17"/>
        <v>0</v>
      </c>
      <c r="M99" s="9" t="s">
        <v>52</v>
      </c>
      <c r="N99" s="2" t="s">
        <v>266</v>
      </c>
      <c r="O99" s="2" t="s">
        <v>52</v>
      </c>
      <c r="P99" s="2" t="s">
        <v>52</v>
      </c>
      <c r="Q99" s="2" t="s">
        <v>163</v>
      </c>
      <c r="R99" s="2" t="s">
        <v>61</v>
      </c>
      <c r="S99" s="2" t="s">
        <v>61</v>
      </c>
      <c r="T99" s="2" t="s">
        <v>60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2" t="s">
        <v>52</v>
      </c>
      <c r="AS99" s="2" t="s">
        <v>52</v>
      </c>
      <c r="AT99" s="3"/>
      <c r="AU99" s="2" t="s">
        <v>267</v>
      </c>
      <c r="AV99" s="3">
        <v>60</v>
      </c>
    </row>
    <row r="100" spans="1:48" ht="30" customHeight="1" x14ac:dyDescent="0.3">
      <c r="A100" s="9" t="s">
        <v>268</v>
      </c>
      <c r="B100" s="9" t="s">
        <v>269</v>
      </c>
      <c r="C100" s="9" t="s">
        <v>68</v>
      </c>
      <c r="D100" s="10">
        <v>57</v>
      </c>
      <c r="E100" s="12">
        <f>TRUNC('단가대비표(총체)'!O55,0)</f>
        <v>0</v>
      </c>
      <c r="F100" s="12">
        <f t="shared" si="13"/>
        <v>0</v>
      </c>
      <c r="G100" s="12">
        <f>TRUNC('단가대비표(총체)'!P55,0)</f>
        <v>0</v>
      </c>
      <c r="H100" s="12">
        <f t="shared" si="14"/>
        <v>0</v>
      </c>
      <c r="I100" s="12">
        <f>TRUNC('단가대비표(총체)'!V55,0)</f>
        <v>0</v>
      </c>
      <c r="J100" s="12">
        <f t="shared" si="15"/>
        <v>0</v>
      </c>
      <c r="K100" s="12">
        <f t="shared" si="16"/>
        <v>0</v>
      </c>
      <c r="L100" s="12">
        <f t="shared" si="17"/>
        <v>0</v>
      </c>
      <c r="M100" s="9" t="s">
        <v>52</v>
      </c>
      <c r="N100" s="2" t="s">
        <v>270</v>
      </c>
      <c r="O100" s="2" t="s">
        <v>52</v>
      </c>
      <c r="P100" s="2" t="s">
        <v>52</v>
      </c>
      <c r="Q100" s="2" t="s">
        <v>163</v>
      </c>
      <c r="R100" s="2" t="s">
        <v>61</v>
      </c>
      <c r="S100" s="2" t="s">
        <v>61</v>
      </c>
      <c r="T100" s="2" t="s">
        <v>60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2" t="s">
        <v>52</v>
      </c>
      <c r="AS100" s="2" t="s">
        <v>52</v>
      </c>
      <c r="AT100" s="3"/>
      <c r="AU100" s="2" t="s">
        <v>271</v>
      </c>
      <c r="AV100" s="3">
        <v>61</v>
      </c>
    </row>
    <row r="101" spans="1:48" ht="30" customHeight="1" x14ac:dyDescent="0.3">
      <c r="A101" s="9" t="s">
        <v>272</v>
      </c>
      <c r="B101" s="9" t="s">
        <v>273</v>
      </c>
      <c r="C101" s="9" t="s">
        <v>82</v>
      </c>
      <c r="D101" s="10">
        <v>78</v>
      </c>
      <c r="E101" s="12">
        <f>TRUNC('일위대가목록(총체)'!E43,0)</f>
        <v>0</v>
      </c>
      <c r="F101" s="12">
        <f t="shared" si="13"/>
        <v>0</v>
      </c>
      <c r="G101" s="12">
        <f>TRUNC('일위대가목록(총체)'!F43,0)</f>
        <v>0</v>
      </c>
      <c r="H101" s="12">
        <f t="shared" si="14"/>
        <v>0</v>
      </c>
      <c r="I101" s="12">
        <f>TRUNC('일위대가목록(총체)'!G43,0)</f>
        <v>0</v>
      </c>
      <c r="J101" s="12">
        <f t="shared" si="15"/>
        <v>0</v>
      </c>
      <c r="K101" s="12">
        <f t="shared" si="16"/>
        <v>0</v>
      </c>
      <c r="L101" s="12">
        <f t="shared" si="17"/>
        <v>0</v>
      </c>
      <c r="M101" s="9" t="s">
        <v>52</v>
      </c>
      <c r="N101" s="2" t="s">
        <v>274</v>
      </c>
      <c r="O101" s="2" t="s">
        <v>52</v>
      </c>
      <c r="P101" s="2" t="s">
        <v>52</v>
      </c>
      <c r="Q101" s="2" t="s">
        <v>163</v>
      </c>
      <c r="R101" s="2" t="s">
        <v>60</v>
      </c>
      <c r="S101" s="2" t="s">
        <v>61</v>
      </c>
      <c r="T101" s="2" t="s">
        <v>61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2" t="s">
        <v>52</v>
      </c>
      <c r="AS101" s="2" t="s">
        <v>52</v>
      </c>
      <c r="AT101" s="3"/>
      <c r="AU101" s="2" t="s">
        <v>275</v>
      </c>
      <c r="AV101" s="3">
        <v>104</v>
      </c>
    </row>
    <row r="102" spans="1:48" ht="30" customHeight="1" x14ac:dyDescent="0.3">
      <c r="A102" s="9" t="s">
        <v>272</v>
      </c>
      <c r="B102" s="9" t="s">
        <v>276</v>
      </c>
      <c r="C102" s="9" t="s">
        <v>82</v>
      </c>
      <c r="D102" s="10">
        <v>381</v>
      </c>
      <c r="E102" s="12">
        <f>TRUNC('일위대가목록(총체)'!E44,0)</f>
        <v>0</v>
      </c>
      <c r="F102" s="12">
        <f t="shared" si="13"/>
        <v>0</v>
      </c>
      <c r="G102" s="12">
        <f>TRUNC('일위대가목록(총체)'!F44,0)</f>
        <v>0</v>
      </c>
      <c r="H102" s="12">
        <f t="shared" si="14"/>
        <v>0</v>
      </c>
      <c r="I102" s="12">
        <f>TRUNC('일위대가목록(총체)'!G44,0)</f>
        <v>0</v>
      </c>
      <c r="J102" s="12">
        <f t="shared" si="15"/>
        <v>0</v>
      </c>
      <c r="K102" s="12">
        <f t="shared" si="16"/>
        <v>0</v>
      </c>
      <c r="L102" s="12">
        <f t="shared" si="17"/>
        <v>0</v>
      </c>
      <c r="M102" s="9" t="s">
        <v>52</v>
      </c>
      <c r="N102" s="2" t="s">
        <v>277</v>
      </c>
      <c r="O102" s="2" t="s">
        <v>52</v>
      </c>
      <c r="P102" s="2" t="s">
        <v>52</v>
      </c>
      <c r="Q102" s="2" t="s">
        <v>163</v>
      </c>
      <c r="R102" s="2" t="s">
        <v>60</v>
      </c>
      <c r="S102" s="2" t="s">
        <v>61</v>
      </c>
      <c r="T102" s="2" t="s">
        <v>61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2" t="s">
        <v>52</v>
      </c>
      <c r="AS102" s="2" t="s">
        <v>52</v>
      </c>
      <c r="AT102" s="3"/>
      <c r="AU102" s="2" t="s">
        <v>278</v>
      </c>
      <c r="AV102" s="3">
        <v>62</v>
      </c>
    </row>
    <row r="103" spans="1:48" ht="30" customHeight="1" x14ac:dyDescent="0.3">
      <c r="A103" s="9" t="s">
        <v>279</v>
      </c>
      <c r="B103" s="9" t="s">
        <v>276</v>
      </c>
      <c r="C103" s="9" t="s">
        <v>82</v>
      </c>
      <c r="D103" s="10">
        <v>318</v>
      </c>
      <c r="E103" s="12">
        <f>TRUNC('일위대가목록(총체)'!E45,0)</f>
        <v>0</v>
      </c>
      <c r="F103" s="12">
        <f t="shared" si="13"/>
        <v>0</v>
      </c>
      <c r="G103" s="12">
        <f>TRUNC('일위대가목록(총체)'!F45,0)</f>
        <v>0</v>
      </c>
      <c r="H103" s="12">
        <f t="shared" si="14"/>
        <v>0</v>
      </c>
      <c r="I103" s="12">
        <f>TRUNC('일위대가목록(총체)'!G45,0)</f>
        <v>0</v>
      </c>
      <c r="J103" s="12">
        <f t="shared" si="15"/>
        <v>0</v>
      </c>
      <c r="K103" s="12">
        <f t="shared" si="16"/>
        <v>0</v>
      </c>
      <c r="L103" s="12">
        <f t="shared" si="17"/>
        <v>0</v>
      </c>
      <c r="M103" s="9" t="s">
        <v>52</v>
      </c>
      <c r="N103" s="2" t="s">
        <v>280</v>
      </c>
      <c r="O103" s="2" t="s">
        <v>52</v>
      </c>
      <c r="P103" s="2" t="s">
        <v>52</v>
      </c>
      <c r="Q103" s="2" t="s">
        <v>163</v>
      </c>
      <c r="R103" s="2" t="s">
        <v>60</v>
      </c>
      <c r="S103" s="2" t="s">
        <v>61</v>
      </c>
      <c r="T103" s="2" t="s">
        <v>61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2" t="s">
        <v>52</v>
      </c>
      <c r="AS103" s="2" t="s">
        <v>52</v>
      </c>
      <c r="AT103" s="3"/>
      <c r="AU103" s="2" t="s">
        <v>281</v>
      </c>
      <c r="AV103" s="3">
        <v>63</v>
      </c>
    </row>
    <row r="104" spans="1:48" ht="30" customHeight="1" x14ac:dyDescent="0.3">
      <c r="A104" s="9" t="s">
        <v>282</v>
      </c>
      <c r="B104" s="9" t="s">
        <v>283</v>
      </c>
      <c r="C104" s="9" t="s">
        <v>82</v>
      </c>
      <c r="D104" s="10">
        <v>162</v>
      </c>
      <c r="E104" s="12">
        <f>TRUNC('일위대가목록(총체)'!E46,0)</f>
        <v>0</v>
      </c>
      <c r="F104" s="12">
        <f t="shared" si="13"/>
        <v>0</v>
      </c>
      <c r="G104" s="12">
        <f>TRUNC('일위대가목록(총체)'!F46,0)</f>
        <v>0</v>
      </c>
      <c r="H104" s="12">
        <f t="shared" si="14"/>
        <v>0</v>
      </c>
      <c r="I104" s="12">
        <f>TRUNC('일위대가목록(총체)'!G46,0)</f>
        <v>0</v>
      </c>
      <c r="J104" s="12">
        <f t="shared" si="15"/>
        <v>0</v>
      </c>
      <c r="K104" s="12">
        <f t="shared" si="16"/>
        <v>0</v>
      </c>
      <c r="L104" s="12">
        <f t="shared" si="17"/>
        <v>0</v>
      </c>
      <c r="M104" s="9" t="s">
        <v>52</v>
      </c>
      <c r="N104" s="2" t="s">
        <v>284</v>
      </c>
      <c r="O104" s="2" t="s">
        <v>52</v>
      </c>
      <c r="P104" s="2" t="s">
        <v>52</v>
      </c>
      <c r="Q104" s="2" t="s">
        <v>163</v>
      </c>
      <c r="R104" s="2" t="s">
        <v>60</v>
      </c>
      <c r="S104" s="2" t="s">
        <v>61</v>
      </c>
      <c r="T104" s="2" t="s">
        <v>61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2" t="s">
        <v>52</v>
      </c>
      <c r="AS104" s="2" t="s">
        <v>52</v>
      </c>
      <c r="AT104" s="3"/>
      <c r="AU104" s="2" t="s">
        <v>285</v>
      </c>
      <c r="AV104" s="3">
        <v>64</v>
      </c>
    </row>
    <row r="105" spans="1:48" ht="30" customHeight="1" x14ac:dyDescent="0.3">
      <c r="A105" s="9" t="s">
        <v>286</v>
      </c>
      <c r="B105" s="9" t="s">
        <v>287</v>
      </c>
      <c r="C105" s="9" t="s">
        <v>82</v>
      </c>
      <c r="D105" s="10">
        <v>456</v>
      </c>
      <c r="E105" s="12">
        <f>TRUNC('일위대가목록(총체)'!E47,0)</f>
        <v>0</v>
      </c>
      <c r="F105" s="12">
        <f t="shared" si="13"/>
        <v>0</v>
      </c>
      <c r="G105" s="12">
        <f>TRUNC('일위대가목록(총체)'!F47,0)</f>
        <v>0</v>
      </c>
      <c r="H105" s="12">
        <f t="shared" si="14"/>
        <v>0</v>
      </c>
      <c r="I105" s="12">
        <f>TRUNC('일위대가목록(총체)'!G47,0)</f>
        <v>0</v>
      </c>
      <c r="J105" s="12">
        <f t="shared" si="15"/>
        <v>0</v>
      </c>
      <c r="K105" s="12">
        <f t="shared" si="16"/>
        <v>0</v>
      </c>
      <c r="L105" s="12">
        <f t="shared" si="17"/>
        <v>0</v>
      </c>
      <c r="M105" s="9" t="s">
        <v>52</v>
      </c>
      <c r="N105" s="2" t="s">
        <v>288</v>
      </c>
      <c r="O105" s="2" t="s">
        <v>52</v>
      </c>
      <c r="P105" s="2" t="s">
        <v>52</v>
      </c>
      <c r="Q105" s="2" t="s">
        <v>163</v>
      </c>
      <c r="R105" s="2" t="s">
        <v>60</v>
      </c>
      <c r="S105" s="2" t="s">
        <v>61</v>
      </c>
      <c r="T105" s="2" t="s">
        <v>61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2" t="s">
        <v>52</v>
      </c>
      <c r="AS105" s="2" t="s">
        <v>52</v>
      </c>
      <c r="AT105" s="3"/>
      <c r="AU105" s="2" t="s">
        <v>289</v>
      </c>
      <c r="AV105" s="3">
        <v>65</v>
      </c>
    </row>
    <row r="106" spans="1:48" ht="30" customHeight="1" x14ac:dyDescent="0.3">
      <c r="A106" s="9" t="s">
        <v>290</v>
      </c>
      <c r="B106" s="9" t="s">
        <v>291</v>
      </c>
      <c r="C106" s="9" t="s">
        <v>68</v>
      </c>
      <c r="D106" s="10">
        <v>318</v>
      </c>
      <c r="E106" s="12">
        <f>TRUNC('일위대가목록(총체)'!E48,0)</f>
        <v>0</v>
      </c>
      <c r="F106" s="12">
        <f t="shared" si="13"/>
        <v>0</v>
      </c>
      <c r="G106" s="12">
        <f>TRUNC('일위대가목록(총체)'!F48,0)</f>
        <v>0</v>
      </c>
      <c r="H106" s="12">
        <f t="shared" si="14"/>
        <v>0</v>
      </c>
      <c r="I106" s="12">
        <f>TRUNC('일위대가목록(총체)'!G48,0)</f>
        <v>0</v>
      </c>
      <c r="J106" s="12">
        <f t="shared" si="15"/>
        <v>0</v>
      </c>
      <c r="K106" s="12">
        <f t="shared" si="16"/>
        <v>0</v>
      </c>
      <c r="L106" s="12">
        <f t="shared" si="17"/>
        <v>0</v>
      </c>
      <c r="M106" s="9" t="s">
        <v>52</v>
      </c>
      <c r="N106" s="2" t="s">
        <v>292</v>
      </c>
      <c r="O106" s="2" t="s">
        <v>52</v>
      </c>
      <c r="P106" s="2" t="s">
        <v>52</v>
      </c>
      <c r="Q106" s="2" t="s">
        <v>163</v>
      </c>
      <c r="R106" s="2" t="s">
        <v>60</v>
      </c>
      <c r="S106" s="2" t="s">
        <v>61</v>
      </c>
      <c r="T106" s="2" t="s">
        <v>61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2" t="s">
        <v>52</v>
      </c>
      <c r="AS106" s="2" t="s">
        <v>52</v>
      </c>
      <c r="AT106" s="3"/>
      <c r="AU106" s="2" t="s">
        <v>293</v>
      </c>
      <c r="AV106" s="3">
        <v>66</v>
      </c>
    </row>
    <row r="107" spans="1:48" ht="30" customHeight="1" x14ac:dyDescent="0.3">
      <c r="A107" s="9" t="s">
        <v>294</v>
      </c>
      <c r="B107" s="9" t="s">
        <v>295</v>
      </c>
      <c r="C107" s="9" t="s">
        <v>68</v>
      </c>
      <c r="D107" s="10">
        <v>809</v>
      </c>
      <c r="E107" s="12">
        <f>TRUNC('일위대가목록(총체)'!E49,0)</f>
        <v>0</v>
      </c>
      <c r="F107" s="12">
        <f t="shared" si="13"/>
        <v>0</v>
      </c>
      <c r="G107" s="12">
        <f>TRUNC('일위대가목록(총체)'!F49,0)</f>
        <v>0</v>
      </c>
      <c r="H107" s="12">
        <f t="shared" si="14"/>
        <v>0</v>
      </c>
      <c r="I107" s="12">
        <f>TRUNC('일위대가목록(총체)'!G49,0)</f>
        <v>0</v>
      </c>
      <c r="J107" s="12">
        <f t="shared" si="15"/>
        <v>0</v>
      </c>
      <c r="K107" s="12">
        <f t="shared" si="16"/>
        <v>0</v>
      </c>
      <c r="L107" s="12">
        <f t="shared" si="17"/>
        <v>0</v>
      </c>
      <c r="M107" s="9" t="s">
        <v>52</v>
      </c>
      <c r="N107" s="2" t="s">
        <v>296</v>
      </c>
      <c r="O107" s="2" t="s">
        <v>52</v>
      </c>
      <c r="P107" s="2" t="s">
        <v>52</v>
      </c>
      <c r="Q107" s="2" t="s">
        <v>163</v>
      </c>
      <c r="R107" s="2" t="s">
        <v>60</v>
      </c>
      <c r="S107" s="2" t="s">
        <v>61</v>
      </c>
      <c r="T107" s="2" t="s">
        <v>61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2" t="s">
        <v>52</v>
      </c>
      <c r="AS107" s="2" t="s">
        <v>52</v>
      </c>
      <c r="AT107" s="3"/>
      <c r="AU107" s="2" t="s">
        <v>297</v>
      </c>
      <c r="AV107" s="3">
        <v>68</v>
      </c>
    </row>
    <row r="108" spans="1:48" ht="30" customHeight="1" x14ac:dyDescent="0.3">
      <c r="A108" s="9" t="s">
        <v>294</v>
      </c>
      <c r="B108" s="9" t="s">
        <v>298</v>
      </c>
      <c r="C108" s="9" t="s">
        <v>68</v>
      </c>
      <c r="D108" s="10">
        <v>56</v>
      </c>
      <c r="E108" s="12">
        <f>TRUNC('일위대가목록(총체)'!E50,0)</f>
        <v>0</v>
      </c>
      <c r="F108" s="12">
        <f t="shared" si="13"/>
        <v>0</v>
      </c>
      <c r="G108" s="12">
        <f>TRUNC('일위대가목록(총체)'!F50,0)</f>
        <v>0</v>
      </c>
      <c r="H108" s="12">
        <f t="shared" si="14"/>
        <v>0</v>
      </c>
      <c r="I108" s="12">
        <f>TRUNC('일위대가목록(총체)'!G50,0)</f>
        <v>0</v>
      </c>
      <c r="J108" s="12">
        <f t="shared" si="15"/>
        <v>0</v>
      </c>
      <c r="K108" s="12">
        <f t="shared" si="16"/>
        <v>0</v>
      </c>
      <c r="L108" s="12">
        <f t="shared" si="17"/>
        <v>0</v>
      </c>
      <c r="M108" s="9" t="s">
        <v>52</v>
      </c>
      <c r="N108" s="2" t="s">
        <v>299</v>
      </c>
      <c r="O108" s="2" t="s">
        <v>52</v>
      </c>
      <c r="P108" s="2" t="s">
        <v>52</v>
      </c>
      <c r="Q108" s="2" t="s">
        <v>163</v>
      </c>
      <c r="R108" s="2" t="s">
        <v>60</v>
      </c>
      <c r="S108" s="2" t="s">
        <v>61</v>
      </c>
      <c r="T108" s="2" t="s">
        <v>61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2" t="s">
        <v>52</v>
      </c>
      <c r="AS108" s="2" t="s">
        <v>52</v>
      </c>
      <c r="AT108" s="3"/>
      <c r="AU108" s="2" t="s">
        <v>300</v>
      </c>
      <c r="AV108" s="3">
        <v>69</v>
      </c>
    </row>
    <row r="109" spans="1:48" ht="30" customHeight="1" x14ac:dyDescent="0.3">
      <c r="A109" s="9" t="s">
        <v>301</v>
      </c>
      <c r="B109" s="9" t="s">
        <v>302</v>
      </c>
      <c r="C109" s="9" t="s">
        <v>68</v>
      </c>
      <c r="D109" s="10">
        <v>31</v>
      </c>
      <c r="E109" s="12">
        <f>TRUNC('일위대가목록(총체)'!E51,0)</f>
        <v>0</v>
      </c>
      <c r="F109" s="12">
        <f t="shared" si="13"/>
        <v>0</v>
      </c>
      <c r="G109" s="12">
        <f>TRUNC('일위대가목록(총체)'!F51,0)</f>
        <v>0</v>
      </c>
      <c r="H109" s="12">
        <f t="shared" si="14"/>
        <v>0</v>
      </c>
      <c r="I109" s="12">
        <f>TRUNC('일위대가목록(총체)'!G51,0)</f>
        <v>0</v>
      </c>
      <c r="J109" s="12">
        <f t="shared" si="15"/>
        <v>0</v>
      </c>
      <c r="K109" s="12">
        <f t="shared" si="16"/>
        <v>0</v>
      </c>
      <c r="L109" s="12">
        <f t="shared" si="17"/>
        <v>0</v>
      </c>
      <c r="M109" s="9" t="s">
        <v>52</v>
      </c>
      <c r="N109" s="2" t="s">
        <v>303</v>
      </c>
      <c r="O109" s="2" t="s">
        <v>52</v>
      </c>
      <c r="P109" s="2" t="s">
        <v>52</v>
      </c>
      <c r="Q109" s="2" t="s">
        <v>163</v>
      </c>
      <c r="R109" s="2" t="s">
        <v>60</v>
      </c>
      <c r="S109" s="2" t="s">
        <v>61</v>
      </c>
      <c r="T109" s="2" t="s">
        <v>61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2" t="s">
        <v>52</v>
      </c>
      <c r="AS109" s="2" t="s">
        <v>52</v>
      </c>
      <c r="AT109" s="3"/>
      <c r="AU109" s="2" t="s">
        <v>304</v>
      </c>
      <c r="AV109" s="3">
        <v>70</v>
      </c>
    </row>
    <row r="110" spans="1:48" ht="30" customHeight="1" x14ac:dyDescent="0.3">
      <c r="A110" s="9" t="s">
        <v>305</v>
      </c>
      <c r="B110" s="9" t="s">
        <v>306</v>
      </c>
      <c r="C110" s="9" t="s">
        <v>307</v>
      </c>
      <c r="D110" s="10">
        <v>1</v>
      </c>
      <c r="E110" s="12">
        <f>TRUNC('일위대가목록(총체)'!E52,0)</f>
        <v>0</v>
      </c>
      <c r="F110" s="12">
        <f t="shared" si="13"/>
        <v>0</v>
      </c>
      <c r="G110" s="12">
        <f>TRUNC('일위대가목록(총체)'!F52,0)</f>
        <v>0</v>
      </c>
      <c r="H110" s="12">
        <f t="shared" si="14"/>
        <v>0</v>
      </c>
      <c r="I110" s="12">
        <f>TRUNC('일위대가목록(총체)'!G52,0)</f>
        <v>0</v>
      </c>
      <c r="J110" s="12">
        <f t="shared" si="15"/>
        <v>0</v>
      </c>
      <c r="K110" s="12">
        <f t="shared" si="16"/>
        <v>0</v>
      </c>
      <c r="L110" s="12">
        <f t="shared" si="17"/>
        <v>0</v>
      </c>
      <c r="M110" s="9" t="s">
        <v>52</v>
      </c>
      <c r="N110" s="2" t="s">
        <v>308</v>
      </c>
      <c r="O110" s="2" t="s">
        <v>52</v>
      </c>
      <c r="P110" s="2" t="s">
        <v>52</v>
      </c>
      <c r="Q110" s="2" t="s">
        <v>163</v>
      </c>
      <c r="R110" s="2" t="s">
        <v>60</v>
      </c>
      <c r="S110" s="2" t="s">
        <v>61</v>
      </c>
      <c r="T110" s="2" t="s">
        <v>61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2" t="s">
        <v>52</v>
      </c>
      <c r="AS110" s="2" t="s">
        <v>52</v>
      </c>
      <c r="AT110" s="3"/>
      <c r="AU110" s="2" t="s">
        <v>309</v>
      </c>
      <c r="AV110" s="3">
        <v>71</v>
      </c>
    </row>
    <row r="111" spans="1:48" ht="30" customHeight="1" x14ac:dyDescent="0.3">
      <c r="A111" s="9" t="s">
        <v>310</v>
      </c>
      <c r="B111" s="9" t="s">
        <v>306</v>
      </c>
      <c r="C111" s="9" t="s">
        <v>307</v>
      </c>
      <c r="D111" s="10">
        <v>1</v>
      </c>
      <c r="E111" s="12">
        <f>TRUNC('일위대가목록(총체)'!E53,0)</f>
        <v>0</v>
      </c>
      <c r="F111" s="12">
        <f t="shared" si="13"/>
        <v>0</v>
      </c>
      <c r="G111" s="12">
        <f>TRUNC('일위대가목록(총체)'!F53,0)</f>
        <v>0</v>
      </c>
      <c r="H111" s="12">
        <f t="shared" si="14"/>
        <v>0</v>
      </c>
      <c r="I111" s="12">
        <f>TRUNC('일위대가목록(총체)'!G53,0)</f>
        <v>0</v>
      </c>
      <c r="J111" s="12">
        <f t="shared" si="15"/>
        <v>0</v>
      </c>
      <c r="K111" s="12">
        <f t="shared" si="16"/>
        <v>0</v>
      </c>
      <c r="L111" s="12">
        <f t="shared" si="17"/>
        <v>0</v>
      </c>
      <c r="M111" s="9" t="s">
        <v>52</v>
      </c>
      <c r="N111" s="2" t="s">
        <v>311</v>
      </c>
      <c r="O111" s="2" t="s">
        <v>52</v>
      </c>
      <c r="P111" s="2" t="s">
        <v>52</v>
      </c>
      <c r="Q111" s="2" t="s">
        <v>163</v>
      </c>
      <c r="R111" s="2" t="s">
        <v>60</v>
      </c>
      <c r="S111" s="2" t="s">
        <v>61</v>
      </c>
      <c r="T111" s="2" t="s">
        <v>61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2" t="s">
        <v>52</v>
      </c>
      <c r="AS111" s="2" t="s">
        <v>52</v>
      </c>
      <c r="AT111" s="3"/>
      <c r="AU111" s="2" t="s">
        <v>312</v>
      </c>
      <c r="AV111" s="3">
        <v>72</v>
      </c>
    </row>
    <row r="112" spans="1:48" ht="30" customHeight="1" x14ac:dyDescent="0.3">
      <c r="A112" s="9" t="s">
        <v>313</v>
      </c>
      <c r="B112" s="9" t="s">
        <v>314</v>
      </c>
      <c r="C112" s="9" t="s">
        <v>68</v>
      </c>
      <c r="D112" s="10">
        <v>28</v>
      </c>
      <c r="E112" s="12">
        <f>TRUNC('단가대비표(총체)'!O86,0)</f>
        <v>0</v>
      </c>
      <c r="F112" s="12">
        <f t="shared" si="13"/>
        <v>0</v>
      </c>
      <c r="G112" s="12">
        <f>TRUNC('단가대비표(총체)'!P86,0)</f>
        <v>0</v>
      </c>
      <c r="H112" s="12">
        <f t="shared" si="14"/>
        <v>0</v>
      </c>
      <c r="I112" s="12">
        <f>TRUNC('단가대비표(총체)'!V86,0)</f>
        <v>0</v>
      </c>
      <c r="J112" s="12">
        <f t="shared" si="15"/>
        <v>0</v>
      </c>
      <c r="K112" s="12">
        <f t="shared" si="16"/>
        <v>0</v>
      </c>
      <c r="L112" s="12">
        <f t="shared" si="17"/>
        <v>0</v>
      </c>
      <c r="M112" s="9" t="s">
        <v>315</v>
      </c>
      <c r="N112" s="2" t="s">
        <v>316</v>
      </c>
      <c r="O112" s="2" t="s">
        <v>52</v>
      </c>
      <c r="P112" s="2" t="s">
        <v>52</v>
      </c>
      <c r="Q112" s="2" t="s">
        <v>163</v>
      </c>
      <c r="R112" s="2" t="s">
        <v>61</v>
      </c>
      <c r="S112" s="2" t="s">
        <v>61</v>
      </c>
      <c r="T112" s="2" t="s">
        <v>60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2" t="s">
        <v>52</v>
      </c>
      <c r="AS112" s="2" t="s">
        <v>52</v>
      </c>
      <c r="AT112" s="3"/>
      <c r="AU112" s="2" t="s">
        <v>317</v>
      </c>
      <c r="AV112" s="3">
        <v>106</v>
      </c>
    </row>
    <row r="113" spans="1:48" ht="30" customHeight="1" x14ac:dyDescent="0.3">
      <c r="A113" s="9" t="s">
        <v>318</v>
      </c>
      <c r="B113" s="9" t="s">
        <v>319</v>
      </c>
      <c r="C113" s="9" t="s">
        <v>320</v>
      </c>
      <c r="D113" s="10">
        <v>3</v>
      </c>
      <c r="E113" s="12">
        <f>TRUNC('단가대비표(총체)'!O87,0)</f>
        <v>0</v>
      </c>
      <c r="F113" s="12">
        <f t="shared" si="13"/>
        <v>0</v>
      </c>
      <c r="G113" s="12">
        <f>TRUNC('단가대비표(총체)'!P87,0)</f>
        <v>0</v>
      </c>
      <c r="H113" s="12">
        <f t="shared" si="14"/>
        <v>0</v>
      </c>
      <c r="I113" s="12">
        <f>TRUNC('단가대비표(총체)'!V87,0)</f>
        <v>0</v>
      </c>
      <c r="J113" s="12">
        <f t="shared" si="15"/>
        <v>0</v>
      </c>
      <c r="K113" s="12">
        <f t="shared" si="16"/>
        <v>0</v>
      </c>
      <c r="L113" s="12">
        <f t="shared" si="17"/>
        <v>0</v>
      </c>
      <c r="M113" s="9" t="s">
        <v>315</v>
      </c>
      <c r="N113" s="2" t="s">
        <v>321</v>
      </c>
      <c r="O113" s="2" t="s">
        <v>52</v>
      </c>
      <c r="P113" s="2" t="s">
        <v>52</v>
      </c>
      <c r="Q113" s="2" t="s">
        <v>163</v>
      </c>
      <c r="R113" s="2" t="s">
        <v>61</v>
      </c>
      <c r="S113" s="2" t="s">
        <v>61</v>
      </c>
      <c r="T113" s="2" t="s">
        <v>60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2" t="s">
        <v>52</v>
      </c>
      <c r="AS113" s="2" t="s">
        <v>52</v>
      </c>
      <c r="AT113" s="3"/>
      <c r="AU113" s="2" t="s">
        <v>322</v>
      </c>
      <c r="AV113" s="3">
        <v>107</v>
      </c>
    </row>
    <row r="114" spans="1:48" ht="30" customHeight="1" x14ac:dyDescent="0.3">
      <c r="A114" s="9" t="s">
        <v>323</v>
      </c>
      <c r="B114" s="9" t="s">
        <v>324</v>
      </c>
      <c r="C114" s="9" t="s">
        <v>68</v>
      </c>
      <c r="D114" s="10">
        <v>21</v>
      </c>
      <c r="E114" s="12">
        <f>TRUNC('단가대비표(총체)'!O88,0)</f>
        <v>0</v>
      </c>
      <c r="F114" s="12">
        <f t="shared" si="13"/>
        <v>0</v>
      </c>
      <c r="G114" s="12">
        <f>TRUNC('단가대비표(총체)'!P88,0)</f>
        <v>0</v>
      </c>
      <c r="H114" s="12">
        <f t="shared" si="14"/>
        <v>0</v>
      </c>
      <c r="I114" s="12">
        <f>TRUNC('단가대비표(총체)'!V88,0)</f>
        <v>0</v>
      </c>
      <c r="J114" s="12">
        <f t="shared" si="15"/>
        <v>0</v>
      </c>
      <c r="K114" s="12">
        <f t="shared" si="16"/>
        <v>0</v>
      </c>
      <c r="L114" s="12">
        <f t="shared" si="17"/>
        <v>0</v>
      </c>
      <c r="M114" s="9" t="s">
        <v>315</v>
      </c>
      <c r="N114" s="2" t="s">
        <v>325</v>
      </c>
      <c r="O114" s="2" t="s">
        <v>52</v>
      </c>
      <c r="P114" s="2" t="s">
        <v>52</v>
      </c>
      <c r="Q114" s="2" t="s">
        <v>163</v>
      </c>
      <c r="R114" s="2" t="s">
        <v>61</v>
      </c>
      <c r="S114" s="2" t="s">
        <v>61</v>
      </c>
      <c r="T114" s="2" t="s">
        <v>60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2" t="s">
        <v>52</v>
      </c>
      <c r="AS114" s="2" t="s">
        <v>52</v>
      </c>
      <c r="AT114" s="3"/>
      <c r="AU114" s="2" t="s">
        <v>326</v>
      </c>
      <c r="AV114" s="3">
        <v>108</v>
      </c>
    </row>
    <row r="115" spans="1:48" ht="30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spans="1:48" ht="30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spans="1:48" ht="30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48" ht="30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48" ht="30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48" ht="30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48" ht="30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48" ht="30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48" ht="30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48" ht="30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48" ht="30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48" ht="30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48" ht="30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48" ht="30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48" ht="30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48" ht="30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48" ht="30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48" ht="30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48" ht="30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48" ht="30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48" ht="30" customHeight="1" x14ac:dyDescent="0.3">
      <c r="A135" s="9" t="s">
        <v>93</v>
      </c>
      <c r="B135" s="10"/>
      <c r="C135" s="10"/>
      <c r="D135" s="10"/>
      <c r="E135" s="10"/>
      <c r="F135" s="12">
        <f>SUM(F71:F134)</f>
        <v>0</v>
      </c>
      <c r="G135" s="10"/>
      <c r="H135" s="12">
        <f>SUM(H71:H134)</f>
        <v>0</v>
      </c>
      <c r="I135" s="10"/>
      <c r="J135" s="12">
        <f>SUM(J71:J134)</f>
        <v>0</v>
      </c>
      <c r="K135" s="10"/>
      <c r="L135" s="12">
        <f>SUM(L71:L134)</f>
        <v>0</v>
      </c>
      <c r="M135" s="10"/>
      <c r="N135" t="s">
        <v>94</v>
      </c>
    </row>
    <row r="136" spans="1:48" ht="30" customHeight="1" x14ac:dyDescent="0.3">
      <c r="A136" s="9" t="s">
        <v>327</v>
      </c>
      <c r="B136" s="9" t="s">
        <v>52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3"/>
      <c r="O136" s="3"/>
      <c r="P136" s="3"/>
      <c r="Q136" s="2" t="s">
        <v>328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ht="30" customHeight="1" x14ac:dyDescent="0.3">
      <c r="A137" s="9" t="s">
        <v>329</v>
      </c>
      <c r="B137" s="9" t="s">
        <v>330</v>
      </c>
      <c r="C137" s="9" t="s">
        <v>68</v>
      </c>
      <c r="D137" s="10">
        <v>829</v>
      </c>
      <c r="E137" s="12">
        <f>TRUNC('단가대비표(총체)'!O58,0)</f>
        <v>0</v>
      </c>
      <c r="F137" s="12">
        <f t="shared" ref="F137:F144" si="18">TRUNC(E137*D137, 0)</f>
        <v>0</v>
      </c>
      <c r="G137" s="12">
        <f>TRUNC('단가대비표(총체)'!P58,0)</f>
        <v>0</v>
      </c>
      <c r="H137" s="12">
        <f t="shared" ref="H137:H144" si="19">TRUNC(G137*D137, 0)</f>
        <v>0</v>
      </c>
      <c r="I137" s="12">
        <f>TRUNC('단가대비표(총체)'!V58,0)</f>
        <v>0</v>
      </c>
      <c r="J137" s="12">
        <f t="shared" ref="J137:J144" si="20">TRUNC(I137*D137, 0)</f>
        <v>0</v>
      </c>
      <c r="K137" s="12">
        <f t="shared" ref="K137:L144" si="21">TRUNC(E137+G137+I137, 0)</f>
        <v>0</v>
      </c>
      <c r="L137" s="12">
        <f t="shared" si="21"/>
        <v>0</v>
      </c>
      <c r="M137" s="9" t="s">
        <v>52</v>
      </c>
      <c r="N137" s="2" t="s">
        <v>331</v>
      </c>
      <c r="O137" s="2" t="s">
        <v>52</v>
      </c>
      <c r="P137" s="2" t="s">
        <v>52</v>
      </c>
      <c r="Q137" s="2" t="s">
        <v>328</v>
      </c>
      <c r="R137" s="2" t="s">
        <v>61</v>
      </c>
      <c r="S137" s="2" t="s">
        <v>61</v>
      </c>
      <c r="T137" s="2" t="s">
        <v>60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2" t="s">
        <v>52</v>
      </c>
      <c r="AS137" s="2" t="s">
        <v>52</v>
      </c>
      <c r="AT137" s="3"/>
      <c r="AU137" s="2" t="s">
        <v>332</v>
      </c>
      <c r="AV137" s="3">
        <v>74</v>
      </c>
    </row>
    <row r="138" spans="1:48" ht="30" customHeight="1" x14ac:dyDescent="0.3">
      <c r="A138" s="9" t="s">
        <v>333</v>
      </c>
      <c r="B138" s="9" t="s">
        <v>334</v>
      </c>
      <c r="C138" s="9" t="s">
        <v>82</v>
      </c>
      <c r="D138" s="10">
        <v>57</v>
      </c>
      <c r="E138" s="12">
        <f>TRUNC('일위대가목록(총체)'!E54,0)</f>
        <v>0</v>
      </c>
      <c r="F138" s="12">
        <f t="shared" si="18"/>
        <v>0</v>
      </c>
      <c r="G138" s="12">
        <f>TRUNC('일위대가목록(총체)'!F54,0)</f>
        <v>0</v>
      </c>
      <c r="H138" s="12">
        <f t="shared" si="19"/>
        <v>0</v>
      </c>
      <c r="I138" s="12">
        <f>TRUNC('일위대가목록(총체)'!G54,0)</f>
        <v>0</v>
      </c>
      <c r="J138" s="12">
        <f t="shared" si="20"/>
        <v>0</v>
      </c>
      <c r="K138" s="12">
        <f t="shared" si="21"/>
        <v>0</v>
      </c>
      <c r="L138" s="12">
        <f t="shared" si="21"/>
        <v>0</v>
      </c>
      <c r="M138" s="9" t="s">
        <v>52</v>
      </c>
      <c r="N138" s="2" t="s">
        <v>335</v>
      </c>
      <c r="O138" s="2" t="s">
        <v>52</v>
      </c>
      <c r="P138" s="2" t="s">
        <v>52</v>
      </c>
      <c r="Q138" s="2" t="s">
        <v>328</v>
      </c>
      <c r="R138" s="2" t="s">
        <v>60</v>
      </c>
      <c r="S138" s="2" t="s">
        <v>61</v>
      </c>
      <c r="T138" s="2" t="s">
        <v>61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2" t="s">
        <v>52</v>
      </c>
      <c r="AS138" s="2" t="s">
        <v>52</v>
      </c>
      <c r="AT138" s="3"/>
      <c r="AU138" s="2" t="s">
        <v>336</v>
      </c>
      <c r="AV138" s="3">
        <v>75</v>
      </c>
    </row>
    <row r="139" spans="1:48" ht="30" customHeight="1" x14ac:dyDescent="0.3">
      <c r="A139" s="9" t="s">
        <v>333</v>
      </c>
      <c r="B139" s="9" t="s">
        <v>337</v>
      </c>
      <c r="C139" s="9" t="s">
        <v>82</v>
      </c>
      <c r="D139" s="10">
        <v>70</v>
      </c>
      <c r="E139" s="12">
        <f>TRUNC('일위대가목록(총체)'!E55,0)</f>
        <v>0</v>
      </c>
      <c r="F139" s="12">
        <f t="shared" si="18"/>
        <v>0</v>
      </c>
      <c r="G139" s="12">
        <f>TRUNC('일위대가목록(총체)'!F55,0)</f>
        <v>0</v>
      </c>
      <c r="H139" s="12">
        <f t="shared" si="19"/>
        <v>0</v>
      </c>
      <c r="I139" s="12">
        <f>TRUNC('일위대가목록(총체)'!G55,0)</f>
        <v>0</v>
      </c>
      <c r="J139" s="12">
        <f t="shared" si="20"/>
        <v>0</v>
      </c>
      <c r="K139" s="12">
        <f t="shared" si="21"/>
        <v>0</v>
      </c>
      <c r="L139" s="12">
        <f t="shared" si="21"/>
        <v>0</v>
      </c>
      <c r="M139" s="9" t="s">
        <v>52</v>
      </c>
      <c r="N139" s="2" t="s">
        <v>338</v>
      </c>
      <c r="O139" s="2" t="s">
        <v>52</v>
      </c>
      <c r="P139" s="2" t="s">
        <v>52</v>
      </c>
      <c r="Q139" s="2" t="s">
        <v>328</v>
      </c>
      <c r="R139" s="2" t="s">
        <v>60</v>
      </c>
      <c r="S139" s="2" t="s">
        <v>61</v>
      </c>
      <c r="T139" s="2" t="s">
        <v>61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2" t="s">
        <v>52</v>
      </c>
      <c r="AS139" s="2" t="s">
        <v>52</v>
      </c>
      <c r="AT139" s="3"/>
      <c r="AU139" s="2" t="s">
        <v>339</v>
      </c>
      <c r="AV139" s="3">
        <v>76</v>
      </c>
    </row>
    <row r="140" spans="1:48" ht="30" customHeight="1" x14ac:dyDescent="0.3">
      <c r="A140" s="9" t="s">
        <v>340</v>
      </c>
      <c r="B140" s="9" t="s">
        <v>341</v>
      </c>
      <c r="C140" s="9" t="s">
        <v>82</v>
      </c>
      <c r="D140" s="10">
        <v>24</v>
      </c>
      <c r="E140" s="12">
        <f>TRUNC('일위대가목록(총체)'!E56,0)</f>
        <v>0</v>
      </c>
      <c r="F140" s="12">
        <f t="shared" si="18"/>
        <v>0</v>
      </c>
      <c r="G140" s="12">
        <f>TRUNC('일위대가목록(총체)'!F56,0)</f>
        <v>0</v>
      </c>
      <c r="H140" s="12">
        <f t="shared" si="19"/>
        <v>0</v>
      </c>
      <c r="I140" s="12">
        <f>TRUNC('일위대가목록(총체)'!G56,0)</f>
        <v>0</v>
      </c>
      <c r="J140" s="12">
        <f t="shared" si="20"/>
        <v>0</v>
      </c>
      <c r="K140" s="12">
        <f t="shared" si="21"/>
        <v>0</v>
      </c>
      <c r="L140" s="12">
        <f t="shared" si="21"/>
        <v>0</v>
      </c>
      <c r="M140" s="9" t="s">
        <v>52</v>
      </c>
      <c r="N140" s="2" t="s">
        <v>342</v>
      </c>
      <c r="O140" s="2" t="s">
        <v>52</v>
      </c>
      <c r="P140" s="2" t="s">
        <v>52</v>
      </c>
      <c r="Q140" s="2" t="s">
        <v>328</v>
      </c>
      <c r="R140" s="2" t="s">
        <v>60</v>
      </c>
      <c r="S140" s="2" t="s">
        <v>61</v>
      </c>
      <c r="T140" s="2" t="s">
        <v>61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2" t="s">
        <v>52</v>
      </c>
      <c r="AS140" s="2" t="s">
        <v>52</v>
      </c>
      <c r="AT140" s="3"/>
      <c r="AU140" s="2" t="s">
        <v>343</v>
      </c>
      <c r="AV140" s="3">
        <v>105</v>
      </c>
    </row>
    <row r="141" spans="1:48" ht="30" customHeight="1" x14ac:dyDescent="0.3">
      <c r="A141" s="9" t="s">
        <v>344</v>
      </c>
      <c r="B141" s="9" t="s">
        <v>345</v>
      </c>
      <c r="C141" s="9" t="s">
        <v>87</v>
      </c>
      <c r="D141" s="10">
        <v>788</v>
      </c>
      <c r="E141" s="12">
        <f>TRUNC('일위대가목록(총체)'!E57,0)</f>
        <v>0</v>
      </c>
      <c r="F141" s="12">
        <f t="shared" si="18"/>
        <v>0</v>
      </c>
      <c r="G141" s="12">
        <f>TRUNC('일위대가목록(총체)'!F57,0)</f>
        <v>0</v>
      </c>
      <c r="H141" s="12">
        <f t="shared" si="19"/>
        <v>0</v>
      </c>
      <c r="I141" s="12">
        <f>TRUNC('일위대가목록(총체)'!G57,0)</f>
        <v>0</v>
      </c>
      <c r="J141" s="12">
        <f t="shared" si="20"/>
        <v>0</v>
      </c>
      <c r="K141" s="12">
        <f t="shared" si="21"/>
        <v>0</v>
      </c>
      <c r="L141" s="12">
        <f t="shared" si="21"/>
        <v>0</v>
      </c>
      <c r="M141" s="9" t="s">
        <v>52</v>
      </c>
      <c r="N141" s="2" t="s">
        <v>346</v>
      </c>
      <c r="O141" s="2" t="s">
        <v>52</v>
      </c>
      <c r="P141" s="2" t="s">
        <v>52</v>
      </c>
      <c r="Q141" s="2" t="s">
        <v>328</v>
      </c>
      <c r="R141" s="2" t="s">
        <v>60</v>
      </c>
      <c r="S141" s="2" t="s">
        <v>61</v>
      </c>
      <c r="T141" s="2" t="s">
        <v>61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2" t="s">
        <v>52</v>
      </c>
      <c r="AS141" s="2" t="s">
        <v>52</v>
      </c>
      <c r="AT141" s="3"/>
      <c r="AU141" s="2" t="s">
        <v>347</v>
      </c>
      <c r="AV141" s="3">
        <v>77</v>
      </c>
    </row>
    <row r="142" spans="1:48" ht="30" customHeight="1" x14ac:dyDescent="0.3">
      <c r="A142" s="9" t="s">
        <v>348</v>
      </c>
      <c r="B142" s="9" t="s">
        <v>349</v>
      </c>
      <c r="C142" s="9" t="s">
        <v>87</v>
      </c>
      <c r="D142" s="10">
        <v>11</v>
      </c>
      <c r="E142" s="12">
        <f>TRUNC('일위대가목록(총체)'!E58,0)</f>
        <v>0</v>
      </c>
      <c r="F142" s="12">
        <f t="shared" si="18"/>
        <v>0</v>
      </c>
      <c r="G142" s="12">
        <f>TRUNC('일위대가목록(총체)'!F58,0)</f>
        <v>0</v>
      </c>
      <c r="H142" s="12">
        <f t="shared" si="19"/>
        <v>0</v>
      </c>
      <c r="I142" s="12">
        <f>TRUNC('일위대가목록(총체)'!G58,0)</f>
        <v>0</v>
      </c>
      <c r="J142" s="12">
        <f t="shared" si="20"/>
        <v>0</v>
      </c>
      <c r="K142" s="12">
        <f t="shared" si="21"/>
        <v>0</v>
      </c>
      <c r="L142" s="12">
        <f t="shared" si="21"/>
        <v>0</v>
      </c>
      <c r="M142" s="9" t="s">
        <v>52</v>
      </c>
      <c r="N142" s="2" t="s">
        <v>350</v>
      </c>
      <c r="O142" s="2" t="s">
        <v>52</v>
      </c>
      <c r="P142" s="2" t="s">
        <v>52</v>
      </c>
      <c r="Q142" s="2" t="s">
        <v>328</v>
      </c>
      <c r="R142" s="2" t="s">
        <v>60</v>
      </c>
      <c r="S142" s="2" t="s">
        <v>61</v>
      </c>
      <c r="T142" s="2" t="s">
        <v>61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2" t="s">
        <v>52</v>
      </c>
      <c r="AS142" s="2" t="s">
        <v>52</v>
      </c>
      <c r="AT142" s="3"/>
      <c r="AU142" s="2" t="s">
        <v>351</v>
      </c>
      <c r="AV142" s="3">
        <v>78</v>
      </c>
    </row>
    <row r="143" spans="1:48" ht="30" customHeight="1" x14ac:dyDescent="0.3">
      <c r="A143" s="9" t="s">
        <v>352</v>
      </c>
      <c r="B143" s="9" t="s">
        <v>353</v>
      </c>
      <c r="C143" s="9" t="s">
        <v>82</v>
      </c>
      <c r="D143" s="10">
        <v>6</v>
      </c>
      <c r="E143" s="12">
        <f>TRUNC('일위대가목록(총체)'!E59,0)</f>
        <v>0</v>
      </c>
      <c r="F143" s="12">
        <f t="shared" si="18"/>
        <v>0</v>
      </c>
      <c r="G143" s="12">
        <f>TRUNC('일위대가목록(총체)'!F59,0)</f>
        <v>0</v>
      </c>
      <c r="H143" s="12">
        <f t="shared" si="19"/>
        <v>0</v>
      </c>
      <c r="I143" s="12">
        <f>TRUNC('일위대가목록(총체)'!G59,0)</f>
        <v>0</v>
      </c>
      <c r="J143" s="12">
        <f t="shared" si="20"/>
        <v>0</v>
      </c>
      <c r="K143" s="12">
        <f t="shared" si="21"/>
        <v>0</v>
      </c>
      <c r="L143" s="12">
        <f t="shared" si="21"/>
        <v>0</v>
      </c>
      <c r="M143" s="9" t="s">
        <v>52</v>
      </c>
      <c r="N143" s="2" t="s">
        <v>354</v>
      </c>
      <c r="O143" s="2" t="s">
        <v>52</v>
      </c>
      <c r="P143" s="2" t="s">
        <v>52</v>
      </c>
      <c r="Q143" s="2" t="s">
        <v>328</v>
      </c>
      <c r="R143" s="2" t="s">
        <v>60</v>
      </c>
      <c r="S143" s="2" t="s">
        <v>61</v>
      </c>
      <c r="T143" s="2" t="s">
        <v>61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2" t="s">
        <v>52</v>
      </c>
      <c r="AS143" s="2" t="s">
        <v>52</v>
      </c>
      <c r="AT143" s="3"/>
      <c r="AU143" s="2" t="s">
        <v>355</v>
      </c>
      <c r="AV143" s="3">
        <v>79</v>
      </c>
    </row>
    <row r="144" spans="1:48" ht="30" customHeight="1" x14ac:dyDescent="0.3">
      <c r="A144" s="9" t="s">
        <v>356</v>
      </c>
      <c r="B144" s="9" t="s">
        <v>357</v>
      </c>
      <c r="C144" s="9" t="s">
        <v>68</v>
      </c>
      <c r="D144" s="10">
        <v>23</v>
      </c>
      <c r="E144" s="12">
        <f>TRUNC('일위대가목록(총체)'!E60,0)</f>
        <v>0</v>
      </c>
      <c r="F144" s="12">
        <f t="shared" si="18"/>
        <v>0</v>
      </c>
      <c r="G144" s="12">
        <f>TRUNC('일위대가목록(총체)'!F60,0)</f>
        <v>0</v>
      </c>
      <c r="H144" s="12">
        <f t="shared" si="19"/>
        <v>0</v>
      </c>
      <c r="I144" s="12">
        <f>TRUNC('일위대가목록(총체)'!G60,0)</f>
        <v>0</v>
      </c>
      <c r="J144" s="12">
        <f t="shared" si="20"/>
        <v>0</v>
      </c>
      <c r="K144" s="12">
        <f t="shared" si="21"/>
        <v>0</v>
      </c>
      <c r="L144" s="12">
        <f t="shared" si="21"/>
        <v>0</v>
      </c>
      <c r="M144" s="9" t="s">
        <v>52</v>
      </c>
      <c r="N144" s="2" t="s">
        <v>358</v>
      </c>
      <c r="O144" s="2" t="s">
        <v>52</v>
      </c>
      <c r="P144" s="2" t="s">
        <v>52</v>
      </c>
      <c r="Q144" s="2" t="s">
        <v>328</v>
      </c>
      <c r="R144" s="2" t="s">
        <v>60</v>
      </c>
      <c r="S144" s="2" t="s">
        <v>61</v>
      </c>
      <c r="T144" s="2" t="s">
        <v>61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2" t="s">
        <v>52</v>
      </c>
      <c r="AS144" s="2" t="s">
        <v>52</v>
      </c>
      <c r="AT144" s="3"/>
      <c r="AU144" s="2" t="s">
        <v>359</v>
      </c>
      <c r="AV144" s="3">
        <v>80</v>
      </c>
    </row>
    <row r="145" spans="1:48" ht="30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spans="1:48" ht="30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spans="1:48" ht="30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spans="1:48" ht="30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spans="1:48" ht="30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spans="1:48" ht="30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spans="1:48" ht="30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spans="1:48" ht="30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spans="1:48" ht="30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spans="1:48" ht="30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spans="1:48" ht="30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spans="1:48" ht="30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spans="1:48" ht="30" customHeight="1" x14ac:dyDescent="0.3">
      <c r="A157" s="9" t="s">
        <v>93</v>
      </c>
      <c r="B157" s="10"/>
      <c r="C157" s="10"/>
      <c r="D157" s="10"/>
      <c r="E157" s="10"/>
      <c r="F157" s="12">
        <f>SUM(F137:F156)</f>
        <v>0</v>
      </c>
      <c r="G157" s="10"/>
      <c r="H157" s="12">
        <f>SUM(H137:H156)</f>
        <v>0</v>
      </c>
      <c r="I157" s="10"/>
      <c r="J157" s="12">
        <f>SUM(J137:J156)</f>
        <v>0</v>
      </c>
      <c r="K157" s="10"/>
      <c r="L157" s="12">
        <f>SUM(L137:L156)</f>
        <v>0</v>
      </c>
      <c r="M157" s="10"/>
      <c r="N157" t="s">
        <v>94</v>
      </c>
    </row>
    <row r="158" spans="1:48" ht="30" customHeight="1" x14ac:dyDescent="0.3">
      <c r="A158" s="9" t="s">
        <v>360</v>
      </c>
      <c r="B158" s="9" t="s">
        <v>52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3"/>
      <c r="O158" s="3"/>
      <c r="P158" s="3"/>
      <c r="Q158" s="2" t="s">
        <v>361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ht="30" customHeight="1" x14ac:dyDescent="0.3">
      <c r="A159" s="9" t="s">
        <v>362</v>
      </c>
      <c r="B159" s="9" t="s">
        <v>363</v>
      </c>
      <c r="C159" s="9" t="s">
        <v>58</v>
      </c>
      <c r="D159" s="10">
        <v>19</v>
      </c>
      <c r="E159" s="12">
        <f>TRUNC('일위대가목록(총체)'!E61,0)</f>
        <v>0</v>
      </c>
      <c r="F159" s="12">
        <f t="shared" ref="F159:F164" si="22">TRUNC(E159*D159, 0)</f>
        <v>0</v>
      </c>
      <c r="G159" s="12">
        <f>TRUNC('일위대가목록(총체)'!F61,0)</f>
        <v>0</v>
      </c>
      <c r="H159" s="12">
        <f t="shared" ref="H159:H164" si="23">TRUNC(G159*D159, 0)</f>
        <v>0</v>
      </c>
      <c r="I159" s="12">
        <f>TRUNC('일위대가목록(총체)'!G61,0)</f>
        <v>0</v>
      </c>
      <c r="J159" s="12">
        <f t="shared" ref="J159:J164" si="24">TRUNC(I159*D159, 0)</f>
        <v>0</v>
      </c>
      <c r="K159" s="12">
        <f t="shared" ref="K159:L164" si="25">TRUNC(E159+G159+I159, 0)</f>
        <v>0</v>
      </c>
      <c r="L159" s="12">
        <f t="shared" si="25"/>
        <v>0</v>
      </c>
      <c r="M159" s="9" t="s">
        <v>52</v>
      </c>
      <c r="N159" s="2" t="s">
        <v>364</v>
      </c>
      <c r="O159" s="2" t="s">
        <v>52</v>
      </c>
      <c r="P159" s="2" t="s">
        <v>52</v>
      </c>
      <c r="Q159" s="2" t="s">
        <v>361</v>
      </c>
      <c r="R159" s="2" t="s">
        <v>60</v>
      </c>
      <c r="S159" s="2" t="s">
        <v>61</v>
      </c>
      <c r="T159" s="2" t="s">
        <v>61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2" t="s">
        <v>52</v>
      </c>
      <c r="AS159" s="2" t="s">
        <v>52</v>
      </c>
      <c r="AT159" s="3"/>
      <c r="AU159" s="2" t="s">
        <v>365</v>
      </c>
      <c r="AV159" s="3">
        <v>92</v>
      </c>
    </row>
    <row r="160" spans="1:48" ht="30" customHeight="1" x14ac:dyDescent="0.3">
      <c r="A160" s="9" t="s">
        <v>366</v>
      </c>
      <c r="B160" s="9" t="s">
        <v>367</v>
      </c>
      <c r="C160" s="9" t="s">
        <v>58</v>
      </c>
      <c r="D160" s="10">
        <v>1</v>
      </c>
      <c r="E160" s="12">
        <f>TRUNC('일위대가목록(총체)'!E62,0)</f>
        <v>0</v>
      </c>
      <c r="F160" s="12">
        <f t="shared" si="22"/>
        <v>0</v>
      </c>
      <c r="G160" s="12">
        <f>TRUNC('일위대가목록(총체)'!F62,0)</f>
        <v>0</v>
      </c>
      <c r="H160" s="12">
        <f t="shared" si="23"/>
        <v>0</v>
      </c>
      <c r="I160" s="12">
        <f>TRUNC('일위대가목록(총체)'!G62,0)</f>
        <v>0</v>
      </c>
      <c r="J160" s="12">
        <f t="shared" si="24"/>
        <v>0</v>
      </c>
      <c r="K160" s="12">
        <f t="shared" si="25"/>
        <v>0</v>
      </c>
      <c r="L160" s="12">
        <f t="shared" si="25"/>
        <v>0</v>
      </c>
      <c r="M160" s="9" t="s">
        <v>52</v>
      </c>
      <c r="N160" s="2" t="s">
        <v>368</v>
      </c>
      <c r="O160" s="2" t="s">
        <v>52</v>
      </c>
      <c r="P160" s="2" t="s">
        <v>52</v>
      </c>
      <c r="Q160" s="2" t="s">
        <v>361</v>
      </c>
      <c r="R160" s="2" t="s">
        <v>60</v>
      </c>
      <c r="S160" s="2" t="s">
        <v>61</v>
      </c>
      <c r="T160" s="2" t="s">
        <v>61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2" t="s">
        <v>52</v>
      </c>
      <c r="AS160" s="2" t="s">
        <v>52</v>
      </c>
      <c r="AT160" s="3"/>
      <c r="AU160" s="2" t="s">
        <v>369</v>
      </c>
      <c r="AV160" s="3">
        <v>95</v>
      </c>
    </row>
    <row r="161" spans="1:48" ht="30" customHeight="1" x14ac:dyDescent="0.3">
      <c r="A161" s="9" t="s">
        <v>370</v>
      </c>
      <c r="B161" s="9" t="s">
        <v>371</v>
      </c>
      <c r="C161" s="9" t="s">
        <v>58</v>
      </c>
      <c r="D161" s="10">
        <v>1</v>
      </c>
      <c r="E161" s="12">
        <f>TRUNC('일위대가목록(총체)'!E63,0)</f>
        <v>0</v>
      </c>
      <c r="F161" s="12">
        <f t="shared" si="22"/>
        <v>0</v>
      </c>
      <c r="G161" s="12">
        <f>TRUNC('일위대가목록(총체)'!F63,0)</f>
        <v>0</v>
      </c>
      <c r="H161" s="12">
        <f t="shared" si="23"/>
        <v>0</v>
      </c>
      <c r="I161" s="12">
        <f>TRUNC('일위대가목록(총체)'!G63,0)</f>
        <v>0</v>
      </c>
      <c r="J161" s="12">
        <f t="shared" si="24"/>
        <v>0</v>
      </c>
      <c r="K161" s="12">
        <f t="shared" si="25"/>
        <v>0</v>
      </c>
      <c r="L161" s="12">
        <f t="shared" si="25"/>
        <v>0</v>
      </c>
      <c r="M161" s="9" t="s">
        <v>52</v>
      </c>
      <c r="N161" s="2" t="s">
        <v>372</v>
      </c>
      <c r="O161" s="2" t="s">
        <v>52</v>
      </c>
      <c r="P161" s="2" t="s">
        <v>52</v>
      </c>
      <c r="Q161" s="2" t="s">
        <v>361</v>
      </c>
      <c r="R161" s="2" t="s">
        <v>60</v>
      </c>
      <c r="S161" s="2" t="s">
        <v>61</v>
      </c>
      <c r="T161" s="2" t="s">
        <v>61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2" t="s">
        <v>52</v>
      </c>
      <c r="AS161" s="2" t="s">
        <v>52</v>
      </c>
      <c r="AT161" s="3"/>
      <c r="AU161" s="2" t="s">
        <v>373</v>
      </c>
      <c r="AV161" s="3">
        <v>97</v>
      </c>
    </row>
    <row r="162" spans="1:48" ht="30" customHeight="1" x14ac:dyDescent="0.3">
      <c r="A162" s="9" t="s">
        <v>374</v>
      </c>
      <c r="B162" s="9" t="s">
        <v>375</v>
      </c>
      <c r="C162" s="9" t="s">
        <v>58</v>
      </c>
      <c r="D162" s="10">
        <v>4</v>
      </c>
      <c r="E162" s="12">
        <f>TRUNC('일위대가목록(총체)'!E64,0)</f>
        <v>0</v>
      </c>
      <c r="F162" s="12">
        <f t="shared" si="22"/>
        <v>0</v>
      </c>
      <c r="G162" s="12">
        <f>TRUNC('일위대가목록(총체)'!F64,0)</f>
        <v>0</v>
      </c>
      <c r="H162" s="12">
        <f t="shared" si="23"/>
        <v>0</v>
      </c>
      <c r="I162" s="12">
        <f>TRUNC('일위대가목록(총체)'!G64,0)</f>
        <v>0</v>
      </c>
      <c r="J162" s="12">
        <f t="shared" si="24"/>
        <v>0</v>
      </c>
      <c r="K162" s="12">
        <f t="shared" si="25"/>
        <v>0</v>
      </c>
      <c r="L162" s="12">
        <f t="shared" si="25"/>
        <v>0</v>
      </c>
      <c r="M162" s="9" t="s">
        <v>52</v>
      </c>
      <c r="N162" s="2" t="s">
        <v>376</v>
      </c>
      <c r="O162" s="2" t="s">
        <v>52</v>
      </c>
      <c r="P162" s="2" t="s">
        <v>52</v>
      </c>
      <c r="Q162" s="2" t="s">
        <v>361</v>
      </c>
      <c r="R162" s="2" t="s">
        <v>60</v>
      </c>
      <c r="S162" s="2" t="s">
        <v>61</v>
      </c>
      <c r="T162" s="2" t="s">
        <v>61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2" t="s">
        <v>52</v>
      </c>
      <c r="AS162" s="2" t="s">
        <v>52</v>
      </c>
      <c r="AT162" s="3"/>
      <c r="AU162" s="2" t="s">
        <v>377</v>
      </c>
      <c r="AV162" s="3">
        <v>94</v>
      </c>
    </row>
    <row r="163" spans="1:48" ht="30" customHeight="1" x14ac:dyDescent="0.3">
      <c r="A163" s="9" t="s">
        <v>378</v>
      </c>
      <c r="B163" s="9" t="s">
        <v>375</v>
      </c>
      <c r="C163" s="9" t="s">
        <v>58</v>
      </c>
      <c r="D163" s="10">
        <v>6</v>
      </c>
      <c r="E163" s="12">
        <f>TRUNC('일위대가목록(총체)'!E65,0)</f>
        <v>0</v>
      </c>
      <c r="F163" s="12">
        <f t="shared" si="22"/>
        <v>0</v>
      </c>
      <c r="G163" s="12">
        <f>TRUNC('일위대가목록(총체)'!F65,0)</f>
        <v>0</v>
      </c>
      <c r="H163" s="12">
        <f t="shared" si="23"/>
        <v>0</v>
      </c>
      <c r="I163" s="12">
        <f>TRUNC('일위대가목록(총체)'!G65,0)</f>
        <v>0</v>
      </c>
      <c r="J163" s="12">
        <f t="shared" si="24"/>
        <v>0</v>
      </c>
      <c r="K163" s="12">
        <f t="shared" si="25"/>
        <v>0</v>
      </c>
      <c r="L163" s="12">
        <f t="shared" si="25"/>
        <v>0</v>
      </c>
      <c r="M163" s="9" t="s">
        <v>52</v>
      </c>
      <c r="N163" s="2" t="s">
        <v>379</v>
      </c>
      <c r="O163" s="2" t="s">
        <v>52</v>
      </c>
      <c r="P163" s="2" t="s">
        <v>52</v>
      </c>
      <c r="Q163" s="2" t="s">
        <v>361</v>
      </c>
      <c r="R163" s="2" t="s">
        <v>60</v>
      </c>
      <c r="S163" s="2" t="s">
        <v>61</v>
      </c>
      <c r="T163" s="2" t="s">
        <v>61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2" t="s">
        <v>52</v>
      </c>
      <c r="AS163" s="2" t="s">
        <v>52</v>
      </c>
      <c r="AT163" s="3"/>
      <c r="AU163" s="2" t="s">
        <v>380</v>
      </c>
      <c r="AV163" s="3">
        <v>90</v>
      </c>
    </row>
    <row r="164" spans="1:48" ht="30" customHeight="1" x14ac:dyDescent="0.3">
      <c r="A164" s="9" t="s">
        <v>381</v>
      </c>
      <c r="B164" s="9" t="s">
        <v>382</v>
      </c>
      <c r="C164" s="9" t="s">
        <v>58</v>
      </c>
      <c r="D164" s="10">
        <v>6</v>
      </c>
      <c r="E164" s="12">
        <f>TRUNC('일위대가목록(총체)'!E66,0)</f>
        <v>0</v>
      </c>
      <c r="F164" s="12">
        <f t="shared" si="22"/>
        <v>0</v>
      </c>
      <c r="G164" s="12">
        <f>TRUNC('일위대가목록(총체)'!F66,0)</f>
        <v>0</v>
      </c>
      <c r="H164" s="12">
        <f t="shared" si="23"/>
        <v>0</v>
      </c>
      <c r="I164" s="12">
        <f>TRUNC('일위대가목록(총체)'!G66,0)</f>
        <v>0</v>
      </c>
      <c r="J164" s="12">
        <f t="shared" si="24"/>
        <v>0</v>
      </c>
      <c r="K164" s="12">
        <f t="shared" si="25"/>
        <v>0</v>
      </c>
      <c r="L164" s="12">
        <f t="shared" si="25"/>
        <v>0</v>
      </c>
      <c r="M164" s="9" t="s">
        <v>52</v>
      </c>
      <c r="N164" s="2" t="s">
        <v>383</v>
      </c>
      <c r="O164" s="2" t="s">
        <v>52</v>
      </c>
      <c r="P164" s="2" t="s">
        <v>52</v>
      </c>
      <c r="Q164" s="2" t="s">
        <v>361</v>
      </c>
      <c r="R164" s="2" t="s">
        <v>60</v>
      </c>
      <c r="S164" s="2" t="s">
        <v>61</v>
      </c>
      <c r="T164" s="2" t="s">
        <v>61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2" t="s">
        <v>52</v>
      </c>
      <c r="AS164" s="2" t="s">
        <v>52</v>
      </c>
      <c r="AT164" s="3"/>
      <c r="AU164" s="2" t="s">
        <v>384</v>
      </c>
      <c r="AV164" s="3">
        <v>96</v>
      </c>
    </row>
    <row r="165" spans="1:48" ht="30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spans="1:48" ht="30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spans="1:48" ht="30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spans="1:48" ht="30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spans="1:48" ht="30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spans="1:48" ht="30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spans="1:48" ht="30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spans="1:48" ht="30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spans="1:48" ht="30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spans="1:48" ht="30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spans="1:48" ht="30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spans="1:48" ht="30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spans="1:48" ht="30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spans="1:48" ht="30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spans="1:48" ht="30" customHeight="1" x14ac:dyDescent="0.3">
      <c r="A179" s="9" t="s">
        <v>93</v>
      </c>
      <c r="B179" s="10"/>
      <c r="C179" s="10"/>
      <c r="D179" s="10"/>
      <c r="E179" s="10"/>
      <c r="F179" s="12">
        <f>SUM(F159:F178)</f>
        <v>0</v>
      </c>
      <c r="G179" s="10"/>
      <c r="H179" s="12">
        <f>SUM(H159:H178)</f>
        <v>0</v>
      </c>
      <c r="I179" s="10"/>
      <c r="J179" s="12">
        <f>SUM(J159:J178)</f>
        <v>0</v>
      </c>
      <c r="K179" s="10"/>
      <c r="L179" s="12">
        <f>SUM(L159:L178)</f>
        <v>0</v>
      </c>
      <c r="M179" s="10"/>
      <c r="N179" t="s">
        <v>94</v>
      </c>
    </row>
    <row r="180" spans="1:48" ht="30" customHeight="1" x14ac:dyDescent="0.3">
      <c r="A180" s="9" t="s">
        <v>385</v>
      </c>
      <c r="B180" s="9" t="s">
        <v>52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3"/>
      <c r="O180" s="3"/>
      <c r="P180" s="3"/>
      <c r="Q180" s="2" t="s">
        <v>386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ht="30" customHeight="1" x14ac:dyDescent="0.3">
      <c r="A181" s="9" t="s">
        <v>387</v>
      </c>
      <c r="B181" s="9" t="s">
        <v>388</v>
      </c>
      <c r="C181" s="9" t="s">
        <v>68</v>
      </c>
      <c r="D181" s="10">
        <v>12</v>
      </c>
      <c r="E181" s="12">
        <f>TRUNC('일위대가목록(총체)'!E67,0)</f>
        <v>0</v>
      </c>
      <c r="F181" s="12">
        <f>TRUNC(E181*D181, 0)</f>
        <v>0</v>
      </c>
      <c r="G181" s="12">
        <f>TRUNC('일위대가목록(총체)'!F67,0)</f>
        <v>0</v>
      </c>
      <c r="H181" s="12">
        <f>TRUNC(G181*D181, 0)</f>
        <v>0</v>
      </c>
      <c r="I181" s="12">
        <f>TRUNC('일위대가목록(총체)'!G67,0)</f>
        <v>0</v>
      </c>
      <c r="J181" s="12">
        <f>TRUNC(I181*D181, 0)</f>
        <v>0</v>
      </c>
      <c r="K181" s="12">
        <f t="shared" ref="K181:L185" si="26">TRUNC(E181+G181+I181, 0)</f>
        <v>0</v>
      </c>
      <c r="L181" s="12">
        <f t="shared" si="26"/>
        <v>0</v>
      </c>
      <c r="M181" s="9" t="s">
        <v>52</v>
      </c>
      <c r="N181" s="2" t="s">
        <v>389</v>
      </c>
      <c r="O181" s="2" t="s">
        <v>52</v>
      </c>
      <c r="P181" s="2" t="s">
        <v>52</v>
      </c>
      <c r="Q181" s="2" t="s">
        <v>386</v>
      </c>
      <c r="R181" s="2" t="s">
        <v>60</v>
      </c>
      <c r="S181" s="2" t="s">
        <v>61</v>
      </c>
      <c r="T181" s="2" t="s">
        <v>61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2" t="s">
        <v>52</v>
      </c>
      <c r="AS181" s="2" t="s">
        <v>52</v>
      </c>
      <c r="AT181" s="3"/>
      <c r="AU181" s="2" t="s">
        <v>390</v>
      </c>
      <c r="AV181" s="3">
        <v>83</v>
      </c>
    </row>
    <row r="182" spans="1:48" ht="30" customHeight="1" x14ac:dyDescent="0.3">
      <c r="A182" s="9" t="s">
        <v>391</v>
      </c>
      <c r="B182" s="9" t="s">
        <v>392</v>
      </c>
      <c r="C182" s="9" t="s">
        <v>68</v>
      </c>
      <c r="D182" s="10">
        <v>54</v>
      </c>
      <c r="E182" s="12">
        <f>TRUNC('일위대가목록(총체)'!E68,0)</f>
        <v>0</v>
      </c>
      <c r="F182" s="12">
        <f>TRUNC(E182*D182, 0)</f>
        <v>0</v>
      </c>
      <c r="G182" s="12">
        <f>TRUNC('일위대가목록(총체)'!F68,0)</f>
        <v>0</v>
      </c>
      <c r="H182" s="12">
        <f>TRUNC(G182*D182, 0)</f>
        <v>0</v>
      </c>
      <c r="I182" s="12">
        <f>TRUNC('일위대가목록(총체)'!G68,0)</f>
        <v>0</v>
      </c>
      <c r="J182" s="12">
        <f>TRUNC(I182*D182, 0)</f>
        <v>0</v>
      </c>
      <c r="K182" s="12">
        <f t="shared" si="26"/>
        <v>0</v>
      </c>
      <c r="L182" s="12">
        <f t="shared" si="26"/>
        <v>0</v>
      </c>
      <c r="M182" s="9" t="s">
        <v>52</v>
      </c>
      <c r="N182" s="2" t="s">
        <v>393</v>
      </c>
      <c r="O182" s="2" t="s">
        <v>52</v>
      </c>
      <c r="P182" s="2" t="s">
        <v>52</v>
      </c>
      <c r="Q182" s="2" t="s">
        <v>386</v>
      </c>
      <c r="R182" s="2" t="s">
        <v>60</v>
      </c>
      <c r="S182" s="2" t="s">
        <v>61</v>
      </c>
      <c r="T182" s="2" t="s">
        <v>61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2" t="s">
        <v>52</v>
      </c>
      <c r="AS182" s="2" t="s">
        <v>52</v>
      </c>
      <c r="AT182" s="3"/>
      <c r="AU182" s="2" t="s">
        <v>394</v>
      </c>
      <c r="AV182" s="3">
        <v>84</v>
      </c>
    </row>
    <row r="183" spans="1:48" ht="30" customHeight="1" x14ac:dyDescent="0.3">
      <c r="A183" s="9" t="s">
        <v>395</v>
      </c>
      <c r="B183" s="9" t="s">
        <v>396</v>
      </c>
      <c r="C183" s="9" t="s">
        <v>68</v>
      </c>
      <c r="D183" s="10">
        <v>155</v>
      </c>
      <c r="E183" s="12">
        <f>TRUNC('일위대가목록(총체)'!E69,0)</f>
        <v>0</v>
      </c>
      <c r="F183" s="12">
        <f>TRUNC(E183*D183, 0)</f>
        <v>0</v>
      </c>
      <c r="G183" s="12">
        <f>TRUNC('일위대가목록(총체)'!F69,0)</f>
        <v>0</v>
      </c>
      <c r="H183" s="12">
        <f>TRUNC(G183*D183, 0)</f>
        <v>0</v>
      </c>
      <c r="I183" s="12">
        <f>TRUNC('일위대가목록(총체)'!G69,0)</f>
        <v>0</v>
      </c>
      <c r="J183" s="12">
        <f>TRUNC(I183*D183, 0)</f>
        <v>0</v>
      </c>
      <c r="K183" s="12">
        <f t="shared" si="26"/>
        <v>0</v>
      </c>
      <c r="L183" s="12">
        <f t="shared" si="26"/>
        <v>0</v>
      </c>
      <c r="M183" s="9" t="s">
        <v>52</v>
      </c>
      <c r="N183" s="2" t="s">
        <v>397</v>
      </c>
      <c r="O183" s="2" t="s">
        <v>52</v>
      </c>
      <c r="P183" s="2" t="s">
        <v>52</v>
      </c>
      <c r="Q183" s="2" t="s">
        <v>386</v>
      </c>
      <c r="R183" s="2" t="s">
        <v>60</v>
      </c>
      <c r="S183" s="2" t="s">
        <v>61</v>
      </c>
      <c r="T183" s="2" t="s">
        <v>61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2" t="s">
        <v>52</v>
      </c>
      <c r="AS183" s="2" t="s">
        <v>52</v>
      </c>
      <c r="AT183" s="3"/>
      <c r="AU183" s="2" t="s">
        <v>398</v>
      </c>
      <c r="AV183" s="3">
        <v>85</v>
      </c>
    </row>
    <row r="184" spans="1:48" ht="30" customHeight="1" x14ac:dyDescent="0.3">
      <c r="A184" s="9" t="s">
        <v>399</v>
      </c>
      <c r="B184" s="9" t="s">
        <v>396</v>
      </c>
      <c r="C184" s="9" t="s">
        <v>68</v>
      </c>
      <c r="D184" s="10">
        <v>12</v>
      </c>
      <c r="E184" s="12">
        <f>TRUNC('일위대가목록(총체)'!E70,0)</f>
        <v>0</v>
      </c>
      <c r="F184" s="12">
        <f>TRUNC(E184*D184, 0)</f>
        <v>0</v>
      </c>
      <c r="G184" s="12">
        <f>TRUNC('일위대가목록(총체)'!F70,0)</f>
        <v>0</v>
      </c>
      <c r="H184" s="12">
        <f>TRUNC(G184*D184, 0)</f>
        <v>0</v>
      </c>
      <c r="I184" s="12">
        <f>TRUNC('일위대가목록(총체)'!G70,0)</f>
        <v>0</v>
      </c>
      <c r="J184" s="12">
        <f>TRUNC(I184*D184, 0)</f>
        <v>0</v>
      </c>
      <c r="K184" s="12">
        <f t="shared" si="26"/>
        <v>0</v>
      </c>
      <c r="L184" s="12">
        <f t="shared" si="26"/>
        <v>0</v>
      </c>
      <c r="M184" s="9" t="s">
        <v>52</v>
      </c>
      <c r="N184" s="2" t="s">
        <v>400</v>
      </c>
      <c r="O184" s="2" t="s">
        <v>52</v>
      </c>
      <c r="P184" s="2" t="s">
        <v>52</v>
      </c>
      <c r="Q184" s="2" t="s">
        <v>386</v>
      </c>
      <c r="R184" s="2" t="s">
        <v>60</v>
      </c>
      <c r="S184" s="2" t="s">
        <v>61</v>
      </c>
      <c r="T184" s="2" t="s">
        <v>61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2" t="s">
        <v>52</v>
      </c>
      <c r="AS184" s="2" t="s">
        <v>52</v>
      </c>
      <c r="AT184" s="3"/>
      <c r="AU184" s="2" t="s">
        <v>401</v>
      </c>
      <c r="AV184" s="3">
        <v>86</v>
      </c>
    </row>
    <row r="185" spans="1:48" ht="30" customHeight="1" x14ac:dyDescent="0.3">
      <c r="A185" s="9" t="s">
        <v>402</v>
      </c>
      <c r="B185" s="9" t="s">
        <v>403</v>
      </c>
      <c r="C185" s="9" t="s">
        <v>68</v>
      </c>
      <c r="D185" s="10">
        <v>54</v>
      </c>
      <c r="E185" s="12">
        <f>TRUNC('일위대가목록(총체)'!E71,0)</f>
        <v>0</v>
      </c>
      <c r="F185" s="12">
        <f>TRUNC(E185*D185, 0)</f>
        <v>0</v>
      </c>
      <c r="G185" s="12">
        <f>TRUNC('일위대가목록(총체)'!F71,0)</f>
        <v>0</v>
      </c>
      <c r="H185" s="12">
        <f>TRUNC(G185*D185, 0)</f>
        <v>0</v>
      </c>
      <c r="I185" s="12">
        <f>TRUNC('일위대가목록(총체)'!G71,0)</f>
        <v>0</v>
      </c>
      <c r="J185" s="12">
        <f>TRUNC(I185*D185, 0)</f>
        <v>0</v>
      </c>
      <c r="K185" s="12">
        <f t="shared" si="26"/>
        <v>0</v>
      </c>
      <c r="L185" s="12">
        <f t="shared" si="26"/>
        <v>0</v>
      </c>
      <c r="M185" s="9" t="s">
        <v>52</v>
      </c>
      <c r="N185" s="2" t="s">
        <v>404</v>
      </c>
      <c r="O185" s="2" t="s">
        <v>52</v>
      </c>
      <c r="P185" s="2" t="s">
        <v>52</v>
      </c>
      <c r="Q185" s="2" t="s">
        <v>386</v>
      </c>
      <c r="R185" s="2" t="s">
        <v>60</v>
      </c>
      <c r="S185" s="2" t="s">
        <v>61</v>
      </c>
      <c r="T185" s="2" t="s">
        <v>61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2" t="s">
        <v>52</v>
      </c>
      <c r="AS185" s="2" t="s">
        <v>52</v>
      </c>
      <c r="AT185" s="3"/>
      <c r="AU185" s="2" t="s">
        <v>405</v>
      </c>
      <c r="AV185" s="3">
        <v>87</v>
      </c>
    </row>
    <row r="186" spans="1:48" ht="30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spans="1:48" ht="30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spans="1:48" ht="30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spans="1:48" ht="30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spans="1:48" ht="30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spans="1:48" ht="30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spans="1:48" ht="30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spans="1:48" ht="30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spans="1:48" ht="30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spans="1:48" ht="30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1:48" ht="30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spans="1:48" ht="30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spans="1:48" ht="30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spans="1:48" ht="30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1:48" ht="30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spans="1:48" ht="30" customHeight="1" x14ac:dyDescent="0.3">
      <c r="A201" s="9" t="s">
        <v>93</v>
      </c>
      <c r="B201" s="10"/>
      <c r="C201" s="10"/>
      <c r="D201" s="10"/>
      <c r="E201" s="10"/>
      <c r="F201" s="12">
        <f>SUM(F181:F200)</f>
        <v>0</v>
      </c>
      <c r="G201" s="10"/>
      <c r="H201" s="12">
        <f>SUM(H181:H200)</f>
        <v>0</v>
      </c>
      <c r="I201" s="10"/>
      <c r="J201" s="12">
        <f>SUM(J181:J200)</f>
        <v>0</v>
      </c>
      <c r="K201" s="10"/>
      <c r="L201" s="12">
        <f>SUM(L181:L200)</f>
        <v>0</v>
      </c>
      <c r="M201" s="10"/>
      <c r="N201" t="s">
        <v>94</v>
      </c>
    </row>
    <row r="202" spans="1:48" ht="30" customHeight="1" x14ac:dyDescent="0.3">
      <c r="A202" s="9" t="s">
        <v>406</v>
      </c>
      <c r="B202" s="9" t="s">
        <v>52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3"/>
      <c r="O202" s="3"/>
      <c r="P202" s="3"/>
      <c r="Q202" s="2" t="s">
        <v>407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ht="30" customHeight="1" x14ac:dyDescent="0.3">
      <c r="A203" s="9" t="s">
        <v>408</v>
      </c>
      <c r="B203" s="9" t="s">
        <v>409</v>
      </c>
      <c r="C203" s="9" t="s">
        <v>410</v>
      </c>
      <c r="D203" s="10">
        <v>4</v>
      </c>
      <c r="E203" s="12">
        <f>TRUNC('일위대가목록(총체)'!E72,0)</f>
        <v>0</v>
      </c>
      <c r="F203" s="12">
        <f t="shared" ref="F203:F234" si="27">TRUNC(E203*D203, 0)</f>
        <v>0</v>
      </c>
      <c r="G203" s="12">
        <f>TRUNC('일위대가목록(총체)'!F72,0)</f>
        <v>0</v>
      </c>
      <c r="H203" s="12">
        <f t="shared" ref="H203:H234" si="28">TRUNC(G203*D203, 0)</f>
        <v>0</v>
      </c>
      <c r="I203" s="12">
        <f>TRUNC('일위대가목록(총체)'!G72,0)</f>
        <v>0</v>
      </c>
      <c r="J203" s="12">
        <f t="shared" ref="J203:J234" si="29">TRUNC(I203*D203, 0)</f>
        <v>0</v>
      </c>
      <c r="K203" s="12">
        <f t="shared" ref="K203:K234" si="30">TRUNC(E203+G203+I203, 0)</f>
        <v>0</v>
      </c>
      <c r="L203" s="12">
        <f t="shared" ref="L203:L234" si="31">TRUNC(F203+H203+J203, 0)</f>
        <v>0</v>
      </c>
      <c r="M203" s="9" t="s">
        <v>52</v>
      </c>
      <c r="N203" s="2" t="s">
        <v>411</v>
      </c>
      <c r="O203" s="2" t="s">
        <v>52</v>
      </c>
      <c r="P203" s="2" t="s">
        <v>52</v>
      </c>
      <c r="Q203" s="2" t="s">
        <v>407</v>
      </c>
      <c r="R203" s="2" t="s">
        <v>60</v>
      </c>
      <c r="S203" s="2" t="s">
        <v>61</v>
      </c>
      <c r="T203" s="2" t="s">
        <v>61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2" t="s">
        <v>52</v>
      </c>
      <c r="AS203" s="2" t="s">
        <v>52</v>
      </c>
      <c r="AT203" s="3"/>
      <c r="AU203" s="2" t="s">
        <v>412</v>
      </c>
      <c r="AV203" s="3">
        <v>150</v>
      </c>
    </row>
    <row r="204" spans="1:48" ht="30" customHeight="1" x14ac:dyDescent="0.3">
      <c r="A204" s="9" t="s">
        <v>413</v>
      </c>
      <c r="B204" s="9" t="s">
        <v>414</v>
      </c>
      <c r="C204" s="9" t="s">
        <v>410</v>
      </c>
      <c r="D204" s="10">
        <v>6</v>
      </c>
      <c r="E204" s="12">
        <f>TRUNC('일위대가목록(총체)'!E73,0)</f>
        <v>0</v>
      </c>
      <c r="F204" s="12">
        <f t="shared" si="27"/>
        <v>0</v>
      </c>
      <c r="G204" s="12">
        <f>TRUNC('일위대가목록(총체)'!F73,0)</f>
        <v>0</v>
      </c>
      <c r="H204" s="12">
        <f t="shared" si="28"/>
        <v>0</v>
      </c>
      <c r="I204" s="12">
        <f>TRUNC('일위대가목록(총체)'!G73,0)</f>
        <v>0</v>
      </c>
      <c r="J204" s="12">
        <f t="shared" si="29"/>
        <v>0</v>
      </c>
      <c r="K204" s="12">
        <f t="shared" si="30"/>
        <v>0</v>
      </c>
      <c r="L204" s="12">
        <f t="shared" si="31"/>
        <v>0</v>
      </c>
      <c r="M204" s="9" t="s">
        <v>52</v>
      </c>
      <c r="N204" s="2" t="s">
        <v>415</v>
      </c>
      <c r="O204" s="2" t="s">
        <v>52</v>
      </c>
      <c r="P204" s="2" t="s">
        <v>52</v>
      </c>
      <c r="Q204" s="2" t="s">
        <v>407</v>
      </c>
      <c r="R204" s="2" t="s">
        <v>60</v>
      </c>
      <c r="S204" s="2" t="s">
        <v>61</v>
      </c>
      <c r="T204" s="2" t="s">
        <v>61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2" t="s">
        <v>52</v>
      </c>
      <c r="AS204" s="2" t="s">
        <v>52</v>
      </c>
      <c r="AT204" s="3"/>
      <c r="AU204" s="2" t="s">
        <v>416</v>
      </c>
      <c r="AV204" s="3">
        <v>151</v>
      </c>
    </row>
    <row r="205" spans="1:48" ht="30" customHeight="1" x14ac:dyDescent="0.3">
      <c r="A205" s="9" t="s">
        <v>417</v>
      </c>
      <c r="B205" s="9" t="s">
        <v>418</v>
      </c>
      <c r="C205" s="9" t="s">
        <v>410</v>
      </c>
      <c r="D205" s="10">
        <v>2</v>
      </c>
      <c r="E205" s="12">
        <f>TRUNC('일위대가목록(총체)'!E74,0)</f>
        <v>0</v>
      </c>
      <c r="F205" s="12">
        <f t="shared" si="27"/>
        <v>0</v>
      </c>
      <c r="G205" s="12">
        <f>TRUNC('일위대가목록(총체)'!F74,0)</f>
        <v>0</v>
      </c>
      <c r="H205" s="12">
        <f t="shared" si="28"/>
        <v>0</v>
      </c>
      <c r="I205" s="12">
        <f>TRUNC('일위대가목록(총체)'!G74,0)</f>
        <v>0</v>
      </c>
      <c r="J205" s="12">
        <f t="shared" si="29"/>
        <v>0</v>
      </c>
      <c r="K205" s="12">
        <f t="shared" si="30"/>
        <v>0</v>
      </c>
      <c r="L205" s="12">
        <f t="shared" si="31"/>
        <v>0</v>
      </c>
      <c r="M205" s="9" t="s">
        <v>52</v>
      </c>
      <c r="N205" s="2" t="s">
        <v>419</v>
      </c>
      <c r="O205" s="2" t="s">
        <v>52</v>
      </c>
      <c r="P205" s="2" t="s">
        <v>52</v>
      </c>
      <c r="Q205" s="2" t="s">
        <v>407</v>
      </c>
      <c r="R205" s="2" t="s">
        <v>60</v>
      </c>
      <c r="S205" s="2" t="s">
        <v>61</v>
      </c>
      <c r="T205" s="2" t="s">
        <v>61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2" t="s">
        <v>52</v>
      </c>
      <c r="AS205" s="2" t="s">
        <v>52</v>
      </c>
      <c r="AT205" s="3"/>
      <c r="AU205" s="2" t="s">
        <v>420</v>
      </c>
      <c r="AV205" s="3">
        <v>152</v>
      </c>
    </row>
    <row r="206" spans="1:48" ht="30" customHeight="1" x14ac:dyDescent="0.3">
      <c r="A206" s="9" t="s">
        <v>421</v>
      </c>
      <c r="B206" s="9" t="s">
        <v>422</v>
      </c>
      <c r="C206" s="9" t="s">
        <v>410</v>
      </c>
      <c r="D206" s="10">
        <v>2</v>
      </c>
      <c r="E206" s="12">
        <f>TRUNC('일위대가목록(총체)'!E75,0)</f>
        <v>0</v>
      </c>
      <c r="F206" s="12">
        <f t="shared" si="27"/>
        <v>0</v>
      </c>
      <c r="G206" s="12">
        <f>TRUNC('일위대가목록(총체)'!F75,0)</f>
        <v>0</v>
      </c>
      <c r="H206" s="12">
        <f t="shared" si="28"/>
        <v>0</v>
      </c>
      <c r="I206" s="12">
        <f>TRUNC('일위대가목록(총체)'!G75,0)</f>
        <v>0</v>
      </c>
      <c r="J206" s="12">
        <f t="shared" si="29"/>
        <v>0</v>
      </c>
      <c r="K206" s="12">
        <f t="shared" si="30"/>
        <v>0</v>
      </c>
      <c r="L206" s="12">
        <f t="shared" si="31"/>
        <v>0</v>
      </c>
      <c r="M206" s="9" t="s">
        <v>52</v>
      </c>
      <c r="N206" s="2" t="s">
        <v>423</v>
      </c>
      <c r="O206" s="2" t="s">
        <v>52</v>
      </c>
      <c r="P206" s="2" t="s">
        <v>52</v>
      </c>
      <c r="Q206" s="2" t="s">
        <v>407</v>
      </c>
      <c r="R206" s="2" t="s">
        <v>60</v>
      </c>
      <c r="S206" s="2" t="s">
        <v>61</v>
      </c>
      <c r="T206" s="2" t="s">
        <v>61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2" t="s">
        <v>52</v>
      </c>
      <c r="AS206" s="2" t="s">
        <v>52</v>
      </c>
      <c r="AT206" s="3"/>
      <c r="AU206" s="2" t="s">
        <v>424</v>
      </c>
      <c r="AV206" s="3">
        <v>153</v>
      </c>
    </row>
    <row r="207" spans="1:48" ht="30" customHeight="1" x14ac:dyDescent="0.3">
      <c r="A207" s="9" t="s">
        <v>425</v>
      </c>
      <c r="B207" s="9" t="s">
        <v>426</v>
      </c>
      <c r="C207" s="9" t="s">
        <v>427</v>
      </c>
      <c r="D207" s="10">
        <v>4</v>
      </c>
      <c r="E207" s="12">
        <f>TRUNC('일위대가목록(총체)'!E76,0)</f>
        <v>0</v>
      </c>
      <c r="F207" s="12">
        <f t="shared" si="27"/>
        <v>0</v>
      </c>
      <c r="G207" s="12">
        <f>TRUNC('일위대가목록(총체)'!F76,0)</f>
        <v>0</v>
      </c>
      <c r="H207" s="12">
        <f t="shared" si="28"/>
        <v>0</v>
      </c>
      <c r="I207" s="12">
        <f>TRUNC('일위대가목록(총체)'!G76,0)</f>
        <v>0</v>
      </c>
      <c r="J207" s="12">
        <f t="shared" si="29"/>
        <v>0</v>
      </c>
      <c r="K207" s="12">
        <f t="shared" si="30"/>
        <v>0</v>
      </c>
      <c r="L207" s="12">
        <f t="shared" si="31"/>
        <v>0</v>
      </c>
      <c r="M207" s="9" t="s">
        <v>52</v>
      </c>
      <c r="N207" s="2" t="s">
        <v>428</v>
      </c>
      <c r="O207" s="2" t="s">
        <v>52</v>
      </c>
      <c r="P207" s="2" t="s">
        <v>52</v>
      </c>
      <c r="Q207" s="2" t="s">
        <v>407</v>
      </c>
      <c r="R207" s="2" t="s">
        <v>60</v>
      </c>
      <c r="S207" s="2" t="s">
        <v>61</v>
      </c>
      <c r="T207" s="2" t="s">
        <v>61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2" t="s">
        <v>52</v>
      </c>
      <c r="AS207" s="2" t="s">
        <v>52</v>
      </c>
      <c r="AT207" s="3"/>
      <c r="AU207" s="2" t="s">
        <v>429</v>
      </c>
      <c r="AV207" s="3">
        <v>154</v>
      </c>
    </row>
    <row r="208" spans="1:48" ht="30" customHeight="1" x14ac:dyDescent="0.3">
      <c r="A208" s="9" t="s">
        <v>430</v>
      </c>
      <c r="B208" s="9" t="s">
        <v>431</v>
      </c>
      <c r="C208" s="9" t="s">
        <v>427</v>
      </c>
      <c r="D208" s="10">
        <v>5</v>
      </c>
      <c r="E208" s="12">
        <f>TRUNC('일위대가목록(총체)'!E77,0)</f>
        <v>0</v>
      </c>
      <c r="F208" s="12">
        <f t="shared" si="27"/>
        <v>0</v>
      </c>
      <c r="G208" s="12">
        <f>TRUNC('일위대가목록(총체)'!F77,0)</f>
        <v>0</v>
      </c>
      <c r="H208" s="12">
        <f t="shared" si="28"/>
        <v>0</v>
      </c>
      <c r="I208" s="12">
        <f>TRUNC('일위대가목록(총체)'!G77,0)</f>
        <v>0</v>
      </c>
      <c r="J208" s="12">
        <f t="shared" si="29"/>
        <v>0</v>
      </c>
      <c r="K208" s="12">
        <f t="shared" si="30"/>
        <v>0</v>
      </c>
      <c r="L208" s="12">
        <f t="shared" si="31"/>
        <v>0</v>
      </c>
      <c r="M208" s="9" t="s">
        <v>52</v>
      </c>
      <c r="N208" s="2" t="s">
        <v>432</v>
      </c>
      <c r="O208" s="2" t="s">
        <v>52</v>
      </c>
      <c r="P208" s="2" t="s">
        <v>52</v>
      </c>
      <c r="Q208" s="2" t="s">
        <v>407</v>
      </c>
      <c r="R208" s="2" t="s">
        <v>60</v>
      </c>
      <c r="S208" s="2" t="s">
        <v>61</v>
      </c>
      <c r="T208" s="2" t="s">
        <v>61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2" t="s">
        <v>52</v>
      </c>
      <c r="AS208" s="2" t="s">
        <v>52</v>
      </c>
      <c r="AT208" s="3"/>
      <c r="AU208" s="2" t="s">
        <v>433</v>
      </c>
      <c r="AV208" s="3">
        <v>155</v>
      </c>
    </row>
    <row r="209" spans="1:48" ht="30" customHeight="1" x14ac:dyDescent="0.3">
      <c r="A209" s="9" t="s">
        <v>434</v>
      </c>
      <c r="B209" s="9" t="s">
        <v>435</v>
      </c>
      <c r="C209" s="9" t="s">
        <v>427</v>
      </c>
      <c r="D209" s="10">
        <v>1</v>
      </c>
      <c r="E209" s="12">
        <f>TRUNC('일위대가목록(총체)'!E78,0)</f>
        <v>0</v>
      </c>
      <c r="F209" s="12">
        <f t="shared" si="27"/>
        <v>0</v>
      </c>
      <c r="G209" s="12">
        <f>TRUNC('일위대가목록(총체)'!F78,0)</f>
        <v>0</v>
      </c>
      <c r="H209" s="12">
        <f t="shared" si="28"/>
        <v>0</v>
      </c>
      <c r="I209" s="12">
        <f>TRUNC('일위대가목록(총체)'!G78,0)</f>
        <v>0</v>
      </c>
      <c r="J209" s="12">
        <f t="shared" si="29"/>
        <v>0</v>
      </c>
      <c r="K209" s="12">
        <f t="shared" si="30"/>
        <v>0</v>
      </c>
      <c r="L209" s="12">
        <f t="shared" si="31"/>
        <v>0</v>
      </c>
      <c r="M209" s="9" t="s">
        <v>52</v>
      </c>
      <c r="N209" s="2" t="s">
        <v>436</v>
      </c>
      <c r="O209" s="2" t="s">
        <v>52</v>
      </c>
      <c r="P209" s="2" t="s">
        <v>52</v>
      </c>
      <c r="Q209" s="2" t="s">
        <v>407</v>
      </c>
      <c r="R209" s="2" t="s">
        <v>60</v>
      </c>
      <c r="S209" s="2" t="s">
        <v>61</v>
      </c>
      <c r="T209" s="2" t="s">
        <v>61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2" t="s">
        <v>52</v>
      </c>
      <c r="AS209" s="2" t="s">
        <v>52</v>
      </c>
      <c r="AT209" s="3"/>
      <c r="AU209" s="2" t="s">
        <v>437</v>
      </c>
      <c r="AV209" s="3">
        <v>156</v>
      </c>
    </row>
    <row r="210" spans="1:48" ht="30" customHeight="1" x14ac:dyDescent="0.3">
      <c r="A210" s="9" t="s">
        <v>438</v>
      </c>
      <c r="B210" s="9" t="s">
        <v>439</v>
      </c>
      <c r="C210" s="9" t="s">
        <v>427</v>
      </c>
      <c r="D210" s="10">
        <v>4</v>
      </c>
      <c r="E210" s="12">
        <f>TRUNC('일위대가목록(총체)'!E79,0)</f>
        <v>0</v>
      </c>
      <c r="F210" s="12">
        <f t="shared" si="27"/>
        <v>0</v>
      </c>
      <c r="G210" s="12">
        <f>TRUNC('일위대가목록(총체)'!F79,0)</f>
        <v>0</v>
      </c>
      <c r="H210" s="12">
        <f t="shared" si="28"/>
        <v>0</v>
      </c>
      <c r="I210" s="12">
        <f>TRUNC('일위대가목록(총체)'!G79,0)</f>
        <v>0</v>
      </c>
      <c r="J210" s="12">
        <f t="shared" si="29"/>
        <v>0</v>
      </c>
      <c r="K210" s="12">
        <f t="shared" si="30"/>
        <v>0</v>
      </c>
      <c r="L210" s="12">
        <f t="shared" si="31"/>
        <v>0</v>
      </c>
      <c r="M210" s="9" t="s">
        <v>52</v>
      </c>
      <c r="N210" s="2" t="s">
        <v>440</v>
      </c>
      <c r="O210" s="2" t="s">
        <v>52</v>
      </c>
      <c r="P210" s="2" t="s">
        <v>52</v>
      </c>
      <c r="Q210" s="2" t="s">
        <v>407</v>
      </c>
      <c r="R210" s="2" t="s">
        <v>60</v>
      </c>
      <c r="S210" s="2" t="s">
        <v>61</v>
      </c>
      <c r="T210" s="2" t="s">
        <v>61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2" t="s">
        <v>52</v>
      </c>
      <c r="AS210" s="2" t="s">
        <v>52</v>
      </c>
      <c r="AT210" s="3"/>
      <c r="AU210" s="2" t="s">
        <v>441</v>
      </c>
      <c r="AV210" s="3">
        <v>157</v>
      </c>
    </row>
    <row r="211" spans="1:48" ht="30" customHeight="1" x14ac:dyDescent="0.3">
      <c r="A211" s="9" t="s">
        <v>442</v>
      </c>
      <c r="B211" s="9" t="s">
        <v>443</v>
      </c>
      <c r="C211" s="9" t="s">
        <v>427</v>
      </c>
      <c r="D211" s="10">
        <v>9</v>
      </c>
      <c r="E211" s="12">
        <f>TRUNC('일위대가목록(총체)'!E80,0)</f>
        <v>0</v>
      </c>
      <c r="F211" s="12">
        <f t="shared" si="27"/>
        <v>0</v>
      </c>
      <c r="G211" s="12">
        <f>TRUNC('일위대가목록(총체)'!F80,0)</f>
        <v>0</v>
      </c>
      <c r="H211" s="12">
        <f t="shared" si="28"/>
        <v>0</v>
      </c>
      <c r="I211" s="12">
        <f>TRUNC('일위대가목록(총체)'!G80,0)</f>
        <v>0</v>
      </c>
      <c r="J211" s="12">
        <f t="shared" si="29"/>
        <v>0</v>
      </c>
      <c r="K211" s="12">
        <f t="shared" si="30"/>
        <v>0</v>
      </c>
      <c r="L211" s="12">
        <f t="shared" si="31"/>
        <v>0</v>
      </c>
      <c r="M211" s="9" t="s">
        <v>52</v>
      </c>
      <c r="N211" s="2" t="s">
        <v>444</v>
      </c>
      <c r="O211" s="2" t="s">
        <v>52</v>
      </c>
      <c r="P211" s="2" t="s">
        <v>52</v>
      </c>
      <c r="Q211" s="2" t="s">
        <v>407</v>
      </c>
      <c r="R211" s="2" t="s">
        <v>60</v>
      </c>
      <c r="S211" s="2" t="s">
        <v>61</v>
      </c>
      <c r="T211" s="2" t="s">
        <v>61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2" t="s">
        <v>52</v>
      </c>
      <c r="AS211" s="2" t="s">
        <v>52</v>
      </c>
      <c r="AT211" s="3"/>
      <c r="AU211" s="2" t="s">
        <v>445</v>
      </c>
      <c r="AV211" s="3">
        <v>158</v>
      </c>
    </row>
    <row r="212" spans="1:48" ht="30" customHeight="1" x14ac:dyDescent="0.3">
      <c r="A212" s="9" t="s">
        <v>438</v>
      </c>
      <c r="B212" s="9" t="s">
        <v>446</v>
      </c>
      <c r="C212" s="9" t="s">
        <v>427</v>
      </c>
      <c r="D212" s="10">
        <v>4</v>
      </c>
      <c r="E212" s="12">
        <f>TRUNC('일위대가목록(총체)'!E81,0)</f>
        <v>0</v>
      </c>
      <c r="F212" s="12">
        <f t="shared" si="27"/>
        <v>0</v>
      </c>
      <c r="G212" s="12">
        <f>TRUNC('일위대가목록(총체)'!F81,0)</f>
        <v>0</v>
      </c>
      <c r="H212" s="12">
        <f t="shared" si="28"/>
        <v>0</v>
      </c>
      <c r="I212" s="12">
        <f>TRUNC('일위대가목록(총체)'!G81,0)</f>
        <v>0</v>
      </c>
      <c r="J212" s="12">
        <f t="shared" si="29"/>
        <v>0</v>
      </c>
      <c r="K212" s="12">
        <f t="shared" si="30"/>
        <v>0</v>
      </c>
      <c r="L212" s="12">
        <f t="shared" si="31"/>
        <v>0</v>
      </c>
      <c r="M212" s="9" t="s">
        <v>52</v>
      </c>
      <c r="N212" s="2" t="s">
        <v>447</v>
      </c>
      <c r="O212" s="2" t="s">
        <v>52</v>
      </c>
      <c r="P212" s="2" t="s">
        <v>52</v>
      </c>
      <c r="Q212" s="2" t="s">
        <v>407</v>
      </c>
      <c r="R212" s="2" t="s">
        <v>60</v>
      </c>
      <c r="S212" s="2" t="s">
        <v>61</v>
      </c>
      <c r="T212" s="2" t="s">
        <v>61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2" t="s">
        <v>52</v>
      </c>
      <c r="AS212" s="2" t="s">
        <v>52</v>
      </c>
      <c r="AT212" s="3"/>
      <c r="AU212" s="2" t="s">
        <v>448</v>
      </c>
      <c r="AV212" s="3">
        <v>159</v>
      </c>
    </row>
    <row r="213" spans="1:48" ht="30" customHeight="1" x14ac:dyDescent="0.3">
      <c r="A213" s="9" t="s">
        <v>449</v>
      </c>
      <c r="B213" s="9" t="s">
        <v>450</v>
      </c>
      <c r="C213" s="9" t="s">
        <v>427</v>
      </c>
      <c r="D213" s="10">
        <v>9</v>
      </c>
      <c r="E213" s="12">
        <f>TRUNC('일위대가목록(총체)'!E82,0)</f>
        <v>0</v>
      </c>
      <c r="F213" s="12">
        <f t="shared" si="27"/>
        <v>0</v>
      </c>
      <c r="G213" s="12">
        <f>TRUNC('일위대가목록(총체)'!F82,0)</f>
        <v>0</v>
      </c>
      <c r="H213" s="12">
        <f t="shared" si="28"/>
        <v>0</v>
      </c>
      <c r="I213" s="12">
        <f>TRUNC('일위대가목록(총체)'!G82,0)</f>
        <v>0</v>
      </c>
      <c r="J213" s="12">
        <f t="shared" si="29"/>
        <v>0</v>
      </c>
      <c r="K213" s="12">
        <f t="shared" si="30"/>
        <v>0</v>
      </c>
      <c r="L213" s="12">
        <f t="shared" si="31"/>
        <v>0</v>
      </c>
      <c r="M213" s="9" t="s">
        <v>52</v>
      </c>
      <c r="N213" s="2" t="s">
        <v>451</v>
      </c>
      <c r="O213" s="2" t="s">
        <v>52</v>
      </c>
      <c r="P213" s="2" t="s">
        <v>52</v>
      </c>
      <c r="Q213" s="2" t="s">
        <v>407</v>
      </c>
      <c r="R213" s="2" t="s">
        <v>60</v>
      </c>
      <c r="S213" s="2" t="s">
        <v>61</v>
      </c>
      <c r="T213" s="2" t="s">
        <v>61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2" t="s">
        <v>52</v>
      </c>
      <c r="AS213" s="2" t="s">
        <v>52</v>
      </c>
      <c r="AT213" s="3"/>
      <c r="AU213" s="2" t="s">
        <v>452</v>
      </c>
      <c r="AV213" s="3">
        <v>160</v>
      </c>
    </row>
    <row r="214" spans="1:48" ht="30" customHeight="1" x14ac:dyDescent="0.3">
      <c r="A214" s="9" t="s">
        <v>453</v>
      </c>
      <c r="B214" s="9" t="s">
        <v>454</v>
      </c>
      <c r="C214" s="9" t="s">
        <v>427</v>
      </c>
      <c r="D214" s="10">
        <v>6</v>
      </c>
      <c r="E214" s="12">
        <f>TRUNC('일위대가목록(총체)'!E83,0)</f>
        <v>0</v>
      </c>
      <c r="F214" s="12">
        <f t="shared" si="27"/>
        <v>0</v>
      </c>
      <c r="G214" s="12">
        <f>TRUNC('일위대가목록(총체)'!F83,0)</f>
        <v>0</v>
      </c>
      <c r="H214" s="12">
        <f t="shared" si="28"/>
        <v>0</v>
      </c>
      <c r="I214" s="12">
        <f>TRUNC('일위대가목록(총체)'!G83,0)</f>
        <v>0</v>
      </c>
      <c r="J214" s="12">
        <f t="shared" si="29"/>
        <v>0</v>
      </c>
      <c r="K214" s="12">
        <f t="shared" si="30"/>
        <v>0</v>
      </c>
      <c r="L214" s="12">
        <f t="shared" si="31"/>
        <v>0</v>
      </c>
      <c r="M214" s="9" t="s">
        <v>52</v>
      </c>
      <c r="N214" s="2" t="s">
        <v>455</v>
      </c>
      <c r="O214" s="2" t="s">
        <v>52</v>
      </c>
      <c r="P214" s="2" t="s">
        <v>52</v>
      </c>
      <c r="Q214" s="2" t="s">
        <v>407</v>
      </c>
      <c r="R214" s="2" t="s">
        <v>60</v>
      </c>
      <c r="S214" s="2" t="s">
        <v>61</v>
      </c>
      <c r="T214" s="2" t="s">
        <v>61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2" t="s">
        <v>52</v>
      </c>
      <c r="AS214" s="2" t="s">
        <v>52</v>
      </c>
      <c r="AT214" s="3"/>
      <c r="AU214" s="2" t="s">
        <v>456</v>
      </c>
      <c r="AV214" s="3">
        <v>161</v>
      </c>
    </row>
    <row r="215" spans="1:48" ht="30" customHeight="1" x14ac:dyDescent="0.3">
      <c r="A215" s="9" t="s">
        <v>457</v>
      </c>
      <c r="B215" s="9" t="s">
        <v>458</v>
      </c>
      <c r="C215" s="9" t="s">
        <v>427</v>
      </c>
      <c r="D215" s="10">
        <v>8</v>
      </c>
      <c r="E215" s="12">
        <f>TRUNC('일위대가목록(총체)'!E84,0)</f>
        <v>0</v>
      </c>
      <c r="F215" s="12">
        <f t="shared" si="27"/>
        <v>0</v>
      </c>
      <c r="G215" s="12">
        <f>TRUNC('일위대가목록(총체)'!F84,0)</f>
        <v>0</v>
      </c>
      <c r="H215" s="12">
        <f t="shared" si="28"/>
        <v>0</v>
      </c>
      <c r="I215" s="12">
        <f>TRUNC('일위대가목록(총체)'!G84,0)</f>
        <v>0</v>
      </c>
      <c r="J215" s="12">
        <f t="shared" si="29"/>
        <v>0</v>
      </c>
      <c r="K215" s="12">
        <f t="shared" si="30"/>
        <v>0</v>
      </c>
      <c r="L215" s="12">
        <f t="shared" si="31"/>
        <v>0</v>
      </c>
      <c r="M215" s="9" t="s">
        <v>52</v>
      </c>
      <c r="N215" s="2" t="s">
        <v>459</v>
      </c>
      <c r="O215" s="2" t="s">
        <v>52</v>
      </c>
      <c r="P215" s="2" t="s">
        <v>52</v>
      </c>
      <c r="Q215" s="2" t="s">
        <v>407</v>
      </c>
      <c r="R215" s="2" t="s">
        <v>60</v>
      </c>
      <c r="S215" s="2" t="s">
        <v>61</v>
      </c>
      <c r="T215" s="2" t="s">
        <v>61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2" t="s">
        <v>52</v>
      </c>
      <c r="AS215" s="2" t="s">
        <v>52</v>
      </c>
      <c r="AT215" s="3"/>
      <c r="AU215" s="2" t="s">
        <v>460</v>
      </c>
      <c r="AV215" s="3">
        <v>162</v>
      </c>
    </row>
    <row r="216" spans="1:48" ht="30" customHeight="1" x14ac:dyDescent="0.3">
      <c r="A216" s="9" t="s">
        <v>457</v>
      </c>
      <c r="B216" s="9" t="s">
        <v>461</v>
      </c>
      <c r="C216" s="9" t="s">
        <v>427</v>
      </c>
      <c r="D216" s="10">
        <v>1</v>
      </c>
      <c r="E216" s="12">
        <f>TRUNC('일위대가목록(총체)'!E85,0)</f>
        <v>0</v>
      </c>
      <c r="F216" s="12">
        <f t="shared" si="27"/>
        <v>0</v>
      </c>
      <c r="G216" s="12">
        <f>TRUNC('일위대가목록(총체)'!F85,0)</f>
        <v>0</v>
      </c>
      <c r="H216" s="12">
        <f t="shared" si="28"/>
        <v>0</v>
      </c>
      <c r="I216" s="12">
        <f>TRUNC('일위대가목록(총체)'!G85,0)</f>
        <v>0</v>
      </c>
      <c r="J216" s="12">
        <f t="shared" si="29"/>
        <v>0</v>
      </c>
      <c r="K216" s="12">
        <f t="shared" si="30"/>
        <v>0</v>
      </c>
      <c r="L216" s="12">
        <f t="shared" si="31"/>
        <v>0</v>
      </c>
      <c r="M216" s="9" t="s">
        <v>52</v>
      </c>
      <c r="N216" s="2" t="s">
        <v>462</v>
      </c>
      <c r="O216" s="2" t="s">
        <v>52</v>
      </c>
      <c r="P216" s="2" t="s">
        <v>52</v>
      </c>
      <c r="Q216" s="2" t="s">
        <v>407</v>
      </c>
      <c r="R216" s="2" t="s">
        <v>60</v>
      </c>
      <c r="S216" s="2" t="s">
        <v>61</v>
      </c>
      <c r="T216" s="2" t="s">
        <v>61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2" t="s">
        <v>52</v>
      </c>
      <c r="AS216" s="2" t="s">
        <v>52</v>
      </c>
      <c r="AT216" s="3"/>
      <c r="AU216" s="2" t="s">
        <v>463</v>
      </c>
      <c r="AV216" s="3">
        <v>163</v>
      </c>
    </row>
    <row r="217" spans="1:48" ht="30" customHeight="1" x14ac:dyDescent="0.3">
      <c r="A217" s="9" t="s">
        <v>464</v>
      </c>
      <c r="B217" s="9" t="s">
        <v>465</v>
      </c>
      <c r="C217" s="9" t="s">
        <v>73</v>
      </c>
      <c r="D217" s="10">
        <v>2</v>
      </c>
      <c r="E217" s="12">
        <f>TRUNC('일위대가목록(총체)'!E86,0)</f>
        <v>0</v>
      </c>
      <c r="F217" s="12">
        <f t="shared" si="27"/>
        <v>0</v>
      </c>
      <c r="G217" s="12">
        <f>TRUNC('일위대가목록(총체)'!F86,0)</f>
        <v>0</v>
      </c>
      <c r="H217" s="12">
        <f t="shared" si="28"/>
        <v>0</v>
      </c>
      <c r="I217" s="12">
        <f>TRUNC('일위대가목록(총체)'!G86,0)</f>
        <v>0</v>
      </c>
      <c r="J217" s="12">
        <f t="shared" si="29"/>
        <v>0</v>
      </c>
      <c r="K217" s="12">
        <f t="shared" si="30"/>
        <v>0</v>
      </c>
      <c r="L217" s="12">
        <f t="shared" si="31"/>
        <v>0</v>
      </c>
      <c r="M217" s="9" t="s">
        <v>52</v>
      </c>
      <c r="N217" s="2" t="s">
        <v>466</v>
      </c>
      <c r="O217" s="2" t="s">
        <v>52</v>
      </c>
      <c r="P217" s="2" t="s">
        <v>52</v>
      </c>
      <c r="Q217" s="2" t="s">
        <v>407</v>
      </c>
      <c r="R217" s="2" t="s">
        <v>60</v>
      </c>
      <c r="S217" s="2" t="s">
        <v>61</v>
      </c>
      <c r="T217" s="2" t="s">
        <v>61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2" t="s">
        <v>52</v>
      </c>
      <c r="AS217" s="2" t="s">
        <v>52</v>
      </c>
      <c r="AT217" s="3"/>
      <c r="AU217" s="2" t="s">
        <v>467</v>
      </c>
      <c r="AV217" s="3">
        <v>164</v>
      </c>
    </row>
    <row r="218" spans="1:48" ht="30" customHeight="1" x14ac:dyDescent="0.3">
      <c r="A218" s="9" t="s">
        <v>468</v>
      </c>
      <c r="B218" s="9" t="s">
        <v>469</v>
      </c>
      <c r="C218" s="9" t="s">
        <v>73</v>
      </c>
      <c r="D218" s="10">
        <v>2</v>
      </c>
      <c r="E218" s="12">
        <f>TRUNC('일위대가목록(총체)'!E87,0)</f>
        <v>0</v>
      </c>
      <c r="F218" s="12">
        <f t="shared" si="27"/>
        <v>0</v>
      </c>
      <c r="G218" s="12">
        <f>TRUNC('일위대가목록(총체)'!F87,0)</f>
        <v>0</v>
      </c>
      <c r="H218" s="12">
        <f t="shared" si="28"/>
        <v>0</v>
      </c>
      <c r="I218" s="12">
        <f>TRUNC('일위대가목록(총체)'!G87,0)</f>
        <v>0</v>
      </c>
      <c r="J218" s="12">
        <f t="shared" si="29"/>
        <v>0</v>
      </c>
      <c r="K218" s="12">
        <f t="shared" si="30"/>
        <v>0</v>
      </c>
      <c r="L218" s="12">
        <f t="shared" si="31"/>
        <v>0</v>
      </c>
      <c r="M218" s="9" t="s">
        <v>52</v>
      </c>
      <c r="N218" s="2" t="s">
        <v>470</v>
      </c>
      <c r="O218" s="2" t="s">
        <v>52</v>
      </c>
      <c r="P218" s="2" t="s">
        <v>52</v>
      </c>
      <c r="Q218" s="2" t="s">
        <v>407</v>
      </c>
      <c r="R218" s="2" t="s">
        <v>60</v>
      </c>
      <c r="S218" s="2" t="s">
        <v>61</v>
      </c>
      <c r="T218" s="2" t="s">
        <v>61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2" t="s">
        <v>52</v>
      </c>
      <c r="AS218" s="2" t="s">
        <v>52</v>
      </c>
      <c r="AT218" s="3"/>
      <c r="AU218" s="2" t="s">
        <v>471</v>
      </c>
      <c r="AV218" s="3">
        <v>165</v>
      </c>
    </row>
    <row r="219" spans="1:48" ht="30" customHeight="1" x14ac:dyDescent="0.3">
      <c r="A219" s="9" t="s">
        <v>472</v>
      </c>
      <c r="B219" s="9" t="s">
        <v>473</v>
      </c>
      <c r="C219" s="9" t="s">
        <v>427</v>
      </c>
      <c r="D219" s="10">
        <v>1</v>
      </c>
      <c r="E219" s="12">
        <f>TRUNC('일위대가목록(총체)'!E88,0)</f>
        <v>0</v>
      </c>
      <c r="F219" s="12">
        <f t="shared" si="27"/>
        <v>0</v>
      </c>
      <c r="G219" s="12">
        <f>TRUNC('일위대가목록(총체)'!F88,0)</f>
        <v>0</v>
      </c>
      <c r="H219" s="12">
        <f t="shared" si="28"/>
        <v>0</v>
      </c>
      <c r="I219" s="12">
        <f>TRUNC('일위대가목록(총체)'!G88,0)</f>
        <v>0</v>
      </c>
      <c r="J219" s="12">
        <f t="shared" si="29"/>
        <v>0</v>
      </c>
      <c r="K219" s="12">
        <f t="shared" si="30"/>
        <v>0</v>
      </c>
      <c r="L219" s="12">
        <f t="shared" si="31"/>
        <v>0</v>
      </c>
      <c r="M219" s="9" t="s">
        <v>52</v>
      </c>
      <c r="N219" s="2" t="s">
        <v>474</v>
      </c>
      <c r="O219" s="2" t="s">
        <v>52</v>
      </c>
      <c r="P219" s="2" t="s">
        <v>52</v>
      </c>
      <c r="Q219" s="2" t="s">
        <v>407</v>
      </c>
      <c r="R219" s="2" t="s">
        <v>60</v>
      </c>
      <c r="S219" s="2" t="s">
        <v>61</v>
      </c>
      <c r="T219" s="2" t="s">
        <v>61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2" t="s">
        <v>52</v>
      </c>
      <c r="AS219" s="2" t="s">
        <v>52</v>
      </c>
      <c r="AT219" s="3"/>
      <c r="AU219" s="2" t="s">
        <v>475</v>
      </c>
      <c r="AV219" s="3">
        <v>166</v>
      </c>
    </row>
    <row r="220" spans="1:48" ht="30" customHeight="1" x14ac:dyDescent="0.3">
      <c r="A220" s="9" t="s">
        <v>472</v>
      </c>
      <c r="B220" s="9" t="s">
        <v>476</v>
      </c>
      <c r="C220" s="9" t="s">
        <v>427</v>
      </c>
      <c r="D220" s="10">
        <v>1</v>
      </c>
      <c r="E220" s="12">
        <f>TRUNC('일위대가목록(총체)'!E89,0)</f>
        <v>0</v>
      </c>
      <c r="F220" s="12">
        <f t="shared" si="27"/>
        <v>0</v>
      </c>
      <c r="G220" s="12">
        <f>TRUNC('일위대가목록(총체)'!F89,0)</f>
        <v>0</v>
      </c>
      <c r="H220" s="12">
        <f t="shared" si="28"/>
        <v>0</v>
      </c>
      <c r="I220" s="12">
        <f>TRUNC('일위대가목록(총체)'!G89,0)</f>
        <v>0</v>
      </c>
      <c r="J220" s="12">
        <f t="shared" si="29"/>
        <v>0</v>
      </c>
      <c r="K220" s="12">
        <f t="shared" si="30"/>
        <v>0</v>
      </c>
      <c r="L220" s="12">
        <f t="shared" si="31"/>
        <v>0</v>
      </c>
      <c r="M220" s="9" t="s">
        <v>52</v>
      </c>
      <c r="N220" s="2" t="s">
        <v>477</v>
      </c>
      <c r="O220" s="2" t="s">
        <v>52</v>
      </c>
      <c r="P220" s="2" t="s">
        <v>52</v>
      </c>
      <c r="Q220" s="2" t="s">
        <v>407</v>
      </c>
      <c r="R220" s="2" t="s">
        <v>60</v>
      </c>
      <c r="S220" s="2" t="s">
        <v>61</v>
      </c>
      <c r="T220" s="2" t="s">
        <v>61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2" t="s">
        <v>52</v>
      </c>
      <c r="AS220" s="2" t="s">
        <v>52</v>
      </c>
      <c r="AT220" s="3"/>
      <c r="AU220" s="2" t="s">
        <v>478</v>
      </c>
      <c r="AV220" s="3">
        <v>167</v>
      </c>
    </row>
    <row r="221" spans="1:48" ht="30" customHeight="1" x14ac:dyDescent="0.3">
      <c r="A221" s="9" t="s">
        <v>479</v>
      </c>
      <c r="B221" s="9" t="s">
        <v>480</v>
      </c>
      <c r="C221" s="9" t="s">
        <v>82</v>
      </c>
      <c r="D221" s="10">
        <v>10</v>
      </c>
      <c r="E221" s="12">
        <f>TRUNC('일위대가목록(총체)'!E90,0)</f>
        <v>0</v>
      </c>
      <c r="F221" s="12">
        <f t="shared" si="27"/>
        <v>0</v>
      </c>
      <c r="G221" s="12">
        <f>TRUNC('일위대가목록(총체)'!F90,0)</f>
        <v>0</v>
      </c>
      <c r="H221" s="12">
        <f t="shared" si="28"/>
        <v>0</v>
      </c>
      <c r="I221" s="12">
        <f>TRUNC('일위대가목록(총체)'!G90,0)</f>
        <v>0</v>
      </c>
      <c r="J221" s="12">
        <f t="shared" si="29"/>
        <v>0</v>
      </c>
      <c r="K221" s="12">
        <f t="shared" si="30"/>
        <v>0</v>
      </c>
      <c r="L221" s="12">
        <f t="shared" si="31"/>
        <v>0</v>
      </c>
      <c r="M221" s="9" t="s">
        <v>52</v>
      </c>
      <c r="N221" s="2" t="s">
        <v>481</v>
      </c>
      <c r="O221" s="2" t="s">
        <v>52</v>
      </c>
      <c r="P221" s="2" t="s">
        <v>52</v>
      </c>
      <c r="Q221" s="2" t="s">
        <v>407</v>
      </c>
      <c r="R221" s="2" t="s">
        <v>60</v>
      </c>
      <c r="S221" s="2" t="s">
        <v>61</v>
      </c>
      <c r="T221" s="2" t="s">
        <v>61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2" t="s">
        <v>52</v>
      </c>
      <c r="AS221" s="2" t="s">
        <v>52</v>
      </c>
      <c r="AT221" s="3"/>
      <c r="AU221" s="2" t="s">
        <v>482</v>
      </c>
      <c r="AV221" s="3">
        <v>168</v>
      </c>
    </row>
    <row r="222" spans="1:48" ht="30" customHeight="1" x14ac:dyDescent="0.3">
      <c r="A222" s="9" t="s">
        <v>479</v>
      </c>
      <c r="B222" s="9" t="s">
        <v>483</v>
      </c>
      <c r="C222" s="9" t="s">
        <v>82</v>
      </c>
      <c r="D222" s="10">
        <v>18</v>
      </c>
      <c r="E222" s="12">
        <f>TRUNC('일위대가목록(총체)'!E91,0)</f>
        <v>0</v>
      </c>
      <c r="F222" s="12">
        <f t="shared" si="27"/>
        <v>0</v>
      </c>
      <c r="G222" s="12">
        <f>TRUNC('일위대가목록(총체)'!F91,0)</f>
        <v>0</v>
      </c>
      <c r="H222" s="12">
        <f t="shared" si="28"/>
        <v>0</v>
      </c>
      <c r="I222" s="12">
        <f>TRUNC('일위대가목록(총체)'!G91,0)</f>
        <v>0</v>
      </c>
      <c r="J222" s="12">
        <f t="shared" si="29"/>
        <v>0</v>
      </c>
      <c r="K222" s="12">
        <f t="shared" si="30"/>
        <v>0</v>
      </c>
      <c r="L222" s="12">
        <f t="shared" si="31"/>
        <v>0</v>
      </c>
      <c r="M222" s="9" t="s">
        <v>52</v>
      </c>
      <c r="N222" s="2" t="s">
        <v>484</v>
      </c>
      <c r="O222" s="2" t="s">
        <v>52</v>
      </c>
      <c r="P222" s="2" t="s">
        <v>52</v>
      </c>
      <c r="Q222" s="2" t="s">
        <v>407</v>
      </c>
      <c r="R222" s="2" t="s">
        <v>60</v>
      </c>
      <c r="S222" s="2" t="s">
        <v>61</v>
      </c>
      <c r="T222" s="2" t="s">
        <v>61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2" t="s">
        <v>52</v>
      </c>
      <c r="AS222" s="2" t="s">
        <v>52</v>
      </c>
      <c r="AT222" s="3"/>
      <c r="AU222" s="2" t="s">
        <v>485</v>
      </c>
      <c r="AV222" s="3">
        <v>169</v>
      </c>
    </row>
    <row r="223" spans="1:48" ht="30" customHeight="1" x14ac:dyDescent="0.3">
      <c r="A223" s="9" t="s">
        <v>479</v>
      </c>
      <c r="B223" s="9" t="s">
        <v>486</v>
      </c>
      <c r="C223" s="9" t="s">
        <v>82</v>
      </c>
      <c r="D223" s="10">
        <v>56</v>
      </c>
      <c r="E223" s="12">
        <f>TRUNC('일위대가목록(총체)'!E92,0)</f>
        <v>0</v>
      </c>
      <c r="F223" s="12">
        <f t="shared" si="27"/>
        <v>0</v>
      </c>
      <c r="G223" s="12">
        <f>TRUNC('일위대가목록(총체)'!F92,0)</f>
        <v>0</v>
      </c>
      <c r="H223" s="12">
        <f t="shared" si="28"/>
        <v>0</v>
      </c>
      <c r="I223" s="12">
        <f>TRUNC('일위대가목록(총체)'!G92,0)</f>
        <v>0</v>
      </c>
      <c r="J223" s="12">
        <f t="shared" si="29"/>
        <v>0</v>
      </c>
      <c r="K223" s="12">
        <f t="shared" si="30"/>
        <v>0</v>
      </c>
      <c r="L223" s="12">
        <f t="shared" si="31"/>
        <v>0</v>
      </c>
      <c r="M223" s="9" t="s">
        <v>52</v>
      </c>
      <c r="N223" s="2" t="s">
        <v>487</v>
      </c>
      <c r="O223" s="2" t="s">
        <v>52</v>
      </c>
      <c r="P223" s="2" t="s">
        <v>52</v>
      </c>
      <c r="Q223" s="2" t="s">
        <v>407</v>
      </c>
      <c r="R223" s="2" t="s">
        <v>60</v>
      </c>
      <c r="S223" s="2" t="s">
        <v>61</v>
      </c>
      <c r="T223" s="2" t="s">
        <v>61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2" t="s">
        <v>52</v>
      </c>
      <c r="AS223" s="2" t="s">
        <v>52</v>
      </c>
      <c r="AT223" s="3"/>
      <c r="AU223" s="2" t="s">
        <v>488</v>
      </c>
      <c r="AV223" s="3">
        <v>170</v>
      </c>
    </row>
    <row r="224" spans="1:48" ht="30" customHeight="1" x14ac:dyDescent="0.3">
      <c r="A224" s="9" t="s">
        <v>479</v>
      </c>
      <c r="B224" s="9" t="s">
        <v>489</v>
      </c>
      <c r="C224" s="9" t="s">
        <v>82</v>
      </c>
      <c r="D224" s="10">
        <v>105</v>
      </c>
      <c r="E224" s="12">
        <f>TRUNC('일위대가목록(총체)'!E93,0)</f>
        <v>0</v>
      </c>
      <c r="F224" s="12">
        <f t="shared" si="27"/>
        <v>0</v>
      </c>
      <c r="G224" s="12">
        <f>TRUNC('일위대가목록(총체)'!F93,0)</f>
        <v>0</v>
      </c>
      <c r="H224" s="12">
        <f t="shared" si="28"/>
        <v>0</v>
      </c>
      <c r="I224" s="12">
        <f>TRUNC('일위대가목록(총체)'!G93,0)</f>
        <v>0</v>
      </c>
      <c r="J224" s="12">
        <f t="shared" si="29"/>
        <v>0</v>
      </c>
      <c r="K224" s="12">
        <f t="shared" si="30"/>
        <v>0</v>
      </c>
      <c r="L224" s="12">
        <f t="shared" si="31"/>
        <v>0</v>
      </c>
      <c r="M224" s="9" t="s">
        <v>52</v>
      </c>
      <c r="N224" s="2" t="s">
        <v>490</v>
      </c>
      <c r="O224" s="2" t="s">
        <v>52</v>
      </c>
      <c r="P224" s="2" t="s">
        <v>52</v>
      </c>
      <c r="Q224" s="2" t="s">
        <v>407</v>
      </c>
      <c r="R224" s="2" t="s">
        <v>60</v>
      </c>
      <c r="S224" s="2" t="s">
        <v>61</v>
      </c>
      <c r="T224" s="2" t="s">
        <v>61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2" t="s">
        <v>52</v>
      </c>
      <c r="AS224" s="2" t="s">
        <v>52</v>
      </c>
      <c r="AT224" s="3"/>
      <c r="AU224" s="2" t="s">
        <v>491</v>
      </c>
      <c r="AV224" s="3">
        <v>171</v>
      </c>
    </row>
    <row r="225" spans="1:48" ht="30" customHeight="1" x14ac:dyDescent="0.3">
      <c r="A225" s="9" t="s">
        <v>492</v>
      </c>
      <c r="B225" s="9" t="s">
        <v>493</v>
      </c>
      <c r="C225" s="9" t="s">
        <v>82</v>
      </c>
      <c r="D225" s="10">
        <v>10</v>
      </c>
      <c r="E225" s="12">
        <f>TRUNC('일위대가목록(총체)'!E94,0)</f>
        <v>0</v>
      </c>
      <c r="F225" s="12">
        <f t="shared" si="27"/>
        <v>0</v>
      </c>
      <c r="G225" s="12">
        <f>TRUNC('일위대가목록(총체)'!F94,0)</f>
        <v>0</v>
      </c>
      <c r="H225" s="12">
        <f t="shared" si="28"/>
        <v>0</v>
      </c>
      <c r="I225" s="12">
        <f>TRUNC('일위대가목록(총체)'!G94,0)</f>
        <v>0</v>
      </c>
      <c r="J225" s="12">
        <f t="shared" si="29"/>
        <v>0</v>
      </c>
      <c r="K225" s="12">
        <f t="shared" si="30"/>
        <v>0</v>
      </c>
      <c r="L225" s="12">
        <f t="shared" si="31"/>
        <v>0</v>
      </c>
      <c r="M225" s="9" t="s">
        <v>52</v>
      </c>
      <c r="N225" s="2" t="s">
        <v>494</v>
      </c>
      <c r="O225" s="2" t="s">
        <v>52</v>
      </c>
      <c r="P225" s="2" t="s">
        <v>52</v>
      </c>
      <c r="Q225" s="2" t="s">
        <v>407</v>
      </c>
      <c r="R225" s="2" t="s">
        <v>60</v>
      </c>
      <c r="S225" s="2" t="s">
        <v>61</v>
      </c>
      <c r="T225" s="2" t="s">
        <v>61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2" t="s">
        <v>52</v>
      </c>
      <c r="AS225" s="2" t="s">
        <v>52</v>
      </c>
      <c r="AT225" s="3"/>
      <c r="AU225" s="2" t="s">
        <v>495</v>
      </c>
      <c r="AV225" s="3">
        <v>172</v>
      </c>
    </row>
    <row r="226" spans="1:48" ht="30" customHeight="1" x14ac:dyDescent="0.3">
      <c r="A226" s="9" t="s">
        <v>492</v>
      </c>
      <c r="B226" s="9" t="s">
        <v>496</v>
      </c>
      <c r="C226" s="9" t="s">
        <v>82</v>
      </c>
      <c r="D226" s="10">
        <v>18</v>
      </c>
      <c r="E226" s="12">
        <f>TRUNC('일위대가목록(총체)'!E95,0)</f>
        <v>0</v>
      </c>
      <c r="F226" s="12">
        <f t="shared" si="27"/>
        <v>0</v>
      </c>
      <c r="G226" s="12">
        <f>TRUNC('일위대가목록(총체)'!F95,0)</f>
        <v>0</v>
      </c>
      <c r="H226" s="12">
        <f t="shared" si="28"/>
        <v>0</v>
      </c>
      <c r="I226" s="12">
        <f>TRUNC('일위대가목록(총체)'!G95,0)</f>
        <v>0</v>
      </c>
      <c r="J226" s="12">
        <f t="shared" si="29"/>
        <v>0</v>
      </c>
      <c r="K226" s="12">
        <f t="shared" si="30"/>
        <v>0</v>
      </c>
      <c r="L226" s="12">
        <f t="shared" si="31"/>
        <v>0</v>
      </c>
      <c r="M226" s="9" t="s">
        <v>52</v>
      </c>
      <c r="N226" s="2" t="s">
        <v>497</v>
      </c>
      <c r="O226" s="2" t="s">
        <v>52</v>
      </c>
      <c r="P226" s="2" t="s">
        <v>52</v>
      </c>
      <c r="Q226" s="2" t="s">
        <v>407</v>
      </c>
      <c r="R226" s="2" t="s">
        <v>60</v>
      </c>
      <c r="S226" s="2" t="s">
        <v>61</v>
      </c>
      <c r="T226" s="2" t="s">
        <v>61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2" t="s">
        <v>52</v>
      </c>
      <c r="AS226" s="2" t="s">
        <v>52</v>
      </c>
      <c r="AT226" s="3"/>
      <c r="AU226" s="2" t="s">
        <v>498</v>
      </c>
      <c r="AV226" s="3">
        <v>173</v>
      </c>
    </row>
    <row r="227" spans="1:48" ht="30" customHeight="1" x14ac:dyDescent="0.3">
      <c r="A227" s="9" t="s">
        <v>492</v>
      </c>
      <c r="B227" s="9" t="s">
        <v>499</v>
      </c>
      <c r="C227" s="9" t="s">
        <v>82</v>
      </c>
      <c r="D227" s="10">
        <v>56</v>
      </c>
      <c r="E227" s="12">
        <f>TRUNC('일위대가목록(총체)'!E96,0)</f>
        <v>0</v>
      </c>
      <c r="F227" s="12">
        <f t="shared" si="27"/>
        <v>0</v>
      </c>
      <c r="G227" s="12">
        <f>TRUNC('일위대가목록(총체)'!F96,0)</f>
        <v>0</v>
      </c>
      <c r="H227" s="12">
        <f t="shared" si="28"/>
        <v>0</v>
      </c>
      <c r="I227" s="12">
        <f>TRUNC('일위대가목록(총체)'!G96,0)</f>
        <v>0</v>
      </c>
      <c r="J227" s="12">
        <f t="shared" si="29"/>
        <v>0</v>
      </c>
      <c r="K227" s="12">
        <f t="shared" si="30"/>
        <v>0</v>
      </c>
      <c r="L227" s="12">
        <f t="shared" si="31"/>
        <v>0</v>
      </c>
      <c r="M227" s="9" t="s">
        <v>52</v>
      </c>
      <c r="N227" s="2" t="s">
        <v>500</v>
      </c>
      <c r="O227" s="2" t="s">
        <v>52</v>
      </c>
      <c r="P227" s="2" t="s">
        <v>52</v>
      </c>
      <c r="Q227" s="2" t="s">
        <v>407</v>
      </c>
      <c r="R227" s="2" t="s">
        <v>60</v>
      </c>
      <c r="S227" s="2" t="s">
        <v>61</v>
      </c>
      <c r="T227" s="2" t="s">
        <v>61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2" t="s">
        <v>52</v>
      </c>
      <c r="AS227" s="2" t="s">
        <v>52</v>
      </c>
      <c r="AT227" s="3"/>
      <c r="AU227" s="2" t="s">
        <v>501</v>
      </c>
      <c r="AV227" s="3">
        <v>174</v>
      </c>
    </row>
    <row r="228" spans="1:48" ht="30" customHeight="1" x14ac:dyDescent="0.3">
      <c r="A228" s="9" t="s">
        <v>492</v>
      </c>
      <c r="B228" s="9" t="s">
        <v>502</v>
      </c>
      <c r="C228" s="9" t="s">
        <v>82</v>
      </c>
      <c r="D228" s="10">
        <v>105</v>
      </c>
      <c r="E228" s="12">
        <f>TRUNC('일위대가목록(총체)'!E97,0)</f>
        <v>0</v>
      </c>
      <c r="F228" s="12">
        <f t="shared" si="27"/>
        <v>0</v>
      </c>
      <c r="G228" s="12">
        <f>TRUNC('일위대가목록(총체)'!F97,0)</f>
        <v>0</v>
      </c>
      <c r="H228" s="12">
        <f t="shared" si="28"/>
        <v>0</v>
      </c>
      <c r="I228" s="12">
        <f>TRUNC('일위대가목록(총체)'!G97,0)</f>
        <v>0</v>
      </c>
      <c r="J228" s="12">
        <f t="shared" si="29"/>
        <v>0</v>
      </c>
      <c r="K228" s="12">
        <f t="shared" si="30"/>
        <v>0</v>
      </c>
      <c r="L228" s="12">
        <f t="shared" si="31"/>
        <v>0</v>
      </c>
      <c r="M228" s="9" t="s">
        <v>52</v>
      </c>
      <c r="N228" s="2" t="s">
        <v>503</v>
      </c>
      <c r="O228" s="2" t="s">
        <v>52</v>
      </c>
      <c r="P228" s="2" t="s">
        <v>52</v>
      </c>
      <c r="Q228" s="2" t="s">
        <v>407</v>
      </c>
      <c r="R228" s="2" t="s">
        <v>60</v>
      </c>
      <c r="S228" s="2" t="s">
        <v>61</v>
      </c>
      <c r="T228" s="2" t="s">
        <v>61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2" t="s">
        <v>52</v>
      </c>
      <c r="AS228" s="2" t="s">
        <v>52</v>
      </c>
      <c r="AT228" s="3"/>
      <c r="AU228" s="2" t="s">
        <v>504</v>
      </c>
      <c r="AV228" s="3">
        <v>175</v>
      </c>
    </row>
    <row r="229" spans="1:48" ht="30" customHeight="1" x14ac:dyDescent="0.3">
      <c r="A229" s="9" t="s">
        <v>505</v>
      </c>
      <c r="B229" s="9" t="s">
        <v>506</v>
      </c>
      <c r="C229" s="9" t="s">
        <v>427</v>
      </c>
      <c r="D229" s="10">
        <v>2</v>
      </c>
      <c r="E229" s="12">
        <f>TRUNC('단가대비표(총체)'!O153,0)</f>
        <v>0</v>
      </c>
      <c r="F229" s="12">
        <f t="shared" si="27"/>
        <v>0</v>
      </c>
      <c r="G229" s="12">
        <f>TRUNC('단가대비표(총체)'!P153,0)</f>
        <v>0</v>
      </c>
      <c r="H229" s="12">
        <f t="shared" si="28"/>
        <v>0</v>
      </c>
      <c r="I229" s="12">
        <f>TRUNC('단가대비표(총체)'!V153,0)</f>
        <v>0</v>
      </c>
      <c r="J229" s="12">
        <f t="shared" si="29"/>
        <v>0</v>
      </c>
      <c r="K229" s="12">
        <f t="shared" si="30"/>
        <v>0</v>
      </c>
      <c r="L229" s="12">
        <f t="shared" si="31"/>
        <v>0</v>
      </c>
      <c r="M229" s="9" t="s">
        <v>52</v>
      </c>
      <c r="N229" s="2" t="s">
        <v>507</v>
      </c>
      <c r="O229" s="2" t="s">
        <v>52</v>
      </c>
      <c r="P229" s="2" t="s">
        <v>52</v>
      </c>
      <c r="Q229" s="2" t="s">
        <v>407</v>
      </c>
      <c r="R229" s="2" t="s">
        <v>61</v>
      </c>
      <c r="S229" s="2" t="s">
        <v>61</v>
      </c>
      <c r="T229" s="2" t="s">
        <v>60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2" t="s">
        <v>52</v>
      </c>
      <c r="AS229" s="2" t="s">
        <v>52</v>
      </c>
      <c r="AT229" s="3"/>
      <c r="AU229" s="2" t="s">
        <v>508</v>
      </c>
      <c r="AV229" s="3">
        <v>176</v>
      </c>
    </row>
    <row r="230" spans="1:48" ht="30" customHeight="1" x14ac:dyDescent="0.3">
      <c r="A230" s="9" t="s">
        <v>505</v>
      </c>
      <c r="B230" s="9" t="s">
        <v>509</v>
      </c>
      <c r="C230" s="9" t="s">
        <v>427</v>
      </c>
      <c r="D230" s="10">
        <v>12</v>
      </c>
      <c r="E230" s="12">
        <f>TRUNC('단가대비표(총체)'!O152,0)</f>
        <v>0</v>
      </c>
      <c r="F230" s="12">
        <f t="shared" si="27"/>
        <v>0</v>
      </c>
      <c r="G230" s="12">
        <f>TRUNC('단가대비표(총체)'!P152,0)</f>
        <v>0</v>
      </c>
      <c r="H230" s="12">
        <f t="shared" si="28"/>
        <v>0</v>
      </c>
      <c r="I230" s="12">
        <f>TRUNC('단가대비표(총체)'!V152,0)</f>
        <v>0</v>
      </c>
      <c r="J230" s="12">
        <f t="shared" si="29"/>
        <v>0</v>
      </c>
      <c r="K230" s="12">
        <f t="shared" si="30"/>
        <v>0</v>
      </c>
      <c r="L230" s="12">
        <f t="shared" si="31"/>
        <v>0</v>
      </c>
      <c r="M230" s="9" t="s">
        <v>52</v>
      </c>
      <c r="N230" s="2" t="s">
        <v>510</v>
      </c>
      <c r="O230" s="2" t="s">
        <v>52</v>
      </c>
      <c r="P230" s="2" t="s">
        <v>52</v>
      </c>
      <c r="Q230" s="2" t="s">
        <v>407</v>
      </c>
      <c r="R230" s="2" t="s">
        <v>61</v>
      </c>
      <c r="S230" s="2" t="s">
        <v>61</v>
      </c>
      <c r="T230" s="2" t="s">
        <v>60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2" t="s">
        <v>52</v>
      </c>
      <c r="AS230" s="2" t="s">
        <v>52</v>
      </c>
      <c r="AT230" s="3"/>
      <c r="AU230" s="2" t="s">
        <v>511</v>
      </c>
      <c r="AV230" s="3">
        <v>177</v>
      </c>
    </row>
    <row r="231" spans="1:48" ht="30" customHeight="1" x14ac:dyDescent="0.3">
      <c r="A231" s="9" t="s">
        <v>505</v>
      </c>
      <c r="B231" s="9" t="s">
        <v>512</v>
      </c>
      <c r="C231" s="9" t="s">
        <v>427</v>
      </c>
      <c r="D231" s="10">
        <v>18</v>
      </c>
      <c r="E231" s="12">
        <f>TRUNC('단가대비표(총체)'!O151,0)</f>
        <v>0</v>
      </c>
      <c r="F231" s="12">
        <f t="shared" si="27"/>
        <v>0</v>
      </c>
      <c r="G231" s="12">
        <f>TRUNC('단가대비표(총체)'!P151,0)</f>
        <v>0</v>
      </c>
      <c r="H231" s="12">
        <f t="shared" si="28"/>
        <v>0</v>
      </c>
      <c r="I231" s="12">
        <f>TRUNC('단가대비표(총체)'!V151,0)</f>
        <v>0</v>
      </c>
      <c r="J231" s="12">
        <f t="shared" si="29"/>
        <v>0</v>
      </c>
      <c r="K231" s="12">
        <f t="shared" si="30"/>
        <v>0</v>
      </c>
      <c r="L231" s="12">
        <f t="shared" si="31"/>
        <v>0</v>
      </c>
      <c r="M231" s="9" t="s">
        <v>52</v>
      </c>
      <c r="N231" s="2" t="s">
        <v>513</v>
      </c>
      <c r="O231" s="2" t="s">
        <v>52</v>
      </c>
      <c r="P231" s="2" t="s">
        <v>52</v>
      </c>
      <c r="Q231" s="2" t="s">
        <v>407</v>
      </c>
      <c r="R231" s="2" t="s">
        <v>61</v>
      </c>
      <c r="S231" s="2" t="s">
        <v>61</v>
      </c>
      <c r="T231" s="2" t="s">
        <v>60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2" t="s">
        <v>52</v>
      </c>
      <c r="AS231" s="2" t="s">
        <v>52</v>
      </c>
      <c r="AT231" s="3"/>
      <c r="AU231" s="2" t="s">
        <v>514</v>
      </c>
      <c r="AV231" s="3">
        <v>178</v>
      </c>
    </row>
    <row r="232" spans="1:48" ht="30" customHeight="1" x14ac:dyDescent="0.3">
      <c r="A232" s="9" t="s">
        <v>505</v>
      </c>
      <c r="B232" s="9" t="s">
        <v>515</v>
      </c>
      <c r="C232" s="9" t="s">
        <v>427</v>
      </c>
      <c r="D232" s="10">
        <v>20</v>
      </c>
      <c r="E232" s="12">
        <f>TRUNC('단가대비표(총체)'!O150,0)</f>
        <v>0</v>
      </c>
      <c r="F232" s="12">
        <f t="shared" si="27"/>
        <v>0</v>
      </c>
      <c r="G232" s="12">
        <f>TRUNC('단가대비표(총체)'!P150,0)</f>
        <v>0</v>
      </c>
      <c r="H232" s="12">
        <f t="shared" si="28"/>
        <v>0</v>
      </c>
      <c r="I232" s="12">
        <f>TRUNC('단가대비표(총체)'!V150,0)</f>
        <v>0</v>
      </c>
      <c r="J232" s="12">
        <f t="shared" si="29"/>
        <v>0</v>
      </c>
      <c r="K232" s="12">
        <f t="shared" si="30"/>
        <v>0</v>
      </c>
      <c r="L232" s="12">
        <f t="shared" si="31"/>
        <v>0</v>
      </c>
      <c r="M232" s="9" t="s">
        <v>52</v>
      </c>
      <c r="N232" s="2" t="s">
        <v>516</v>
      </c>
      <c r="O232" s="2" t="s">
        <v>52</v>
      </c>
      <c r="P232" s="2" t="s">
        <v>52</v>
      </c>
      <c r="Q232" s="2" t="s">
        <v>407</v>
      </c>
      <c r="R232" s="2" t="s">
        <v>61</v>
      </c>
      <c r="S232" s="2" t="s">
        <v>61</v>
      </c>
      <c r="T232" s="2" t="s">
        <v>60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2" t="s">
        <v>52</v>
      </c>
      <c r="AS232" s="2" t="s">
        <v>52</v>
      </c>
      <c r="AT232" s="3"/>
      <c r="AU232" s="2" t="s">
        <v>517</v>
      </c>
      <c r="AV232" s="3">
        <v>179</v>
      </c>
    </row>
    <row r="233" spans="1:48" ht="30" customHeight="1" x14ac:dyDescent="0.3">
      <c r="A233" s="9" t="s">
        <v>505</v>
      </c>
      <c r="B233" s="9" t="s">
        <v>518</v>
      </c>
      <c r="C233" s="9" t="s">
        <v>427</v>
      </c>
      <c r="D233" s="10">
        <v>2</v>
      </c>
      <c r="E233" s="12">
        <f>TRUNC('단가대비표(총체)'!O157,0)</f>
        <v>0</v>
      </c>
      <c r="F233" s="12">
        <f t="shared" si="27"/>
        <v>0</v>
      </c>
      <c r="G233" s="12">
        <f>TRUNC('단가대비표(총체)'!P157,0)</f>
        <v>0</v>
      </c>
      <c r="H233" s="12">
        <f t="shared" si="28"/>
        <v>0</v>
      </c>
      <c r="I233" s="12">
        <f>TRUNC('단가대비표(총체)'!V157,0)</f>
        <v>0</v>
      </c>
      <c r="J233" s="12">
        <f t="shared" si="29"/>
        <v>0</v>
      </c>
      <c r="K233" s="12">
        <f t="shared" si="30"/>
        <v>0</v>
      </c>
      <c r="L233" s="12">
        <f t="shared" si="31"/>
        <v>0</v>
      </c>
      <c r="M233" s="9" t="s">
        <v>52</v>
      </c>
      <c r="N233" s="2" t="s">
        <v>519</v>
      </c>
      <c r="O233" s="2" t="s">
        <v>52</v>
      </c>
      <c r="P233" s="2" t="s">
        <v>52</v>
      </c>
      <c r="Q233" s="2" t="s">
        <v>407</v>
      </c>
      <c r="R233" s="2" t="s">
        <v>61</v>
      </c>
      <c r="S233" s="2" t="s">
        <v>61</v>
      </c>
      <c r="T233" s="2" t="s">
        <v>60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2" t="s">
        <v>52</v>
      </c>
      <c r="AS233" s="2" t="s">
        <v>52</v>
      </c>
      <c r="AT233" s="3"/>
      <c r="AU233" s="2" t="s">
        <v>520</v>
      </c>
      <c r="AV233" s="3">
        <v>180</v>
      </c>
    </row>
    <row r="234" spans="1:48" ht="30" customHeight="1" x14ac:dyDescent="0.3">
      <c r="A234" s="9" t="s">
        <v>505</v>
      </c>
      <c r="B234" s="9" t="s">
        <v>521</v>
      </c>
      <c r="C234" s="9" t="s">
        <v>427</v>
      </c>
      <c r="D234" s="10">
        <v>8</v>
      </c>
      <c r="E234" s="12">
        <f>TRUNC('단가대비표(총체)'!O156,0)</f>
        <v>0</v>
      </c>
      <c r="F234" s="12">
        <f t="shared" si="27"/>
        <v>0</v>
      </c>
      <c r="G234" s="12">
        <f>TRUNC('단가대비표(총체)'!P156,0)</f>
        <v>0</v>
      </c>
      <c r="H234" s="12">
        <f t="shared" si="28"/>
        <v>0</v>
      </c>
      <c r="I234" s="12">
        <f>TRUNC('단가대비표(총체)'!V156,0)</f>
        <v>0</v>
      </c>
      <c r="J234" s="12">
        <f t="shared" si="29"/>
        <v>0</v>
      </c>
      <c r="K234" s="12">
        <f t="shared" si="30"/>
        <v>0</v>
      </c>
      <c r="L234" s="12">
        <f t="shared" si="31"/>
        <v>0</v>
      </c>
      <c r="M234" s="9" t="s">
        <v>52</v>
      </c>
      <c r="N234" s="2" t="s">
        <v>522</v>
      </c>
      <c r="O234" s="2" t="s">
        <v>52</v>
      </c>
      <c r="P234" s="2" t="s">
        <v>52</v>
      </c>
      <c r="Q234" s="2" t="s">
        <v>407</v>
      </c>
      <c r="R234" s="2" t="s">
        <v>61</v>
      </c>
      <c r="S234" s="2" t="s">
        <v>61</v>
      </c>
      <c r="T234" s="2" t="s">
        <v>60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2" t="s">
        <v>52</v>
      </c>
      <c r="AS234" s="2" t="s">
        <v>52</v>
      </c>
      <c r="AT234" s="3"/>
      <c r="AU234" s="2" t="s">
        <v>523</v>
      </c>
      <c r="AV234" s="3">
        <v>181</v>
      </c>
    </row>
    <row r="235" spans="1:48" ht="30" customHeight="1" x14ac:dyDescent="0.3">
      <c r="A235" s="9" t="s">
        <v>505</v>
      </c>
      <c r="B235" s="9" t="s">
        <v>524</v>
      </c>
      <c r="C235" s="9" t="s">
        <v>427</v>
      </c>
      <c r="D235" s="10">
        <v>18</v>
      </c>
      <c r="E235" s="12">
        <f>TRUNC('단가대비표(총체)'!O155,0)</f>
        <v>0</v>
      </c>
      <c r="F235" s="12">
        <f t="shared" ref="F235:F264" si="32">TRUNC(E235*D235, 0)</f>
        <v>0</v>
      </c>
      <c r="G235" s="12">
        <f>TRUNC('단가대비표(총체)'!P155,0)</f>
        <v>0</v>
      </c>
      <c r="H235" s="12">
        <f t="shared" ref="H235:H264" si="33">TRUNC(G235*D235, 0)</f>
        <v>0</v>
      </c>
      <c r="I235" s="12">
        <f>TRUNC('단가대비표(총체)'!V155,0)</f>
        <v>0</v>
      </c>
      <c r="J235" s="12">
        <f t="shared" ref="J235:J264" si="34">TRUNC(I235*D235, 0)</f>
        <v>0</v>
      </c>
      <c r="K235" s="12">
        <f t="shared" ref="K235:K264" si="35">TRUNC(E235+G235+I235, 0)</f>
        <v>0</v>
      </c>
      <c r="L235" s="12">
        <f t="shared" ref="L235:L264" si="36">TRUNC(F235+H235+J235, 0)</f>
        <v>0</v>
      </c>
      <c r="M235" s="9" t="s">
        <v>52</v>
      </c>
      <c r="N235" s="2" t="s">
        <v>525</v>
      </c>
      <c r="O235" s="2" t="s">
        <v>52</v>
      </c>
      <c r="P235" s="2" t="s">
        <v>52</v>
      </c>
      <c r="Q235" s="2" t="s">
        <v>407</v>
      </c>
      <c r="R235" s="2" t="s">
        <v>61</v>
      </c>
      <c r="S235" s="2" t="s">
        <v>61</v>
      </c>
      <c r="T235" s="2" t="s">
        <v>60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2" t="s">
        <v>52</v>
      </c>
      <c r="AS235" s="2" t="s">
        <v>52</v>
      </c>
      <c r="AT235" s="3"/>
      <c r="AU235" s="2" t="s">
        <v>526</v>
      </c>
      <c r="AV235" s="3">
        <v>182</v>
      </c>
    </row>
    <row r="236" spans="1:48" ht="30" customHeight="1" x14ac:dyDescent="0.3">
      <c r="A236" s="9" t="s">
        <v>505</v>
      </c>
      <c r="B236" s="9" t="s">
        <v>527</v>
      </c>
      <c r="C236" s="9" t="s">
        <v>427</v>
      </c>
      <c r="D236" s="10">
        <v>20</v>
      </c>
      <c r="E236" s="12">
        <f>TRUNC('단가대비표(총체)'!O154,0)</f>
        <v>0</v>
      </c>
      <c r="F236" s="12">
        <f t="shared" si="32"/>
        <v>0</v>
      </c>
      <c r="G236" s="12">
        <f>TRUNC('단가대비표(총체)'!P154,0)</f>
        <v>0</v>
      </c>
      <c r="H236" s="12">
        <f t="shared" si="33"/>
        <v>0</v>
      </c>
      <c r="I236" s="12">
        <f>TRUNC('단가대비표(총체)'!V154,0)</f>
        <v>0</v>
      </c>
      <c r="J236" s="12">
        <f t="shared" si="34"/>
        <v>0</v>
      </c>
      <c r="K236" s="12">
        <f t="shared" si="35"/>
        <v>0</v>
      </c>
      <c r="L236" s="12">
        <f t="shared" si="36"/>
        <v>0</v>
      </c>
      <c r="M236" s="9" t="s">
        <v>52</v>
      </c>
      <c r="N236" s="2" t="s">
        <v>528</v>
      </c>
      <c r="O236" s="2" t="s">
        <v>52</v>
      </c>
      <c r="P236" s="2" t="s">
        <v>52</v>
      </c>
      <c r="Q236" s="2" t="s">
        <v>407</v>
      </c>
      <c r="R236" s="2" t="s">
        <v>61</v>
      </c>
      <c r="S236" s="2" t="s">
        <v>61</v>
      </c>
      <c r="T236" s="2" t="s">
        <v>60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2" t="s">
        <v>52</v>
      </c>
      <c r="AS236" s="2" t="s">
        <v>52</v>
      </c>
      <c r="AT236" s="3"/>
      <c r="AU236" s="2" t="s">
        <v>529</v>
      </c>
      <c r="AV236" s="3">
        <v>183</v>
      </c>
    </row>
    <row r="237" spans="1:48" ht="30" customHeight="1" x14ac:dyDescent="0.3">
      <c r="A237" s="9" t="s">
        <v>505</v>
      </c>
      <c r="B237" s="9" t="s">
        <v>530</v>
      </c>
      <c r="C237" s="9" t="s">
        <v>427</v>
      </c>
      <c r="D237" s="10">
        <v>2</v>
      </c>
      <c r="E237" s="12">
        <f>TRUNC('단가대비표(총체)'!O161,0)</f>
        <v>0</v>
      </c>
      <c r="F237" s="12">
        <f t="shared" si="32"/>
        <v>0</v>
      </c>
      <c r="G237" s="12">
        <f>TRUNC('단가대비표(총체)'!P161,0)</f>
        <v>0</v>
      </c>
      <c r="H237" s="12">
        <f t="shared" si="33"/>
        <v>0</v>
      </c>
      <c r="I237" s="12">
        <f>TRUNC('단가대비표(총체)'!V161,0)</f>
        <v>0</v>
      </c>
      <c r="J237" s="12">
        <f t="shared" si="34"/>
        <v>0</v>
      </c>
      <c r="K237" s="12">
        <f t="shared" si="35"/>
        <v>0</v>
      </c>
      <c r="L237" s="12">
        <f t="shared" si="36"/>
        <v>0</v>
      </c>
      <c r="M237" s="9" t="s">
        <v>52</v>
      </c>
      <c r="N237" s="2" t="s">
        <v>531</v>
      </c>
      <c r="O237" s="2" t="s">
        <v>52</v>
      </c>
      <c r="P237" s="2" t="s">
        <v>52</v>
      </c>
      <c r="Q237" s="2" t="s">
        <v>407</v>
      </c>
      <c r="R237" s="2" t="s">
        <v>61</v>
      </c>
      <c r="S237" s="2" t="s">
        <v>61</v>
      </c>
      <c r="T237" s="2" t="s">
        <v>60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2" t="s">
        <v>52</v>
      </c>
      <c r="AS237" s="2" t="s">
        <v>52</v>
      </c>
      <c r="AT237" s="3"/>
      <c r="AU237" s="2" t="s">
        <v>532</v>
      </c>
      <c r="AV237" s="3">
        <v>184</v>
      </c>
    </row>
    <row r="238" spans="1:48" ht="30" customHeight="1" x14ac:dyDescent="0.3">
      <c r="A238" s="9" t="s">
        <v>505</v>
      </c>
      <c r="B238" s="9" t="s">
        <v>533</v>
      </c>
      <c r="C238" s="9" t="s">
        <v>427</v>
      </c>
      <c r="D238" s="10">
        <v>2</v>
      </c>
      <c r="E238" s="12">
        <f>TRUNC('단가대비표(총체)'!O160,0)</f>
        <v>0</v>
      </c>
      <c r="F238" s="12">
        <f t="shared" si="32"/>
        <v>0</v>
      </c>
      <c r="G238" s="12">
        <f>TRUNC('단가대비표(총체)'!P160,0)</f>
        <v>0</v>
      </c>
      <c r="H238" s="12">
        <f t="shared" si="33"/>
        <v>0</v>
      </c>
      <c r="I238" s="12">
        <f>TRUNC('단가대비표(총체)'!V160,0)</f>
        <v>0</v>
      </c>
      <c r="J238" s="12">
        <f t="shared" si="34"/>
        <v>0</v>
      </c>
      <c r="K238" s="12">
        <f t="shared" si="35"/>
        <v>0</v>
      </c>
      <c r="L238" s="12">
        <f t="shared" si="36"/>
        <v>0</v>
      </c>
      <c r="M238" s="9" t="s">
        <v>52</v>
      </c>
      <c r="N238" s="2" t="s">
        <v>534</v>
      </c>
      <c r="O238" s="2" t="s">
        <v>52</v>
      </c>
      <c r="P238" s="2" t="s">
        <v>52</v>
      </c>
      <c r="Q238" s="2" t="s">
        <v>407</v>
      </c>
      <c r="R238" s="2" t="s">
        <v>61</v>
      </c>
      <c r="S238" s="2" t="s">
        <v>61</v>
      </c>
      <c r="T238" s="2" t="s">
        <v>60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2" t="s">
        <v>52</v>
      </c>
      <c r="AS238" s="2" t="s">
        <v>52</v>
      </c>
      <c r="AT238" s="3"/>
      <c r="AU238" s="2" t="s">
        <v>535</v>
      </c>
      <c r="AV238" s="3">
        <v>185</v>
      </c>
    </row>
    <row r="239" spans="1:48" ht="30" customHeight="1" x14ac:dyDescent="0.3">
      <c r="A239" s="9" t="s">
        <v>505</v>
      </c>
      <c r="B239" s="9" t="s">
        <v>536</v>
      </c>
      <c r="C239" s="9" t="s">
        <v>427</v>
      </c>
      <c r="D239" s="10">
        <v>1</v>
      </c>
      <c r="E239" s="12">
        <f>TRUNC('단가대비표(총체)'!O159,0)</f>
        <v>0</v>
      </c>
      <c r="F239" s="12">
        <f t="shared" si="32"/>
        <v>0</v>
      </c>
      <c r="G239" s="12">
        <f>TRUNC('단가대비표(총체)'!P159,0)</f>
        <v>0</v>
      </c>
      <c r="H239" s="12">
        <f t="shared" si="33"/>
        <v>0</v>
      </c>
      <c r="I239" s="12">
        <f>TRUNC('단가대비표(총체)'!V159,0)</f>
        <v>0</v>
      </c>
      <c r="J239" s="12">
        <f t="shared" si="34"/>
        <v>0</v>
      </c>
      <c r="K239" s="12">
        <f t="shared" si="35"/>
        <v>0</v>
      </c>
      <c r="L239" s="12">
        <f t="shared" si="36"/>
        <v>0</v>
      </c>
      <c r="M239" s="9" t="s">
        <v>52</v>
      </c>
      <c r="N239" s="2" t="s">
        <v>537</v>
      </c>
      <c r="O239" s="2" t="s">
        <v>52</v>
      </c>
      <c r="P239" s="2" t="s">
        <v>52</v>
      </c>
      <c r="Q239" s="2" t="s">
        <v>407</v>
      </c>
      <c r="R239" s="2" t="s">
        <v>61</v>
      </c>
      <c r="S239" s="2" t="s">
        <v>61</v>
      </c>
      <c r="T239" s="2" t="s">
        <v>60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2" t="s">
        <v>52</v>
      </c>
      <c r="AS239" s="2" t="s">
        <v>52</v>
      </c>
      <c r="AT239" s="3"/>
      <c r="AU239" s="2" t="s">
        <v>538</v>
      </c>
      <c r="AV239" s="3">
        <v>186</v>
      </c>
    </row>
    <row r="240" spans="1:48" ht="30" customHeight="1" x14ac:dyDescent="0.3">
      <c r="A240" s="9" t="s">
        <v>505</v>
      </c>
      <c r="B240" s="9" t="s">
        <v>539</v>
      </c>
      <c r="C240" s="9" t="s">
        <v>427</v>
      </c>
      <c r="D240" s="10">
        <v>1</v>
      </c>
      <c r="E240" s="12">
        <f>TRUNC('단가대비표(총체)'!O158,0)</f>
        <v>0</v>
      </c>
      <c r="F240" s="12">
        <f t="shared" si="32"/>
        <v>0</v>
      </c>
      <c r="G240" s="12">
        <f>TRUNC('단가대비표(총체)'!P158,0)</f>
        <v>0</v>
      </c>
      <c r="H240" s="12">
        <f t="shared" si="33"/>
        <v>0</v>
      </c>
      <c r="I240" s="12">
        <f>TRUNC('단가대비표(총체)'!V158,0)</f>
        <v>0</v>
      </c>
      <c r="J240" s="12">
        <f t="shared" si="34"/>
        <v>0</v>
      </c>
      <c r="K240" s="12">
        <f t="shared" si="35"/>
        <v>0</v>
      </c>
      <c r="L240" s="12">
        <f t="shared" si="36"/>
        <v>0</v>
      </c>
      <c r="M240" s="9" t="s">
        <v>52</v>
      </c>
      <c r="N240" s="2" t="s">
        <v>540</v>
      </c>
      <c r="O240" s="2" t="s">
        <v>52</v>
      </c>
      <c r="P240" s="2" t="s">
        <v>52</v>
      </c>
      <c r="Q240" s="2" t="s">
        <v>407</v>
      </c>
      <c r="R240" s="2" t="s">
        <v>61</v>
      </c>
      <c r="S240" s="2" t="s">
        <v>61</v>
      </c>
      <c r="T240" s="2" t="s">
        <v>60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2" t="s">
        <v>52</v>
      </c>
      <c r="AS240" s="2" t="s">
        <v>52</v>
      </c>
      <c r="AT240" s="3"/>
      <c r="AU240" s="2" t="s">
        <v>541</v>
      </c>
      <c r="AV240" s="3">
        <v>187</v>
      </c>
    </row>
    <row r="241" spans="1:48" ht="30" customHeight="1" x14ac:dyDescent="0.3">
      <c r="A241" s="9" t="s">
        <v>542</v>
      </c>
      <c r="B241" s="9" t="s">
        <v>473</v>
      </c>
      <c r="C241" s="9" t="s">
        <v>58</v>
      </c>
      <c r="D241" s="10">
        <v>12</v>
      </c>
      <c r="E241" s="12">
        <f>TRUNC('일위대가목록(총체)'!E98,0)</f>
        <v>0</v>
      </c>
      <c r="F241" s="12">
        <f t="shared" si="32"/>
        <v>0</v>
      </c>
      <c r="G241" s="12">
        <f>TRUNC('일위대가목록(총체)'!F98,0)</f>
        <v>0</v>
      </c>
      <c r="H241" s="12">
        <f t="shared" si="33"/>
        <v>0</v>
      </c>
      <c r="I241" s="12">
        <f>TRUNC('일위대가목록(총체)'!G98,0)</f>
        <v>0</v>
      </c>
      <c r="J241" s="12">
        <f t="shared" si="34"/>
        <v>0</v>
      </c>
      <c r="K241" s="12">
        <f t="shared" si="35"/>
        <v>0</v>
      </c>
      <c r="L241" s="12">
        <f t="shared" si="36"/>
        <v>0</v>
      </c>
      <c r="M241" s="9" t="s">
        <v>52</v>
      </c>
      <c r="N241" s="2" t="s">
        <v>543</v>
      </c>
      <c r="O241" s="2" t="s">
        <v>52</v>
      </c>
      <c r="P241" s="2" t="s">
        <v>52</v>
      </c>
      <c r="Q241" s="2" t="s">
        <v>407</v>
      </c>
      <c r="R241" s="2" t="s">
        <v>60</v>
      </c>
      <c r="S241" s="2" t="s">
        <v>61</v>
      </c>
      <c r="T241" s="2" t="s">
        <v>61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2" t="s">
        <v>52</v>
      </c>
      <c r="AS241" s="2" t="s">
        <v>52</v>
      </c>
      <c r="AT241" s="3"/>
      <c r="AU241" s="2" t="s">
        <v>544</v>
      </c>
      <c r="AV241" s="3">
        <v>188</v>
      </c>
    </row>
    <row r="242" spans="1:48" ht="30" customHeight="1" x14ac:dyDescent="0.3">
      <c r="A242" s="9" t="s">
        <v>542</v>
      </c>
      <c r="B242" s="9" t="s">
        <v>476</v>
      </c>
      <c r="C242" s="9" t="s">
        <v>58</v>
      </c>
      <c r="D242" s="10">
        <v>20</v>
      </c>
      <c r="E242" s="12">
        <f>TRUNC('일위대가목록(총체)'!E99,0)</f>
        <v>0</v>
      </c>
      <c r="F242" s="12">
        <f t="shared" si="32"/>
        <v>0</v>
      </c>
      <c r="G242" s="12">
        <f>TRUNC('일위대가목록(총체)'!F99,0)</f>
        <v>0</v>
      </c>
      <c r="H242" s="12">
        <f t="shared" si="33"/>
        <v>0</v>
      </c>
      <c r="I242" s="12">
        <f>TRUNC('일위대가목록(총체)'!G99,0)</f>
        <v>0</v>
      </c>
      <c r="J242" s="12">
        <f t="shared" si="34"/>
        <v>0</v>
      </c>
      <c r="K242" s="12">
        <f t="shared" si="35"/>
        <v>0</v>
      </c>
      <c r="L242" s="12">
        <f t="shared" si="36"/>
        <v>0</v>
      </c>
      <c r="M242" s="9" t="s">
        <v>52</v>
      </c>
      <c r="N242" s="2" t="s">
        <v>545</v>
      </c>
      <c r="O242" s="2" t="s">
        <v>52</v>
      </c>
      <c r="P242" s="2" t="s">
        <v>52</v>
      </c>
      <c r="Q242" s="2" t="s">
        <v>407</v>
      </c>
      <c r="R242" s="2" t="s">
        <v>60</v>
      </c>
      <c r="S242" s="2" t="s">
        <v>61</v>
      </c>
      <c r="T242" s="2" t="s">
        <v>61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2" t="s">
        <v>52</v>
      </c>
      <c r="AS242" s="2" t="s">
        <v>52</v>
      </c>
      <c r="AT242" s="3"/>
      <c r="AU242" s="2" t="s">
        <v>546</v>
      </c>
      <c r="AV242" s="3">
        <v>189</v>
      </c>
    </row>
    <row r="243" spans="1:48" ht="30" customHeight="1" x14ac:dyDescent="0.3">
      <c r="A243" s="9" t="s">
        <v>542</v>
      </c>
      <c r="B243" s="9" t="s">
        <v>547</v>
      </c>
      <c r="C243" s="9" t="s">
        <v>58</v>
      </c>
      <c r="D243" s="10">
        <v>92</v>
      </c>
      <c r="E243" s="12">
        <f>TRUNC('일위대가목록(총체)'!E100,0)</f>
        <v>0</v>
      </c>
      <c r="F243" s="12">
        <f t="shared" si="32"/>
        <v>0</v>
      </c>
      <c r="G243" s="12">
        <f>TRUNC('일위대가목록(총체)'!F100,0)</f>
        <v>0</v>
      </c>
      <c r="H243" s="12">
        <f t="shared" si="33"/>
        <v>0</v>
      </c>
      <c r="I243" s="12">
        <f>TRUNC('일위대가목록(총체)'!G100,0)</f>
        <v>0</v>
      </c>
      <c r="J243" s="12">
        <f t="shared" si="34"/>
        <v>0</v>
      </c>
      <c r="K243" s="12">
        <f t="shared" si="35"/>
        <v>0</v>
      </c>
      <c r="L243" s="12">
        <f t="shared" si="36"/>
        <v>0</v>
      </c>
      <c r="M243" s="9" t="s">
        <v>52</v>
      </c>
      <c r="N243" s="2" t="s">
        <v>548</v>
      </c>
      <c r="O243" s="2" t="s">
        <v>52</v>
      </c>
      <c r="P243" s="2" t="s">
        <v>52</v>
      </c>
      <c r="Q243" s="2" t="s">
        <v>407</v>
      </c>
      <c r="R243" s="2" t="s">
        <v>60</v>
      </c>
      <c r="S243" s="2" t="s">
        <v>61</v>
      </c>
      <c r="T243" s="2" t="s">
        <v>61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2" t="s">
        <v>52</v>
      </c>
      <c r="AS243" s="2" t="s">
        <v>52</v>
      </c>
      <c r="AT243" s="3"/>
      <c r="AU243" s="2" t="s">
        <v>549</v>
      </c>
      <c r="AV243" s="3">
        <v>190</v>
      </c>
    </row>
    <row r="244" spans="1:48" ht="30" customHeight="1" x14ac:dyDescent="0.3">
      <c r="A244" s="9" t="s">
        <v>542</v>
      </c>
      <c r="B244" s="9" t="s">
        <v>550</v>
      </c>
      <c r="C244" s="9" t="s">
        <v>58</v>
      </c>
      <c r="D244" s="10">
        <v>102</v>
      </c>
      <c r="E244" s="12">
        <f>TRUNC('일위대가목록(총체)'!E101,0)</f>
        <v>0</v>
      </c>
      <c r="F244" s="12">
        <f t="shared" si="32"/>
        <v>0</v>
      </c>
      <c r="G244" s="12">
        <f>TRUNC('일위대가목록(총체)'!F101,0)</f>
        <v>0</v>
      </c>
      <c r="H244" s="12">
        <f t="shared" si="33"/>
        <v>0</v>
      </c>
      <c r="I244" s="12">
        <f>TRUNC('일위대가목록(총체)'!G101,0)</f>
        <v>0</v>
      </c>
      <c r="J244" s="12">
        <f t="shared" si="34"/>
        <v>0</v>
      </c>
      <c r="K244" s="12">
        <f t="shared" si="35"/>
        <v>0</v>
      </c>
      <c r="L244" s="12">
        <f t="shared" si="36"/>
        <v>0</v>
      </c>
      <c r="M244" s="9" t="s">
        <v>52</v>
      </c>
      <c r="N244" s="2" t="s">
        <v>551</v>
      </c>
      <c r="O244" s="2" t="s">
        <v>52</v>
      </c>
      <c r="P244" s="2" t="s">
        <v>52</v>
      </c>
      <c r="Q244" s="2" t="s">
        <v>407</v>
      </c>
      <c r="R244" s="2" t="s">
        <v>60</v>
      </c>
      <c r="S244" s="2" t="s">
        <v>61</v>
      </c>
      <c r="T244" s="2" t="s">
        <v>61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2" t="s">
        <v>52</v>
      </c>
      <c r="AS244" s="2" t="s">
        <v>52</v>
      </c>
      <c r="AT244" s="3"/>
      <c r="AU244" s="2" t="s">
        <v>552</v>
      </c>
      <c r="AV244" s="3">
        <v>191</v>
      </c>
    </row>
    <row r="245" spans="1:48" ht="30" customHeight="1" x14ac:dyDescent="0.3">
      <c r="A245" s="9" t="s">
        <v>553</v>
      </c>
      <c r="B245" s="9" t="s">
        <v>554</v>
      </c>
      <c r="C245" s="9" t="s">
        <v>82</v>
      </c>
      <c r="D245" s="10">
        <v>34</v>
      </c>
      <c r="E245" s="12">
        <f>TRUNC('일위대가목록(총체)'!E102,0)</f>
        <v>0</v>
      </c>
      <c r="F245" s="12">
        <f t="shared" si="32"/>
        <v>0</v>
      </c>
      <c r="G245" s="12">
        <f>TRUNC('일위대가목록(총체)'!F102,0)</f>
        <v>0</v>
      </c>
      <c r="H245" s="12">
        <f t="shared" si="33"/>
        <v>0</v>
      </c>
      <c r="I245" s="12">
        <f>TRUNC('일위대가목록(총체)'!G102,0)</f>
        <v>0</v>
      </c>
      <c r="J245" s="12">
        <f t="shared" si="34"/>
        <v>0</v>
      </c>
      <c r="K245" s="12">
        <f t="shared" si="35"/>
        <v>0</v>
      </c>
      <c r="L245" s="12">
        <f t="shared" si="36"/>
        <v>0</v>
      </c>
      <c r="M245" s="9" t="s">
        <v>52</v>
      </c>
      <c r="N245" s="2" t="s">
        <v>555</v>
      </c>
      <c r="O245" s="2" t="s">
        <v>52</v>
      </c>
      <c r="P245" s="2" t="s">
        <v>52</v>
      </c>
      <c r="Q245" s="2" t="s">
        <v>407</v>
      </c>
      <c r="R245" s="2" t="s">
        <v>60</v>
      </c>
      <c r="S245" s="2" t="s">
        <v>61</v>
      </c>
      <c r="T245" s="2" t="s">
        <v>61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2" t="s">
        <v>52</v>
      </c>
      <c r="AS245" s="2" t="s">
        <v>52</v>
      </c>
      <c r="AT245" s="3"/>
      <c r="AU245" s="2" t="s">
        <v>556</v>
      </c>
      <c r="AV245" s="3">
        <v>192</v>
      </c>
    </row>
    <row r="246" spans="1:48" ht="30" customHeight="1" x14ac:dyDescent="0.3">
      <c r="A246" s="9" t="s">
        <v>553</v>
      </c>
      <c r="B246" s="9" t="s">
        <v>557</v>
      </c>
      <c r="C246" s="9" t="s">
        <v>82</v>
      </c>
      <c r="D246" s="10">
        <v>29</v>
      </c>
      <c r="E246" s="12">
        <f>TRUNC('일위대가목록(총체)'!E103,0)</f>
        <v>0</v>
      </c>
      <c r="F246" s="12">
        <f t="shared" si="32"/>
        <v>0</v>
      </c>
      <c r="G246" s="12">
        <f>TRUNC('일위대가목록(총체)'!F103,0)</f>
        <v>0</v>
      </c>
      <c r="H246" s="12">
        <f t="shared" si="33"/>
        <v>0</v>
      </c>
      <c r="I246" s="12">
        <f>TRUNC('일위대가목록(총체)'!G103,0)</f>
        <v>0</v>
      </c>
      <c r="J246" s="12">
        <f t="shared" si="34"/>
        <v>0</v>
      </c>
      <c r="K246" s="12">
        <f t="shared" si="35"/>
        <v>0</v>
      </c>
      <c r="L246" s="12">
        <f t="shared" si="36"/>
        <v>0</v>
      </c>
      <c r="M246" s="9" t="s">
        <v>52</v>
      </c>
      <c r="N246" s="2" t="s">
        <v>558</v>
      </c>
      <c r="O246" s="2" t="s">
        <v>52</v>
      </c>
      <c r="P246" s="2" t="s">
        <v>52</v>
      </c>
      <c r="Q246" s="2" t="s">
        <v>407</v>
      </c>
      <c r="R246" s="2" t="s">
        <v>60</v>
      </c>
      <c r="S246" s="2" t="s">
        <v>61</v>
      </c>
      <c r="T246" s="2" t="s">
        <v>61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2" t="s">
        <v>52</v>
      </c>
      <c r="AS246" s="2" t="s">
        <v>52</v>
      </c>
      <c r="AT246" s="3"/>
      <c r="AU246" s="2" t="s">
        <v>559</v>
      </c>
      <c r="AV246" s="3">
        <v>193</v>
      </c>
    </row>
    <row r="247" spans="1:48" ht="30" customHeight="1" x14ac:dyDescent="0.3">
      <c r="A247" s="9" t="s">
        <v>553</v>
      </c>
      <c r="B247" s="9" t="s">
        <v>560</v>
      </c>
      <c r="C247" s="9" t="s">
        <v>82</v>
      </c>
      <c r="D247" s="10">
        <v>6</v>
      </c>
      <c r="E247" s="12">
        <f>TRUNC('일위대가목록(총체)'!E104,0)</f>
        <v>0</v>
      </c>
      <c r="F247" s="12">
        <f t="shared" si="32"/>
        <v>0</v>
      </c>
      <c r="G247" s="12">
        <f>TRUNC('일위대가목록(총체)'!F104,0)</f>
        <v>0</v>
      </c>
      <c r="H247" s="12">
        <f t="shared" si="33"/>
        <v>0</v>
      </c>
      <c r="I247" s="12">
        <f>TRUNC('일위대가목록(총체)'!G104,0)</f>
        <v>0</v>
      </c>
      <c r="J247" s="12">
        <f t="shared" si="34"/>
        <v>0</v>
      </c>
      <c r="K247" s="12">
        <f t="shared" si="35"/>
        <v>0</v>
      </c>
      <c r="L247" s="12">
        <f t="shared" si="36"/>
        <v>0</v>
      </c>
      <c r="M247" s="9" t="s">
        <v>52</v>
      </c>
      <c r="N247" s="2" t="s">
        <v>561</v>
      </c>
      <c r="O247" s="2" t="s">
        <v>52</v>
      </c>
      <c r="P247" s="2" t="s">
        <v>52</v>
      </c>
      <c r="Q247" s="2" t="s">
        <v>407</v>
      </c>
      <c r="R247" s="2" t="s">
        <v>60</v>
      </c>
      <c r="S247" s="2" t="s">
        <v>61</v>
      </c>
      <c r="T247" s="2" t="s">
        <v>61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2" t="s">
        <v>52</v>
      </c>
      <c r="AS247" s="2" t="s">
        <v>52</v>
      </c>
      <c r="AT247" s="3"/>
      <c r="AU247" s="2" t="s">
        <v>562</v>
      </c>
      <c r="AV247" s="3">
        <v>194</v>
      </c>
    </row>
    <row r="248" spans="1:48" ht="30" customHeight="1" x14ac:dyDescent="0.3">
      <c r="A248" s="9" t="s">
        <v>563</v>
      </c>
      <c r="B248" s="9" t="s">
        <v>564</v>
      </c>
      <c r="C248" s="9" t="s">
        <v>427</v>
      </c>
      <c r="D248" s="10">
        <v>5</v>
      </c>
      <c r="E248" s="12">
        <f>TRUNC('단가대비표(총체)'!O167,0)</f>
        <v>0</v>
      </c>
      <c r="F248" s="12">
        <f t="shared" si="32"/>
        <v>0</v>
      </c>
      <c r="G248" s="12">
        <f>TRUNC('단가대비표(총체)'!P167,0)</f>
        <v>0</v>
      </c>
      <c r="H248" s="12">
        <f t="shared" si="33"/>
        <v>0</v>
      </c>
      <c r="I248" s="12">
        <f>TRUNC('단가대비표(총체)'!V167,0)</f>
        <v>0</v>
      </c>
      <c r="J248" s="12">
        <f t="shared" si="34"/>
        <v>0</v>
      </c>
      <c r="K248" s="12">
        <f t="shared" si="35"/>
        <v>0</v>
      </c>
      <c r="L248" s="12">
        <f t="shared" si="36"/>
        <v>0</v>
      </c>
      <c r="M248" s="9" t="s">
        <v>52</v>
      </c>
      <c r="N248" s="2" t="s">
        <v>565</v>
      </c>
      <c r="O248" s="2" t="s">
        <v>52</v>
      </c>
      <c r="P248" s="2" t="s">
        <v>52</v>
      </c>
      <c r="Q248" s="2" t="s">
        <v>407</v>
      </c>
      <c r="R248" s="2" t="s">
        <v>61</v>
      </c>
      <c r="S248" s="2" t="s">
        <v>61</v>
      </c>
      <c r="T248" s="2" t="s">
        <v>60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2" t="s">
        <v>52</v>
      </c>
      <c r="AS248" s="2" t="s">
        <v>52</v>
      </c>
      <c r="AT248" s="3"/>
      <c r="AU248" s="2" t="s">
        <v>566</v>
      </c>
      <c r="AV248" s="3">
        <v>195</v>
      </c>
    </row>
    <row r="249" spans="1:48" ht="30" customHeight="1" x14ac:dyDescent="0.3">
      <c r="A249" s="9" t="s">
        <v>563</v>
      </c>
      <c r="B249" s="9" t="s">
        <v>567</v>
      </c>
      <c r="C249" s="9" t="s">
        <v>427</v>
      </c>
      <c r="D249" s="10">
        <v>21</v>
      </c>
      <c r="E249" s="12">
        <f>TRUNC('단가대비표(총체)'!O168,0)</f>
        <v>0</v>
      </c>
      <c r="F249" s="12">
        <f t="shared" si="32"/>
        <v>0</v>
      </c>
      <c r="G249" s="12">
        <f>TRUNC('단가대비표(총체)'!P168,0)</f>
        <v>0</v>
      </c>
      <c r="H249" s="12">
        <f t="shared" si="33"/>
        <v>0</v>
      </c>
      <c r="I249" s="12">
        <f>TRUNC('단가대비표(총체)'!V168,0)</f>
        <v>0</v>
      </c>
      <c r="J249" s="12">
        <f t="shared" si="34"/>
        <v>0</v>
      </c>
      <c r="K249" s="12">
        <f t="shared" si="35"/>
        <v>0</v>
      </c>
      <c r="L249" s="12">
        <f t="shared" si="36"/>
        <v>0</v>
      </c>
      <c r="M249" s="9" t="s">
        <v>52</v>
      </c>
      <c r="N249" s="2" t="s">
        <v>568</v>
      </c>
      <c r="O249" s="2" t="s">
        <v>52</v>
      </c>
      <c r="P249" s="2" t="s">
        <v>52</v>
      </c>
      <c r="Q249" s="2" t="s">
        <v>407</v>
      </c>
      <c r="R249" s="2" t="s">
        <v>61</v>
      </c>
      <c r="S249" s="2" t="s">
        <v>61</v>
      </c>
      <c r="T249" s="2" t="s">
        <v>60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2" t="s">
        <v>52</v>
      </c>
      <c r="AS249" s="2" t="s">
        <v>52</v>
      </c>
      <c r="AT249" s="3"/>
      <c r="AU249" s="2" t="s">
        <v>569</v>
      </c>
      <c r="AV249" s="3">
        <v>196</v>
      </c>
    </row>
    <row r="250" spans="1:48" ht="30" customHeight="1" x14ac:dyDescent="0.3">
      <c r="A250" s="9" t="s">
        <v>570</v>
      </c>
      <c r="B250" s="9" t="s">
        <v>571</v>
      </c>
      <c r="C250" s="9" t="s">
        <v>427</v>
      </c>
      <c r="D250" s="10">
        <v>8</v>
      </c>
      <c r="E250" s="12">
        <f>TRUNC('단가대비표(총체)'!O163,0)</f>
        <v>0</v>
      </c>
      <c r="F250" s="12">
        <f t="shared" si="32"/>
        <v>0</v>
      </c>
      <c r="G250" s="12">
        <f>TRUNC('단가대비표(총체)'!P163,0)</f>
        <v>0</v>
      </c>
      <c r="H250" s="12">
        <f t="shared" si="33"/>
        <v>0</v>
      </c>
      <c r="I250" s="12">
        <f>TRUNC('단가대비표(총체)'!V163,0)</f>
        <v>0</v>
      </c>
      <c r="J250" s="12">
        <f t="shared" si="34"/>
        <v>0</v>
      </c>
      <c r="K250" s="12">
        <f t="shared" si="35"/>
        <v>0</v>
      </c>
      <c r="L250" s="12">
        <f t="shared" si="36"/>
        <v>0</v>
      </c>
      <c r="M250" s="9" t="s">
        <v>52</v>
      </c>
      <c r="N250" s="2" t="s">
        <v>572</v>
      </c>
      <c r="O250" s="2" t="s">
        <v>52</v>
      </c>
      <c r="P250" s="2" t="s">
        <v>52</v>
      </c>
      <c r="Q250" s="2" t="s">
        <v>407</v>
      </c>
      <c r="R250" s="2" t="s">
        <v>61</v>
      </c>
      <c r="S250" s="2" t="s">
        <v>61</v>
      </c>
      <c r="T250" s="2" t="s">
        <v>60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2" t="s">
        <v>52</v>
      </c>
      <c r="AS250" s="2" t="s">
        <v>52</v>
      </c>
      <c r="AT250" s="3"/>
      <c r="AU250" s="2" t="s">
        <v>573</v>
      </c>
      <c r="AV250" s="3">
        <v>197</v>
      </c>
    </row>
    <row r="251" spans="1:48" ht="30" customHeight="1" x14ac:dyDescent="0.3">
      <c r="A251" s="9" t="s">
        <v>570</v>
      </c>
      <c r="B251" s="9" t="s">
        <v>574</v>
      </c>
      <c r="C251" s="9" t="s">
        <v>427</v>
      </c>
      <c r="D251" s="10">
        <v>9</v>
      </c>
      <c r="E251" s="12">
        <f>TRUNC('단가대비표(총체)'!O164,0)</f>
        <v>0</v>
      </c>
      <c r="F251" s="12">
        <f t="shared" si="32"/>
        <v>0</v>
      </c>
      <c r="G251" s="12">
        <f>TRUNC('단가대비표(총체)'!P164,0)</f>
        <v>0</v>
      </c>
      <c r="H251" s="12">
        <f t="shared" si="33"/>
        <v>0</v>
      </c>
      <c r="I251" s="12">
        <f>TRUNC('단가대비표(총체)'!V164,0)</f>
        <v>0</v>
      </c>
      <c r="J251" s="12">
        <f t="shared" si="34"/>
        <v>0</v>
      </c>
      <c r="K251" s="12">
        <f t="shared" si="35"/>
        <v>0</v>
      </c>
      <c r="L251" s="12">
        <f t="shared" si="36"/>
        <v>0</v>
      </c>
      <c r="M251" s="9" t="s">
        <v>52</v>
      </c>
      <c r="N251" s="2" t="s">
        <v>575</v>
      </c>
      <c r="O251" s="2" t="s">
        <v>52</v>
      </c>
      <c r="P251" s="2" t="s">
        <v>52</v>
      </c>
      <c r="Q251" s="2" t="s">
        <v>407</v>
      </c>
      <c r="R251" s="2" t="s">
        <v>61</v>
      </c>
      <c r="S251" s="2" t="s">
        <v>61</v>
      </c>
      <c r="T251" s="2" t="s">
        <v>60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2" t="s">
        <v>52</v>
      </c>
      <c r="AS251" s="2" t="s">
        <v>52</v>
      </c>
      <c r="AT251" s="3"/>
      <c r="AU251" s="2" t="s">
        <v>576</v>
      </c>
      <c r="AV251" s="3">
        <v>198</v>
      </c>
    </row>
    <row r="252" spans="1:48" ht="30" customHeight="1" x14ac:dyDescent="0.3">
      <c r="A252" s="9" t="s">
        <v>570</v>
      </c>
      <c r="B252" s="9" t="s">
        <v>577</v>
      </c>
      <c r="C252" s="9" t="s">
        <v>427</v>
      </c>
      <c r="D252" s="10">
        <v>3</v>
      </c>
      <c r="E252" s="12">
        <f>TRUNC('단가대비표(총체)'!O169,0)</f>
        <v>0</v>
      </c>
      <c r="F252" s="12">
        <f t="shared" si="32"/>
        <v>0</v>
      </c>
      <c r="G252" s="12">
        <f>TRUNC('단가대비표(총체)'!P169,0)</f>
        <v>0</v>
      </c>
      <c r="H252" s="12">
        <f t="shared" si="33"/>
        <v>0</v>
      </c>
      <c r="I252" s="12">
        <f>TRUNC('단가대비표(총체)'!V169,0)</f>
        <v>0</v>
      </c>
      <c r="J252" s="12">
        <f t="shared" si="34"/>
        <v>0</v>
      </c>
      <c r="K252" s="12">
        <f t="shared" si="35"/>
        <v>0</v>
      </c>
      <c r="L252" s="12">
        <f t="shared" si="36"/>
        <v>0</v>
      </c>
      <c r="M252" s="9" t="s">
        <v>52</v>
      </c>
      <c r="N252" s="2" t="s">
        <v>578</v>
      </c>
      <c r="O252" s="2" t="s">
        <v>52</v>
      </c>
      <c r="P252" s="2" t="s">
        <v>52</v>
      </c>
      <c r="Q252" s="2" t="s">
        <v>407</v>
      </c>
      <c r="R252" s="2" t="s">
        <v>61</v>
      </c>
      <c r="S252" s="2" t="s">
        <v>61</v>
      </c>
      <c r="T252" s="2" t="s">
        <v>60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2" t="s">
        <v>52</v>
      </c>
      <c r="AS252" s="2" t="s">
        <v>52</v>
      </c>
      <c r="AT252" s="3"/>
      <c r="AU252" s="2" t="s">
        <v>579</v>
      </c>
      <c r="AV252" s="3">
        <v>199</v>
      </c>
    </row>
    <row r="253" spans="1:48" ht="30" customHeight="1" x14ac:dyDescent="0.3">
      <c r="A253" s="9" t="s">
        <v>580</v>
      </c>
      <c r="B253" s="9" t="s">
        <v>581</v>
      </c>
      <c r="C253" s="9" t="s">
        <v>427</v>
      </c>
      <c r="D253" s="10">
        <v>2</v>
      </c>
      <c r="E253" s="12">
        <f>TRUNC('단가대비표(총체)'!O166,0)</f>
        <v>0</v>
      </c>
      <c r="F253" s="12">
        <f t="shared" si="32"/>
        <v>0</v>
      </c>
      <c r="G253" s="12">
        <f>TRUNC('단가대비표(총체)'!P166,0)</f>
        <v>0</v>
      </c>
      <c r="H253" s="12">
        <f t="shared" si="33"/>
        <v>0</v>
      </c>
      <c r="I253" s="12">
        <f>TRUNC('단가대비표(총체)'!V166,0)</f>
        <v>0</v>
      </c>
      <c r="J253" s="12">
        <f t="shared" si="34"/>
        <v>0</v>
      </c>
      <c r="K253" s="12">
        <f t="shared" si="35"/>
        <v>0</v>
      </c>
      <c r="L253" s="12">
        <f t="shared" si="36"/>
        <v>0</v>
      </c>
      <c r="M253" s="9" t="s">
        <v>52</v>
      </c>
      <c r="N253" s="2" t="s">
        <v>582</v>
      </c>
      <c r="O253" s="2" t="s">
        <v>52</v>
      </c>
      <c r="P253" s="2" t="s">
        <v>52</v>
      </c>
      <c r="Q253" s="2" t="s">
        <v>407</v>
      </c>
      <c r="R253" s="2" t="s">
        <v>61</v>
      </c>
      <c r="S253" s="2" t="s">
        <v>61</v>
      </c>
      <c r="T253" s="2" t="s">
        <v>60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2" t="s">
        <v>52</v>
      </c>
      <c r="AS253" s="2" t="s">
        <v>52</v>
      </c>
      <c r="AT253" s="3"/>
      <c r="AU253" s="2" t="s">
        <v>583</v>
      </c>
      <c r="AV253" s="3">
        <v>200</v>
      </c>
    </row>
    <row r="254" spans="1:48" ht="30" customHeight="1" x14ac:dyDescent="0.3">
      <c r="A254" s="9" t="s">
        <v>580</v>
      </c>
      <c r="B254" s="9" t="s">
        <v>584</v>
      </c>
      <c r="C254" s="9" t="s">
        <v>427</v>
      </c>
      <c r="D254" s="10">
        <v>1</v>
      </c>
      <c r="E254" s="12">
        <f>TRUNC('단가대비표(총체)'!O165,0)</f>
        <v>0</v>
      </c>
      <c r="F254" s="12">
        <f t="shared" si="32"/>
        <v>0</v>
      </c>
      <c r="G254" s="12">
        <f>TRUNC('단가대비표(총체)'!P165,0)</f>
        <v>0</v>
      </c>
      <c r="H254" s="12">
        <f t="shared" si="33"/>
        <v>0</v>
      </c>
      <c r="I254" s="12">
        <f>TRUNC('단가대비표(총체)'!V165,0)</f>
        <v>0</v>
      </c>
      <c r="J254" s="12">
        <f t="shared" si="34"/>
        <v>0</v>
      </c>
      <c r="K254" s="12">
        <f t="shared" si="35"/>
        <v>0</v>
      </c>
      <c r="L254" s="12">
        <f t="shared" si="36"/>
        <v>0</v>
      </c>
      <c r="M254" s="9" t="s">
        <v>52</v>
      </c>
      <c r="N254" s="2" t="s">
        <v>585</v>
      </c>
      <c r="O254" s="2" t="s">
        <v>52</v>
      </c>
      <c r="P254" s="2" t="s">
        <v>52</v>
      </c>
      <c r="Q254" s="2" t="s">
        <v>407</v>
      </c>
      <c r="R254" s="2" t="s">
        <v>61</v>
      </c>
      <c r="S254" s="2" t="s">
        <v>61</v>
      </c>
      <c r="T254" s="2" t="s">
        <v>60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2" t="s">
        <v>52</v>
      </c>
      <c r="AS254" s="2" t="s">
        <v>52</v>
      </c>
      <c r="AT254" s="3"/>
      <c r="AU254" s="2" t="s">
        <v>586</v>
      </c>
      <c r="AV254" s="3">
        <v>201</v>
      </c>
    </row>
    <row r="255" spans="1:48" ht="30" customHeight="1" x14ac:dyDescent="0.3">
      <c r="A255" s="9" t="s">
        <v>587</v>
      </c>
      <c r="B255" s="9" t="s">
        <v>588</v>
      </c>
      <c r="C255" s="9" t="s">
        <v>427</v>
      </c>
      <c r="D255" s="10">
        <v>2</v>
      </c>
      <c r="E255" s="12">
        <f>TRUNC('단가대비표(총체)'!O170,0)</f>
        <v>0</v>
      </c>
      <c r="F255" s="12">
        <f t="shared" si="32"/>
        <v>0</v>
      </c>
      <c r="G255" s="12">
        <f>TRUNC('단가대비표(총체)'!P170,0)</f>
        <v>0</v>
      </c>
      <c r="H255" s="12">
        <f t="shared" si="33"/>
        <v>0</v>
      </c>
      <c r="I255" s="12">
        <f>TRUNC('단가대비표(총체)'!V170,0)</f>
        <v>0</v>
      </c>
      <c r="J255" s="12">
        <f t="shared" si="34"/>
        <v>0</v>
      </c>
      <c r="K255" s="12">
        <f t="shared" si="35"/>
        <v>0</v>
      </c>
      <c r="L255" s="12">
        <f t="shared" si="36"/>
        <v>0</v>
      </c>
      <c r="M255" s="9" t="s">
        <v>52</v>
      </c>
      <c r="N255" s="2" t="s">
        <v>589</v>
      </c>
      <c r="O255" s="2" t="s">
        <v>52</v>
      </c>
      <c r="P255" s="2" t="s">
        <v>52</v>
      </c>
      <c r="Q255" s="2" t="s">
        <v>407</v>
      </c>
      <c r="R255" s="2" t="s">
        <v>61</v>
      </c>
      <c r="S255" s="2" t="s">
        <v>61</v>
      </c>
      <c r="T255" s="2" t="s">
        <v>60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2" t="s">
        <v>52</v>
      </c>
      <c r="AS255" s="2" t="s">
        <v>52</v>
      </c>
      <c r="AT255" s="3"/>
      <c r="AU255" s="2" t="s">
        <v>590</v>
      </c>
      <c r="AV255" s="3">
        <v>202</v>
      </c>
    </row>
    <row r="256" spans="1:48" ht="30" customHeight="1" x14ac:dyDescent="0.3">
      <c r="A256" s="9" t="s">
        <v>587</v>
      </c>
      <c r="B256" s="9" t="s">
        <v>591</v>
      </c>
      <c r="C256" s="9" t="s">
        <v>427</v>
      </c>
      <c r="D256" s="10">
        <v>4</v>
      </c>
      <c r="E256" s="12">
        <f>TRUNC('단가대비표(총체)'!O171,0)</f>
        <v>0</v>
      </c>
      <c r="F256" s="12">
        <f t="shared" si="32"/>
        <v>0</v>
      </c>
      <c r="G256" s="12">
        <f>TRUNC('단가대비표(총체)'!P171,0)</f>
        <v>0</v>
      </c>
      <c r="H256" s="12">
        <f t="shared" si="33"/>
        <v>0</v>
      </c>
      <c r="I256" s="12">
        <f>TRUNC('단가대비표(총체)'!V171,0)</f>
        <v>0</v>
      </c>
      <c r="J256" s="12">
        <f t="shared" si="34"/>
        <v>0</v>
      </c>
      <c r="K256" s="12">
        <f t="shared" si="35"/>
        <v>0</v>
      </c>
      <c r="L256" s="12">
        <f t="shared" si="36"/>
        <v>0</v>
      </c>
      <c r="M256" s="9" t="s">
        <v>52</v>
      </c>
      <c r="N256" s="2" t="s">
        <v>592</v>
      </c>
      <c r="O256" s="2" t="s">
        <v>52</v>
      </c>
      <c r="P256" s="2" t="s">
        <v>52</v>
      </c>
      <c r="Q256" s="2" t="s">
        <v>407</v>
      </c>
      <c r="R256" s="2" t="s">
        <v>61</v>
      </c>
      <c r="S256" s="2" t="s">
        <v>61</v>
      </c>
      <c r="T256" s="2" t="s">
        <v>60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2" t="s">
        <v>52</v>
      </c>
      <c r="AS256" s="2" t="s">
        <v>52</v>
      </c>
      <c r="AT256" s="3"/>
      <c r="AU256" s="2" t="s">
        <v>593</v>
      </c>
      <c r="AV256" s="3">
        <v>203</v>
      </c>
    </row>
    <row r="257" spans="1:48" ht="30" customHeight="1" x14ac:dyDescent="0.3">
      <c r="A257" s="9" t="s">
        <v>594</v>
      </c>
      <c r="B257" s="9" t="s">
        <v>595</v>
      </c>
      <c r="C257" s="9" t="s">
        <v>58</v>
      </c>
      <c r="D257" s="10">
        <v>6</v>
      </c>
      <c r="E257" s="12">
        <f>TRUNC('일위대가목록(총체)'!E105,0)</f>
        <v>0</v>
      </c>
      <c r="F257" s="12">
        <f t="shared" si="32"/>
        <v>0</v>
      </c>
      <c r="G257" s="12">
        <f>TRUNC('일위대가목록(총체)'!F105,0)</f>
        <v>0</v>
      </c>
      <c r="H257" s="12">
        <f t="shared" si="33"/>
        <v>0</v>
      </c>
      <c r="I257" s="12">
        <f>TRUNC('일위대가목록(총체)'!G105,0)</f>
        <v>0</v>
      </c>
      <c r="J257" s="12">
        <f t="shared" si="34"/>
        <v>0</v>
      </c>
      <c r="K257" s="12">
        <f t="shared" si="35"/>
        <v>0</v>
      </c>
      <c r="L257" s="12">
        <f t="shared" si="36"/>
        <v>0</v>
      </c>
      <c r="M257" s="9" t="s">
        <v>52</v>
      </c>
      <c r="N257" s="2" t="s">
        <v>596</v>
      </c>
      <c r="O257" s="2" t="s">
        <v>52</v>
      </c>
      <c r="P257" s="2" t="s">
        <v>52</v>
      </c>
      <c r="Q257" s="2" t="s">
        <v>407</v>
      </c>
      <c r="R257" s="2" t="s">
        <v>60</v>
      </c>
      <c r="S257" s="2" t="s">
        <v>61</v>
      </c>
      <c r="T257" s="2" t="s">
        <v>61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2" t="s">
        <v>52</v>
      </c>
      <c r="AS257" s="2" t="s">
        <v>52</v>
      </c>
      <c r="AT257" s="3"/>
      <c r="AU257" s="2" t="s">
        <v>597</v>
      </c>
      <c r="AV257" s="3">
        <v>204</v>
      </c>
    </row>
    <row r="258" spans="1:48" ht="30" customHeight="1" x14ac:dyDescent="0.3">
      <c r="A258" s="9" t="s">
        <v>594</v>
      </c>
      <c r="B258" s="9" t="s">
        <v>598</v>
      </c>
      <c r="C258" s="9" t="s">
        <v>58</v>
      </c>
      <c r="D258" s="10">
        <v>16</v>
      </c>
      <c r="E258" s="12">
        <f>TRUNC('일위대가목록(총체)'!E106,0)</f>
        <v>0</v>
      </c>
      <c r="F258" s="12">
        <f t="shared" si="32"/>
        <v>0</v>
      </c>
      <c r="G258" s="12">
        <f>TRUNC('일위대가목록(총체)'!F106,0)</f>
        <v>0</v>
      </c>
      <c r="H258" s="12">
        <f t="shared" si="33"/>
        <v>0</v>
      </c>
      <c r="I258" s="12">
        <f>TRUNC('일위대가목록(총체)'!G106,0)</f>
        <v>0</v>
      </c>
      <c r="J258" s="12">
        <f t="shared" si="34"/>
        <v>0</v>
      </c>
      <c r="K258" s="12">
        <f t="shared" si="35"/>
        <v>0</v>
      </c>
      <c r="L258" s="12">
        <f t="shared" si="36"/>
        <v>0</v>
      </c>
      <c r="M258" s="9" t="s">
        <v>52</v>
      </c>
      <c r="N258" s="2" t="s">
        <v>599</v>
      </c>
      <c r="O258" s="2" t="s">
        <v>52</v>
      </c>
      <c r="P258" s="2" t="s">
        <v>52</v>
      </c>
      <c r="Q258" s="2" t="s">
        <v>407</v>
      </c>
      <c r="R258" s="2" t="s">
        <v>60</v>
      </c>
      <c r="S258" s="2" t="s">
        <v>61</v>
      </c>
      <c r="T258" s="2" t="s">
        <v>61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2" t="s">
        <v>52</v>
      </c>
      <c r="AS258" s="2" t="s">
        <v>52</v>
      </c>
      <c r="AT258" s="3"/>
      <c r="AU258" s="2" t="s">
        <v>600</v>
      </c>
      <c r="AV258" s="3">
        <v>205</v>
      </c>
    </row>
    <row r="259" spans="1:48" ht="30" customHeight="1" x14ac:dyDescent="0.3">
      <c r="A259" s="9" t="s">
        <v>594</v>
      </c>
      <c r="B259" s="9" t="s">
        <v>601</v>
      </c>
      <c r="C259" s="9" t="s">
        <v>58</v>
      </c>
      <c r="D259" s="10">
        <v>40</v>
      </c>
      <c r="E259" s="12">
        <f>TRUNC('일위대가목록(총체)'!E107,0)</f>
        <v>0</v>
      </c>
      <c r="F259" s="12">
        <f t="shared" si="32"/>
        <v>0</v>
      </c>
      <c r="G259" s="12">
        <f>TRUNC('일위대가목록(총체)'!F107,0)</f>
        <v>0</v>
      </c>
      <c r="H259" s="12">
        <f t="shared" si="33"/>
        <v>0</v>
      </c>
      <c r="I259" s="12">
        <f>TRUNC('일위대가목록(총체)'!G107,0)</f>
        <v>0</v>
      </c>
      <c r="J259" s="12">
        <f t="shared" si="34"/>
        <v>0</v>
      </c>
      <c r="K259" s="12">
        <f t="shared" si="35"/>
        <v>0</v>
      </c>
      <c r="L259" s="12">
        <f t="shared" si="36"/>
        <v>0</v>
      </c>
      <c r="M259" s="9" t="s">
        <v>52</v>
      </c>
      <c r="N259" s="2" t="s">
        <v>602</v>
      </c>
      <c r="O259" s="2" t="s">
        <v>52</v>
      </c>
      <c r="P259" s="2" t="s">
        <v>52</v>
      </c>
      <c r="Q259" s="2" t="s">
        <v>407</v>
      </c>
      <c r="R259" s="2" t="s">
        <v>60</v>
      </c>
      <c r="S259" s="2" t="s">
        <v>61</v>
      </c>
      <c r="T259" s="2" t="s">
        <v>61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2" t="s">
        <v>52</v>
      </c>
      <c r="AS259" s="2" t="s">
        <v>52</v>
      </c>
      <c r="AT259" s="3"/>
      <c r="AU259" s="2" t="s">
        <v>603</v>
      </c>
      <c r="AV259" s="3">
        <v>206</v>
      </c>
    </row>
    <row r="260" spans="1:48" ht="30" customHeight="1" x14ac:dyDescent="0.3">
      <c r="A260" s="9" t="s">
        <v>604</v>
      </c>
      <c r="B260" s="9" t="s">
        <v>605</v>
      </c>
      <c r="C260" s="9" t="s">
        <v>427</v>
      </c>
      <c r="D260" s="10">
        <v>5</v>
      </c>
      <c r="E260" s="12">
        <f>TRUNC('일위대가목록(총체)'!E108,0)</f>
        <v>0</v>
      </c>
      <c r="F260" s="12">
        <f t="shared" si="32"/>
        <v>0</v>
      </c>
      <c r="G260" s="12">
        <f>TRUNC('일위대가목록(총체)'!F108,0)</f>
        <v>0</v>
      </c>
      <c r="H260" s="12">
        <f t="shared" si="33"/>
        <v>0</v>
      </c>
      <c r="I260" s="12">
        <f>TRUNC('일위대가목록(총체)'!G108,0)</f>
        <v>0</v>
      </c>
      <c r="J260" s="12">
        <f t="shared" si="34"/>
        <v>0</v>
      </c>
      <c r="K260" s="12">
        <f t="shared" si="35"/>
        <v>0</v>
      </c>
      <c r="L260" s="12">
        <f t="shared" si="36"/>
        <v>0</v>
      </c>
      <c r="M260" s="9" t="s">
        <v>52</v>
      </c>
      <c r="N260" s="2" t="s">
        <v>606</v>
      </c>
      <c r="O260" s="2" t="s">
        <v>52</v>
      </c>
      <c r="P260" s="2" t="s">
        <v>52</v>
      </c>
      <c r="Q260" s="2" t="s">
        <v>407</v>
      </c>
      <c r="R260" s="2" t="s">
        <v>60</v>
      </c>
      <c r="S260" s="2" t="s">
        <v>61</v>
      </c>
      <c r="T260" s="2" t="s">
        <v>61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2" t="s">
        <v>52</v>
      </c>
      <c r="AS260" s="2" t="s">
        <v>52</v>
      </c>
      <c r="AT260" s="3"/>
      <c r="AU260" s="2" t="s">
        <v>607</v>
      </c>
      <c r="AV260" s="3">
        <v>207</v>
      </c>
    </row>
    <row r="261" spans="1:48" ht="30" customHeight="1" x14ac:dyDescent="0.3">
      <c r="A261" s="9" t="s">
        <v>608</v>
      </c>
      <c r="B261" s="9" t="s">
        <v>609</v>
      </c>
      <c r="C261" s="9" t="s">
        <v>82</v>
      </c>
      <c r="D261" s="10">
        <v>99</v>
      </c>
      <c r="E261" s="12">
        <f>TRUNC('일위대가목록(총체)'!E109,0)</f>
        <v>0</v>
      </c>
      <c r="F261" s="12">
        <f t="shared" si="32"/>
        <v>0</v>
      </c>
      <c r="G261" s="12">
        <f>TRUNC('일위대가목록(총체)'!F109,0)</f>
        <v>0</v>
      </c>
      <c r="H261" s="12">
        <f t="shared" si="33"/>
        <v>0</v>
      </c>
      <c r="I261" s="12">
        <f>TRUNC('일위대가목록(총체)'!G109,0)</f>
        <v>0</v>
      </c>
      <c r="J261" s="12">
        <f t="shared" si="34"/>
        <v>0</v>
      </c>
      <c r="K261" s="12">
        <f t="shared" si="35"/>
        <v>0</v>
      </c>
      <c r="L261" s="12">
        <f t="shared" si="36"/>
        <v>0</v>
      </c>
      <c r="M261" s="9" t="s">
        <v>52</v>
      </c>
      <c r="N261" s="2" t="s">
        <v>610</v>
      </c>
      <c r="O261" s="2" t="s">
        <v>52</v>
      </c>
      <c r="P261" s="2" t="s">
        <v>52</v>
      </c>
      <c r="Q261" s="2" t="s">
        <v>407</v>
      </c>
      <c r="R261" s="2" t="s">
        <v>60</v>
      </c>
      <c r="S261" s="2" t="s">
        <v>61</v>
      </c>
      <c r="T261" s="2" t="s">
        <v>61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2" t="s">
        <v>52</v>
      </c>
      <c r="AS261" s="2" t="s">
        <v>52</v>
      </c>
      <c r="AT261" s="3"/>
      <c r="AU261" s="2" t="s">
        <v>611</v>
      </c>
      <c r="AV261" s="3">
        <v>208</v>
      </c>
    </row>
    <row r="262" spans="1:48" ht="30" customHeight="1" x14ac:dyDescent="0.3">
      <c r="A262" s="9" t="s">
        <v>608</v>
      </c>
      <c r="B262" s="9" t="s">
        <v>612</v>
      </c>
      <c r="C262" s="9" t="s">
        <v>82</v>
      </c>
      <c r="D262" s="10">
        <v>5</v>
      </c>
      <c r="E262" s="12">
        <f>TRUNC('일위대가목록(총체)'!E110,0)</f>
        <v>0</v>
      </c>
      <c r="F262" s="12">
        <f t="shared" si="32"/>
        <v>0</v>
      </c>
      <c r="G262" s="12">
        <f>TRUNC('일위대가목록(총체)'!F110,0)</f>
        <v>0</v>
      </c>
      <c r="H262" s="12">
        <f t="shared" si="33"/>
        <v>0</v>
      </c>
      <c r="I262" s="12">
        <f>TRUNC('일위대가목록(총체)'!G110,0)</f>
        <v>0</v>
      </c>
      <c r="J262" s="12">
        <f t="shared" si="34"/>
        <v>0</v>
      </c>
      <c r="K262" s="12">
        <f t="shared" si="35"/>
        <v>0</v>
      </c>
      <c r="L262" s="12">
        <f t="shared" si="36"/>
        <v>0</v>
      </c>
      <c r="M262" s="9" t="s">
        <v>52</v>
      </c>
      <c r="N262" s="2" t="s">
        <v>613</v>
      </c>
      <c r="O262" s="2" t="s">
        <v>52</v>
      </c>
      <c r="P262" s="2" t="s">
        <v>52</v>
      </c>
      <c r="Q262" s="2" t="s">
        <v>407</v>
      </c>
      <c r="R262" s="2" t="s">
        <v>60</v>
      </c>
      <c r="S262" s="2" t="s">
        <v>61</v>
      </c>
      <c r="T262" s="2" t="s">
        <v>61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2" t="s">
        <v>52</v>
      </c>
      <c r="AS262" s="2" t="s">
        <v>52</v>
      </c>
      <c r="AT262" s="3"/>
      <c r="AU262" s="2" t="s">
        <v>614</v>
      </c>
      <c r="AV262" s="3">
        <v>209</v>
      </c>
    </row>
    <row r="263" spans="1:48" ht="30" customHeight="1" x14ac:dyDescent="0.3">
      <c r="A263" s="9" t="s">
        <v>615</v>
      </c>
      <c r="B263" s="9" t="s">
        <v>616</v>
      </c>
      <c r="C263" s="9" t="s">
        <v>427</v>
      </c>
      <c r="D263" s="10">
        <v>5</v>
      </c>
      <c r="E263" s="12">
        <f>TRUNC('단가대비표(총체)'!O162,0)</f>
        <v>0</v>
      </c>
      <c r="F263" s="12">
        <f t="shared" si="32"/>
        <v>0</v>
      </c>
      <c r="G263" s="12">
        <f>TRUNC('단가대비표(총체)'!P162,0)</f>
        <v>0</v>
      </c>
      <c r="H263" s="12">
        <f t="shared" si="33"/>
        <v>0</v>
      </c>
      <c r="I263" s="12">
        <f>TRUNC('단가대비표(총체)'!V162,0)</f>
        <v>0</v>
      </c>
      <c r="J263" s="12">
        <f t="shared" si="34"/>
        <v>0</v>
      </c>
      <c r="K263" s="12">
        <f t="shared" si="35"/>
        <v>0</v>
      </c>
      <c r="L263" s="12">
        <f t="shared" si="36"/>
        <v>0</v>
      </c>
      <c r="M263" s="9" t="s">
        <v>52</v>
      </c>
      <c r="N263" s="2" t="s">
        <v>617</v>
      </c>
      <c r="O263" s="2" t="s">
        <v>52</v>
      </c>
      <c r="P263" s="2" t="s">
        <v>52</v>
      </c>
      <c r="Q263" s="2" t="s">
        <v>407</v>
      </c>
      <c r="R263" s="2" t="s">
        <v>61</v>
      </c>
      <c r="S263" s="2" t="s">
        <v>61</v>
      </c>
      <c r="T263" s="2" t="s">
        <v>60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2" t="s">
        <v>52</v>
      </c>
      <c r="AS263" s="2" t="s">
        <v>52</v>
      </c>
      <c r="AT263" s="3"/>
      <c r="AU263" s="2" t="s">
        <v>618</v>
      </c>
      <c r="AV263" s="3">
        <v>210</v>
      </c>
    </row>
    <row r="264" spans="1:48" ht="30" customHeight="1" x14ac:dyDescent="0.3">
      <c r="A264" s="9" t="s">
        <v>619</v>
      </c>
      <c r="B264" s="9" t="s">
        <v>620</v>
      </c>
      <c r="C264" s="9" t="s">
        <v>427</v>
      </c>
      <c r="D264" s="10">
        <v>5</v>
      </c>
      <c r="E264" s="12">
        <f>TRUNC('단가대비표(총체)'!O74,0)</f>
        <v>0</v>
      </c>
      <c r="F264" s="12">
        <f t="shared" si="32"/>
        <v>0</v>
      </c>
      <c r="G264" s="12">
        <f>TRUNC('단가대비표(총체)'!P74,0)</f>
        <v>0</v>
      </c>
      <c r="H264" s="12">
        <f t="shared" si="33"/>
        <v>0</v>
      </c>
      <c r="I264" s="12">
        <f>TRUNC('단가대비표(총체)'!V74,0)</f>
        <v>0</v>
      </c>
      <c r="J264" s="12">
        <f t="shared" si="34"/>
        <v>0</v>
      </c>
      <c r="K264" s="12">
        <f t="shared" si="35"/>
        <v>0</v>
      </c>
      <c r="L264" s="12">
        <f t="shared" si="36"/>
        <v>0</v>
      </c>
      <c r="M264" s="9" t="s">
        <v>52</v>
      </c>
      <c r="N264" s="2" t="s">
        <v>621</v>
      </c>
      <c r="O264" s="2" t="s">
        <v>52</v>
      </c>
      <c r="P264" s="2" t="s">
        <v>52</v>
      </c>
      <c r="Q264" s="2" t="s">
        <v>407</v>
      </c>
      <c r="R264" s="2" t="s">
        <v>61</v>
      </c>
      <c r="S264" s="2" t="s">
        <v>61</v>
      </c>
      <c r="T264" s="2" t="s">
        <v>60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2" t="s">
        <v>52</v>
      </c>
      <c r="AS264" s="2" t="s">
        <v>52</v>
      </c>
      <c r="AT264" s="3"/>
      <c r="AU264" s="2" t="s">
        <v>622</v>
      </c>
      <c r="AV264" s="3">
        <v>211</v>
      </c>
    </row>
    <row r="265" spans="1:48" ht="30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spans="1:48" ht="30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spans="1:48" ht="30" customHeight="1" x14ac:dyDescent="0.3">
      <c r="A267" s="9" t="s">
        <v>93</v>
      </c>
      <c r="B267" s="10"/>
      <c r="C267" s="10"/>
      <c r="D267" s="10"/>
      <c r="E267" s="10"/>
      <c r="F267" s="12">
        <f>SUM(F203:F266)</f>
        <v>0</v>
      </c>
      <c r="G267" s="10"/>
      <c r="H267" s="12">
        <f>SUM(H203:H266)</f>
        <v>0</v>
      </c>
      <c r="I267" s="10"/>
      <c r="J267" s="12">
        <f>SUM(J203:J266)</f>
        <v>0</v>
      </c>
      <c r="K267" s="10"/>
      <c r="L267" s="12">
        <f>SUM(L203:L266)</f>
        <v>0</v>
      </c>
      <c r="M267" s="10"/>
      <c r="N267" t="s">
        <v>94</v>
      </c>
    </row>
    <row r="268" spans="1:48" ht="30" customHeight="1" x14ac:dyDescent="0.3">
      <c r="A268" s="9" t="s">
        <v>623</v>
      </c>
      <c r="B268" s="9" t="s">
        <v>52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3"/>
      <c r="O268" s="3"/>
      <c r="P268" s="3"/>
      <c r="Q268" s="2" t="s">
        <v>624</v>
      </c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ht="30" customHeight="1" x14ac:dyDescent="0.3">
      <c r="A269" s="9" t="s">
        <v>625</v>
      </c>
      <c r="B269" s="9" t="s">
        <v>626</v>
      </c>
      <c r="C269" s="9" t="s">
        <v>307</v>
      </c>
      <c r="D269" s="10">
        <v>1</v>
      </c>
      <c r="E269" s="12">
        <f>TRUNC('단가대비표(총체)'!O132,0)</f>
        <v>0</v>
      </c>
      <c r="F269" s="12">
        <f>TRUNC(E269*D269, 0)</f>
        <v>0</v>
      </c>
      <c r="G269" s="12">
        <f>TRUNC('단가대비표(총체)'!P132,0)</f>
        <v>0</v>
      </c>
      <c r="H269" s="12">
        <f>TRUNC(G269*D269, 0)</f>
        <v>0</v>
      </c>
      <c r="I269" s="12">
        <f>TRUNC('단가대비표(총체)'!V132,0)</f>
        <v>0</v>
      </c>
      <c r="J269" s="12">
        <f>TRUNC(I269*D269, 0)</f>
        <v>0</v>
      </c>
      <c r="K269" s="12">
        <f>TRUNC(E269+G269+I269, 0)</f>
        <v>0</v>
      </c>
      <c r="L269" s="12">
        <f>TRUNC(F269+H269+J269, 0)</f>
        <v>0</v>
      </c>
      <c r="M269" s="9" t="s">
        <v>52</v>
      </c>
      <c r="N269" s="2" t="s">
        <v>627</v>
      </c>
      <c r="O269" s="2" t="s">
        <v>52</v>
      </c>
      <c r="P269" s="2" t="s">
        <v>52</v>
      </c>
      <c r="Q269" s="2" t="s">
        <v>624</v>
      </c>
      <c r="R269" s="2" t="s">
        <v>61</v>
      </c>
      <c r="S269" s="2" t="s">
        <v>61</v>
      </c>
      <c r="T269" s="2" t="s">
        <v>60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2" t="s">
        <v>52</v>
      </c>
      <c r="AS269" s="2" t="s">
        <v>52</v>
      </c>
      <c r="AT269" s="3"/>
      <c r="AU269" s="2" t="s">
        <v>628</v>
      </c>
      <c r="AV269" s="3">
        <v>213</v>
      </c>
    </row>
    <row r="270" spans="1:48" ht="30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 spans="1:48" ht="30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 spans="1:48" ht="30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 spans="1:13" ht="30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spans="1:13" ht="30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 spans="1:13" ht="30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 spans="1:13" ht="30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 spans="1:13" ht="30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 spans="1:13" ht="30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spans="1:13" ht="30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spans="1:13" ht="30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 spans="1:13" ht="30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spans="1:13" ht="30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 spans="1:13" ht="30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 spans="1:13" ht="30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ht="30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spans="1:13" ht="30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 spans="1:13" ht="30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 spans="1:13" ht="30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 spans="1:48" ht="30" customHeight="1" x14ac:dyDescent="0.3">
      <c r="A289" s="9" t="s">
        <v>93</v>
      </c>
      <c r="B289" s="10"/>
      <c r="C289" s="10"/>
      <c r="D289" s="10"/>
      <c r="E289" s="10"/>
      <c r="F289" s="12">
        <f>SUM(F269:F288)</f>
        <v>0</v>
      </c>
      <c r="G289" s="10"/>
      <c r="H289" s="12">
        <f>SUM(H269:H288)</f>
        <v>0</v>
      </c>
      <c r="I289" s="10"/>
      <c r="J289" s="12">
        <f>SUM(J269:J288)</f>
        <v>0</v>
      </c>
      <c r="K289" s="10"/>
      <c r="L289" s="12">
        <f>SUM(L269:L288)</f>
        <v>0</v>
      </c>
      <c r="M289" s="10"/>
      <c r="N289" t="s">
        <v>94</v>
      </c>
    </row>
    <row r="290" spans="1:48" ht="30" customHeight="1" x14ac:dyDescent="0.3">
      <c r="A290" s="9" t="s">
        <v>629</v>
      </c>
      <c r="B290" s="9" t="s">
        <v>52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3"/>
      <c r="O290" s="3"/>
      <c r="P290" s="3"/>
      <c r="Q290" s="2" t="s">
        <v>630</v>
      </c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ht="30" customHeight="1" x14ac:dyDescent="0.3">
      <c r="A291" s="9" t="s">
        <v>631</v>
      </c>
      <c r="B291" s="9" t="s">
        <v>632</v>
      </c>
      <c r="C291" s="9" t="s">
        <v>68</v>
      </c>
      <c r="D291" s="10">
        <v>187</v>
      </c>
      <c r="E291" s="12">
        <f>TRUNC('일위대가목록(총체)'!E111,0)</f>
        <v>0</v>
      </c>
      <c r="F291" s="12">
        <f t="shared" ref="F291:F300" si="37">TRUNC(E291*D291, 0)</f>
        <v>0</v>
      </c>
      <c r="G291" s="12">
        <f>TRUNC('일위대가목록(총체)'!F111,0)</f>
        <v>0</v>
      </c>
      <c r="H291" s="12">
        <f t="shared" ref="H291:H300" si="38">TRUNC(G291*D291, 0)</f>
        <v>0</v>
      </c>
      <c r="I291" s="12">
        <f>TRUNC('일위대가목록(총체)'!G111,0)</f>
        <v>0</v>
      </c>
      <c r="J291" s="12">
        <f t="shared" ref="J291:J300" si="39">TRUNC(I291*D291, 0)</f>
        <v>0</v>
      </c>
      <c r="K291" s="12">
        <f t="shared" ref="K291:K300" si="40">TRUNC(E291+G291+I291, 0)</f>
        <v>0</v>
      </c>
      <c r="L291" s="12">
        <f t="shared" ref="L291:L300" si="41">TRUNC(F291+H291+J291, 0)</f>
        <v>0</v>
      </c>
      <c r="M291" s="9" t="s">
        <v>52</v>
      </c>
      <c r="N291" s="2" t="s">
        <v>633</v>
      </c>
      <c r="O291" s="2" t="s">
        <v>52</v>
      </c>
      <c r="P291" s="2" t="s">
        <v>52</v>
      </c>
      <c r="Q291" s="2" t="s">
        <v>630</v>
      </c>
      <c r="R291" s="2" t="s">
        <v>60</v>
      </c>
      <c r="S291" s="2" t="s">
        <v>61</v>
      </c>
      <c r="T291" s="2" t="s">
        <v>61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2" t="s">
        <v>52</v>
      </c>
      <c r="AS291" s="2" t="s">
        <v>52</v>
      </c>
      <c r="AT291" s="3"/>
      <c r="AU291" s="2" t="s">
        <v>634</v>
      </c>
      <c r="AV291" s="3">
        <v>99</v>
      </c>
    </row>
    <row r="292" spans="1:48" ht="30" customHeight="1" x14ac:dyDescent="0.3">
      <c r="A292" s="9" t="s">
        <v>635</v>
      </c>
      <c r="B292" s="9" t="s">
        <v>636</v>
      </c>
      <c r="C292" s="9" t="s">
        <v>637</v>
      </c>
      <c r="D292" s="10">
        <v>14</v>
      </c>
      <c r="E292" s="12">
        <f>TRUNC('일위대가목록(총체)'!E112,0)</f>
        <v>0</v>
      </c>
      <c r="F292" s="12">
        <f t="shared" si="37"/>
        <v>0</v>
      </c>
      <c r="G292" s="12">
        <f>TRUNC('일위대가목록(총체)'!F112,0)</f>
        <v>0</v>
      </c>
      <c r="H292" s="12">
        <f t="shared" si="38"/>
        <v>0</v>
      </c>
      <c r="I292" s="12">
        <f>TRUNC('일위대가목록(총체)'!G112,0)</f>
        <v>0</v>
      </c>
      <c r="J292" s="12">
        <f t="shared" si="39"/>
        <v>0</v>
      </c>
      <c r="K292" s="12">
        <f t="shared" si="40"/>
        <v>0</v>
      </c>
      <c r="L292" s="12">
        <f t="shared" si="41"/>
        <v>0</v>
      </c>
      <c r="M292" s="9" t="s">
        <v>52</v>
      </c>
      <c r="N292" s="2" t="s">
        <v>638</v>
      </c>
      <c r="O292" s="2" t="s">
        <v>52</v>
      </c>
      <c r="P292" s="2" t="s">
        <v>52</v>
      </c>
      <c r="Q292" s="2" t="s">
        <v>630</v>
      </c>
      <c r="R292" s="2" t="s">
        <v>60</v>
      </c>
      <c r="S292" s="2" t="s">
        <v>61</v>
      </c>
      <c r="T292" s="2" t="s">
        <v>61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2" t="s">
        <v>52</v>
      </c>
      <c r="AS292" s="2" t="s">
        <v>52</v>
      </c>
      <c r="AT292" s="3"/>
      <c r="AU292" s="2" t="s">
        <v>639</v>
      </c>
      <c r="AV292" s="3">
        <v>109</v>
      </c>
    </row>
    <row r="293" spans="1:48" ht="30" customHeight="1" x14ac:dyDescent="0.3">
      <c r="A293" s="9" t="s">
        <v>640</v>
      </c>
      <c r="B293" s="9" t="s">
        <v>641</v>
      </c>
      <c r="C293" s="9" t="s">
        <v>68</v>
      </c>
      <c r="D293" s="10">
        <v>68</v>
      </c>
      <c r="E293" s="12">
        <f>TRUNC('일위대가목록(총체)'!E113,0)</f>
        <v>0</v>
      </c>
      <c r="F293" s="12">
        <f t="shared" si="37"/>
        <v>0</v>
      </c>
      <c r="G293" s="12">
        <f>TRUNC('일위대가목록(총체)'!F113,0)</f>
        <v>0</v>
      </c>
      <c r="H293" s="12">
        <f t="shared" si="38"/>
        <v>0</v>
      </c>
      <c r="I293" s="12">
        <f>TRUNC('일위대가목록(총체)'!G113,0)</f>
        <v>0</v>
      </c>
      <c r="J293" s="12">
        <f t="shared" si="39"/>
        <v>0</v>
      </c>
      <c r="K293" s="12">
        <f t="shared" si="40"/>
        <v>0</v>
      </c>
      <c r="L293" s="12">
        <f t="shared" si="41"/>
        <v>0</v>
      </c>
      <c r="M293" s="9" t="s">
        <v>52</v>
      </c>
      <c r="N293" s="2" t="s">
        <v>642</v>
      </c>
      <c r="O293" s="2" t="s">
        <v>52</v>
      </c>
      <c r="P293" s="2" t="s">
        <v>52</v>
      </c>
      <c r="Q293" s="2" t="s">
        <v>630</v>
      </c>
      <c r="R293" s="2" t="s">
        <v>60</v>
      </c>
      <c r="S293" s="2" t="s">
        <v>61</v>
      </c>
      <c r="T293" s="2" t="s">
        <v>61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2" t="s">
        <v>52</v>
      </c>
      <c r="AS293" s="2" t="s">
        <v>52</v>
      </c>
      <c r="AT293" s="3"/>
      <c r="AU293" s="2" t="s">
        <v>643</v>
      </c>
      <c r="AV293" s="3">
        <v>111</v>
      </c>
    </row>
    <row r="294" spans="1:48" ht="30" customHeight="1" x14ac:dyDescent="0.3">
      <c r="A294" s="9" t="s">
        <v>111</v>
      </c>
      <c r="B294" s="9" t="s">
        <v>119</v>
      </c>
      <c r="C294" s="9" t="s">
        <v>68</v>
      </c>
      <c r="D294" s="10">
        <v>40</v>
      </c>
      <c r="E294" s="12">
        <f>TRUNC('일위대가목록(총체)'!E15,0)</f>
        <v>0</v>
      </c>
      <c r="F294" s="12">
        <f t="shared" si="37"/>
        <v>0</v>
      </c>
      <c r="G294" s="12">
        <f>TRUNC('일위대가목록(총체)'!F15,0)</f>
        <v>0</v>
      </c>
      <c r="H294" s="12">
        <f t="shared" si="38"/>
        <v>0</v>
      </c>
      <c r="I294" s="12">
        <f>TRUNC('일위대가목록(총체)'!G15,0)</f>
        <v>0</v>
      </c>
      <c r="J294" s="12">
        <f t="shared" si="39"/>
        <v>0</v>
      </c>
      <c r="K294" s="12">
        <f t="shared" si="40"/>
        <v>0</v>
      </c>
      <c r="L294" s="12">
        <f t="shared" si="41"/>
        <v>0</v>
      </c>
      <c r="M294" s="9" t="s">
        <v>52</v>
      </c>
      <c r="N294" s="2" t="s">
        <v>120</v>
      </c>
      <c r="O294" s="2" t="s">
        <v>52</v>
      </c>
      <c r="P294" s="2" t="s">
        <v>52</v>
      </c>
      <c r="Q294" s="2" t="s">
        <v>630</v>
      </c>
      <c r="R294" s="2" t="s">
        <v>60</v>
      </c>
      <c r="S294" s="2" t="s">
        <v>61</v>
      </c>
      <c r="T294" s="2" t="s">
        <v>61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2" t="s">
        <v>52</v>
      </c>
      <c r="AS294" s="2" t="s">
        <v>52</v>
      </c>
      <c r="AT294" s="3"/>
      <c r="AU294" s="2" t="s">
        <v>644</v>
      </c>
      <c r="AV294" s="3">
        <v>112</v>
      </c>
    </row>
    <row r="295" spans="1:48" ht="30" customHeight="1" x14ac:dyDescent="0.3">
      <c r="A295" s="9" t="s">
        <v>210</v>
      </c>
      <c r="B295" s="9" t="s">
        <v>211</v>
      </c>
      <c r="C295" s="9" t="s">
        <v>68</v>
      </c>
      <c r="D295" s="10">
        <v>68</v>
      </c>
      <c r="E295" s="12">
        <f>TRUNC('일위대가목록(총체)'!E33,0)</f>
        <v>0</v>
      </c>
      <c r="F295" s="12">
        <f t="shared" si="37"/>
        <v>0</v>
      </c>
      <c r="G295" s="12">
        <f>TRUNC('일위대가목록(총체)'!F33,0)</f>
        <v>0</v>
      </c>
      <c r="H295" s="12">
        <f t="shared" si="38"/>
        <v>0</v>
      </c>
      <c r="I295" s="12">
        <f>TRUNC('일위대가목록(총체)'!G33,0)</f>
        <v>0</v>
      </c>
      <c r="J295" s="12">
        <f t="shared" si="39"/>
        <v>0</v>
      </c>
      <c r="K295" s="12">
        <f t="shared" si="40"/>
        <v>0</v>
      </c>
      <c r="L295" s="12">
        <f t="shared" si="41"/>
        <v>0</v>
      </c>
      <c r="M295" s="9" t="s">
        <v>52</v>
      </c>
      <c r="N295" s="2" t="s">
        <v>212</v>
      </c>
      <c r="O295" s="2" t="s">
        <v>52</v>
      </c>
      <c r="P295" s="2" t="s">
        <v>52</v>
      </c>
      <c r="Q295" s="2" t="s">
        <v>630</v>
      </c>
      <c r="R295" s="2" t="s">
        <v>60</v>
      </c>
      <c r="S295" s="2" t="s">
        <v>61</v>
      </c>
      <c r="T295" s="2" t="s">
        <v>61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2" t="s">
        <v>52</v>
      </c>
      <c r="AS295" s="2" t="s">
        <v>52</v>
      </c>
      <c r="AT295" s="3"/>
      <c r="AU295" s="2" t="s">
        <v>645</v>
      </c>
      <c r="AV295" s="3">
        <v>113</v>
      </c>
    </row>
    <row r="296" spans="1:48" ht="30" customHeight="1" x14ac:dyDescent="0.3">
      <c r="A296" s="9" t="s">
        <v>232</v>
      </c>
      <c r="B296" s="9" t="s">
        <v>233</v>
      </c>
      <c r="C296" s="9" t="s">
        <v>68</v>
      </c>
      <c r="D296" s="10">
        <v>136</v>
      </c>
      <c r="E296" s="12">
        <f>TRUNC('단가대비표(총체)'!O52,0)</f>
        <v>0</v>
      </c>
      <c r="F296" s="12">
        <f t="shared" si="37"/>
        <v>0</v>
      </c>
      <c r="G296" s="12">
        <f>TRUNC('단가대비표(총체)'!P52,0)</f>
        <v>0</v>
      </c>
      <c r="H296" s="12">
        <f t="shared" si="38"/>
        <v>0</v>
      </c>
      <c r="I296" s="12">
        <f>TRUNC('단가대비표(총체)'!V52,0)</f>
        <v>0</v>
      </c>
      <c r="J296" s="12">
        <f t="shared" si="39"/>
        <v>0</v>
      </c>
      <c r="K296" s="12">
        <f t="shared" si="40"/>
        <v>0</v>
      </c>
      <c r="L296" s="12">
        <f t="shared" si="41"/>
        <v>0</v>
      </c>
      <c r="M296" s="9" t="s">
        <v>52</v>
      </c>
      <c r="N296" s="2" t="s">
        <v>234</v>
      </c>
      <c r="O296" s="2" t="s">
        <v>52</v>
      </c>
      <c r="P296" s="2" t="s">
        <v>52</v>
      </c>
      <c r="Q296" s="2" t="s">
        <v>630</v>
      </c>
      <c r="R296" s="2" t="s">
        <v>61</v>
      </c>
      <c r="S296" s="2" t="s">
        <v>61</v>
      </c>
      <c r="T296" s="2" t="s">
        <v>60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2" t="s">
        <v>52</v>
      </c>
      <c r="AS296" s="2" t="s">
        <v>52</v>
      </c>
      <c r="AT296" s="3"/>
      <c r="AU296" s="2" t="s">
        <v>646</v>
      </c>
      <c r="AV296" s="3">
        <v>114</v>
      </c>
    </row>
    <row r="297" spans="1:48" ht="30" customHeight="1" x14ac:dyDescent="0.3">
      <c r="A297" s="9" t="s">
        <v>329</v>
      </c>
      <c r="B297" s="9" t="s">
        <v>330</v>
      </c>
      <c r="C297" s="9" t="s">
        <v>68</v>
      </c>
      <c r="D297" s="10">
        <v>40</v>
      </c>
      <c r="E297" s="12">
        <f>TRUNC('단가대비표(총체)'!O58,0)</f>
        <v>0</v>
      </c>
      <c r="F297" s="12">
        <f t="shared" si="37"/>
        <v>0</v>
      </c>
      <c r="G297" s="12">
        <f>TRUNC('단가대비표(총체)'!P58,0)</f>
        <v>0</v>
      </c>
      <c r="H297" s="12">
        <f t="shared" si="38"/>
        <v>0</v>
      </c>
      <c r="I297" s="12">
        <f>TRUNC('단가대비표(총체)'!V58,0)</f>
        <v>0</v>
      </c>
      <c r="J297" s="12">
        <f t="shared" si="39"/>
        <v>0</v>
      </c>
      <c r="K297" s="12">
        <f t="shared" si="40"/>
        <v>0</v>
      </c>
      <c r="L297" s="12">
        <f t="shared" si="41"/>
        <v>0</v>
      </c>
      <c r="M297" s="9" t="s">
        <v>52</v>
      </c>
      <c r="N297" s="2" t="s">
        <v>331</v>
      </c>
      <c r="O297" s="2" t="s">
        <v>52</v>
      </c>
      <c r="P297" s="2" t="s">
        <v>52</v>
      </c>
      <c r="Q297" s="2" t="s">
        <v>630</v>
      </c>
      <c r="R297" s="2" t="s">
        <v>61</v>
      </c>
      <c r="S297" s="2" t="s">
        <v>61</v>
      </c>
      <c r="T297" s="2" t="s">
        <v>60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2" t="s">
        <v>52</v>
      </c>
      <c r="AS297" s="2" t="s">
        <v>52</v>
      </c>
      <c r="AT297" s="3"/>
      <c r="AU297" s="2" t="s">
        <v>647</v>
      </c>
      <c r="AV297" s="3">
        <v>115</v>
      </c>
    </row>
    <row r="298" spans="1:48" ht="30" customHeight="1" x14ac:dyDescent="0.3">
      <c r="A298" s="9" t="s">
        <v>254</v>
      </c>
      <c r="B298" s="9" t="s">
        <v>255</v>
      </c>
      <c r="C298" s="9" t="s">
        <v>68</v>
      </c>
      <c r="D298" s="10">
        <v>40</v>
      </c>
      <c r="E298" s="12">
        <f>TRUNC('일위대가목록(총체)'!E41,0)</f>
        <v>0</v>
      </c>
      <c r="F298" s="12">
        <f t="shared" si="37"/>
        <v>0</v>
      </c>
      <c r="G298" s="12">
        <f>TRUNC('일위대가목록(총체)'!F41,0)</f>
        <v>0</v>
      </c>
      <c r="H298" s="12">
        <f t="shared" si="38"/>
        <v>0</v>
      </c>
      <c r="I298" s="12">
        <f>TRUNC('일위대가목록(총체)'!G41,0)</f>
        <v>0</v>
      </c>
      <c r="J298" s="12">
        <f t="shared" si="39"/>
        <v>0</v>
      </c>
      <c r="K298" s="12">
        <f t="shared" si="40"/>
        <v>0</v>
      </c>
      <c r="L298" s="12">
        <f t="shared" si="41"/>
        <v>0</v>
      </c>
      <c r="M298" s="9" t="s">
        <v>52</v>
      </c>
      <c r="N298" s="2" t="s">
        <v>256</v>
      </c>
      <c r="O298" s="2" t="s">
        <v>52</v>
      </c>
      <c r="P298" s="2" t="s">
        <v>52</v>
      </c>
      <c r="Q298" s="2" t="s">
        <v>630</v>
      </c>
      <c r="R298" s="2" t="s">
        <v>60</v>
      </c>
      <c r="S298" s="2" t="s">
        <v>61</v>
      </c>
      <c r="T298" s="2" t="s">
        <v>61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2" t="s">
        <v>52</v>
      </c>
      <c r="AS298" s="2" t="s">
        <v>52</v>
      </c>
      <c r="AT298" s="3"/>
      <c r="AU298" s="2" t="s">
        <v>648</v>
      </c>
      <c r="AV298" s="3">
        <v>116</v>
      </c>
    </row>
    <row r="299" spans="1:48" ht="30" customHeight="1" x14ac:dyDescent="0.3">
      <c r="A299" s="9" t="s">
        <v>261</v>
      </c>
      <c r="B299" s="9" t="s">
        <v>262</v>
      </c>
      <c r="C299" s="9" t="s">
        <v>68</v>
      </c>
      <c r="D299" s="10">
        <v>42</v>
      </c>
      <c r="E299" s="12">
        <f>TRUNC('단가대비표(총체)'!O56,0)</f>
        <v>0</v>
      </c>
      <c r="F299" s="12">
        <f t="shared" si="37"/>
        <v>0</v>
      </c>
      <c r="G299" s="12">
        <f>TRUNC('단가대비표(총체)'!P56,0)</f>
        <v>0</v>
      </c>
      <c r="H299" s="12">
        <f t="shared" si="38"/>
        <v>0</v>
      </c>
      <c r="I299" s="12">
        <f>TRUNC('단가대비표(총체)'!V56,0)</f>
        <v>0</v>
      </c>
      <c r="J299" s="12">
        <f t="shared" si="39"/>
        <v>0</v>
      </c>
      <c r="K299" s="12">
        <f t="shared" si="40"/>
        <v>0</v>
      </c>
      <c r="L299" s="12">
        <f t="shared" si="41"/>
        <v>0</v>
      </c>
      <c r="M299" s="9" t="s">
        <v>52</v>
      </c>
      <c r="N299" s="2" t="s">
        <v>263</v>
      </c>
      <c r="O299" s="2" t="s">
        <v>52</v>
      </c>
      <c r="P299" s="2" t="s">
        <v>52</v>
      </c>
      <c r="Q299" s="2" t="s">
        <v>630</v>
      </c>
      <c r="R299" s="2" t="s">
        <v>61</v>
      </c>
      <c r="S299" s="2" t="s">
        <v>61</v>
      </c>
      <c r="T299" s="2" t="s">
        <v>60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2" t="s">
        <v>52</v>
      </c>
      <c r="AS299" s="2" t="s">
        <v>52</v>
      </c>
      <c r="AT299" s="3"/>
      <c r="AU299" s="2" t="s">
        <v>649</v>
      </c>
      <c r="AV299" s="3">
        <v>117</v>
      </c>
    </row>
    <row r="300" spans="1:48" ht="30" customHeight="1" x14ac:dyDescent="0.3">
      <c r="A300" s="9" t="s">
        <v>650</v>
      </c>
      <c r="B300" s="9" t="s">
        <v>651</v>
      </c>
      <c r="C300" s="9" t="s">
        <v>307</v>
      </c>
      <c r="D300" s="10">
        <v>1</v>
      </c>
      <c r="E300" s="12">
        <f>TRUNC('단가대비표(총체)'!O133,0)</f>
        <v>0</v>
      </c>
      <c r="F300" s="12">
        <f t="shared" si="37"/>
        <v>0</v>
      </c>
      <c r="G300" s="12">
        <f>TRUNC('단가대비표(총체)'!P133,0)</f>
        <v>0</v>
      </c>
      <c r="H300" s="12">
        <f t="shared" si="38"/>
        <v>0</v>
      </c>
      <c r="I300" s="12">
        <f>TRUNC('단가대비표(총체)'!V133,0)</f>
        <v>0</v>
      </c>
      <c r="J300" s="12">
        <f t="shared" si="39"/>
        <v>0</v>
      </c>
      <c r="K300" s="12">
        <f t="shared" si="40"/>
        <v>0</v>
      </c>
      <c r="L300" s="12">
        <f t="shared" si="41"/>
        <v>0</v>
      </c>
      <c r="M300" s="9" t="s">
        <v>52</v>
      </c>
      <c r="N300" s="2" t="s">
        <v>652</v>
      </c>
      <c r="O300" s="2" t="s">
        <v>52</v>
      </c>
      <c r="P300" s="2" t="s">
        <v>52</v>
      </c>
      <c r="Q300" s="2" t="s">
        <v>630</v>
      </c>
      <c r="R300" s="2" t="s">
        <v>61</v>
      </c>
      <c r="S300" s="2" t="s">
        <v>61</v>
      </c>
      <c r="T300" s="2" t="s">
        <v>60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2" t="s">
        <v>52</v>
      </c>
      <c r="AS300" s="2" t="s">
        <v>52</v>
      </c>
      <c r="AT300" s="3"/>
      <c r="AU300" s="2" t="s">
        <v>653</v>
      </c>
      <c r="AV300" s="3">
        <v>217</v>
      </c>
    </row>
    <row r="301" spans="1:48" ht="30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 spans="1:48" ht="30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 spans="1:48" ht="30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 spans="1:48" ht="30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 spans="1:48" ht="30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spans="1:48" ht="30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 spans="1:48" ht="30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 spans="1:48" ht="30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 spans="1:48" ht="30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spans="1:48" ht="30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 spans="1:48" ht="30" customHeight="1" x14ac:dyDescent="0.3">
      <c r="A311" s="9" t="s">
        <v>93</v>
      </c>
      <c r="B311" s="10"/>
      <c r="C311" s="10"/>
      <c r="D311" s="10"/>
      <c r="E311" s="10"/>
      <c r="F311" s="12">
        <f>SUM(F291:F310)</f>
        <v>0</v>
      </c>
      <c r="G311" s="10"/>
      <c r="H311" s="12">
        <f>SUM(H291:H310)</f>
        <v>0</v>
      </c>
      <c r="I311" s="10"/>
      <c r="J311" s="12">
        <f>SUM(J291:J310)</f>
        <v>0</v>
      </c>
      <c r="K311" s="10"/>
      <c r="L311" s="12">
        <f>SUM(L291:L310)</f>
        <v>0</v>
      </c>
      <c r="M311" s="10"/>
      <c r="N311" t="s">
        <v>94</v>
      </c>
    </row>
    <row r="312" spans="1:48" ht="30" customHeight="1" x14ac:dyDescent="0.3">
      <c r="A312" s="9" t="s">
        <v>654</v>
      </c>
      <c r="B312" s="9" t="s">
        <v>52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3"/>
      <c r="O312" s="3"/>
      <c r="P312" s="3"/>
      <c r="Q312" s="2" t="s">
        <v>655</v>
      </c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1:48" ht="30" customHeight="1" x14ac:dyDescent="0.3">
      <c r="A313" s="9" t="s">
        <v>656</v>
      </c>
      <c r="B313" s="9" t="s">
        <v>52</v>
      </c>
      <c r="C313" s="9" t="s">
        <v>68</v>
      </c>
      <c r="D313" s="10">
        <v>713</v>
      </c>
      <c r="E313" s="12">
        <f>TRUNC('일위대가목록(총체)'!E114,0)</f>
        <v>0</v>
      </c>
      <c r="F313" s="12">
        <f t="shared" ref="F313:F332" si="42">TRUNC(E313*D313, 0)</f>
        <v>0</v>
      </c>
      <c r="G313" s="12">
        <f>TRUNC('일위대가목록(총체)'!F114,0)</f>
        <v>0</v>
      </c>
      <c r="H313" s="12">
        <f t="shared" ref="H313:H332" si="43">TRUNC(G313*D313, 0)</f>
        <v>0</v>
      </c>
      <c r="I313" s="12">
        <f>TRUNC('일위대가목록(총체)'!G114,0)</f>
        <v>0</v>
      </c>
      <c r="J313" s="12">
        <f t="shared" ref="J313:J332" si="44">TRUNC(I313*D313, 0)</f>
        <v>0</v>
      </c>
      <c r="K313" s="12">
        <f t="shared" ref="K313:K332" si="45">TRUNC(E313+G313+I313, 0)</f>
        <v>0</v>
      </c>
      <c r="L313" s="12">
        <f t="shared" ref="L313:L332" si="46">TRUNC(F313+H313+J313, 0)</f>
        <v>0</v>
      </c>
      <c r="M313" s="9" t="s">
        <v>52</v>
      </c>
      <c r="N313" s="2" t="s">
        <v>657</v>
      </c>
      <c r="O313" s="2" t="s">
        <v>52</v>
      </c>
      <c r="P313" s="2" t="s">
        <v>52</v>
      </c>
      <c r="Q313" s="2" t="s">
        <v>655</v>
      </c>
      <c r="R313" s="2" t="s">
        <v>60</v>
      </c>
      <c r="S313" s="2" t="s">
        <v>61</v>
      </c>
      <c r="T313" s="2" t="s">
        <v>61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2" t="s">
        <v>52</v>
      </c>
      <c r="AS313" s="2" t="s">
        <v>52</v>
      </c>
      <c r="AT313" s="3"/>
      <c r="AU313" s="2" t="s">
        <v>658</v>
      </c>
      <c r="AV313" s="3">
        <v>120</v>
      </c>
    </row>
    <row r="314" spans="1:48" ht="30" customHeight="1" x14ac:dyDescent="0.3">
      <c r="A314" s="9" t="s">
        <v>659</v>
      </c>
      <c r="B314" s="9" t="s">
        <v>156</v>
      </c>
      <c r="C314" s="9" t="s">
        <v>68</v>
      </c>
      <c r="D314" s="10">
        <v>217</v>
      </c>
      <c r="E314" s="12">
        <f>TRUNC('일위대가목록(총체)'!E115,0)</f>
        <v>0</v>
      </c>
      <c r="F314" s="12">
        <f t="shared" si="42"/>
        <v>0</v>
      </c>
      <c r="G314" s="12">
        <f>TRUNC('일위대가목록(총체)'!F115,0)</f>
        <v>0</v>
      </c>
      <c r="H314" s="12">
        <f t="shared" si="43"/>
        <v>0</v>
      </c>
      <c r="I314" s="12">
        <f>TRUNC('일위대가목록(총체)'!G115,0)</f>
        <v>0</v>
      </c>
      <c r="J314" s="12">
        <f t="shared" si="44"/>
        <v>0</v>
      </c>
      <c r="K314" s="12">
        <f t="shared" si="45"/>
        <v>0</v>
      </c>
      <c r="L314" s="12">
        <f t="shared" si="46"/>
        <v>0</v>
      </c>
      <c r="M314" s="9" t="s">
        <v>52</v>
      </c>
      <c r="N314" s="2" t="s">
        <v>660</v>
      </c>
      <c r="O314" s="2" t="s">
        <v>52</v>
      </c>
      <c r="P314" s="2" t="s">
        <v>52</v>
      </c>
      <c r="Q314" s="2" t="s">
        <v>655</v>
      </c>
      <c r="R314" s="2" t="s">
        <v>60</v>
      </c>
      <c r="S314" s="2" t="s">
        <v>61</v>
      </c>
      <c r="T314" s="2" t="s">
        <v>61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2" t="s">
        <v>52</v>
      </c>
      <c r="AS314" s="2" t="s">
        <v>52</v>
      </c>
      <c r="AT314" s="3"/>
      <c r="AU314" s="2" t="s">
        <v>661</v>
      </c>
      <c r="AV314" s="3">
        <v>121</v>
      </c>
    </row>
    <row r="315" spans="1:48" ht="30" customHeight="1" x14ac:dyDescent="0.3">
      <c r="A315" s="9" t="s">
        <v>662</v>
      </c>
      <c r="B315" s="9" t="s">
        <v>52</v>
      </c>
      <c r="C315" s="9" t="s">
        <v>68</v>
      </c>
      <c r="D315" s="10">
        <v>377</v>
      </c>
      <c r="E315" s="12">
        <f>TRUNC('일위대가목록(총체)'!E116,0)</f>
        <v>0</v>
      </c>
      <c r="F315" s="12">
        <f t="shared" si="42"/>
        <v>0</v>
      </c>
      <c r="G315" s="12">
        <f>TRUNC('일위대가목록(총체)'!F116,0)</f>
        <v>0</v>
      </c>
      <c r="H315" s="12">
        <f t="shared" si="43"/>
        <v>0</v>
      </c>
      <c r="I315" s="12">
        <f>TRUNC('일위대가목록(총체)'!G116,0)</f>
        <v>0</v>
      </c>
      <c r="J315" s="12">
        <f t="shared" si="44"/>
        <v>0</v>
      </c>
      <c r="K315" s="12">
        <f t="shared" si="45"/>
        <v>0</v>
      </c>
      <c r="L315" s="12">
        <f t="shared" si="46"/>
        <v>0</v>
      </c>
      <c r="M315" s="9" t="s">
        <v>52</v>
      </c>
      <c r="N315" s="2" t="s">
        <v>663</v>
      </c>
      <c r="O315" s="2" t="s">
        <v>52</v>
      </c>
      <c r="P315" s="2" t="s">
        <v>52</v>
      </c>
      <c r="Q315" s="2" t="s">
        <v>655</v>
      </c>
      <c r="R315" s="2" t="s">
        <v>60</v>
      </c>
      <c r="S315" s="2" t="s">
        <v>61</v>
      </c>
      <c r="T315" s="2" t="s">
        <v>61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2" t="s">
        <v>52</v>
      </c>
      <c r="AS315" s="2" t="s">
        <v>52</v>
      </c>
      <c r="AT315" s="3"/>
      <c r="AU315" s="2" t="s">
        <v>664</v>
      </c>
      <c r="AV315" s="3">
        <v>122</v>
      </c>
    </row>
    <row r="316" spans="1:48" ht="30" customHeight="1" x14ac:dyDescent="0.3">
      <c r="A316" s="9" t="s">
        <v>665</v>
      </c>
      <c r="B316" s="9" t="s">
        <v>159</v>
      </c>
      <c r="C316" s="9" t="s">
        <v>68</v>
      </c>
      <c r="D316" s="10">
        <v>753</v>
      </c>
      <c r="E316" s="12">
        <f>TRUNC('일위대가목록(총체)'!E117,0)</f>
        <v>0</v>
      </c>
      <c r="F316" s="12">
        <f t="shared" si="42"/>
        <v>0</v>
      </c>
      <c r="G316" s="12">
        <f>TRUNC('일위대가목록(총체)'!F117,0)</f>
        <v>0</v>
      </c>
      <c r="H316" s="12">
        <f t="shared" si="43"/>
        <v>0</v>
      </c>
      <c r="I316" s="12">
        <f>TRUNC('일위대가목록(총체)'!G117,0)</f>
        <v>0</v>
      </c>
      <c r="J316" s="12">
        <f t="shared" si="44"/>
        <v>0</v>
      </c>
      <c r="K316" s="12">
        <f t="shared" si="45"/>
        <v>0</v>
      </c>
      <c r="L316" s="12">
        <f t="shared" si="46"/>
        <v>0</v>
      </c>
      <c r="M316" s="9" t="s">
        <v>52</v>
      </c>
      <c r="N316" s="2" t="s">
        <v>666</v>
      </c>
      <c r="O316" s="2" t="s">
        <v>52</v>
      </c>
      <c r="P316" s="2" t="s">
        <v>52</v>
      </c>
      <c r="Q316" s="2" t="s">
        <v>655</v>
      </c>
      <c r="R316" s="2" t="s">
        <v>60</v>
      </c>
      <c r="S316" s="2" t="s">
        <v>61</v>
      </c>
      <c r="T316" s="2" t="s">
        <v>61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2" t="s">
        <v>52</v>
      </c>
      <c r="AS316" s="2" t="s">
        <v>52</v>
      </c>
      <c r="AT316" s="3"/>
      <c r="AU316" s="2" t="s">
        <v>667</v>
      </c>
      <c r="AV316" s="3">
        <v>123</v>
      </c>
    </row>
    <row r="317" spans="1:48" ht="30" customHeight="1" x14ac:dyDescent="0.3">
      <c r="A317" s="9" t="s">
        <v>668</v>
      </c>
      <c r="B317" s="9" t="s">
        <v>52</v>
      </c>
      <c r="C317" s="9" t="s">
        <v>68</v>
      </c>
      <c r="D317" s="10">
        <v>929</v>
      </c>
      <c r="E317" s="12">
        <f>TRUNC('일위대가목록(총체)'!E118,0)</f>
        <v>0</v>
      </c>
      <c r="F317" s="12">
        <f t="shared" si="42"/>
        <v>0</v>
      </c>
      <c r="G317" s="12">
        <f>TRUNC('일위대가목록(총체)'!F118,0)</f>
        <v>0</v>
      </c>
      <c r="H317" s="12">
        <f t="shared" si="43"/>
        <v>0</v>
      </c>
      <c r="I317" s="12">
        <f>TRUNC('일위대가목록(총체)'!G118,0)</f>
        <v>0</v>
      </c>
      <c r="J317" s="12">
        <f t="shared" si="44"/>
        <v>0</v>
      </c>
      <c r="K317" s="12">
        <f t="shared" si="45"/>
        <v>0</v>
      </c>
      <c r="L317" s="12">
        <f t="shared" si="46"/>
        <v>0</v>
      </c>
      <c r="M317" s="9" t="s">
        <v>52</v>
      </c>
      <c r="N317" s="2" t="s">
        <v>669</v>
      </c>
      <c r="O317" s="2" t="s">
        <v>52</v>
      </c>
      <c r="P317" s="2" t="s">
        <v>52</v>
      </c>
      <c r="Q317" s="2" t="s">
        <v>655</v>
      </c>
      <c r="R317" s="2" t="s">
        <v>60</v>
      </c>
      <c r="S317" s="2" t="s">
        <v>61</v>
      </c>
      <c r="T317" s="2" t="s">
        <v>61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2" t="s">
        <v>52</v>
      </c>
      <c r="AS317" s="2" t="s">
        <v>52</v>
      </c>
      <c r="AT317" s="3"/>
      <c r="AU317" s="2" t="s">
        <v>670</v>
      </c>
      <c r="AV317" s="3">
        <v>124</v>
      </c>
    </row>
    <row r="318" spans="1:48" ht="30" customHeight="1" x14ac:dyDescent="0.3">
      <c r="A318" s="9" t="s">
        <v>671</v>
      </c>
      <c r="B318" s="9" t="s">
        <v>52</v>
      </c>
      <c r="C318" s="9" t="s">
        <v>68</v>
      </c>
      <c r="D318" s="10">
        <v>713</v>
      </c>
      <c r="E318" s="12">
        <f>TRUNC('일위대가목록(총체)'!E119,0)</f>
        <v>0</v>
      </c>
      <c r="F318" s="12">
        <f t="shared" si="42"/>
        <v>0</v>
      </c>
      <c r="G318" s="12">
        <f>TRUNC('일위대가목록(총체)'!F119,0)</f>
        <v>0</v>
      </c>
      <c r="H318" s="12">
        <f t="shared" si="43"/>
        <v>0</v>
      </c>
      <c r="I318" s="12">
        <f>TRUNC('일위대가목록(총체)'!G119,0)</f>
        <v>0</v>
      </c>
      <c r="J318" s="12">
        <f t="shared" si="44"/>
        <v>0</v>
      </c>
      <c r="K318" s="12">
        <f t="shared" si="45"/>
        <v>0</v>
      </c>
      <c r="L318" s="12">
        <f t="shared" si="46"/>
        <v>0</v>
      </c>
      <c r="M318" s="9" t="s">
        <v>52</v>
      </c>
      <c r="N318" s="2" t="s">
        <v>672</v>
      </c>
      <c r="O318" s="2" t="s">
        <v>52</v>
      </c>
      <c r="P318" s="2" t="s">
        <v>52</v>
      </c>
      <c r="Q318" s="2" t="s">
        <v>655</v>
      </c>
      <c r="R318" s="2" t="s">
        <v>60</v>
      </c>
      <c r="S318" s="2" t="s">
        <v>61</v>
      </c>
      <c r="T318" s="2" t="s">
        <v>61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2" t="s">
        <v>52</v>
      </c>
      <c r="AS318" s="2" t="s">
        <v>52</v>
      </c>
      <c r="AT318" s="3"/>
      <c r="AU318" s="2" t="s">
        <v>673</v>
      </c>
      <c r="AV318" s="3">
        <v>125</v>
      </c>
    </row>
    <row r="319" spans="1:48" ht="30" customHeight="1" x14ac:dyDescent="0.3">
      <c r="A319" s="9" t="s">
        <v>665</v>
      </c>
      <c r="B319" s="9" t="s">
        <v>674</v>
      </c>
      <c r="C319" s="9" t="s">
        <v>68</v>
      </c>
      <c r="D319" s="10">
        <v>216</v>
      </c>
      <c r="E319" s="12">
        <f>TRUNC('일위대가목록(총체)'!E120,0)</f>
        <v>0</v>
      </c>
      <c r="F319" s="12">
        <f t="shared" si="42"/>
        <v>0</v>
      </c>
      <c r="G319" s="12">
        <f>TRUNC('일위대가목록(총체)'!F120,0)</f>
        <v>0</v>
      </c>
      <c r="H319" s="12">
        <f t="shared" si="43"/>
        <v>0</v>
      </c>
      <c r="I319" s="12">
        <f>TRUNC('일위대가목록(총체)'!G120,0)</f>
        <v>0</v>
      </c>
      <c r="J319" s="12">
        <f t="shared" si="44"/>
        <v>0</v>
      </c>
      <c r="K319" s="12">
        <f t="shared" si="45"/>
        <v>0</v>
      </c>
      <c r="L319" s="12">
        <f t="shared" si="46"/>
        <v>0</v>
      </c>
      <c r="M319" s="9" t="s">
        <v>52</v>
      </c>
      <c r="N319" s="2" t="s">
        <v>675</v>
      </c>
      <c r="O319" s="2" t="s">
        <v>52</v>
      </c>
      <c r="P319" s="2" t="s">
        <v>52</v>
      </c>
      <c r="Q319" s="2" t="s">
        <v>655</v>
      </c>
      <c r="R319" s="2" t="s">
        <v>60</v>
      </c>
      <c r="S319" s="2" t="s">
        <v>61</v>
      </c>
      <c r="T319" s="2" t="s">
        <v>61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2" t="s">
        <v>52</v>
      </c>
      <c r="AS319" s="2" t="s">
        <v>52</v>
      </c>
      <c r="AT319" s="3"/>
      <c r="AU319" s="2" t="s">
        <v>676</v>
      </c>
      <c r="AV319" s="3">
        <v>126</v>
      </c>
    </row>
    <row r="320" spans="1:48" ht="30" customHeight="1" x14ac:dyDescent="0.3">
      <c r="A320" s="9" t="s">
        <v>677</v>
      </c>
      <c r="B320" s="9" t="s">
        <v>159</v>
      </c>
      <c r="C320" s="9" t="s">
        <v>68</v>
      </c>
      <c r="D320" s="10">
        <v>194</v>
      </c>
      <c r="E320" s="12">
        <f>TRUNC('일위대가목록(총체)'!E121,0)</f>
        <v>0</v>
      </c>
      <c r="F320" s="12">
        <f t="shared" si="42"/>
        <v>0</v>
      </c>
      <c r="G320" s="12">
        <f>TRUNC('일위대가목록(총체)'!F121,0)</f>
        <v>0</v>
      </c>
      <c r="H320" s="12">
        <f t="shared" si="43"/>
        <v>0</v>
      </c>
      <c r="I320" s="12">
        <f>TRUNC('일위대가목록(총체)'!G121,0)</f>
        <v>0</v>
      </c>
      <c r="J320" s="12">
        <f t="shared" si="44"/>
        <v>0</v>
      </c>
      <c r="K320" s="12">
        <f t="shared" si="45"/>
        <v>0</v>
      </c>
      <c r="L320" s="12">
        <f t="shared" si="46"/>
        <v>0</v>
      </c>
      <c r="M320" s="9" t="s">
        <v>52</v>
      </c>
      <c r="N320" s="2" t="s">
        <v>678</v>
      </c>
      <c r="O320" s="2" t="s">
        <v>52</v>
      </c>
      <c r="P320" s="2" t="s">
        <v>52</v>
      </c>
      <c r="Q320" s="2" t="s">
        <v>655</v>
      </c>
      <c r="R320" s="2" t="s">
        <v>60</v>
      </c>
      <c r="S320" s="2" t="s">
        <v>61</v>
      </c>
      <c r="T320" s="2" t="s">
        <v>61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2" t="s">
        <v>52</v>
      </c>
      <c r="AS320" s="2" t="s">
        <v>52</v>
      </c>
      <c r="AT320" s="3"/>
      <c r="AU320" s="2" t="s">
        <v>679</v>
      </c>
      <c r="AV320" s="3">
        <v>127</v>
      </c>
    </row>
    <row r="321" spans="1:48" ht="30" customHeight="1" x14ac:dyDescent="0.3">
      <c r="A321" s="9" t="s">
        <v>677</v>
      </c>
      <c r="B321" s="9" t="s">
        <v>674</v>
      </c>
      <c r="C321" s="9" t="s">
        <v>68</v>
      </c>
      <c r="D321" s="10">
        <v>216</v>
      </c>
      <c r="E321" s="12">
        <f>TRUNC('일위대가목록(총체)'!E122,0)</f>
        <v>0</v>
      </c>
      <c r="F321" s="12">
        <f t="shared" si="42"/>
        <v>0</v>
      </c>
      <c r="G321" s="12">
        <f>TRUNC('일위대가목록(총체)'!F122,0)</f>
        <v>0</v>
      </c>
      <c r="H321" s="12">
        <f t="shared" si="43"/>
        <v>0</v>
      </c>
      <c r="I321" s="12">
        <f>TRUNC('일위대가목록(총체)'!G122,0)</f>
        <v>0</v>
      </c>
      <c r="J321" s="12">
        <f t="shared" si="44"/>
        <v>0</v>
      </c>
      <c r="K321" s="12">
        <f t="shared" si="45"/>
        <v>0</v>
      </c>
      <c r="L321" s="12">
        <f t="shared" si="46"/>
        <v>0</v>
      </c>
      <c r="M321" s="9" t="s">
        <v>52</v>
      </c>
      <c r="N321" s="2" t="s">
        <v>680</v>
      </c>
      <c r="O321" s="2" t="s">
        <v>52</v>
      </c>
      <c r="P321" s="2" t="s">
        <v>52</v>
      </c>
      <c r="Q321" s="2" t="s">
        <v>655</v>
      </c>
      <c r="R321" s="2" t="s">
        <v>60</v>
      </c>
      <c r="S321" s="2" t="s">
        <v>61</v>
      </c>
      <c r="T321" s="2" t="s">
        <v>61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2" t="s">
        <v>52</v>
      </c>
      <c r="AS321" s="2" t="s">
        <v>52</v>
      </c>
      <c r="AT321" s="3"/>
      <c r="AU321" s="2" t="s">
        <v>681</v>
      </c>
      <c r="AV321" s="3">
        <v>128</v>
      </c>
    </row>
    <row r="322" spans="1:48" ht="30" customHeight="1" x14ac:dyDescent="0.3">
      <c r="A322" s="9" t="s">
        <v>682</v>
      </c>
      <c r="B322" s="9" t="s">
        <v>683</v>
      </c>
      <c r="C322" s="9" t="s">
        <v>637</v>
      </c>
      <c r="D322" s="10">
        <v>32</v>
      </c>
      <c r="E322" s="12">
        <f>TRUNC('일위대가목록(총체)'!E123,0)</f>
        <v>0</v>
      </c>
      <c r="F322" s="12">
        <f t="shared" si="42"/>
        <v>0</v>
      </c>
      <c r="G322" s="12">
        <f>TRUNC('일위대가목록(총체)'!F123,0)</f>
        <v>0</v>
      </c>
      <c r="H322" s="12">
        <f t="shared" si="43"/>
        <v>0</v>
      </c>
      <c r="I322" s="12">
        <f>TRUNC('일위대가목록(총체)'!G123,0)</f>
        <v>0</v>
      </c>
      <c r="J322" s="12">
        <f t="shared" si="44"/>
        <v>0</v>
      </c>
      <c r="K322" s="12">
        <f t="shared" si="45"/>
        <v>0</v>
      </c>
      <c r="L322" s="12">
        <f t="shared" si="46"/>
        <v>0</v>
      </c>
      <c r="M322" s="9" t="s">
        <v>52</v>
      </c>
      <c r="N322" s="2" t="s">
        <v>684</v>
      </c>
      <c r="O322" s="2" t="s">
        <v>52</v>
      </c>
      <c r="P322" s="2" t="s">
        <v>52</v>
      </c>
      <c r="Q322" s="2" t="s">
        <v>655</v>
      </c>
      <c r="R322" s="2" t="s">
        <v>60</v>
      </c>
      <c r="S322" s="2" t="s">
        <v>61</v>
      </c>
      <c r="T322" s="2" t="s">
        <v>61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2" t="s">
        <v>52</v>
      </c>
      <c r="AS322" s="2" t="s">
        <v>52</v>
      </c>
      <c r="AT322" s="3"/>
      <c r="AU322" s="2" t="s">
        <v>685</v>
      </c>
      <c r="AV322" s="3">
        <v>129</v>
      </c>
    </row>
    <row r="323" spans="1:48" ht="30" customHeight="1" x14ac:dyDescent="0.3">
      <c r="A323" s="9" t="s">
        <v>686</v>
      </c>
      <c r="B323" s="9" t="s">
        <v>687</v>
      </c>
      <c r="C323" s="9" t="s">
        <v>68</v>
      </c>
      <c r="D323" s="10">
        <v>103</v>
      </c>
      <c r="E323" s="12">
        <f>TRUNC('일위대가목록(총체)'!E124,0)</f>
        <v>0</v>
      </c>
      <c r="F323" s="12">
        <f t="shared" si="42"/>
        <v>0</v>
      </c>
      <c r="G323" s="12">
        <f>TRUNC('일위대가목록(총체)'!F124,0)</f>
        <v>0</v>
      </c>
      <c r="H323" s="12">
        <f t="shared" si="43"/>
        <v>0</v>
      </c>
      <c r="I323" s="12">
        <f>TRUNC('일위대가목록(총체)'!G124,0)</f>
        <v>0</v>
      </c>
      <c r="J323" s="12">
        <f t="shared" si="44"/>
        <v>0</v>
      </c>
      <c r="K323" s="12">
        <f t="shared" si="45"/>
        <v>0</v>
      </c>
      <c r="L323" s="12">
        <f t="shared" si="46"/>
        <v>0</v>
      </c>
      <c r="M323" s="9" t="s">
        <v>52</v>
      </c>
      <c r="N323" s="2" t="s">
        <v>688</v>
      </c>
      <c r="O323" s="2" t="s">
        <v>52</v>
      </c>
      <c r="P323" s="2" t="s">
        <v>52</v>
      </c>
      <c r="Q323" s="2" t="s">
        <v>655</v>
      </c>
      <c r="R323" s="2" t="s">
        <v>60</v>
      </c>
      <c r="S323" s="2" t="s">
        <v>61</v>
      </c>
      <c r="T323" s="2" t="s">
        <v>61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2" t="s">
        <v>52</v>
      </c>
      <c r="AS323" s="2" t="s">
        <v>52</v>
      </c>
      <c r="AT323" s="3"/>
      <c r="AU323" s="2" t="s">
        <v>689</v>
      </c>
      <c r="AV323" s="3">
        <v>130</v>
      </c>
    </row>
    <row r="324" spans="1:48" ht="30" customHeight="1" x14ac:dyDescent="0.3">
      <c r="A324" s="9" t="s">
        <v>686</v>
      </c>
      <c r="B324" s="9" t="s">
        <v>690</v>
      </c>
      <c r="C324" s="9" t="s">
        <v>68</v>
      </c>
      <c r="D324" s="10">
        <v>33</v>
      </c>
      <c r="E324" s="12">
        <f>TRUNC('일위대가목록(총체)'!E125,0)</f>
        <v>0</v>
      </c>
      <c r="F324" s="12">
        <f t="shared" si="42"/>
        <v>0</v>
      </c>
      <c r="G324" s="12">
        <f>TRUNC('일위대가목록(총체)'!F125,0)</f>
        <v>0</v>
      </c>
      <c r="H324" s="12">
        <f t="shared" si="43"/>
        <v>0</v>
      </c>
      <c r="I324" s="12">
        <f>TRUNC('일위대가목록(총체)'!G125,0)</f>
        <v>0</v>
      </c>
      <c r="J324" s="12">
        <f t="shared" si="44"/>
        <v>0</v>
      </c>
      <c r="K324" s="12">
        <f t="shared" si="45"/>
        <v>0</v>
      </c>
      <c r="L324" s="12">
        <f t="shared" si="46"/>
        <v>0</v>
      </c>
      <c r="M324" s="9" t="s">
        <v>52</v>
      </c>
      <c r="N324" s="2" t="s">
        <v>691</v>
      </c>
      <c r="O324" s="2" t="s">
        <v>52</v>
      </c>
      <c r="P324" s="2" t="s">
        <v>52</v>
      </c>
      <c r="Q324" s="2" t="s">
        <v>655</v>
      </c>
      <c r="R324" s="2" t="s">
        <v>60</v>
      </c>
      <c r="S324" s="2" t="s">
        <v>61</v>
      </c>
      <c r="T324" s="2" t="s">
        <v>61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2" t="s">
        <v>52</v>
      </c>
      <c r="AS324" s="2" t="s">
        <v>52</v>
      </c>
      <c r="AT324" s="3"/>
      <c r="AU324" s="2" t="s">
        <v>692</v>
      </c>
      <c r="AV324" s="3">
        <v>131</v>
      </c>
    </row>
    <row r="325" spans="1:48" ht="30" customHeight="1" x14ac:dyDescent="0.3">
      <c r="A325" s="9" t="s">
        <v>693</v>
      </c>
      <c r="B325" s="9" t="s">
        <v>156</v>
      </c>
      <c r="C325" s="9" t="s">
        <v>68</v>
      </c>
      <c r="D325" s="10">
        <v>149</v>
      </c>
      <c r="E325" s="12">
        <f>TRUNC('일위대가목록(총체)'!E126,0)</f>
        <v>0</v>
      </c>
      <c r="F325" s="12">
        <f t="shared" si="42"/>
        <v>0</v>
      </c>
      <c r="G325" s="12">
        <f>TRUNC('일위대가목록(총체)'!F126,0)</f>
        <v>0</v>
      </c>
      <c r="H325" s="12">
        <f t="shared" si="43"/>
        <v>0</v>
      </c>
      <c r="I325" s="12">
        <f>TRUNC('일위대가목록(총체)'!G126,0)</f>
        <v>0</v>
      </c>
      <c r="J325" s="12">
        <f t="shared" si="44"/>
        <v>0</v>
      </c>
      <c r="K325" s="12">
        <f t="shared" si="45"/>
        <v>0</v>
      </c>
      <c r="L325" s="12">
        <f t="shared" si="46"/>
        <v>0</v>
      </c>
      <c r="M325" s="9" t="s">
        <v>52</v>
      </c>
      <c r="N325" s="2" t="s">
        <v>694</v>
      </c>
      <c r="O325" s="2" t="s">
        <v>52</v>
      </c>
      <c r="P325" s="2" t="s">
        <v>52</v>
      </c>
      <c r="Q325" s="2" t="s">
        <v>655</v>
      </c>
      <c r="R325" s="2" t="s">
        <v>60</v>
      </c>
      <c r="S325" s="2" t="s">
        <v>61</v>
      </c>
      <c r="T325" s="2" t="s">
        <v>61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2" t="s">
        <v>52</v>
      </c>
      <c r="AS325" s="2" t="s">
        <v>52</v>
      </c>
      <c r="AT325" s="3"/>
      <c r="AU325" s="2" t="s">
        <v>695</v>
      </c>
      <c r="AV325" s="3">
        <v>132</v>
      </c>
    </row>
    <row r="326" spans="1:48" ht="30" customHeight="1" x14ac:dyDescent="0.3">
      <c r="A326" s="9" t="s">
        <v>696</v>
      </c>
      <c r="B326" s="9" t="s">
        <v>697</v>
      </c>
      <c r="C326" s="9" t="s">
        <v>320</v>
      </c>
      <c r="D326" s="10">
        <v>19</v>
      </c>
      <c r="E326" s="12">
        <f>TRUNC('일위대가목록(총체)'!E127,0)</f>
        <v>0</v>
      </c>
      <c r="F326" s="12">
        <f t="shared" si="42"/>
        <v>0</v>
      </c>
      <c r="G326" s="12">
        <f>TRUNC('일위대가목록(총체)'!F127,0)</f>
        <v>0</v>
      </c>
      <c r="H326" s="12">
        <f t="shared" si="43"/>
        <v>0</v>
      </c>
      <c r="I326" s="12">
        <f>TRUNC('일위대가목록(총체)'!G127,0)</f>
        <v>0</v>
      </c>
      <c r="J326" s="12">
        <f t="shared" si="44"/>
        <v>0</v>
      </c>
      <c r="K326" s="12">
        <f t="shared" si="45"/>
        <v>0</v>
      </c>
      <c r="L326" s="12">
        <f t="shared" si="46"/>
        <v>0</v>
      </c>
      <c r="M326" s="9" t="s">
        <v>52</v>
      </c>
      <c r="N326" s="2" t="s">
        <v>698</v>
      </c>
      <c r="O326" s="2" t="s">
        <v>52</v>
      </c>
      <c r="P326" s="2" t="s">
        <v>52</v>
      </c>
      <c r="Q326" s="2" t="s">
        <v>655</v>
      </c>
      <c r="R326" s="2" t="s">
        <v>60</v>
      </c>
      <c r="S326" s="2" t="s">
        <v>61</v>
      </c>
      <c r="T326" s="2" t="s">
        <v>61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2" t="s">
        <v>52</v>
      </c>
      <c r="AS326" s="2" t="s">
        <v>52</v>
      </c>
      <c r="AT326" s="3"/>
      <c r="AU326" s="2" t="s">
        <v>699</v>
      </c>
      <c r="AV326" s="3">
        <v>133</v>
      </c>
    </row>
    <row r="327" spans="1:48" ht="30" customHeight="1" x14ac:dyDescent="0.3">
      <c r="A327" s="9" t="s">
        <v>696</v>
      </c>
      <c r="B327" s="9" t="s">
        <v>700</v>
      </c>
      <c r="C327" s="9" t="s">
        <v>320</v>
      </c>
      <c r="D327" s="10">
        <v>2</v>
      </c>
      <c r="E327" s="12">
        <f>TRUNC('일위대가목록(총체)'!E128,0)</f>
        <v>0</v>
      </c>
      <c r="F327" s="12">
        <f t="shared" si="42"/>
        <v>0</v>
      </c>
      <c r="G327" s="12">
        <f>TRUNC('일위대가목록(총체)'!F128,0)</f>
        <v>0</v>
      </c>
      <c r="H327" s="12">
        <f t="shared" si="43"/>
        <v>0</v>
      </c>
      <c r="I327" s="12">
        <f>TRUNC('일위대가목록(총체)'!G128,0)</f>
        <v>0</v>
      </c>
      <c r="J327" s="12">
        <f t="shared" si="44"/>
        <v>0</v>
      </c>
      <c r="K327" s="12">
        <f t="shared" si="45"/>
        <v>0</v>
      </c>
      <c r="L327" s="12">
        <f t="shared" si="46"/>
        <v>0</v>
      </c>
      <c r="M327" s="9" t="s">
        <v>52</v>
      </c>
      <c r="N327" s="2" t="s">
        <v>701</v>
      </c>
      <c r="O327" s="2" t="s">
        <v>52</v>
      </c>
      <c r="P327" s="2" t="s">
        <v>52</v>
      </c>
      <c r="Q327" s="2" t="s">
        <v>655</v>
      </c>
      <c r="R327" s="2" t="s">
        <v>60</v>
      </c>
      <c r="S327" s="2" t="s">
        <v>61</v>
      </c>
      <c r="T327" s="2" t="s">
        <v>61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2" t="s">
        <v>52</v>
      </c>
      <c r="AS327" s="2" t="s">
        <v>52</v>
      </c>
      <c r="AT327" s="3"/>
      <c r="AU327" s="2" t="s">
        <v>702</v>
      </c>
      <c r="AV327" s="3">
        <v>134</v>
      </c>
    </row>
    <row r="328" spans="1:48" ht="30" customHeight="1" x14ac:dyDescent="0.3">
      <c r="A328" s="9" t="s">
        <v>696</v>
      </c>
      <c r="B328" s="9" t="s">
        <v>703</v>
      </c>
      <c r="C328" s="9" t="s">
        <v>320</v>
      </c>
      <c r="D328" s="10">
        <v>3</v>
      </c>
      <c r="E328" s="12">
        <f>TRUNC('일위대가목록(총체)'!E129,0)</f>
        <v>0</v>
      </c>
      <c r="F328" s="12">
        <f t="shared" si="42"/>
        <v>0</v>
      </c>
      <c r="G328" s="12">
        <f>TRUNC('일위대가목록(총체)'!F129,0)</f>
        <v>0</v>
      </c>
      <c r="H328" s="12">
        <f t="shared" si="43"/>
        <v>0</v>
      </c>
      <c r="I328" s="12">
        <f>TRUNC('일위대가목록(총체)'!G129,0)</f>
        <v>0</v>
      </c>
      <c r="J328" s="12">
        <f t="shared" si="44"/>
        <v>0</v>
      </c>
      <c r="K328" s="12">
        <f t="shared" si="45"/>
        <v>0</v>
      </c>
      <c r="L328" s="12">
        <f t="shared" si="46"/>
        <v>0</v>
      </c>
      <c r="M328" s="9" t="s">
        <v>52</v>
      </c>
      <c r="N328" s="2" t="s">
        <v>704</v>
      </c>
      <c r="O328" s="2" t="s">
        <v>52</v>
      </c>
      <c r="P328" s="2" t="s">
        <v>52</v>
      </c>
      <c r="Q328" s="2" t="s">
        <v>655</v>
      </c>
      <c r="R328" s="2" t="s">
        <v>60</v>
      </c>
      <c r="S328" s="2" t="s">
        <v>61</v>
      </c>
      <c r="T328" s="2" t="s">
        <v>61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2" t="s">
        <v>52</v>
      </c>
      <c r="AS328" s="2" t="s">
        <v>52</v>
      </c>
      <c r="AT328" s="3"/>
      <c r="AU328" s="2" t="s">
        <v>705</v>
      </c>
      <c r="AV328" s="3">
        <v>135</v>
      </c>
    </row>
    <row r="329" spans="1:48" ht="30" customHeight="1" x14ac:dyDescent="0.3">
      <c r="A329" s="9" t="s">
        <v>696</v>
      </c>
      <c r="B329" s="9" t="s">
        <v>706</v>
      </c>
      <c r="C329" s="9" t="s">
        <v>320</v>
      </c>
      <c r="D329" s="10">
        <v>1</v>
      </c>
      <c r="E329" s="12">
        <f>TRUNC('일위대가목록(총체)'!E130,0)</f>
        <v>0</v>
      </c>
      <c r="F329" s="12">
        <f t="shared" si="42"/>
        <v>0</v>
      </c>
      <c r="G329" s="12">
        <f>TRUNC('일위대가목록(총체)'!F130,0)</f>
        <v>0</v>
      </c>
      <c r="H329" s="12">
        <f t="shared" si="43"/>
        <v>0</v>
      </c>
      <c r="I329" s="12">
        <f>TRUNC('일위대가목록(총체)'!G130,0)</f>
        <v>0</v>
      </c>
      <c r="J329" s="12">
        <f t="shared" si="44"/>
        <v>0</v>
      </c>
      <c r="K329" s="12">
        <f t="shared" si="45"/>
        <v>0</v>
      </c>
      <c r="L329" s="12">
        <f t="shared" si="46"/>
        <v>0</v>
      </c>
      <c r="M329" s="9" t="s">
        <v>52</v>
      </c>
      <c r="N329" s="2" t="s">
        <v>707</v>
      </c>
      <c r="O329" s="2" t="s">
        <v>52</v>
      </c>
      <c r="P329" s="2" t="s">
        <v>52</v>
      </c>
      <c r="Q329" s="2" t="s">
        <v>655</v>
      </c>
      <c r="R329" s="2" t="s">
        <v>60</v>
      </c>
      <c r="S329" s="2" t="s">
        <v>61</v>
      </c>
      <c r="T329" s="2" t="s">
        <v>61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2" t="s">
        <v>52</v>
      </c>
      <c r="AS329" s="2" t="s">
        <v>52</v>
      </c>
      <c r="AT329" s="3"/>
      <c r="AU329" s="2" t="s">
        <v>708</v>
      </c>
      <c r="AV329" s="3">
        <v>136</v>
      </c>
    </row>
    <row r="330" spans="1:48" ht="30" customHeight="1" x14ac:dyDescent="0.3">
      <c r="A330" s="9" t="s">
        <v>709</v>
      </c>
      <c r="B330" s="9" t="s">
        <v>710</v>
      </c>
      <c r="C330" s="9" t="s">
        <v>410</v>
      </c>
      <c r="D330" s="10">
        <v>2</v>
      </c>
      <c r="E330" s="12">
        <f>TRUNC('일위대가목록(총체)'!E131,0)</f>
        <v>0</v>
      </c>
      <c r="F330" s="12">
        <f t="shared" si="42"/>
        <v>0</v>
      </c>
      <c r="G330" s="12">
        <f>TRUNC('일위대가목록(총체)'!F131,0)</f>
        <v>0</v>
      </c>
      <c r="H330" s="12">
        <f t="shared" si="43"/>
        <v>0</v>
      </c>
      <c r="I330" s="12">
        <f>TRUNC('일위대가목록(총체)'!G131,0)</f>
        <v>0</v>
      </c>
      <c r="J330" s="12">
        <f t="shared" si="44"/>
        <v>0</v>
      </c>
      <c r="K330" s="12">
        <f t="shared" si="45"/>
        <v>0</v>
      </c>
      <c r="L330" s="12">
        <f t="shared" si="46"/>
        <v>0</v>
      </c>
      <c r="M330" s="9" t="s">
        <v>52</v>
      </c>
      <c r="N330" s="2" t="s">
        <v>711</v>
      </c>
      <c r="O330" s="2" t="s">
        <v>52</v>
      </c>
      <c r="P330" s="2" t="s">
        <v>52</v>
      </c>
      <c r="Q330" s="2" t="s">
        <v>655</v>
      </c>
      <c r="R330" s="2" t="s">
        <v>60</v>
      </c>
      <c r="S330" s="2" t="s">
        <v>61</v>
      </c>
      <c r="T330" s="2" t="s">
        <v>61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2" t="s">
        <v>52</v>
      </c>
      <c r="AS330" s="2" t="s">
        <v>52</v>
      </c>
      <c r="AT330" s="3"/>
      <c r="AU330" s="2" t="s">
        <v>712</v>
      </c>
      <c r="AV330" s="3">
        <v>214</v>
      </c>
    </row>
    <row r="331" spans="1:48" ht="30" customHeight="1" x14ac:dyDescent="0.3">
      <c r="A331" s="9" t="s">
        <v>713</v>
      </c>
      <c r="B331" s="9" t="s">
        <v>714</v>
      </c>
      <c r="C331" s="9" t="s">
        <v>410</v>
      </c>
      <c r="D331" s="10">
        <v>2</v>
      </c>
      <c r="E331" s="12">
        <f>TRUNC('일위대가목록(총체)'!E132,0)</f>
        <v>0</v>
      </c>
      <c r="F331" s="12">
        <f t="shared" si="42"/>
        <v>0</v>
      </c>
      <c r="G331" s="12">
        <f>TRUNC('일위대가목록(총체)'!F132,0)</f>
        <v>0</v>
      </c>
      <c r="H331" s="12">
        <f t="shared" si="43"/>
        <v>0</v>
      </c>
      <c r="I331" s="12">
        <f>TRUNC('일위대가목록(총체)'!G132,0)</f>
        <v>0</v>
      </c>
      <c r="J331" s="12">
        <f t="shared" si="44"/>
        <v>0</v>
      </c>
      <c r="K331" s="12">
        <f t="shared" si="45"/>
        <v>0</v>
      </c>
      <c r="L331" s="12">
        <f t="shared" si="46"/>
        <v>0</v>
      </c>
      <c r="M331" s="9" t="s">
        <v>52</v>
      </c>
      <c r="N331" s="2" t="s">
        <v>715</v>
      </c>
      <c r="O331" s="2" t="s">
        <v>52</v>
      </c>
      <c r="P331" s="2" t="s">
        <v>52</v>
      </c>
      <c r="Q331" s="2" t="s">
        <v>655</v>
      </c>
      <c r="R331" s="2" t="s">
        <v>60</v>
      </c>
      <c r="S331" s="2" t="s">
        <v>61</v>
      </c>
      <c r="T331" s="2" t="s">
        <v>61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2" t="s">
        <v>52</v>
      </c>
      <c r="AS331" s="2" t="s">
        <v>52</v>
      </c>
      <c r="AT331" s="3"/>
      <c r="AU331" s="2" t="s">
        <v>716</v>
      </c>
      <c r="AV331" s="3">
        <v>215</v>
      </c>
    </row>
    <row r="332" spans="1:48" ht="30" customHeight="1" x14ac:dyDescent="0.3">
      <c r="A332" s="9" t="s">
        <v>717</v>
      </c>
      <c r="B332" s="9" t="s">
        <v>718</v>
      </c>
      <c r="C332" s="9" t="s">
        <v>410</v>
      </c>
      <c r="D332" s="10">
        <v>1</v>
      </c>
      <c r="E332" s="12">
        <f>TRUNC('일위대가목록(총체)'!E133,0)</f>
        <v>0</v>
      </c>
      <c r="F332" s="12">
        <f t="shared" si="42"/>
        <v>0</v>
      </c>
      <c r="G332" s="12">
        <f>TRUNC('일위대가목록(총체)'!F133,0)</f>
        <v>0</v>
      </c>
      <c r="H332" s="12">
        <f t="shared" si="43"/>
        <v>0</v>
      </c>
      <c r="I332" s="12">
        <f>TRUNC('일위대가목록(총체)'!G133,0)</f>
        <v>0</v>
      </c>
      <c r="J332" s="12">
        <f t="shared" si="44"/>
        <v>0</v>
      </c>
      <c r="K332" s="12">
        <f t="shared" si="45"/>
        <v>0</v>
      </c>
      <c r="L332" s="12">
        <f t="shared" si="46"/>
        <v>0</v>
      </c>
      <c r="M332" s="9" t="s">
        <v>52</v>
      </c>
      <c r="N332" s="2" t="s">
        <v>719</v>
      </c>
      <c r="O332" s="2" t="s">
        <v>52</v>
      </c>
      <c r="P332" s="2" t="s">
        <v>52</v>
      </c>
      <c r="Q332" s="2" t="s">
        <v>655</v>
      </c>
      <c r="R332" s="2" t="s">
        <v>60</v>
      </c>
      <c r="S332" s="2" t="s">
        <v>61</v>
      </c>
      <c r="T332" s="2" t="s">
        <v>61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2" t="s">
        <v>52</v>
      </c>
      <c r="AS332" s="2" t="s">
        <v>52</v>
      </c>
      <c r="AT332" s="3"/>
      <c r="AU332" s="2" t="s">
        <v>720</v>
      </c>
      <c r="AV332" s="3">
        <v>216</v>
      </c>
    </row>
    <row r="333" spans="1:48" ht="30" customHeight="1" x14ac:dyDescent="0.3">
      <c r="A333" s="9" t="s">
        <v>93</v>
      </c>
      <c r="B333" s="10"/>
      <c r="C333" s="10"/>
      <c r="D333" s="10"/>
      <c r="E333" s="10"/>
      <c r="F333" s="12">
        <f>SUM(F313:F332)</f>
        <v>0</v>
      </c>
      <c r="G333" s="10"/>
      <c r="H333" s="12">
        <f>SUM(H313:H332)</f>
        <v>0</v>
      </c>
      <c r="I333" s="10"/>
      <c r="J333" s="12">
        <f>SUM(J313:J332)</f>
        <v>0</v>
      </c>
      <c r="K333" s="10"/>
      <c r="L333" s="12">
        <f>SUM(L313:L332)</f>
        <v>0</v>
      </c>
      <c r="M333" s="10"/>
      <c r="N333" t="s">
        <v>94</v>
      </c>
    </row>
    <row r="334" spans="1:48" ht="30" customHeight="1" x14ac:dyDescent="0.3">
      <c r="A334" s="9" t="s">
        <v>721</v>
      </c>
      <c r="B334" s="9" t="s">
        <v>52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3"/>
      <c r="O334" s="3"/>
      <c r="P334" s="3"/>
      <c r="Q334" s="2" t="s">
        <v>722</v>
      </c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 spans="1:48" ht="30" customHeight="1" x14ac:dyDescent="0.3">
      <c r="A335" s="9" t="s">
        <v>724</v>
      </c>
      <c r="B335" s="9" t="s">
        <v>725</v>
      </c>
      <c r="C335" s="9" t="s">
        <v>726</v>
      </c>
      <c r="D335" s="10">
        <v>67.69</v>
      </c>
      <c r="E335" s="12">
        <f>TRUNC('단가대비표(총체)'!O176,0)</f>
        <v>0</v>
      </c>
      <c r="F335" s="12">
        <f>TRUNC(E335*D335, 0)</f>
        <v>0</v>
      </c>
      <c r="G335" s="12">
        <f>TRUNC('단가대비표(총체)'!P176,0)</f>
        <v>0</v>
      </c>
      <c r="H335" s="12">
        <f>TRUNC(G335*D335, 0)</f>
        <v>0</v>
      </c>
      <c r="I335" s="12">
        <f>TRUNC('단가대비표(총체)'!V176,0)</f>
        <v>0</v>
      </c>
      <c r="J335" s="12">
        <f>TRUNC(I335*D335, 0)</f>
        <v>0</v>
      </c>
      <c r="K335" s="12">
        <f t="shared" ref="K335:L338" si="47">TRUNC(E335+G335+I335, 0)</f>
        <v>0</v>
      </c>
      <c r="L335" s="12">
        <f t="shared" si="47"/>
        <v>0</v>
      </c>
      <c r="M335" s="9" t="s">
        <v>52</v>
      </c>
      <c r="N335" s="2" t="s">
        <v>727</v>
      </c>
      <c r="O335" s="2" t="s">
        <v>52</v>
      </c>
      <c r="P335" s="2" t="s">
        <v>52</v>
      </c>
      <c r="Q335" s="2" t="s">
        <v>722</v>
      </c>
      <c r="R335" s="2" t="s">
        <v>61</v>
      </c>
      <c r="S335" s="2" t="s">
        <v>61</v>
      </c>
      <c r="T335" s="2" t="s">
        <v>60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2" t="s">
        <v>52</v>
      </c>
      <c r="AS335" s="2" t="s">
        <v>52</v>
      </c>
      <c r="AT335" s="3"/>
      <c r="AU335" s="2" t="s">
        <v>728</v>
      </c>
      <c r="AV335" s="3">
        <v>138</v>
      </c>
    </row>
    <row r="336" spans="1:48" ht="30" customHeight="1" x14ac:dyDescent="0.3">
      <c r="A336" s="9" t="s">
        <v>729</v>
      </c>
      <c r="B336" s="9" t="s">
        <v>730</v>
      </c>
      <c r="C336" s="9" t="s">
        <v>726</v>
      </c>
      <c r="D336" s="10">
        <v>26.53</v>
      </c>
      <c r="E336" s="12">
        <f>TRUNC('단가대비표(총체)'!O177,0)</f>
        <v>0</v>
      </c>
      <c r="F336" s="12">
        <f>TRUNC(E336*D336, 0)</f>
        <v>0</v>
      </c>
      <c r="G336" s="12">
        <f>TRUNC('단가대비표(총체)'!P177,0)</f>
        <v>0</v>
      </c>
      <c r="H336" s="12">
        <f>TRUNC(G336*D336, 0)</f>
        <v>0</v>
      </c>
      <c r="I336" s="12">
        <f>TRUNC('단가대비표(총체)'!V177,0)</f>
        <v>0</v>
      </c>
      <c r="J336" s="12">
        <f>TRUNC(I336*D336, 0)</f>
        <v>0</v>
      </c>
      <c r="K336" s="12">
        <f t="shared" si="47"/>
        <v>0</v>
      </c>
      <c r="L336" s="12">
        <f t="shared" si="47"/>
        <v>0</v>
      </c>
      <c r="M336" s="9" t="s">
        <v>52</v>
      </c>
      <c r="N336" s="2" t="s">
        <v>731</v>
      </c>
      <c r="O336" s="2" t="s">
        <v>52</v>
      </c>
      <c r="P336" s="2" t="s">
        <v>52</v>
      </c>
      <c r="Q336" s="2" t="s">
        <v>722</v>
      </c>
      <c r="R336" s="2" t="s">
        <v>61</v>
      </c>
      <c r="S336" s="2" t="s">
        <v>61</v>
      </c>
      <c r="T336" s="2" t="s">
        <v>60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2" t="s">
        <v>52</v>
      </c>
      <c r="AS336" s="2" t="s">
        <v>52</v>
      </c>
      <c r="AT336" s="3"/>
      <c r="AU336" s="2" t="s">
        <v>732</v>
      </c>
      <c r="AV336" s="3">
        <v>139</v>
      </c>
    </row>
    <row r="337" spans="1:48" ht="30" customHeight="1" x14ac:dyDescent="0.3">
      <c r="A337" s="9" t="s">
        <v>733</v>
      </c>
      <c r="B337" s="9" t="s">
        <v>734</v>
      </c>
      <c r="C337" s="9" t="s">
        <v>726</v>
      </c>
      <c r="D337" s="10">
        <v>67.69</v>
      </c>
      <c r="E337" s="12">
        <f>TRUNC('단가대비표(총체)'!O178,0)</f>
        <v>0</v>
      </c>
      <c r="F337" s="12">
        <f>TRUNC(E337*D337, 0)</f>
        <v>0</v>
      </c>
      <c r="G337" s="12">
        <f>TRUNC('단가대비표(총체)'!P178,0)</f>
        <v>0</v>
      </c>
      <c r="H337" s="12">
        <f>TRUNC(G337*D337, 0)</f>
        <v>0</v>
      </c>
      <c r="I337" s="12">
        <f>TRUNC('단가대비표(총체)'!V178,0)</f>
        <v>0</v>
      </c>
      <c r="J337" s="12">
        <f>TRUNC(I337*D337, 0)</f>
        <v>0</v>
      </c>
      <c r="K337" s="12">
        <f t="shared" si="47"/>
        <v>0</v>
      </c>
      <c r="L337" s="12">
        <f t="shared" si="47"/>
        <v>0</v>
      </c>
      <c r="M337" s="9" t="s">
        <v>52</v>
      </c>
      <c r="N337" s="2" t="s">
        <v>735</v>
      </c>
      <c r="O337" s="2" t="s">
        <v>52</v>
      </c>
      <c r="P337" s="2" t="s">
        <v>52</v>
      </c>
      <c r="Q337" s="2" t="s">
        <v>722</v>
      </c>
      <c r="R337" s="2" t="s">
        <v>61</v>
      </c>
      <c r="S337" s="2" t="s">
        <v>61</v>
      </c>
      <c r="T337" s="2" t="s">
        <v>60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2" t="s">
        <v>52</v>
      </c>
      <c r="AS337" s="2" t="s">
        <v>52</v>
      </c>
      <c r="AT337" s="3"/>
      <c r="AU337" s="2" t="s">
        <v>736</v>
      </c>
      <c r="AV337" s="3">
        <v>140</v>
      </c>
    </row>
    <row r="338" spans="1:48" ht="30" customHeight="1" x14ac:dyDescent="0.3">
      <c r="A338" s="9" t="s">
        <v>737</v>
      </c>
      <c r="B338" s="9" t="s">
        <v>738</v>
      </c>
      <c r="C338" s="9" t="s">
        <v>726</v>
      </c>
      <c r="D338" s="10">
        <v>26.53</v>
      </c>
      <c r="E338" s="12">
        <f>TRUNC('단가대비표(총체)'!O179,0)</f>
        <v>0</v>
      </c>
      <c r="F338" s="12">
        <f>TRUNC(E338*D338, 0)</f>
        <v>0</v>
      </c>
      <c r="G338" s="12">
        <f>TRUNC('단가대비표(총체)'!P179,0)</f>
        <v>0</v>
      </c>
      <c r="H338" s="12">
        <f>TRUNC(G338*D338, 0)</f>
        <v>0</v>
      </c>
      <c r="I338" s="12">
        <f>TRUNC('단가대비표(총체)'!V179,0)</f>
        <v>0</v>
      </c>
      <c r="J338" s="12">
        <f>TRUNC(I338*D338, 0)</f>
        <v>0</v>
      </c>
      <c r="K338" s="12">
        <f t="shared" si="47"/>
        <v>0</v>
      </c>
      <c r="L338" s="12">
        <f t="shared" si="47"/>
        <v>0</v>
      </c>
      <c r="M338" s="9" t="s">
        <v>52</v>
      </c>
      <c r="N338" s="2" t="s">
        <v>739</v>
      </c>
      <c r="O338" s="2" t="s">
        <v>52</v>
      </c>
      <c r="P338" s="2" t="s">
        <v>52</v>
      </c>
      <c r="Q338" s="2" t="s">
        <v>722</v>
      </c>
      <c r="R338" s="2" t="s">
        <v>61</v>
      </c>
      <c r="S338" s="2" t="s">
        <v>61</v>
      </c>
      <c r="T338" s="2" t="s">
        <v>60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2" t="s">
        <v>52</v>
      </c>
      <c r="AS338" s="2" t="s">
        <v>52</v>
      </c>
      <c r="AT338" s="3"/>
      <c r="AU338" s="2" t="s">
        <v>740</v>
      </c>
      <c r="AV338" s="3">
        <v>141</v>
      </c>
    </row>
    <row r="339" spans="1:48" ht="30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48" ht="30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</row>
    <row r="341" spans="1:48" ht="30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spans="1:48" ht="30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</row>
    <row r="343" spans="1:48" ht="30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</row>
    <row r="344" spans="1:48" ht="30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</row>
    <row r="345" spans="1:48" ht="30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spans="1:48" ht="30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</row>
    <row r="347" spans="1:48" ht="30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 spans="1:48" ht="30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</row>
    <row r="349" spans="1:48" ht="30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spans="1:48" ht="30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</row>
    <row r="351" spans="1:48" ht="30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</row>
    <row r="352" spans="1:48" ht="30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</row>
    <row r="353" spans="1:48" ht="30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spans="1:48" ht="30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</row>
    <row r="355" spans="1:48" ht="30" customHeight="1" x14ac:dyDescent="0.3">
      <c r="A355" s="9" t="s">
        <v>93</v>
      </c>
      <c r="B355" s="10"/>
      <c r="C355" s="10"/>
      <c r="D355" s="10"/>
      <c r="E355" s="10"/>
      <c r="F355" s="12">
        <f>SUM(F335:F354)</f>
        <v>0</v>
      </c>
      <c r="G355" s="10"/>
      <c r="H355" s="12">
        <f>SUM(H335:H354)</f>
        <v>0</v>
      </c>
      <c r="I355" s="10"/>
      <c r="J355" s="12">
        <f>SUM(J335:J354)</f>
        <v>0</v>
      </c>
      <c r="K355" s="10"/>
      <c r="L355" s="12">
        <f>SUM(L335:L354)</f>
        <v>0</v>
      </c>
      <c r="M355" s="10"/>
      <c r="N355" t="s">
        <v>94</v>
      </c>
    </row>
    <row r="356" spans="1:48" ht="30" customHeight="1" x14ac:dyDescent="0.3">
      <c r="A356" s="9" t="s">
        <v>741</v>
      </c>
      <c r="B356" s="9" t="s">
        <v>52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3"/>
      <c r="O356" s="3"/>
      <c r="P356" s="3"/>
      <c r="Q356" s="2" t="s">
        <v>742</v>
      </c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 spans="1:48" ht="30" customHeight="1" x14ac:dyDescent="0.3">
      <c r="A357" s="9" t="s">
        <v>744</v>
      </c>
      <c r="B357" s="9" t="s">
        <v>745</v>
      </c>
      <c r="C357" s="9" t="s">
        <v>726</v>
      </c>
      <c r="D357" s="10">
        <v>0.749</v>
      </c>
      <c r="E357" s="12">
        <f>TRUNC('단가대비표(총체)'!O14,0)</f>
        <v>0</v>
      </c>
      <c r="F357" s="12">
        <f>TRUNC(E357*D357, 0)</f>
        <v>0</v>
      </c>
      <c r="G357" s="12">
        <f>TRUNC('단가대비표(총체)'!P14,0)</f>
        <v>0</v>
      </c>
      <c r="H357" s="12">
        <f>TRUNC(G357*D357, 0)</f>
        <v>0</v>
      </c>
      <c r="I357" s="12">
        <f>TRUNC('단가대비표(총체)'!V14,0)</f>
        <v>0</v>
      </c>
      <c r="J357" s="12">
        <f>TRUNC(I357*D357, 0)</f>
        <v>0</v>
      </c>
      <c r="K357" s="12">
        <f>TRUNC(E357+G357+I357, 0)</f>
        <v>0</v>
      </c>
      <c r="L357" s="12">
        <f>TRUNC(F357+H357+J357, 0)</f>
        <v>0</v>
      </c>
      <c r="M357" s="9" t="s">
        <v>746</v>
      </c>
      <c r="N357" s="2" t="s">
        <v>747</v>
      </c>
      <c r="O357" s="2" t="s">
        <v>52</v>
      </c>
      <c r="P357" s="2" t="s">
        <v>52</v>
      </c>
      <c r="Q357" s="2" t="s">
        <v>742</v>
      </c>
      <c r="R357" s="2" t="s">
        <v>61</v>
      </c>
      <c r="S357" s="2" t="s">
        <v>61</v>
      </c>
      <c r="T357" s="2" t="s">
        <v>60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2" t="s">
        <v>52</v>
      </c>
      <c r="AS357" s="2" t="s">
        <v>52</v>
      </c>
      <c r="AT357" s="3"/>
      <c r="AU357" s="2" t="s">
        <v>748</v>
      </c>
      <c r="AV357" s="3">
        <v>143</v>
      </c>
    </row>
    <row r="358" spans="1:48" ht="30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</row>
    <row r="359" spans="1:48" ht="30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</row>
    <row r="360" spans="1:48" ht="30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</row>
    <row r="361" spans="1:48" ht="30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spans="1:48" ht="30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</row>
    <row r="363" spans="1:48" ht="30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</row>
    <row r="364" spans="1:48" ht="30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</row>
    <row r="365" spans="1:48" ht="30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 spans="1:48" ht="30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</row>
    <row r="367" spans="1:48" ht="30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</row>
    <row r="368" spans="1:48" ht="30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 spans="1:48" ht="30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spans="1:48" ht="30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 spans="1:48" ht="30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 spans="1:48" ht="30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 spans="1:48" ht="30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spans="1:48" ht="30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 spans="1:48" ht="30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 spans="1:48" ht="30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 spans="1:48" ht="30" customHeight="1" x14ac:dyDescent="0.3">
      <c r="A377" s="9" t="s">
        <v>93</v>
      </c>
      <c r="B377" s="10"/>
      <c r="C377" s="10"/>
      <c r="D377" s="10"/>
      <c r="E377" s="10"/>
      <c r="F377" s="12">
        <f>SUM(F357:F376)</f>
        <v>0</v>
      </c>
      <c r="G377" s="10"/>
      <c r="H377" s="12">
        <f>SUM(H357:H376)</f>
        <v>0</v>
      </c>
      <c r="I377" s="10"/>
      <c r="J377" s="12">
        <f>SUM(J357:J376)</f>
        <v>0</v>
      </c>
      <c r="K377" s="10"/>
      <c r="L377" s="12">
        <f>SUM(L357:L376)</f>
        <v>0</v>
      </c>
      <c r="M377" s="10"/>
      <c r="N377" t="s">
        <v>94</v>
      </c>
    </row>
    <row r="378" spans="1:48" ht="30" customHeight="1" x14ac:dyDescent="0.3">
      <c r="A378" s="9" t="s">
        <v>749</v>
      </c>
      <c r="B378" s="9" t="s">
        <v>52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3"/>
      <c r="O378" s="3"/>
      <c r="P378" s="3"/>
      <c r="Q378" s="2" t="s">
        <v>750</v>
      </c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 spans="1:48" ht="30" customHeight="1" x14ac:dyDescent="0.3">
      <c r="A379" s="9" t="s">
        <v>752</v>
      </c>
      <c r="B379" s="9" t="s">
        <v>753</v>
      </c>
      <c r="C379" s="9" t="s">
        <v>320</v>
      </c>
      <c r="D379" s="10">
        <v>16</v>
      </c>
      <c r="E379" s="12">
        <f>TRUNC('단가대비표(총체)'!O120,0)</f>
        <v>0</v>
      </c>
      <c r="F379" s="12">
        <f t="shared" ref="F379:F384" si="48">TRUNC(E379*D379, 0)</f>
        <v>0</v>
      </c>
      <c r="G379" s="12">
        <f>TRUNC('단가대비표(총체)'!P120,0)</f>
        <v>0</v>
      </c>
      <c r="H379" s="12">
        <f t="shared" ref="H379:H384" si="49">TRUNC(G379*D379, 0)</f>
        <v>0</v>
      </c>
      <c r="I379" s="12">
        <f>TRUNC('단가대비표(총체)'!V120,0)</f>
        <v>0</v>
      </c>
      <c r="J379" s="12">
        <f t="shared" ref="J379:J384" si="50">TRUNC(I379*D379, 0)</f>
        <v>0</v>
      </c>
      <c r="K379" s="12">
        <f t="shared" ref="K379:L384" si="51">TRUNC(E379+G379+I379, 0)</f>
        <v>0</v>
      </c>
      <c r="L379" s="12">
        <f t="shared" si="51"/>
        <v>0</v>
      </c>
      <c r="M379" s="9" t="s">
        <v>754</v>
      </c>
      <c r="N379" s="2" t="s">
        <v>755</v>
      </c>
      <c r="O379" s="2" t="s">
        <v>52</v>
      </c>
      <c r="P379" s="2" t="s">
        <v>52</v>
      </c>
      <c r="Q379" s="2" t="s">
        <v>750</v>
      </c>
      <c r="R379" s="2" t="s">
        <v>61</v>
      </c>
      <c r="S379" s="2" t="s">
        <v>61</v>
      </c>
      <c r="T379" s="2" t="s">
        <v>60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2" t="s">
        <v>52</v>
      </c>
      <c r="AS379" s="2" t="s">
        <v>52</v>
      </c>
      <c r="AT379" s="3"/>
      <c r="AU379" s="2" t="s">
        <v>756</v>
      </c>
      <c r="AV379" s="3">
        <v>145</v>
      </c>
    </row>
    <row r="380" spans="1:48" ht="30" customHeight="1" x14ac:dyDescent="0.3">
      <c r="A380" s="9" t="s">
        <v>752</v>
      </c>
      <c r="B380" s="9" t="s">
        <v>757</v>
      </c>
      <c r="C380" s="9" t="s">
        <v>320</v>
      </c>
      <c r="D380" s="10">
        <v>1</v>
      </c>
      <c r="E380" s="12">
        <f>TRUNC('단가대비표(총체)'!O121,0)</f>
        <v>0</v>
      </c>
      <c r="F380" s="12">
        <f t="shared" si="48"/>
        <v>0</v>
      </c>
      <c r="G380" s="12">
        <f>TRUNC('단가대비표(총체)'!P121,0)</f>
        <v>0</v>
      </c>
      <c r="H380" s="12">
        <f t="shared" si="49"/>
        <v>0</v>
      </c>
      <c r="I380" s="12">
        <f>TRUNC('단가대비표(총체)'!V121,0)</f>
        <v>0</v>
      </c>
      <c r="J380" s="12">
        <f t="shared" si="50"/>
        <v>0</v>
      </c>
      <c r="K380" s="12">
        <f t="shared" si="51"/>
        <v>0</v>
      </c>
      <c r="L380" s="12">
        <f t="shared" si="51"/>
        <v>0</v>
      </c>
      <c r="M380" s="9" t="s">
        <v>754</v>
      </c>
      <c r="N380" s="2" t="s">
        <v>758</v>
      </c>
      <c r="O380" s="2" t="s">
        <v>52</v>
      </c>
      <c r="P380" s="2" t="s">
        <v>52</v>
      </c>
      <c r="Q380" s="2" t="s">
        <v>750</v>
      </c>
      <c r="R380" s="2" t="s">
        <v>61</v>
      </c>
      <c r="S380" s="2" t="s">
        <v>61</v>
      </c>
      <c r="T380" s="2" t="s">
        <v>60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2" t="s">
        <v>52</v>
      </c>
      <c r="AS380" s="2" t="s">
        <v>52</v>
      </c>
      <c r="AT380" s="3"/>
      <c r="AU380" s="2" t="s">
        <v>759</v>
      </c>
      <c r="AV380" s="3">
        <v>146</v>
      </c>
    </row>
    <row r="381" spans="1:48" ht="30" customHeight="1" x14ac:dyDescent="0.3">
      <c r="A381" s="9" t="s">
        <v>752</v>
      </c>
      <c r="B381" s="9" t="s">
        <v>760</v>
      </c>
      <c r="C381" s="9" t="s">
        <v>320</v>
      </c>
      <c r="D381" s="10">
        <v>2</v>
      </c>
      <c r="E381" s="12">
        <f>TRUNC('단가대비표(총체)'!O122,0)</f>
        <v>0</v>
      </c>
      <c r="F381" s="12">
        <f t="shared" si="48"/>
        <v>0</v>
      </c>
      <c r="G381" s="12">
        <f>TRUNC('단가대비표(총체)'!P122,0)</f>
        <v>0</v>
      </c>
      <c r="H381" s="12">
        <f t="shared" si="49"/>
        <v>0</v>
      </c>
      <c r="I381" s="12">
        <f>TRUNC('단가대비표(총체)'!V122,0)</f>
        <v>0</v>
      </c>
      <c r="J381" s="12">
        <f t="shared" si="50"/>
        <v>0</v>
      </c>
      <c r="K381" s="12">
        <f t="shared" si="51"/>
        <v>0</v>
      </c>
      <c r="L381" s="12">
        <f t="shared" si="51"/>
        <v>0</v>
      </c>
      <c r="M381" s="9" t="s">
        <v>754</v>
      </c>
      <c r="N381" s="2" t="s">
        <v>761</v>
      </c>
      <c r="O381" s="2" t="s">
        <v>52</v>
      </c>
      <c r="P381" s="2" t="s">
        <v>52</v>
      </c>
      <c r="Q381" s="2" t="s">
        <v>750</v>
      </c>
      <c r="R381" s="2" t="s">
        <v>61</v>
      </c>
      <c r="S381" s="2" t="s">
        <v>61</v>
      </c>
      <c r="T381" s="2" t="s">
        <v>60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2" t="s">
        <v>52</v>
      </c>
      <c r="AS381" s="2" t="s">
        <v>52</v>
      </c>
      <c r="AT381" s="3"/>
      <c r="AU381" s="2" t="s">
        <v>762</v>
      </c>
      <c r="AV381" s="3">
        <v>147</v>
      </c>
    </row>
    <row r="382" spans="1:48" ht="30" customHeight="1" x14ac:dyDescent="0.3">
      <c r="A382" s="9" t="s">
        <v>752</v>
      </c>
      <c r="B382" s="9" t="s">
        <v>763</v>
      </c>
      <c r="C382" s="9" t="s">
        <v>320</v>
      </c>
      <c r="D382" s="10">
        <v>6</v>
      </c>
      <c r="E382" s="12">
        <f>TRUNC('단가대비표(총체)'!O123,0)</f>
        <v>0</v>
      </c>
      <c r="F382" s="12">
        <f t="shared" si="48"/>
        <v>0</v>
      </c>
      <c r="G382" s="12">
        <f>TRUNC('단가대비표(총체)'!P123,0)</f>
        <v>0</v>
      </c>
      <c r="H382" s="12">
        <f t="shared" si="49"/>
        <v>0</v>
      </c>
      <c r="I382" s="12">
        <f>TRUNC('단가대비표(총체)'!V123,0)</f>
        <v>0</v>
      </c>
      <c r="J382" s="12">
        <f t="shared" si="50"/>
        <v>0</v>
      </c>
      <c r="K382" s="12">
        <f t="shared" si="51"/>
        <v>0</v>
      </c>
      <c r="L382" s="12">
        <f t="shared" si="51"/>
        <v>0</v>
      </c>
      <c r="M382" s="9" t="s">
        <v>754</v>
      </c>
      <c r="N382" s="2" t="s">
        <v>764</v>
      </c>
      <c r="O382" s="2" t="s">
        <v>52</v>
      </c>
      <c r="P382" s="2" t="s">
        <v>52</v>
      </c>
      <c r="Q382" s="2" t="s">
        <v>750</v>
      </c>
      <c r="R382" s="2" t="s">
        <v>61</v>
      </c>
      <c r="S382" s="2" t="s">
        <v>61</v>
      </c>
      <c r="T382" s="2" t="s">
        <v>60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2" t="s">
        <v>52</v>
      </c>
      <c r="AS382" s="2" t="s">
        <v>52</v>
      </c>
      <c r="AT382" s="3"/>
      <c r="AU382" s="2" t="s">
        <v>765</v>
      </c>
      <c r="AV382" s="3">
        <v>148</v>
      </c>
    </row>
    <row r="383" spans="1:48" ht="30" customHeight="1" x14ac:dyDescent="0.3">
      <c r="A383" s="9" t="s">
        <v>766</v>
      </c>
      <c r="B383" s="9" t="s">
        <v>767</v>
      </c>
      <c r="C383" s="9" t="s">
        <v>768</v>
      </c>
      <c r="D383" s="10">
        <v>1</v>
      </c>
      <c r="E383" s="12">
        <f>TRUNC('단가대비표(총체)'!O124,0)</f>
        <v>0</v>
      </c>
      <c r="F383" s="12">
        <f t="shared" si="48"/>
        <v>0</v>
      </c>
      <c r="G383" s="12">
        <f>TRUNC('단가대비표(총체)'!P124,0)</f>
        <v>0</v>
      </c>
      <c r="H383" s="12">
        <f t="shared" si="49"/>
        <v>0</v>
      </c>
      <c r="I383" s="12">
        <f>TRUNC('단가대비표(총체)'!V124,0)</f>
        <v>0</v>
      </c>
      <c r="J383" s="12">
        <f t="shared" si="50"/>
        <v>0</v>
      </c>
      <c r="K383" s="12">
        <f t="shared" si="51"/>
        <v>0</v>
      </c>
      <c r="L383" s="12">
        <f t="shared" si="51"/>
        <v>0</v>
      </c>
      <c r="M383" s="9" t="s">
        <v>754</v>
      </c>
      <c r="N383" s="2" t="s">
        <v>769</v>
      </c>
      <c r="O383" s="2" t="s">
        <v>52</v>
      </c>
      <c r="P383" s="2" t="s">
        <v>52</v>
      </c>
      <c r="Q383" s="2" t="s">
        <v>750</v>
      </c>
      <c r="R383" s="2" t="s">
        <v>61</v>
      </c>
      <c r="S383" s="2" t="s">
        <v>61</v>
      </c>
      <c r="T383" s="2" t="s">
        <v>60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2" t="s">
        <v>52</v>
      </c>
      <c r="AS383" s="2" t="s">
        <v>52</v>
      </c>
      <c r="AT383" s="3"/>
      <c r="AU383" s="2" t="s">
        <v>770</v>
      </c>
      <c r="AV383" s="3">
        <v>149</v>
      </c>
    </row>
    <row r="384" spans="1:48" ht="30" customHeight="1" x14ac:dyDescent="0.3">
      <c r="A384" s="9" t="s">
        <v>771</v>
      </c>
      <c r="B384" s="9" t="s">
        <v>772</v>
      </c>
      <c r="C384" s="9" t="s">
        <v>320</v>
      </c>
      <c r="D384" s="10">
        <v>14</v>
      </c>
      <c r="E384" s="12">
        <f>TRUNC('단가대비표(총체)'!O125,0)</f>
        <v>0</v>
      </c>
      <c r="F384" s="12">
        <f t="shared" si="48"/>
        <v>0</v>
      </c>
      <c r="G384" s="12">
        <f>TRUNC('단가대비표(총체)'!P125,0)</f>
        <v>0</v>
      </c>
      <c r="H384" s="12">
        <f t="shared" si="49"/>
        <v>0</v>
      </c>
      <c r="I384" s="12">
        <f>TRUNC('단가대비표(총체)'!V125,0)</f>
        <v>0</v>
      </c>
      <c r="J384" s="12">
        <f t="shared" si="50"/>
        <v>0</v>
      </c>
      <c r="K384" s="12">
        <f t="shared" si="51"/>
        <v>0</v>
      </c>
      <c r="L384" s="12">
        <f t="shared" si="51"/>
        <v>0</v>
      </c>
      <c r="M384" s="9" t="s">
        <v>754</v>
      </c>
      <c r="N384" s="2" t="s">
        <v>773</v>
      </c>
      <c r="O384" s="2" t="s">
        <v>52</v>
      </c>
      <c r="P384" s="2" t="s">
        <v>52</v>
      </c>
      <c r="Q384" s="2" t="s">
        <v>750</v>
      </c>
      <c r="R384" s="2" t="s">
        <v>61</v>
      </c>
      <c r="S384" s="2" t="s">
        <v>61</v>
      </c>
      <c r="T384" s="2" t="s">
        <v>60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2" t="s">
        <v>52</v>
      </c>
      <c r="AS384" s="2" t="s">
        <v>52</v>
      </c>
      <c r="AT384" s="3"/>
      <c r="AU384" s="2" t="s">
        <v>774</v>
      </c>
      <c r="AV384" s="3">
        <v>220</v>
      </c>
    </row>
    <row r="385" spans="1:14" ht="30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spans="1:14" ht="30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 spans="1:14" ht="30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 spans="1:14" ht="30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 spans="1:14" ht="30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spans="1:14" ht="30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 spans="1:14" ht="30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 spans="1:14" ht="30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 spans="1:14" ht="30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spans="1:14" ht="30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 spans="1:14" ht="30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 spans="1:14" ht="30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 spans="1:14" ht="30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spans="1:14" ht="30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 spans="1:14" ht="30" customHeight="1" x14ac:dyDescent="0.3">
      <c r="A399" s="9" t="s">
        <v>93</v>
      </c>
      <c r="B399" s="10"/>
      <c r="C399" s="10"/>
      <c r="D399" s="10"/>
      <c r="E399" s="10"/>
      <c r="F399" s="12">
        <f>SUM(F379:F398)</f>
        <v>0</v>
      </c>
      <c r="G399" s="10"/>
      <c r="H399" s="12">
        <f>SUM(H379:H398)</f>
        <v>0</v>
      </c>
      <c r="I399" s="10"/>
      <c r="J399" s="12">
        <f>SUM(J379:J398)</f>
        <v>0</v>
      </c>
      <c r="K399" s="10"/>
      <c r="L399" s="12">
        <f>SUM(L379:L398)</f>
        <v>0</v>
      </c>
      <c r="M399" s="10"/>
      <c r="N399" t="s">
        <v>94</v>
      </c>
    </row>
  </sheetData>
  <mergeCells count="45">
    <mergeCell ref="AR2:AR3"/>
    <mergeCell ref="AS2:AS3"/>
    <mergeCell ref="AT2:AT3"/>
    <mergeCell ref="AU2:AU3"/>
    <mergeCell ref="AV2:AV3"/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E2:AE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S2:S3"/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P2:P3"/>
    <mergeCell ref="Q2:Q3"/>
    <mergeCell ref="R2:R3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65" fitToHeight="0" orientation="landscape" r:id="rId1"/>
  <rowBreaks count="14" manualBreakCount="14">
    <brk id="25" max="16383" man="1"/>
    <brk id="47" max="16383" man="1"/>
    <brk id="69" max="16383" man="1"/>
    <brk id="135" max="16383" man="1"/>
    <brk id="157" max="16383" man="1"/>
    <brk id="179" max="16383" man="1"/>
    <brk id="201" max="16383" man="1"/>
    <brk id="267" max="16383" man="1"/>
    <brk id="289" max="16383" man="1"/>
    <brk id="311" max="16383" man="1"/>
    <brk id="333" max="16383" man="1"/>
    <brk id="355" max="16383" man="1"/>
    <brk id="377" max="16383" man="1"/>
    <brk id="39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4"/>
  <sheetViews>
    <sheetView view="pageBreakPreview" topLeftCell="B1" zoomScaleNormal="100" zoomScaleSheetLayoutView="100" workbookViewId="0">
      <selection sqref="A1:M1"/>
    </sheetView>
  </sheetViews>
  <sheetFormatPr defaultRowHeight="16.5" x14ac:dyDescent="0.3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2" width="2.625" hidden="1" customWidth="1"/>
    <col min="13" max="13" width="20.625" hidden="1" customWidth="1"/>
    <col min="14" max="14" width="2.625" hidden="1" customWidth="1"/>
  </cols>
  <sheetData>
    <row r="1" spans="1:14" ht="30" customHeight="1" x14ac:dyDescent="0.3">
      <c r="A1" s="39" t="s">
        <v>775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ht="30" customHeight="1" x14ac:dyDescent="0.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4" ht="30" customHeight="1" x14ac:dyDescent="0.3">
      <c r="A3" s="5" t="s">
        <v>776</v>
      </c>
      <c r="B3" s="5" t="s">
        <v>2</v>
      </c>
      <c r="C3" s="5" t="s">
        <v>3</v>
      </c>
      <c r="D3" s="5" t="s">
        <v>4</v>
      </c>
      <c r="E3" s="5" t="s">
        <v>777</v>
      </c>
      <c r="F3" s="5" t="s">
        <v>778</v>
      </c>
      <c r="G3" s="5" t="s">
        <v>779</v>
      </c>
      <c r="H3" s="5" t="s">
        <v>780</v>
      </c>
      <c r="I3" s="5" t="s">
        <v>781</v>
      </c>
      <c r="J3" s="5" t="s">
        <v>782</v>
      </c>
      <c r="K3" s="5" t="s">
        <v>783</v>
      </c>
      <c r="L3" s="5" t="s">
        <v>784</v>
      </c>
      <c r="M3" s="5" t="s">
        <v>785</v>
      </c>
      <c r="N3" s="1" t="s">
        <v>786</v>
      </c>
    </row>
    <row r="4" spans="1:14" ht="30" customHeight="1" x14ac:dyDescent="0.3">
      <c r="A4" s="9" t="s">
        <v>59</v>
      </c>
      <c r="B4" s="9" t="s">
        <v>56</v>
      </c>
      <c r="C4" s="9" t="s">
        <v>57</v>
      </c>
      <c r="D4" s="9" t="s">
        <v>58</v>
      </c>
      <c r="E4" s="16">
        <f>'일위대가(총체)'!F8</f>
        <v>0</v>
      </c>
      <c r="F4" s="16">
        <f>'일위대가(총체)'!H8</f>
        <v>0</v>
      </c>
      <c r="G4" s="16">
        <f>'일위대가(총체)'!J8</f>
        <v>0</v>
      </c>
      <c r="H4" s="16">
        <f t="shared" ref="H4:H35" si="0">E4+F4+G4</f>
        <v>0</v>
      </c>
      <c r="I4" s="9" t="s">
        <v>796</v>
      </c>
      <c r="J4" s="9" t="s">
        <v>52</v>
      </c>
      <c r="K4" s="9" t="s">
        <v>52</v>
      </c>
      <c r="L4" s="9" t="s">
        <v>52</v>
      </c>
      <c r="M4" s="9" t="s">
        <v>52</v>
      </c>
      <c r="N4" s="2" t="s">
        <v>52</v>
      </c>
    </row>
    <row r="5" spans="1:14" ht="30" customHeight="1" x14ac:dyDescent="0.3">
      <c r="A5" s="9" t="s">
        <v>64</v>
      </c>
      <c r="B5" s="9" t="s">
        <v>63</v>
      </c>
      <c r="C5" s="9" t="s">
        <v>57</v>
      </c>
      <c r="D5" s="9" t="s">
        <v>58</v>
      </c>
      <c r="E5" s="16">
        <f>'일위대가(총체)'!F14</f>
        <v>0</v>
      </c>
      <c r="F5" s="16">
        <f>'일위대가(총체)'!H14</f>
        <v>0</v>
      </c>
      <c r="G5" s="16">
        <f>'일위대가(총체)'!J14</f>
        <v>0</v>
      </c>
      <c r="H5" s="16">
        <f t="shared" si="0"/>
        <v>0</v>
      </c>
      <c r="I5" s="9" t="s">
        <v>813</v>
      </c>
      <c r="J5" s="9" t="s">
        <v>52</v>
      </c>
      <c r="K5" s="9" t="s">
        <v>52</v>
      </c>
      <c r="L5" s="9" t="s">
        <v>52</v>
      </c>
      <c r="M5" s="9" t="s">
        <v>52</v>
      </c>
      <c r="N5" s="2" t="s">
        <v>52</v>
      </c>
    </row>
    <row r="6" spans="1:14" ht="30" customHeight="1" x14ac:dyDescent="0.3">
      <c r="A6" s="9" t="s">
        <v>69</v>
      </c>
      <c r="B6" s="9" t="s">
        <v>66</v>
      </c>
      <c r="C6" s="9" t="s">
        <v>67</v>
      </c>
      <c r="D6" s="9" t="s">
        <v>68</v>
      </c>
      <c r="E6" s="16">
        <f>'일위대가(총체)'!F18</f>
        <v>0</v>
      </c>
      <c r="F6" s="16">
        <f>'일위대가(총체)'!H18</f>
        <v>0</v>
      </c>
      <c r="G6" s="16">
        <f>'일위대가(총체)'!J18</f>
        <v>0</v>
      </c>
      <c r="H6" s="16">
        <f t="shared" si="0"/>
        <v>0</v>
      </c>
      <c r="I6" s="9" t="s">
        <v>820</v>
      </c>
      <c r="J6" s="9" t="s">
        <v>52</v>
      </c>
      <c r="K6" s="9" t="s">
        <v>52</v>
      </c>
      <c r="L6" s="9" t="s">
        <v>52</v>
      </c>
      <c r="M6" s="9" t="s">
        <v>52</v>
      </c>
      <c r="N6" s="2" t="s">
        <v>52</v>
      </c>
    </row>
    <row r="7" spans="1:14" ht="30" customHeight="1" x14ac:dyDescent="0.3">
      <c r="A7" s="9" t="s">
        <v>74</v>
      </c>
      <c r="B7" s="9" t="s">
        <v>71</v>
      </c>
      <c r="C7" s="9" t="s">
        <v>72</v>
      </c>
      <c r="D7" s="9" t="s">
        <v>73</v>
      </c>
      <c r="E7" s="16">
        <f>'일위대가(총체)'!F32</f>
        <v>0</v>
      </c>
      <c r="F7" s="16">
        <f>'일위대가(총체)'!H32</f>
        <v>0</v>
      </c>
      <c r="G7" s="16">
        <f>'일위대가(총체)'!J32</f>
        <v>0</v>
      </c>
      <c r="H7" s="16">
        <f t="shared" si="0"/>
        <v>0</v>
      </c>
      <c r="I7" s="9" t="s">
        <v>827</v>
      </c>
      <c r="J7" s="9" t="s">
        <v>52</v>
      </c>
      <c r="K7" s="9" t="s">
        <v>52</v>
      </c>
      <c r="L7" s="9" t="s">
        <v>52</v>
      </c>
      <c r="M7" s="9" t="s">
        <v>52</v>
      </c>
      <c r="N7" s="2" t="s">
        <v>52</v>
      </c>
    </row>
    <row r="8" spans="1:14" ht="30" customHeight="1" x14ac:dyDescent="0.3">
      <c r="A8" s="9" t="s">
        <v>78</v>
      </c>
      <c r="B8" s="9" t="s">
        <v>76</v>
      </c>
      <c r="C8" s="9" t="s">
        <v>77</v>
      </c>
      <c r="D8" s="9" t="s">
        <v>68</v>
      </c>
      <c r="E8" s="16">
        <f>'일위대가(총체)'!F37</f>
        <v>0</v>
      </c>
      <c r="F8" s="16">
        <f>'일위대가(총체)'!H37</f>
        <v>0</v>
      </c>
      <c r="G8" s="16">
        <f>'일위대가(총체)'!J37</f>
        <v>0</v>
      </c>
      <c r="H8" s="16">
        <f t="shared" si="0"/>
        <v>0</v>
      </c>
      <c r="I8" s="9" t="s">
        <v>864</v>
      </c>
      <c r="J8" s="9" t="s">
        <v>52</v>
      </c>
      <c r="K8" s="9" t="s">
        <v>52</v>
      </c>
      <c r="L8" s="9" t="s">
        <v>52</v>
      </c>
      <c r="M8" s="9" t="s">
        <v>52</v>
      </c>
      <c r="N8" s="2" t="s">
        <v>52</v>
      </c>
    </row>
    <row r="9" spans="1:14" ht="30" customHeight="1" x14ac:dyDescent="0.3">
      <c r="A9" s="9" t="s">
        <v>83</v>
      </c>
      <c r="B9" s="9" t="s">
        <v>80</v>
      </c>
      <c r="C9" s="9" t="s">
        <v>81</v>
      </c>
      <c r="D9" s="9" t="s">
        <v>82</v>
      </c>
      <c r="E9" s="16">
        <f>'일위대가(총체)'!F45</f>
        <v>0</v>
      </c>
      <c r="F9" s="16">
        <f>'일위대가(총체)'!H45</f>
        <v>0</v>
      </c>
      <c r="G9" s="16">
        <f>'일위대가(총체)'!J45</f>
        <v>0</v>
      </c>
      <c r="H9" s="16">
        <f t="shared" si="0"/>
        <v>0</v>
      </c>
      <c r="I9" s="9" t="s">
        <v>870</v>
      </c>
      <c r="J9" s="9" t="s">
        <v>52</v>
      </c>
      <c r="K9" s="9" t="s">
        <v>52</v>
      </c>
      <c r="L9" s="9" t="s">
        <v>52</v>
      </c>
      <c r="M9" s="9" t="s">
        <v>52</v>
      </c>
      <c r="N9" s="2" t="s">
        <v>52</v>
      </c>
    </row>
    <row r="10" spans="1:14" ht="30" customHeight="1" x14ac:dyDescent="0.3">
      <c r="A10" s="9" t="s">
        <v>91</v>
      </c>
      <c r="B10" s="9" t="s">
        <v>90</v>
      </c>
      <c r="C10" s="9" t="s">
        <v>81</v>
      </c>
      <c r="D10" s="9" t="s">
        <v>82</v>
      </c>
      <c r="E10" s="16">
        <f>'일위대가(총체)'!F52</f>
        <v>0</v>
      </c>
      <c r="F10" s="16">
        <f>'일위대가(총체)'!H52</f>
        <v>0</v>
      </c>
      <c r="G10" s="16">
        <f>'일위대가(총체)'!J52</f>
        <v>0</v>
      </c>
      <c r="H10" s="16">
        <f t="shared" si="0"/>
        <v>0</v>
      </c>
      <c r="I10" s="9" t="s">
        <v>880</v>
      </c>
      <c r="J10" s="9" t="s">
        <v>52</v>
      </c>
      <c r="K10" s="9" t="s">
        <v>52</v>
      </c>
      <c r="L10" s="9" t="s">
        <v>52</v>
      </c>
      <c r="M10" s="9" t="s">
        <v>52</v>
      </c>
      <c r="N10" s="2" t="s">
        <v>52</v>
      </c>
    </row>
    <row r="11" spans="1:14" ht="30" customHeight="1" x14ac:dyDescent="0.3">
      <c r="A11" s="9" t="s">
        <v>99</v>
      </c>
      <c r="B11" s="9" t="s">
        <v>97</v>
      </c>
      <c r="C11" s="9" t="s">
        <v>98</v>
      </c>
      <c r="D11" s="9" t="s">
        <v>68</v>
      </c>
      <c r="E11" s="16">
        <f>'일위대가(총체)'!F59</f>
        <v>0</v>
      </c>
      <c r="F11" s="16">
        <f>'일위대가(총체)'!H59</f>
        <v>0</v>
      </c>
      <c r="G11" s="16">
        <f>'일위대가(총체)'!J59</f>
        <v>0</v>
      </c>
      <c r="H11" s="16">
        <f t="shared" si="0"/>
        <v>0</v>
      </c>
      <c r="I11" s="9" t="s">
        <v>886</v>
      </c>
      <c r="J11" s="9" t="s">
        <v>52</v>
      </c>
      <c r="K11" s="9" t="s">
        <v>52</v>
      </c>
      <c r="L11" s="9" t="s">
        <v>52</v>
      </c>
      <c r="M11" s="9" t="s">
        <v>52</v>
      </c>
      <c r="N11" s="2" t="s">
        <v>52</v>
      </c>
    </row>
    <row r="12" spans="1:14" ht="30" customHeight="1" x14ac:dyDescent="0.3">
      <c r="A12" s="9" t="s">
        <v>109</v>
      </c>
      <c r="B12" s="9" t="s">
        <v>106</v>
      </c>
      <c r="C12" s="9" t="s">
        <v>107</v>
      </c>
      <c r="D12" s="9" t="s">
        <v>108</v>
      </c>
      <c r="E12" s="16">
        <f>'일위대가(총체)'!F63</f>
        <v>0</v>
      </c>
      <c r="F12" s="16">
        <f>'일위대가(총체)'!H63</f>
        <v>0</v>
      </c>
      <c r="G12" s="16">
        <f>'일위대가(총체)'!J63</f>
        <v>0</v>
      </c>
      <c r="H12" s="16">
        <f t="shared" si="0"/>
        <v>0</v>
      </c>
      <c r="I12" s="9" t="s">
        <v>898</v>
      </c>
      <c r="J12" s="9" t="s">
        <v>52</v>
      </c>
      <c r="K12" s="9" t="s">
        <v>52</v>
      </c>
      <c r="L12" s="9" t="s">
        <v>52</v>
      </c>
      <c r="M12" s="9" t="s">
        <v>52</v>
      </c>
      <c r="N12" s="2" t="s">
        <v>52</v>
      </c>
    </row>
    <row r="13" spans="1:14" ht="30" customHeight="1" x14ac:dyDescent="0.3">
      <c r="A13" s="9" t="s">
        <v>113</v>
      </c>
      <c r="B13" s="9" t="s">
        <v>111</v>
      </c>
      <c r="C13" s="9" t="s">
        <v>112</v>
      </c>
      <c r="D13" s="9" t="s">
        <v>68</v>
      </c>
      <c r="E13" s="16">
        <f>'일위대가(총체)'!F68</f>
        <v>0</v>
      </c>
      <c r="F13" s="16">
        <f>'일위대가(총체)'!H68</f>
        <v>0</v>
      </c>
      <c r="G13" s="16">
        <f>'일위대가(총체)'!J68</f>
        <v>0</v>
      </c>
      <c r="H13" s="16">
        <f t="shared" si="0"/>
        <v>0</v>
      </c>
      <c r="I13" s="9" t="s">
        <v>901</v>
      </c>
      <c r="J13" s="9" t="s">
        <v>52</v>
      </c>
      <c r="K13" s="9" t="s">
        <v>52</v>
      </c>
      <c r="L13" s="9" t="s">
        <v>52</v>
      </c>
      <c r="M13" s="9" t="s">
        <v>52</v>
      </c>
      <c r="N13" s="2" t="s">
        <v>52</v>
      </c>
    </row>
    <row r="14" spans="1:14" ht="30" customHeight="1" x14ac:dyDescent="0.3">
      <c r="A14" s="9" t="s">
        <v>117</v>
      </c>
      <c r="B14" s="9" t="s">
        <v>115</v>
      </c>
      <c r="C14" s="9" t="s">
        <v>116</v>
      </c>
      <c r="D14" s="9" t="s">
        <v>68</v>
      </c>
      <c r="E14" s="16">
        <f>'일위대가(총체)'!F73</f>
        <v>0</v>
      </c>
      <c r="F14" s="16">
        <f>'일위대가(총체)'!H73</f>
        <v>0</v>
      </c>
      <c r="G14" s="16">
        <f>'일위대가(총체)'!J73</f>
        <v>0</v>
      </c>
      <c r="H14" s="16">
        <f t="shared" si="0"/>
        <v>0</v>
      </c>
      <c r="I14" s="9" t="s">
        <v>907</v>
      </c>
      <c r="J14" s="9" t="s">
        <v>52</v>
      </c>
      <c r="K14" s="9" t="s">
        <v>52</v>
      </c>
      <c r="L14" s="9" t="s">
        <v>52</v>
      </c>
      <c r="M14" s="9" t="s">
        <v>52</v>
      </c>
      <c r="N14" s="2" t="s">
        <v>52</v>
      </c>
    </row>
    <row r="15" spans="1:14" ht="30" customHeight="1" x14ac:dyDescent="0.3">
      <c r="A15" s="9" t="s">
        <v>120</v>
      </c>
      <c r="B15" s="9" t="s">
        <v>111</v>
      </c>
      <c r="C15" s="9" t="s">
        <v>119</v>
      </c>
      <c r="D15" s="9" t="s">
        <v>68</v>
      </c>
      <c r="E15" s="16">
        <f>'일위대가(총체)'!F78</f>
        <v>0</v>
      </c>
      <c r="F15" s="16">
        <f>'일위대가(총체)'!H78</f>
        <v>0</v>
      </c>
      <c r="G15" s="16">
        <f>'일위대가(총체)'!J78</f>
        <v>0</v>
      </c>
      <c r="H15" s="16">
        <f t="shared" si="0"/>
        <v>0</v>
      </c>
      <c r="I15" s="9" t="s">
        <v>916</v>
      </c>
      <c r="J15" s="9" t="s">
        <v>52</v>
      </c>
      <c r="K15" s="9" t="s">
        <v>52</v>
      </c>
      <c r="L15" s="9" t="s">
        <v>52</v>
      </c>
      <c r="M15" s="9" t="s">
        <v>52</v>
      </c>
      <c r="N15" s="2" t="s">
        <v>52</v>
      </c>
    </row>
    <row r="16" spans="1:14" ht="30" customHeight="1" x14ac:dyDescent="0.3">
      <c r="A16" s="9" t="s">
        <v>124</v>
      </c>
      <c r="B16" s="9" t="s">
        <v>122</v>
      </c>
      <c r="C16" s="9" t="s">
        <v>123</v>
      </c>
      <c r="D16" s="9" t="s">
        <v>68</v>
      </c>
      <c r="E16" s="16">
        <f>'일위대가(총체)'!F85</f>
        <v>0</v>
      </c>
      <c r="F16" s="16">
        <f>'일위대가(총체)'!H85</f>
        <v>0</v>
      </c>
      <c r="G16" s="16">
        <f>'일위대가(총체)'!J85</f>
        <v>0</v>
      </c>
      <c r="H16" s="16">
        <f t="shared" si="0"/>
        <v>0</v>
      </c>
      <c r="I16" s="9" t="s">
        <v>920</v>
      </c>
      <c r="J16" s="9" t="s">
        <v>52</v>
      </c>
      <c r="K16" s="9" t="s">
        <v>52</v>
      </c>
      <c r="L16" s="9" t="s">
        <v>52</v>
      </c>
      <c r="M16" s="9" t="s">
        <v>52</v>
      </c>
      <c r="N16" s="2" t="s">
        <v>52</v>
      </c>
    </row>
    <row r="17" spans="1:14" ht="30" customHeight="1" x14ac:dyDescent="0.3">
      <c r="A17" s="9" t="s">
        <v>130</v>
      </c>
      <c r="B17" s="9" t="s">
        <v>128</v>
      </c>
      <c r="C17" s="9" t="s">
        <v>129</v>
      </c>
      <c r="D17" s="9" t="s">
        <v>68</v>
      </c>
      <c r="E17" s="16">
        <f>'일위대가(총체)'!F92</f>
        <v>0</v>
      </c>
      <c r="F17" s="16">
        <f>'일위대가(총체)'!H92</f>
        <v>0</v>
      </c>
      <c r="G17" s="16">
        <f>'일위대가(총체)'!J92</f>
        <v>0</v>
      </c>
      <c r="H17" s="16">
        <f t="shared" si="0"/>
        <v>0</v>
      </c>
      <c r="I17" s="9" t="s">
        <v>936</v>
      </c>
      <c r="J17" s="9" t="s">
        <v>52</v>
      </c>
      <c r="K17" s="9" t="s">
        <v>52</v>
      </c>
      <c r="L17" s="9" t="s">
        <v>52</v>
      </c>
      <c r="M17" s="9" t="s">
        <v>52</v>
      </c>
      <c r="N17" s="2" t="s">
        <v>52</v>
      </c>
    </row>
    <row r="18" spans="1:14" ht="30" customHeight="1" x14ac:dyDescent="0.3">
      <c r="A18" s="9" t="s">
        <v>134</v>
      </c>
      <c r="B18" s="9" t="s">
        <v>132</v>
      </c>
      <c r="C18" s="9" t="s">
        <v>133</v>
      </c>
      <c r="D18" s="9" t="s">
        <v>68</v>
      </c>
      <c r="E18" s="16">
        <f>'일위대가(총체)'!F98</f>
        <v>0</v>
      </c>
      <c r="F18" s="16">
        <f>'일위대가(총체)'!H98</f>
        <v>0</v>
      </c>
      <c r="G18" s="16">
        <f>'일위대가(총체)'!J98</f>
        <v>0</v>
      </c>
      <c r="H18" s="16">
        <f t="shared" si="0"/>
        <v>0</v>
      </c>
      <c r="I18" s="9" t="s">
        <v>950</v>
      </c>
      <c r="J18" s="9" t="s">
        <v>52</v>
      </c>
      <c r="K18" s="9" t="s">
        <v>52</v>
      </c>
      <c r="L18" s="9" t="s">
        <v>52</v>
      </c>
      <c r="M18" s="9" t="s">
        <v>52</v>
      </c>
      <c r="N18" s="2" t="s">
        <v>52</v>
      </c>
    </row>
    <row r="19" spans="1:14" ht="30" customHeight="1" x14ac:dyDescent="0.3">
      <c r="A19" s="9" t="s">
        <v>138</v>
      </c>
      <c r="B19" s="9" t="s">
        <v>136</v>
      </c>
      <c r="C19" s="9" t="s">
        <v>137</v>
      </c>
      <c r="D19" s="9" t="s">
        <v>82</v>
      </c>
      <c r="E19" s="16">
        <f>'일위대가(총체)'!F104</f>
        <v>0</v>
      </c>
      <c r="F19" s="16">
        <f>'일위대가(총체)'!H104</f>
        <v>0</v>
      </c>
      <c r="G19" s="16">
        <f>'일위대가(총체)'!J104</f>
        <v>0</v>
      </c>
      <c r="H19" s="16">
        <f t="shared" si="0"/>
        <v>0</v>
      </c>
      <c r="I19" s="9" t="s">
        <v>958</v>
      </c>
      <c r="J19" s="9" t="s">
        <v>52</v>
      </c>
      <c r="K19" s="9" t="s">
        <v>52</v>
      </c>
      <c r="L19" s="9" t="s">
        <v>52</v>
      </c>
      <c r="M19" s="9" t="s">
        <v>52</v>
      </c>
      <c r="N19" s="2" t="s">
        <v>52</v>
      </c>
    </row>
    <row r="20" spans="1:14" ht="30" customHeight="1" x14ac:dyDescent="0.3">
      <c r="A20" s="9" t="s">
        <v>150</v>
      </c>
      <c r="B20" s="9" t="s">
        <v>148</v>
      </c>
      <c r="C20" s="9" t="s">
        <v>149</v>
      </c>
      <c r="D20" s="9" t="s">
        <v>68</v>
      </c>
      <c r="E20" s="16">
        <f>'일위대가(총체)'!F115</f>
        <v>0</v>
      </c>
      <c r="F20" s="16">
        <f>'일위대가(총체)'!H115</f>
        <v>0</v>
      </c>
      <c r="G20" s="16">
        <f>'일위대가(총체)'!J115</f>
        <v>0</v>
      </c>
      <c r="H20" s="16">
        <f t="shared" si="0"/>
        <v>0</v>
      </c>
      <c r="I20" s="9" t="s">
        <v>971</v>
      </c>
      <c r="J20" s="9" t="s">
        <v>52</v>
      </c>
      <c r="K20" s="9" t="s">
        <v>52</v>
      </c>
      <c r="L20" s="9" t="s">
        <v>52</v>
      </c>
      <c r="M20" s="9" t="s">
        <v>52</v>
      </c>
      <c r="N20" s="2" t="s">
        <v>52</v>
      </c>
    </row>
    <row r="21" spans="1:14" ht="30" customHeight="1" x14ac:dyDescent="0.3">
      <c r="A21" s="9" t="s">
        <v>153</v>
      </c>
      <c r="B21" s="9" t="s">
        <v>148</v>
      </c>
      <c r="C21" s="9" t="s">
        <v>152</v>
      </c>
      <c r="D21" s="9" t="s">
        <v>68</v>
      </c>
      <c r="E21" s="16">
        <f>'일위대가(총체)'!F126</f>
        <v>0</v>
      </c>
      <c r="F21" s="16">
        <f>'일위대가(총체)'!H126</f>
        <v>0</v>
      </c>
      <c r="G21" s="16">
        <f>'일위대가(총체)'!J126</f>
        <v>0</v>
      </c>
      <c r="H21" s="16">
        <f t="shared" si="0"/>
        <v>0</v>
      </c>
      <c r="I21" s="9" t="s">
        <v>1002</v>
      </c>
      <c r="J21" s="9" t="s">
        <v>52</v>
      </c>
      <c r="K21" s="9" t="s">
        <v>52</v>
      </c>
      <c r="L21" s="9" t="s">
        <v>52</v>
      </c>
      <c r="M21" s="9" t="s">
        <v>52</v>
      </c>
      <c r="N21" s="2" t="s">
        <v>52</v>
      </c>
    </row>
    <row r="22" spans="1:14" ht="30" customHeight="1" x14ac:dyDescent="0.3">
      <c r="A22" s="9" t="s">
        <v>157</v>
      </c>
      <c r="B22" s="9" t="s">
        <v>155</v>
      </c>
      <c r="C22" s="9" t="s">
        <v>156</v>
      </c>
      <c r="D22" s="9" t="s">
        <v>68</v>
      </c>
      <c r="E22" s="16">
        <f>'일위대가(총체)'!F135</f>
        <v>0</v>
      </c>
      <c r="F22" s="16">
        <f>'일위대가(총체)'!H135</f>
        <v>0</v>
      </c>
      <c r="G22" s="16">
        <f>'일위대가(총체)'!J135</f>
        <v>0</v>
      </c>
      <c r="H22" s="16">
        <f t="shared" si="0"/>
        <v>0</v>
      </c>
      <c r="I22" s="9" t="s">
        <v>1018</v>
      </c>
      <c r="J22" s="9" t="s">
        <v>52</v>
      </c>
      <c r="K22" s="9" t="s">
        <v>52</v>
      </c>
      <c r="L22" s="9" t="s">
        <v>52</v>
      </c>
      <c r="M22" s="9" t="s">
        <v>52</v>
      </c>
      <c r="N22" s="2" t="s">
        <v>52</v>
      </c>
    </row>
    <row r="23" spans="1:14" ht="30" customHeight="1" x14ac:dyDescent="0.3">
      <c r="A23" s="9" t="s">
        <v>160</v>
      </c>
      <c r="B23" s="9" t="s">
        <v>155</v>
      </c>
      <c r="C23" s="9" t="s">
        <v>159</v>
      </c>
      <c r="D23" s="9" t="s">
        <v>68</v>
      </c>
      <c r="E23" s="16">
        <f>'일위대가(총체)'!F144</f>
        <v>0</v>
      </c>
      <c r="F23" s="16">
        <f>'일위대가(총체)'!H144</f>
        <v>0</v>
      </c>
      <c r="G23" s="16">
        <f>'일위대가(총체)'!J144</f>
        <v>0</v>
      </c>
      <c r="H23" s="16">
        <f t="shared" si="0"/>
        <v>0</v>
      </c>
      <c r="I23" s="9" t="s">
        <v>1038</v>
      </c>
      <c r="J23" s="9" t="s">
        <v>52</v>
      </c>
      <c r="K23" s="9" t="s">
        <v>52</v>
      </c>
      <c r="L23" s="9" t="s">
        <v>52</v>
      </c>
      <c r="M23" s="9" t="s">
        <v>52</v>
      </c>
      <c r="N23" s="2" t="s">
        <v>52</v>
      </c>
    </row>
    <row r="24" spans="1:14" ht="30" customHeight="1" x14ac:dyDescent="0.3">
      <c r="A24" s="9" t="s">
        <v>166</v>
      </c>
      <c r="B24" s="9" t="s">
        <v>164</v>
      </c>
      <c r="C24" s="9" t="s">
        <v>165</v>
      </c>
      <c r="D24" s="9" t="s">
        <v>68</v>
      </c>
      <c r="E24" s="16">
        <f>'일위대가(총체)'!F149</f>
        <v>0</v>
      </c>
      <c r="F24" s="16">
        <f>'일위대가(총체)'!H149</f>
        <v>0</v>
      </c>
      <c r="G24" s="16">
        <f>'일위대가(총체)'!J149</f>
        <v>0</v>
      </c>
      <c r="H24" s="16">
        <f t="shared" si="0"/>
        <v>0</v>
      </c>
      <c r="I24" s="9" t="s">
        <v>1046</v>
      </c>
      <c r="J24" s="9" t="s">
        <v>52</v>
      </c>
      <c r="K24" s="9" t="s">
        <v>52</v>
      </c>
      <c r="L24" s="9" t="s">
        <v>52</v>
      </c>
      <c r="M24" s="9" t="s">
        <v>52</v>
      </c>
      <c r="N24" s="2" t="s">
        <v>52</v>
      </c>
    </row>
    <row r="25" spans="1:14" ht="30" customHeight="1" x14ac:dyDescent="0.3">
      <c r="A25" s="9" t="s">
        <v>169</v>
      </c>
      <c r="B25" s="9" t="s">
        <v>164</v>
      </c>
      <c r="C25" s="9" t="s">
        <v>168</v>
      </c>
      <c r="D25" s="9" t="s">
        <v>68</v>
      </c>
      <c r="E25" s="16">
        <f>'일위대가(총체)'!F154</f>
        <v>0</v>
      </c>
      <c r="F25" s="16">
        <f>'일위대가(총체)'!H154</f>
        <v>0</v>
      </c>
      <c r="G25" s="16">
        <f>'일위대가(총체)'!J154</f>
        <v>0</v>
      </c>
      <c r="H25" s="16">
        <f t="shared" si="0"/>
        <v>0</v>
      </c>
      <c r="I25" s="9" t="s">
        <v>1055</v>
      </c>
      <c r="J25" s="9" t="s">
        <v>52</v>
      </c>
      <c r="K25" s="9" t="s">
        <v>52</v>
      </c>
      <c r="L25" s="9" t="s">
        <v>52</v>
      </c>
      <c r="M25" s="9" t="s">
        <v>52</v>
      </c>
      <c r="N25" s="2" t="s">
        <v>52</v>
      </c>
    </row>
    <row r="26" spans="1:14" ht="30" customHeight="1" x14ac:dyDescent="0.3">
      <c r="A26" s="9" t="s">
        <v>172</v>
      </c>
      <c r="B26" s="9" t="s">
        <v>171</v>
      </c>
      <c r="C26" s="9" t="s">
        <v>52</v>
      </c>
      <c r="D26" s="9" t="s">
        <v>82</v>
      </c>
      <c r="E26" s="16">
        <f>'일위대가(총체)'!F160</f>
        <v>0</v>
      </c>
      <c r="F26" s="16">
        <f>'일위대가(총체)'!H160</f>
        <v>0</v>
      </c>
      <c r="G26" s="16">
        <f>'일위대가(총체)'!J160</f>
        <v>0</v>
      </c>
      <c r="H26" s="16">
        <f t="shared" si="0"/>
        <v>0</v>
      </c>
      <c r="I26" s="9" t="s">
        <v>1059</v>
      </c>
      <c r="J26" s="9" t="s">
        <v>52</v>
      </c>
      <c r="K26" s="9" t="s">
        <v>52</v>
      </c>
      <c r="L26" s="9" t="s">
        <v>52</v>
      </c>
      <c r="M26" s="9" t="s">
        <v>52</v>
      </c>
      <c r="N26" s="2" t="s">
        <v>52</v>
      </c>
    </row>
    <row r="27" spans="1:14" ht="30" customHeight="1" x14ac:dyDescent="0.3">
      <c r="A27" s="9" t="s">
        <v>176</v>
      </c>
      <c r="B27" s="9" t="s">
        <v>174</v>
      </c>
      <c r="C27" s="9" t="s">
        <v>175</v>
      </c>
      <c r="D27" s="9" t="s">
        <v>68</v>
      </c>
      <c r="E27" s="16">
        <f>'일위대가(총체)'!F167</f>
        <v>0</v>
      </c>
      <c r="F27" s="16">
        <f>'일위대가(총체)'!H167</f>
        <v>0</v>
      </c>
      <c r="G27" s="16">
        <f>'일위대가(총체)'!J167</f>
        <v>0</v>
      </c>
      <c r="H27" s="16">
        <f t="shared" si="0"/>
        <v>0</v>
      </c>
      <c r="I27" s="9" t="s">
        <v>1066</v>
      </c>
      <c r="J27" s="9" t="s">
        <v>52</v>
      </c>
      <c r="K27" s="9" t="s">
        <v>52</v>
      </c>
      <c r="L27" s="9" t="s">
        <v>52</v>
      </c>
      <c r="M27" s="9" t="s">
        <v>52</v>
      </c>
      <c r="N27" s="2" t="s">
        <v>52</v>
      </c>
    </row>
    <row r="28" spans="1:14" ht="30" customHeight="1" x14ac:dyDescent="0.3">
      <c r="A28" s="9" t="s">
        <v>183</v>
      </c>
      <c r="B28" s="9" t="s">
        <v>174</v>
      </c>
      <c r="C28" s="9" t="s">
        <v>182</v>
      </c>
      <c r="D28" s="9" t="s">
        <v>68</v>
      </c>
      <c r="E28" s="16">
        <f>'일위대가(총체)'!F174</f>
        <v>0</v>
      </c>
      <c r="F28" s="16">
        <f>'일위대가(총체)'!H174</f>
        <v>0</v>
      </c>
      <c r="G28" s="16">
        <f>'일위대가(총체)'!J174</f>
        <v>0</v>
      </c>
      <c r="H28" s="16">
        <f t="shared" si="0"/>
        <v>0</v>
      </c>
      <c r="I28" s="9" t="s">
        <v>1077</v>
      </c>
      <c r="J28" s="9" t="s">
        <v>52</v>
      </c>
      <c r="K28" s="9" t="s">
        <v>52</v>
      </c>
      <c r="L28" s="9" t="s">
        <v>52</v>
      </c>
      <c r="M28" s="9" t="s">
        <v>52</v>
      </c>
      <c r="N28" s="2" t="s">
        <v>52</v>
      </c>
    </row>
    <row r="29" spans="1:14" ht="30" customHeight="1" x14ac:dyDescent="0.3">
      <c r="A29" s="9" t="s">
        <v>190</v>
      </c>
      <c r="B29" s="9" t="s">
        <v>188</v>
      </c>
      <c r="C29" s="9" t="s">
        <v>189</v>
      </c>
      <c r="D29" s="9" t="s">
        <v>68</v>
      </c>
      <c r="E29" s="16">
        <f>'일위대가(총체)'!F181</f>
        <v>0</v>
      </c>
      <c r="F29" s="16">
        <f>'일위대가(총체)'!H181</f>
        <v>0</v>
      </c>
      <c r="G29" s="16">
        <f>'일위대가(총체)'!J181</f>
        <v>0</v>
      </c>
      <c r="H29" s="16">
        <f t="shared" si="0"/>
        <v>0</v>
      </c>
      <c r="I29" s="9" t="s">
        <v>1083</v>
      </c>
      <c r="J29" s="9" t="s">
        <v>52</v>
      </c>
      <c r="K29" s="9" t="s">
        <v>52</v>
      </c>
      <c r="L29" s="9" t="s">
        <v>52</v>
      </c>
      <c r="M29" s="9" t="s">
        <v>52</v>
      </c>
      <c r="N29" s="2" t="s">
        <v>52</v>
      </c>
    </row>
    <row r="30" spans="1:14" ht="30" customHeight="1" x14ac:dyDescent="0.3">
      <c r="A30" s="9" t="s">
        <v>197</v>
      </c>
      <c r="B30" s="9" t="s">
        <v>195</v>
      </c>
      <c r="C30" s="9" t="s">
        <v>196</v>
      </c>
      <c r="D30" s="9" t="s">
        <v>68</v>
      </c>
      <c r="E30" s="16">
        <f>'일위대가(총체)'!F187</f>
        <v>0</v>
      </c>
      <c r="F30" s="16">
        <f>'일위대가(총체)'!H187</f>
        <v>0</v>
      </c>
      <c r="G30" s="16">
        <f>'일위대가(총체)'!J187</f>
        <v>0</v>
      </c>
      <c r="H30" s="16">
        <f t="shared" si="0"/>
        <v>0</v>
      </c>
      <c r="I30" s="9" t="s">
        <v>1089</v>
      </c>
      <c r="J30" s="9" t="s">
        <v>52</v>
      </c>
      <c r="K30" s="9" t="s">
        <v>52</v>
      </c>
      <c r="L30" s="9" t="s">
        <v>52</v>
      </c>
      <c r="M30" s="9" t="s">
        <v>52</v>
      </c>
      <c r="N30" s="2" t="s">
        <v>52</v>
      </c>
    </row>
    <row r="31" spans="1:14" ht="30" customHeight="1" x14ac:dyDescent="0.3">
      <c r="A31" s="9" t="s">
        <v>201</v>
      </c>
      <c r="B31" s="9" t="s">
        <v>199</v>
      </c>
      <c r="C31" s="9" t="s">
        <v>200</v>
      </c>
      <c r="D31" s="9" t="s">
        <v>68</v>
      </c>
      <c r="E31" s="16">
        <f>'일위대가(총체)'!F195</f>
        <v>0</v>
      </c>
      <c r="F31" s="16">
        <f>'일위대가(총체)'!H195</f>
        <v>0</v>
      </c>
      <c r="G31" s="16">
        <f>'일위대가(총체)'!J195</f>
        <v>0</v>
      </c>
      <c r="H31" s="16">
        <f t="shared" si="0"/>
        <v>0</v>
      </c>
      <c r="I31" s="9" t="s">
        <v>1100</v>
      </c>
      <c r="J31" s="9" t="s">
        <v>52</v>
      </c>
      <c r="K31" s="9" t="s">
        <v>52</v>
      </c>
      <c r="L31" s="9" t="s">
        <v>52</v>
      </c>
      <c r="M31" s="9" t="s">
        <v>52</v>
      </c>
      <c r="N31" s="2" t="s">
        <v>52</v>
      </c>
    </row>
    <row r="32" spans="1:14" ht="30" customHeight="1" x14ac:dyDescent="0.3">
      <c r="A32" s="9" t="s">
        <v>205</v>
      </c>
      <c r="B32" s="9" t="s">
        <v>203</v>
      </c>
      <c r="C32" s="9" t="s">
        <v>204</v>
      </c>
      <c r="D32" s="9" t="s">
        <v>68</v>
      </c>
      <c r="E32" s="16">
        <f>'일위대가(총체)'!F200</f>
        <v>0</v>
      </c>
      <c r="F32" s="16">
        <f>'일위대가(총체)'!H200</f>
        <v>0</v>
      </c>
      <c r="G32" s="16">
        <f>'일위대가(총체)'!J200</f>
        <v>0</v>
      </c>
      <c r="H32" s="16">
        <f t="shared" si="0"/>
        <v>0</v>
      </c>
      <c r="I32" s="9" t="s">
        <v>1117</v>
      </c>
      <c r="J32" s="9" t="s">
        <v>52</v>
      </c>
      <c r="K32" s="9" t="s">
        <v>52</v>
      </c>
      <c r="L32" s="9" t="s">
        <v>52</v>
      </c>
      <c r="M32" s="9" t="s">
        <v>52</v>
      </c>
      <c r="N32" s="2" t="s">
        <v>52</v>
      </c>
    </row>
    <row r="33" spans="1:14" ht="30" customHeight="1" x14ac:dyDescent="0.3">
      <c r="A33" s="9" t="s">
        <v>212</v>
      </c>
      <c r="B33" s="9" t="s">
        <v>210</v>
      </c>
      <c r="C33" s="9" t="s">
        <v>211</v>
      </c>
      <c r="D33" s="9" t="s">
        <v>68</v>
      </c>
      <c r="E33" s="16">
        <f>'일위대가(총체)'!F206</f>
        <v>0</v>
      </c>
      <c r="F33" s="16">
        <f>'일위대가(총체)'!H206</f>
        <v>0</v>
      </c>
      <c r="G33" s="16">
        <f>'일위대가(총체)'!J206</f>
        <v>0</v>
      </c>
      <c r="H33" s="16">
        <f t="shared" si="0"/>
        <v>0</v>
      </c>
      <c r="I33" s="9" t="s">
        <v>1121</v>
      </c>
      <c r="J33" s="9" t="s">
        <v>52</v>
      </c>
      <c r="K33" s="9" t="s">
        <v>52</v>
      </c>
      <c r="L33" s="9" t="s">
        <v>52</v>
      </c>
      <c r="M33" s="9" t="s">
        <v>52</v>
      </c>
      <c r="N33" s="2" t="s">
        <v>52</v>
      </c>
    </row>
    <row r="34" spans="1:14" ht="30" customHeight="1" x14ac:dyDescent="0.3">
      <c r="A34" s="9" t="s">
        <v>215</v>
      </c>
      <c r="B34" s="9" t="s">
        <v>210</v>
      </c>
      <c r="C34" s="9" t="s">
        <v>214</v>
      </c>
      <c r="D34" s="9" t="s">
        <v>68</v>
      </c>
      <c r="E34" s="16">
        <f>'일위대가(총체)'!F212</f>
        <v>0</v>
      </c>
      <c r="F34" s="16">
        <f>'일위대가(총체)'!H212</f>
        <v>0</v>
      </c>
      <c r="G34" s="16">
        <f>'일위대가(총체)'!J212</f>
        <v>0</v>
      </c>
      <c r="H34" s="16">
        <f t="shared" si="0"/>
        <v>0</v>
      </c>
      <c r="I34" s="9" t="s">
        <v>1127</v>
      </c>
      <c r="J34" s="9" t="s">
        <v>52</v>
      </c>
      <c r="K34" s="9" t="s">
        <v>52</v>
      </c>
      <c r="L34" s="9" t="s">
        <v>52</v>
      </c>
      <c r="M34" s="9" t="s">
        <v>52</v>
      </c>
      <c r="N34" s="2" t="s">
        <v>52</v>
      </c>
    </row>
    <row r="35" spans="1:14" ht="30" customHeight="1" x14ac:dyDescent="0.3">
      <c r="A35" s="9" t="s">
        <v>218</v>
      </c>
      <c r="B35" s="9" t="s">
        <v>210</v>
      </c>
      <c r="C35" s="9" t="s">
        <v>217</v>
      </c>
      <c r="D35" s="9" t="s">
        <v>68</v>
      </c>
      <c r="E35" s="16">
        <f>'일위대가(총체)'!F218</f>
        <v>0</v>
      </c>
      <c r="F35" s="16">
        <f>'일위대가(총체)'!H218</f>
        <v>0</v>
      </c>
      <c r="G35" s="16">
        <f>'일위대가(총체)'!J218</f>
        <v>0</v>
      </c>
      <c r="H35" s="16">
        <f t="shared" si="0"/>
        <v>0</v>
      </c>
      <c r="I35" s="9" t="s">
        <v>1132</v>
      </c>
      <c r="J35" s="9" t="s">
        <v>52</v>
      </c>
      <c r="K35" s="9" t="s">
        <v>52</v>
      </c>
      <c r="L35" s="9" t="s">
        <v>52</v>
      </c>
      <c r="M35" s="9" t="s">
        <v>52</v>
      </c>
      <c r="N35" s="2" t="s">
        <v>52</v>
      </c>
    </row>
    <row r="36" spans="1:14" ht="30" customHeight="1" x14ac:dyDescent="0.3">
      <c r="A36" s="9" t="s">
        <v>222</v>
      </c>
      <c r="B36" s="9" t="s">
        <v>220</v>
      </c>
      <c r="C36" s="9" t="s">
        <v>221</v>
      </c>
      <c r="D36" s="9" t="s">
        <v>87</v>
      </c>
      <c r="E36" s="16">
        <f>'일위대가(총체)'!F227</f>
        <v>0</v>
      </c>
      <c r="F36" s="16">
        <f>'일위대가(총체)'!H227</f>
        <v>0</v>
      </c>
      <c r="G36" s="16">
        <f>'일위대가(총체)'!J227</f>
        <v>0</v>
      </c>
      <c r="H36" s="16">
        <f t="shared" ref="H36:H67" si="1">E36+F36+G36</f>
        <v>0</v>
      </c>
      <c r="I36" s="9" t="s">
        <v>1137</v>
      </c>
      <c r="J36" s="9" t="s">
        <v>52</v>
      </c>
      <c r="K36" s="9" t="s">
        <v>52</v>
      </c>
      <c r="L36" s="9" t="s">
        <v>52</v>
      </c>
      <c r="M36" s="9" t="s">
        <v>52</v>
      </c>
      <c r="N36" s="2" t="s">
        <v>52</v>
      </c>
    </row>
    <row r="37" spans="1:14" ht="30" customHeight="1" x14ac:dyDescent="0.3">
      <c r="A37" s="9" t="s">
        <v>226</v>
      </c>
      <c r="B37" s="9" t="s">
        <v>224</v>
      </c>
      <c r="C37" s="9" t="s">
        <v>225</v>
      </c>
      <c r="D37" s="9" t="s">
        <v>87</v>
      </c>
      <c r="E37" s="16">
        <f>'일위대가(총체)'!F236</f>
        <v>0</v>
      </c>
      <c r="F37" s="16">
        <f>'일위대가(총체)'!H236</f>
        <v>0</v>
      </c>
      <c r="G37" s="16">
        <f>'일위대가(총체)'!J236</f>
        <v>0</v>
      </c>
      <c r="H37" s="16">
        <f t="shared" si="1"/>
        <v>0</v>
      </c>
      <c r="I37" s="9" t="s">
        <v>1155</v>
      </c>
      <c r="J37" s="9" t="s">
        <v>52</v>
      </c>
      <c r="K37" s="9" t="s">
        <v>52</v>
      </c>
      <c r="L37" s="9" t="s">
        <v>52</v>
      </c>
      <c r="M37" s="9" t="s">
        <v>52</v>
      </c>
      <c r="N37" s="2" t="s">
        <v>52</v>
      </c>
    </row>
    <row r="38" spans="1:14" ht="30" customHeight="1" x14ac:dyDescent="0.3">
      <c r="A38" s="9" t="s">
        <v>230</v>
      </c>
      <c r="B38" s="9" t="s">
        <v>228</v>
      </c>
      <c r="C38" s="9" t="s">
        <v>229</v>
      </c>
      <c r="D38" s="9" t="s">
        <v>68</v>
      </c>
      <c r="E38" s="16">
        <f>'일위대가(총체)'!F241</f>
        <v>0</v>
      </c>
      <c r="F38" s="16">
        <f>'일위대가(총체)'!H241</f>
        <v>0</v>
      </c>
      <c r="G38" s="16">
        <f>'일위대가(총체)'!J241</f>
        <v>0</v>
      </c>
      <c r="H38" s="16">
        <f t="shared" si="1"/>
        <v>0</v>
      </c>
      <c r="I38" s="9" t="s">
        <v>1163</v>
      </c>
      <c r="J38" s="9" t="s">
        <v>52</v>
      </c>
      <c r="K38" s="9" t="s">
        <v>52</v>
      </c>
      <c r="L38" s="9" t="s">
        <v>52</v>
      </c>
      <c r="M38" s="9" t="s">
        <v>52</v>
      </c>
      <c r="N38" s="2" t="s">
        <v>52</v>
      </c>
    </row>
    <row r="39" spans="1:14" ht="30" customHeight="1" x14ac:dyDescent="0.3">
      <c r="A39" s="9" t="s">
        <v>241</v>
      </c>
      <c r="B39" s="9" t="s">
        <v>239</v>
      </c>
      <c r="C39" s="9" t="s">
        <v>240</v>
      </c>
      <c r="D39" s="9" t="s">
        <v>68</v>
      </c>
      <c r="E39" s="16">
        <f>'일위대가(총체)'!F245</f>
        <v>0</v>
      </c>
      <c r="F39" s="16">
        <f>'일위대가(총체)'!H245</f>
        <v>0</v>
      </c>
      <c r="G39" s="16">
        <f>'일위대가(총체)'!J245</f>
        <v>0</v>
      </c>
      <c r="H39" s="16">
        <f t="shared" si="1"/>
        <v>0</v>
      </c>
      <c r="I39" s="9" t="s">
        <v>1173</v>
      </c>
      <c r="J39" s="9" t="s">
        <v>52</v>
      </c>
      <c r="K39" s="9" t="s">
        <v>52</v>
      </c>
      <c r="L39" s="9" t="s">
        <v>52</v>
      </c>
      <c r="M39" s="9" t="s">
        <v>52</v>
      </c>
      <c r="N39" s="2" t="s">
        <v>52</v>
      </c>
    </row>
    <row r="40" spans="1:14" ht="30" customHeight="1" x14ac:dyDescent="0.3">
      <c r="A40" s="9" t="s">
        <v>248</v>
      </c>
      <c r="B40" s="9" t="s">
        <v>246</v>
      </c>
      <c r="C40" s="9" t="s">
        <v>247</v>
      </c>
      <c r="D40" s="9" t="s">
        <v>68</v>
      </c>
      <c r="E40" s="16">
        <f>'일위대가(총체)'!F249</f>
        <v>0</v>
      </c>
      <c r="F40" s="16">
        <f>'일위대가(총체)'!H249</f>
        <v>0</v>
      </c>
      <c r="G40" s="16">
        <f>'일위대가(총체)'!J249</f>
        <v>0</v>
      </c>
      <c r="H40" s="16">
        <f t="shared" si="1"/>
        <v>0</v>
      </c>
      <c r="I40" s="9" t="s">
        <v>1179</v>
      </c>
      <c r="J40" s="9" t="s">
        <v>52</v>
      </c>
      <c r="K40" s="9" t="s">
        <v>52</v>
      </c>
      <c r="L40" s="9" t="s">
        <v>52</v>
      </c>
      <c r="M40" s="9" t="s">
        <v>52</v>
      </c>
      <c r="N40" s="2" t="s">
        <v>52</v>
      </c>
    </row>
    <row r="41" spans="1:14" ht="30" customHeight="1" x14ac:dyDescent="0.3">
      <c r="A41" s="9" t="s">
        <v>256</v>
      </c>
      <c r="B41" s="9" t="s">
        <v>254</v>
      </c>
      <c r="C41" s="9" t="s">
        <v>255</v>
      </c>
      <c r="D41" s="9" t="s">
        <v>68</v>
      </c>
      <c r="E41" s="16">
        <f>'일위대가(총체)'!F255</f>
        <v>0</v>
      </c>
      <c r="F41" s="16">
        <f>'일위대가(총체)'!H255</f>
        <v>0</v>
      </c>
      <c r="G41" s="16">
        <f>'일위대가(총체)'!J255</f>
        <v>0</v>
      </c>
      <c r="H41" s="16">
        <f t="shared" si="1"/>
        <v>0</v>
      </c>
      <c r="I41" s="9" t="s">
        <v>1185</v>
      </c>
      <c r="J41" s="9" t="s">
        <v>52</v>
      </c>
      <c r="K41" s="9" t="s">
        <v>52</v>
      </c>
      <c r="L41" s="9" t="s">
        <v>52</v>
      </c>
      <c r="M41" s="9" t="s">
        <v>52</v>
      </c>
      <c r="N41" s="2" t="s">
        <v>52</v>
      </c>
    </row>
    <row r="42" spans="1:14" ht="30" customHeight="1" x14ac:dyDescent="0.3">
      <c r="A42" s="9" t="s">
        <v>259</v>
      </c>
      <c r="B42" s="9" t="s">
        <v>254</v>
      </c>
      <c r="C42" s="9" t="s">
        <v>258</v>
      </c>
      <c r="D42" s="9" t="s">
        <v>68</v>
      </c>
      <c r="E42" s="16">
        <f>'일위대가(총체)'!F261</f>
        <v>0</v>
      </c>
      <c r="F42" s="16">
        <f>'일위대가(총체)'!H261</f>
        <v>0</v>
      </c>
      <c r="G42" s="16">
        <f>'일위대가(총체)'!J261</f>
        <v>0</v>
      </c>
      <c r="H42" s="16">
        <f t="shared" si="1"/>
        <v>0</v>
      </c>
      <c r="I42" s="9" t="s">
        <v>1190</v>
      </c>
      <c r="J42" s="9" t="s">
        <v>52</v>
      </c>
      <c r="K42" s="9" t="s">
        <v>52</v>
      </c>
      <c r="L42" s="9" t="s">
        <v>52</v>
      </c>
      <c r="M42" s="9" t="s">
        <v>52</v>
      </c>
      <c r="N42" s="2" t="s">
        <v>52</v>
      </c>
    </row>
    <row r="43" spans="1:14" ht="30" customHeight="1" x14ac:dyDescent="0.3">
      <c r="A43" s="9" t="s">
        <v>274</v>
      </c>
      <c r="B43" s="9" t="s">
        <v>272</v>
      </c>
      <c r="C43" s="9" t="s">
        <v>273</v>
      </c>
      <c r="D43" s="9" t="s">
        <v>82</v>
      </c>
      <c r="E43" s="16">
        <f>'일위대가(총체)'!F268</f>
        <v>0</v>
      </c>
      <c r="F43" s="16">
        <f>'일위대가(총체)'!H268</f>
        <v>0</v>
      </c>
      <c r="G43" s="16">
        <f>'일위대가(총체)'!J268</f>
        <v>0</v>
      </c>
      <c r="H43" s="16">
        <f t="shared" si="1"/>
        <v>0</v>
      </c>
      <c r="I43" s="9" t="s">
        <v>1195</v>
      </c>
      <c r="J43" s="9" t="s">
        <v>52</v>
      </c>
      <c r="K43" s="9" t="s">
        <v>52</v>
      </c>
      <c r="L43" s="9" t="s">
        <v>52</v>
      </c>
      <c r="M43" s="9" t="s">
        <v>52</v>
      </c>
      <c r="N43" s="2" t="s">
        <v>52</v>
      </c>
    </row>
    <row r="44" spans="1:14" ht="30" customHeight="1" x14ac:dyDescent="0.3">
      <c r="A44" s="9" t="s">
        <v>277</v>
      </c>
      <c r="B44" s="9" t="s">
        <v>272</v>
      </c>
      <c r="C44" s="9" t="s">
        <v>276</v>
      </c>
      <c r="D44" s="9" t="s">
        <v>82</v>
      </c>
      <c r="E44" s="16">
        <f>'일위대가(총체)'!F276</f>
        <v>0</v>
      </c>
      <c r="F44" s="16">
        <f>'일위대가(총체)'!H276</f>
        <v>0</v>
      </c>
      <c r="G44" s="16">
        <f>'일위대가(총체)'!J276</f>
        <v>0</v>
      </c>
      <c r="H44" s="16">
        <f t="shared" si="1"/>
        <v>0</v>
      </c>
      <c r="I44" s="9" t="s">
        <v>1204</v>
      </c>
      <c r="J44" s="9" t="s">
        <v>52</v>
      </c>
      <c r="K44" s="9" t="s">
        <v>52</v>
      </c>
      <c r="L44" s="9" t="s">
        <v>52</v>
      </c>
      <c r="M44" s="9" t="s">
        <v>52</v>
      </c>
      <c r="N44" s="2" t="s">
        <v>52</v>
      </c>
    </row>
    <row r="45" spans="1:14" ht="30" customHeight="1" x14ac:dyDescent="0.3">
      <c r="A45" s="9" t="s">
        <v>280</v>
      </c>
      <c r="B45" s="9" t="s">
        <v>279</v>
      </c>
      <c r="C45" s="9" t="s">
        <v>276</v>
      </c>
      <c r="D45" s="9" t="s">
        <v>82</v>
      </c>
      <c r="E45" s="16">
        <f>'일위대가(총체)'!F284</f>
        <v>0</v>
      </c>
      <c r="F45" s="16">
        <f>'일위대가(총체)'!H284</f>
        <v>0</v>
      </c>
      <c r="G45" s="16">
        <f>'일위대가(총체)'!J284</f>
        <v>0</v>
      </c>
      <c r="H45" s="16">
        <f t="shared" si="1"/>
        <v>0</v>
      </c>
      <c r="I45" s="9" t="s">
        <v>1212</v>
      </c>
      <c r="J45" s="9" t="s">
        <v>52</v>
      </c>
      <c r="K45" s="9" t="s">
        <v>52</v>
      </c>
      <c r="L45" s="9" t="s">
        <v>52</v>
      </c>
      <c r="M45" s="9" t="s">
        <v>52</v>
      </c>
      <c r="N45" s="2" t="s">
        <v>52</v>
      </c>
    </row>
    <row r="46" spans="1:14" ht="30" customHeight="1" x14ac:dyDescent="0.3">
      <c r="A46" s="9" t="s">
        <v>284</v>
      </c>
      <c r="B46" s="9" t="s">
        <v>282</v>
      </c>
      <c r="C46" s="9" t="s">
        <v>283</v>
      </c>
      <c r="D46" s="9" t="s">
        <v>82</v>
      </c>
      <c r="E46" s="16">
        <f>'일위대가(총체)'!F292</f>
        <v>0</v>
      </c>
      <c r="F46" s="16">
        <f>'일위대가(총체)'!H292</f>
        <v>0</v>
      </c>
      <c r="G46" s="16">
        <f>'일위대가(총체)'!J292</f>
        <v>0</v>
      </c>
      <c r="H46" s="16">
        <f t="shared" si="1"/>
        <v>0</v>
      </c>
      <c r="I46" s="9" t="s">
        <v>1221</v>
      </c>
      <c r="J46" s="9" t="s">
        <v>52</v>
      </c>
      <c r="K46" s="9" t="s">
        <v>52</v>
      </c>
      <c r="L46" s="9" t="s">
        <v>52</v>
      </c>
      <c r="M46" s="9" t="s">
        <v>52</v>
      </c>
      <c r="N46" s="2" t="s">
        <v>52</v>
      </c>
    </row>
    <row r="47" spans="1:14" ht="30" customHeight="1" x14ac:dyDescent="0.3">
      <c r="A47" s="9" t="s">
        <v>288</v>
      </c>
      <c r="B47" s="9" t="s">
        <v>286</v>
      </c>
      <c r="C47" s="9" t="s">
        <v>287</v>
      </c>
      <c r="D47" s="9" t="s">
        <v>82</v>
      </c>
      <c r="E47" s="16">
        <f>'일위대가(총체)'!F300</f>
        <v>0</v>
      </c>
      <c r="F47" s="16">
        <f>'일위대가(총체)'!H300</f>
        <v>0</v>
      </c>
      <c r="G47" s="16">
        <f>'일위대가(총체)'!J300</f>
        <v>0</v>
      </c>
      <c r="H47" s="16">
        <f t="shared" si="1"/>
        <v>0</v>
      </c>
      <c r="I47" s="9" t="s">
        <v>1230</v>
      </c>
      <c r="J47" s="9" t="s">
        <v>52</v>
      </c>
      <c r="K47" s="9" t="s">
        <v>52</v>
      </c>
      <c r="L47" s="9" t="s">
        <v>52</v>
      </c>
      <c r="M47" s="9" t="s">
        <v>52</v>
      </c>
      <c r="N47" s="2" t="s">
        <v>52</v>
      </c>
    </row>
    <row r="48" spans="1:14" ht="30" customHeight="1" x14ac:dyDescent="0.3">
      <c r="A48" s="9" t="s">
        <v>292</v>
      </c>
      <c r="B48" s="9" t="s">
        <v>290</v>
      </c>
      <c r="C48" s="9" t="s">
        <v>291</v>
      </c>
      <c r="D48" s="9" t="s">
        <v>68</v>
      </c>
      <c r="E48" s="16">
        <f>'일위대가(총체)'!F308</f>
        <v>0</v>
      </c>
      <c r="F48" s="16">
        <f>'일위대가(총체)'!H308</f>
        <v>0</v>
      </c>
      <c r="G48" s="16">
        <f>'일위대가(총체)'!J308</f>
        <v>0</v>
      </c>
      <c r="H48" s="16">
        <f t="shared" si="1"/>
        <v>0</v>
      </c>
      <c r="I48" s="9" t="s">
        <v>1239</v>
      </c>
      <c r="J48" s="9" t="s">
        <v>52</v>
      </c>
      <c r="K48" s="9" t="s">
        <v>52</v>
      </c>
      <c r="L48" s="9" t="s">
        <v>52</v>
      </c>
      <c r="M48" s="9" t="s">
        <v>52</v>
      </c>
      <c r="N48" s="2" t="s">
        <v>52</v>
      </c>
    </row>
    <row r="49" spans="1:14" ht="30" customHeight="1" x14ac:dyDescent="0.3">
      <c r="A49" s="9" t="s">
        <v>296</v>
      </c>
      <c r="B49" s="9" t="s">
        <v>294</v>
      </c>
      <c r="C49" s="9" t="s">
        <v>295</v>
      </c>
      <c r="D49" s="9" t="s">
        <v>68</v>
      </c>
      <c r="E49" s="16">
        <f>'일위대가(총체)'!F314</f>
        <v>0</v>
      </c>
      <c r="F49" s="16">
        <f>'일위대가(총체)'!H314</f>
        <v>0</v>
      </c>
      <c r="G49" s="16">
        <f>'일위대가(총체)'!J314</f>
        <v>0</v>
      </c>
      <c r="H49" s="16">
        <f t="shared" si="1"/>
        <v>0</v>
      </c>
      <c r="I49" s="9" t="s">
        <v>1249</v>
      </c>
      <c r="J49" s="9" t="s">
        <v>52</v>
      </c>
      <c r="K49" s="9" t="s">
        <v>52</v>
      </c>
      <c r="L49" s="9" t="s">
        <v>52</v>
      </c>
      <c r="M49" s="9" t="s">
        <v>52</v>
      </c>
      <c r="N49" s="2" t="s">
        <v>52</v>
      </c>
    </row>
    <row r="50" spans="1:14" ht="30" customHeight="1" x14ac:dyDescent="0.3">
      <c r="A50" s="9" t="s">
        <v>299</v>
      </c>
      <c r="B50" s="9" t="s">
        <v>294</v>
      </c>
      <c r="C50" s="9" t="s">
        <v>298</v>
      </c>
      <c r="D50" s="9" t="s">
        <v>68</v>
      </c>
      <c r="E50" s="16">
        <f>'일위대가(총체)'!F321</f>
        <v>0</v>
      </c>
      <c r="F50" s="16">
        <f>'일위대가(총체)'!H321</f>
        <v>0</v>
      </c>
      <c r="G50" s="16">
        <f>'일위대가(총체)'!J321</f>
        <v>0</v>
      </c>
      <c r="H50" s="16">
        <f t="shared" si="1"/>
        <v>0</v>
      </c>
      <c r="I50" s="9" t="s">
        <v>1259</v>
      </c>
      <c r="J50" s="9" t="s">
        <v>52</v>
      </c>
      <c r="K50" s="9" t="s">
        <v>52</v>
      </c>
      <c r="L50" s="9" t="s">
        <v>52</v>
      </c>
      <c r="M50" s="9" t="s">
        <v>52</v>
      </c>
      <c r="N50" s="2" t="s">
        <v>52</v>
      </c>
    </row>
    <row r="51" spans="1:14" ht="30" customHeight="1" x14ac:dyDescent="0.3">
      <c r="A51" s="9" t="s">
        <v>303</v>
      </c>
      <c r="B51" s="9" t="s">
        <v>301</v>
      </c>
      <c r="C51" s="9" t="s">
        <v>302</v>
      </c>
      <c r="D51" s="9" t="s">
        <v>68</v>
      </c>
      <c r="E51" s="16">
        <f>'일위대가(총체)'!F326</f>
        <v>0</v>
      </c>
      <c r="F51" s="16">
        <f>'일위대가(총체)'!H326</f>
        <v>0</v>
      </c>
      <c r="G51" s="16">
        <f>'일위대가(총체)'!J326</f>
        <v>0</v>
      </c>
      <c r="H51" s="16">
        <f t="shared" si="1"/>
        <v>0</v>
      </c>
      <c r="I51" s="9" t="s">
        <v>1267</v>
      </c>
      <c r="J51" s="9" t="s">
        <v>52</v>
      </c>
      <c r="K51" s="9" t="s">
        <v>52</v>
      </c>
      <c r="L51" s="9" t="s">
        <v>52</v>
      </c>
      <c r="M51" s="9" t="s">
        <v>52</v>
      </c>
      <c r="N51" s="2" t="s">
        <v>52</v>
      </c>
    </row>
    <row r="52" spans="1:14" ht="30" customHeight="1" x14ac:dyDescent="0.3">
      <c r="A52" s="9" t="s">
        <v>308</v>
      </c>
      <c r="B52" s="9" t="s">
        <v>305</v>
      </c>
      <c r="C52" s="9" t="s">
        <v>306</v>
      </c>
      <c r="D52" s="9" t="s">
        <v>307</v>
      </c>
      <c r="E52" s="16">
        <f>'일위대가(총체)'!F336</f>
        <v>0</v>
      </c>
      <c r="F52" s="16">
        <f>'일위대가(총체)'!H336</f>
        <v>0</v>
      </c>
      <c r="G52" s="16">
        <f>'일위대가(총체)'!J336</f>
        <v>0</v>
      </c>
      <c r="H52" s="16">
        <f t="shared" si="1"/>
        <v>0</v>
      </c>
      <c r="I52" s="9" t="s">
        <v>1275</v>
      </c>
      <c r="J52" s="9" t="s">
        <v>52</v>
      </c>
      <c r="K52" s="9" t="s">
        <v>52</v>
      </c>
      <c r="L52" s="9" t="s">
        <v>52</v>
      </c>
      <c r="M52" s="9" t="s">
        <v>52</v>
      </c>
      <c r="N52" s="2" t="s">
        <v>52</v>
      </c>
    </row>
    <row r="53" spans="1:14" ht="30" customHeight="1" x14ac:dyDescent="0.3">
      <c r="A53" s="9" t="s">
        <v>311</v>
      </c>
      <c r="B53" s="9" t="s">
        <v>310</v>
      </c>
      <c r="C53" s="9" t="s">
        <v>306</v>
      </c>
      <c r="D53" s="9" t="s">
        <v>307</v>
      </c>
      <c r="E53" s="16">
        <f>'일위대가(총체)'!F346</f>
        <v>0</v>
      </c>
      <c r="F53" s="16">
        <f>'일위대가(총체)'!H346</f>
        <v>0</v>
      </c>
      <c r="G53" s="16">
        <f>'일위대가(총체)'!J346</f>
        <v>0</v>
      </c>
      <c r="H53" s="16">
        <f t="shared" si="1"/>
        <v>0</v>
      </c>
      <c r="I53" s="9" t="s">
        <v>1299</v>
      </c>
      <c r="J53" s="9" t="s">
        <v>52</v>
      </c>
      <c r="K53" s="9" t="s">
        <v>52</v>
      </c>
      <c r="L53" s="9" t="s">
        <v>52</v>
      </c>
      <c r="M53" s="9" t="s">
        <v>52</v>
      </c>
      <c r="N53" s="2" t="s">
        <v>52</v>
      </c>
    </row>
    <row r="54" spans="1:14" ht="30" customHeight="1" x14ac:dyDescent="0.3">
      <c r="A54" s="9" t="s">
        <v>335</v>
      </c>
      <c r="B54" s="9" t="s">
        <v>333</v>
      </c>
      <c r="C54" s="9" t="s">
        <v>334</v>
      </c>
      <c r="D54" s="9" t="s">
        <v>82</v>
      </c>
      <c r="E54" s="16">
        <f>'일위대가(총체)'!F352</f>
        <v>0</v>
      </c>
      <c r="F54" s="16">
        <f>'일위대가(총체)'!H352</f>
        <v>0</v>
      </c>
      <c r="G54" s="16">
        <f>'일위대가(총체)'!J352</f>
        <v>0</v>
      </c>
      <c r="H54" s="16">
        <f t="shared" si="1"/>
        <v>0</v>
      </c>
      <c r="I54" s="9" t="s">
        <v>1308</v>
      </c>
      <c r="J54" s="9" t="s">
        <v>52</v>
      </c>
      <c r="K54" s="9" t="s">
        <v>52</v>
      </c>
      <c r="L54" s="9" t="s">
        <v>52</v>
      </c>
      <c r="M54" s="9" t="s">
        <v>52</v>
      </c>
      <c r="N54" s="2" t="s">
        <v>52</v>
      </c>
    </row>
    <row r="55" spans="1:14" ht="30" customHeight="1" x14ac:dyDescent="0.3">
      <c r="A55" s="9" t="s">
        <v>338</v>
      </c>
      <c r="B55" s="9" t="s">
        <v>333</v>
      </c>
      <c r="C55" s="9" t="s">
        <v>337</v>
      </c>
      <c r="D55" s="9" t="s">
        <v>82</v>
      </c>
      <c r="E55" s="16">
        <f>'일위대가(총체)'!F358</f>
        <v>0</v>
      </c>
      <c r="F55" s="16">
        <f>'일위대가(총체)'!H358</f>
        <v>0</v>
      </c>
      <c r="G55" s="16">
        <f>'일위대가(총체)'!J358</f>
        <v>0</v>
      </c>
      <c r="H55" s="16">
        <f t="shared" si="1"/>
        <v>0</v>
      </c>
      <c r="I55" s="9" t="s">
        <v>1318</v>
      </c>
      <c r="J55" s="9" t="s">
        <v>52</v>
      </c>
      <c r="K55" s="9" t="s">
        <v>52</v>
      </c>
      <c r="L55" s="9" t="s">
        <v>52</v>
      </c>
      <c r="M55" s="9" t="s">
        <v>52</v>
      </c>
      <c r="N55" s="2" t="s">
        <v>52</v>
      </c>
    </row>
    <row r="56" spans="1:14" ht="30" customHeight="1" x14ac:dyDescent="0.3">
      <c r="A56" s="9" t="s">
        <v>342</v>
      </c>
      <c r="B56" s="9" t="s">
        <v>340</v>
      </c>
      <c r="C56" s="9" t="s">
        <v>341</v>
      </c>
      <c r="D56" s="9" t="s">
        <v>82</v>
      </c>
      <c r="E56" s="16">
        <f>'일위대가(총체)'!F363</f>
        <v>0</v>
      </c>
      <c r="F56" s="16">
        <f>'일위대가(총체)'!H363</f>
        <v>0</v>
      </c>
      <c r="G56" s="16">
        <f>'일위대가(총체)'!J363</f>
        <v>0</v>
      </c>
      <c r="H56" s="16">
        <f t="shared" si="1"/>
        <v>0</v>
      </c>
      <c r="I56" s="9" t="s">
        <v>1325</v>
      </c>
      <c r="J56" s="9" t="s">
        <v>52</v>
      </c>
      <c r="K56" s="9" t="s">
        <v>52</v>
      </c>
      <c r="L56" s="9" t="s">
        <v>52</v>
      </c>
      <c r="M56" s="9" t="s">
        <v>52</v>
      </c>
      <c r="N56" s="2" t="s">
        <v>52</v>
      </c>
    </row>
    <row r="57" spans="1:14" ht="30" customHeight="1" x14ac:dyDescent="0.3">
      <c r="A57" s="9" t="s">
        <v>346</v>
      </c>
      <c r="B57" s="9" t="s">
        <v>344</v>
      </c>
      <c r="C57" s="9" t="s">
        <v>345</v>
      </c>
      <c r="D57" s="9" t="s">
        <v>87</v>
      </c>
      <c r="E57" s="16">
        <f>'일위대가(총체)'!F374</f>
        <v>0</v>
      </c>
      <c r="F57" s="16">
        <f>'일위대가(총체)'!H374</f>
        <v>0</v>
      </c>
      <c r="G57" s="16">
        <f>'일위대가(총체)'!J374</f>
        <v>0</v>
      </c>
      <c r="H57" s="16">
        <f t="shared" si="1"/>
        <v>0</v>
      </c>
      <c r="I57" s="9" t="s">
        <v>1334</v>
      </c>
      <c r="J57" s="9" t="s">
        <v>52</v>
      </c>
      <c r="K57" s="9" t="s">
        <v>52</v>
      </c>
      <c r="L57" s="9" t="s">
        <v>52</v>
      </c>
      <c r="M57" s="9" t="s">
        <v>52</v>
      </c>
      <c r="N57" s="2" t="s">
        <v>52</v>
      </c>
    </row>
    <row r="58" spans="1:14" ht="30" customHeight="1" x14ac:dyDescent="0.3">
      <c r="A58" s="9" t="s">
        <v>350</v>
      </c>
      <c r="B58" s="9" t="s">
        <v>348</v>
      </c>
      <c r="C58" s="9" t="s">
        <v>349</v>
      </c>
      <c r="D58" s="9" t="s">
        <v>87</v>
      </c>
      <c r="E58" s="16">
        <f>'일위대가(총체)'!F385</f>
        <v>0</v>
      </c>
      <c r="F58" s="16">
        <f>'일위대가(총체)'!H385</f>
        <v>0</v>
      </c>
      <c r="G58" s="16">
        <f>'일위대가(총체)'!J385</f>
        <v>0</v>
      </c>
      <c r="H58" s="16">
        <f t="shared" si="1"/>
        <v>0</v>
      </c>
      <c r="I58" s="9" t="s">
        <v>1358</v>
      </c>
      <c r="J58" s="9" t="s">
        <v>52</v>
      </c>
      <c r="K58" s="9" t="s">
        <v>52</v>
      </c>
      <c r="L58" s="9" t="s">
        <v>52</v>
      </c>
      <c r="M58" s="9" t="s">
        <v>52</v>
      </c>
      <c r="N58" s="2" t="s">
        <v>52</v>
      </c>
    </row>
    <row r="59" spans="1:14" ht="30" customHeight="1" x14ac:dyDescent="0.3">
      <c r="A59" s="9" t="s">
        <v>354</v>
      </c>
      <c r="B59" s="9" t="s">
        <v>352</v>
      </c>
      <c r="C59" s="9" t="s">
        <v>353</v>
      </c>
      <c r="D59" s="9" t="s">
        <v>82</v>
      </c>
      <c r="E59" s="16">
        <f>'일위대가(총체)'!F395</f>
        <v>0</v>
      </c>
      <c r="F59" s="16">
        <f>'일위대가(총체)'!H395</f>
        <v>0</v>
      </c>
      <c r="G59" s="16">
        <f>'일위대가(총체)'!J395</f>
        <v>0</v>
      </c>
      <c r="H59" s="16">
        <f t="shared" si="1"/>
        <v>0</v>
      </c>
      <c r="I59" s="9" t="s">
        <v>1372</v>
      </c>
      <c r="J59" s="9" t="s">
        <v>52</v>
      </c>
      <c r="K59" s="9" t="s">
        <v>52</v>
      </c>
      <c r="L59" s="9" t="s">
        <v>52</v>
      </c>
      <c r="M59" s="9" t="s">
        <v>52</v>
      </c>
      <c r="N59" s="2" t="s">
        <v>52</v>
      </c>
    </row>
    <row r="60" spans="1:14" ht="30" customHeight="1" x14ac:dyDescent="0.3">
      <c r="A60" s="9" t="s">
        <v>358</v>
      </c>
      <c r="B60" s="9" t="s">
        <v>356</v>
      </c>
      <c r="C60" s="9" t="s">
        <v>357</v>
      </c>
      <c r="D60" s="9" t="s">
        <v>68</v>
      </c>
      <c r="E60" s="16">
        <f>'일위대가(총체)'!F404</f>
        <v>0</v>
      </c>
      <c r="F60" s="16">
        <f>'일위대가(총체)'!H404</f>
        <v>0</v>
      </c>
      <c r="G60" s="16">
        <f>'일위대가(총체)'!J404</f>
        <v>0</v>
      </c>
      <c r="H60" s="16">
        <f t="shared" si="1"/>
        <v>0</v>
      </c>
      <c r="I60" s="9" t="s">
        <v>1397</v>
      </c>
      <c r="J60" s="9" t="s">
        <v>52</v>
      </c>
      <c r="K60" s="9" t="s">
        <v>52</v>
      </c>
      <c r="L60" s="9" t="s">
        <v>52</v>
      </c>
      <c r="M60" s="9" t="s">
        <v>52</v>
      </c>
      <c r="N60" s="2" t="s">
        <v>52</v>
      </c>
    </row>
    <row r="61" spans="1:14" ht="30" customHeight="1" x14ac:dyDescent="0.3">
      <c r="A61" s="9" t="s">
        <v>364</v>
      </c>
      <c r="B61" s="9" t="s">
        <v>362</v>
      </c>
      <c r="C61" s="9" t="s">
        <v>363</v>
      </c>
      <c r="D61" s="9" t="s">
        <v>58</v>
      </c>
      <c r="E61" s="16">
        <f>'일위대가(총체)'!F415</f>
        <v>0</v>
      </c>
      <c r="F61" s="16">
        <f>'일위대가(총체)'!H415</f>
        <v>0</v>
      </c>
      <c r="G61" s="16">
        <f>'일위대가(총체)'!J415</f>
        <v>0</v>
      </c>
      <c r="H61" s="16">
        <f t="shared" si="1"/>
        <v>0</v>
      </c>
      <c r="I61" s="9" t="s">
        <v>1411</v>
      </c>
      <c r="J61" s="9" t="s">
        <v>52</v>
      </c>
      <c r="K61" s="9" t="s">
        <v>52</v>
      </c>
      <c r="L61" s="9" t="s">
        <v>52</v>
      </c>
      <c r="M61" s="9" t="s">
        <v>52</v>
      </c>
      <c r="N61" s="2" t="s">
        <v>52</v>
      </c>
    </row>
    <row r="62" spans="1:14" ht="30" customHeight="1" x14ac:dyDescent="0.3">
      <c r="A62" s="9" t="s">
        <v>368</v>
      </c>
      <c r="B62" s="9" t="s">
        <v>366</v>
      </c>
      <c r="C62" s="9" t="s">
        <v>367</v>
      </c>
      <c r="D62" s="9" t="s">
        <v>58</v>
      </c>
      <c r="E62" s="16">
        <f>'일위대가(총체)'!F427</f>
        <v>0</v>
      </c>
      <c r="F62" s="16">
        <f>'일위대가(총체)'!H427</f>
        <v>0</v>
      </c>
      <c r="G62" s="16">
        <f>'일위대가(총체)'!J427</f>
        <v>0</v>
      </c>
      <c r="H62" s="16">
        <f t="shared" si="1"/>
        <v>0</v>
      </c>
      <c r="I62" s="9" t="s">
        <v>1443</v>
      </c>
      <c r="J62" s="9" t="s">
        <v>52</v>
      </c>
      <c r="K62" s="9" t="s">
        <v>52</v>
      </c>
      <c r="L62" s="9" t="s">
        <v>52</v>
      </c>
      <c r="M62" s="9" t="s">
        <v>52</v>
      </c>
      <c r="N62" s="2" t="s">
        <v>52</v>
      </c>
    </row>
    <row r="63" spans="1:14" ht="30" customHeight="1" x14ac:dyDescent="0.3">
      <c r="A63" s="9" t="s">
        <v>372</v>
      </c>
      <c r="B63" s="9" t="s">
        <v>370</v>
      </c>
      <c r="C63" s="9" t="s">
        <v>371</v>
      </c>
      <c r="D63" s="9" t="s">
        <v>58</v>
      </c>
      <c r="E63" s="16">
        <f>'일위대가(총체)'!F434</f>
        <v>0</v>
      </c>
      <c r="F63" s="16">
        <f>'일위대가(총체)'!H434</f>
        <v>0</v>
      </c>
      <c r="G63" s="16">
        <f>'일위대가(총체)'!J434</f>
        <v>0</v>
      </c>
      <c r="H63" s="16">
        <f t="shared" si="1"/>
        <v>0</v>
      </c>
      <c r="I63" s="9" t="s">
        <v>1462</v>
      </c>
      <c r="J63" s="9" t="s">
        <v>52</v>
      </c>
      <c r="K63" s="9" t="s">
        <v>52</v>
      </c>
      <c r="L63" s="9" t="s">
        <v>52</v>
      </c>
      <c r="M63" s="9" t="s">
        <v>52</v>
      </c>
      <c r="N63" s="2" t="s">
        <v>52</v>
      </c>
    </row>
    <row r="64" spans="1:14" ht="30" customHeight="1" x14ac:dyDescent="0.3">
      <c r="A64" s="9" t="s">
        <v>376</v>
      </c>
      <c r="B64" s="9" t="s">
        <v>374</v>
      </c>
      <c r="C64" s="9" t="s">
        <v>375</v>
      </c>
      <c r="D64" s="9" t="s">
        <v>58</v>
      </c>
      <c r="E64" s="16">
        <f>'일위대가(총체)'!F448</f>
        <v>0</v>
      </c>
      <c r="F64" s="16">
        <f>'일위대가(총체)'!H448</f>
        <v>0</v>
      </c>
      <c r="G64" s="16">
        <f>'일위대가(총체)'!J448</f>
        <v>0</v>
      </c>
      <c r="H64" s="16">
        <f t="shared" si="1"/>
        <v>0</v>
      </c>
      <c r="I64" s="9" t="s">
        <v>1474</v>
      </c>
      <c r="J64" s="9" t="s">
        <v>52</v>
      </c>
      <c r="K64" s="9" t="s">
        <v>52</v>
      </c>
      <c r="L64" s="9" t="s">
        <v>52</v>
      </c>
      <c r="M64" s="9" t="s">
        <v>52</v>
      </c>
      <c r="N64" s="2" t="s">
        <v>52</v>
      </c>
    </row>
    <row r="65" spans="1:14" ht="30" customHeight="1" x14ac:dyDescent="0.3">
      <c r="A65" s="9" t="s">
        <v>379</v>
      </c>
      <c r="B65" s="9" t="s">
        <v>378</v>
      </c>
      <c r="C65" s="9" t="s">
        <v>375</v>
      </c>
      <c r="D65" s="9" t="s">
        <v>58</v>
      </c>
      <c r="E65" s="16">
        <f>'일위대가(총체)'!F462</f>
        <v>0</v>
      </c>
      <c r="F65" s="16">
        <f>'일위대가(총체)'!H462</f>
        <v>0</v>
      </c>
      <c r="G65" s="16">
        <f>'일위대가(총체)'!J462</f>
        <v>0</v>
      </c>
      <c r="H65" s="16">
        <f t="shared" si="1"/>
        <v>0</v>
      </c>
      <c r="I65" s="9" t="s">
        <v>1508</v>
      </c>
      <c r="J65" s="9" t="s">
        <v>52</v>
      </c>
      <c r="K65" s="9" t="s">
        <v>52</v>
      </c>
      <c r="L65" s="9" t="s">
        <v>52</v>
      </c>
      <c r="M65" s="9" t="s">
        <v>52</v>
      </c>
      <c r="N65" s="2" t="s">
        <v>52</v>
      </c>
    </row>
    <row r="66" spans="1:14" ht="30" customHeight="1" x14ac:dyDescent="0.3">
      <c r="A66" s="9" t="s">
        <v>383</v>
      </c>
      <c r="B66" s="9" t="s">
        <v>381</v>
      </c>
      <c r="C66" s="9" t="s">
        <v>382</v>
      </c>
      <c r="D66" s="9" t="s">
        <v>58</v>
      </c>
      <c r="E66" s="16">
        <f>'일위대가(총체)'!F474</f>
        <v>0</v>
      </c>
      <c r="F66" s="16">
        <f>'일위대가(총체)'!H474</f>
        <v>0</v>
      </c>
      <c r="G66" s="16">
        <f>'일위대가(총체)'!J474</f>
        <v>0</v>
      </c>
      <c r="H66" s="16">
        <f t="shared" si="1"/>
        <v>0</v>
      </c>
      <c r="I66" s="9" t="s">
        <v>1524</v>
      </c>
      <c r="J66" s="9" t="s">
        <v>52</v>
      </c>
      <c r="K66" s="9" t="s">
        <v>52</v>
      </c>
      <c r="L66" s="9" t="s">
        <v>52</v>
      </c>
      <c r="M66" s="9" t="s">
        <v>52</v>
      </c>
      <c r="N66" s="2" t="s">
        <v>52</v>
      </c>
    </row>
    <row r="67" spans="1:14" ht="30" customHeight="1" x14ac:dyDescent="0.3">
      <c r="A67" s="9" t="s">
        <v>389</v>
      </c>
      <c r="B67" s="9" t="s">
        <v>387</v>
      </c>
      <c r="C67" s="9" t="s">
        <v>388</v>
      </c>
      <c r="D67" s="9" t="s">
        <v>68</v>
      </c>
      <c r="E67" s="16">
        <f>'일위대가(총체)'!F481</f>
        <v>0</v>
      </c>
      <c r="F67" s="16">
        <f>'일위대가(총체)'!H481</f>
        <v>0</v>
      </c>
      <c r="G67" s="16">
        <f>'일위대가(총체)'!J481</f>
        <v>0</v>
      </c>
      <c r="H67" s="16">
        <f t="shared" si="1"/>
        <v>0</v>
      </c>
      <c r="I67" s="9" t="s">
        <v>1538</v>
      </c>
      <c r="J67" s="9" t="s">
        <v>52</v>
      </c>
      <c r="K67" s="9" t="s">
        <v>52</v>
      </c>
      <c r="L67" s="9" t="s">
        <v>52</v>
      </c>
      <c r="M67" s="9" t="s">
        <v>52</v>
      </c>
      <c r="N67" s="2" t="s">
        <v>52</v>
      </c>
    </row>
    <row r="68" spans="1:14" ht="30" customHeight="1" x14ac:dyDescent="0.3">
      <c r="A68" s="9" t="s">
        <v>393</v>
      </c>
      <c r="B68" s="9" t="s">
        <v>391</v>
      </c>
      <c r="C68" s="9" t="s">
        <v>392</v>
      </c>
      <c r="D68" s="9" t="s">
        <v>68</v>
      </c>
      <c r="E68" s="16">
        <f>'일위대가(총체)'!F488</f>
        <v>0</v>
      </c>
      <c r="F68" s="16">
        <f>'일위대가(총체)'!H488</f>
        <v>0</v>
      </c>
      <c r="G68" s="16">
        <f>'일위대가(총체)'!J488</f>
        <v>0</v>
      </c>
      <c r="H68" s="16">
        <f t="shared" ref="H68:H99" si="2">E68+F68+G68</f>
        <v>0</v>
      </c>
      <c r="I68" s="9" t="s">
        <v>1556</v>
      </c>
      <c r="J68" s="9" t="s">
        <v>52</v>
      </c>
      <c r="K68" s="9" t="s">
        <v>52</v>
      </c>
      <c r="L68" s="9" t="s">
        <v>52</v>
      </c>
      <c r="M68" s="9" t="s">
        <v>52</v>
      </c>
      <c r="N68" s="2" t="s">
        <v>52</v>
      </c>
    </row>
    <row r="69" spans="1:14" ht="30" customHeight="1" x14ac:dyDescent="0.3">
      <c r="A69" s="9" t="s">
        <v>397</v>
      </c>
      <c r="B69" s="9" t="s">
        <v>395</v>
      </c>
      <c r="C69" s="9" t="s">
        <v>396</v>
      </c>
      <c r="D69" s="9" t="s">
        <v>68</v>
      </c>
      <c r="E69" s="16">
        <f>'일위대가(총체)'!F494</f>
        <v>0</v>
      </c>
      <c r="F69" s="16">
        <f>'일위대가(총체)'!H494</f>
        <v>0</v>
      </c>
      <c r="G69" s="16">
        <f>'일위대가(총체)'!J494</f>
        <v>0</v>
      </c>
      <c r="H69" s="16">
        <f t="shared" si="2"/>
        <v>0</v>
      </c>
      <c r="I69" s="9" t="s">
        <v>1567</v>
      </c>
      <c r="J69" s="9" t="s">
        <v>52</v>
      </c>
      <c r="K69" s="9" t="s">
        <v>52</v>
      </c>
      <c r="L69" s="9" t="s">
        <v>52</v>
      </c>
      <c r="M69" s="9" t="s">
        <v>52</v>
      </c>
      <c r="N69" s="2" t="s">
        <v>52</v>
      </c>
    </row>
    <row r="70" spans="1:14" ht="30" customHeight="1" x14ac:dyDescent="0.3">
      <c r="A70" s="9" t="s">
        <v>400</v>
      </c>
      <c r="B70" s="9" t="s">
        <v>399</v>
      </c>
      <c r="C70" s="9" t="s">
        <v>396</v>
      </c>
      <c r="D70" s="9" t="s">
        <v>68</v>
      </c>
      <c r="E70" s="16">
        <f>'일위대가(총체)'!F500</f>
        <v>0</v>
      </c>
      <c r="F70" s="16">
        <f>'일위대가(총체)'!H500</f>
        <v>0</v>
      </c>
      <c r="G70" s="16">
        <f>'일위대가(총체)'!J500</f>
        <v>0</v>
      </c>
      <c r="H70" s="16">
        <f t="shared" si="2"/>
        <v>0</v>
      </c>
      <c r="I70" s="9" t="s">
        <v>1578</v>
      </c>
      <c r="J70" s="9" t="s">
        <v>52</v>
      </c>
      <c r="K70" s="9" t="s">
        <v>52</v>
      </c>
      <c r="L70" s="9" t="s">
        <v>52</v>
      </c>
      <c r="M70" s="9" t="s">
        <v>52</v>
      </c>
      <c r="N70" s="2" t="s">
        <v>52</v>
      </c>
    </row>
    <row r="71" spans="1:14" ht="30" customHeight="1" x14ac:dyDescent="0.3">
      <c r="A71" s="9" t="s">
        <v>404</v>
      </c>
      <c r="B71" s="9" t="s">
        <v>402</v>
      </c>
      <c r="C71" s="9" t="s">
        <v>403</v>
      </c>
      <c r="D71" s="9" t="s">
        <v>68</v>
      </c>
      <c r="E71" s="16">
        <f>'일위대가(총체)'!F507</f>
        <v>0</v>
      </c>
      <c r="F71" s="16">
        <f>'일위대가(총체)'!H507</f>
        <v>0</v>
      </c>
      <c r="G71" s="16">
        <f>'일위대가(총체)'!J507</f>
        <v>0</v>
      </c>
      <c r="H71" s="16">
        <f t="shared" si="2"/>
        <v>0</v>
      </c>
      <c r="I71" s="9" t="s">
        <v>1583</v>
      </c>
      <c r="J71" s="9" t="s">
        <v>52</v>
      </c>
      <c r="K71" s="9" t="s">
        <v>52</v>
      </c>
      <c r="L71" s="9" t="s">
        <v>52</v>
      </c>
      <c r="M71" s="9" t="s">
        <v>52</v>
      </c>
      <c r="N71" s="2" t="s">
        <v>52</v>
      </c>
    </row>
    <row r="72" spans="1:14" ht="30" customHeight="1" x14ac:dyDescent="0.3">
      <c r="A72" s="9" t="s">
        <v>411</v>
      </c>
      <c r="B72" s="9" t="s">
        <v>408</v>
      </c>
      <c r="C72" s="9" t="s">
        <v>409</v>
      </c>
      <c r="D72" s="9" t="s">
        <v>410</v>
      </c>
      <c r="E72" s="16">
        <f>'일위대가(총체)'!F513</f>
        <v>0</v>
      </c>
      <c r="F72" s="16">
        <f>'일위대가(총체)'!H513</f>
        <v>0</v>
      </c>
      <c r="G72" s="16">
        <f>'일위대가(총체)'!J513</f>
        <v>0</v>
      </c>
      <c r="H72" s="16">
        <f t="shared" si="2"/>
        <v>0</v>
      </c>
      <c r="I72" s="9" t="s">
        <v>1593</v>
      </c>
      <c r="J72" s="9" t="s">
        <v>52</v>
      </c>
      <c r="K72" s="9" t="s">
        <v>52</v>
      </c>
      <c r="L72" s="9" t="s">
        <v>52</v>
      </c>
      <c r="M72" s="9" t="s">
        <v>52</v>
      </c>
      <c r="N72" s="2" t="s">
        <v>52</v>
      </c>
    </row>
    <row r="73" spans="1:14" ht="30" customHeight="1" x14ac:dyDescent="0.3">
      <c r="A73" s="9" t="s">
        <v>415</v>
      </c>
      <c r="B73" s="9" t="s">
        <v>413</v>
      </c>
      <c r="C73" s="9" t="s">
        <v>414</v>
      </c>
      <c r="D73" s="9" t="s">
        <v>410</v>
      </c>
      <c r="E73" s="16">
        <f>'일위대가(총체)'!F519</f>
        <v>0</v>
      </c>
      <c r="F73" s="16">
        <f>'일위대가(총체)'!H519</f>
        <v>0</v>
      </c>
      <c r="G73" s="16">
        <f>'일위대가(총체)'!J519</f>
        <v>0</v>
      </c>
      <c r="H73" s="16">
        <f t="shared" si="2"/>
        <v>0</v>
      </c>
      <c r="I73" s="9" t="s">
        <v>1603</v>
      </c>
      <c r="J73" s="9" t="s">
        <v>52</v>
      </c>
      <c r="K73" s="9" t="s">
        <v>52</v>
      </c>
      <c r="L73" s="9" t="s">
        <v>52</v>
      </c>
      <c r="M73" s="9" t="s">
        <v>52</v>
      </c>
      <c r="N73" s="2" t="s">
        <v>52</v>
      </c>
    </row>
    <row r="74" spans="1:14" ht="30" customHeight="1" x14ac:dyDescent="0.3">
      <c r="A74" s="9" t="s">
        <v>419</v>
      </c>
      <c r="B74" s="9" t="s">
        <v>417</v>
      </c>
      <c r="C74" s="9" t="s">
        <v>418</v>
      </c>
      <c r="D74" s="9" t="s">
        <v>410</v>
      </c>
      <c r="E74" s="16">
        <f>'일위대가(총체)'!F525</f>
        <v>0</v>
      </c>
      <c r="F74" s="16">
        <f>'일위대가(총체)'!H525</f>
        <v>0</v>
      </c>
      <c r="G74" s="16">
        <f>'일위대가(총체)'!J525</f>
        <v>0</v>
      </c>
      <c r="H74" s="16">
        <f t="shared" si="2"/>
        <v>0</v>
      </c>
      <c r="I74" s="9" t="s">
        <v>1611</v>
      </c>
      <c r="J74" s="9" t="s">
        <v>52</v>
      </c>
      <c r="K74" s="9" t="s">
        <v>52</v>
      </c>
      <c r="L74" s="9" t="s">
        <v>52</v>
      </c>
      <c r="M74" s="9" t="s">
        <v>52</v>
      </c>
      <c r="N74" s="2" t="s">
        <v>52</v>
      </c>
    </row>
    <row r="75" spans="1:14" ht="30" customHeight="1" x14ac:dyDescent="0.3">
      <c r="A75" s="9" t="s">
        <v>423</v>
      </c>
      <c r="B75" s="9" t="s">
        <v>421</v>
      </c>
      <c r="C75" s="9" t="s">
        <v>422</v>
      </c>
      <c r="D75" s="9" t="s">
        <v>410</v>
      </c>
      <c r="E75" s="16">
        <f>'일위대가(총체)'!F531</f>
        <v>0</v>
      </c>
      <c r="F75" s="16">
        <f>'일위대가(총체)'!H531</f>
        <v>0</v>
      </c>
      <c r="G75" s="16">
        <f>'일위대가(총체)'!J531</f>
        <v>0</v>
      </c>
      <c r="H75" s="16">
        <f t="shared" si="2"/>
        <v>0</v>
      </c>
      <c r="I75" s="9" t="s">
        <v>1619</v>
      </c>
      <c r="J75" s="9" t="s">
        <v>52</v>
      </c>
      <c r="K75" s="9" t="s">
        <v>52</v>
      </c>
      <c r="L75" s="9" t="s">
        <v>52</v>
      </c>
      <c r="M75" s="9" t="s">
        <v>52</v>
      </c>
      <c r="N75" s="2" t="s">
        <v>52</v>
      </c>
    </row>
    <row r="76" spans="1:14" ht="30" customHeight="1" x14ac:dyDescent="0.3">
      <c r="A76" s="9" t="s">
        <v>428</v>
      </c>
      <c r="B76" s="9" t="s">
        <v>425</v>
      </c>
      <c r="C76" s="9" t="s">
        <v>426</v>
      </c>
      <c r="D76" s="9" t="s">
        <v>427</v>
      </c>
      <c r="E76" s="16">
        <f>'일위대가(총체)'!F537</f>
        <v>0</v>
      </c>
      <c r="F76" s="16">
        <f>'일위대가(총체)'!H537</f>
        <v>0</v>
      </c>
      <c r="G76" s="16">
        <f>'일위대가(총체)'!J537</f>
        <v>0</v>
      </c>
      <c r="H76" s="16">
        <f t="shared" si="2"/>
        <v>0</v>
      </c>
      <c r="I76" s="9" t="s">
        <v>1627</v>
      </c>
      <c r="J76" s="9" t="s">
        <v>52</v>
      </c>
      <c r="K76" s="9" t="s">
        <v>52</v>
      </c>
      <c r="L76" s="9" t="s">
        <v>52</v>
      </c>
      <c r="M76" s="9" t="s">
        <v>52</v>
      </c>
      <c r="N76" s="2" t="s">
        <v>52</v>
      </c>
    </row>
    <row r="77" spans="1:14" ht="30" customHeight="1" x14ac:dyDescent="0.3">
      <c r="A77" s="9" t="s">
        <v>432</v>
      </c>
      <c r="B77" s="9" t="s">
        <v>430</v>
      </c>
      <c r="C77" s="9" t="s">
        <v>431</v>
      </c>
      <c r="D77" s="9" t="s">
        <v>427</v>
      </c>
      <c r="E77" s="16">
        <f>'일위대가(총체)'!F543</f>
        <v>0</v>
      </c>
      <c r="F77" s="16">
        <f>'일위대가(총체)'!H543</f>
        <v>0</v>
      </c>
      <c r="G77" s="16">
        <f>'일위대가(총체)'!J543</f>
        <v>0</v>
      </c>
      <c r="H77" s="16">
        <f t="shared" si="2"/>
        <v>0</v>
      </c>
      <c r="I77" s="9" t="s">
        <v>1635</v>
      </c>
      <c r="J77" s="9" t="s">
        <v>52</v>
      </c>
      <c r="K77" s="9" t="s">
        <v>52</v>
      </c>
      <c r="L77" s="9" t="s">
        <v>52</v>
      </c>
      <c r="M77" s="9" t="s">
        <v>52</v>
      </c>
      <c r="N77" s="2" t="s">
        <v>52</v>
      </c>
    </row>
    <row r="78" spans="1:14" ht="30" customHeight="1" x14ac:dyDescent="0.3">
      <c r="A78" s="9" t="s">
        <v>436</v>
      </c>
      <c r="B78" s="9" t="s">
        <v>434</v>
      </c>
      <c r="C78" s="9" t="s">
        <v>435</v>
      </c>
      <c r="D78" s="9" t="s">
        <v>427</v>
      </c>
      <c r="E78" s="16">
        <f>'일위대가(총체)'!F549</f>
        <v>0</v>
      </c>
      <c r="F78" s="16">
        <f>'일위대가(총체)'!H549</f>
        <v>0</v>
      </c>
      <c r="G78" s="16">
        <f>'일위대가(총체)'!J549</f>
        <v>0</v>
      </c>
      <c r="H78" s="16">
        <f t="shared" si="2"/>
        <v>0</v>
      </c>
      <c r="I78" s="9" t="s">
        <v>1643</v>
      </c>
      <c r="J78" s="9" t="s">
        <v>52</v>
      </c>
      <c r="K78" s="9" t="s">
        <v>52</v>
      </c>
      <c r="L78" s="9" t="s">
        <v>52</v>
      </c>
      <c r="M78" s="9" t="s">
        <v>52</v>
      </c>
      <c r="N78" s="2" t="s">
        <v>52</v>
      </c>
    </row>
    <row r="79" spans="1:14" ht="30" customHeight="1" x14ac:dyDescent="0.3">
      <c r="A79" s="9" t="s">
        <v>440</v>
      </c>
      <c r="B79" s="9" t="s">
        <v>438</v>
      </c>
      <c r="C79" s="9" t="s">
        <v>439</v>
      </c>
      <c r="D79" s="9" t="s">
        <v>427</v>
      </c>
      <c r="E79" s="16">
        <f>'일위대가(총체)'!F555</f>
        <v>0</v>
      </c>
      <c r="F79" s="16">
        <f>'일위대가(총체)'!H555</f>
        <v>0</v>
      </c>
      <c r="G79" s="16">
        <f>'일위대가(총체)'!J555</f>
        <v>0</v>
      </c>
      <c r="H79" s="16">
        <f t="shared" si="2"/>
        <v>0</v>
      </c>
      <c r="I79" s="9" t="s">
        <v>1651</v>
      </c>
      <c r="J79" s="9" t="s">
        <v>52</v>
      </c>
      <c r="K79" s="9" t="s">
        <v>52</v>
      </c>
      <c r="L79" s="9" t="s">
        <v>52</v>
      </c>
      <c r="M79" s="9" t="s">
        <v>52</v>
      </c>
      <c r="N79" s="2" t="s">
        <v>52</v>
      </c>
    </row>
    <row r="80" spans="1:14" ht="30" customHeight="1" x14ac:dyDescent="0.3">
      <c r="A80" s="9" t="s">
        <v>444</v>
      </c>
      <c r="B80" s="9" t="s">
        <v>442</v>
      </c>
      <c r="C80" s="9" t="s">
        <v>443</v>
      </c>
      <c r="D80" s="9" t="s">
        <v>427</v>
      </c>
      <c r="E80" s="16">
        <f>'일위대가(총체)'!F561</f>
        <v>0</v>
      </c>
      <c r="F80" s="16">
        <f>'일위대가(총체)'!H561</f>
        <v>0</v>
      </c>
      <c r="G80" s="16">
        <f>'일위대가(총체)'!J561</f>
        <v>0</v>
      </c>
      <c r="H80" s="16">
        <f t="shared" si="2"/>
        <v>0</v>
      </c>
      <c r="I80" s="9" t="s">
        <v>1657</v>
      </c>
      <c r="J80" s="9" t="s">
        <v>52</v>
      </c>
      <c r="K80" s="9" t="s">
        <v>52</v>
      </c>
      <c r="L80" s="9" t="s">
        <v>52</v>
      </c>
      <c r="M80" s="9" t="s">
        <v>52</v>
      </c>
      <c r="N80" s="2" t="s">
        <v>52</v>
      </c>
    </row>
    <row r="81" spans="1:14" ht="30" customHeight="1" x14ac:dyDescent="0.3">
      <c r="A81" s="9" t="s">
        <v>447</v>
      </c>
      <c r="B81" s="9" t="s">
        <v>438</v>
      </c>
      <c r="C81" s="9" t="s">
        <v>446</v>
      </c>
      <c r="D81" s="9" t="s">
        <v>427</v>
      </c>
      <c r="E81" s="16">
        <f>'일위대가(총체)'!F567</f>
        <v>0</v>
      </c>
      <c r="F81" s="16">
        <f>'일위대가(총체)'!H567</f>
        <v>0</v>
      </c>
      <c r="G81" s="16">
        <f>'일위대가(총체)'!J567</f>
        <v>0</v>
      </c>
      <c r="H81" s="16">
        <f t="shared" si="2"/>
        <v>0</v>
      </c>
      <c r="I81" s="9" t="s">
        <v>1666</v>
      </c>
      <c r="J81" s="9" t="s">
        <v>52</v>
      </c>
      <c r="K81" s="9" t="s">
        <v>52</v>
      </c>
      <c r="L81" s="9" t="s">
        <v>52</v>
      </c>
      <c r="M81" s="9" t="s">
        <v>52</v>
      </c>
      <c r="N81" s="2" t="s">
        <v>52</v>
      </c>
    </row>
    <row r="82" spans="1:14" ht="30" customHeight="1" x14ac:dyDescent="0.3">
      <c r="A82" s="9" t="s">
        <v>451</v>
      </c>
      <c r="B82" s="9" t="s">
        <v>449</v>
      </c>
      <c r="C82" s="9" t="s">
        <v>450</v>
      </c>
      <c r="D82" s="9" t="s">
        <v>427</v>
      </c>
      <c r="E82" s="16">
        <f>'일위대가(총체)'!F572</f>
        <v>0</v>
      </c>
      <c r="F82" s="16">
        <f>'일위대가(총체)'!H572</f>
        <v>0</v>
      </c>
      <c r="G82" s="16">
        <f>'일위대가(총체)'!J572</f>
        <v>0</v>
      </c>
      <c r="H82" s="16">
        <f t="shared" si="2"/>
        <v>0</v>
      </c>
      <c r="I82" s="9" t="s">
        <v>1672</v>
      </c>
      <c r="J82" s="9" t="s">
        <v>52</v>
      </c>
      <c r="K82" s="9" t="s">
        <v>52</v>
      </c>
      <c r="L82" s="9" t="s">
        <v>52</v>
      </c>
      <c r="M82" s="9" t="s">
        <v>52</v>
      </c>
      <c r="N82" s="2" t="s">
        <v>52</v>
      </c>
    </row>
    <row r="83" spans="1:14" ht="30" customHeight="1" x14ac:dyDescent="0.3">
      <c r="A83" s="9" t="s">
        <v>455</v>
      </c>
      <c r="B83" s="9" t="s">
        <v>453</v>
      </c>
      <c r="C83" s="9" t="s">
        <v>454</v>
      </c>
      <c r="D83" s="9" t="s">
        <v>427</v>
      </c>
      <c r="E83" s="16">
        <f>'일위대가(총체)'!F577</f>
        <v>0</v>
      </c>
      <c r="F83" s="16">
        <f>'일위대가(총체)'!H577</f>
        <v>0</v>
      </c>
      <c r="G83" s="16">
        <f>'일위대가(총체)'!J577</f>
        <v>0</v>
      </c>
      <c r="H83" s="16">
        <f t="shared" si="2"/>
        <v>0</v>
      </c>
      <c r="I83" s="9" t="s">
        <v>1679</v>
      </c>
      <c r="J83" s="9" t="s">
        <v>52</v>
      </c>
      <c r="K83" s="9" t="s">
        <v>52</v>
      </c>
      <c r="L83" s="9" t="s">
        <v>52</v>
      </c>
      <c r="M83" s="9" t="s">
        <v>52</v>
      </c>
      <c r="N83" s="2" t="s">
        <v>52</v>
      </c>
    </row>
    <row r="84" spans="1:14" ht="30" customHeight="1" x14ac:dyDescent="0.3">
      <c r="A84" s="9" t="s">
        <v>459</v>
      </c>
      <c r="B84" s="9" t="s">
        <v>457</v>
      </c>
      <c r="C84" s="9" t="s">
        <v>458</v>
      </c>
      <c r="D84" s="9" t="s">
        <v>427</v>
      </c>
      <c r="E84" s="16">
        <f>'일위대가(총체)'!F583</f>
        <v>0</v>
      </c>
      <c r="F84" s="16">
        <f>'일위대가(총체)'!H583</f>
        <v>0</v>
      </c>
      <c r="G84" s="16">
        <f>'일위대가(총체)'!J583</f>
        <v>0</v>
      </c>
      <c r="H84" s="16">
        <f t="shared" si="2"/>
        <v>0</v>
      </c>
      <c r="I84" s="9" t="s">
        <v>1685</v>
      </c>
      <c r="J84" s="9" t="s">
        <v>52</v>
      </c>
      <c r="K84" s="9" t="s">
        <v>52</v>
      </c>
      <c r="L84" s="9" t="s">
        <v>52</v>
      </c>
      <c r="M84" s="9" t="s">
        <v>52</v>
      </c>
      <c r="N84" s="2" t="s">
        <v>52</v>
      </c>
    </row>
    <row r="85" spans="1:14" ht="30" customHeight="1" x14ac:dyDescent="0.3">
      <c r="A85" s="9" t="s">
        <v>462</v>
      </c>
      <c r="B85" s="9" t="s">
        <v>457</v>
      </c>
      <c r="C85" s="9" t="s">
        <v>461</v>
      </c>
      <c r="D85" s="9" t="s">
        <v>427</v>
      </c>
      <c r="E85" s="16">
        <f>'일위대가(총체)'!F589</f>
        <v>0</v>
      </c>
      <c r="F85" s="16">
        <f>'일위대가(총체)'!H589</f>
        <v>0</v>
      </c>
      <c r="G85" s="16">
        <f>'일위대가(총체)'!J589</f>
        <v>0</v>
      </c>
      <c r="H85" s="16">
        <f t="shared" si="2"/>
        <v>0</v>
      </c>
      <c r="I85" s="9" t="s">
        <v>1694</v>
      </c>
      <c r="J85" s="9" t="s">
        <v>52</v>
      </c>
      <c r="K85" s="9" t="s">
        <v>52</v>
      </c>
      <c r="L85" s="9" t="s">
        <v>52</v>
      </c>
      <c r="M85" s="9" t="s">
        <v>52</v>
      </c>
      <c r="N85" s="2" t="s">
        <v>52</v>
      </c>
    </row>
    <row r="86" spans="1:14" ht="30" customHeight="1" x14ac:dyDescent="0.3">
      <c r="A86" s="9" t="s">
        <v>466</v>
      </c>
      <c r="B86" s="9" t="s">
        <v>464</v>
      </c>
      <c r="C86" s="9" t="s">
        <v>465</v>
      </c>
      <c r="D86" s="9" t="s">
        <v>73</v>
      </c>
      <c r="E86" s="16">
        <f>'일위대가(총체)'!F595</f>
        <v>0</v>
      </c>
      <c r="F86" s="16">
        <f>'일위대가(총체)'!H595</f>
        <v>0</v>
      </c>
      <c r="G86" s="16">
        <f>'일위대가(총체)'!J595</f>
        <v>0</v>
      </c>
      <c r="H86" s="16">
        <f t="shared" si="2"/>
        <v>0</v>
      </c>
      <c r="I86" s="9" t="s">
        <v>1699</v>
      </c>
      <c r="J86" s="9" t="s">
        <v>52</v>
      </c>
      <c r="K86" s="9" t="s">
        <v>52</v>
      </c>
      <c r="L86" s="9" t="s">
        <v>52</v>
      </c>
      <c r="M86" s="9" t="s">
        <v>52</v>
      </c>
      <c r="N86" s="2" t="s">
        <v>52</v>
      </c>
    </row>
    <row r="87" spans="1:14" ht="30" customHeight="1" x14ac:dyDescent="0.3">
      <c r="A87" s="9" t="s">
        <v>470</v>
      </c>
      <c r="B87" s="9" t="s">
        <v>468</v>
      </c>
      <c r="C87" s="9" t="s">
        <v>469</v>
      </c>
      <c r="D87" s="9" t="s">
        <v>73</v>
      </c>
      <c r="E87" s="16">
        <f>'일위대가(총체)'!F602</f>
        <v>0</v>
      </c>
      <c r="F87" s="16">
        <f>'일위대가(총체)'!H602</f>
        <v>0</v>
      </c>
      <c r="G87" s="16">
        <f>'일위대가(총체)'!J602</f>
        <v>0</v>
      </c>
      <c r="H87" s="16">
        <f t="shared" si="2"/>
        <v>0</v>
      </c>
      <c r="I87" s="9" t="s">
        <v>1709</v>
      </c>
      <c r="J87" s="9" t="s">
        <v>52</v>
      </c>
      <c r="K87" s="9" t="s">
        <v>52</v>
      </c>
      <c r="L87" s="9" t="s">
        <v>52</v>
      </c>
      <c r="M87" s="9" t="s">
        <v>52</v>
      </c>
      <c r="N87" s="2" t="s">
        <v>52</v>
      </c>
    </row>
    <row r="88" spans="1:14" ht="30" customHeight="1" x14ac:dyDescent="0.3">
      <c r="A88" s="9" t="s">
        <v>474</v>
      </c>
      <c r="B88" s="9" t="s">
        <v>472</v>
      </c>
      <c r="C88" s="9" t="s">
        <v>473</v>
      </c>
      <c r="D88" s="9" t="s">
        <v>427</v>
      </c>
      <c r="E88" s="16">
        <f>'일위대가(총체)'!F608</f>
        <v>0</v>
      </c>
      <c r="F88" s="16">
        <f>'일위대가(총체)'!H608</f>
        <v>0</v>
      </c>
      <c r="G88" s="16">
        <f>'일위대가(총체)'!J608</f>
        <v>0</v>
      </c>
      <c r="H88" s="16">
        <f t="shared" si="2"/>
        <v>0</v>
      </c>
      <c r="I88" s="9" t="s">
        <v>1720</v>
      </c>
      <c r="J88" s="9" t="s">
        <v>52</v>
      </c>
      <c r="K88" s="9" t="s">
        <v>52</v>
      </c>
      <c r="L88" s="9" t="s">
        <v>52</v>
      </c>
      <c r="M88" s="9" t="s">
        <v>52</v>
      </c>
      <c r="N88" s="2" t="s">
        <v>52</v>
      </c>
    </row>
    <row r="89" spans="1:14" ht="30" customHeight="1" x14ac:dyDescent="0.3">
      <c r="A89" s="9" t="s">
        <v>477</v>
      </c>
      <c r="B89" s="9" t="s">
        <v>472</v>
      </c>
      <c r="C89" s="9" t="s">
        <v>476</v>
      </c>
      <c r="D89" s="9" t="s">
        <v>427</v>
      </c>
      <c r="E89" s="16">
        <f>'일위대가(총체)'!F614</f>
        <v>0</v>
      </c>
      <c r="F89" s="16">
        <f>'일위대가(총체)'!H614</f>
        <v>0</v>
      </c>
      <c r="G89" s="16">
        <f>'일위대가(총체)'!J614</f>
        <v>0</v>
      </c>
      <c r="H89" s="16">
        <f t="shared" si="2"/>
        <v>0</v>
      </c>
      <c r="I89" s="9" t="s">
        <v>1728</v>
      </c>
      <c r="J89" s="9" t="s">
        <v>52</v>
      </c>
      <c r="K89" s="9" t="s">
        <v>52</v>
      </c>
      <c r="L89" s="9" t="s">
        <v>52</v>
      </c>
      <c r="M89" s="9" t="s">
        <v>52</v>
      </c>
      <c r="N89" s="2" t="s">
        <v>52</v>
      </c>
    </row>
    <row r="90" spans="1:14" ht="30" customHeight="1" x14ac:dyDescent="0.3">
      <c r="A90" s="9" t="s">
        <v>481</v>
      </c>
      <c r="B90" s="9" t="s">
        <v>479</v>
      </c>
      <c r="C90" s="9" t="s">
        <v>480</v>
      </c>
      <c r="D90" s="9" t="s">
        <v>82</v>
      </c>
      <c r="E90" s="16">
        <f>'일위대가(총체)'!F621</f>
        <v>0</v>
      </c>
      <c r="F90" s="16">
        <f>'일위대가(총체)'!H621</f>
        <v>0</v>
      </c>
      <c r="G90" s="16">
        <f>'일위대가(총체)'!J621</f>
        <v>0</v>
      </c>
      <c r="H90" s="16">
        <f t="shared" si="2"/>
        <v>0</v>
      </c>
      <c r="I90" s="9" t="s">
        <v>1735</v>
      </c>
      <c r="J90" s="9" t="s">
        <v>52</v>
      </c>
      <c r="K90" s="9" t="s">
        <v>52</v>
      </c>
      <c r="L90" s="9" t="s">
        <v>52</v>
      </c>
      <c r="M90" s="9" t="s">
        <v>52</v>
      </c>
      <c r="N90" s="2" t="s">
        <v>52</v>
      </c>
    </row>
    <row r="91" spans="1:14" ht="30" customHeight="1" x14ac:dyDescent="0.3">
      <c r="A91" s="9" t="s">
        <v>484</v>
      </c>
      <c r="B91" s="9" t="s">
        <v>479</v>
      </c>
      <c r="C91" s="9" t="s">
        <v>483</v>
      </c>
      <c r="D91" s="9" t="s">
        <v>82</v>
      </c>
      <c r="E91" s="16">
        <f>'일위대가(총체)'!F628</f>
        <v>0</v>
      </c>
      <c r="F91" s="16">
        <f>'일위대가(총체)'!H628</f>
        <v>0</v>
      </c>
      <c r="G91" s="16">
        <f>'일위대가(총체)'!J628</f>
        <v>0</v>
      </c>
      <c r="H91" s="16">
        <f t="shared" si="2"/>
        <v>0</v>
      </c>
      <c r="I91" s="9" t="s">
        <v>1744</v>
      </c>
      <c r="J91" s="9" t="s">
        <v>52</v>
      </c>
      <c r="K91" s="9" t="s">
        <v>52</v>
      </c>
      <c r="L91" s="9" t="s">
        <v>52</v>
      </c>
      <c r="M91" s="9" t="s">
        <v>52</v>
      </c>
      <c r="N91" s="2" t="s">
        <v>52</v>
      </c>
    </row>
    <row r="92" spans="1:14" ht="30" customHeight="1" x14ac:dyDescent="0.3">
      <c r="A92" s="9" t="s">
        <v>487</v>
      </c>
      <c r="B92" s="9" t="s">
        <v>479</v>
      </c>
      <c r="C92" s="9" t="s">
        <v>486</v>
      </c>
      <c r="D92" s="9" t="s">
        <v>82</v>
      </c>
      <c r="E92" s="16">
        <f>'일위대가(총체)'!F635</f>
        <v>0</v>
      </c>
      <c r="F92" s="16">
        <f>'일위대가(총체)'!H635</f>
        <v>0</v>
      </c>
      <c r="G92" s="16">
        <f>'일위대가(총체)'!J635</f>
        <v>0</v>
      </c>
      <c r="H92" s="16">
        <f t="shared" si="2"/>
        <v>0</v>
      </c>
      <c r="I92" s="9" t="s">
        <v>1752</v>
      </c>
      <c r="J92" s="9" t="s">
        <v>52</v>
      </c>
      <c r="K92" s="9" t="s">
        <v>52</v>
      </c>
      <c r="L92" s="9" t="s">
        <v>52</v>
      </c>
      <c r="M92" s="9" t="s">
        <v>52</v>
      </c>
      <c r="N92" s="2" t="s">
        <v>52</v>
      </c>
    </row>
    <row r="93" spans="1:14" ht="30" customHeight="1" x14ac:dyDescent="0.3">
      <c r="A93" s="9" t="s">
        <v>490</v>
      </c>
      <c r="B93" s="9" t="s">
        <v>479</v>
      </c>
      <c r="C93" s="9" t="s">
        <v>489</v>
      </c>
      <c r="D93" s="9" t="s">
        <v>82</v>
      </c>
      <c r="E93" s="16">
        <f>'일위대가(총체)'!F642</f>
        <v>0</v>
      </c>
      <c r="F93" s="16">
        <f>'일위대가(총체)'!H642</f>
        <v>0</v>
      </c>
      <c r="G93" s="16">
        <f>'일위대가(총체)'!J642</f>
        <v>0</v>
      </c>
      <c r="H93" s="16">
        <f t="shared" si="2"/>
        <v>0</v>
      </c>
      <c r="I93" s="9" t="s">
        <v>1760</v>
      </c>
      <c r="J93" s="9" t="s">
        <v>52</v>
      </c>
      <c r="K93" s="9" t="s">
        <v>52</v>
      </c>
      <c r="L93" s="9" t="s">
        <v>52</v>
      </c>
      <c r="M93" s="9" t="s">
        <v>52</v>
      </c>
      <c r="N93" s="2" t="s">
        <v>52</v>
      </c>
    </row>
    <row r="94" spans="1:14" ht="30" customHeight="1" x14ac:dyDescent="0.3">
      <c r="A94" s="9" t="s">
        <v>494</v>
      </c>
      <c r="B94" s="9" t="s">
        <v>492</v>
      </c>
      <c r="C94" s="9" t="s">
        <v>493</v>
      </c>
      <c r="D94" s="9" t="s">
        <v>82</v>
      </c>
      <c r="E94" s="16">
        <f>'일위대가(총체)'!F651</f>
        <v>0</v>
      </c>
      <c r="F94" s="16">
        <f>'일위대가(총체)'!H651</f>
        <v>0</v>
      </c>
      <c r="G94" s="16">
        <f>'일위대가(총체)'!J651</f>
        <v>0</v>
      </c>
      <c r="H94" s="16">
        <f t="shared" si="2"/>
        <v>0</v>
      </c>
      <c r="I94" s="9" t="s">
        <v>1768</v>
      </c>
      <c r="J94" s="9" t="s">
        <v>52</v>
      </c>
      <c r="K94" s="9" t="s">
        <v>52</v>
      </c>
      <c r="L94" s="9" t="s">
        <v>52</v>
      </c>
      <c r="M94" s="9" t="s">
        <v>52</v>
      </c>
      <c r="N94" s="2" t="s">
        <v>52</v>
      </c>
    </row>
    <row r="95" spans="1:14" ht="30" customHeight="1" x14ac:dyDescent="0.3">
      <c r="A95" s="9" t="s">
        <v>497</v>
      </c>
      <c r="B95" s="9" t="s">
        <v>492</v>
      </c>
      <c r="C95" s="9" t="s">
        <v>496</v>
      </c>
      <c r="D95" s="9" t="s">
        <v>82</v>
      </c>
      <c r="E95" s="16">
        <f>'일위대가(총체)'!F660</f>
        <v>0</v>
      </c>
      <c r="F95" s="16">
        <f>'일위대가(총체)'!H660</f>
        <v>0</v>
      </c>
      <c r="G95" s="16">
        <f>'일위대가(총체)'!J660</f>
        <v>0</v>
      </c>
      <c r="H95" s="16">
        <f t="shared" si="2"/>
        <v>0</v>
      </c>
      <c r="I95" s="9" t="s">
        <v>1788</v>
      </c>
      <c r="J95" s="9" t="s">
        <v>52</v>
      </c>
      <c r="K95" s="9" t="s">
        <v>52</v>
      </c>
      <c r="L95" s="9" t="s">
        <v>52</v>
      </c>
      <c r="M95" s="9" t="s">
        <v>52</v>
      </c>
      <c r="N95" s="2" t="s">
        <v>52</v>
      </c>
    </row>
    <row r="96" spans="1:14" ht="30" customHeight="1" x14ac:dyDescent="0.3">
      <c r="A96" s="9" t="s">
        <v>500</v>
      </c>
      <c r="B96" s="9" t="s">
        <v>492</v>
      </c>
      <c r="C96" s="9" t="s">
        <v>499</v>
      </c>
      <c r="D96" s="9" t="s">
        <v>82</v>
      </c>
      <c r="E96" s="16">
        <f>'일위대가(총체)'!F669</f>
        <v>0</v>
      </c>
      <c r="F96" s="16">
        <f>'일위대가(총체)'!H669</f>
        <v>0</v>
      </c>
      <c r="G96" s="16">
        <f>'일위대가(총체)'!J669</f>
        <v>0</v>
      </c>
      <c r="H96" s="16">
        <f t="shared" si="2"/>
        <v>0</v>
      </c>
      <c r="I96" s="9" t="s">
        <v>1798</v>
      </c>
      <c r="J96" s="9" t="s">
        <v>52</v>
      </c>
      <c r="K96" s="9" t="s">
        <v>52</v>
      </c>
      <c r="L96" s="9" t="s">
        <v>52</v>
      </c>
      <c r="M96" s="9" t="s">
        <v>52</v>
      </c>
      <c r="N96" s="2" t="s">
        <v>52</v>
      </c>
    </row>
    <row r="97" spans="1:14" ht="30" customHeight="1" x14ac:dyDescent="0.3">
      <c r="A97" s="9" t="s">
        <v>503</v>
      </c>
      <c r="B97" s="9" t="s">
        <v>492</v>
      </c>
      <c r="C97" s="9" t="s">
        <v>502</v>
      </c>
      <c r="D97" s="9" t="s">
        <v>82</v>
      </c>
      <c r="E97" s="16">
        <f>'일위대가(총체)'!F678</f>
        <v>0</v>
      </c>
      <c r="F97" s="16">
        <f>'일위대가(총체)'!H678</f>
        <v>0</v>
      </c>
      <c r="G97" s="16">
        <f>'일위대가(총체)'!J678</f>
        <v>0</v>
      </c>
      <c r="H97" s="16">
        <f t="shared" si="2"/>
        <v>0</v>
      </c>
      <c r="I97" s="9" t="s">
        <v>1808</v>
      </c>
      <c r="J97" s="9" t="s">
        <v>52</v>
      </c>
      <c r="K97" s="9" t="s">
        <v>52</v>
      </c>
      <c r="L97" s="9" t="s">
        <v>52</v>
      </c>
      <c r="M97" s="9" t="s">
        <v>52</v>
      </c>
      <c r="N97" s="2" t="s">
        <v>52</v>
      </c>
    </row>
    <row r="98" spans="1:14" ht="30" customHeight="1" x14ac:dyDescent="0.3">
      <c r="A98" s="9" t="s">
        <v>543</v>
      </c>
      <c r="B98" s="9" t="s">
        <v>542</v>
      </c>
      <c r="C98" s="9" t="s">
        <v>473</v>
      </c>
      <c r="D98" s="9" t="s">
        <v>58</v>
      </c>
      <c r="E98" s="16">
        <f>'일위대가(총체)'!F685</f>
        <v>0</v>
      </c>
      <c r="F98" s="16">
        <f>'일위대가(총체)'!H685</f>
        <v>0</v>
      </c>
      <c r="G98" s="16">
        <f>'일위대가(총체)'!J685</f>
        <v>0</v>
      </c>
      <c r="H98" s="16">
        <f t="shared" si="2"/>
        <v>0</v>
      </c>
      <c r="I98" s="9" t="s">
        <v>1818</v>
      </c>
      <c r="J98" s="9" t="s">
        <v>52</v>
      </c>
      <c r="K98" s="9" t="s">
        <v>52</v>
      </c>
      <c r="L98" s="9" t="s">
        <v>52</v>
      </c>
      <c r="M98" s="9" t="s">
        <v>52</v>
      </c>
      <c r="N98" s="2" t="s">
        <v>52</v>
      </c>
    </row>
    <row r="99" spans="1:14" ht="30" customHeight="1" x14ac:dyDescent="0.3">
      <c r="A99" s="9" t="s">
        <v>545</v>
      </c>
      <c r="B99" s="9" t="s">
        <v>542</v>
      </c>
      <c r="C99" s="9" t="s">
        <v>476</v>
      </c>
      <c r="D99" s="9" t="s">
        <v>58</v>
      </c>
      <c r="E99" s="16">
        <f>'일위대가(총체)'!F692</f>
        <v>0</v>
      </c>
      <c r="F99" s="16">
        <f>'일위대가(총체)'!H692</f>
        <v>0</v>
      </c>
      <c r="G99" s="16">
        <f>'일위대가(총체)'!J692</f>
        <v>0</v>
      </c>
      <c r="H99" s="16">
        <f t="shared" si="2"/>
        <v>0</v>
      </c>
      <c r="I99" s="9" t="s">
        <v>1831</v>
      </c>
      <c r="J99" s="9" t="s">
        <v>52</v>
      </c>
      <c r="K99" s="9" t="s">
        <v>52</v>
      </c>
      <c r="L99" s="9" t="s">
        <v>52</v>
      </c>
      <c r="M99" s="9" t="s">
        <v>52</v>
      </c>
      <c r="N99" s="2" t="s">
        <v>52</v>
      </c>
    </row>
    <row r="100" spans="1:14" ht="30" customHeight="1" x14ac:dyDescent="0.3">
      <c r="A100" s="9" t="s">
        <v>548</v>
      </c>
      <c r="B100" s="9" t="s">
        <v>542</v>
      </c>
      <c r="C100" s="9" t="s">
        <v>547</v>
      </c>
      <c r="D100" s="9" t="s">
        <v>58</v>
      </c>
      <c r="E100" s="16">
        <f>'일위대가(총체)'!F699</f>
        <v>0</v>
      </c>
      <c r="F100" s="16">
        <f>'일위대가(총체)'!H699</f>
        <v>0</v>
      </c>
      <c r="G100" s="16">
        <f>'일위대가(총체)'!J699</f>
        <v>0</v>
      </c>
      <c r="H100" s="16">
        <f t="shared" ref="H100:H131" si="3">E100+F100+G100</f>
        <v>0</v>
      </c>
      <c r="I100" s="9" t="s">
        <v>1837</v>
      </c>
      <c r="J100" s="9" t="s">
        <v>52</v>
      </c>
      <c r="K100" s="9" t="s">
        <v>52</v>
      </c>
      <c r="L100" s="9" t="s">
        <v>52</v>
      </c>
      <c r="M100" s="9" t="s">
        <v>52</v>
      </c>
      <c r="N100" s="2" t="s">
        <v>52</v>
      </c>
    </row>
    <row r="101" spans="1:14" ht="30" customHeight="1" x14ac:dyDescent="0.3">
      <c r="A101" s="9" t="s">
        <v>551</v>
      </c>
      <c r="B101" s="9" t="s">
        <v>542</v>
      </c>
      <c r="C101" s="9" t="s">
        <v>550</v>
      </c>
      <c r="D101" s="9" t="s">
        <v>58</v>
      </c>
      <c r="E101" s="16">
        <f>'일위대가(총체)'!F706</f>
        <v>0</v>
      </c>
      <c r="F101" s="16">
        <f>'일위대가(총체)'!H706</f>
        <v>0</v>
      </c>
      <c r="G101" s="16">
        <f>'일위대가(총체)'!J706</f>
        <v>0</v>
      </c>
      <c r="H101" s="16">
        <f t="shared" si="3"/>
        <v>0</v>
      </c>
      <c r="I101" s="9" t="s">
        <v>1843</v>
      </c>
      <c r="J101" s="9" t="s">
        <v>52</v>
      </c>
      <c r="K101" s="9" t="s">
        <v>52</v>
      </c>
      <c r="L101" s="9" t="s">
        <v>52</v>
      </c>
      <c r="M101" s="9" t="s">
        <v>52</v>
      </c>
      <c r="N101" s="2" t="s">
        <v>52</v>
      </c>
    </row>
    <row r="102" spans="1:14" ht="30" customHeight="1" x14ac:dyDescent="0.3">
      <c r="A102" s="9" t="s">
        <v>555</v>
      </c>
      <c r="B102" s="9" t="s">
        <v>553</v>
      </c>
      <c r="C102" s="9" t="s">
        <v>554</v>
      </c>
      <c r="D102" s="9" t="s">
        <v>82</v>
      </c>
      <c r="E102" s="16">
        <f>'일위대가(총체)'!F712</f>
        <v>0</v>
      </c>
      <c r="F102" s="16">
        <f>'일위대가(총체)'!H712</f>
        <v>0</v>
      </c>
      <c r="G102" s="16">
        <f>'일위대가(총체)'!J712</f>
        <v>0</v>
      </c>
      <c r="H102" s="16">
        <f t="shared" si="3"/>
        <v>0</v>
      </c>
      <c r="I102" s="9" t="s">
        <v>1849</v>
      </c>
      <c r="J102" s="9" t="s">
        <v>52</v>
      </c>
      <c r="K102" s="9" t="s">
        <v>52</v>
      </c>
      <c r="L102" s="9" t="s">
        <v>52</v>
      </c>
      <c r="M102" s="9" t="s">
        <v>52</v>
      </c>
      <c r="N102" s="2" t="s">
        <v>52</v>
      </c>
    </row>
    <row r="103" spans="1:14" ht="30" customHeight="1" x14ac:dyDescent="0.3">
      <c r="A103" s="9" t="s">
        <v>558</v>
      </c>
      <c r="B103" s="9" t="s">
        <v>553</v>
      </c>
      <c r="C103" s="9" t="s">
        <v>557</v>
      </c>
      <c r="D103" s="9" t="s">
        <v>82</v>
      </c>
      <c r="E103" s="16">
        <f>'일위대가(총체)'!F718</f>
        <v>0</v>
      </c>
      <c r="F103" s="16">
        <f>'일위대가(총체)'!H718</f>
        <v>0</v>
      </c>
      <c r="G103" s="16">
        <f>'일위대가(총체)'!J718</f>
        <v>0</v>
      </c>
      <c r="H103" s="16">
        <f t="shared" si="3"/>
        <v>0</v>
      </c>
      <c r="I103" s="9" t="s">
        <v>1857</v>
      </c>
      <c r="J103" s="9" t="s">
        <v>52</v>
      </c>
      <c r="K103" s="9" t="s">
        <v>52</v>
      </c>
      <c r="L103" s="9" t="s">
        <v>52</v>
      </c>
      <c r="M103" s="9" t="s">
        <v>52</v>
      </c>
      <c r="N103" s="2" t="s">
        <v>52</v>
      </c>
    </row>
    <row r="104" spans="1:14" ht="30" customHeight="1" x14ac:dyDescent="0.3">
      <c r="A104" s="9" t="s">
        <v>561</v>
      </c>
      <c r="B104" s="9" t="s">
        <v>553</v>
      </c>
      <c r="C104" s="9" t="s">
        <v>560</v>
      </c>
      <c r="D104" s="9" t="s">
        <v>82</v>
      </c>
      <c r="E104" s="16">
        <f>'일위대가(총체)'!F724</f>
        <v>0</v>
      </c>
      <c r="F104" s="16">
        <f>'일위대가(총체)'!H724</f>
        <v>0</v>
      </c>
      <c r="G104" s="16">
        <f>'일위대가(총체)'!J724</f>
        <v>0</v>
      </c>
      <c r="H104" s="16">
        <f t="shared" si="3"/>
        <v>0</v>
      </c>
      <c r="I104" s="9" t="s">
        <v>1864</v>
      </c>
      <c r="J104" s="9" t="s">
        <v>52</v>
      </c>
      <c r="K104" s="9" t="s">
        <v>52</v>
      </c>
      <c r="L104" s="9" t="s">
        <v>52</v>
      </c>
      <c r="M104" s="9" t="s">
        <v>52</v>
      </c>
      <c r="N104" s="2" t="s">
        <v>52</v>
      </c>
    </row>
    <row r="105" spans="1:14" ht="30" customHeight="1" x14ac:dyDescent="0.3">
      <c r="A105" s="9" t="s">
        <v>596</v>
      </c>
      <c r="B105" s="9" t="s">
        <v>594</v>
      </c>
      <c r="C105" s="9" t="s">
        <v>595</v>
      </c>
      <c r="D105" s="9" t="s">
        <v>58</v>
      </c>
      <c r="E105" s="16">
        <f>'일위대가(총체)'!F730</f>
        <v>0</v>
      </c>
      <c r="F105" s="16">
        <f>'일위대가(총체)'!H730</f>
        <v>0</v>
      </c>
      <c r="G105" s="16">
        <f>'일위대가(총체)'!J730</f>
        <v>0</v>
      </c>
      <c r="H105" s="16">
        <f t="shared" si="3"/>
        <v>0</v>
      </c>
      <c r="I105" s="9" t="s">
        <v>1871</v>
      </c>
      <c r="J105" s="9" t="s">
        <v>52</v>
      </c>
      <c r="K105" s="9" t="s">
        <v>52</v>
      </c>
      <c r="L105" s="9" t="s">
        <v>52</v>
      </c>
      <c r="M105" s="9" t="s">
        <v>52</v>
      </c>
      <c r="N105" s="2" t="s">
        <v>52</v>
      </c>
    </row>
    <row r="106" spans="1:14" ht="30" customHeight="1" x14ac:dyDescent="0.3">
      <c r="A106" s="9" t="s">
        <v>599</v>
      </c>
      <c r="B106" s="9" t="s">
        <v>594</v>
      </c>
      <c r="C106" s="9" t="s">
        <v>598</v>
      </c>
      <c r="D106" s="9" t="s">
        <v>58</v>
      </c>
      <c r="E106" s="16">
        <f>'일위대가(총체)'!F736</f>
        <v>0</v>
      </c>
      <c r="F106" s="16">
        <f>'일위대가(총체)'!H736</f>
        <v>0</v>
      </c>
      <c r="G106" s="16">
        <f>'일위대가(총체)'!J736</f>
        <v>0</v>
      </c>
      <c r="H106" s="16">
        <f t="shared" si="3"/>
        <v>0</v>
      </c>
      <c r="I106" s="9" t="s">
        <v>1878</v>
      </c>
      <c r="J106" s="9" t="s">
        <v>52</v>
      </c>
      <c r="K106" s="9" t="s">
        <v>52</v>
      </c>
      <c r="L106" s="9" t="s">
        <v>52</v>
      </c>
      <c r="M106" s="9" t="s">
        <v>52</v>
      </c>
      <c r="N106" s="2" t="s">
        <v>52</v>
      </c>
    </row>
    <row r="107" spans="1:14" ht="30" customHeight="1" x14ac:dyDescent="0.3">
      <c r="A107" s="9" t="s">
        <v>602</v>
      </c>
      <c r="B107" s="9" t="s">
        <v>594</v>
      </c>
      <c r="C107" s="9" t="s">
        <v>601</v>
      </c>
      <c r="D107" s="9" t="s">
        <v>58</v>
      </c>
      <c r="E107" s="16">
        <f>'일위대가(총체)'!F742</f>
        <v>0</v>
      </c>
      <c r="F107" s="16">
        <f>'일위대가(총체)'!H742</f>
        <v>0</v>
      </c>
      <c r="G107" s="16">
        <f>'일위대가(총체)'!J742</f>
        <v>0</v>
      </c>
      <c r="H107" s="16">
        <f t="shared" si="3"/>
        <v>0</v>
      </c>
      <c r="I107" s="9" t="s">
        <v>1883</v>
      </c>
      <c r="J107" s="9" t="s">
        <v>52</v>
      </c>
      <c r="K107" s="9" t="s">
        <v>52</v>
      </c>
      <c r="L107" s="9" t="s">
        <v>52</v>
      </c>
      <c r="M107" s="9" t="s">
        <v>52</v>
      </c>
      <c r="N107" s="2" t="s">
        <v>52</v>
      </c>
    </row>
    <row r="108" spans="1:14" ht="30" customHeight="1" x14ac:dyDescent="0.3">
      <c r="A108" s="9" t="s">
        <v>606</v>
      </c>
      <c r="B108" s="9" t="s">
        <v>604</v>
      </c>
      <c r="C108" s="9" t="s">
        <v>605</v>
      </c>
      <c r="D108" s="9" t="s">
        <v>427</v>
      </c>
      <c r="E108" s="16">
        <f>'일위대가(총체)'!F748</f>
        <v>0</v>
      </c>
      <c r="F108" s="16">
        <f>'일위대가(총체)'!H748</f>
        <v>0</v>
      </c>
      <c r="G108" s="16">
        <f>'일위대가(총체)'!J748</f>
        <v>0</v>
      </c>
      <c r="H108" s="16">
        <f t="shared" si="3"/>
        <v>0</v>
      </c>
      <c r="I108" s="9" t="s">
        <v>1888</v>
      </c>
      <c r="J108" s="9" t="s">
        <v>52</v>
      </c>
      <c r="K108" s="9" t="s">
        <v>52</v>
      </c>
      <c r="L108" s="9" t="s">
        <v>52</v>
      </c>
      <c r="M108" s="9" t="s">
        <v>52</v>
      </c>
      <c r="N108" s="2" t="s">
        <v>52</v>
      </c>
    </row>
    <row r="109" spans="1:14" ht="30" customHeight="1" x14ac:dyDescent="0.3">
      <c r="A109" s="9" t="s">
        <v>610</v>
      </c>
      <c r="B109" s="9" t="s">
        <v>608</v>
      </c>
      <c r="C109" s="9" t="s">
        <v>609</v>
      </c>
      <c r="D109" s="9" t="s">
        <v>82</v>
      </c>
      <c r="E109" s="16">
        <f>'일위대가(총체)'!F755</f>
        <v>0</v>
      </c>
      <c r="F109" s="16">
        <f>'일위대가(총체)'!H755</f>
        <v>0</v>
      </c>
      <c r="G109" s="16">
        <f>'일위대가(총체)'!J755</f>
        <v>0</v>
      </c>
      <c r="H109" s="16">
        <f t="shared" si="3"/>
        <v>0</v>
      </c>
      <c r="I109" s="9" t="s">
        <v>1895</v>
      </c>
      <c r="J109" s="9" t="s">
        <v>52</v>
      </c>
      <c r="K109" s="9" t="s">
        <v>52</v>
      </c>
      <c r="L109" s="9" t="s">
        <v>52</v>
      </c>
      <c r="M109" s="9" t="s">
        <v>52</v>
      </c>
      <c r="N109" s="2" t="s">
        <v>52</v>
      </c>
    </row>
    <row r="110" spans="1:14" ht="30" customHeight="1" x14ac:dyDescent="0.3">
      <c r="A110" s="9" t="s">
        <v>613</v>
      </c>
      <c r="B110" s="9" t="s">
        <v>608</v>
      </c>
      <c r="C110" s="9" t="s">
        <v>612</v>
      </c>
      <c r="D110" s="9" t="s">
        <v>82</v>
      </c>
      <c r="E110" s="16">
        <f>'일위대가(총체)'!F760</f>
        <v>0</v>
      </c>
      <c r="F110" s="16">
        <f>'일위대가(총체)'!H760</f>
        <v>0</v>
      </c>
      <c r="G110" s="16">
        <f>'일위대가(총체)'!J760</f>
        <v>0</v>
      </c>
      <c r="H110" s="16">
        <f t="shared" si="3"/>
        <v>0</v>
      </c>
      <c r="I110" s="9" t="s">
        <v>1904</v>
      </c>
      <c r="J110" s="9" t="s">
        <v>52</v>
      </c>
      <c r="K110" s="9" t="s">
        <v>52</v>
      </c>
      <c r="L110" s="9" t="s">
        <v>52</v>
      </c>
      <c r="M110" s="9" t="s">
        <v>52</v>
      </c>
      <c r="N110" s="2" t="s">
        <v>52</v>
      </c>
    </row>
    <row r="111" spans="1:14" ht="30" customHeight="1" x14ac:dyDescent="0.3">
      <c r="A111" s="9" t="s">
        <v>633</v>
      </c>
      <c r="B111" s="9" t="s">
        <v>631</v>
      </c>
      <c r="C111" s="9" t="s">
        <v>632</v>
      </c>
      <c r="D111" s="9" t="s">
        <v>68</v>
      </c>
      <c r="E111" s="16">
        <f>'일위대가(총체)'!F768</f>
        <v>0</v>
      </c>
      <c r="F111" s="16">
        <f>'일위대가(총체)'!H768</f>
        <v>0</v>
      </c>
      <c r="G111" s="16">
        <f>'일위대가(총체)'!J768</f>
        <v>0</v>
      </c>
      <c r="H111" s="16">
        <f t="shared" si="3"/>
        <v>0</v>
      </c>
      <c r="I111" s="9" t="s">
        <v>1913</v>
      </c>
      <c r="J111" s="9" t="s">
        <v>52</v>
      </c>
      <c r="K111" s="9" t="s">
        <v>52</v>
      </c>
      <c r="L111" s="9" t="s">
        <v>52</v>
      </c>
      <c r="M111" s="9" t="s">
        <v>52</v>
      </c>
      <c r="N111" s="2" t="s">
        <v>52</v>
      </c>
    </row>
    <row r="112" spans="1:14" ht="30" customHeight="1" x14ac:dyDescent="0.3">
      <c r="A112" s="9" t="s">
        <v>638</v>
      </c>
      <c r="B112" s="9" t="s">
        <v>635</v>
      </c>
      <c r="C112" s="9" t="s">
        <v>636</v>
      </c>
      <c r="D112" s="9" t="s">
        <v>637</v>
      </c>
      <c r="E112" s="16">
        <f>'일위대가(총체)'!F775</f>
        <v>0</v>
      </c>
      <c r="F112" s="16">
        <f>'일위대가(총체)'!H775</f>
        <v>0</v>
      </c>
      <c r="G112" s="16">
        <f>'일위대가(총체)'!J775</f>
        <v>0</v>
      </c>
      <c r="H112" s="16">
        <f t="shared" si="3"/>
        <v>0</v>
      </c>
      <c r="I112" s="9" t="s">
        <v>1924</v>
      </c>
      <c r="J112" s="9" t="s">
        <v>52</v>
      </c>
      <c r="K112" s="9" t="s">
        <v>52</v>
      </c>
      <c r="L112" s="9" t="s">
        <v>52</v>
      </c>
      <c r="M112" s="9" t="s">
        <v>52</v>
      </c>
      <c r="N112" s="2" t="s">
        <v>52</v>
      </c>
    </row>
    <row r="113" spans="1:14" ht="30" customHeight="1" x14ac:dyDescent="0.3">
      <c r="A113" s="9" t="s">
        <v>642</v>
      </c>
      <c r="B113" s="9" t="s">
        <v>640</v>
      </c>
      <c r="C113" s="9" t="s">
        <v>641</v>
      </c>
      <c r="D113" s="9" t="s">
        <v>68</v>
      </c>
      <c r="E113" s="16">
        <f>'일위대가(총체)'!F780</f>
        <v>0</v>
      </c>
      <c r="F113" s="16">
        <f>'일위대가(총체)'!H780</f>
        <v>0</v>
      </c>
      <c r="G113" s="16">
        <f>'일위대가(총체)'!J780</f>
        <v>0</v>
      </c>
      <c r="H113" s="16">
        <f t="shared" si="3"/>
        <v>0</v>
      </c>
      <c r="I113" s="9" t="s">
        <v>1934</v>
      </c>
      <c r="J113" s="9" t="s">
        <v>52</v>
      </c>
      <c r="K113" s="9" t="s">
        <v>52</v>
      </c>
      <c r="L113" s="9" t="s">
        <v>52</v>
      </c>
      <c r="M113" s="9" t="s">
        <v>52</v>
      </c>
      <c r="N113" s="2" t="s">
        <v>52</v>
      </c>
    </row>
    <row r="114" spans="1:14" ht="30" customHeight="1" x14ac:dyDescent="0.3">
      <c r="A114" s="9" t="s">
        <v>657</v>
      </c>
      <c r="B114" s="9" t="s">
        <v>656</v>
      </c>
      <c r="C114" s="9" t="s">
        <v>52</v>
      </c>
      <c r="D114" s="9" t="s">
        <v>68</v>
      </c>
      <c r="E114" s="16">
        <f>'일위대가(총체)'!F785</f>
        <v>0</v>
      </c>
      <c r="F114" s="16">
        <f>'일위대가(총체)'!H785</f>
        <v>0</v>
      </c>
      <c r="G114" s="16">
        <f>'일위대가(총체)'!J785</f>
        <v>0</v>
      </c>
      <c r="H114" s="16">
        <f t="shared" si="3"/>
        <v>0</v>
      </c>
      <c r="I114" s="9" t="s">
        <v>1938</v>
      </c>
      <c r="J114" s="9" t="s">
        <v>52</v>
      </c>
      <c r="K114" s="9" t="s">
        <v>52</v>
      </c>
      <c r="L114" s="9" t="s">
        <v>52</v>
      </c>
      <c r="M114" s="9" t="s">
        <v>52</v>
      </c>
      <c r="N114" s="2" t="s">
        <v>52</v>
      </c>
    </row>
    <row r="115" spans="1:14" ht="30" customHeight="1" x14ac:dyDescent="0.3">
      <c r="A115" s="9" t="s">
        <v>660</v>
      </c>
      <c r="B115" s="9" t="s">
        <v>659</v>
      </c>
      <c r="C115" s="9" t="s">
        <v>156</v>
      </c>
      <c r="D115" s="9" t="s">
        <v>68</v>
      </c>
      <c r="E115" s="16">
        <f>'일위대가(총체)'!F791</f>
        <v>0</v>
      </c>
      <c r="F115" s="16">
        <f>'일위대가(총체)'!H791</f>
        <v>0</v>
      </c>
      <c r="G115" s="16">
        <f>'일위대가(총체)'!J791</f>
        <v>0</v>
      </c>
      <c r="H115" s="16">
        <f t="shared" si="3"/>
        <v>0</v>
      </c>
      <c r="I115" s="9" t="s">
        <v>1942</v>
      </c>
      <c r="J115" s="9" t="s">
        <v>52</v>
      </c>
      <c r="K115" s="9" t="s">
        <v>52</v>
      </c>
      <c r="L115" s="9" t="s">
        <v>52</v>
      </c>
      <c r="M115" s="9" t="s">
        <v>52</v>
      </c>
      <c r="N115" s="2" t="s">
        <v>52</v>
      </c>
    </row>
    <row r="116" spans="1:14" ht="30" customHeight="1" x14ac:dyDescent="0.3">
      <c r="A116" s="9" t="s">
        <v>663</v>
      </c>
      <c r="B116" s="9" t="s">
        <v>662</v>
      </c>
      <c r="C116" s="9" t="s">
        <v>52</v>
      </c>
      <c r="D116" s="9" t="s">
        <v>68</v>
      </c>
      <c r="E116" s="16">
        <f>'일위대가(총체)'!F797</f>
        <v>0</v>
      </c>
      <c r="F116" s="16">
        <f>'일위대가(총체)'!H797</f>
        <v>0</v>
      </c>
      <c r="G116" s="16">
        <f>'일위대가(총체)'!J797</f>
        <v>0</v>
      </c>
      <c r="H116" s="16">
        <f t="shared" si="3"/>
        <v>0</v>
      </c>
      <c r="I116" s="9" t="s">
        <v>1947</v>
      </c>
      <c r="J116" s="9" t="s">
        <v>52</v>
      </c>
      <c r="K116" s="9" t="s">
        <v>52</v>
      </c>
      <c r="L116" s="9" t="s">
        <v>52</v>
      </c>
      <c r="M116" s="9" t="s">
        <v>52</v>
      </c>
      <c r="N116" s="2" t="s">
        <v>52</v>
      </c>
    </row>
    <row r="117" spans="1:14" ht="30" customHeight="1" x14ac:dyDescent="0.3">
      <c r="A117" s="9" t="s">
        <v>666</v>
      </c>
      <c r="B117" s="9" t="s">
        <v>665</v>
      </c>
      <c r="C117" s="9" t="s">
        <v>159</v>
      </c>
      <c r="D117" s="9" t="s">
        <v>68</v>
      </c>
      <c r="E117" s="16">
        <f>'일위대가(총체)'!F803</f>
        <v>0</v>
      </c>
      <c r="F117" s="16">
        <f>'일위대가(총체)'!H803</f>
        <v>0</v>
      </c>
      <c r="G117" s="16">
        <f>'일위대가(총체)'!J803</f>
        <v>0</v>
      </c>
      <c r="H117" s="16">
        <f t="shared" si="3"/>
        <v>0</v>
      </c>
      <c r="I117" s="9" t="s">
        <v>1952</v>
      </c>
      <c r="J117" s="9" t="s">
        <v>52</v>
      </c>
      <c r="K117" s="9" t="s">
        <v>52</v>
      </c>
      <c r="L117" s="9" t="s">
        <v>52</v>
      </c>
      <c r="M117" s="9" t="s">
        <v>52</v>
      </c>
      <c r="N117" s="2" t="s">
        <v>52</v>
      </c>
    </row>
    <row r="118" spans="1:14" ht="30" customHeight="1" x14ac:dyDescent="0.3">
      <c r="A118" s="9" t="s">
        <v>669</v>
      </c>
      <c r="B118" s="9" t="s">
        <v>668</v>
      </c>
      <c r="C118" s="9" t="s">
        <v>52</v>
      </c>
      <c r="D118" s="9" t="s">
        <v>68</v>
      </c>
      <c r="E118" s="16">
        <f>'일위대가(총체)'!F809</f>
        <v>0</v>
      </c>
      <c r="F118" s="16">
        <f>'일위대가(총체)'!H809</f>
        <v>0</v>
      </c>
      <c r="G118" s="16">
        <f>'일위대가(총체)'!J809</f>
        <v>0</v>
      </c>
      <c r="H118" s="16">
        <f t="shared" si="3"/>
        <v>0</v>
      </c>
      <c r="I118" s="9" t="s">
        <v>1957</v>
      </c>
      <c r="J118" s="9" t="s">
        <v>52</v>
      </c>
      <c r="K118" s="9" t="s">
        <v>52</v>
      </c>
      <c r="L118" s="9" t="s">
        <v>52</v>
      </c>
      <c r="M118" s="9" t="s">
        <v>52</v>
      </c>
      <c r="N118" s="2" t="s">
        <v>52</v>
      </c>
    </row>
    <row r="119" spans="1:14" ht="30" customHeight="1" x14ac:dyDescent="0.3">
      <c r="A119" s="9" t="s">
        <v>672</v>
      </c>
      <c r="B119" s="9" t="s">
        <v>671</v>
      </c>
      <c r="C119" s="9" t="s">
        <v>52</v>
      </c>
      <c r="D119" s="9" t="s">
        <v>68</v>
      </c>
      <c r="E119" s="16">
        <f>'일위대가(총체)'!F814</f>
        <v>0</v>
      </c>
      <c r="F119" s="16">
        <f>'일위대가(총체)'!H814</f>
        <v>0</v>
      </c>
      <c r="G119" s="16">
        <f>'일위대가(총체)'!J814</f>
        <v>0</v>
      </c>
      <c r="H119" s="16">
        <f t="shared" si="3"/>
        <v>0</v>
      </c>
      <c r="I119" s="9" t="s">
        <v>1962</v>
      </c>
      <c r="J119" s="9" t="s">
        <v>52</v>
      </c>
      <c r="K119" s="9" t="s">
        <v>52</v>
      </c>
      <c r="L119" s="9" t="s">
        <v>52</v>
      </c>
      <c r="M119" s="9" t="s">
        <v>52</v>
      </c>
      <c r="N119" s="2" t="s">
        <v>52</v>
      </c>
    </row>
    <row r="120" spans="1:14" ht="30" customHeight="1" x14ac:dyDescent="0.3">
      <c r="A120" s="9" t="s">
        <v>675</v>
      </c>
      <c r="B120" s="9" t="s">
        <v>665</v>
      </c>
      <c r="C120" s="9" t="s">
        <v>674</v>
      </c>
      <c r="D120" s="9" t="s">
        <v>68</v>
      </c>
      <c r="E120" s="16">
        <f>'일위대가(총체)'!F820</f>
        <v>0</v>
      </c>
      <c r="F120" s="16">
        <f>'일위대가(총체)'!H820</f>
        <v>0</v>
      </c>
      <c r="G120" s="16">
        <f>'일위대가(총체)'!J820</f>
        <v>0</v>
      </c>
      <c r="H120" s="16">
        <f t="shared" si="3"/>
        <v>0</v>
      </c>
      <c r="I120" s="9" t="s">
        <v>1966</v>
      </c>
      <c r="J120" s="9" t="s">
        <v>52</v>
      </c>
      <c r="K120" s="9" t="s">
        <v>52</v>
      </c>
      <c r="L120" s="9" t="s">
        <v>52</v>
      </c>
      <c r="M120" s="9" t="s">
        <v>52</v>
      </c>
      <c r="N120" s="2" t="s">
        <v>52</v>
      </c>
    </row>
    <row r="121" spans="1:14" ht="30" customHeight="1" x14ac:dyDescent="0.3">
      <c r="A121" s="9" t="s">
        <v>678</v>
      </c>
      <c r="B121" s="9" t="s">
        <v>677</v>
      </c>
      <c r="C121" s="9" t="s">
        <v>159</v>
      </c>
      <c r="D121" s="9" t="s">
        <v>68</v>
      </c>
      <c r="E121" s="16">
        <f>'일위대가(총체)'!F825</f>
        <v>0</v>
      </c>
      <c r="F121" s="16">
        <f>'일위대가(총체)'!H825</f>
        <v>0</v>
      </c>
      <c r="G121" s="16">
        <f>'일위대가(총체)'!J825</f>
        <v>0</v>
      </c>
      <c r="H121" s="16">
        <f t="shared" si="3"/>
        <v>0</v>
      </c>
      <c r="I121" s="9" t="s">
        <v>1971</v>
      </c>
      <c r="J121" s="9" t="s">
        <v>52</v>
      </c>
      <c r="K121" s="9" t="s">
        <v>52</v>
      </c>
      <c r="L121" s="9" t="s">
        <v>52</v>
      </c>
      <c r="M121" s="9" t="s">
        <v>52</v>
      </c>
      <c r="N121" s="2" t="s">
        <v>52</v>
      </c>
    </row>
    <row r="122" spans="1:14" ht="30" customHeight="1" x14ac:dyDescent="0.3">
      <c r="A122" s="9" t="s">
        <v>680</v>
      </c>
      <c r="B122" s="9" t="s">
        <v>677</v>
      </c>
      <c r="C122" s="9" t="s">
        <v>674</v>
      </c>
      <c r="D122" s="9" t="s">
        <v>68</v>
      </c>
      <c r="E122" s="16">
        <f>'일위대가(총체)'!F830</f>
        <v>0</v>
      </c>
      <c r="F122" s="16">
        <f>'일위대가(총체)'!H830</f>
        <v>0</v>
      </c>
      <c r="G122" s="16">
        <f>'일위대가(총체)'!J830</f>
        <v>0</v>
      </c>
      <c r="H122" s="16">
        <f t="shared" si="3"/>
        <v>0</v>
      </c>
      <c r="I122" s="9" t="s">
        <v>1975</v>
      </c>
      <c r="J122" s="9" t="s">
        <v>52</v>
      </c>
      <c r="K122" s="9" t="s">
        <v>52</v>
      </c>
      <c r="L122" s="9" t="s">
        <v>52</v>
      </c>
      <c r="M122" s="9" t="s">
        <v>52</v>
      </c>
      <c r="N122" s="2" t="s">
        <v>52</v>
      </c>
    </row>
    <row r="123" spans="1:14" ht="30" customHeight="1" x14ac:dyDescent="0.3">
      <c r="A123" s="9" t="s">
        <v>684</v>
      </c>
      <c r="B123" s="9" t="s">
        <v>682</v>
      </c>
      <c r="C123" s="9" t="s">
        <v>683</v>
      </c>
      <c r="D123" s="9" t="s">
        <v>637</v>
      </c>
      <c r="E123" s="16">
        <f>'일위대가(총체)'!F836</f>
        <v>0</v>
      </c>
      <c r="F123" s="16">
        <f>'일위대가(총체)'!H836</f>
        <v>0</v>
      </c>
      <c r="G123" s="16">
        <f>'일위대가(총체)'!J836</f>
        <v>0</v>
      </c>
      <c r="H123" s="16">
        <f t="shared" si="3"/>
        <v>0</v>
      </c>
      <c r="I123" s="9" t="s">
        <v>1979</v>
      </c>
      <c r="J123" s="9" t="s">
        <v>52</v>
      </c>
      <c r="K123" s="9" t="s">
        <v>52</v>
      </c>
      <c r="L123" s="9" t="s">
        <v>52</v>
      </c>
      <c r="M123" s="9" t="s">
        <v>52</v>
      </c>
      <c r="N123" s="2" t="s">
        <v>52</v>
      </c>
    </row>
    <row r="124" spans="1:14" ht="30" customHeight="1" x14ac:dyDescent="0.3">
      <c r="A124" s="9" t="s">
        <v>688</v>
      </c>
      <c r="B124" s="9" t="s">
        <v>686</v>
      </c>
      <c r="C124" s="9" t="s">
        <v>687</v>
      </c>
      <c r="D124" s="9" t="s">
        <v>68</v>
      </c>
      <c r="E124" s="16">
        <f>'일위대가(총체)'!F842</f>
        <v>0</v>
      </c>
      <c r="F124" s="16">
        <f>'일위대가(총체)'!H842</f>
        <v>0</v>
      </c>
      <c r="G124" s="16">
        <f>'일위대가(총체)'!J842</f>
        <v>0</v>
      </c>
      <c r="H124" s="16">
        <f t="shared" si="3"/>
        <v>0</v>
      </c>
      <c r="I124" s="9" t="s">
        <v>1986</v>
      </c>
      <c r="J124" s="9" t="s">
        <v>52</v>
      </c>
      <c r="K124" s="9" t="s">
        <v>52</v>
      </c>
      <c r="L124" s="9" t="s">
        <v>52</v>
      </c>
      <c r="M124" s="9" t="s">
        <v>52</v>
      </c>
      <c r="N124" s="2" t="s">
        <v>52</v>
      </c>
    </row>
    <row r="125" spans="1:14" ht="30" customHeight="1" x14ac:dyDescent="0.3">
      <c r="A125" s="9" t="s">
        <v>691</v>
      </c>
      <c r="B125" s="9" t="s">
        <v>686</v>
      </c>
      <c r="C125" s="9" t="s">
        <v>690</v>
      </c>
      <c r="D125" s="9" t="s">
        <v>68</v>
      </c>
      <c r="E125" s="16">
        <f>'일위대가(총체)'!F848</f>
        <v>0</v>
      </c>
      <c r="F125" s="16">
        <f>'일위대가(총체)'!H848</f>
        <v>0</v>
      </c>
      <c r="G125" s="16">
        <f>'일위대가(총체)'!J848</f>
        <v>0</v>
      </c>
      <c r="H125" s="16">
        <f t="shared" si="3"/>
        <v>0</v>
      </c>
      <c r="I125" s="9" t="s">
        <v>1994</v>
      </c>
      <c r="J125" s="9" t="s">
        <v>52</v>
      </c>
      <c r="K125" s="9" t="s">
        <v>52</v>
      </c>
      <c r="L125" s="9" t="s">
        <v>52</v>
      </c>
      <c r="M125" s="9" t="s">
        <v>52</v>
      </c>
      <c r="N125" s="2" t="s">
        <v>52</v>
      </c>
    </row>
    <row r="126" spans="1:14" ht="30" customHeight="1" x14ac:dyDescent="0.3">
      <c r="A126" s="9" t="s">
        <v>694</v>
      </c>
      <c r="B126" s="9" t="s">
        <v>693</v>
      </c>
      <c r="C126" s="9" t="s">
        <v>156</v>
      </c>
      <c r="D126" s="9" t="s">
        <v>68</v>
      </c>
      <c r="E126" s="16">
        <f>'일위대가(총체)'!F853</f>
        <v>0</v>
      </c>
      <c r="F126" s="16">
        <f>'일위대가(총체)'!H853</f>
        <v>0</v>
      </c>
      <c r="G126" s="16">
        <f>'일위대가(총체)'!J853</f>
        <v>0</v>
      </c>
      <c r="H126" s="16">
        <f t="shared" si="3"/>
        <v>0</v>
      </c>
      <c r="I126" s="9" t="s">
        <v>1999</v>
      </c>
      <c r="J126" s="9" t="s">
        <v>52</v>
      </c>
      <c r="K126" s="9" t="s">
        <v>52</v>
      </c>
      <c r="L126" s="9" t="s">
        <v>52</v>
      </c>
      <c r="M126" s="9" t="s">
        <v>52</v>
      </c>
      <c r="N126" s="2" t="s">
        <v>52</v>
      </c>
    </row>
    <row r="127" spans="1:14" ht="30" customHeight="1" x14ac:dyDescent="0.3">
      <c r="A127" s="9" t="s">
        <v>698</v>
      </c>
      <c r="B127" s="9" t="s">
        <v>696</v>
      </c>
      <c r="C127" s="9" t="s">
        <v>697</v>
      </c>
      <c r="D127" s="9" t="s">
        <v>320</v>
      </c>
      <c r="E127" s="16">
        <f>'일위대가(총체)'!F859</f>
        <v>0</v>
      </c>
      <c r="F127" s="16">
        <f>'일위대가(총체)'!H859</f>
        <v>0</v>
      </c>
      <c r="G127" s="16">
        <f>'일위대가(총체)'!J859</f>
        <v>0</v>
      </c>
      <c r="H127" s="16">
        <f t="shared" si="3"/>
        <v>0</v>
      </c>
      <c r="I127" s="9" t="s">
        <v>2003</v>
      </c>
      <c r="J127" s="9" t="s">
        <v>52</v>
      </c>
      <c r="K127" s="9" t="s">
        <v>52</v>
      </c>
      <c r="L127" s="9" t="s">
        <v>52</v>
      </c>
      <c r="M127" s="9" t="s">
        <v>52</v>
      </c>
      <c r="N127" s="2" t="s">
        <v>52</v>
      </c>
    </row>
    <row r="128" spans="1:14" ht="30" customHeight="1" x14ac:dyDescent="0.3">
      <c r="A128" s="9" t="s">
        <v>701</v>
      </c>
      <c r="B128" s="9" t="s">
        <v>696</v>
      </c>
      <c r="C128" s="9" t="s">
        <v>700</v>
      </c>
      <c r="D128" s="9" t="s">
        <v>320</v>
      </c>
      <c r="E128" s="16">
        <f>'일위대가(총체)'!F865</f>
        <v>0</v>
      </c>
      <c r="F128" s="16">
        <f>'일위대가(총체)'!H865</f>
        <v>0</v>
      </c>
      <c r="G128" s="16">
        <f>'일위대가(총체)'!J865</f>
        <v>0</v>
      </c>
      <c r="H128" s="16">
        <f t="shared" si="3"/>
        <v>0</v>
      </c>
      <c r="I128" s="9" t="s">
        <v>2009</v>
      </c>
      <c r="J128" s="9" t="s">
        <v>52</v>
      </c>
      <c r="K128" s="9" t="s">
        <v>52</v>
      </c>
      <c r="L128" s="9" t="s">
        <v>52</v>
      </c>
      <c r="M128" s="9" t="s">
        <v>52</v>
      </c>
      <c r="N128" s="2" t="s">
        <v>52</v>
      </c>
    </row>
    <row r="129" spans="1:14" ht="30" customHeight="1" x14ac:dyDescent="0.3">
      <c r="A129" s="9" t="s">
        <v>704</v>
      </c>
      <c r="B129" s="9" t="s">
        <v>696</v>
      </c>
      <c r="C129" s="9" t="s">
        <v>703</v>
      </c>
      <c r="D129" s="9" t="s">
        <v>320</v>
      </c>
      <c r="E129" s="16">
        <f>'일위대가(총체)'!F871</f>
        <v>0</v>
      </c>
      <c r="F129" s="16">
        <f>'일위대가(총체)'!H871</f>
        <v>0</v>
      </c>
      <c r="G129" s="16">
        <f>'일위대가(총체)'!J871</f>
        <v>0</v>
      </c>
      <c r="H129" s="16">
        <f t="shared" si="3"/>
        <v>0</v>
      </c>
      <c r="I129" s="9" t="s">
        <v>2014</v>
      </c>
      <c r="J129" s="9" t="s">
        <v>52</v>
      </c>
      <c r="K129" s="9" t="s">
        <v>52</v>
      </c>
      <c r="L129" s="9" t="s">
        <v>52</v>
      </c>
      <c r="M129" s="9" t="s">
        <v>52</v>
      </c>
      <c r="N129" s="2" t="s">
        <v>52</v>
      </c>
    </row>
    <row r="130" spans="1:14" ht="30" customHeight="1" x14ac:dyDescent="0.3">
      <c r="A130" s="9" t="s">
        <v>707</v>
      </c>
      <c r="B130" s="9" t="s">
        <v>696</v>
      </c>
      <c r="C130" s="9" t="s">
        <v>706</v>
      </c>
      <c r="D130" s="9" t="s">
        <v>320</v>
      </c>
      <c r="E130" s="16">
        <f>'일위대가(총체)'!F877</f>
        <v>0</v>
      </c>
      <c r="F130" s="16">
        <f>'일위대가(총체)'!H877</f>
        <v>0</v>
      </c>
      <c r="G130" s="16">
        <f>'일위대가(총체)'!J877</f>
        <v>0</v>
      </c>
      <c r="H130" s="16">
        <f t="shared" si="3"/>
        <v>0</v>
      </c>
      <c r="I130" s="9" t="s">
        <v>2021</v>
      </c>
      <c r="J130" s="9" t="s">
        <v>52</v>
      </c>
      <c r="K130" s="9" t="s">
        <v>52</v>
      </c>
      <c r="L130" s="9" t="s">
        <v>52</v>
      </c>
      <c r="M130" s="9" t="s">
        <v>52</v>
      </c>
      <c r="N130" s="2" t="s">
        <v>52</v>
      </c>
    </row>
    <row r="131" spans="1:14" ht="30" customHeight="1" x14ac:dyDescent="0.3">
      <c r="A131" s="9" t="s">
        <v>711</v>
      </c>
      <c r="B131" s="9" t="s">
        <v>709</v>
      </c>
      <c r="C131" s="9" t="s">
        <v>710</v>
      </c>
      <c r="D131" s="9" t="s">
        <v>410</v>
      </c>
      <c r="E131" s="16">
        <f>'일위대가(총체)'!F882</f>
        <v>0</v>
      </c>
      <c r="F131" s="16">
        <f>'일위대가(총체)'!H882</f>
        <v>0</v>
      </c>
      <c r="G131" s="16">
        <f>'일위대가(총체)'!J882</f>
        <v>0</v>
      </c>
      <c r="H131" s="16">
        <f t="shared" si="3"/>
        <v>0</v>
      </c>
      <c r="I131" s="9" t="s">
        <v>2026</v>
      </c>
      <c r="J131" s="9" t="s">
        <v>52</v>
      </c>
      <c r="K131" s="9" t="s">
        <v>52</v>
      </c>
      <c r="L131" s="9" t="s">
        <v>52</v>
      </c>
      <c r="M131" s="9" t="s">
        <v>52</v>
      </c>
      <c r="N131" s="2" t="s">
        <v>52</v>
      </c>
    </row>
    <row r="132" spans="1:14" ht="30" customHeight="1" x14ac:dyDescent="0.3">
      <c r="A132" s="9" t="s">
        <v>715</v>
      </c>
      <c r="B132" s="9" t="s">
        <v>713</v>
      </c>
      <c r="C132" s="9" t="s">
        <v>714</v>
      </c>
      <c r="D132" s="9" t="s">
        <v>410</v>
      </c>
      <c r="E132" s="16">
        <f>'일위대가(총체)'!F887</f>
        <v>0</v>
      </c>
      <c r="F132" s="16">
        <f>'일위대가(총체)'!H887</f>
        <v>0</v>
      </c>
      <c r="G132" s="16">
        <f>'일위대가(총체)'!J887</f>
        <v>0</v>
      </c>
      <c r="H132" s="16">
        <f t="shared" ref="H132:H163" si="4">E132+F132+G132</f>
        <v>0</v>
      </c>
      <c r="I132" s="9" t="s">
        <v>2030</v>
      </c>
      <c r="J132" s="9" t="s">
        <v>52</v>
      </c>
      <c r="K132" s="9" t="s">
        <v>52</v>
      </c>
      <c r="L132" s="9" t="s">
        <v>52</v>
      </c>
      <c r="M132" s="9" t="s">
        <v>52</v>
      </c>
      <c r="N132" s="2" t="s">
        <v>52</v>
      </c>
    </row>
    <row r="133" spans="1:14" ht="30" customHeight="1" x14ac:dyDescent="0.3">
      <c r="A133" s="9" t="s">
        <v>719</v>
      </c>
      <c r="B133" s="9" t="s">
        <v>717</v>
      </c>
      <c r="C133" s="9" t="s">
        <v>718</v>
      </c>
      <c r="D133" s="9" t="s">
        <v>410</v>
      </c>
      <c r="E133" s="16">
        <f>'일위대가(총체)'!F892</f>
        <v>0</v>
      </c>
      <c r="F133" s="16">
        <f>'일위대가(총체)'!H892</f>
        <v>0</v>
      </c>
      <c r="G133" s="16">
        <f>'일위대가(총체)'!J892</f>
        <v>0</v>
      </c>
      <c r="H133" s="16">
        <f t="shared" si="4"/>
        <v>0</v>
      </c>
      <c r="I133" s="9" t="s">
        <v>2034</v>
      </c>
      <c r="J133" s="9" t="s">
        <v>52</v>
      </c>
      <c r="K133" s="9" t="s">
        <v>52</v>
      </c>
      <c r="L133" s="9" t="s">
        <v>52</v>
      </c>
      <c r="M133" s="9" t="s">
        <v>52</v>
      </c>
      <c r="N133" s="2" t="s">
        <v>52</v>
      </c>
    </row>
    <row r="134" spans="1:14" ht="30" customHeight="1" x14ac:dyDescent="0.3">
      <c r="A134" s="9" t="s">
        <v>805</v>
      </c>
      <c r="B134" s="9" t="s">
        <v>803</v>
      </c>
      <c r="C134" s="9" t="s">
        <v>804</v>
      </c>
      <c r="D134" s="9" t="s">
        <v>58</v>
      </c>
      <c r="E134" s="16">
        <f>'일위대가(총체)'!F899</f>
        <v>0</v>
      </c>
      <c r="F134" s="16">
        <f>'일위대가(총체)'!H899</f>
        <v>0</v>
      </c>
      <c r="G134" s="16">
        <f>'일위대가(총체)'!J899</f>
        <v>0</v>
      </c>
      <c r="H134" s="16">
        <f t="shared" si="4"/>
        <v>0</v>
      </c>
      <c r="I134" s="9" t="s">
        <v>2038</v>
      </c>
      <c r="J134" s="9" t="s">
        <v>52</v>
      </c>
      <c r="K134" s="9" t="s">
        <v>52</v>
      </c>
      <c r="L134" s="9" t="s">
        <v>52</v>
      </c>
      <c r="M134" s="9" t="s">
        <v>52</v>
      </c>
      <c r="N134" s="2" t="s">
        <v>52</v>
      </c>
    </row>
    <row r="135" spans="1:14" ht="30" customHeight="1" x14ac:dyDescent="0.3">
      <c r="A135" s="9" t="s">
        <v>2043</v>
      </c>
      <c r="B135" s="9" t="s">
        <v>2041</v>
      </c>
      <c r="C135" s="9" t="s">
        <v>2042</v>
      </c>
      <c r="D135" s="9" t="s">
        <v>1929</v>
      </c>
      <c r="E135" s="16">
        <f>'일위대가(총체)'!F906</f>
        <v>0</v>
      </c>
      <c r="F135" s="16">
        <f>'일위대가(총체)'!H906</f>
        <v>0</v>
      </c>
      <c r="G135" s="16">
        <f>'일위대가(총체)'!J906</f>
        <v>0</v>
      </c>
      <c r="H135" s="16">
        <f t="shared" si="4"/>
        <v>0</v>
      </c>
      <c r="I135" s="9" t="s">
        <v>2047</v>
      </c>
      <c r="J135" s="9" t="s">
        <v>52</v>
      </c>
      <c r="K135" s="9" t="s">
        <v>2048</v>
      </c>
      <c r="L135" s="9" t="s">
        <v>52</v>
      </c>
      <c r="M135" s="9" t="s">
        <v>52</v>
      </c>
      <c r="N135" s="2" t="s">
        <v>60</v>
      </c>
    </row>
    <row r="136" spans="1:14" ht="30" customHeight="1" x14ac:dyDescent="0.3">
      <c r="A136" s="9" t="s">
        <v>861</v>
      </c>
      <c r="B136" s="9" t="s">
        <v>71</v>
      </c>
      <c r="C136" s="9" t="s">
        <v>860</v>
      </c>
      <c r="D136" s="9" t="s">
        <v>73</v>
      </c>
      <c r="E136" s="16">
        <f>'일위대가(총체)'!F911</f>
        <v>0</v>
      </c>
      <c r="F136" s="16">
        <f>'일위대가(총체)'!H911</f>
        <v>0</v>
      </c>
      <c r="G136" s="16">
        <f>'일위대가(총체)'!J911</f>
        <v>0</v>
      </c>
      <c r="H136" s="16">
        <f t="shared" si="4"/>
        <v>0</v>
      </c>
      <c r="I136" s="9" t="s">
        <v>2062</v>
      </c>
      <c r="J136" s="9" t="s">
        <v>52</v>
      </c>
      <c r="K136" s="9" t="s">
        <v>52</v>
      </c>
      <c r="L136" s="9" t="s">
        <v>52</v>
      </c>
      <c r="M136" s="9" t="s">
        <v>52</v>
      </c>
      <c r="N136" s="2" t="s">
        <v>52</v>
      </c>
    </row>
    <row r="137" spans="1:14" ht="30" customHeight="1" x14ac:dyDescent="0.3">
      <c r="A137" s="9" t="s">
        <v>895</v>
      </c>
      <c r="B137" s="9" t="s">
        <v>893</v>
      </c>
      <c r="C137" s="9" t="s">
        <v>894</v>
      </c>
      <c r="D137" s="9" t="s">
        <v>637</v>
      </c>
      <c r="E137" s="16">
        <f>'일위대가(총체)'!F917</f>
        <v>0</v>
      </c>
      <c r="F137" s="16">
        <f>'일위대가(총체)'!H917</f>
        <v>0</v>
      </c>
      <c r="G137" s="16">
        <f>'일위대가(총체)'!J917</f>
        <v>0</v>
      </c>
      <c r="H137" s="16">
        <f t="shared" si="4"/>
        <v>0</v>
      </c>
      <c r="I137" s="9" t="s">
        <v>2066</v>
      </c>
      <c r="J137" s="9" t="s">
        <v>52</v>
      </c>
      <c r="K137" s="9" t="s">
        <v>52</v>
      </c>
      <c r="L137" s="9" t="s">
        <v>52</v>
      </c>
      <c r="M137" s="9" t="s">
        <v>52</v>
      </c>
      <c r="N137" s="2" t="s">
        <v>52</v>
      </c>
    </row>
    <row r="138" spans="1:14" ht="30" customHeight="1" x14ac:dyDescent="0.3">
      <c r="A138" s="9" t="s">
        <v>904</v>
      </c>
      <c r="B138" s="9" t="s">
        <v>111</v>
      </c>
      <c r="C138" s="9" t="s">
        <v>903</v>
      </c>
      <c r="D138" s="9" t="s">
        <v>68</v>
      </c>
      <c r="E138" s="16">
        <f>'일위대가(총체)'!F923</f>
        <v>0</v>
      </c>
      <c r="F138" s="16">
        <f>'일위대가(총체)'!H923</f>
        <v>0</v>
      </c>
      <c r="G138" s="16">
        <f>'일위대가(총체)'!J923</f>
        <v>0</v>
      </c>
      <c r="H138" s="16">
        <f t="shared" si="4"/>
        <v>0</v>
      </c>
      <c r="I138" s="9" t="s">
        <v>2071</v>
      </c>
      <c r="J138" s="9" t="s">
        <v>52</v>
      </c>
      <c r="K138" s="9" t="s">
        <v>52</v>
      </c>
      <c r="L138" s="9" t="s">
        <v>52</v>
      </c>
      <c r="M138" s="9" t="s">
        <v>52</v>
      </c>
      <c r="N138" s="2" t="s">
        <v>52</v>
      </c>
    </row>
    <row r="139" spans="1:14" ht="30" customHeight="1" x14ac:dyDescent="0.3">
      <c r="A139" s="9" t="s">
        <v>909</v>
      </c>
      <c r="B139" s="9" t="s">
        <v>893</v>
      </c>
      <c r="C139" s="9" t="s">
        <v>908</v>
      </c>
      <c r="D139" s="9" t="s">
        <v>637</v>
      </c>
      <c r="E139" s="16">
        <f>'일위대가(총체)'!F929</f>
        <v>0</v>
      </c>
      <c r="F139" s="16">
        <f>'일위대가(총체)'!H929</f>
        <v>0</v>
      </c>
      <c r="G139" s="16">
        <f>'일위대가(총체)'!J929</f>
        <v>0</v>
      </c>
      <c r="H139" s="16">
        <f t="shared" si="4"/>
        <v>0</v>
      </c>
      <c r="I139" s="9" t="s">
        <v>2076</v>
      </c>
      <c r="J139" s="9" t="s">
        <v>52</v>
      </c>
      <c r="K139" s="9" t="s">
        <v>52</v>
      </c>
      <c r="L139" s="9" t="s">
        <v>52</v>
      </c>
      <c r="M139" s="9" t="s">
        <v>52</v>
      </c>
      <c r="N139" s="2" t="s">
        <v>52</v>
      </c>
    </row>
    <row r="140" spans="1:14" ht="30" customHeight="1" x14ac:dyDescent="0.3">
      <c r="A140" s="9" t="s">
        <v>913</v>
      </c>
      <c r="B140" s="9" t="s">
        <v>911</v>
      </c>
      <c r="C140" s="9" t="s">
        <v>912</v>
      </c>
      <c r="D140" s="9" t="s">
        <v>68</v>
      </c>
      <c r="E140" s="16">
        <f>'일위대가(총체)'!F935</f>
        <v>0</v>
      </c>
      <c r="F140" s="16">
        <f>'일위대가(총체)'!H935</f>
        <v>0</v>
      </c>
      <c r="G140" s="16">
        <f>'일위대가(총체)'!J935</f>
        <v>0</v>
      </c>
      <c r="H140" s="16">
        <f t="shared" si="4"/>
        <v>0</v>
      </c>
      <c r="I140" s="9" t="s">
        <v>2081</v>
      </c>
      <c r="J140" s="9" t="s">
        <v>52</v>
      </c>
      <c r="K140" s="9" t="s">
        <v>52</v>
      </c>
      <c r="L140" s="9" t="s">
        <v>52</v>
      </c>
      <c r="M140" s="9" t="s">
        <v>52</v>
      </c>
      <c r="N140" s="2" t="s">
        <v>52</v>
      </c>
    </row>
    <row r="141" spans="1:14" ht="30" customHeight="1" x14ac:dyDescent="0.3">
      <c r="A141" s="9" t="s">
        <v>940</v>
      </c>
      <c r="B141" s="9" t="s">
        <v>938</v>
      </c>
      <c r="C141" s="9" t="s">
        <v>939</v>
      </c>
      <c r="D141" s="9" t="s">
        <v>637</v>
      </c>
      <c r="E141" s="16">
        <f>'일위대가(총체)'!F941</f>
        <v>0</v>
      </c>
      <c r="F141" s="16">
        <f>'일위대가(총체)'!H941</f>
        <v>0</v>
      </c>
      <c r="G141" s="16">
        <f>'일위대가(총체)'!J941</f>
        <v>0</v>
      </c>
      <c r="H141" s="16">
        <f t="shared" si="4"/>
        <v>0</v>
      </c>
      <c r="I141" s="9" t="s">
        <v>2086</v>
      </c>
      <c r="J141" s="9" t="s">
        <v>52</v>
      </c>
      <c r="K141" s="9" t="s">
        <v>52</v>
      </c>
      <c r="L141" s="9" t="s">
        <v>52</v>
      </c>
      <c r="M141" s="9" t="s">
        <v>52</v>
      </c>
      <c r="N141" s="2" t="s">
        <v>52</v>
      </c>
    </row>
    <row r="142" spans="1:14" ht="30" customHeight="1" x14ac:dyDescent="0.3">
      <c r="A142" s="9" t="s">
        <v>944</v>
      </c>
      <c r="B142" s="9" t="s">
        <v>942</v>
      </c>
      <c r="C142" s="9" t="s">
        <v>943</v>
      </c>
      <c r="D142" s="9" t="s">
        <v>68</v>
      </c>
      <c r="E142" s="16">
        <f>'일위대가(총체)'!F947</f>
        <v>0</v>
      </c>
      <c r="F142" s="16">
        <f>'일위대가(총체)'!H947</f>
        <v>0</v>
      </c>
      <c r="G142" s="16">
        <f>'일위대가(총체)'!J947</f>
        <v>0</v>
      </c>
      <c r="H142" s="16">
        <f t="shared" si="4"/>
        <v>0</v>
      </c>
      <c r="I142" s="9" t="s">
        <v>2094</v>
      </c>
      <c r="J142" s="9" t="s">
        <v>52</v>
      </c>
      <c r="K142" s="9" t="s">
        <v>52</v>
      </c>
      <c r="L142" s="9" t="s">
        <v>52</v>
      </c>
      <c r="M142" s="9" t="s">
        <v>52</v>
      </c>
      <c r="N142" s="2" t="s">
        <v>52</v>
      </c>
    </row>
    <row r="143" spans="1:14" ht="30" customHeight="1" x14ac:dyDescent="0.3">
      <c r="A143" s="9" t="s">
        <v>947</v>
      </c>
      <c r="B143" s="9" t="s">
        <v>946</v>
      </c>
      <c r="C143" s="9" t="s">
        <v>943</v>
      </c>
      <c r="D143" s="9" t="s">
        <v>68</v>
      </c>
      <c r="E143" s="16">
        <f>'일위대가(총체)'!F951</f>
        <v>0</v>
      </c>
      <c r="F143" s="16">
        <f>'일위대가(총체)'!H951</f>
        <v>0</v>
      </c>
      <c r="G143" s="16">
        <f>'일위대가(총체)'!J951</f>
        <v>0</v>
      </c>
      <c r="H143" s="16">
        <f t="shared" si="4"/>
        <v>0</v>
      </c>
      <c r="I143" s="9" t="s">
        <v>2099</v>
      </c>
      <c r="J143" s="9" t="s">
        <v>52</v>
      </c>
      <c r="K143" s="9" t="s">
        <v>52</v>
      </c>
      <c r="L143" s="9" t="s">
        <v>52</v>
      </c>
      <c r="M143" s="9" t="s">
        <v>52</v>
      </c>
      <c r="N143" s="2" t="s">
        <v>52</v>
      </c>
    </row>
    <row r="144" spans="1:14" ht="30" customHeight="1" x14ac:dyDescent="0.3">
      <c r="A144" s="9" t="s">
        <v>955</v>
      </c>
      <c r="B144" s="9" t="s">
        <v>953</v>
      </c>
      <c r="C144" s="9" t="s">
        <v>954</v>
      </c>
      <c r="D144" s="9" t="s">
        <v>68</v>
      </c>
      <c r="E144" s="16">
        <f>'일위대가(총체)'!F958</f>
        <v>0</v>
      </c>
      <c r="F144" s="16">
        <f>'일위대가(총체)'!H958</f>
        <v>0</v>
      </c>
      <c r="G144" s="16">
        <f>'일위대가(총체)'!J958</f>
        <v>0</v>
      </c>
      <c r="H144" s="16">
        <f t="shared" si="4"/>
        <v>0</v>
      </c>
      <c r="I144" s="9" t="s">
        <v>2104</v>
      </c>
      <c r="J144" s="9" t="s">
        <v>52</v>
      </c>
      <c r="K144" s="9" t="s">
        <v>52</v>
      </c>
      <c r="L144" s="9" t="s">
        <v>52</v>
      </c>
      <c r="M144" s="9" t="s">
        <v>52</v>
      </c>
      <c r="N144" s="2" t="s">
        <v>52</v>
      </c>
    </row>
    <row r="145" spans="1:14" ht="30" customHeight="1" x14ac:dyDescent="0.3">
      <c r="A145" s="9" t="s">
        <v>2114</v>
      </c>
      <c r="B145" s="9" t="s">
        <v>2112</v>
      </c>
      <c r="C145" s="9" t="s">
        <v>2113</v>
      </c>
      <c r="D145" s="9" t="s">
        <v>68</v>
      </c>
      <c r="E145" s="16">
        <f>'일위대가(총체)'!F964</f>
        <v>0</v>
      </c>
      <c r="F145" s="16">
        <f>'일위대가(총체)'!H964</f>
        <v>0</v>
      </c>
      <c r="G145" s="16">
        <f>'일위대가(총체)'!J964</f>
        <v>0</v>
      </c>
      <c r="H145" s="16">
        <f t="shared" si="4"/>
        <v>0</v>
      </c>
      <c r="I145" s="9" t="s">
        <v>2121</v>
      </c>
      <c r="J145" s="9" t="s">
        <v>52</v>
      </c>
      <c r="K145" s="9" t="s">
        <v>52</v>
      </c>
      <c r="L145" s="9" t="s">
        <v>52</v>
      </c>
      <c r="M145" s="9" t="s">
        <v>52</v>
      </c>
      <c r="N145" s="2" t="s">
        <v>52</v>
      </c>
    </row>
    <row r="146" spans="1:14" ht="30" customHeight="1" x14ac:dyDescent="0.3">
      <c r="A146" s="9" t="s">
        <v>2118</v>
      </c>
      <c r="B146" s="9" t="s">
        <v>2116</v>
      </c>
      <c r="C146" s="9" t="s">
        <v>2117</v>
      </c>
      <c r="D146" s="9" t="s">
        <v>68</v>
      </c>
      <c r="E146" s="16">
        <f>'일위대가(총체)'!F968</f>
        <v>0</v>
      </c>
      <c r="F146" s="16">
        <f>'일위대가(총체)'!H968</f>
        <v>0</v>
      </c>
      <c r="G146" s="16">
        <f>'일위대가(총체)'!J968</f>
        <v>0</v>
      </c>
      <c r="H146" s="16">
        <f t="shared" si="4"/>
        <v>0</v>
      </c>
      <c r="I146" s="9" t="s">
        <v>2126</v>
      </c>
      <c r="J146" s="9" t="s">
        <v>52</v>
      </c>
      <c r="K146" s="9" t="s">
        <v>52</v>
      </c>
      <c r="L146" s="9" t="s">
        <v>52</v>
      </c>
      <c r="M146" s="9" t="s">
        <v>52</v>
      </c>
      <c r="N146" s="2" t="s">
        <v>52</v>
      </c>
    </row>
    <row r="147" spans="1:14" ht="30" customHeight="1" x14ac:dyDescent="0.3">
      <c r="A147" s="9" t="s">
        <v>964</v>
      </c>
      <c r="B147" s="9" t="s">
        <v>963</v>
      </c>
      <c r="C147" s="9" t="s">
        <v>894</v>
      </c>
      <c r="D147" s="9" t="s">
        <v>637</v>
      </c>
      <c r="E147" s="16">
        <f>'일위대가(총체)'!F974</f>
        <v>0</v>
      </c>
      <c r="F147" s="16">
        <f>'일위대가(총체)'!H974</f>
        <v>0</v>
      </c>
      <c r="G147" s="16">
        <f>'일위대가(총체)'!J974</f>
        <v>0</v>
      </c>
      <c r="H147" s="16">
        <f t="shared" si="4"/>
        <v>0</v>
      </c>
      <c r="I147" s="9" t="s">
        <v>2129</v>
      </c>
      <c r="J147" s="9" t="s">
        <v>52</v>
      </c>
      <c r="K147" s="9" t="s">
        <v>52</v>
      </c>
      <c r="L147" s="9" t="s">
        <v>52</v>
      </c>
      <c r="M147" s="9" t="s">
        <v>52</v>
      </c>
      <c r="N147" s="2" t="s">
        <v>52</v>
      </c>
    </row>
    <row r="148" spans="1:14" ht="30" customHeight="1" x14ac:dyDescent="0.3">
      <c r="A148" s="9" t="s">
        <v>968</v>
      </c>
      <c r="B148" s="9" t="s">
        <v>966</v>
      </c>
      <c r="C148" s="9" t="s">
        <v>967</v>
      </c>
      <c r="D148" s="9" t="s">
        <v>68</v>
      </c>
      <c r="E148" s="16">
        <f>'일위대가(총체)'!F980</f>
        <v>0</v>
      </c>
      <c r="F148" s="16">
        <f>'일위대가(총체)'!H980</f>
        <v>0</v>
      </c>
      <c r="G148" s="16">
        <f>'일위대가(총체)'!J980</f>
        <v>0</v>
      </c>
      <c r="H148" s="16">
        <f t="shared" si="4"/>
        <v>0</v>
      </c>
      <c r="I148" s="9" t="s">
        <v>2137</v>
      </c>
      <c r="J148" s="9" t="s">
        <v>52</v>
      </c>
      <c r="K148" s="9" t="s">
        <v>52</v>
      </c>
      <c r="L148" s="9" t="s">
        <v>52</v>
      </c>
      <c r="M148" s="9" t="s">
        <v>52</v>
      </c>
      <c r="N148" s="2" t="s">
        <v>52</v>
      </c>
    </row>
    <row r="149" spans="1:14" ht="30" customHeight="1" x14ac:dyDescent="0.3">
      <c r="A149" s="9" t="s">
        <v>2134</v>
      </c>
      <c r="B149" s="9" t="s">
        <v>2132</v>
      </c>
      <c r="C149" s="9" t="s">
        <v>2133</v>
      </c>
      <c r="D149" s="9" t="s">
        <v>637</v>
      </c>
      <c r="E149" s="16">
        <f>'일위대가(총체)'!F984</f>
        <v>0</v>
      </c>
      <c r="F149" s="16">
        <f>'일위대가(총체)'!H984</f>
        <v>0</v>
      </c>
      <c r="G149" s="16">
        <f>'일위대가(총체)'!J984</f>
        <v>0</v>
      </c>
      <c r="H149" s="16">
        <f t="shared" si="4"/>
        <v>0</v>
      </c>
      <c r="I149" s="9" t="s">
        <v>2144</v>
      </c>
      <c r="J149" s="9" t="s">
        <v>52</v>
      </c>
      <c r="K149" s="9" t="s">
        <v>52</v>
      </c>
      <c r="L149" s="9" t="s">
        <v>52</v>
      </c>
      <c r="M149" s="9" t="s">
        <v>52</v>
      </c>
      <c r="N149" s="2" t="s">
        <v>52</v>
      </c>
    </row>
    <row r="150" spans="1:14" ht="30" customHeight="1" x14ac:dyDescent="0.3">
      <c r="A150" s="9" t="s">
        <v>987</v>
      </c>
      <c r="B150" s="9" t="s">
        <v>986</v>
      </c>
      <c r="C150" s="9" t="s">
        <v>156</v>
      </c>
      <c r="D150" s="9" t="s">
        <v>68</v>
      </c>
      <c r="E150" s="16">
        <f>'일위대가(총체)'!F990</f>
        <v>0</v>
      </c>
      <c r="F150" s="16">
        <f>'일위대가(총체)'!H990</f>
        <v>0</v>
      </c>
      <c r="G150" s="16">
        <f>'일위대가(총체)'!J990</f>
        <v>0</v>
      </c>
      <c r="H150" s="16">
        <f t="shared" si="4"/>
        <v>0</v>
      </c>
      <c r="I150" s="9" t="s">
        <v>2147</v>
      </c>
      <c r="J150" s="9" t="s">
        <v>52</v>
      </c>
      <c r="K150" s="9" t="s">
        <v>52</v>
      </c>
      <c r="L150" s="9" t="s">
        <v>52</v>
      </c>
      <c r="M150" s="9" t="s">
        <v>52</v>
      </c>
      <c r="N150" s="2" t="s">
        <v>52</v>
      </c>
    </row>
    <row r="151" spans="1:14" ht="30" customHeight="1" x14ac:dyDescent="0.3">
      <c r="A151" s="9" t="s">
        <v>991</v>
      </c>
      <c r="B151" s="9" t="s">
        <v>989</v>
      </c>
      <c r="C151" s="9" t="s">
        <v>990</v>
      </c>
      <c r="D151" s="9" t="s">
        <v>68</v>
      </c>
      <c r="E151" s="16">
        <f>'일위대가(총체)'!F996</f>
        <v>0</v>
      </c>
      <c r="F151" s="16">
        <f>'일위대가(총체)'!H996</f>
        <v>0</v>
      </c>
      <c r="G151" s="16">
        <f>'일위대가(총체)'!J996</f>
        <v>0</v>
      </c>
      <c r="H151" s="16">
        <f t="shared" si="4"/>
        <v>0</v>
      </c>
      <c r="I151" s="9" t="s">
        <v>2152</v>
      </c>
      <c r="J151" s="9" t="s">
        <v>52</v>
      </c>
      <c r="K151" s="9" t="s">
        <v>52</v>
      </c>
      <c r="L151" s="9" t="s">
        <v>52</v>
      </c>
      <c r="M151" s="9" t="s">
        <v>52</v>
      </c>
      <c r="N151" s="2" t="s">
        <v>52</v>
      </c>
    </row>
    <row r="152" spans="1:14" ht="30" customHeight="1" x14ac:dyDescent="0.3">
      <c r="A152" s="9" t="s">
        <v>995</v>
      </c>
      <c r="B152" s="9" t="s">
        <v>993</v>
      </c>
      <c r="C152" s="9" t="s">
        <v>994</v>
      </c>
      <c r="D152" s="9" t="s">
        <v>68</v>
      </c>
      <c r="E152" s="16">
        <f>'일위대가(총체)'!F1002</f>
        <v>0</v>
      </c>
      <c r="F152" s="16">
        <f>'일위대가(총체)'!H1002</f>
        <v>0</v>
      </c>
      <c r="G152" s="16">
        <f>'일위대가(총체)'!J1002</f>
        <v>0</v>
      </c>
      <c r="H152" s="16">
        <f t="shared" si="4"/>
        <v>0</v>
      </c>
      <c r="I152" s="9" t="s">
        <v>2157</v>
      </c>
      <c r="J152" s="9" t="s">
        <v>52</v>
      </c>
      <c r="K152" s="9" t="s">
        <v>52</v>
      </c>
      <c r="L152" s="9" t="s">
        <v>52</v>
      </c>
      <c r="M152" s="9" t="s">
        <v>52</v>
      </c>
      <c r="N152" s="2" t="s">
        <v>52</v>
      </c>
    </row>
    <row r="153" spans="1:14" ht="30" customHeight="1" x14ac:dyDescent="0.3">
      <c r="A153" s="9" t="s">
        <v>999</v>
      </c>
      <c r="B153" s="9" t="s">
        <v>997</v>
      </c>
      <c r="C153" s="9" t="s">
        <v>998</v>
      </c>
      <c r="D153" s="9" t="s">
        <v>68</v>
      </c>
      <c r="E153" s="16">
        <f>'일위대가(총체)'!F1007</f>
        <v>0</v>
      </c>
      <c r="F153" s="16">
        <f>'일위대가(총체)'!H1007</f>
        <v>0</v>
      </c>
      <c r="G153" s="16">
        <f>'일위대가(총체)'!J1007</f>
        <v>0</v>
      </c>
      <c r="H153" s="16">
        <f t="shared" si="4"/>
        <v>0</v>
      </c>
      <c r="I153" s="9" t="s">
        <v>2162</v>
      </c>
      <c r="J153" s="9" t="s">
        <v>52</v>
      </c>
      <c r="K153" s="9" t="s">
        <v>52</v>
      </c>
      <c r="L153" s="9" t="s">
        <v>52</v>
      </c>
      <c r="M153" s="9" t="s">
        <v>52</v>
      </c>
      <c r="N153" s="2" t="s">
        <v>52</v>
      </c>
    </row>
    <row r="154" spans="1:14" ht="30" customHeight="1" x14ac:dyDescent="0.3">
      <c r="A154" s="9" t="s">
        <v>1008</v>
      </c>
      <c r="B154" s="9" t="s">
        <v>986</v>
      </c>
      <c r="C154" s="9" t="s">
        <v>1007</v>
      </c>
      <c r="D154" s="9" t="s">
        <v>68</v>
      </c>
      <c r="E154" s="16">
        <f>'일위대가(총체)'!F1013</f>
        <v>0</v>
      </c>
      <c r="F154" s="16">
        <f>'일위대가(총체)'!H1013</f>
        <v>0</v>
      </c>
      <c r="G154" s="16">
        <f>'일위대가(총체)'!J1013</f>
        <v>0</v>
      </c>
      <c r="H154" s="16">
        <f t="shared" si="4"/>
        <v>0</v>
      </c>
      <c r="I154" s="9" t="s">
        <v>2166</v>
      </c>
      <c r="J154" s="9" t="s">
        <v>52</v>
      </c>
      <c r="K154" s="9" t="s">
        <v>52</v>
      </c>
      <c r="L154" s="9" t="s">
        <v>52</v>
      </c>
      <c r="M154" s="9" t="s">
        <v>52</v>
      </c>
      <c r="N154" s="2" t="s">
        <v>52</v>
      </c>
    </row>
    <row r="155" spans="1:14" ht="30" customHeight="1" x14ac:dyDescent="0.3">
      <c r="A155" s="9" t="s">
        <v>1012</v>
      </c>
      <c r="B155" s="9" t="s">
        <v>993</v>
      </c>
      <c r="C155" s="9" t="s">
        <v>1011</v>
      </c>
      <c r="D155" s="9" t="s">
        <v>68</v>
      </c>
      <c r="E155" s="16">
        <f>'일위대가(총체)'!F1019</f>
        <v>0</v>
      </c>
      <c r="F155" s="16">
        <f>'일위대가(총체)'!H1019</f>
        <v>0</v>
      </c>
      <c r="G155" s="16">
        <f>'일위대가(총체)'!J1019</f>
        <v>0</v>
      </c>
      <c r="H155" s="16">
        <f t="shared" si="4"/>
        <v>0</v>
      </c>
      <c r="I155" s="9" t="s">
        <v>2171</v>
      </c>
      <c r="J155" s="9" t="s">
        <v>52</v>
      </c>
      <c r="K155" s="9" t="s">
        <v>52</v>
      </c>
      <c r="L155" s="9" t="s">
        <v>52</v>
      </c>
      <c r="M155" s="9" t="s">
        <v>52</v>
      </c>
      <c r="N155" s="2" t="s">
        <v>52</v>
      </c>
    </row>
    <row r="156" spans="1:14" ht="30" customHeight="1" x14ac:dyDescent="0.3">
      <c r="A156" s="9" t="s">
        <v>1015</v>
      </c>
      <c r="B156" s="9" t="s">
        <v>997</v>
      </c>
      <c r="C156" s="9" t="s">
        <v>1014</v>
      </c>
      <c r="D156" s="9" t="s">
        <v>68</v>
      </c>
      <c r="E156" s="16">
        <f>'일위대가(총체)'!F1024</f>
        <v>0</v>
      </c>
      <c r="F156" s="16">
        <f>'일위대가(총체)'!H1024</f>
        <v>0</v>
      </c>
      <c r="G156" s="16">
        <f>'일위대가(총체)'!J1024</f>
        <v>0</v>
      </c>
      <c r="H156" s="16">
        <f t="shared" si="4"/>
        <v>0</v>
      </c>
      <c r="I156" s="9" t="s">
        <v>2176</v>
      </c>
      <c r="J156" s="9" t="s">
        <v>52</v>
      </c>
      <c r="K156" s="9" t="s">
        <v>52</v>
      </c>
      <c r="L156" s="9" t="s">
        <v>52</v>
      </c>
      <c r="M156" s="9" t="s">
        <v>52</v>
      </c>
      <c r="N156" s="2" t="s">
        <v>52</v>
      </c>
    </row>
    <row r="157" spans="1:14" ht="30" customHeight="1" x14ac:dyDescent="0.3">
      <c r="A157" s="9" t="s">
        <v>1052</v>
      </c>
      <c r="B157" s="9" t="s">
        <v>164</v>
      </c>
      <c r="C157" s="9" t="s">
        <v>1051</v>
      </c>
      <c r="D157" s="9" t="s">
        <v>68</v>
      </c>
      <c r="E157" s="16">
        <f>'일위대가(총체)'!F1030</f>
        <v>0</v>
      </c>
      <c r="F157" s="16">
        <f>'일위대가(총체)'!H1030</f>
        <v>0</v>
      </c>
      <c r="G157" s="16">
        <f>'일위대가(총체)'!J1030</f>
        <v>0</v>
      </c>
      <c r="H157" s="16">
        <f t="shared" si="4"/>
        <v>0</v>
      </c>
      <c r="I157" s="9" t="s">
        <v>2180</v>
      </c>
      <c r="J157" s="9" t="s">
        <v>52</v>
      </c>
      <c r="K157" s="9" t="s">
        <v>52</v>
      </c>
      <c r="L157" s="9" t="s">
        <v>52</v>
      </c>
      <c r="M157" s="9" t="s">
        <v>52</v>
      </c>
      <c r="N157" s="2" t="s">
        <v>52</v>
      </c>
    </row>
    <row r="158" spans="1:14" ht="30" customHeight="1" x14ac:dyDescent="0.3">
      <c r="A158" s="9" t="s">
        <v>1170</v>
      </c>
      <c r="B158" s="9" t="s">
        <v>1168</v>
      </c>
      <c r="C158" s="9" t="s">
        <v>1169</v>
      </c>
      <c r="D158" s="9" t="s">
        <v>68</v>
      </c>
      <c r="E158" s="16">
        <f>'일위대가(총체)'!F1035</f>
        <v>0</v>
      </c>
      <c r="F158" s="16">
        <f>'일위대가(총체)'!H1035</f>
        <v>0</v>
      </c>
      <c r="G158" s="16">
        <f>'일위대가(총체)'!J1035</f>
        <v>0</v>
      </c>
      <c r="H158" s="16">
        <f t="shared" si="4"/>
        <v>0</v>
      </c>
      <c r="I158" s="9" t="s">
        <v>2185</v>
      </c>
      <c r="J158" s="9" t="s">
        <v>52</v>
      </c>
      <c r="K158" s="9" t="s">
        <v>52</v>
      </c>
      <c r="L158" s="9" t="s">
        <v>52</v>
      </c>
      <c r="M158" s="9" t="s">
        <v>52</v>
      </c>
      <c r="N158" s="2" t="s">
        <v>52</v>
      </c>
    </row>
    <row r="159" spans="1:14" ht="30" customHeight="1" x14ac:dyDescent="0.3">
      <c r="A159" s="9" t="s">
        <v>1176</v>
      </c>
      <c r="B159" s="9" t="s">
        <v>1174</v>
      </c>
      <c r="C159" s="9" t="s">
        <v>1175</v>
      </c>
      <c r="D159" s="9" t="s">
        <v>68</v>
      </c>
      <c r="E159" s="16">
        <f>'일위대가(총체)'!F1041</f>
        <v>0</v>
      </c>
      <c r="F159" s="16">
        <f>'일위대가(총체)'!H1041</f>
        <v>0</v>
      </c>
      <c r="G159" s="16">
        <f>'일위대가(총체)'!J1041</f>
        <v>0</v>
      </c>
      <c r="H159" s="16">
        <f t="shared" si="4"/>
        <v>0</v>
      </c>
      <c r="I159" s="9" t="s">
        <v>2189</v>
      </c>
      <c r="J159" s="9" t="s">
        <v>52</v>
      </c>
      <c r="K159" s="9" t="s">
        <v>52</v>
      </c>
      <c r="L159" s="9" t="s">
        <v>52</v>
      </c>
      <c r="M159" s="9" t="s">
        <v>52</v>
      </c>
      <c r="N159" s="2" t="s">
        <v>52</v>
      </c>
    </row>
    <row r="160" spans="1:14" ht="30" customHeight="1" x14ac:dyDescent="0.3">
      <c r="A160" s="9" t="s">
        <v>1182</v>
      </c>
      <c r="B160" s="9" t="s">
        <v>1180</v>
      </c>
      <c r="C160" s="9" t="s">
        <v>1181</v>
      </c>
      <c r="D160" s="9" t="s">
        <v>68</v>
      </c>
      <c r="E160" s="16">
        <f>'일위대가(총체)'!F1047</f>
        <v>0</v>
      </c>
      <c r="F160" s="16">
        <f>'일위대가(총체)'!H1047</f>
        <v>0</v>
      </c>
      <c r="G160" s="16">
        <f>'일위대가(총체)'!J1047</f>
        <v>0</v>
      </c>
      <c r="H160" s="16">
        <f t="shared" si="4"/>
        <v>0</v>
      </c>
      <c r="I160" s="9" t="s">
        <v>2194</v>
      </c>
      <c r="J160" s="9" t="s">
        <v>52</v>
      </c>
      <c r="K160" s="9" t="s">
        <v>52</v>
      </c>
      <c r="L160" s="9" t="s">
        <v>52</v>
      </c>
      <c r="M160" s="9" t="s">
        <v>52</v>
      </c>
      <c r="N160" s="2" t="s">
        <v>52</v>
      </c>
    </row>
    <row r="161" spans="1:14" ht="30" customHeight="1" x14ac:dyDescent="0.3">
      <c r="A161" s="9" t="s">
        <v>1252</v>
      </c>
      <c r="B161" s="9" t="s">
        <v>1250</v>
      </c>
      <c r="C161" s="9" t="s">
        <v>1251</v>
      </c>
      <c r="D161" s="9" t="s">
        <v>68</v>
      </c>
      <c r="E161" s="16">
        <f>'일위대가(총체)'!F1053</f>
        <v>0</v>
      </c>
      <c r="F161" s="16">
        <f>'일위대가(총체)'!H1053</f>
        <v>0</v>
      </c>
      <c r="G161" s="16">
        <f>'일위대가(총체)'!J1053</f>
        <v>0</v>
      </c>
      <c r="H161" s="16">
        <f t="shared" si="4"/>
        <v>0</v>
      </c>
      <c r="I161" s="9" t="s">
        <v>2199</v>
      </c>
      <c r="J161" s="9" t="s">
        <v>52</v>
      </c>
      <c r="K161" s="9" t="s">
        <v>52</v>
      </c>
      <c r="L161" s="9" t="s">
        <v>52</v>
      </c>
      <c r="M161" s="9" t="s">
        <v>52</v>
      </c>
      <c r="N161" s="2" t="s">
        <v>52</v>
      </c>
    </row>
    <row r="162" spans="1:14" ht="30" customHeight="1" x14ac:dyDescent="0.3">
      <c r="A162" s="9" t="s">
        <v>1272</v>
      </c>
      <c r="B162" s="9" t="s">
        <v>1180</v>
      </c>
      <c r="C162" s="9" t="s">
        <v>1271</v>
      </c>
      <c r="D162" s="9" t="s">
        <v>68</v>
      </c>
      <c r="E162" s="16">
        <f>'일위대가(총체)'!F1059</f>
        <v>0</v>
      </c>
      <c r="F162" s="16">
        <f>'일위대가(총체)'!H1059</f>
        <v>0</v>
      </c>
      <c r="G162" s="16">
        <f>'일위대가(총체)'!J1059</f>
        <v>0</v>
      </c>
      <c r="H162" s="16">
        <f t="shared" si="4"/>
        <v>0</v>
      </c>
      <c r="I162" s="9" t="s">
        <v>2212</v>
      </c>
      <c r="J162" s="9" t="s">
        <v>52</v>
      </c>
      <c r="K162" s="9" t="s">
        <v>52</v>
      </c>
      <c r="L162" s="9" t="s">
        <v>52</v>
      </c>
      <c r="M162" s="9" t="s">
        <v>52</v>
      </c>
      <c r="N162" s="2" t="s">
        <v>52</v>
      </c>
    </row>
    <row r="163" spans="1:14" ht="30" customHeight="1" x14ac:dyDescent="0.3">
      <c r="A163" s="9" t="s">
        <v>1315</v>
      </c>
      <c r="B163" s="9" t="s">
        <v>1314</v>
      </c>
      <c r="C163" s="9" t="s">
        <v>52</v>
      </c>
      <c r="D163" s="9" t="s">
        <v>82</v>
      </c>
      <c r="E163" s="16">
        <f>'일위대가(총체)'!F1064</f>
        <v>0</v>
      </c>
      <c r="F163" s="16">
        <f>'일위대가(총체)'!H1064</f>
        <v>0</v>
      </c>
      <c r="G163" s="16">
        <f>'일위대가(총체)'!J1064</f>
        <v>0</v>
      </c>
      <c r="H163" s="16">
        <f t="shared" si="4"/>
        <v>0</v>
      </c>
      <c r="I163" s="9" t="s">
        <v>2217</v>
      </c>
      <c r="J163" s="9" t="s">
        <v>52</v>
      </c>
      <c r="K163" s="9" t="s">
        <v>52</v>
      </c>
      <c r="L163" s="9" t="s">
        <v>52</v>
      </c>
      <c r="M163" s="9" t="s">
        <v>52</v>
      </c>
      <c r="N163" s="2" t="s">
        <v>52</v>
      </c>
    </row>
    <row r="164" spans="1:14" ht="30" customHeight="1" x14ac:dyDescent="0.3">
      <c r="A164" s="9" t="s">
        <v>1331</v>
      </c>
      <c r="B164" s="9" t="s">
        <v>1329</v>
      </c>
      <c r="C164" s="9" t="s">
        <v>1330</v>
      </c>
      <c r="D164" s="9" t="s">
        <v>82</v>
      </c>
      <c r="E164" s="16">
        <f>'일위대가(총체)'!F1068</f>
        <v>0</v>
      </c>
      <c r="F164" s="16">
        <f>'일위대가(총체)'!H1068</f>
        <v>0</v>
      </c>
      <c r="G164" s="16">
        <f>'일위대가(총체)'!J1068</f>
        <v>0</v>
      </c>
      <c r="H164" s="16">
        <f t="shared" ref="H164:H184" si="5">E164+F164+G164</f>
        <v>0</v>
      </c>
      <c r="I164" s="9" t="s">
        <v>2221</v>
      </c>
      <c r="J164" s="9" t="s">
        <v>52</v>
      </c>
      <c r="K164" s="9" t="s">
        <v>52</v>
      </c>
      <c r="L164" s="9" t="s">
        <v>52</v>
      </c>
      <c r="M164" s="9" t="s">
        <v>52</v>
      </c>
      <c r="N164" s="2" t="s">
        <v>52</v>
      </c>
    </row>
    <row r="165" spans="1:14" ht="30" customHeight="1" x14ac:dyDescent="0.3">
      <c r="A165" s="9" t="s">
        <v>1386</v>
      </c>
      <c r="B165" s="9" t="s">
        <v>1384</v>
      </c>
      <c r="C165" s="9" t="s">
        <v>1385</v>
      </c>
      <c r="D165" s="9" t="s">
        <v>1021</v>
      </c>
      <c r="E165" s="16">
        <f>'일위대가(총체)'!F1077</f>
        <v>0</v>
      </c>
      <c r="F165" s="16">
        <f>'일위대가(총체)'!H1077</f>
        <v>0</v>
      </c>
      <c r="G165" s="16">
        <f>'일위대가(총체)'!J1077</f>
        <v>0</v>
      </c>
      <c r="H165" s="16">
        <f t="shared" si="5"/>
        <v>0</v>
      </c>
      <c r="I165" s="9" t="s">
        <v>2224</v>
      </c>
      <c r="J165" s="9" t="s">
        <v>52</v>
      </c>
      <c r="K165" s="9" t="s">
        <v>52</v>
      </c>
      <c r="L165" s="9" t="s">
        <v>52</v>
      </c>
      <c r="M165" s="9" t="s">
        <v>52</v>
      </c>
      <c r="N165" s="2" t="s">
        <v>52</v>
      </c>
    </row>
    <row r="166" spans="1:14" ht="30" customHeight="1" x14ac:dyDescent="0.3">
      <c r="A166" s="9" t="s">
        <v>1389</v>
      </c>
      <c r="B166" s="9" t="s">
        <v>1384</v>
      </c>
      <c r="C166" s="9" t="s">
        <v>1388</v>
      </c>
      <c r="D166" s="9" t="s">
        <v>1021</v>
      </c>
      <c r="E166" s="16">
        <f>'일위대가(총체)'!F1086</f>
        <v>0</v>
      </c>
      <c r="F166" s="16">
        <f>'일위대가(총체)'!H1086</f>
        <v>0</v>
      </c>
      <c r="G166" s="16">
        <f>'일위대가(총체)'!J1086</f>
        <v>0</v>
      </c>
      <c r="H166" s="16">
        <f t="shared" si="5"/>
        <v>0</v>
      </c>
      <c r="I166" s="9" t="s">
        <v>2232</v>
      </c>
      <c r="J166" s="9" t="s">
        <v>52</v>
      </c>
      <c r="K166" s="9" t="s">
        <v>52</v>
      </c>
      <c r="L166" s="9" t="s">
        <v>52</v>
      </c>
      <c r="M166" s="9" t="s">
        <v>52</v>
      </c>
      <c r="N166" s="2" t="s">
        <v>52</v>
      </c>
    </row>
    <row r="167" spans="1:14" ht="30" customHeight="1" x14ac:dyDescent="0.3">
      <c r="A167" s="9" t="s">
        <v>1418</v>
      </c>
      <c r="B167" s="9" t="s">
        <v>1416</v>
      </c>
      <c r="C167" s="9" t="s">
        <v>1417</v>
      </c>
      <c r="D167" s="9" t="s">
        <v>58</v>
      </c>
      <c r="E167" s="16">
        <f>'일위대가(총체)'!F1092</f>
        <v>0</v>
      </c>
      <c r="F167" s="16">
        <f>'일위대가(총체)'!H1092</f>
        <v>0</v>
      </c>
      <c r="G167" s="16">
        <f>'일위대가(총체)'!J1092</f>
        <v>0</v>
      </c>
      <c r="H167" s="16">
        <f t="shared" si="5"/>
        <v>0</v>
      </c>
      <c r="I167" s="9" t="s">
        <v>2240</v>
      </c>
      <c r="J167" s="9" t="s">
        <v>52</v>
      </c>
      <c r="K167" s="9" t="s">
        <v>52</v>
      </c>
      <c r="L167" s="9" t="s">
        <v>52</v>
      </c>
      <c r="M167" s="9" t="s">
        <v>52</v>
      </c>
      <c r="N167" s="2" t="s">
        <v>52</v>
      </c>
    </row>
    <row r="168" spans="1:14" ht="30" customHeight="1" x14ac:dyDescent="0.3">
      <c r="A168" s="9" t="s">
        <v>1429</v>
      </c>
      <c r="B168" s="9" t="s">
        <v>1428</v>
      </c>
      <c r="C168" s="9" t="s">
        <v>1330</v>
      </c>
      <c r="D168" s="9" t="s">
        <v>58</v>
      </c>
      <c r="E168" s="16">
        <f>'일위대가(총체)'!F1097</f>
        <v>0</v>
      </c>
      <c r="F168" s="16">
        <f>'일위대가(총체)'!H1097</f>
        <v>0</v>
      </c>
      <c r="G168" s="16">
        <f>'일위대가(총체)'!J1097</f>
        <v>0</v>
      </c>
      <c r="H168" s="16">
        <f t="shared" si="5"/>
        <v>0</v>
      </c>
      <c r="I168" s="9" t="s">
        <v>2245</v>
      </c>
      <c r="J168" s="9" t="s">
        <v>52</v>
      </c>
      <c r="K168" s="9" t="s">
        <v>52</v>
      </c>
      <c r="L168" s="9" t="s">
        <v>52</v>
      </c>
      <c r="M168" s="9" t="s">
        <v>52</v>
      </c>
      <c r="N168" s="2" t="s">
        <v>52</v>
      </c>
    </row>
    <row r="169" spans="1:14" ht="30" customHeight="1" x14ac:dyDescent="0.3">
      <c r="A169" s="9" t="s">
        <v>1436</v>
      </c>
      <c r="B169" s="9" t="s">
        <v>1435</v>
      </c>
      <c r="C169" s="9" t="s">
        <v>52</v>
      </c>
      <c r="D169" s="9" t="s">
        <v>82</v>
      </c>
      <c r="E169" s="16">
        <f>'일위대가(총체)'!F1102</f>
        <v>0</v>
      </c>
      <c r="F169" s="16">
        <f>'일위대가(총체)'!H1102</f>
        <v>0</v>
      </c>
      <c r="G169" s="16">
        <f>'일위대가(총체)'!J1102</f>
        <v>0</v>
      </c>
      <c r="H169" s="16">
        <f t="shared" si="5"/>
        <v>0</v>
      </c>
      <c r="I169" s="9" t="s">
        <v>2249</v>
      </c>
      <c r="J169" s="9" t="s">
        <v>52</v>
      </c>
      <c r="K169" s="9" t="s">
        <v>52</v>
      </c>
      <c r="L169" s="9" t="s">
        <v>52</v>
      </c>
      <c r="M169" s="9" t="s">
        <v>52</v>
      </c>
      <c r="N169" s="2" t="s">
        <v>52</v>
      </c>
    </row>
    <row r="170" spans="1:14" ht="30" customHeight="1" x14ac:dyDescent="0.3">
      <c r="A170" s="9" t="s">
        <v>1440</v>
      </c>
      <c r="B170" s="9" t="s">
        <v>1438</v>
      </c>
      <c r="C170" s="9" t="s">
        <v>1439</v>
      </c>
      <c r="D170" s="9" t="s">
        <v>82</v>
      </c>
      <c r="E170" s="16">
        <f>'일위대가(총체)'!F1107</f>
        <v>0</v>
      </c>
      <c r="F170" s="16">
        <f>'일위대가(총체)'!H1107</f>
        <v>0</v>
      </c>
      <c r="G170" s="16">
        <f>'일위대가(총체)'!J1107</f>
        <v>0</v>
      </c>
      <c r="H170" s="16">
        <f t="shared" si="5"/>
        <v>0</v>
      </c>
      <c r="I170" s="9" t="s">
        <v>2253</v>
      </c>
      <c r="J170" s="9" t="s">
        <v>52</v>
      </c>
      <c r="K170" s="9" t="s">
        <v>52</v>
      </c>
      <c r="L170" s="9" t="s">
        <v>52</v>
      </c>
      <c r="M170" s="9" t="s">
        <v>52</v>
      </c>
      <c r="N170" s="2" t="s">
        <v>52</v>
      </c>
    </row>
    <row r="171" spans="1:14" ht="30" customHeight="1" x14ac:dyDescent="0.3">
      <c r="A171" s="9" t="s">
        <v>2259</v>
      </c>
      <c r="B171" s="9" t="s">
        <v>2258</v>
      </c>
      <c r="C171" s="9" t="s">
        <v>1330</v>
      </c>
      <c r="D171" s="9" t="s">
        <v>82</v>
      </c>
      <c r="E171" s="16">
        <f>'일위대가(총체)'!F1111</f>
        <v>0</v>
      </c>
      <c r="F171" s="16">
        <f>'일위대가(총체)'!H1111</f>
        <v>0</v>
      </c>
      <c r="G171" s="16">
        <f>'일위대가(총체)'!J1111</f>
        <v>0</v>
      </c>
      <c r="H171" s="16">
        <f t="shared" si="5"/>
        <v>0</v>
      </c>
      <c r="I171" s="9" t="s">
        <v>2262</v>
      </c>
      <c r="J171" s="9" t="s">
        <v>52</v>
      </c>
      <c r="K171" s="9" t="s">
        <v>52</v>
      </c>
      <c r="L171" s="9" t="s">
        <v>52</v>
      </c>
      <c r="M171" s="9" t="s">
        <v>52</v>
      </c>
      <c r="N171" s="2" t="s">
        <v>52</v>
      </c>
    </row>
    <row r="172" spans="1:14" ht="30" customHeight="1" x14ac:dyDescent="0.3">
      <c r="A172" s="9" t="s">
        <v>1449</v>
      </c>
      <c r="B172" s="9" t="s">
        <v>1416</v>
      </c>
      <c r="C172" s="9" t="s">
        <v>1448</v>
      </c>
      <c r="D172" s="9" t="s">
        <v>58</v>
      </c>
      <c r="E172" s="16">
        <f>'일위대가(총체)'!F1117</f>
        <v>0</v>
      </c>
      <c r="F172" s="16">
        <f>'일위대가(총체)'!H1117</f>
        <v>0</v>
      </c>
      <c r="G172" s="16">
        <f>'일위대가(총체)'!J1117</f>
        <v>0</v>
      </c>
      <c r="H172" s="16">
        <f t="shared" si="5"/>
        <v>0</v>
      </c>
      <c r="I172" s="9" t="s">
        <v>2268</v>
      </c>
      <c r="J172" s="9" t="s">
        <v>52</v>
      </c>
      <c r="K172" s="9" t="s">
        <v>52</v>
      </c>
      <c r="L172" s="9" t="s">
        <v>52</v>
      </c>
      <c r="M172" s="9" t="s">
        <v>52</v>
      </c>
      <c r="N172" s="2" t="s">
        <v>52</v>
      </c>
    </row>
    <row r="173" spans="1:14" ht="30" customHeight="1" x14ac:dyDescent="0.3">
      <c r="A173" s="9" t="s">
        <v>1469</v>
      </c>
      <c r="B173" s="9" t="s">
        <v>1468</v>
      </c>
      <c r="C173" s="9" t="s">
        <v>1448</v>
      </c>
      <c r="D173" s="9" t="s">
        <v>58</v>
      </c>
      <c r="E173" s="16">
        <f>'일위대가(총체)'!F1123</f>
        <v>0</v>
      </c>
      <c r="F173" s="16">
        <f>'일위대가(총체)'!H1123</f>
        <v>0</v>
      </c>
      <c r="G173" s="16">
        <f>'일위대가(총체)'!J1123</f>
        <v>0</v>
      </c>
      <c r="H173" s="16">
        <f t="shared" si="5"/>
        <v>0</v>
      </c>
      <c r="I173" s="9" t="s">
        <v>2273</v>
      </c>
      <c r="J173" s="9" t="s">
        <v>52</v>
      </c>
      <c r="K173" s="9" t="s">
        <v>52</v>
      </c>
      <c r="L173" s="9" t="s">
        <v>52</v>
      </c>
      <c r="M173" s="9" t="s">
        <v>52</v>
      </c>
      <c r="N173" s="2" t="s">
        <v>52</v>
      </c>
    </row>
    <row r="174" spans="1:14" ht="30" customHeight="1" x14ac:dyDescent="0.3">
      <c r="A174" s="9" t="s">
        <v>1480</v>
      </c>
      <c r="B174" s="9" t="s">
        <v>1479</v>
      </c>
      <c r="C174" s="9" t="s">
        <v>1448</v>
      </c>
      <c r="D174" s="9" t="s">
        <v>58</v>
      </c>
      <c r="E174" s="16">
        <f>'일위대가(총체)'!F1129</f>
        <v>0</v>
      </c>
      <c r="F174" s="16">
        <f>'일위대가(총체)'!H1129</f>
        <v>0</v>
      </c>
      <c r="G174" s="16">
        <f>'일위대가(총체)'!J1129</f>
        <v>0</v>
      </c>
      <c r="H174" s="16">
        <f t="shared" si="5"/>
        <v>0</v>
      </c>
      <c r="I174" s="9" t="s">
        <v>2278</v>
      </c>
      <c r="J174" s="9" t="s">
        <v>52</v>
      </c>
      <c r="K174" s="9" t="s">
        <v>52</v>
      </c>
      <c r="L174" s="9" t="s">
        <v>52</v>
      </c>
      <c r="M174" s="9" t="s">
        <v>52</v>
      </c>
      <c r="N174" s="2" t="s">
        <v>52</v>
      </c>
    </row>
    <row r="175" spans="1:14" ht="30" customHeight="1" x14ac:dyDescent="0.3">
      <c r="A175" s="9" t="s">
        <v>1493</v>
      </c>
      <c r="B175" s="9" t="s">
        <v>1492</v>
      </c>
      <c r="C175" s="9" t="s">
        <v>1330</v>
      </c>
      <c r="D175" s="9" t="s">
        <v>58</v>
      </c>
      <c r="E175" s="16">
        <f>'일위대가(총체)'!F1134</f>
        <v>0</v>
      </c>
      <c r="F175" s="16">
        <f>'일위대가(총체)'!H1134</f>
        <v>0</v>
      </c>
      <c r="G175" s="16">
        <f>'일위대가(총체)'!J1134</f>
        <v>0</v>
      </c>
      <c r="H175" s="16">
        <f t="shared" si="5"/>
        <v>0</v>
      </c>
      <c r="I175" s="9" t="s">
        <v>2283</v>
      </c>
      <c r="J175" s="9" t="s">
        <v>52</v>
      </c>
      <c r="K175" s="9" t="s">
        <v>52</v>
      </c>
      <c r="L175" s="9" t="s">
        <v>52</v>
      </c>
      <c r="M175" s="9" t="s">
        <v>52</v>
      </c>
      <c r="N175" s="2" t="s">
        <v>52</v>
      </c>
    </row>
    <row r="176" spans="1:14" ht="30" customHeight="1" x14ac:dyDescent="0.3">
      <c r="A176" s="9" t="s">
        <v>1496</v>
      </c>
      <c r="B176" s="9" t="s">
        <v>1495</v>
      </c>
      <c r="C176" s="9" t="s">
        <v>1330</v>
      </c>
      <c r="D176" s="9" t="s">
        <v>58</v>
      </c>
      <c r="E176" s="16">
        <f>'일위대가(총체)'!F1139</f>
        <v>0</v>
      </c>
      <c r="F176" s="16">
        <f>'일위대가(총체)'!H1139</f>
        <v>0</v>
      </c>
      <c r="G176" s="16">
        <f>'일위대가(총체)'!J1139</f>
        <v>0</v>
      </c>
      <c r="H176" s="16">
        <f t="shared" si="5"/>
        <v>0</v>
      </c>
      <c r="I176" s="9" t="s">
        <v>2287</v>
      </c>
      <c r="J176" s="9" t="s">
        <v>52</v>
      </c>
      <c r="K176" s="9" t="s">
        <v>52</v>
      </c>
      <c r="L176" s="9" t="s">
        <v>52</v>
      </c>
      <c r="M176" s="9" t="s">
        <v>52</v>
      </c>
      <c r="N176" s="2" t="s">
        <v>52</v>
      </c>
    </row>
    <row r="177" spans="1:14" ht="30" customHeight="1" x14ac:dyDescent="0.3">
      <c r="A177" s="9" t="s">
        <v>1503</v>
      </c>
      <c r="B177" s="9" t="s">
        <v>1502</v>
      </c>
      <c r="C177" s="9" t="s">
        <v>1330</v>
      </c>
      <c r="D177" s="9" t="s">
        <v>58</v>
      </c>
      <c r="E177" s="16">
        <f>'일위대가(총체)'!F1145</f>
        <v>0</v>
      </c>
      <c r="F177" s="16">
        <f>'일위대가(총체)'!H1145</f>
        <v>0</v>
      </c>
      <c r="G177" s="16">
        <f>'일위대가(총체)'!J1145</f>
        <v>0</v>
      </c>
      <c r="H177" s="16">
        <f t="shared" si="5"/>
        <v>0</v>
      </c>
      <c r="I177" s="9" t="s">
        <v>2291</v>
      </c>
      <c r="J177" s="9" t="s">
        <v>52</v>
      </c>
      <c r="K177" s="9" t="s">
        <v>52</v>
      </c>
      <c r="L177" s="9" t="s">
        <v>52</v>
      </c>
      <c r="M177" s="9" t="s">
        <v>52</v>
      </c>
      <c r="N177" s="2" t="s">
        <v>52</v>
      </c>
    </row>
    <row r="178" spans="1:14" ht="30" customHeight="1" x14ac:dyDescent="0.3">
      <c r="A178" s="9" t="s">
        <v>1528</v>
      </c>
      <c r="B178" s="9" t="s">
        <v>1479</v>
      </c>
      <c r="C178" s="9" t="s">
        <v>1417</v>
      </c>
      <c r="D178" s="9" t="s">
        <v>58</v>
      </c>
      <c r="E178" s="16">
        <f>'일위대가(총체)'!F1151</f>
        <v>0</v>
      </c>
      <c r="F178" s="16">
        <f>'일위대가(총체)'!H1151</f>
        <v>0</v>
      </c>
      <c r="G178" s="16">
        <f>'일위대가(총체)'!J1151</f>
        <v>0</v>
      </c>
      <c r="H178" s="16">
        <f t="shared" si="5"/>
        <v>0</v>
      </c>
      <c r="I178" s="9" t="s">
        <v>2296</v>
      </c>
      <c r="J178" s="9" t="s">
        <v>52</v>
      </c>
      <c r="K178" s="9" t="s">
        <v>52</v>
      </c>
      <c r="L178" s="9" t="s">
        <v>52</v>
      </c>
      <c r="M178" s="9" t="s">
        <v>52</v>
      </c>
      <c r="N178" s="2" t="s">
        <v>52</v>
      </c>
    </row>
    <row r="179" spans="1:14" ht="30" customHeight="1" x14ac:dyDescent="0.3">
      <c r="A179" s="9" t="s">
        <v>1549</v>
      </c>
      <c r="B179" s="9" t="s">
        <v>1547</v>
      </c>
      <c r="C179" s="9" t="s">
        <v>1548</v>
      </c>
      <c r="D179" s="9" t="s">
        <v>68</v>
      </c>
      <c r="E179" s="16">
        <f>'일위대가(총체)'!F1157</f>
        <v>0</v>
      </c>
      <c r="F179" s="16">
        <f>'일위대가(총체)'!H1157</f>
        <v>0</v>
      </c>
      <c r="G179" s="16">
        <f>'일위대가(총체)'!J1157</f>
        <v>0</v>
      </c>
      <c r="H179" s="16">
        <f t="shared" si="5"/>
        <v>0</v>
      </c>
      <c r="I179" s="9" t="s">
        <v>2301</v>
      </c>
      <c r="J179" s="9" t="s">
        <v>52</v>
      </c>
      <c r="K179" s="9" t="s">
        <v>52</v>
      </c>
      <c r="L179" s="9" t="s">
        <v>52</v>
      </c>
      <c r="M179" s="9" t="s">
        <v>52</v>
      </c>
      <c r="N179" s="2" t="s">
        <v>52</v>
      </c>
    </row>
    <row r="180" spans="1:14" ht="30" customHeight="1" x14ac:dyDescent="0.3">
      <c r="A180" s="9" t="s">
        <v>1553</v>
      </c>
      <c r="B180" s="9" t="s">
        <v>1551</v>
      </c>
      <c r="C180" s="9" t="s">
        <v>1552</v>
      </c>
      <c r="D180" s="9" t="s">
        <v>68</v>
      </c>
      <c r="E180" s="16">
        <f>'일위대가(총체)'!F1163</f>
        <v>0</v>
      </c>
      <c r="F180" s="16">
        <f>'일위대가(총체)'!H1163</f>
        <v>0</v>
      </c>
      <c r="G180" s="16">
        <f>'일위대가(총체)'!J1163</f>
        <v>0</v>
      </c>
      <c r="H180" s="16">
        <f t="shared" si="5"/>
        <v>0</v>
      </c>
      <c r="I180" s="9" t="s">
        <v>2306</v>
      </c>
      <c r="J180" s="9" t="s">
        <v>52</v>
      </c>
      <c r="K180" s="9" t="s">
        <v>52</v>
      </c>
      <c r="L180" s="9" t="s">
        <v>52</v>
      </c>
      <c r="M180" s="9" t="s">
        <v>52</v>
      </c>
      <c r="N180" s="2" t="s">
        <v>52</v>
      </c>
    </row>
    <row r="181" spans="1:14" ht="30" customHeight="1" x14ac:dyDescent="0.3">
      <c r="A181" s="9" t="s">
        <v>1559</v>
      </c>
      <c r="B181" s="9" t="s">
        <v>402</v>
      </c>
      <c r="C181" s="9" t="s">
        <v>1558</v>
      </c>
      <c r="D181" s="9" t="s">
        <v>68</v>
      </c>
      <c r="E181" s="16">
        <f>'일위대가(총체)'!F1169</f>
        <v>0</v>
      </c>
      <c r="F181" s="16">
        <f>'일위대가(총체)'!H1169</f>
        <v>0</v>
      </c>
      <c r="G181" s="16">
        <f>'일위대가(총체)'!J1169</f>
        <v>0</v>
      </c>
      <c r="H181" s="16">
        <f t="shared" si="5"/>
        <v>0</v>
      </c>
      <c r="I181" s="9" t="s">
        <v>2311</v>
      </c>
      <c r="J181" s="9" t="s">
        <v>52</v>
      </c>
      <c r="K181" s="9" t="s">
        <v>52</v>
      </c>
      <c r="L181" s="9" t="s">
        <v>52</v>
      </c>
      <c r="M181" s="9" t="s">
        <v>52</v>
      </c>
      <c r="N181" s="2" t="s">
        <v>52</v>
      </c>
    </row>
    <row r="182" spans="1:14" ht="30" customHeight="1" x14ac:dyDescent="0.3">
      <c r="A182" s="9" t="s">
        <v>1564</v>
      </c>
      <c r="B182" s="9" t="s">
        <v>1562</v>
      </c>
      <c r="C182" s="9" t="s">
        <v>1563</v>
      </c>
      <c r="D182" s="9" t="s">
        <v>68</v>
      </c>
      <c r="E182" s="16">
        <f>'일위대가(총체)'!F1175</f>
        <v>0</v>
      </c>
      <c r="F182" s="16">
        <f>'일위대가(총체)'!H1175</f>
        <v>0</v>
      </c>
      <c r="G182" s="16">
        <f>'일위대가(총체)'!J1175</f>
        <v>0</v>
      </c>
      <c r="H182" s="16">
        <f t="shared" si="5"/>
        <v>0</v>
      </c>
      <c r="I182" s="9" t="s">
        <v>2316</v>
      </c>
      <c r="J182" s="9" t="s">
        <v>52</v>
      </c>
      <c r="K182" s="9" t="s">
        <v>52</v>
      </c>
      <c r="L182" s="9" t="s">
        <v>52</v>
      </c>
      <c r="M182" s="9" t="s">
        <v>52</v>
      </c>
      <c r="N182" s="2" t="s">
        <v>52</v>
      </c>
    </row>
    <row r="183" spans="1:14" ht="30" customHeight="1" x14ac:dyDescent="0.3">
      <c r="A183" s="9" t="s">
        <v>1575</v>
      </c>
      <c r="B183" s="9" t="s">
        <v>1573</v>
      </c>
      <c r="C183" s="9" t="s">
        <v>1574</v>
      </c>
      <c r="D183" s="9" t="s">
        <v>68</v>
      </c>
      <c r="E183" s="16">
        <f>'일위대가(총체)'!F1183</f>
        <v>0</v>
      </c>
      <c r="F183" s="16">
        <f>'일위대가(총체)'!H1183</f>
        <v>0</v>
      </c>
      <c r="G183" s="16">
        <f>'일위대가(총체)'!J1183</f>
        <v>0</v>
      </c>
      <c r="H183" s="16">
        <f t="shared" si="5"/>
        <v>0</v>
      </c>
      <c r="I183" s="9" t="s">
        <v>2321</v>
      </c>
      <c r="J183" s="9" t="s">
        <v>52</v>
      </c>
      <c r="K183" s="9" t="s">
        <v>52</v>
      </c>
      <c r="L183" s="9" t="s">
        <v>52</v>
      </c>
      <c r="M183" s="9" t="s">
        <v>52</v>
      </c>
      <c r="N183" s="2" t="s">
        <v>52</v>
      </c>
    </row>
    <row r="184" spans="1:14" ht="30" customHeight="1" x14ac:dyDescent="0.3">
      <c r="A184" s="9" t="s">
        <v>1930</v>
      </c>
      <c r="B184" s="9" t="s">
        <v>1927</v>
      </c>
      <c r="C184" s="9" t="s">
        <v>1928</v>
      </c>
      <c r="D184" s="9" t="s">
        <v>1929</v>
      </c>
      <c r="E184" s="16">
        <f>'일위대가(총체)'!F1187</f>
        <v>0</v>
      </c>
      <c r="F184" s="16">
        <f>'일위대가(총체)'!H1187</f>
        <v>0</v>
      </c>
      <c r="G184" s="16">
        <f>'일위대가(총체)'!J1187</f>
        <v>0</v>
      </c>
      <c r="H184" s="16">
        <f t="shared" si="5"/>
        <v>0</v>
      </c>
      <c r="I184" s="9" t="s">
        <v>2326</v>
      </c>
      <c r="J184" s="9" t="s">
        <v>52</v>
      </c>
      <c r="K184" s="9" t="s">
        <v>52</v>
      </c>
      <c r="L184" s="9" t="s">
        <v>52</v>
      </c>
      <c r="M184" s="9" t="s">
        <v>52</v>
      </c>
      <c r="N184" s="2" t="s">
        <v>60</v>
      </c>
    </row>
  </sheetData>
  <mergeCells count="2">
    <mergeCell ref="A1:M1"/>
    <mergeCell ref="A2:M2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9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1187"/>
  <sheetViews>
    <sheetView view="pageBreakPreview" zoomScaleNormal="100" zoomScaleSheetLayoutView="100" workbookViewId="0">
      <selection sqref="A1:M1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7" width="2.625" hidden="1" customWidth="1"/>
    <col min="48" max="48" width="1.625" hidden="1" customWidth="1"/>
    <col min="49" max="49" width="24.625" hidden="1" customWidth="1"/>
    <col min="50" max="51" width="2.625" hidden="1" customWidth="1"/>
  </cols>
  <sheetData>
    <row r="1" spans="1:51" ht="30" customHeight="1" x14ac:dyDescent="0.3">
      <c r="A1" s="40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51" ht="30" customHeight="1" x14ac:dyDescent="0.3">
      <c r="A2" s="41" t="s">
        <v>2</v>
      </c>
      <c r="B2" s="41" t="s">
        <v>3</v>
      </c>
      <c r="C2" s="41" t="s">
        <v>4</v>
      </c>
      <c r="D2" s="41" t="s">
        <v>5</v>
      </c>
      <c r="E2" s="41" t="s">
        <v>6</v>
      </c>
      <c r="F2" s="41"/>
      <c r="G2" s="41" t="s">
        <v>9</v>
      </c>
      <c r="H2" s="41"/>
      <c r="I2" s="41" t="s">
        <v>10</v>
      </c>
      <c r="J2" s="41"/>
      <c r="K2" s="41" t="s">
        <v>11</v>
      </c>
      <c r="L2" s="41"/>
      <c r="M2" s="41" t="s">
        <v>12</v>
      </c>
      <c r="N2" s="43" t="s">
        <v>787</v>
      </c>
      <c r="O2" s="43" t="s">
        <v>20</v>
      </c>
      <c r="P2" s="43" t="s">
        <v>22</v>
      </c>
      <c r="Q2" s="43" t="s">
        <v>23</v>
      </c>
      <c r="R2" s="43" t="s">
        <v>24</v>
      </c>
      <c r="S2" s="43" t="s">
        <v>25</v>
      </c>
      <c r="T2" s="43" t="s">
        <v>26</v>
      </c>
      <c r="U2" s="43" t="s">
        <v>27</v>
      </c>
      <c r="V2" s="43" t="s">
        <v>28</v>
      </c>
      <c r="W2" s="43" t="s">
        <v>29</v>
      </c>
      <c r="X2" s="43" t="s">
        <v>30</v>
      </c>
      <c r="Y2" s="43" t="s">
        <v>31</v>
      </c>
      <c r="Z2" s="43" t="s">
        <v>32</v>
      </c>
      <c r="AA2" s="43" t="s">
        <v>33</v>
      </c>
      <c r="AB2" s="43" t="s">
        <v>34</v>
      </c>
      <c r="AC2" s="43" t="s">
        <v>35</v>
      </c>
      <c r="AD2" s="43" t="s">
        <v>36</v>
      </c>
      <c r="AE2" s="43" t="s">
        <v>37</v>
      </c>
      <c r="AF2" s="43" t="s">
        <v>38</v>
      </c>
      <c r="AG2" s="43" t="s">
        <v>39</v>
      </c>
      <c r="AH2" s="43" t="s">
        <v>40</v>
      </c>
      <c r="AI2" s="43" t="s">
        <v>41</v>
      </c>
      <c r="AJ2" s="43" t="s">
        <v>42</v>
      </c>
      <c r="AK2" s="43" t="s">
        <v>43</v>
      </c>
      <c r="AL2" s="43" t="s">
        <v>44</v>
      </c>
      <c r="AM2" s="43" t="s">
        <v>45</v>
      </c>
      <c r="AN2" s="43" t="s">
        <v>46</v>
      </c>
      <c r="AO2" s="43" t="s">
        <v>47</v>
      </c>
      <c r="AP2" s="43" t="s">
        <v>788</v>
      </c>
      <c r="AQ2" s="43" t="s">
        <v>789</v>
      </c>
      <c r="AR2" s="43" t="s">
        <v>790</v>
      </c>
      <c r="AS2" s="43" t="s">
        <v>791</v>
      </c>
      <c r="AT2" s="43" t="s">
        <v>792</v>
      </c>
      <c r="AU2" s="43" t="s">
        <v>793</v>
      </c>
      <c r="AV2" s="43" t="s">
        <v>48</v>
      </c>
      <c r="AW2" s="43" t="s">
        <v>794</v>
      </c>
      <c r="AX2" s="1" t="s">
        <v>786</v>
      </c>
      <c r="AY2" s="1" t="s">
        <v>21</v>
      </c>
    </row>
    <row r="3" spans="1:51" ht="30" customHeight="1" x14ac:dyDescent="0.3">
      <c r="A3" s="41"/>
      <c r="B3" s="41"/>
      <c r="C3" s="41"/>
      <c r="D3" s="41"/>
      <c r="E3" s="5" t="s">
        <v>7</v>
      </c>
      <c r="F3" s="5" t="s">
        <v>8</v>
      </c>
      <c r="G3" s="5" t="s">
        <v>7</v>
      </c>
      <c r="H3" s="5" t="s">
        <v>8</v>
      </c>
      <c r="I3" s="5" t="s">
        <v>7</v>
      </c>
      <c r="J3" s="5" t="s">
        <v>8</v>
      </c>
      <c r="K3" s="5" t="s">
        <v>7</v>
      </c>
      <c r="L3" s="5" t="s">
        <v>8</v>
      </c>
      <c r="M3" s="41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</row>
    <row r="4" spans="1:51" ht="30" customHeight="1" x14ac:dyDescent="0.3">
      <c r="A4" s="44" t="s">
        <v>795</v>
      </c>
      <c r="B4" s="44"/>
      <c r="C4" s="44"/>
      <c r="D4" s="44"/>
      <c r="E4" s="45"/>
      <c r="F4" s="46"/>
      <c r="G4" s="45"/>
      <c r="H4" s="46"/>
      <c r="I4" s="45"/>
      <c r="J4" s="46"/>
      <c r="K4" s="45"/>
      <c r="L4" s="46"/>
      <c r="M4" s="44"/>
      <c r="N4" s="1" t="s">
        <v>59</v>
      </c>
    </row>
    <row r="5" spans="1:51" ht="30" customHeight="1" x14ac:dyDescent="0.3">
      <c r="A5" s="9" t="s">
        <v>797</v>
      </c>
      <c r="B5" s="9" t="s">
        <v>798</v>
      </c>
      <c r="C5" s="9" t="s">
        <v>427</v>
      </c>
      <c r="D5" s="10">
        <v>0.18</v>
      </c>
      <c r="E5" s="15">
        <f>'단가대비표(총체)'!O107</f>
        <v>0</v>
      </c>
      <c r="F5" s="16">
        <f>TRUNC(E5*D5,1)</f>
        <v>0</v>
      </c>
      <c r="G5" s="15">
        <f>'단가대비표(총체)'!P107</f>
        <v>0</v>
      </c>
      <c r="H5" s="16">
        <f>TRUNC(G5*D5,1)</f>
        <v>0</v>
      </c>
      <c r="I5" s="15">
        <f>'단가대비표(총체)'!V107</f>
        <v>0</v>
      </c>
      <c r="J5" s="16">
        <f>TRUNC(I5*D5,1)</f>
        <v>0</v>
      </c>
      <c r="K5" s="15">
        <f t="shared" ref="K5:L7" si="0">TRUNC(E5+G5+I5,1)</f>
        <v>0</v>
      </c>
      <c r="L5" s="16">
        <f t="shared" si="0"/>
        <v>0</v>
      </c>
      <c r="M5" s="9" t="s">
        <v>799</v>
      </c>
      <c r="N5" s="2" t="s">
        <v>52</v>
      </c>
      <c r="O5" s="2" t="s">
        <v>800</v>
      </c>
      <c r="P5" s="2" t="s">
        <v>61</v>
      </c>
      <c r="Q5" s="2" t="s">
        <v>61</v>
      </c>
      <c r="R5" s="2" t="s">
        <v>60</v>
      </c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 t="s">
        <v>52</v>
      </c>
      <c r="AW5" s="2" t="s">
        <v>801</v>
      </c>
      <c r="AX5" s="2" t="s">
        <v>52</v>
      </c>
      <c r="AY5" s="2" t="s">
        <v>802</v>
      </c>
    </row>
    <row r="6" spans="1:51" ht="30" customHeight="1" x14ac:dyDescent="0.3">
      <c r="A6" s="9" t="s">
        <v>803</v>
      </c>
      <c r="B6" s="9" t="s">
        <v>804</v>
      </c>
      <c r="C6" s="9" t="s">
        <v>58</v>
      </c>
      <c r="D6" s="10">
        <v>1</v>
      </c>
      <c r="E6" s="15">
        <f>'일위대가목록(총체)'!E134</f>
        <v>0</v>
      </c>
      <c r="F6" s="16">
        <f>TRUNC(E6*D6,1)</f>
        <v>0</v>
      </c>
      <c r="G6" s="15">
        <f>'일위대가목록(총체)'!F134</f>
        <v>0</v>
      </c>
      <c r="H6" s="16">
        <f>TRUNC(G6*D6,1)</f>
        <v>0</v>
      </c>
      <c r="I6" s="15">
        <f>'일위대가목록(총체)'!G134</f>
        <v>0</v>
      </c>
      <c r="J6" s="16">
        <f>TRUNC(I6*D6,1)</f>
        <v>0</v>
      </c>
      <c r="K6" s="15">
        <f t="shared" si="0"/>
        <v>0</v>
      </c>
      <c r="L6" s="16">
        <f t="shared" si="0"/>
        <v>0</v>
      </c>
      <c r="M6" s="9" t="s">
        <v>799</v>
      </c>
      <c r="N6" s="2" t="s">
        <v>52</v>
      </c>
      <c r="O6" s="2" t="s">
        <v>805</v>
      </c>
      <c r="P6" s="2" t="s">
        <v>60</v>
      </c>
      <c r="Q6" s="2" t="s">
        <v>61</v>
      </c>
      <c r="R6" s="2" t="s">
        <v>61</v>
      </c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2" t="s">
        <v>52</v>
      </c>
      <c r="AW6" s="2" t="s">
        <v>806</v>
      </c>
      <c r="AX6" s="2" t="s">
        <v>52</v>
      </c>
      <c r="AY6" s="2" t="s">
        <v>802</v>
      </c>
    </row>
    <row r="7" spans="1:51" ht="30" customHeight="1" x14ac:dyDescent="0.3">
      <c r="A7" s="9" t="s">
        <v>807</v>
      </c>
      <c r="B7" s="9" t="s">
        <v>808</v>
      </c>
      <c r="C7" s="9" t="s">
        <v>307</v>
      </c>
      <c r="D7" s="10">
        <v>1</v>
      </c>
      <c r="E7" s="15">
        <v>0</v>
      </c>
      <c r="F7" s="16">
        <f>TRUNC(E7*D7,1)</f>
        <v>0</v>
      </c>
      <c r="G7" s="15">
        <v>0</v>
      </c>
      <c r="H7" s="16">
        <f>TRUNC(G7*D7,1)</f>
        <v>0</v>
      </c>
      <c r="I7" s="15">
        <f>TRUNC(SUMIF(V5:V7, RIGHTB(O7, 1), L5:L7)*U7, 2)</f>
        <v>0</v>
      </c>
      <c r="J7" s="16">
        <f>TRUNC(I7*D7,1)</f>
        <v>0</v>
      </c>
      <c r="K7" s="15">
        <f t="shared" si="0"/>
        <v>0</v>
      </c>
      <c r="L7" s="16">
        <f t="shared" si="0"/>
        <v>0</v>
      </c>
      <c r="M7" s="9" t="s">
        <v>52</v>
      </c>
      <c r="N7" s="2" t="s">
        <v>59</v>
      </c>
      <c r="O7" s="2" t="s">
        <v>809</v>
      </c>
      <c r="P7" s="2" t="s">
        <v>61</v>
      </c>
      <c r="Q7" s="2" t="s">
        <v>61</v>
      </c>
      <c r="R7" s="2" t="s">
        <v>61</v>
      </c>
      <c r="S7" s="3">
        <v>3</v>
      </c>
      <c r="T7" s="3">
        <v>2</v>
      </c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2" t="s">
        <v>52</v>
      </c>
      <c r="AW7" s="2" t="s">
        <v>810</v>
      </c>
      <c r="AX7" s="2" t="s">
        <v>52</v>
      </c>
      <c r="AY7" s="2" t="s">
        <v>52</v>
      </c>
    </row>
    <row r="8" spans="1:51" ht="30" customHeight="1" x14ac:dyDescent="0.3">
      <c r="A8" s="9" t="s">
        <v>811</v>
      </c>
      <c r="B8" s="9" t="s">
        <v>52</v>
      </c>
      <c r="C8" s="9" t="s">
        <v>52</v>
      </c>
      <c r="D8" s="10"/>
      <c r="E8" s="15"/>
      <c r="F8" s="16">
        <f>TRUNC(SUMIF(N5:N7, N4, F5:F7),0)</f>
        <v>0</v>
      </c>
      <c r="G8" s="15"/>
      <c r="H8" s="16">
        <f>TRUNC(SUMIF(N5:N7, N4, H5:H7),0)</f>
        <v>0</v>
      </c>
      <c r="I8" s="15"/>
      <c r="J8" s="16">
        <f>TRUNC(SUMIF(N5:N7, N4, J5:J7),0)</f>
        <v>0</v>
      </c>
      <c r="K8" s="15"/>
      <c r="L8" s="16">
        <f>F8+H8+J8</f>
        <v>0</v>
      </c>
      <c r="M8" s="9" t="s">
        <v>52</v>
      </c>
      <c r="N8" s="2" t="s">
        <v>94</v>
      </c>
      <c r="O8" s="2" t="s">
        <v>94</v>
      </c>
      <c r="P8" s="2" t="s">
        <v>52</v>
      </c>
      <c r="Q8" s="2" t="s">
        <v>52</v>
      </c>
      <c r="R8" s="2" t="s">
        <v>52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2" t="s">
        <v>52</v>
      </c>
      <c r="AW8" s="2" t="s">
        <v>52</v>
      </c>
      <c r="AX8" s="2" t="s">
        <v>52</v>
      </c>
      <c r="AY8" s="2" t="s">
        <v>52</v>
      </c>
    </row>
    <row r="9" spans="1:51" ht="30" customHeight="1" x14ac:dyDescent="0.3">
      <c r="A9" s="10"/>
      <c r="B9" s="10"/>
      <c r="C9" s="10"/>
      <c r="D9" s="10"/>
      <c r="E9" s="15"/>
      <c r="F9" s="16"/>
      <c r="G9" s="15"/>
      <c r="H9" s="16"/>
      <c r="I9" s="15"/>
      <c r="J9" s="16"/>
      <c r="K9" s="15"/>
      <c r="L9" s="16"/>
      <c r="M9" s="10"/>
    </row>
    <row r="10" spans="1:51" ht="30" customHeight="1" x14ac:dyDescent="0.3">
      <c r="A10" s="44" t="s">
        <v>812</v>
      </c>
      <c r="B10" s="44"/>
      <c r="C10" s="44"/>
      <c r="D10" s="44"/>
      <c r="E10" s="45"/>
      <c r="F10" s="46"/>
      <c r="G10" s="45"/>
      <c r="H10" s="46"/>
      <c r="I10" s="45"/>
      <c r="J10" s="46"/>
      <c r="K10" s="45"/>
      <c r="L10" s="46"/>
      <c r="M10" s="44"/>
      <c r="N10" s="1" t="s">
        <v>64</v>
      </c>
    </row>
    <row r="11" spans="1:51" ht="30" customHeight="1" x14ac:dyDescent="0.3">
      <c r="A11" s="9" t="s">
        <v>797</v>
      </c>
      <c r="B11" s="9" t="s">
        <v>814</v>
      </c>
      <c r="C11" s="9" t="s">
        <v>427</v>
      </c>
      <c r="D11" s="10">
        <v>0.18</v>
      </c>
      <c r="E11" s="15">
        <f>'단가대비표(총체)'!O108</f>
        <v>0</v>
      </c>
      <c r="F11" s="16">
        <f>TRUNC(E11*D11,1)</f>
        <v>0</v>
      </c>
      <c r="G11" s="15">
        <f>'단가대비표(총체)'!P108</f>
        <v>0</v>
      </c>
      <c r="H11" s="16">
        <f>TRUNC(G11*D11,1)</f>
        <v>0</v>
      </c>
      <c r="I11" s="15">
        <f>'단가대비표(총체)'!V108</f>
        <v>0</v>
      </c>
      <c r="J11" s="16">
        <f>TRUNC(I11*D11,1)</f>
        <v>0</v>
      </c>
      <c r="K11" s="15">
        <f t="shared" ref="K11:L13" si="1">TRUNC(E11+G11+I11,1)</f>
        <v>0</v>
      </c>
      <c r="L11" s="16">
        <f t="shared" si="1"/>
        <v>0</v>
      </c>
      <c r="M11" s="9" t="s">
        <v>799</v>
      </c>
      <c r="N11" s="2" t="s">
        <v>52</v>
      </c>
      <c r="O11" s="2" t="s">
        <v>815</v>
      </c>
      <c r="P11" s="2" t="s">
        <v>61</v>
      </c>
      <c r="Q11" s="2" t="s">
        <v>61</v>
      </c>
      <c r="R11" s="2" t="s">
        <v>60</v>
      </c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2" t="s">
        <v>52</v>
      </c>
      <c r="AW11" s="2" t="s">
        <v>816</v>
      </c>
      <c r="AX11" s="2" t="s">
        <v>52</v>
      </c>
      <c r="AY11" s="2" t="s">
        <v>802</v>
      </c>
    </row>
    <row r="12" spans="1:51" ht="30" customHeight="1" x14ac:dyDescent="0.3">
      <c r="A12" s="9" t="s">
        <v>803</v>
      </c>
      <c r="B12" s="9" t="s">
        <v>804</v>
      </c>
      <c r="C12" s="9" t="s">
        <v>58</v>
      </c>
      <c r="D12" s="10">
        <v>1</v>
      </c>
      <c r="E12" s="15">
        <f>'일위대가목록(총체)'!E134</f>
        <v>0</v>
      </c>
      <c r="F12" s="16">
        <f>TRUNC(E12*D12,1)</f>
        <v>0</v>
      </c>
      <c r="G12" s="15">
        <f>'일위대가목록(총체)'!F134</f>
        <v>0</v>
      </c>
      <c r="H12" s="16">
        <f>TRUNC(G12*D12,1)</f>
        <v>0</v>
      </c>
      <c r="I12" s="15">
        <f>'일위대가목록(총체)'!G134</f>
        <v>0</v>
      </c>
      <c r="J12" s="16">
        <f>TRUNC(I12*D12,1)</f>
        <v>0</v>
      </c>
      <c r="K12" s="15">
        <f t="shared" si="1"/>
        <v>0</v>
      </c>
      <c r="L12" s="16">
        <f t="shared" si="1"/>
        <v>0</v>
      </c>
      <c r="M12" s="9" t="s">
        <v>799</v>
      </c>
      <c r="N12" s="2" t="s">
        <v>52</v>
      </c>
      <c r="O12" s="2" t="s">
        <v>805</v>
      </c>
      <c r="P12" s="2" t="s">
        <v>60</v>
      </c>
      <c r="Q12" s="2" t="s">
        <v>61</v>
      </c>
      <c r="R12" s="2" t="s">
        <v>61</v>
      </c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2" t="s">
        <v>52</v>
      </c>
      <c r="AW12" s="2" t="s">
        <v>817</v>
      </c>
      <c r="AX12" s="2" t="s">
        <v>52</v>
      </c>
      <c r="AY12" s="2" t="s">
        <v>802</v>
      </c>
    </row>
    <row r="13" spans="1:51" ht="30" customHeight="1" x14ac:dyDescent="0.3">
      <c r="A13" s="9" t="s">
        <v>807</v>
      </c>
      <c r="B13" s="9" t="s">
        <v>808</v>
      </c>
      <c r="C13" s="9" t="s">
        <v>307</v>
      </c>
      <c r="D13" s="10">
        <v>1</v>
      </c>
      <c r="E13" s="15">
        <v>0</v>
      </c>
      <c r="F13" s="16">
        <f>TRUNC(E13*D13,1)</f>
        <v>0</v>
      </c>
      <c r="G13" s="15">
        <v>0</v>
      </c>
      <c r="H13" s="16">
        <f>TRUNC(G13*D13,1)</f>
        <v>0</v>
      </c>
      <c r="I13" s="15">
        <f>TRUNC(SUMIF(V11:V13, RIGHTB(O13, 1), L11:L13)*U13, 2)</f>
        <v>0</v>
      </c>
      <c r="J13" s="16">
        <f>TRUNC(I13*D13,1)</f>
        <v>0</v>
      </c>
      <c r="K13" s="15">
        <f t="shared" si="1"/>
        <v>0</v>
      </c>
      <c r="L13" s="16">
        <f t="shared" si="1"/>
        <v>0</v>
      </c>
      <c r="M13" s="9" t="s">
        <v>52</v>
      </c>
      <c r="N13" s="2" t="s">
        <v>64</v>
      </c>
      <c r="O13" s="2" t="s">
        <v>809</v>
      </c>
      <c r="P13" s="2" t="s">
        <v>61</v>
      </c>
      <c r="Q13" s="2" t="s">
        <v>61</v>
      </c>
      <c r="R13" s="2" t="s">
        <v>61</v>
      </c>
      <c r="S13" s="3">
        <v>3</v>
      </c>
      <c r="T13" s="3">
        <v>2</v>
      </c>
      <c r="U13" s="3">
        <v>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2" t="s">
        <v>52</v>
      </c>
      <c r="AW13" s="2" t="s">
        <v>818</v>
      </c>
      <c r="AX13" s="2" t="s">
        <v>52</v>
      </c>
      <c r="AY13" s="2" t="s">
        <v>52</v>
      </c>
    </row>
    <row r="14" spans="1:51" ht="30" customHeight="1" x14ac:dyDescent="0.3">
      <c r="A14" s="9" t="s">
        <v>811</v>
      </c>
      <c r="B14" s="9" t="s">
        <v>52</v>
      </c>
      <c r="C14" s="9" t="s">
        <v>52</v>
      </c>
      <c r="D14" s="10"/>
      <c r="E14" s="15"/>
      <c r="F14" s="16">
        <f>TRUNC(SUMIF(N11:N13, N10, F11:F13),0)</f>
        <v>0</v>
      </c>
      <c r="G14" s="15"/>
      <c r="H14" s="16">
        <f>TRUNC(SUMIF(N11:N13, N10, H11:H13),0)</f>
        <v>0</v>
      </c>
      <c r="I14" s="15"/>
      <c r="J14" s="16">
        <f>TRUNC(SUMIF(N11:N13, N10, J11:J13),0)</f>
        <v>0</v>
      </c>
      <c r="K14" s="15"/>
      <c r="L14" s="16">
        <f>F14+H14+J14</f>
        <v>0</v>
      </c>
      <c r="M14" s="9" t="s">
        <v>52</v>
      </c>
      <c r="N14" s="2" t="s">
        <v>94</v>
      </c>
      <c r="O14" s="2" t="s">
        <v>94</v>
      </c>
      <c r="P14" s="2" t="s">
        <v>52</v>
      </c>
      <c r="Q14" s="2" t="s">
        <v>52</v>
      </c>
      <c r="R14" s="2" t="s">
        <v>52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2" t="s">
        <v>52</v>
      </c>
      <c r="AW14" s="2" t="s">
        <v>52</v>
      </c>
      <c r="AX14" s="2" t="s">
        <v>52</v>
      </c>
      <c r="AY14" s="2" t="s">
        <v>52</v>
      </c>
    </row>
    <row r="15" spans="1:51" ht="30" customHeight="1" x14ac:dyDescent="0.3">
      <c r="A15" s="10"/>
      <c r="B15" s="10"/>
      <c r="C15" s="10"/>
      <c r="D15" s="10"/>
      <c r="E15" s="15"/>
      <c r="F15" s="16"/>
      <c r="G15" s="15"/>
      <c r="H15" s="16"/>
      <c r="I15" s="15"/>
      <c r="J15" s="16"/>
      <c r="K15" s="15"/>
      <c r="L15" s="16"/>
      <c r="M15" s="10"/>
    </row>
    <row r="16" spans="1:51" ht="30" customHeight="1" x14ac:dyDescent="0.3">
      <c r="A16" s="44" t="s">
        <v>819</v>
      </c>
      <c r="B16" s="44"/>
      <c r="C16" s="44"/>
      <c r="D16" s="44"/>
      <c r="E16" s="45"/>
      <c r="F16" s="46"/>
      <c r="G16" s="45"/>
      <c r="H16" s="46"/>
      <c r="I16" s="45"/>
      <c r="J16" s="46"/>
      <c r="K16" s="45"/>
      <c r="L16" s="46"/>
      <c r="M16" s="44"/>
      <c r="N16" s="1" t="s">
        <v>69</v>
      </c>
    </row>
    <row r="17" spans="1:51" ht="30" customHeight="1" x14ac:dyDescent="0.3">
      <c r="A17" s="9" t="s">
        <v>821</v>
      </c>
      <c r="B17" s="9" t="s">
        <v>822</v>
      </c>
      <c r="C17" s="9" t="s">
        <v>823</v>
      </c>
      <c r="D17" s="10">
        <v>0.05</v>
      </c>
      <c r="E17" s="15">
        <f>'단가대비표(총체)'!O180</f>
        <v>0</v>
      </c>
      <c r="F17" s="16">
        <f>TRUNC(E17*D17,1)</f>
        <v>0</v>
      </c>
      <c r="G17" s="15">
        <f>'단가대비표(총체)'!P180</f>
        <v>0</v>
      </c>
      <c r="H17" s="16">
        <f>TRUNC(G17*D17,1)</f>
        <v>0</v>
      </c>
      <c r="I17" s="15">
        <f>'단가대비표(총체)'!V180</f>
        <v>0</v>
      </c>
      <c r="J17" s="16">
        <f>TRUNC(I17*D17,1)</f>
        <v>0</v>
      </c>
      <c r="K17" s="15">
        <f>TRUNC(E17+G17+I17,1)</f>
        <v>0</v>
      </c>
      <c r="L17" s="16">
        <f>TRUNC(F17+H17+J17,1)</f>
        <v>0</v>
      </c>
      <c r="M17" s="9" t="s">
        <v>52</v>
      </c>
      <c r="N17" s="2" t="s">
        <v>69</v>
      </c>
      <c r="O17" s="2" t="s">
        <v>824</v>
      </c>
      <c r="P17" s="2" t="s">
        <v>61</v>
      </c>
      <c r="Q17" s="2" t="s">
        <v>61</v>
      </c>
      <c r="R17" s="2" t="s">
        <v>60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2" t="s">
        <v>52</v>
      </c>
      <c r="AW17" s="2" t="s">
        <v>825</v>
      </c>
      <c r="AX17" s="2" t="s">
        <v>52</v>
      </c>
      <c r="AY17" s="2" t="s">
        <v>52</v>
      </c>
    </row>
    <row r="18" spans="1:51" ht="30" customHeight="1" x14ac:dyDescent="0.3">
      <c r="A18" s="9" t="s">
        <v>811</v>
      </c>
      <c r="B18" s="9" t="s">
        <v>52</v>
      </c>
      <c r="C18" s="9" t="s">
        <v>52</v>
      </c>
      <c r="D18" s="10"/>
      <c r="E18" s="15"/>
      <c r="F18" s="16">
        <f>TRUNC(SUMIF(N17:N17, N16, F17:F17),0)</f>
        <v>0</v>
      </c>
      <c r="G18" s="15"/>
      <c r="H18" s="16">
        <f>TRUNC(SUMIF(N17:N17, N16, H17:H17),0)</f>
        <v>0</v>
      </c>
      <c r="I18" s="15"/>
      <c r="J18" s="16">
        <f>TRUNC(SUMIF(N17:N17, N16, J17:J17),0)</f>
        <v>0</v>
      </c>
      <c r="K18" s="15"/>
      <c r="L18" s="16">
        <f>F18+H18+J18</f>
        <v>0</v>
      </c>
      <c r="M18" s="9" t="s">
        <v>52</v>
      </c>
      <c r="N18" s="2" t="s">
        <v>94</v>
      </c>
      <c r="O18" s="2" t="s">
        <v>94</v>
      </c>
      <c r="P18" s="2" t="s">
        <v>52</v>
      </c>
      <c r="Q18" s="2" t="s">
        <v>52</v>
      </c>
      <c r="R18" s="2" t="s">
        <v>52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2" t="s">
        <v>52</v>
      </c>
      <c r="AW18" s="2" t="s">
        <v>52</v>
      </c>
      <c r="AX18" s="2" t="s">
        <v>52</v>
      </c>
      <c r="AY18" s="2" t="s">
        <v>52</v>
      </c>
    </row>
    <row r="19" spans="1:51" ht="30" customHeight="1" x14ac:dyDescent="0.3">
      <c r="A19" s="10"/>
      <c r="B19" s="10"/>
      <c r="C19" s="10"/>
      <c r="D19" s="10"/>
      <c r="E19" s="15"/>
      <c r="F19" s="16"/>
      <c r="G19" s="15"/>
      <c r="H19" s="16"/>
      <c r="I19" s="15"/>
      <c r="J19" s="16"/>
      <c r="K19" s="15"/>
      <c r="L19" s="16"/>
      <c r="M19" s="10"/>
    </row>
    <row r="20" spans="1:51" ht="30" customHeight="1" x14ac:dyDescent="0.3">
      <c r="A20" s="44" t="s">
        <v>826</v>
      </c>
      <c r="B20" s="44"/>
      <c r="C20" s="44"/>
      <c r="D20" s="44"/>
      <c r="E20" s="45"/>
      <c r="F20" s="46"/>
      <c r="G20" s="45"/>
      <c r="H20" s="46"/>
      <c r="I20" s="45"/>
      <c r="J20" s="46"/>
      <c r="K20" s="45"/>
      <c r="L20" s="46"/>
      <c r="M20" s="44"/>
      <c r="N20" s="1" t="s">
        <v>74</v>
      </c>
    </row>
    <row r="21" spans="1:51" ht="30" customHeight="1" x14ac:dyDescent="0.3">
      <c r="A21" s="9" t="s">
        <v>828</v>
      </c>
      <c r="B21" s="9" t="s">
        <v>829</v>
      </c>
      <c r="C21" s="9" t="s">
        <v>427</v>
      </c>
      <c r="D21" s="10">
        <v>0.24</v>
      </c>
      <c r="E21" s="15">
        <f>'단가대비표(총체)'!O98</f>
        <v>0</v>
      </c>
      <c r="F21" s="16">
        <f t="shared" ref="F21:F31" si="2">TRUNC(E21*D21,1)</f>
        <v>0</v>
      </c>
      <c r="G21" s="15">
        <f>'단가대비표(총체)'!P98</f>
        <v>0</v>
      </c>
      <c r="H21" s="16">
        <f t="shared" ref="H21:H31" si="3">TRUNC(G21*D21,1)</f>
        <v>0</v>
      </c>
      <c r="I21" s="15">
        <f>'단가대비표(총체)'!V98</f>
        <v>0</v>
      </c>
      <c r="J21" s="16">
        <f t="shared" ref="J21:J31" si="4">TRUNC(I21*D21,1)</f>
        <v>0</v>
      </c>
      <c r="K21" s="15">
        <f t="shared" ref="K21:K31" si="5">TRUNC(E21+G21+I21,1)</f>
        <v>0</v>
      </c>
      <c r="L21" s="16">
        <f t="shared" ref="L21:L31" si="6">TRUNC(F21+H21+J21,1)</f>
        <v>0</v>
      </c>
      <c r="M21" s="9" t="s">
        <v>52</v>
      </c>
      <c r="N21" s="2" t="s">
        <v>74</v>
      </c>
      <c r="O21" s="2" t="s">
        <v>830</v>
      </c>
      <c r="P21" s="2" t="s">
        <v>61</v>
      </c>
      <c r="Q21" s="2" t="s">
        <v>61</v>
      </c>
      <c r="R21" s="2" t="s">
        <v>60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2" t="s">
        <v>52</v>
      </c>
      <c r="AW21" s="2" t="s">
        <v>831</v>
      </c>
      <c r="AX21" s="2" t="s">
        <v>52</v>
      </c>
      <c r="AY21" s="2" t="s">
        <v>52</v>
      </c>
    </row>
    <row r="22" spans="1:51" ht="30" customHeight="1" x14ac:dyDescent="0.3">
      <c r="A22" s="9" t="s">
        <v>828</v>
      </c>
      <c r="B22" s="9" t="s">
        <v>832</v>
      </c>
      <c r="C22" s="9" t="s">
        <v>427</v>
      </c>
      <c r="D22" s="10">
        <v>0.24</v>
      </c>
      <c r="E22" s="15">
        <f>'단가대비표(총체)'!O99</f>
        <v>0</v>
      </c>
      <c r="F22" s="16">
        <f t="shared" si="2"/>
        <v>0</v>
      </c>
      <c r="G22" s="15">
        <f>'단가대비표(총체)'!P99</f>
        <v>0</v>
      </c>
      <c r="H22" s="16">
        <f t="shared" si="3"/>
        <v>0</v>
      </c>
      <c r="I22" s="15">
        <f>'단가대비표(총체)'!V99</f>
        <v>0</v>
      </c>
      <c r="J22" s="16">
        <f t="shared" si="4"/>
        <v>0</v>
      </c>
      <c r="K22" s="15">
        <f t="shared" si="5"/>
        <v>0</v>
      </c>
      <c r="L22" s="16">
        <f t="shared" si="6"/>
        <v>0</v>
      </c>
      <c r="M22" s="9" t="s">
        <v>52</v>
      </c>
      <c r="N22" s="2" t="s">
        <v>74</v>
      </c>
      <c r="O22" s="2" t="s">
        <v>833</v>
      </c>
      <c r="P22" s="2" t="s">
        <v>61</v>
      </c>
      <c r="Q22" s="2" t="s">
        <v>61</v>
      </c>
      <c r="R22" s="2" t="s">
        <v>60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 t="s">
        <v>52</v>
      </c>
      <c r="AW22" s="2" t="s">
        <v>834</v>
      </c>
      <c r="AX22" s="2" t="s">
        <v>52</v>
      </c>
      <c r="AY22" s="2" t="s">
        <v>52</v>
      </c>
    </row>
    <row r="23" spans="1:51" ht="30" customHeight="1" x14ac:dyDescent="0.3">
      <c r="A23" s="9" t="s">
        <v>828</v>
      </c>
      <c r="B23" s="9" t="s">
        <v>835</v>
      </c>
      <c r="C23" s="9" t="s">
        <v>427</v>
      </c>
      <c r="D23" s="10">
        <v>0.48</v>
      </c>
      <c r="E23" s="15">
        <f>'단가대비표(총체)'!O100</f>
        <v>0</v>
      </c>
      <c r="F23" s="16">
        <f t="shared" si="2"/>
        <v>0</v>
      </c>
      <c r="G23" s="15">
        <f>'단가대비표(총체)'!P100</f>
        <v>0</v>
      </c>
      <c r="H23" s="16">
        <f t="shared" si="3"/>
        <v>0</v>
      </c>
      <c r="I23" s="15">
        <f>'단가대비표(총체)'!V100</f>
        <v>0</v>
      </c>
      <c r="J23" s="16">
        <f t="shared" si="4"/>
        <v>0</v>
      </c>
      <c r="K23" s="15">
        <f t="shared" si="5"/>
        <v>0</v>
      </c>
      <c r="L23" s="16">
        <f t="shared" si="6"/>
        <v>0</v>
      </c>
      <c r="M23" s="9" t="s">
        <v>52</v>
      </c>
      <c r="N23" s="2" t="s">
        <v>74</v>
      </c>
      <c r="O23" s="2" t="s">
        <v>836</v>
      </c>
      <c r="P23" s="2" t="s">
        <v>61</v>
      </c>
      <c r="Q23" s="2" t="s">
        <v>61</v>
      </c>
      <c r="R23" s="2" t="s">
        <v>60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2" t="s">
        <v>52</v>
      </c>
      <c r="AW23" s="2" t="s">
        <v>837</v>
      </c>
      <c r="AX23" s="2" t="s">
        <v>52</v>
      </c>
      <c r="AY23" s="2" t="s">
        <v>52</v>
      </c>
    </row>
    <row r="24" spans="1:51" ht="30" customHeight="1" x14ac:dyDescent="0.3">
      <c r="A24" s="9" t="s">
        <v>828</v>
      </c>
      <c r="B24" s="9" t="s">
        <v>838</v>
      </c>
      <c r="C24" s="9" t="s">
        <v>427</v>
      </c>
      <c r="D24" s="10">
        <v>0.24</v>
      </c>
      <c r="E24" s="15">
        <f>'단가대비표(총체)'!O103</f>
        <v>0</v>
      </c>
      <c r="F24" s="16">
        <f t="shared" si="2"/>
        <v>0</v>
      </c>
      <c r="G24" s="15">
        <f>'단가대비표(총체)'!P103</f>
        <v>0</v>
      </c>
      <c r="H24" s="16">
        <f t="shared" si="3"/>
        <v>0</v>
      </c>
      <c r="I24" s="15">
        <f>'단가대비표(총체)'!V103</f>
        <v>0</v>
      </c>
      <c r="J24" s="16">
        <f t="shared" si="4"/>
        <v>0</v>
      </c>
      <c r="K24" s="15">
        <f t="shared" si="5"/>
        <v>0</v>
      </c>
      <c r="L24" s="16">
        <f t="shared" si="6"/>
        <v>0</v>
      </c>
      <c r="M24" s="9" t="s">
        <v>52</v>
      </c>
      <c r="N24" s="2" t="s">
        <v>74</v>
      </c>
      <c r="O24" s="2" t="s">
        <v>839</v>
      </c>
      <c r="P24" s="2" t="s">
        <v>61</v>
      </c>
      <c r="Q24" s="2" t="s">
        <v>61</v>
      </c>
      <c r="R24" s="2" t="s">
        <v>60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2" t="s">
        <v>52</v>
      </c>
      <c r="AW24" s="2" t="s">
        <v>840</v>
      </c>
      <c r="AX24" s="2" t="s">
        <v>52</v>
      </c>
      <c r="AY24" s="2" t="s">
        <v>52</v>
      </c>
    </row>
    <row r="25" spans="1:51" ht="30" customHeight="1" x14ac:dyDescent="0.3">
      <c r="A25" s="9" t="s">
        <v>828</v>
      </c>
      <c r="B25" s="9" t="s">
        <v>841</v>
      </c>
      <c r="C25" s="9" t="s">
        <v>427</v>
      </c>
      <c r="D25" s="10">
        <v>0.12</v>
      </c>
      <c r="E25" s="15">
        <f>'단가대비표(총체)'!O101</f>
        <v>0</v>
      </c>
      <c r="F25" s="16">
        <f t="shared" si="2"/>
        <v>0</v>
      </c>
      <c r="G25" s="15">
        <f>'단가대비표(총체)'!P101</f>
        <v>0</v>
      </c>
      <c r="H25" s="16">
        <f t="shared" si="3"/>
        <v>0</v>
      </c>
      <c r="I25" s="15">
        <f>'단가대비표(총체)'!V101</f>
        <v>0</v>
      </c>
      <c r="J25" s="16">
        <f t="shared" si="4"/>
        <v>0</v>
      </c>
      <c r="K25" s="15">
        <f t="shared" si="5"/>
        <v>0</v>
      </c>
      <c r="L25" s="16">
        <f t="shared" si="6"/>
        <v>0</v>
      </c>
      <c r="M25" s="9" t="s">
        <v>52</v>
      </c>
      <c r="N25" s="2" t="s">
        <v>74</v>
      </c>
      <c r="O25" s="2" t="s">
        <v>842</v>
      </c>
      <c r="P25" s="2" t="s">
        <v>61</v>
      </c>
      <c r="Q25" s="2" t="s">
        <v>61</v>
      </c>
      <c r="R25" s="2" t="s">
        <v>60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2" t="s">
        <v>52</v>
      </c>
      <c r="AW25" s="2" t="s">
        <v>843</v>
      </c>
      <c r="AX25" s="2" t="s">
        <v>52</v>
      </c>
      <c r="AY25" s="2" t="s">
        <v>52</v>
      </c>
    </row>
    <row r="26" spans="1:51" ht="30" customHeight="1" x14ac:dyDescent="0.3">
      <c r="A26" s="9" t="s">
        <v>828</v>
      </c>
      <c r="B26" s="9" t="s">
        <v>844</v>
      </c>
      <c r="C26" s="9" t="s">
        <v>427</v>
      </c>
      <c r="D26" s="10">
        <v>0.24</v>
      </c>
      <c r="E26" s="15">
        <f>'단가대비표(총체)'!O102</f>
        <v>0</v>
      </c>
      <c r="F26" s="16">
        <f t="shared" si="2"/>
        <v>0</v>
      </c>
      <c r="G26" s="15">
        <f>'단가대비표(총체)'!P102</f>
        <v>0</v>
      </c>
      <c r="H26" s="16">
        <f t="shared" si="3"/>
        <v>0</v>
      </c>
      <c r="I26" s="15">
        <f>'단가대비표(총체)'!V102</f>
        <v>0</v>
      </c>
      <c r="J26" s="16">
        <f t="shared" si="4"/>
        <v>0</v>
      </c>
      <c r="K26" s="15">
        <f t="shared" si="5"/>
        <v>0</v>
      </c>
      <c r="L26" s="16">
        <f t="shared" si="6"/>
        <v>0</v>
      </c>
      <c r="M26" s="9" t="s">
        <v>52</v>
      </c>
      <c r="N26" s="2" t="s">
        <v>74</v>
      </c>
      <c r="O26" s="2" t="s">
        <v>845</v>
      </c>
      <c r="P26" s="2" t="s">
        <v>61</v>
      </c>
      <c r="Q26" s="2" t="s">
        <v>61</v>
      </c>
      <c r="R26" s="2" t="s">
        <v>60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2" t="s">
        <v>52</v>
      </c>
      <c r="AW26" s="2" t="s">
        <v>846</v>
      </c>
      <c r="AX26" s="2" t="s">
        <v>52</v>
      </c>
      <c r="AY26" s="2" t="s">
        <v>52</v>
      </c>
    </row>
    <row r="27" spans="1:51" ht="30" customHeight="1" x14ac:dyDescent="0.3">
      <c r="A27" s="9" t="s">
        <v>828</v>
      </c>
      <c r="B27" s="9" t="s">
        <v>847</v>
      </c>
      <c r="C27" s="9" t="s">
        <v>427</v>
      </c>
      <c r="D27" s="10">
        <v>0.48</v>
      </c>
      <c r="E27" s="15">
        <f>'단가대비표(총체)'!O97</f>
        <v>0</v>
      </c>
      <c r="F27" s="16">
        <f t="shared" si="2"/>
        <v>0</v>
      </c>
      <c r="G27" s="15">
        <f>'단가대비표(총체)'!P97</f>
        <v>0</v>
      </c>
      <c r="H27" s="16">
        <f t="shared" si="3"/>
        <v>0</v>
      </c>
      <c r="I27" s="15">
        <f>'단가대비표(총체)'!V97</f>
        <v>0</v>
      </c>
      <c r="J27" s="16">
        <f t="shared" si="4"/>
        <v>0</v>
      </c>
      <c r="K27" s="15">
        <f t="shared" si="5"/>
        <v>0</v>
      </c>
      <c r="L27" s="16">
        <f t="shared" si="6"/>
        <v>0</v>
      </c>
      <c r="M27" s="9" t="s">
        <v>52</v>
      </c>
      <c r="N27" s="2" t="s">
        <v>74</v>
      </c>
      <c r="O27" s="2" t="s">
        <v>848</v>
      </c>
      <c r="P27" s="2" t="s">
        <v>61</v>
      </c>
      <c r="Q27" s="2" t="s">
        <v>61</v>
      </c>
      <c r="R27" s="2" t="s">
        <v>60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2" t="s">
        <v>52</v>
      </c>
      <c r="AW27" s="2" t="s">
        <v>849</v>
      </c>
      <c r="AX27" s="2" t="s">
        <v>52</v>
      </c>
      <c r="AY27" s="2" t="s">
        <v>52</v>
      </c>
    </row>
    <row r="28" spans="1:51" ht="30" customHeight="1" x14ac:dyDescent="0.3">
      <c r="A28" s="9" t="s">
        <v>828</v>
      </c>
      <c r="B28" s="9" t="s">
        <v>850</v>
      </c>
      <c r="C28" s="9" t="s">
        <v>427</v>
      </c>
      <c r="D28" s="10">
        <v>0.36</v>
      </c>
      <c r="E28" s="15">
        <f>'단가대비표(총체)'!O104</f>
        <v>0</v>
      </c>
      <c r="F28" s="16">
        <f t="shared" si="2"/>
        <v>0</v>
      </c>
      <c r="G28" s="15">
        <f>'단가대비표(총체)'!P104</f>
        <v>0</v>
      </c>
      <c r="H28" s="16">
        <f t="shared" si="3"/>
        <v>0</v>
      </c>
      <c r="I28" s="15">
        <f>'단가대비표(총체)'!V104</f>
        <v>0</v>
      </c>
      <c r="J28" s="16">
        <f t="shared" si="4"/>
        <v>0</v>
      </c>
      <c r="K28" s="15">
        <f t="shared" si="5"/>
        <v>0</v>
      </c>
      <c r="L28" s="16">
        <f t="shared" si="6"/>
        <v>0</v>
      </c>
      <c r="M28" s="9" t="s">
        <v>52</v>
      </c>
      <c r="N28" s="2" t="s">
        <v>74</v>
      </c>
      <c r="O28" s="2" t="s">
        <v>851</v>
      </c>
      <c r="P28" s="2" t="s">
        <v>61</v>
      </c>
      <c r="Q28" s="2" t="s">
        <v>61</v>
      </c>
      <c r="R28" s="2" t="s">
        <v>60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52</v>
      </c>
      <c r="AW28" s="2" t="s">
        <v>852</v>
      </c>
      <c r="AX28" s="2" t="s">
        <v>52</v>
      </c>
      <c r="AY28" s="2" t="s">
        <v>52</v>
      </c>
    </row>
    <row r="29" spans="1:51" ht="30" customHeight="1" x14ac:dyDescent="0.3">
      <c r="A29" s="9" t="s">
        <v>828</v>
      </c>
      <c r="B29" s="9" t="s">
        <v>853</v>
      </c>
      <c r="C29" s="9" t="s">
        <v>427</v>
      </c>
      <c r="D29" s="10">
        <v>0.36</v>
      </c>
      <c r="E29" s="15">
        <f>'단가대비표(총체)'!O105</f>
        <v>0</v>
      </c>
      <c r="F29" s="16">
        <f t="shared" si="2"/>
        <v>0</v>
      </c>
      <c r="G29" s="15">
        <f>'단가대비표(총체)'!P105</f>
        <v>0</v>
      </c>
      <c r="H29" s="16">
        <f t="shared" si="3"/>
        <v>0</v>
      </c>
      <c r="I29" s="15">
        <f>'단가대비표(총체)'!V105</f>
        <v>0</v>
      </c>
      <c r="J29" s="16">
        <f t="shared" si="4"/>
        <v>0</v>
      </c>
      <c r="K29" s="15">
        <f t="shared" si="5"/>
        <v>0</v>
      </c>
      <c r="L29" s="16">
        <f t="shared" si="6"/>
        <v>0</v>
      </c>
      <c r="M29" s="9" t="s">
        <v>52</v>
      </c>
      <c r="N29" s="2" t="s">
        <v>74</v>
      </c>
      <c r="O29" s="2" t="s">
        <v>854</v>
      </c>
      <c r="P29" s="2" t="s">
        <v>61</v>
      </c>
      <c r="Q29" s="2" t="s">
        <v>61</v>
      </c>
      <c r="R29" s="2" t="s">
        <v>60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2" t="s">
        <v>52</v>
      </c>
      <c r="AW29" s="2" t="s">
        <v>855</v>
      </c>
      <c r="AX29" s="2" t="s">
        <v>52</v>
      </c>
      <c r="AY29" s="2" t="s">
        <v>52</v>
      </c>
    </row>
    <row r="30" spans="1:51" ht="30" customHeight="1" x14ac:dyDescent="0.3">
      <c r="A30" s="9" t="s">
        <v>828</v>
      </c>
      <c r="B30" s="9" t="s">
        <v>856</v>
      </c>
      <c r="C30" s="9" t="s">
        <v>857</v>
      </c>
      <c r="D30" s="10">
        <v>0.63</v>
      </c>
      <c r="E30" s="15">
        <f>'단가대비표(총체)'!O106</f>
        <v>0</v>
      </c>
      <c r="F30" s="16">
        <f t="shared" si="2"/>
        <v>0</v>
      </c>
      <c r="G30" s="15">
        <f>'단가대비표(총체)'!P106</f>
        <v>0</v>
      </c>
      <c r="H30" s="16">
        <f t="shared" si="3"/>
        <v>0</v>
      </c>
      <c r="I30" s="15">
        <f>'단가대비표(총체)'!V106</f>
        <v>0</v>
      </c>
      <c r="J30" s="16">
        <f t="shared" si="4"/>
        <v>0</v>
      </c>
      <c r="K30" s="15">
        <f t="shared" si="5"/>
        <v>0</v>
      </c>
      <c r="L30" s="16">
        <f t="shared" si="6"/>
        <v>0</v>
      </c>
      <c r="M30" s="9" t="s">
        <v>52</v>
      </c>
      <c r="N30" s="2" t="s">
        <v>74</v>
      </c>
      <c r="O30" s="2" t="s">
        <v>858</v>
      </c>
      <c r="P30" s="2" t="s">
        <v>61</v>
      </c>
      <c r="Q30" s="2" t="s">
        <v>61</v>
      </c>
      <c r="R30" s="2" t="s">
        <v>60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2" t="s">
        <v>52</v>
      </c>
      <c r="AW30" s="2" t="s">
        <v>859</v>
      </c>
      <c r="AX30" s="2" t="s">
        <v>52</v>
      </c>
      <c r="AY30" s="2" t="s">
        <v>52</v>
      </c>
    </row>
    <row r="31" spans="1:51" ht="30" customHeight="1" x14ac:dyDescent="0.3">
      <c r="A31" s="9" t="s">
        <v>71</v>
      </c>
      <c r="B31" s="9" t="s">
        <v>860</v>
      </c>
      <c r="C31" s="9" t="s">
        <v>73</v>
      </c>
      <c r="D31" s="10">
        <v>1</v>
      </c>
      <c r="E31" s="15">
        <f>'일위대가목록(총체)'!E136</f>
        <v>0</v>
      </c>
      <c r="F31" s="16">
        <f t="shared" si="2"/>
        <v>0</v>
      </c>
      <c r="G31" s="15">
        <f>'일위대가목록(총체)'!F136</f>
        <v>0</v>
      </c>
      <c r="H31" s="16">
        <f t="shared" si="3"/>
        <v>0</v>
      </c>
      <c r="I31" s="15">
        <f>'일위대가목록(총체)'!G136</f>
        <v>0</v>
      </c>
      <c r="J31" s="16">
        <f t="shared" si="4"/>
        <v>0</v>
      </c>
      <c r="K31" s="15">
        <f t="shared" si="5"/>
        <v>0</v>
      </c>
      <c r="L31" s="16">
        <f t="shared" si="6"/>
        <v>0</v>
      </c>
      <c r="M31" s="9" t="s">
        <v>52</v>
      </c>
      <c r="N31" s="2" t="s">
        <v>74</v>
      </c>
      <c r="O31" s="2" t="s">
        <v>861</v>
      </c>
      <c r="P31" s="2" t="s">
        <v>60</v>
      </c>
      <c r="Q31" s="2" t="s">
        <v>61</v>
      </c>
      <c r="R31" s="2" t="s">
        <v>61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2" t="s">
        <v>52</v>
      </c>
      <c r="AW31" s="2" t="s">
        <v>862</v>
      </c>
      <c r="AX31" s="2" t="s">
        <v>52</v>
      </c>
      <c r="AY31" s="2" t="s">
        <v>52</v>
      </c>
    </row>
    <row r="32" spans="1:51" ht="30" customHeight="1" x14ac:dyDescent="0.3">
      <c r="A32" s="9" t="s">
        <v>811</v>
      </c>
      <c r="B32" s="9" t="s">
        <v>52</v>
      </c>
      <c r="C32" s="9" t="s">
        <v>52</v>
      </c>
      <c r="D32" s="10"/>
      <c r="E32" s="15"/>
      <c r="F32" s="16">
        <f>TRUNC(SUMIF(N21:N31, N20, F21:F31),0)</f>
        <v>0</v>
      </c>
      <c r="G32" s="15"/>
      <c r="H32" s="16">
        <f>TRUNC(SUMIF(N21:N31, N20, H21:H31),0)</f>
        <v>0</v>
      </c>
      <c r="I32" s="15"/>
      <c r="J32" s="16">
        <f>TRUNC(SUMIF(N21:N31, N20, J21:J31),0)</f>
        <v>0</v>
      </c>
      <c r="K32" s="15"/>
      <c r="L32" s="16">
        <f>F32+H32+J32</f>
        <v>0</v>
      </c>
      <c r="M32" s="9" t="s">
        <v>52</v>
      </c>
      <c r="N32" s="2" t="s">
        <v>94</v>
      </c>
      <c r="O32" s="2" t="s">
        <v>94</v>
      </c>
      <c r="P32" s="2" t="s">
        <v>52</v>
      </c>
      <c r="Q32" s="2" t="s">
        <v>52</v>
      </c>
      <c r="R32" s="2" t="s">
        <v>52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2" t="s">
        <v>52</v>
      </c>
      <c r="AW32" s="2" t="s">
        <v>52</v>
      </c>
      <c r="AX32" s="2" t="s">
        <v>52</v>
      </c>
      <c r="AY32" s="2" t="s">
        <v>52</v>
      </c>
    </row>
    <row r="33" spans="1:51" ht="30" customHeight="1" x14ac:dyDescent="0.3">
      <c r="A33" s="10"/>
      <c r="B33" s="10"/>
      <c r="C33" s="10"/>
      <c r="D33" s="10"/>
      <c r="E33" s="15"/>
      <c r="F33" s="16"/>
      <c r="G33" s="15"/>
      <c r="H33" s="16"/>
      <c r="I33" s="15"/>
      <c r="J33" s="16"/>
      <c r="K33" s="15"/>
      <c r="L33" s="16"/>
      <c r="M33" s="10"/>
    </row>
    <row r="34" spans="1:51" ht="30" customHeight="1" x14ac:dyDescent="0.3">
      <c r="A34" s="44" t="s">
        <v>863</v>
      </c>
      <c r="B34" s="44"/>
      <c r="C34" s="44"/>
      <c r="D34" s="44"/>
      <c r="E34" s="45"/>
      <c r="F34" s="46"/>
      <c r="G34" s="45"/>
      <c r="H34" s="46"/>
      <c r="I34" s="45"/>
      <c r="J34" s="46"/>
      <c r="K34" s="45"/>
      <c r="L34" s="46"/>
      <c r="M34" s="44"/>
      <c r="N34" s="1" t="s">
        <v>78</v>
      </c>
    </row>
    <row r="35" spans="1:51" ht="30" customHeight="1" x14ac:dyDescent="0.3">
      <c r="A35" s="9" t="s">
        <v>865</v>
      </c>
      <c r="B35" s="9" t="s">
        <v>822</v>
      </c>
      <c r="C35" s="9" t="s">
        <v>823</v>
      </c>
      <c r="D35" s="10">
        <v>0.04</v>
      </c>
      <c r="E35" s="15">
        <f>'단가대비표(총체)'!O182</f>
        <v>0</v>
      </c>
      <c r="F35" s="16">
        <f>TRUNC(E35*D35,1)</f>
        <v>0</v>
      </c>
      <c r="G35" s="15">
        <f>'단가대비표(총체)'!P182</f>
        <v>0</v>
      </c>
      <c r="H35" s="16">
        <f>TRUNC(G35*D35,1)</f>
        <v>0</v>
      </c>
      <c r="I35" s="15">
        <f>'단가대비표(총체)'!V182</f>
        <v>0</v>
      </c>
      <c r="J35" s="16">
        <f>TRUNC(I35*D35,1)</f>
        <v>0</v>
      </c>
      <c r="K35" s="15">
        <f>TRUNC(E35+G35+I35,1)</f>
        <v>0</v>
      </c>
      <c r="L35" s="16">
        <f>TRUNC(F35+H35+J35,1)</f>
        <v>0</v>
      </c>
      <c r="M35" s="9" t="s">
        <v>52</v>
      </c>
      <c r="N35" s="2" t="s">
        <v>78</v>
      </c>
      <c r="O35" s="2" t="s">
        <v>866</v>
      </c>
      <c r="P35" s="2" t="s">
        <v>61</v>
      </c>
      <c r="Q35" s="2" t="s">
        <v>61</v>
      </c>
      <c r="R35" s="2" t="s">
        <v>60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2" t="s">
        <v>52</v>
      </c>
      <c r="AW35" s="2" t="s">
        <v>867</v>
      </c>
      <c r="AX35" s="2" t="s">
        <v>52</v>
      </c>
      <c r="AY35" s="2" t="s">
        <v>52</v>
      </c>
    </row>
    <row r="36" spans="1:51" ht="30" customHeight="1" x14ac:dyDescent="0.3">
      <c r="A36" s="9" t="s">
        <v>821</v>
      </c>
      <c r="B36" s="9" t="s">
        <v>822</v>
      </c>
      <c r="C36" s="9" t="s">
        <v>823</v>
      </c>
      <c r="D36" s="10">
        <v>0.01</v>
      </c>
      <c r="E36" s="15">
        <f>'단가대비표(총체)'!O180</f>
        <v>0</v>
      </c>
      <c r="F36" s="16">
        <f>TRUNC(E36*D36,1)</f>
        <v>0</v>
      </c>
      <c r="G36" s="15">
        <f>'단가대비표(총체)'!P180</f>
        <v>0</v>
      </c>
      <c r="H36" s="16">
        <f>TRUNC(G36*D36,1)</f>
        <v>0</v>
      </c>
      <c r="I36" s="15">
        <f>'단가대비표(총체)'!V180</f>
        <v>0</v>
      </c>
      <c r="J36" s="16">
        <f>TRUNC(I36*D36,1)</f>
        <v>0</v>
      </c>
      <c r="K36" s="15">
        <f>TRUNC(E36+G36+I36,1)</f>
        <v>0</v>
      </c>
      <c r="L36" s="16">
        <f>TRUNC(F36+H36+J36,1)</f>
        <v>0</v>
      </c>
      <c r="M36" s="9" t="s">
        <v>52</v>
      </c>
      <c r="N36" s="2" t="s">
        <v>78</v>
      </c>
      <c r="O36" s="2" t="s">
        <v>824</v>
      </c>
      <c r="P36" s="2" t="s">
        <v>61</v>
      </c>
      <c r="Q36" s="2" t="s">
        <v>61</v>
      </c>
      <c r="R36" s="2" t="s">
        <v>60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2" t="s">
        <v>52</v>
      </c>
      <c r="AW36" s="2" t="s">
        <v>868</v>
      </c>
      <c r="AX36" s="2" t="s">
        <v>52</v>
      </c>
      <c r="AY36" s="2" t="s">
        <v>52</v>
      </c>
    </row>
    <row r="37" spans="1:51" ht="30" customHeight="1" x14ac:dyDescent="0.3">
      <c r="A37" s="9" t="s">
        <v>811</v>
      </c>
      <c r="B37" s="9" t="s">
        <v>52</v>
      </c>
      <c r="C37" s="9" t="s">
        <v>52</v>
      </c>
      <c r="D37" s="10"/>
      <c r="E37" s="15"/>
      <c r="F37" s="16">
        <f>TRUNC(SUMIF(N35:N36, N34, F35:F36),0)</f>
        <v>0</v>
      </c>
      <c r="G37" s="15"/>
      <c r="H37" s="16">
        <f>TRUNC(SUMIF(N35:N36, N34, H35:H36),0)</f>
        <v>0</v>
      </c>
      <c r="I37" s="15"/>
      <c r="J37" s="16">
        <f>TRUNC(SUMIF(N35:N36, N34, J35:J36),0)</f>
        <v>0</v>
      </c>
      <c r="K37" s="15"/>
      <c r="L37" s="16">
        <f>F37+H37+J37</f>
        <v>0</v>
      </c>
      <c r="M37" s="9" t="s">
        <v>52</v>
      </c>
      <c r="N37" s="2" t="s">
        <v>94</v>
      </c>
      <c r="O37" s="2" t="s">
        <v>94</v>
      </c>
      <c r="P37" s="2" t="s">
        <v>52</v>
      </c>
      <c r="Q37" s="2" t="s">
        <v>52</v>
      </c>
      <c r="R37" s="2" t="s">
        <v>52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2" t="s">
        <v>52</v>
      </c>
      <c r="AW37" s="2" t="s">
        <v>52</v>
      </c>
      <c r="AX37" s="2" t="s">
        <v>52</v>
      </c>
      <c r="AY37" s="2" t="s">
        <v>52</v>
      </c>
    </row>
    <row r="38" spans="1:51" ht="30" customHeight="1" x14ac:dyDescent="0.3">
      <c r="A38" s="10"/>
      <c r="B38" s="10"/>
      <c r="C38" s="10"/>
      <c r="D38" s="10"/>
      <c r="E38" s="15"/>
      <c r="F38" s="16"/>
      <c r="G38" s="15"/>
      <c r="H38" s="16"/>
      <c r="I38" s="15"/>
      <c r="J38" s="16"/>
      <c r="K38" s="15"/>
      <c r="L38" s="16"/>
      <c r="M38" s="10"/>
    </row>
    <row r="39" spans="1:51" ht="30" customHeight="1" x14ac:dyDescent="0.3">
      <c r="A39" s="44" t="s">
        <v>869</v>
      </c>
      <c r="B39" s="44"/>
      <c r="C39" s="44"/>
      <c r="D39" s="44"/>
      <c r="E39" s="45"/>
      <c r="F39" s="46"/>
      <c r="G39" s="45"/>
      <c r="H39" s="46"/>
      <c r="I39" s="45"/>
      <c r="J39" s="46"/>
      <c r="K39" s="45"/>
      <c r="L39" s="46"/>
      <c r="M39" s="44"/>
      <c r="N39" s="1" t="s">
        <v>83</v>
      </c>
    </row>
    <row r="40" spans="1:51" ht="30" customHeight="1" x14ac:dyDescent="0.3">
      <c r="A40" s="9" t="s">
        <v>85</v>
      </c>
      <c r="B40" s="9" t="s">
        <v>86</v>
      </c>
      <c r="C40" s="9" t="s">
        <v>87</v>
      </c>
      <c r="D40" s="10">
        <v>4</v>
      </c>
      <c r="E40" s="15">
        <f>'단가대비표(총체)'!O35</f>
        <v>0</v>
      </c>
      <c r="F40" s="16">
        <f>TRUNC(E40*D40,1)</f>
        <v>0</v>
      </c>
      <c r="G40" s="15">
        <f>'단가대비표(총체)'!P35</f>
        <v>0</v>
      </c>
      <c r="H40" s="16">
        <f>TRUNC(G40*D40,1)</f>
        <v>0</v>
      </c>
      <c r="I40" s="15">
        <f>'단가대비표(총체)'!V35</f>
        <v>0</v>
      </c>
      <c r="J40" s="16">
        <f>TRUNC(I40*D40,1)</f>
        <v>0</v>
      </c>
      <c r="K40" s="15">
        <f t="shared" ref="K40:L44" si="7">TRUNC(E40+G40+I40,1)</f>
        <v>0</v>
      </c>
      <c r="L40" s="16">
        <f t="shared" si="7"/>
        <v>0</v>
      </c>
      <c r="M40" s="9" t="s">
        <v>52</v>
      </c>
      <c r="N40" s="2" t="s">
        <v>83</v>
      </c>
      <c r="O40" s="2" t="s">
        <v>88</v>
      </c>
      <c r="P40" s="2" t="s">
        <v>61</v>
      </c>
      <c r="Q40" s="2" t="s">
        <v>61</v>
      </c>
      <c r="R40" s="2" t="s">
        <v>60</v>
      </c>
      <c r="S40" s="3"/>
      <c r="T40" s="3"/>
      <c r="U40" s="3"/>
      <c r="V40" s="3">
        <v>1</v>
      </c>
      <c r="W40" s="3">
        <v>2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2" t="s">
        <v>52</v>
      </c>
      <c r="AW40" s="2" t="s">
        <v>871</v>
      </c>
      <c r="AX40" s="2" t="s">
        <v>52</v>
      </c>
      <c r="AY40" s="2" t="s">
        <v>52</v>
      </c>
    </row>
    <row r="41" spans="1:51" ht="30" customHeight="1" x14ac:dyDescent="0.3">
      <c r="A41" s="9" t="s">
        <v>865</v>
      </c>
      <c r="B41" s="9" t="s">
        <v>822</v>
      </c>
      <c r="C41" s="9" t="s">
        <v>823</v>
      </c>
      <c r="D41" s="10">
        <v>0.03</v>
      </c>
      <c r="E41" s="15">
        <f>'단가대비표(총체)'!O182</f>
        <v>0</v>
      </c>
      <c r="F41" s="16">
        <f>TRUNC(E41*D41,1)</f>
        <v>0</v>
      </c>
      <c r="G41" s="15">
        <f>'단가대비표(총체)'!P182</f>
        <v>0</v>
      </c>
      <c r="H41" s="16">
        <f>TRUNC(G41*D41,1)</f>
        <v>0</v>
      </c>
      <c r="I41" s="15">
        <f>'단가대비표(총체)'!V182</f>
        <v>0</v>
      </c>
      <c r="J41" s="16">
        <f>TRUNC(I41*D41,1)</f>
        <v>0</v>
      </c>
      <c r="K41" s="15">
        <f t="shared" si="7"/>
        <v>0</v>
      </c>
      <c r="L41" s="16">
        <f t="shared" si="7"/>
        <v>0</v>
      </c>
      <c r="M41" s="9" t="s">
        <v>799</v>
      </c>
      <c r="N41" s="2" t="s">
        <v>52</v>
      </c>
      <c r="O41" s="2" t="s">
        <v>866</v>
      </c>
      <c r="P41" s="2" t="s">
        <v>61</v>
      </c>
      <c r="Q41" s="2" t="s">
        <v>61</v>
      </c>
      <c r="R41" s="2" t="s">
        <v>60</v>
      </c>
      <c r="S41" s="3"/>
      <c r="T41" s="3"/>
      <c r="U41" s="3"/>
      <c r="V41" s="3">
        <v>1</v>
      </c>
      <c r="W41" s="3">
        <v>2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2" t="s">
        <v>52</v>
      </c>
      <c r="AW41" s="2" t="s">
        <v>872</v>
      </c>
      <c r="AX41" s="2" t="s">
        <v>52</v>
      </c>
      <c r="AY41" s="2" t="s">
        <v>802</v>
      </c>
    </row>
    <row r="42" spans="1:51" ht="30" customHeight="1" x14ac:dyDescent="0.3">
      <c r="A42" s="9" t="s">
        <v>821</v>
      </c>
      <c r="B42" s="9" t="s">
        <v>822</v>
      </c>
      <c r="C42" s="9" t="s">
        <v>823</v>
      </c>
      <c r="D42" s="10">
        <v>1.0999999999999999E-2</v>
      </c>
      <c r="E42" s="15">
        <f>'단가대비표(총체)'!O180</f>
        <v>0</v>
      </c>
      <c r="F42" s="16">
        <f>TRUNC(E42*D42,1)</f>
        <v>0</v>
      </c>
      <c r="G42" s="15">
        <f>'단가대비표(총체)'!P180</f>
        <v>0</v>
      </c>
      <c r="H42" s="16">
        <f>TRUNC(G42*D42,1)</f>
        <v>0</v>
      </c>
      <c r="I42" s="15">
        <f>'단가대비표(총체)'!V180</f>
        <v>0</v>
      </c>
      <c r="J42" s="16">
        <f>TRUNC(I42*D42,1)</f>
        <v>0</v>
      </c>
      <c r="K42" s="15">
        <f t="shared" si="7"/>
        <v>0</v>
      </c>
      <c r="L42" s="16">
        <f t="shared" si="7"/>
        <v>0</v>
      </c>
      <c r="M42" s="9" t="s">
        <v>799</v>
      </c>
      <c r="N42" s="2" t="s">
        <v>52</v>
      </c>
      <c r="O42" s="2" t="s">
        <v>824</v>
      </c>
      <c r="P42" s="2" t="s">
        <v>61</v>
      </c>
      <c r="Q42" s="2" t="s">
        <v>61</v>
      </c>
      <c r="R42" s="2" t="s">
        <v>60</v>
      </c>
      <c r="S42" s="3"/>
      <c r="T42" s="3"/>
      <c r="U42" s="3"/>
      <c r="V42" s="3">
        <v>1</v>
      </c>
      <c r="W42" s="3">
        <v>2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2" t="s">
        <v>52</v>
      </c>
      <c r="AW42" s="2" t="s">
        <v>873</v>
      </c>
      <c r="AX42" s="2" t="s">
        <v>52</v>
      </c>
      <c r="AY42" s="2" t="s">
        <v>802</v>
      </c>
    </row>
    <row r="43" spans="1:51" ht="30" customHeight="1" x14ac:dyDescent="0.3">
      <c r="A43" s="9" t="s">
        <v>874</v>
      </c>
      <c r="B43" s="9" t="s">
        <v>875</v>
      </c>
      <c r="C43" s="9" t="s">
        <v>307</v>
      </c>
      <c r="D43" s="10">
        <v>1</v>
      </c>
      <c r="E43" s="15">
        <v>0</v>
      </c>
      <c r="F43" s="16">
        <f>TRUNC(E43*D43,1)</f>
        <v>0</v>
      </c>
      <c r="G43" s="15">
        <v>0</v>
      </c>
      <c r="H43" s="16">
        <f>TRUNC(G43*D43,1)</f>
        <v>0</v>
      </c>
      <c r="I43" s="15">
        <f>TRUNC(SUMIF(V40:V44, RIGHTB(O43, 1), H40:H44)*U43, 2)</f>
        <v>0</v>
      </c>
      <c r="J43" s="16">
        <f>TRUNC(I43*D43,1)</f>
        <v>0</v>
      </c>
      <c r="K43" s="15">
        <f t="shared" si="7"/>
        <v>0</v>
      </c>
      <c r="L43" s="16">
        <f t="shared" si="7"/>
        <v>0</v>
      </c>
      <c r="M43" s="9" t="s">
        <v>799</v>
      </c>
      <c r="N43" s="2" t="s">
        <v>52</v>
      </c>
      <c r="O43" s="2" t="s">
        <v>809</v>
      </c>
      <c r="P43" s="2" t="s">
        <v>61</v>
      </c>
      <c r="Q43" s="2" t="s">
        <v>61</v>
      </c>
      <c r="R43" s="2" t="s">
        <v>61</v>
      </c>
      <c r="S43" s="3">
        <v>1</v>
      </c>
      <c r="T43" s="3">
        <v>2</v>
      </c>
      <c r="U43" s="3">
        <v>0.03</v>
      </c>
      <c r="V43" s="3"/>
      <c r="W43" s="3">
        <v>2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2" t="s">
        <v>52</v>
      </c>
      <c r="AW43" s="2" t="s">
        <v>876</v>
      </c>
      <c r="AX43" s="2" t="s">
        <v>52</v>
      </c>
      <c r="AY43" s="2" t="s">
        <v>802</v>
      </c>
    </row>
    <row r="44" spans="1:51" ht="30" customHeight="1" x14ac:dyDescent="0.3">
      <c r="A44" s="9" t="s">
        <v>807</v>
      </c>
      <c r="B44" s="9" t="s">
        <v>808</v>
      </c>
      <c r="C44" s="9" t="s">
        <v>307</v>
      </c>
      <c r="D44" s="10">
        <v>1</v>
      </c>
      <c r="E44" s="15">
        <v>0</v>
      </c>
      <c r="F44" s="16">
        <f>TRUNC(E44*D44,1)</f>
        <v>0</v>
      </c>
      <c r="G44" s="15">
        <v>0</v>
      </c>
      <c r="H44" s="16">
        <f>TRUNC(G44*D44,1)</f>
        <v>0</v>
      </c>
      <c r="I44" s="15">
        <f>TRUNC(SUMIF(W40:W44, RIGHTB(O44, 1), L40:L44)*U44, 2)</f>
        <v>0</v>
      </c>
      <c r="J44" s="16">
        <f>TRUNC(I44*D44,1)</f>
        <v>0</v>
      </c>
      <c r="K44" s="15">
        <f t="shared" si="7"/>
        <v>0</v>
      </c>
      <c r="L44" s="16">
        <f t="shared" si="7"/>
        <v>0</v>
      </c>
      <c r="M44" s="9" t="s">
        <v>52</v>
      </c>
      <c r="N44" s="2" t="s">
        <v>83</v>
      </c>
      <c r="O44" s="2" t="s">
        <v>877</v>
      </c>
      <c r="P44" s="2" t="s">
        <v>61</v>
      </c>
      <c r="Q44" s="2" t="s">
        <v>61</v>
      </c>
      <c r="R44" s="2" t="s">
        <v>61</v>
      </c>
      <c r="S44" s="3">
        <v>3</v>
      </c>
      <c r="T44" s="3">
        <v>2</v>
      </c>
      <c r="U44" s="3"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2" t="s">
        <v>52</v>
      </c>
      <c r="AW44" s="2" t="s">
        <v>878</v>
      </c>
      <c r="AX44" s="2" t="s">
        <v>52</v>
      </c>
      <c r="AY44" s="2" t="s">
        <v>52</v>
      </c>
    </row>
    <row r="45" spans="1:51" ht="30" customHeight="1" x14ac:dyDescent="0.3">
      <c r="A45" s="9" t="s">
        <v>811</v>
      </c>
      <c r="B45" s="9" t="s">
        <v>52</v>
      </c>
      <c r="C45" s="9" t="s">
        <v>52</v>
      </c>
      <c r="D45" s="10"/>
      <c r="E45" s="15"/>
      <c r="F45" s="16">
        <f>TRUNC(SUMIF(N40:N44, N39, F40:F44),0)</f>
        <v>0</v>
      </c>
      <c r="G45" s="15"/>
      <c r="H45" s="16">
        <f>TRUNC(SUMIF(N40:N44, N39, H40:H44),0)</f>
        <v>0</v>
      </c>
      <c r="I45" s="15"/>
      <c r="J45" s="16">
        <f>TRUNC(SUMIF(N40:N44, N39, J40:J44),0)</f>
        <v>0</v>
      </c>
      <c r="K45" s="15"/>
      <c r="L45" s="16">
        <f>F45+H45+J45</f>
        <v>0</v>
      </c>
      <c r="M45" s="9" t="s">
        <v>52</v>
      </c>
      <c r="N45" s="2" t="s">
        <v>94</v>
      </c>
      <c r="O45" s="2" t="s">
        <v>94</v>
      </c>
      <c r="P45" s="2" t="s">
        <v>52</v>
      </c>
      <c r="Q45" s="2" t="s">
        <v>52</v>
      </c>
      <c r="R45" s="2" t="s">
        <v>52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2" t="s">
        <v>52</v>
      </c>
      <c r="AW45" s="2" t="s">
        <v>52</v>
      </c>
      <c r="AX45" s="2" t="s">
        <v>52</v>
      </c>
      <c r="AY45" s="2" t="s">
        <v>52</v>
      </c>
    </row>
    <row r="46" spans="1:51" ht="30" customHeight="1" x14ac:dyDescent="0.3">
      <c r="A46" s="10"/>
      <c r="B46" s="10"/>
      <c r="C46" s="10"/>
      <c r="D46" s="10"/>
      <c r="E46" s="15"/>
      <c r="F46" s="16"/>
      <c r="G46" s="15"/>
      <c r="H46" s="16"/>
      <c r="I46" s="15"/>
      <c r="J46" s="16"/>
      <c r="K46" s="15"/>
      <c r="L46" s="16"/>
      <c r="M46" s="10"/>
    </row>
    <row r="47" spans="1:51" ht="30" customHeight="1" x14ac:dyDescent="0.3">
      <c r="A47" s="44" t="s">
        <v>879</v>
      </c>
      <c r="B47" s="44"/>
      <c r="C47" s="44"/>
      <c r="D47" s="44"/>
      <c r="E47" s="45"/>
      <c r="F47" s="46"/>
      <c r="G47" s="45"/>
      <c r="H47" s="46"/>
      <c r="I47" s="45"/>
      <c r="J47" s="46"/>
      <c r="K47" s="45"/>
      <c r="L47" s="46"/>
      <c r="M47" s="44"/>
      <c r="N47" s="1" t="s">
        <v>91</v>
      </c>
    </row>
    <row r="48" spans="1:51" ht="30" customHeight="1" x14ac:dyDescent="0.3">
      <c r="A48" s="9" t="s">
        <v>865</v>
      </c>
      <c r="B48" s="9" t="s">
        <v>822</v>
      </c>
      <c r="C48" s="9" t="s">
        <v>823</v>
      </c>
      <c r="D48" s="10">
        <v>1.2E-2</v>
      </c>
      <c r="E48" s="15">
        <f>'단가대비표(총체)'!O182</f>
        <v>0</v>
      </c>
      <c r="F48" s="16">
        <f>TRUNC(E48*D48,1)</f>
        <v>0</v>
      </c>
      <c r="G48" s="15">
        <f>'단가대비표(총체)'!P182</f>
        <v>0</v>
      </c>
      <c r="H48" s="16">
        <f>TRUNC(G48*D48,1)</f>
        <v>0</v>
      </c>
      <c r="I48" s="15">
        <f>'단가대비표(총체)'!V182</f>
        <v>0</v>
      </c>
      <c r="J48" s="16">
        <f>TRUNC(I48*D48,1)</f>
        <v>0</v>
      </c>
      <c r="K48" s="15">
        <f t="shared" ref="K48:L51" si="8">TRUNC(E48+G48+I48,1)</f>
        <v>0</v>
      </c>
      <c r="L48" s="16">
        <f t="shared" si="8"/>
        <v>0</v>
      </c>
      <c r="M48" s="9" t="s">
        <v>799</v>
      </c>
      <c r="N48" s="2" t="s">
        <v>52</v>
      </c>
      <c r="O48" s="2" t="s">
        <v>866</v>
      </c>
      <c r="P48" s="2" t="s">
        <v>61</v>
      </c>
      <c r="Q48" s="2" t="s">
        <v>61</v>
      </c>
      <c r="R48" s="2" t="s">
        <v>60</v>
      </c>
      <c r="S48" s="3"/>
      <c r="T48" s="3"/>
      <c r="U48" s="3"/>
      <c r="V48" s="3">
        <v>1</v>
      </c>
      <c r="W48" s="3">
        <v>2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2" t="s">
        <v>52</v>
      </c>
      <c r="AW48" s="2" t="s">
        <v>881</v>
      </c>
      <c r="AX48" s="2" t="s">
        <v>52</v>
      </c>
      <c r="AY48" s="2" t="s">
        <v>802</v>
      </c>
    </row>
    <row r="49" spans="1:51" ht="30" customHeight="1" x14ac:dyDescent="0.3">
      <c r="A49" s="9" t="s">
        <v>821</v>
      </c>
      <c r="B49" s="9" t="s">
        <v>822</v>
      </c>
      <c r="C49" s="9" t="s">
        <v>823</v>
      </c>
      <c r="D49" s="10">
        <v>5.0000000000000001E-3</v>
      </c>
      <c r="E49" s="15">
        <f>'단가대비표(총체)'!O180</f>
        <v>0</v>
      </c>
      <c r="F49" s="16">
        <f>TRUNC(E49*D49,1)</f>
        <v>0</v>
      </c>
      <c r="G49" s="15">
        <f>'단가대비표(총체)'!P180</f>
        <v>0</v>
      </c>
      <c r="H49" s="16">
        <f>TRUNC(G49*D49,1)</f>
        <v>0</v>
      </c>
      <c r="I49" s="15">
        <f>'단가대비표(총체)'!V180</f>
        <v>0</v>
      </c>
      <c r="J49" s="16">
        <f>TRUNC(I49*D49,1)</f>
        <v>0</v>
      </c>
      <c r="K49" s="15">
        <f t="shared" si="8"/>
        <v>0</v>
      </c>
      <c r="L49" s="16">
        <f t="shared" si="8"/>
        <v>0</v>
      </c>
      <c r="M49" s="9" t="s">
        <v>799</v>
      </c>
      <c r="N49" s="2" t="s">
        <v>52</v>
      </c>
      <c r="O49" s="2" t="s">
        <v>824</v>
      </c>
      <c r="P49" s="2" t="s">
        <v>61</v>
      </c>
      <c r="Q49" s="2" t="s">
        <v>61</v>
      </c>
      <c r="R49" s="2" t="s">
        <v>60</v>
      </c>
      <c r="S49" s="3"/>
      <c r="T49" s="3"/>
      <c r="U49" s="3"/>
      <c r="V49" s="3">
        <v>1</v>
      </c>
      <c r="W49" s="3">
        <v>2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2" t="s">
        <v>52</v>
      </c>
      <c r="AW49" s="2" t="s">
        <v>882</v>
      </c>
      <c r="AX49" s="2" t="s">
        <v>52</v>
      </c>
      <c r="AY49" s="2" t="s">
        <v>802</v>
      </c>
    </row>
    <row r="50" spans="1:51" ht="30" customHeight="1" x14ac:dyDescent="0.3">
      <c r="A50" s="9" t="s">
        <v>874</v>
      </c>
      <c r="B50" s="9" t="s">
        <v>875</v>
      </c>
      <c r="C50" s="9" t="s">
        <v>307</v>
      </c>
      <c r="D50" s="10">
        <v>1</v>
      </c>
      <c r="E50" s="15">
        <v>0</v>
      </c>
      <c r="F50" s="16">
        <f>TRUNC(E50*D50,1)</f>
        <v>0</v>
      </c>
      <c r="G50" s="15">
        <v>0</v>
      </c>
      <c r="H50" s="16">
        <f>TRUNC(G50*D50,1)</f>
        <v>0</v>
      </c>
      <c r="I50" s="15">
        <f>TRUNC(SUMIF(V48:V51, RIGHTB(O50, 1), H48:H51)*U50, 2)</f>
        <v>0</v>
      </c>
      <c r="J50" s="16">
        <f>TRUNC(I50*D50,1)</f>
        <v>0</v>
      </c>
      <c r="K50" s="15">
        <f t="shared" si="8"/>
        <v>0</v>
      </c>
      <c r="L50" s="16">
        <f t="shared" si="8"/>
        <v>0</v>
      </c>
      <c r="M50" s="9" t="s">
        <v>799</v>
      </c>
      <c r="N50" s="2" t="s">
        <v>52</v>
      </c>
      <c r="O50" s="2" t="s">
        <v>809</v>
      </c>
      <c r="P50" s="2" t="s">
        <v>61</v>
      </c>
      <c r="Q50" s="2" t="s">
        <v>61</v>
      </c>
      <c r="R50" s="2" t="s">
        <v>61</v>
      </c>
      <c r="S50" s="3">
        <v>1</v>
      </c>
      <c r="T50" s="3">
        <v>2</v>
      </c>
      <c r="U50" s="3">
        <v>0.03</v>
      </c>
      <c r="V50" s="3"/>
      <c r="W50" s="3">
        <v>2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2" t="s">
        <v>52</v>
      </c>
      <c r="AW50" s="2" t="s">
        <v>883</v>
      </c>
      <c r="AX50" s="2" t="s">
        <v>52</v>
      </c>
      <c r="AY50" s="2" t="s">
        <v>802</v>
      </c>
    </row>
    <row r="51" spans="1:51" ht="30" customHeight="1" x14ac:dyDescent="0.3">
      <c r="A51" s="9" t="s">
        <v>807</v>
      </c>
      <c r="B51" s="9" t="s">
        <v>808</v>
      </c>
      <c r="C51" s="9" t="s">
        <v>307</v>
      </c>
      <c r="D51" s="10">
        <v>1</v>
      </c>
      <c r="E51" s="15">
        <v>0</v>
      </c>
      <c r="F51" s="16">
        <f>TRUNC(E51*D51,1)</f>
        <v>0</v>
      </c>
      <c r="G51" s="15">
        <v>0</v>
      </c>
      <c r="H51" s="16">
        <f>TRUNC(G51*D51,1)</f>
        <v>0</v>
      </c>
      <c r="I51" s="15">
        <f>TRUNC(SUMIF(W48:W51, RIGHTB(O51, 1), L48:L51)*U51, 2)</f>
        <v>0</v>
      </c>
      <c r="J51" s="16">
        <f>TRUNC(I51*D51,1)</f>
        <v>0</v>
      </c>
      <c r="K51" s="15">
        <f t="shared" si="8"/>
        <v>0</v>
      </c>
      <c r="L51" s="16">
        <f t="shared" si="8"/>
        <v>0</v>
      </c>
      <c r="M51" s="9" t="s">
        <v>52</v>
      </c>
      <c r="N51" s="2" t="s">
        <v>91</v>
      </c>
      <c r="O51" s="2" t="s">
        <v>877</v>
      </c>
      <c r="P51" s="2" t="s">
        <v>61</v>
      </c>
      <c r="Q51" s="2" t="s">
        <v>61</v>
      </c>
      <c r="R51" s="2" t="s">
        <v>61</v>
      </c>
      <c r="S51" s="3">
        <v>3</v>
      </c>
      <c r="T51" s="3">
        <v>2</v>
      </c>
      <c r="U51" s="3">
        <v>1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2" t="s">
        <v>52</v>
      </c>
      <c r="AW51" s="2" t="s">
        <v>884</v>
      </c>
      <c r="AX51" s="2" t="s">
        <v>52</v>
      </c>
      <c r="AY51" s="2" t="s">
        <v>52</v>
      </c>
    </row>
    <row r="52" spans="1:51" ht="30" customHeight="1" x14ac:dyDescent="0.3">
      <c r="A52" s="9" t="s">
        <v>811</v>
      </c>
      <c r="B52" s="9" t="s">
        <v>52</v>
      </c>
      <c r="C52" s="9" t="s">
        <v>52</v>
      </c>
      <c r="D52" s="10"/>
      <c r="E52" s="15"/>
      <c r="F52" s="16">
        <f>TRUNC(SUMIF(N48:N51, N47, F48:F51),0)</f>
        <v>0</v>
      </c>
      <c r="G52" s="15"/>
      <c r="H52" s="16">
        <f>TRUNC(SUMIF(N48:N51, N47, H48:H51),0)</f>
        <v>0</v>
      </c>
      <c r="I52" s="15"/>
      <c r="J52" s="16">
        <f>TRUNC(SUMIF(N48:N51, N47, J48:J51),0)</f>
        <v>0</v>
      </c>
      <c r="K52" s="15"/>
      <c r="L52" s="16">
        <f>F52+H52+J52</f>
        <v>0</v>
      </c>
      <c r="M52" s="9" t="s">
        <v>52</v>
      </c>
      <c r="N52" s="2" t="s">
        <v>94</v>
      </c>
      <c r="O52" s="2" t="s">
        <v>94</v>
      </c>
      <c r="P52" s="2" t="s">
        <v>52</v>
      </c>
      <c r="Q52" s="2" t="s">
        <v>52</v>
      </c>
      <c r="R52" s="2" t="s">
        <v>52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2" t="s">
        <v>52</v>
      </c>
      <c r="AW52" s="2" t="s">
        <v>52</v>
      </c>
      <c r="AX52" s="2" t="s">
        <v>52</v>
      </c>
      <c r="AY52" s="2" t="s">
        <v>52</v>
      </c>
    </row>
    <row r="53" spans="1:51" ht="30" customHeight="1" x14ac:dyDescent="0.3">
      <c r="A53" s="10"/>
      <c r="B53" s="10"/>
      <c r="C53" s="10"/>
      <c r="D53" s="10"/>
      <c r="E53" s="15"/>
      <c r="F53" s="16"/>
      <c r="G53" s="15"/>
      <c r="H53" s="16"/>
      <c r="I53" s="15"/>
      <c r="J53" s="16"/>
      <c r="K53" s="15"/>
      <c r="L53" s="16"/>
      <c r="M53" s="10"/>
    </row>
    <row r="54" spans="1:51" ht="30" customHeight="1" x14ac:dyDescent="0.3">
      <c r="A54" s="44" t="s">
        <v>885</v>
      </c>
      <c r="B54" s="44"/>
      <c r="C54" s="44"/>
      <c r="D54" s="44"/>
      <c r="E54" s="45"/>
      <c r="F54" s="46"/>
      <c r="G54" s="45"/>
      <c r="H54" s="46"/>
      <c r="I54" s="45"/>
      <c r="J54" s="46"/>
      <c r="K54" s="45"/>
      <c r="L54" s="46"/>
      <c r="M54" s="44"/>
      <c r="N54" s="1" t="s">
        <v>99</v>
      </c>
    </row>
    <row r="55" spans="1:51" ht="30" customHeight="1" x14ac:dyDescent="0.3">
      <c r="A55" s="9" t="s">
        <v>887</v>
      </c>
      <c r="B55" s="9" t="s">
        <v>822</v>
      </c>
      <c r="C55" s="9" t="s">
        <v>823</v>
      </c>
      <c r="D55" s="10">
        <v>0.26</v>
      </c>
      <c r="E55" s="15">
        <f>'단가대비표(총체)'!O187</f>
        <v>0</v>
      </c>
      <c r="F55" s="16">
        <f>TRUNC(E55*D55,1)</f>
        <v>0</v>
      </c>
      <c r="G55" s="15">
        <f>'단가대비표(총체)'!P187</f>
        <v>0</v>
      </c>
      <c r="H55" s="16">
        <f>TRUNC(G55*D55,1)</f>
        <v>0</v>
      </c>
      <c r="I55" s="15">
        <f>'단가대비표(총체)'!V187</f>
        <v>0</v>
      </c>
      <c r="J55" s="16">
        <f>TRUNC(I55*D55,1)</f>
        <v>0</v>
      </c>
      <c r="K55" s="15">
        <f t="shared" ref="K55:L58" si="9">TRUNC(E55+G55+I55,1)</f>
        <v>0</v>
      </c>
      <c r="L55" s="16">
        <f t="shared" si="9"/>
        <v>0</v>
      </c>
      <c r="M55" s="9" t="s">
        <v>52</v>
      </c>
      <c r="N55" s="2" t="s">
        <v>99</v>
      </c>
      <c r="O55" s="2" t="s">
        <v>888</v>
      </c>
      <c r="P55" s="2" t="s">
        <v>61</v>
      </c>
      <c r="Q55" s="2" t="s">
        <v>61</v>
      </c>
      <c r="R55" s="2" t="s">
        <v>60</v>
      </c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2" t="s">
        <v>52</v>
      </c>
      <c r="AW55" s="2" t="s">
        <v>889</v>
      </c>
      <c r="AX55" s="2" t="s">
        <v>52</v>
      </c>
      <c r="AY55" s="2" t="s">
        <v>52</v>
      </c>
    </row>
    <row r="56" spans="1:51" ht="30" customHeight="1" x14ac:dyDescent="0.3">
      <c r="A56" s="9" t="s">
        <v>821</v>
      </c>
      <c r="B56" s="9" t="s">
        <v>822</v>
      </c>
      <c r="C56" s="9" t="s">
        <v>823</v>
      </c>
      <c r="D56" s="10">
        <v>0.08</v>
      </c>
      <c r="E56" s="15">
        <f>'단가대비표(총체)'!O180</f>
        <v>0</v>
      </c>
      <c r="F56" s="16">
        <f>TRUNC(E56*D56,1)</f>
        <v>0</v>
      </c>
      <c r="G56" s="15">
        <f>'단가대비표(총체)'!P180</f>
        <v>0</v>
      </c>
      <c r="H56" s="16">
        <f>TRUNC(G56*D56,1)</f>
        <v>0</v>
      </c>
      <c r="I56" s="15">
        <f>'단가대비표(총체)'!V180</f>
        <v>0</v>
      </c>
      <c r="J56" s="16">
        <f>TRUNC(I56*D56,1)</f>
        <v>0</v>
      </c>
      <c r="K56" s="15">
        <f t="shared" si="9"/>
        <v>0</v>
      </c>
      <c r="L56" s="16">
        <f t="shared" si="9"/>
        <v>0</v>
      </c>
      <c r="M56" s="9" t="s">
        <v>52</v>
      </c>
      <c r="N56" s="2" t="s">
        <v>99</v>
      </c>
      <c r="O56" s="2" t="s">
        <v>824</v>
      </c>
      <c r="P56" s="2" t="s">
        <v>61</v>
      </c>
      <c r="Q56" s="2" t="s">
        <v>61</v>
      </c>
      <c r="R56" s="2" t="s">
        <v>60</v>
      </c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2" t="s">
        <v>52</v>
      </c>
      <c r="AW56" s="2" t="s">
        <v>890</v>
      </c>
      <c r="AX56" s="2" t="s">
        <v>52</v>
      </c>
      <c r="AY56" s="2" t="s">
        <v>52</v>
      </c>
    </row>
    <row r="57" spans="1:51" ht="30" customHeight="1" x14ac:dyDescent="0.3">
      <c r="A57" s="9" t="s">
        <v>874</v>
      </c>
      <c r="B57" s="9" t="s">
        <v>891</v>
      </c>
      <c r="C57" s="9" t="s">
        <v>307</v>
      </c>
      <c r="D57" s="10">
        <v>1</v>
      </c>
      <c r="E57" s="15">
        <v>0</v>
      </c>
      <c r="F57" s="16">
        <f>TRUNC(E57*D57,1)</f>
        <v>0</v>
      </c>
      <c r="G57" s="15">
        <v>0</v>
      </c>
      <c r="H57" s="16">
        <f>TRUNC(G57*D57,1)</f>
        <v>0</v>
      </c>
      <c r="I57" s="15">
        <f>TRUNC(SUMIF(V55:V58, RIGHTB(O57, 1), H55:H58)*U57, 2)</f>
        <v>0</v>
      </c>
      <c r="J57" s="16">
        <f>TRUNC(I57*D57,1)</f>
        <v>0</v>
      </c>
      <c r="K57" s="15">
        <f t="shared" si="9"/>
        <v>0</v>
      </c>
      <c r="L57" s="16">
        <f t="shared" si="9"/>
        <v>0</v>
      </c>
      <c r="M57" s="9" t="s">
        <v>52</v>
      </c>
      <c r="N57" s="2" t="s">
        <v>99</v>
      </c>
      <c r="O57" s="2" t="s">
        <v>809</v>
      </c>
      <c r="P57" s="2" t="s">
        <v>61</v>
      </c>
      <c r="Q57" s="2" t="s">
        <v>61</v>
      </c>
      <c r="R57" s="2" t="s">
        <v>61</v>
      </c>
      <c r="S57" s="3">
        <v>1</v>
      </c>
      <c r="T57" s="3">
        <v>2</v>
      </c>
      <c r="U57" s="3">
        <v>0.02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2" t="s">
        <v>52</v>
      </c>
      <c r="AW57" s="2" t="s">
        <v>892</v>
      </c>
      <c r="AX57" s="2" t="s">
        <v>52</v>
      </c>
      <c r="AY57" s="2" t="s">
        <v>52</v>
      </c>
    </row>
    <row r="58" spans="1:51" ht="30" customHeight="1" x14ac:dyDescent="0.3">
      <c r="A58" s="9" t="s">
        <v>893</v>
      </c>
      <c r="B58" s="9" t="s">
        <v>894</v>
      </c>
      <c r="C58" s="9" t="s">
        <v>637</v>
      </c>
      <c r="D58" s="10">
        <v>4.9000000000000002E-2</v>
      </c>
      <c r="E58" s="15">
        <f>'일위대가목록(총체)'!E137</f>
        <v>0</v>
      </c>
      <c r="F58" s="16">
        <f>TRUNC(E58*D58,1)</f>
        <v>0</v>
      </c>
      <c r="G58" s="15">
        <f>'일위대가목록(총체)'!F137</f>
        <v>0</v>
      </c>
      <c r="H58" s="16">
        <f>TRUNC(G58*D58,1)</f>
        <v>0</v>
      </c>
      <c r="I58" s="15">
        <f>'일위대가목록(총체)'!G137</f>
        <v>0</v>
      </c>
      <c r="J58" s="16">
        <f>TRUNC(I58*D58,1)</f>
        <v>0</v>
      </c>
      <c r="K58" s="15">
        <f t="shared" si="9"/>
        <v>0</v>
      </c>
      <c r="L58" s="16">
        <f t="shared" si="9"/>
        <v>0</v>
      </c>
      <c r="M58" s="9" t="s">
        <v>52</v>
      </c>
      <c r="N58" s="2" t="s">
        <v>99</v>
      </c>
      <c r="O58" s="2" t="s">
        <v>895</v>
      </c>
      <c r="P58" s="2" t="s">
        <v>60</v>
      </c>
      <c r="Q58" s="2" t="s">
        <v>61</v>
      </c>
      <c r="R58" s="2" t="s">
        <v>61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2" t="s">
        <v>52</v>
      </c>
      <c r="AW58" s="2" t="s">
        <v>896</v>
      </c>
      <c r="AX58" s="2" t="s">
        <v>52</v>
      </c>
      <c r="AY58" s="2" t="s">
        <v>52</v>
      </c>
    </row>
    <row r="59" spans="1:51" ht="30" customHeight="1" x14ac:dyDescent="0.3">
      <c r="A59" s="9" t="s">
        <v>811</v>
      </c>
      <c r="B59" s="9" t="s">
        <v>52</v>
      </c>
      <c r="C59" s="9" t="s">
        <v>52</v>
      </c>
      <c r="D59" s="10"/>
      <c r="E59" s="15"/>
      <c r="F59" s="16">
        <f>TRUNC(SUMIF(N55:N58, N54, F55:F58),0)</f>
        <v>0</v>
      </c>
      <c r="G59" s="15"/>
      <c r="H59" s="16">
        <f>TRUNC(SUMIF(N55:N58, N54, H55:H58),0)</f>
        <v>0</v>
      </c>
      <c r="I59" s="15"/>
      <c r="J59" s="16">
        <f>TRUNC(SUMIF(N55:N58, N54, J55:J58),0)</f>
        <v>0</v>
      </c>
      <c r="K59" s="15"/>
      <c r="L59" s="16">
        <f>F59+H59+J59</f>
        <v>0</v>
      </c>
      <c r="M59" s="9" t="s">
        <v>52</v>
      </c>
      <c r="N59" s="2" t="s">
        <v>94</v>
      </c>
      <c r="O59" s="2" t="s">
        <v>94</v>
      </c>
      <c r="P59" s="2" t="s">
        <v>52</v>
      </c>
      <c r="Q59" s="2" t="s">
        <v>52</v>
      </c>
      <c r="R59" s="2" t="s">
        <v>52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" t="s">
        <v>52</v>
      </c>
      <c r="AW59" s="2" t="s">
        <v>52</v>
      </c>
      <c r="AX59" s="2" t="s">
        <v>52</v>
      </c>
      <c r="AY59" s="2" t="s">
        <v>52</v>
      </c>
    </row>
    <row r="60" spans="1:51" ht="30" customHeight="1" x14ac:dyDescent="0.3">
      <c r="A60" s="10"/>
      <c r="B60" s="10"/>
      <c r="C60" s="10"/>
      <c r="D60" s="10"/>
      <c r="E60" s="15"/>
      <c r="F60" s="16"/>
      <c r="G60" s="15"/>
      <c r="H60" s="16"/>
      <c r="I60" s="15"/>
      <c r="J60" s="16"/>
      <c r="K60" s="15"/>
      <c r="L60" s="16"/>
      <c r="M60" s="10"/>
    </row>
    <row r="61" spans="1:51" ht="30" customHeight="1" x14ac:dyDescent="0.3">
      <c r="A61" s="44" t="s">
        <v>897</v>
      </c>
      <c r="B61" s="44"/>
      <c r="C61" s="44"/>
      <c r="D61" s="44"/>
      <c r="E61" s="45"/>
      <c r="F61" s="46"/>
      <c r="G61" s="45"/>
      <c r="H61" s="46"/>
      <c r="I61" s="45"/>
      <c r="J61" s="46"/>
      <c r="K61" s="45"/>
      <c r="L61" s="46"/>
      <c r="M61" s="44"/>
      <c r="N61" s="1" t="s">
        <v>109</v>
      </c>
    </row>
    <row r="62" spans="1:51" ht="30" customHeight="1" x14ac:dyDescent="0.3">
      <c r="A62" s="9" t="s">
        <v>821</v>
      </c>
      <c r="B62" s="9" t="s">
        <v>822</v>
      </c>
      <c r="C62" s="9" t="s">
        <v>823</v>
      </c>
      <c r="D62" s="10">
        <v>0.96</v>
      </c>
      <c r="E62" s="15">
        <f>'단가대비표(총체)'!O180</f>
        <v>0</v>
      </c>
      <c r="F62" s="16">
        <f>TRUNC(E62*D62,1)</f>
        <v>0</v>
      </c>
      <c r="G62" s="15">
        <f>'단가대비표(총체)'!P180</f>
        <v>0</v>
      </c>
      <c r="H62" s="16">
        <f>TRUNC(G62*D62,1)</f>
        <v>0</v>
      </c>
      <c r="I62" s="15">
        <f>'단가대비표(총체)'!V180</f>
        <v>0</v>
      </c>
      <c r="J62" s="16">
        <f>TRUNC(I62*D62,1)</f>
        <v>0</v>
      </c>
      <c r="K62" s="15">
        <f>TRUNC(E62+G62+I62,1)</f>
        <v>0</v>
      </c>
      <c r="L62" s="16">
        <f>TRUNC(F62+H62+J62,1)</f>
        <v>0</v>
      </c>
      <c r="M62" s="9" t="s">
        <v>52</v>
      </c>
      <c r="N62" s="2" t="s">
        <v>109</v>
      </c>
      <c r="O62" s="2" t="s">
        <v>824</v>
      </c>
      <c r="P62" s="2" t="s">
        <v>61</v>
      </c>
      <c r="Q62" s="2" t="s">
        <v>61</v>
      </c>
      <c r="R62" s="2" t="s">
        <v>60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2" t="s">
        <v>52</v>
      </c>
      <c r="AW62" s="2" t="s">
        <v>899</v>
      </c>
      <c r="AX62" s="2" t="s">
        <v>52</v>
      </c>
      <c r="AY62" s="2" t="s">
        <v>52</v>
      </c>
    </row>
    <row r="63" spans="1:51" ht="30" customHeight="1" x14ac:dyDescent="0.3">
      <c r="A63" s="9" t="s">
        <v>811</v>
      </c>
      <c r="B63" s="9" t="s">
        <v>52</v>
      </c>
      <c r="C63" s="9" t="s">
        <v>52</v>
      </c>
      <c r="D63" s="10"/>
      <c r="E63" s="15"/>
      <c r="F63" s="16">
        <f>TRUNC(SUMIF(N62:N62, N61, F62:F62),0)</f>
        <v>0</v>
      </c>
      <c r="G63" s="15"/>
      <c r="H63" s="16">
        <f>TRUNC(SUMIF(N62:N62, N61, H62:H62),0)</f>
        <v>0</v>
      </c>
      <c r="I63" s="15"/>
      <c r="J63" s="16">
        <f>TRUNC(SUMIF(N62:N62, N61, J62:J62),0)</f>
        <v>0</v>
      </c>
      <c r="K63" s="15"/>
      <c r="L63" s="16">
        <f>F63+H63+J63</f>
        <v>0</v>
      </c>
      <c r="M63" s="9" t="s">
        <v>52</v>
      </c>
      <c r="N63" s="2" t="s">
        <v>94</v>
      </c>
      <c r="O63" s="2" t="s">
        <v>94</v>
      </c>
      <c r="P63" s="2" t="s">
        <v>52</v>
      </c>
      <c r="Q63" s="2" t="s">
        <v>52</v>
      </c>
      <c r="R63" s="2" t="s">
        <v>52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2" t="s">
        <v>52</v>
      </c>
      <c r="AW63" s="2" t="s">
        <v>52</v>
      </c>
      <c r="AX63" s="2" t="s">
        <v>52</v>
      </c>
      <c r="AY63" s="2" t="s">
        <v>52</v>
      </c>
    </row>
    <row r="64" spans="1:51" ht="30" customHeight="1" x14ac:dyDescent="0.3">
      <c r="A64" s="10"/>
      <c r="B64" s="10"/>
      <c r="C64" s="10"/>
      <c r="D64" s="10"/>
      <c r="E64" s="15"/>
      <c r="F64" s="16"/>
      <c r="G64" s="15"/>
      <c r="H64" s="16"/>
      <c r="I64" s="15"/>
      <c r="J64" s="16"/>
      <c r="K64" s="15"/>
      <c r="L64" s="16"/>
      <c r="M64" s="10"/>
    </row>
    <row r="65" spans="1:51" ht="30" customHeight="1" x14ac:dyDescent="0.3">
      <c r="A65" s="44" t="s">
        <v>900</v>
      </c>
      <c r="B65" s="44"/>
      <c r="C65" s="44"/>
      <c r="D65" s="44"/>
      <c r="E65" s="45"/>
      <c r="F65" s="46"/>
      <c r="G65" s="45"/>
      <c r="H65" s="46"/>
      <c r="I65" s="45"/>
      <c r="J65" s="46"/>
      <c r="K65" s="45"/>
      <c r="L65" s="46"/>
      <c r="M65" s="44"/>
      <c r="N65" s="1" t="s">
        <v>113</v>
      </c>
    </row>
    <row r="66" spans="1:51" ht="30" customHeight="1" x14ac:dyDescent="0.3">
      <c r="A66" s="9" t="s">
        <v>893</v>
      </c>
      <c r="B66" s="9" t="s">
        <v>894</v>
      </c>
      <c r="C66" s="9" t="s">
        <v>637</v>
      </c>
      <c r="D66" s="10">
        <v>1.7999999999999999E-2</v>
      </c>
      <c r="E66" s="15">
        <f>'일위대가목록(총체)'!E137</f>
        <v>0</v>
      </c>
      <c r="F66" s="16">
        <f>TRUNC(E66*D66,1)</f>
        <v>0</v>
      </c>
      <c r="G66" s="15">
        <f>'일위대가목록(총체)'!F137</f>
        <v>0</v>
      </c>
      <c r="H66" s="16">
        <f>TRUNC(G66*D66,1)</f>
        <v>0</v>
      </c>
      <c r="I66" s="15">
        <f>'일위대가목록(총체)'!G137</f>
        <v>0</v>
      </c>
      <c r="J66" s="16">
        <f>TRUNC(I66*D66,1)</f>
        <v>0</v>
      </c>
      <c r="K66" s="15">
        <f>TRUNC(E66+G66+I66,1)</f>
        <v>0</v>
      </c>
      <c r="L66" s="16">
        <f>TRUNC(F66+H66+J66,1)</f>
        <v>0</v>
      </c>
      <c r="M66" s="9" t="s">
        <v>52</v>
      </c>
      <c r="N66" s="2" t="s">
        <v>113</v>
      </c>
      <c r="O66" s="2" t="s">
        <v>895</v>
      </c>
      <c r="P66" s="2" t="s">
        <v>60</v>
      </c>
      <c r="Q66" s="2" t="s">
        <v>61</v>
      </c>
      <c r="R66" s="2" t="s">
        <v>61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2" t="s">
        <v>52</v>
      </c>
      <c r="AW66" s="2" t="s">
        <v>902</v>
      </c>
      <c r="AX66" s="2" t="s">
        <v>52</v>
      </c>
      <c r="AY66" s="2" t="s">
        <v>52</v>
      </c>
    </row>
    <row r="67" spans="1:51" ht="30" customHeight="1" x14ac:dyDescent="0.3">
      <c r="A67" s="9" t="s">
        <v>111</v>
      </c>
      <c r="B67" s="9" t="s">
        <v>903</v>
      </c>
      <c r="C67" s="9" t="s">
        <v>68</v>
      </c>
      <c r="D67" s="10">
        <v>1</v>
      </c>
      <c r="E67" s="15">
        <f>'일위대가목록(총체)'!E138</f>
        <v>0</v>
      </c>
      <c r="F67" s="16">
        <f>TRUNC(E67*D67,1)</f>
        <v>0</v>
      </c>
      <c r="G67" s="15">
        <f>'일위대가목록(총체)'!F138</f>
        <v>0</v>
      </c>
      <c r="H67" s="16">
        <f>TRUNC(G67*D67,1)</f>
        <v>0</v>
      </c>
      <c r="I67" s="15">
        <f>'일위대가목록(총체)'!G138</f>
        <v>0</v>
      </c>
      <c r="J67" s="16">
        <f>TRUNC(I67*D67,1)</f>
        <v>0</v>
      </c>
      <c r="K67" s="15">
        <f>TRUNC(E67+G67+I67,1)</f>
        <v>0</v>
      </c>
      <c r="L67" s="16">
        <f>TRUNC(F67+H67+J67,1)</f>
        <v>0</v>
      </c>
      <c r="M67" s="9" t="s">
        <v>52</v>
      </c>
      <c r="N67" s="2" t="s">
        <v>113</v>
      </c>
      <c r="O67" s="2" t="s">
        <v>904</v>
      </c>
      <c r="P67" s="2" t="s">
        <v>60</v>
      </c>
      <c r="Q67" s="2" t="s">
        <v>61</v>
      </c>
      <c r="R67" s="2" t="s">
        <v>61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2" t="s">
        <v>52</v>
      </c>
      <c r="AW67" s="2" t="s">
        <v>905</v>
      </c>
      <c r="AX67" s="2" t="s">
        <v>52</v>
      </c>
      <c r="AY67" s="2" t="s">
        <v>52</v>
      </c>
    </row>
    <row r="68" spans="1:51" ht="30" customHeight="1" x14ac:dyDescent="0.3">
      <c r="A68" s="9" t="s">
        <v>811</v>
      </c>
      <c r="B68" s="9" t="s">
        <v>52</v>
      </c>
      <c r="C68" s="9" t="s">
        <v>52</v>
      </c>
      <c r="D68" s="10"/>
      <c r="E68" s="15"/>
      <c r="F68" s="16">
        <f>TRUNC(SUMIF(N66:N67, N65, F66:F67),0)</f>
        <v>0</v>
      </c>
      <c r="G68" s="15"/>
      <c r="H68" s="16">
        <f>TRUNC(SUMIF(N66:N67, N65, H66:H67),0)</f>
        <v>0</v>
      </c>
      <c r="I68" s="15"/>
      <c r="J68" s="16">
        <f>TRUNC(SUMIF(N66:N67, N65, J66:J67),0)</f>
        <v>0</v>
      </c>
      <c r="K68" s="15"/>
      <c r="L68" s="16">
        <f>F68+H68+J68</f>
        <v>0</v>
      </c>
      <c r="M68" s="9" t="s">
        <v>52</v>
      </c>
      <c r="N68" s="2" t="s">
        <v>94</v>
      </c>
      <c r="O68" s="2" t="s">
        <v>94</v>
      </c>
      <c r="P68" s="2" t="s">
        <v>52</v>
      </c>
      <c r="Q68" s="2" t="s">
        <v>52</v>
      </c>
      <c r="R68" s="2" t="s">
        <v>52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2" t="s">
        <v>52</v>
      </c>
      <c r="AW68" s="2" t="s">
        <v>52</v>
      </c>
      <c r="AX68" s="2" t="s">
        <v>52</v>
      </c>
      <c r="AY68" s="2" t="s">
        <v>52</v>
      </c>
    </row>
    <row r="69" spans="1:51" ht="30" customHeight="1" x14ac:dyDescent="0.3">
      <c r="A69" s="10"/>
      <c r="B69" s="10"/>
      <c r="C69" s="10"/>
      <c r="D69" s="10"/>
      <c r="E69" s="15"/>
      <c r="F69" s="16"/>
      <c r="G69" s="15"/>
      <c r="H69" s="16"/>
      <c r="I69" s="15"/>
      <c r="J69" s="16"/>
      <c r="K69" s="15"/>
      <c r="L69" s="16"/>
      <c r="M69" s="10"/>
    </row>
    <row r="70" spans="1:51" ht="30" customHeight="1" x14ac:dyDescent="0.3">
      <c r="A70" s="44" t="s">
        <v>906</v>
      </c>
      <c r="B70" s="44"/>
      <c r="C70" s="44"/>
      <c r="D70" s="44"/>
      <c r="E70" s="45"/>
      <c r="F70" s="46"/>
      <c r="G70" s="45"/>
      <c r="H70" s="46"/>
      <c r="I70" s="45"/>
      <c r="J70" s="46"/>
      <c r="K70" s="45"/>
      <c r="L70" s="46"/>
      <c r="M70" s="44"/>
      <c r="N70" s="1" t="s">
        <v>117</v>
      </c>
    </row>
    <row r="71" spans="1:51" ht="30" customHeight="1" x14ac:dyDescent="0.3">
      <c r="A71" s="9" t="s">
        <v>893</v>
      </c>
      <c r="B71" s="9" t="s">
        <v>908</v>
      </c>
      <c r="C71" s="9" t="s">
        <v>637</v>
      </c>
      <c r="D71" s="10">
        <v>2.4E-2</v>
      </c>
      <c r="E71" s="15">
        <f>'일위대가목록(총체)'!E139</f>
        <v>0</v>
      </c>
      <c r="F71" s="16">
        <f>TRUNC(E71*D71,1)</f>
        <v>0</v>
      </c>
      <c r="G71" s="15">
        <f>'일위대가목록(총체)'!F139</f>
        <v>0</v>
      </c>
      <c r="H71" s="16">
        <f>TRUNC(G71*D71,1)</f>
        <v>0</v>
      </c>
      <c r="I71" s="15">
        <f>'일위대가목록(총체)'!G139</f>
        <v>0</v>
      </c>
      <c r="J71" s="16">
        <f>TRUNC(I71*D71,1)</f>
        <v>0</v>
      </c>
      <c r="K71" s="15">
        <f>TRUNC(E71+G71+I71,1)</f>
        <v>0</v>
      </c>
      <c r="L71" s="16">
        <f>TRUNC(F71+H71+J71,1)</f>
        <v>0</v>
      </c>
      <c r="M71" s="9" t="s">
        <v>52</v>
      </c>
      <c r="N71" s="2" t="s">
        <v>117</v>
      </c>
      <c r="O71" s="2" t="s">
        <v>909</v>
      </c>
      <c r="P71" s="2" t="s">
        <v>60</v>
      </c>
      <c r="Q71" s="2" t="s">
        <v>61</v>
      </c>
      <c r="R71" s="2" t="s">
        <v>61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2" t="s">
        <v>52</v>
      </c>
      <c r="AW71" s="2" t="s">
        <v>910</v>
      </c>
      <c r="AX71" s="2" t="s">
        <v>52</v>
      </c>
      <c r="AY71" s="2" t="s">
        <v>52</v>
      </c>
    </row>
    <row r="72" spans="1:51" ht="30" customHeight="1" x14ac:dyDescent="0.3">
      <c r="A72" s="9" t="s">
        <v>911</v>
      </c>
      <c r="B72" s="9" t="s">
        <v>912</v>
      </c>
      <c r="C72" s="9" t="s">
        <v>68</v>
      </c>
      <c r="D72" s="10">
        <v>1</v>
      </c>
      <c r="E72" s="15">
        <f>'일위대가목록(총체)'!E140</f>
        <v>0</v>
      </c>
      <c r="F72" s="16">
        <f>TRUNC(E72*D72,1)</f>
        <v>0</v>
      </c>
      <c r="G72" s="15">
        <f>'일위대가목록(총체)'!F140</f>
        <v>0</v>
      </c>
      <c r="H72" s="16">
        <f>TRUNC(G72*D72,1)</f>
        <v>0</v>
      </c>
      <c r="I72" s="15">
        <f>'일위대가목록(총체)'!G140</f>
        <v>0</v>
      </c>
      <c r="J72" s="16">
        <f>TRUNC(I72*D72,1)</f>
        <v>0</v>
      </c>
      <c r="K72" s="15">
        <f>TRUNC(E72+G72+I72,1)</f>
        <v>0</v>
      </c>
      <c r="L72" s="16">
        <f>TRUNC(F72+H72+J72,1)</f>
        <v>0</v>
      </c>
      <c r="M72" s="9" t="s">
        <v>52</v>
      </c>
      <c r="N72" s="2" t="s">
        <v>117</v>
      </c>
      <c r="O72" s="2" t="s">
        <v>913</v>
      </c>
      <c r="P72" s="2" t="s">
        <v>60</v>
      </c>
      <c r="Q72" s="2" t="s">
        <v>61</v>
      </c>
      <c r="R72" s="2" t="s">
        <v>61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2" t="s">
        <v>52</v>
      </c>
      <c r="AW72" s="2" t="s">
        <v>914</v>
      </c>
      <c r="AX72" s="2" t="s">
        <v>52</v>
      </c>
      <c r="AY72" s="2" t="s">
        <v>52</v>
      </c>
    </row>
    <row r="73" spans="1:51" ht="30" customHeight="1" x14ac:dyDescent="0.3">
      <c r="A73" s="9" t="s">
        <v>811</v>
      </c>
      <c r="B73" s="9" t="s">
        <v>52</v>
      </c>
      <c r="C73" s="9" t="s">
        <v>52</v>
      </c>
      <c r="D73" s="10"/>
      <c r="E73" s="15"/>
      <c r="F73" s="16">
        <f>TRUNC(SUMIF(N71:N72, N70, F71:F72),0)</f>
        <v>0</v>
      </c>
      <c r="G73" s="15"/>
      <c r="H73" s="16">
        <f>TRUNC(SUMIF(N71:N72, N70, H71:H72),0)</f>
        <v>0</v>
      </c>
      <c r="I73" s="15"/>
      <c r="J73" s="16">
        <f>TRUNC(SUMIF(N71:N72, N70, J71:J72),0)</f>
        <v>0</v>
      </c>
      <c r="K73" s="15"/>
      <c r="L73" s="16">
        <f>F73+H73+J73</f>
        <v>0</v>
      </c>
      <c r="M73" s="9" t="s">
        <v>52</v>
      </c>
      <c r="N73" s="2" t="s">
        <v>94</v>
      </c>
      <c r="O73" s="2" t="s">
        <v>94</v>
      </c>
      <c r="P73" s="2" t="s">
        <v>52</v>
      </c>
      <c r="Q73" s="2" t="s">
        <v>52</v>
      </c>
      <c r="R73" s="2" t="s">
        <v>52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2" t="s">
        <v>52</v>
      </c>
      <c r="AW73" s="2" t="s">
        <v>52</v>
      </c>
      <c r="AX73" s="2" t="s">
        <v>52</v>
      </c>
      <c r="AY73" s="2" t="s">
        <v>52</v>
      </c>
    </row>
    <row r="74" spans="1:51" ht="30" customHeight="1" x14ac:dyDescent="0.3">
      <c r="A74" s="10"/>
      <c r="B74" s="10"/>
      <c r="C74" s="10"/>
      <c r="D74" s="10"/>
      <c r="E74" s="15"/>
      <c r="F74" s="16"/>
      <c r="G74" s="15"/>
      <c r="H74" s="16"/>
      <c r="I74" s="15"/>
      <c r="J74" s="16"/>
      <c r="K74" s="15"/>
      <c r="L74" s="16"/>
      <c r="M74" s="10"/>
    </row>
    <row r="75" spans="1:51" ht="30" customHeight="1" x14ac:dyDescent="0.3">
      <c r="A75" s="44" t="s">
        <v>915</v>
      </c>
      <c r="B75" s="44"/>
      <c r="C75" s="44"/>
      <c r="D75" s="44"/>
      <c r="E75" s="45"/>
      <c r="F75" s="46"/>
      <c r="G75" s="45"/>
      <c r="H75" s="46"/>
      <c r="I75" s="45"/>
      <c r="J75" s="46"/>
      <c r="K75" s="45"/>
      <c r="L75" s="46"/>
      <c r="M75" s="44"/>
      <c r="N75" s="1" t="s">
        <v>120</v>
      </c>
    </row>
    <row r="76" spans="1:51" ht="30" customHeight="1" x14ac:dyDescent="0.3">
      <c r="A76" s="9" t="s">
        <v>893</v>
      </c>
      <c r="B76" s="9" t="s">
        <v>894</v>
      </c>
      <c r="C76" s="9" t="s">
        <v>637</v>
      </c>
      <c r="D76" s="10">
        <v>0.03</v>
      </c>
      <c r="E76" s="15">
        <f>'일위대가목록(총체)'!E137</f>
        <v>0</v>
      </c>
      <c r="F76" s="16">
        <f>TRUNC(E76*D76,1)</f>
        <v>0</v>
      </c>
      <c r="G76" s="15">
        <f>'일위대가목록(총체)'!F137</f>
        <v>0</v>
      </c>
      <c r="H76" s="16">
        <f>TRUNC(G76*D76,1)</f>
        <v>0</v>
      </c>
      <c r="I76" s="15">
        <f>'일위대가목록(총체)'!G137</f>
        <v>0</v>
      </c>
      <c r="J76" s="16">
        <f>TRUNC(I76*D76,1)</f>
        <v>0</v>
      </c>
      <c r="K76" s="15">
        <f>TRUNC(E76+G76+I76,1)</f>
        <v>0</v>
      </c>
      <c r="L76" s="16">
        <f>TRUNC(F76+H76+J76,1)</f>
        <v>0</v>
      </c>
      <c r="M76" s="9" t="s">
        <v>52</v>
      </c>
      <c r="N76" s="2" t="s">
        <v>120</v>
      </c>
      <c r="O76" s="2" t="s">
        <v>895</v>
      </c>
      <c r="P76" s="2" t="s">
        <v>60</v>
      </c>
      <c r="Q76" s="2" t="s">
        <v>61</v>
      </c>
      <c r="R76" s="2" t="s">
        <v>61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2" t="s">
        <v>52</v>
      </c>
      <c r="AW76" s="2" t="s">
        <v>917</v>
      </c>
      <c r="AX76" s="2" t="s">
        <v>52</v>
      </c>
      <c r="AY76" s="2" t="s">
        <v>52</v>
      </c>
    </row>
    <row r="77" spans="1:51" ht="30" customHeight="1" x14ac:dyDescent="0.3">
      <c r="A77" s="9" t="s">
        <v>911</v>
      </c>
      <c r="B77" s="9" t="s">
        <v>912</v>
      </c>
      <c r="C77" s="9" t="s">
        <v>68</v>
      </c>
      <c r="D77" s="10">
        <v>1</v>
      </c>
      <c r="E77" s="15">
        <f>'일위대가목록(총체)'!E140</f>
        <v>0</v>
      </c>
      <c r="F77" s="16">
        <f>TRUNC(E77*D77,1)</f>
        <v>0</v>
      </c>
      <c r="G77" s="15">
        <f>'일위대가목록(총체)'!F140</f>
        <v>0</v>
      </c>
      <c r="H77" s="16">
        <f>TRUNC(G77*D77,1)</f>
        <v>0</v>
      </c>
      <c r="I77" s="15">
        <f>'일위대가목록(총체)'!G140</f>
        <v>0</v>
      </c>
      <c r="J77" s="16">
        <f>TRUNC(I77*D77,1)</f>
        <v>0</v>
      </c>
      <c r="K77" s="15">
        <f>TRUNC(E77+G77+I77,1)</f>
        <v>0</v>
      </c>
      <c r="L77" s="16">
        <f>TRUNC(F77+H77+J77,1)</f>
        <v>0</v>
      </c>
      <c r="M77" s="9" t="s">
        <v>52</v>
      </c>
      <c r="N77" s="2" t="s">
        <v>120</v>
      </c>
      <c r="O77" s="2" t="s">
        <v>913</v>
      </c>
      <c r="P77" s="2" t="s">
        <v>60</v>
      </c>
      <c r="Q77" s="2" t="s">
        <v>61</v>
      </c>
      <c r="R77" s="2" t="s">
        <v>61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2" t="s">
        <v>52</v>
      </c>
      <c r="AW77" s="2" t="s">
        <v>918</v>
      </c>
      <c r="AX77" s="2" t="s">
        <v>52</v>
      </c>
      <c r="AY77" s="2" t="s">
        <v>52</v>
      </c>
    </row>
    <row r="78" spans="1:51" ht="30" customHeight="1" x14ac:dyDescent="0.3">
      <c r="A78" s="9" t="s">
        <v>811</v>
      </c>
      <c r="B78" s="9" t="s">
        <v>52</v>
      </c>
      <c r="C78" s="9" t="s">
        <v>52</v>
      </c>
      <c r="D78" s="10"/>
      <c r="E78" s="15"/>
      <c r="F78" s="16">
        <f>TRUNC(SUMIF(N76:N77, N75, F76:F77),0)</f>
        <v>0</v>
      </c>
      <c r="G78" s="15"/>
      <c r="H78" s="16">
        <f>TRUNC(SUMIF(N76:N77, N75, H76:H77),0)</f>
        <v>0</v>
      </c>
      <c r="I78" s="15"/>
      <c r="J78" s="16">
        <f>TRUNC(SUMIF(N76:N77, N75, J76:J77),0)</f>
        <v>0</v>
      </c>
      <c r="K78" s="15"/>
      <c r="L78" s="16">
        <f>F78+H78+J78</f>
        <v>0</v>
      </c>
      <c r="M78" s="9" t="s">
        <v>52</v>
      </c>
      <c r="N78" s="2" t="s">
        <v>94</v>
      </c>
      <c r="O78" s="2" t="s">
        <v>94</v>
      </c>
      <c r="P78" s="2" t="s">
        <v>52</v>
      </c>
      <c r="Q78" s="2" t="s">
        <v>52</v>
      </c>
      <c r="R78" s="2" t="s">
        <v>52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2" t="s">
        <v>52</v>
      </c>
      <c r="AW78" s="2" t="s">
        <v>52</v>
      </c>
      <c r="AX78" s="2" t="s">
        <v>52</v>
      </c>
      <c r="AY78" s="2" t="s">
        <v>52</v>
      </c>
    </row>
    <row r="79" spans="1:51" ht="30" customHeight="1" x14ac:dyDescent="0.3">
      <c r="A79" s="10"/>
      <c r="B79" s="10"/>
      <c r="C79" s="10"/>
      <c r="D79" s="10"/>
      <c r="E79" s="15"/>
      <c r="F79" s="16"/>
      <c r="G79" s="15"/>
      <c r="H79" s="16"/>
      <c r="I79" s="15"/>
      <c r="J79" s="16"/>
      <c r="K79" s="15"/>
      <c r="L79" s="16"/>
      <c r="M79" s="10"/>
    </row>
    <row r="80" spans="1:51" ht="30" customHeight="1" x14ac:dyDescent="0.3">
      <c r="A80" s="44" t="s">
        <v>919</v>
      </c>
      <c r="B80" s="44"/>
      <c r="C80" s="44"/>
      <c r="D80" s="44"/>
      <c r="E80" s="45"/>
      <c r="F80" s="46"/>
      <c r="G80" s="45"/>
      <c r="H80" s="46"/>
      <c r="I80" s="45"/>
      <c r="J80" s="46"/>
      <c r="K80" s="45"/>
      <c r="L80" s="46"/>
      <c r="M80" s="44"/>
      <c r="N80" s="1" t="s">
        <v>124</v>
      </c>
    </row>
    <row r="81" spans="1:51" ht="30" customHeight="1" x14ac:dyDescent="0.3">
      <c r="A81" s="9" t="s">
        <v>921</v>
      </c>
      <c r="B81" s="9" t="s">
        <v>922</v>
      </c>
      <c r="C81" s="9" t="s">
        <v>923</v>
      </c>
      <c r="D81" s="10">
        <v>0.16</v>
      </c>
      <c r="E81" s="15">
        <f>'단가대비표(총체)'!O29</f>
        <v>0</v>
      </c>
      <c r="F81" s="16">
        <f>TRUNC(E81*D81,1)</f>
        <v>0</v>
      </c>
      <c r="G81" s="15">
        <f>'단가대비표(총체)'!P29</f>
        <v>0</v>
      </c>
      <c r="H81" s="16">
        <f>TRUNC(G81*D81,1)</f>
        <v>0</v>
      </c>
      <c r="I81" s="15">
        <f>'단가대비표(총체)'!V29</f>
        <v>0</v>
      </c>
      <c r="J81" s="16">
        <f>TRUNC(I81*D81,1)</f>
        <v>0</v>
      </c>
      <c r="K81" s="15">
        <f t="shared" ref="K81:L84" si="10">TRUNC(E81+G81+I81,1)</f>
        <v>0</v>
      </c>
      <c r="L81" s="16">
        <f t="shared" si="10"/>
        <v>0</v>
      </c>
      <c r="M81" s="9" t="s">
        <v>52</v>
      </c>
      <c r="N81" s="2" t="s">
        <v>124</v>
      </c>
      <c r="O81" s="2" t="s">
        <v>924</v>
      </c>
      <c r="P81" s="2" t="s">
        <v>61</v>
      </c>
      <c r="Q81" s="2" t="s">
        <v>61</v>
      </c>
      <c r="R81" s="2" t="s">
        <v>60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2" t="s">
        <v>52</v>
      </c>
      <c r="AW81" s="2" t="s">
        <v>925</v>
      </c>
      <c r="AX81" s="2" t="s">
        <v>52</v>
      </c>
      <c r="AY81" s="2" t="s">
        <v>52</v>
      </c>
    </row>
    <row r="82" spans="1:51" ht="30" customHeight="1" x14ac:dyDescent="0.3">
      <c r="A82" s="9" t="s">
        <v>926</v>
      </c>
      <c r="B82" s="9" t="s">
        <v>927</v>
      </c>
      <c r="C82" s="9" t="s">
        <v>928</v>
      </c>
      <c r="D82" s="10">
        <v>15</v>
      </c>
      <c r="E82" s="15">
        <f>'단가대비표(총체)'!O30</f>
        <v>0</v>
      </c>
      <c r="F82" s="16">
        <f>TRUNC(E82*D82,1)</f>
        <v>0</v>
      </c>
      <c r="G82" s="15">
        <f>'단가대비표(총체)'!P30</f>
        <v>0</v>
      </c>
      <c r="H82" s="16">
        <f>TRUNC(G82*D82,1)</f>
        <v>0</v>
      </c>
      <c r="I82" s="15">
        <f>'단가대비표(총체)'!V30</f>
        <v>0</v>
      </c>
      <c r="J82" s="16">
        <f>TRUNC(I82*D82,1)</f>
        <v>0</v>
      </c>
      <c r="K82" s="15">
        <f t="shared" si="10"/>
        <v>0</v>
      </c>
      <c r="L82" s="16">
        <f t="shared" si="10"/>
        <v>0</v>
      </c>
      <c r="M82" s="9" t="s">
        <v>52</v>
      </c>
      <c r="N82" s="2" t="s">
        <v>124</v>
      </c>
      <c r="O82" s="2" t="s">
        <v>929</v>
      </c>
      <c r="P82" s="2" t="s">
        <v>61</v>
      </c>
      <c r="Q82" s="2" t="s">
        <v>61</v>
      </c>
      <c r="R82" s="2" t="s">
        <v>60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2" t="s">
        <v>52</v>
      </c>
      <c r="AW82" s="2" t="s">
        <v>930</v>
      </c>
      <c r="AX82" s="2" t="s">
        <v>52</v>
      </c>
      <c r="AY82" s="2" t="s">
        <v>52</v>
      </c>
    </row>
    <row r="83" spans="1:51" ht="30" customHeight="1" x14ac:dyDescent="0.3">
      <c r="A83" s="9" t="s">
        <v>931</v>
      </c>
      <c r="B83" s="9" t="s">
        <v>822</v>
      </c>
      <c r="C83" s="9" t="s">
        <v>823</v>
      </c>
      <c r="D83" s="10">
        <v>0.03</v>
      </c>
      <c r="E83" s="15">
        <f>'단가대비표(총체)'!O192</f>
        <v>0</v>
      </c>
      <c r="F83" s="16">
        <f>TRUNC(E83*D83,1)</f>
        <v>0</v>
      </c>
      <c r="G83" s="15">
        <f>'단가대비표(총체)'!P192</f>
        <v>0</v>
      </c>
      <c r="H83" s="16">
        <f>TRUNC(G83*D83,1)</f>
        <v>0</v>
      </c>
      <c r="I83" s="15">
        <f>'단가대비표(총체)'!V192</f>
        <v>0</v>
      </c>
      <c r="J83" s="16">
        <f>TRUNC(I83*D83,1)</f>
        <v>0</v>
      </c>
      <c r="K83" s="15">
        <f t="shared" si="10"/>
        <v>0</v>
      </c>
      <c r="L83" s="16">
        <f t="shared" si="10"/>
        <v>0</v>
      </c>
      <c r="M83" s="9" t="s">
        <v>52</v>
      </c>
      <c r="N83" s="2" t="s">
        <v>124</v>
      </c>
      <c r="O83" s="2" t="s">
        <v>932</v>
      </c>
      <c r="P83" s="2" t="s">
        <v>61</v>
      </c>
      <c r="Q83" s="2" t="s">
        <v>61</v>
      </c>
      <c r="R83" s="2" t="s">
        <v>60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2" t="s">
        <v>52</v>
      </c>
      <c r="AW83" s="2" t="s">
        <v>933</v>
      </c>
      <c r="AX83" s="2" t="s">
        <v>52</v>
      </c>
      <c r="AY83" s="2" t="s">
        <v>52</v>
      </c>
    </row>
    <row r="84" spans="1:51" ht="30" customHeight="1" x14ac:dyDescent="0.3">
      <c r="A84" s="9" t="s">
        <v>821</v>
      </c>
      <c r="B84" s="9" t="s">
        <v>822</v>
      </c>
      <c r="C84" s="9" t="s">
        <v>823</v>
      </c>
      <c r="D84" s="10">
        <v>0.03</v>
      </c>
      <c r="E84" s="15">
        <f>'단가대비표(총체)'!O180</f>
        <v>0</v>
      </c>
      <c r="F84" s="16">
        <f>TRUNC(E84*D84,1)</f>
        <v>0</v>
      </c>
      <c r="G84" s="15">
        <f>'단가대비표(총체)'!P180</f>
        <v>0</v>
      </c>
      <c r="H84" s="16">
        <f>TRUNC(G84*D84,1)</f>
        <v>0</v>
      </c>
      <c r="I84" s="15">
        <f>'단가대비표(총체)'!V180</f>
        <v>0</v>
      </c>
      <c r="J84" s="16">
        <f>TRUNC(I84*D84,1)</f>
        <v>0</v>
      </c>
      <c r="K84" s="15">
        <f t="shared" si="10"/>
        <v>0</v>
      </c>
      <c r="L84" s="16">
        <f t="shared" si="10"/>
        <v>0</v>
      </c>
      <c r="M84" s="9" t="s">
        <v>52</v>
      </c>
      <c r="N84" s="2" t="s">
        <v>124</v>
      </c>
      <c r="O84" s="2" t="s">
        <v>824</v>
      </c>
      <c r="P84" s="2" t="s">
        <v>61</v>
      </c>
      <c r="Q84" s="2" t="s">
        <v>61</v>
      </c>
      <c r="R84" s="2" t="s">
        <v>60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2" t="s">
        <v>52</v>
      </c>
      <c r="AW84" s="2" t="s">
        <v>934</v>
      </c>
      <c r="AX84" s="2" t="s">
        <v>52</v>
      </c>
      <c r="AY84" s="2" t="s">
        <v>52</v>
      </c>
    </row>
    <row r="85" spans="1:51" ht="30" customHeight="1" x14ac:dyDescent="0.3">
      <c r="A85" s="9" t="s">
        <v>811</v>
      </c>
      <c r="B85" s="9" t="s">
        <v>52</v>
      </c>
      <c r="C85" s="9" t="s">
        <v>52</v>
      </c>
      <c r="D85" s="10"/>
      <c r="E85" s="15"/>
      <c r="F85" s="16">
        <f>TRUNC(SUMIF(N81:N84, N80, F81:F84),0)</f>
        <v>0</v>
      </c>
      <c r="G85" s="15"/>
      <c r="H85" s="16">
        <f>TRUNC(SUMIF(N81:N84, N80, H81:H84),0)</f>
        <v>0</v>
      </c>
      <c r="I85" s="15"/>
      <c r="J85" s="16">
        <f>TRUNC(SUMIF(N81:N84, N80, J81:J84),0)</f>
        <v>0</v>
      </c>
      <c r="K85" s="15"/>
      <c r="L85" s="16">
        <f>F85+H85+J85</f>
        <v>0</v>
      </c>
      <c r="M85" s="9" t="s">
        <v>52</v>
      </c>
      <c r="N85" s="2" t="s">
        <v>94</v>
      </c>
      <c r="O85" s="2" t="s">
        <v>94</v>
      </c>
      <c r="P85" s="2" t="s">
        <v>52</v>
      </c>
      <c r="Q85" s="2" t="s">
        <v>52</v>
      </c>
      <c r="R85" s="2" t="s">
        <v>52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2" t="s">
        <v>52</v>
      </c>
      <c r="AW85" s="2" t="s">
        <v>52</v>
      </c>
      <c r="AX85" s="2" t="s">
        <v>52</v>
      </c>
      <c r="AY85" s="2" t="s">
        <v>52</v>
      </c>
    </row>
    <row r="86" spans="1:51" ht="30" customHeight="1" x14ac:dyDescent="0.3">
      <c r="A86" s="10"/>
      <c r="B86" s="10"/>
      <c r="C86" s="10"/>
      <c r="D86" s="10"/>
      <c r="E86" s="15"/>
      <c r="F86" s="16"/>
      <c r="G86" s="15"/>
      <c r="H86" s="16"/>
      <c r="I86" s="15"/>
      <c r="J86" s="16"/>
      <c r="K86" s="15"/>
      <c r="L86" s="16"/>
      <c r="M86" s="10"/>
    </row>
    <row r="87" spans="1:51" ht="30" customHeight="1" x14ac:dyDescent="0.3">
      <c r="A87" s="44" t="s">
        <v>935</v>
      </c>
      <c r="B87" s="44"/>
      <c r="C87" s="44"/>
      <c r="D87" s="44"/>
      <c r="E87" s="45"/>
      <c r="F87" s="46"/>
      <c r="G87" s="45"/>
      <c r="H87" s="46"/>
      <c r="I87" s="45"/>
      <c r="J87" s="46"/>
      <c r="K87" s="45"/>
      <c r="L87" s="46"/>
      <c r="M87" s="44"/>
      <c r="N87" s="1" t="s">
        <v>130</v>
      </c>
    </row>
    <row r="88" spans="1:51" ht="30" customHeight="1" x14ac:dyDescent="0.3">
      <c r="A88" s="9" t="s">
        <v>893</v>
      </c>
      <c r="B88" s="9" t="s">
        <v>894</v>
      </c>
      <c r="C88" s="9" t="s">
        <v>637</v>
      </c>
      <c r="D88" s="10">
        <v>2.5999999999999999E-2</v>
      </c>
      <c r="E88" s="15">
        <f>'일위대가목록(총체)'!E137</f>
        <v>0</v>
      </c>
      <c r="F88" s="16">
        <f>TRUNC(E88*D88,1)</f>
        <v>0</v>
      </c>
      <c r="G88" s="15">
        <f>'일위대가목록(총체)'!F137</f>
        <v>0</v>
      </c>
      <c r="H88" s="16">
        <f>TRUNC(G88*D88,1)</f>
        <v>0</v>
      </c>
      <c r="I88" s="15">
        <f>'일위대가목록(총체)'!G137</f>
        <v>0</v>
      </c>
      <c r="J88" s="16">
        <f>TRUNC(I88*D88,1)</f>
        <v>0</v>
      </c>
      <c r="K88" s="15">
        <f t="shared" ref="K88:L91" si="11">TRUNC(E88+G88+I88,1)</f>
        <v>0</v>
      </c>
      <c r="L88" s="16">
        <f t="shared" si="11"/>
        <v>0</v>
      </c>
      <c r="M88" s="9" t="s">
        <v>52</v>
      </c>
      <c r="N88" s="2" t="s">
        <v>130</v>
      </c>
      <c r="O88" s="2" t="s">
        <v>895</v>
      </c>
      <c r="P88" s="2" t="s">
        <v>60</v>
      </c>
      <c r="Q88" s="2" t="s">
        <v>61</v>
      </c>
      <c r="R88" s="2" t="s">
        <v>61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2" t="s">
        <v>52</v>
      </c>
      <c r="AW88" s="2" t="s">
        <v>937</v>
      </c>
      <c r="AX88" s="2" t="s">
        <v>52</v>
      </c>
      <c r="AY88" s="2" t="s">
        <v>52</v>
      </c>
    </row>
    <row r="89" spans="1:51" ht="30" customHeight="1" x14ac:dyDescent="0.3">
      <c r="A89" s="9" t="s">
        <v>938</v>
      </c>
      <c r="B89" s="9" t="s">
        <v>939</v>
      </c>
      <c r="C89" s="9" t="s">
        <v>637</v>
      </c>
      <c r="D89" s="10">
        <v>5.0000000000000001E-3</v>
      </c>
      <c r="E89" s="15">
        <f>'일위대가목록(총체)'!E141</f>
        <v>0</v>
      </c>
      <c r="F89" s="16">
        <f>TRUNC(E89*D89,1)</f>
        <v>0</v>
      </c>
      <c r="G89" s="15">
        <f>'일위대가목록(총체)'!F141</f>
        <v>0</v>
      </c>
      <c r="H89" s="16">
        <f>TRUNC(G89*D89,1)</f>
        <v>0</v>
      </c>
      <c r="I89" s="15">
        <f>'일위대가목록(총체)'!G141</f>
        <v>0</v>
      </c>
      <c r="J89" s="16">
        <f>TRUNC(I89*D89,1)</f>
        <v>0</v>
      </c>
      <c r="K89" s="15">
        <f t="shared" si="11"/>
        <v>0</v>
      </c>
      <c r="L89" s="16">
        <f t="shared" si="11"/>
        <v>0</v>
      </c>
      <c r="M89" s="9" t="s">
        <v>52</v>
      </c>
      <c r="N89" s="2" t="s">
        <v>130</v>
      </c>
      <c r="O89" s="2" t="s">
        <v>940</v>
      </c>
      <c r="P89" s="2" t="s">
        <v>60</v>
      </c>
      <c r="Q89" s="2" t="s">
        <v>61</v>
      </c>
      <c r="R89" s="2" t="s">
        <v>61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2" t="s">
        <v>52</v>
      </c>
      <c r="AW89" s="2" t="s">
        <v>941</v>
      </c>
      <c r="AX89" s="2" t="s">
        <v>52</v>
      </c>
      <c r="AY89" s="2" t="s">
        <v>52</v>
      </c>
    </row>
    <row r="90" spans="1:51" ht="30" customHeight="1" x14ac:dyDescent="0.3">
      <c r="A90" s="9" t="s">
        <v>942</v>
      </c>
      <c r="B90" s="9" t="s">
        <v>943</v>
      </c>
      <c r="C90" s="9" t="s">
        <v>68</v>
      </c>
      <c r="D90" s="10">
        <v>1</v>
      </c>
      <c r="E90" s="15">
        <f>'일위대가목록(총체)'!E142</f>
        <v>0</v>
      </c>
      <c r="F90" s="16">
        <f>TRUNC(E90*D90,1)</f>
        <v>0</v>
      </c>
      <c r="G90" s="15">
        <f>'일위대가목록(총체)'!F142</f>
        <v>0</v>
      </c>
      <c r="H90" s="16">
        <f>TRUNC(G90*D90,1)</f>
        <v>0</v>
      </c>
      <c r="I90" s="15">
        <f>'일위대가목록(총체)'!G142</f>
        <v>0</v>
      </c>
      <c r="J90" s="16">
        <f>TRUNC(I90*D90,1)</f>
        <v>0</v>
      </c>
      <c r="K90" s="15">
        <f t="shared" si="11"/>
        <v>0</v>
      </c>
      <c r="L90" s="16">
        <f t="shared" si="11"/>
        <v>0</v>
      </c>
      <c r="M90" s="9" t="s">
        <v>52</v>
      </c>
      <c r="N90" s="2" t="s">
        <v>130</v>
      </c>
      <c r="O90" s="2" t="s">
        <v>944</v>
      </c>
      <c r="P90" s="2" t="s">
        <v>60</v>
      </c>
      <c r="Q90" s="2" t="s">
        <v>61</v>
      </c>
      <c r="R90" s="2" t="s">
        <v>61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2" t="s">
        <v>52</v>
      </c>
      <c r="AW90" s="2" t="s">
        <v>945</v>
      </c>
      <c r="AX90" s="2" t="s">
        <v>52</v>
      </c>
      <c r="AY90" s="2" t="s">
        <v>52</v>
      </c>
    </row>
    <row r="91" spans="1:51" ht="30" customHeight="1" x14ac:dyDescent="0.3">
      <c r="A91" s="9" t="s">
        <v>946</v>
      </c>
      <c r="B91" s="9" t="s">
        <v>943</v>
      </c>
      <c r="C91" s="9" t="s">
        <v>68</v>
      </c>
      <c r="D91" s="10">
        <v>1</v>
      </c>
      <c r="E91" s="15">
        <f>'일위대가목록(총체)'!E143</f>
        <v>0</v>
      </c>
      <c r="F91" s="16">
        <f>TRUNC(E91*D91,1)</f>
        <v>0</v>
      </c>
      <c r="G91" s="15">
        <f>'일위대가목록(총체)'!F143</f>
        <v>0</v>
      </c>
      <c r="H91" s="16">
        <f>TRUNC(G91*D91,1)</f>
        <v>0</v>
      </c>
      <c r="I91" s="15">
        <f>'일위대가목록(총체)'!G143</f>
        <v>0</v>
      </c>
      <c r="J91" s="16">
        <f>TRUNC(I91*D91,1)</f>
        <v>0</v>
      </c>
      <c r="K91" s="15">
        <f t="shared" si="11"/>
        <v>0</v>
      </c>
      <c r="L91" s="16">
        <f t="shared" si="11"/>
        <v>0</v>
      </c>
      <c r="M91" s="9" t="s">
        <v>52</v>
      </c>
      <c r="N91" s="2" t="s">
        <v>130</v>
      </c>
      <c r="O91" s="2" t="s">
        <v>947</v>
      </c>
      <c r="P91" s="2" t="s">
        <v>60</v>
      </c>
      <c r="Q91" s="2" t="s">
        <v>61</v>
      </c>
      <c r="R91" s="2" t="s">
        <v>61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2" t="s">
        <v>52</v>
      </c>
      <c r="AW91" s="2" t="s">
        <v>948</v>
      </c>
      <c r="AX91" s="2" t="s">
        <v>52</v>
      </c>
      <c r="AY91" s="2" t="s">
        <v>52</v>
      </c>
    </row>
    <row r="92" spans="1:51" ht="30" customHeight="1" x14ac:dyDescent="0.3">
      <c r="A92" s="9" t="s">
        <v>811</v>
      </c>
      <c r="B92" s="9" t="s">
        <v>52</v>
      </c>
      <c r="C92" s="9" t="s">
        <v>52</v>
      </c>
      <c r="D92" s="10"/>
      <c r="E92" s="15"/>
      <c r="F92" s="16">
        <f>TRUNC(SUMIF(N88:N91, N87, F88:F91),0)</f>
        <v>0</v>
      </c>
      <c r="G92" s="15"/>
      <c r="H92" s="16">
        <f>TRUNC(SUMIF(N88:N91, N87, H88:H91),0)</f>
        <v>0</v>
      </c>
      <c r="I92" s="15"/>
      <c r="J92" s="16">
        <f>TRUNC(SUMIF(N88:N91, N87, J88:J91),0)</f>
        <v>0</v>
      </c>
      <c r="K92" s="15"/>
      <c r="L92" s="16">
        <f>F92+H92+J92</f>
        <v>0</v>
      </c>
      <c r="M92" s="9" t="s">
        <v>52</v>
      </c>
      <c r="N92" s="2" t="s">
        <v>94</v>
      </c>
      <c r="O92" s="2" t="s">
        <v>94</v>
      </c>
      <c r="P92" s="2" t="s">
        <v>52</v>
      </c>
      <c r="Q92" s="2" t="s">
        <v>52</v>
      </c>
      <c r="R92" s="2" t="s">
        <v>52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2" t="s">
        <v>52</v>
      </c>
      <c r="AW92" s="2" t="s">
        <v>52</v>
      </c>
      <c r="AX92" s="2" t="s">
        <v>52</v>
      </c>
      <c r="AY92" s="2" t="s">
        <v>52</v>
      </c>
    </row>
    <row r="93" spans="1:51" ht="30" customHeight="1" x14ac:dyDescent="0.3">
      <c r="A93" s="10"/>
      <c r="B93" s="10"/>
      <c r="C93" s="10"/>
      <c r="D93" s="10"/>
      <c r="E93" s="15"/>
      <c r="F93" s="16"/>
      <c r="G93" s="15"/>
      <c r="H93" s="16"/>
      <c r="I93" s="15"/>
      <c r="J93" s="16"/>
      <c r="K93" s="15"/>
      <c r="L93" s="16"/>
      <c r="M93" s="10"/>
    </row>
    <row r="94" spans="1:51" ht="30" customHeight="1" x14ac:dyDescent="0.3">
      <c r="A94" s="44" t="s">
        <v>949</v>
      </c>
      <c r="B94" s="44"/>
      <c r="C94" s="44"/>
      <c r="D94" s="44"/>
      <c r="E94" s="45"/>
      <c r="F94" s="46"/>
      <c r="G94" s="45"/>
      <c r="H94" s="46"/>
      <c r="I94" s="45"/>
      <c r="J94" s="46"/>
      <c r="K94" s="45"/>
      <c r="L94" s="46"/>
      <c r="M94" s="44"/>
      <c r="N94" s="1" t="s">
        <v>134</v>
      </c>
    </row>
    <row r="95" spans="1:51" ht="30" customHeight="1" x14ac:dyDescent="0.3">
      <c r="A95" s="9" t="s">
        <v>893</v>
      </c>
      <c r="B95" s="9" t="s">
        <v>894</v>
      </c>
      <c r="C95" s="9" t="s">
        <v>637</v>
      </c>
      <c r="D95" s="10">
        <v>1.2E-2</v>
      </c>
      <c r="E95" s="15">
        <f>'일위대가목록(총체)'!E137</f>
        <v>0</v>
      </c>
      <c r="F95" s="16">
        <f>TRUNC(E95*D95,1)</f>
        <v>0</v>
      </c>
      <c r="G95" s="15">
        <f>'일위대가목록(총체)'!F137</f>
        <v>0</v>
      </c>
      <c r="H95" s="16">
        <f>TRUNC(G95*D95,1)</f>
        <v>0</v>
      </c>
      <c r="I95" s="15">
        <f>'일위대가목록(총체)'!G137</f>
        <v>0</v>
      </c>
      <c r="J95" s="16">
        <f>TRUNC(I95*D95,1)</f>
        <v>0</v>
      </c>
      <c r="K95" s="15">
        <f t="shared" ref="K95:L97" si="12">TRUNC(E95+G95+I95,1)</f>
        <v>0</v>
      </c>
      <c r="L95" s="16">
        <f t="shared" si="12"/>
        <v>0</v>
      </c>
      <c r="M95" s="9" t="s">
        <v>52</v>
      </c>
      <c r="N95" s="2" t="s">
        <v>134</v>
      </c>
      <c r="O95" s="2" t="s">
        <v>895</v>
      </c>
      <c r="P95" s="2" t="s">
        <v>60</v>
      </c>
      <c r="Q95" s="2" t="s">
        <v>61</v>
      </c>
      <c r="R95" s="2" t="s">
        <v>61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2" t="s">
        <v>52</v>
      </c>
      <c r="AW95" s="2" t="s">
        <v>951</v>
      </c>
      <c r="AX95" s="2" t="s">
        <v>52</v>
      </c>
      <c r="AY95" s="2" t="s">
        <v>52</v>
      </c>
    </row>
    <row r="96" spans="1:51" ht="30" customHeight="1" x14ac:dyDescent="0.3">
      <c r="A96" s="9" t="s">
        <v>911</v>
      </c>
      <c r="B96" s="9" t="s">
        <v>912</v>
      </c>
      <c r="C96" s="9" t="s">
        <v>68</v>
      </c>
      <c r="D96" s="10">
        <v>1</v>
      </c>
      <c r="E96" s="15">
        <f>'일위대가목록(총체)'!E140</f>
        <v>0</v>
      </c>
      <c r="F96" s="16">
        <f>TRUNC(E96*D96,1)</f>
        <v>0</v>
      </c>
      <c r="G96" s="15">
        <f>'일위대가목록(총체)'!F140</f>
        <v>0</v>
      </c>
      <c r="H96" s="16">
        <f>TRUNC(G96*D96,1)</f>
        <v>0</v>
      </c>
      <c r="I96" s="15">
        <f>'일위대가목록(총체)'!G140</f>
        <v>0</v>
      </c>
      <c r="J96" s="16">
        <f>TRUNC(I96*D96,1)</f>
        <v>0</v>
      </c>
      <c r="K96" s="15">
        <f t="shared" si="12"/>
        <v>0</v>
      </c>
      <c r="L96" s="16">
        <f t="shared" si="12"/>
        <v>0</v>
      </c>
      <c r="M96" s="9" t="s">
        <v>52</v>
      </c>
      <c r="N96" s="2" t="s">
        <v>134</v>
      </c>
      <c r="O96" s="2" t="s">
        <v>913</v>
      </c>
      <c r="P96" s="2" t="s">
        <v>60</v>
      </c>
      <c r="Q96" s="2" t="s">
        <v>61</v>
      </c>
      <c r="R96" s="2" t="s">
        <v>61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2" t="s">
        <v>52</v>
      </c>
      <c r="AW96" s="2" t="s">
        <v>952</v>
      </c>
      <c r="AX96" s="2" t="s">
        <v>52</v>
      </c>
      <c r="AY96" s="2" t="s">
        <v>52</v>
      </c>
    </row>
    <row r="97" spans="1:51" ht="30" customHeight="1" x14ac:dyDescent="0.3">
      <c r="A97" s="9" t="s">
        <v>953</v>
      </c>
      <c r="B97" s="9" t="s">
        <v>954</v>
      </c>
      <c r="C97" s="9" t="s">
        <v>68</v>
      </c>
      <c r="D97" s="10">
        <v>1</v>
      </c>
      <c r="E97" s="15">
        <f>'일위대가목록(총체)'!E144</f>
        <v>0</v>
      </c>
      <c r="F97" s="16">
        <f>TRUNC(E97*D97,1)</f>
        <v>0</v>
      </c>
      <c r="G97" s="15">
        <f>'일위대가목록(총체)'!F144</f>
        <v>0</v>
      </c>
      <c r="H97" s="16">
        <f>TRUNC(G97*D97,1)</f>
        <v>0</v>
      </c>
      <c r="I97" s="15">
        <f>'일위대가목록(총체)'!G144</f>
        <v>0</v>
      </c>
      <c r="J97" s="16">
        <f>TRUNC(I97*D97,1)</f>
        <v>0</v>
      </c>
      <c r="K97" s="15">
        <f t="shared" si="12"/>
        <v>0</v>
      </c>
      <c r="L97" s="16">
        <f t="shared" si="12"/>
        <v>0</v>
      </c>
      <c r="M97" s="9" t="s">
        <v>52</v>
      </c>
      <c r="N97" s="2" t="s">
        <v>134</v>
      </c>
      <c r="O97" s="2" t="s">
        <v>955</v>
      </c>
      <c r="P97" s="2" t="s">
        <v>60</v>
      </c>
      <c r="Q97" s="2" t="s">
        <v>61</v>
      </c>
      <c r="R97" s="2" t="s">
        <v>61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2" t="s">
        <v>52</v>
      </c>
      <c r="AW97" s="2" t="s">
        <v>956</v>
      </c>
      <c r="AX97" s="2" t="s">
        <v>52</v>
      </c>
      <c r="AY97" s="2" t="s">
        <v>52</v>
      </c>
    </row>
    <row r="98" spans="1:51" ht="30" customHeight="1" x14ac:dyDescent="0.3">
      <c r="A98" s="9" t="s">
        <v>811</v>
      </c>
      <c r="B98" s="9" t="s">
        <v>52</v>
      </c>
      <c r="C98" s="9" t="s">
        <v>52</v>
      </c>
      <c r="D98" s="10"/>
      <c r="E98" s="15"/>
      <c r="F98" s="16">
        <f>TRUNC(SUMIF(N95:N97, N94, F95:F97),0)</f>
        <v>0</v>
      </c>
      <c r="G98" s="15"/>
      <c r="H98" s="16">
        <f>TRUNC(SUMIF(N95:N97, N94, H95:H97),0)</f>
        <v>0</v>
      </c>
      <c r="I98" s="15"/>
      <c r="J98" s="16">
        <f>TRUNC(SUMIF(N95:N97, N94, J95:J97),0)</f>
        <v>0</v>
      </c>
      <c r="K98" s="15"/>
      <c r="L98" s="16">
        <f>F98+H98+J98</f>
        <v>0</v>
      </c>
      <c r="M98" s="9" t="s">
        <v>52</v>
      </c>
      <c r="N98" s="2" t="s">
        <v>94</v>
      </c>
      <c r="O98" s="2" t="s">
        <v>94</v>
      </c>
      <c r="P98" s="2" t="s">
        <v>52</v>
      </c>
      <c r="Q98" s="2" t="s">
        <v>52</v>
      </c>
      <c r="R98" s="2" t="s">
        <v>52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2" t="s">
        <v>52</v>
      </c>
      <c r="AW98" s="2" t="s">
        <v>52</v>
      </c>
      <c r="AX98" s="2" t="s">
        <v>52</v>
      </c>
      <c r="AY98" s="2" t="s">
        <v>52</v>
      </c>
    </row>
    <row r="99" spans="1:51" ht="30" customHeight="1" x14ac:dyDescent="0.3">
      <c r="A99" s="10"/>
      <c r="B99" s="10"/>
      <c r="C99" s="10"/>
      <c r="D99" s="10"/>
      <c r="E99" s="15"/>
      <c r="F99" s="16"/>
      <c r="G99" s="15"/>
      <c r="H99" s="16"/>
      <c r="I99" s="15"/>
      <c r="J99" s="16"/>
      <c r="K99" s="15"/>
      <c r="L99" s="16"/>
      <c r="M99" s="10"/>
    </row>
    <row r="100" spans="1:51" ht="30" customHeight="1" x14ac:dyDescent="0.3">
      <c r="A100" s="44" t="s">
        <v>957</v>
      </c>
      <c r="B100" s="44"/>
      <c r="C100" s="44"/>
      <c r="D100" s="44"/>
      <c r="E100" s="45"/>
      <c r="F100" s="46"/>
      <c r="G100" s="45"/>
      <c r="H100" s="46"/>
      <c r="I100" s="45"/>
      <c r="J100" s="46"/>
      <c r="K100" s="45"/>
      <c r="L100" s="46"/>
      <c r="M100" s="44"/>
      <c r="N100" s="1" t="s">
        <v>138</v>
      </c>
    </row>
    <row r="101" spans="1:51" ht="30" customHeight="1" x14ac:dyDescent="0.3">
      <c r="A101" s="9" t="s">
        <v>959</v>
      </c>
      <c r="B101" s="9" t="s">
        <v>960</v>
      </c>
      <c r="C101" s="9" t="s">
        <v>68</v>
      </c>
      <c r="D101" s="10">
        <v>0.14299999999999999</v>
      </c>
      <c r="E101" s="15">
        <f>'단가대비표(총체)'!O37</f>
        <v>0</v>
      </c>
      <c r="F101" s="16">
        <f>TRUNC(E101*D101,1)</f>
        <v>0</v>
      </c>
      <c r="G101" s="15">
        <f>'단가대비표(총체)'!P37</f>
        <v>0</v>
      </c>
      <c r="H101" s="16">
        <f>TRUNC(G101*D101,1)</f>
        <v>0</v>
      </c>
      <c r="I101" s="15">
        <f>'단가대비표(총체)'!V37</f>
        <v>0</v>
      </c>
      <c r="J101" s="16">
        <f>TRUNC(I101*D101,1)</f>
        <v>0</v>
      </c>
      <c r="K101" s="15">
        <f t="shared" ref="K101:L103" si="13">TRUNC(E101+G101+I101,1)</f>
        <v>0</v>
      </c>
      <c r="L101" s="16">
        <f t="shared" si="13"/>
        <v>0</v>
      </c>
      <c r="M101" s="9" t="s">
        <v>52</v>
      </c>
      <c r="N101" s="2" t="s">
        <v>138</v>
      </c>
      <c r="O101" s="2" t="s">
        <v>961</v>
      </c>
      <c r="P101" s="2" t="s">
        <v>61</v>
      </c>
      <c r="Q101" s="2" t="s">
        <v>61</v>
      </c>
      <c r="R101" s="2" t="s">
        <v>60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2" t="s">
        <v>52</v>
      </c>
      <c r="AW101" s="2" t="s">
        <v>962</v>
      </c>
      <c r="AX101" s="2" t="s">
        <v>52</v>
      </c>
      <c r="AY101" s="2" t="s">
        <v>52</v>
      </c>
    </row>
    <row r="102" spans="1:51" ht="30" customHeight="1" x14ac:dyDescent="0.3">
      <c r="A102" s="9" t="s">
        <v>963</v>
      </c>
      <c r="B102" s="9" t="s">
        <v>894</v>
      </c>
      <c r="C102" s="9" t="s">
        <v>637</v>
      </c>
      <c r="D102" s="10">
        <v>3.0000000000000001E-3</v>
      </c>
      <c r="E102" s="15">
        <f>'일위대가목록(총체)'!E147</f>
        <v>0</v>
      </c>
      <c r="F102" s="16">
        <f>TRUNC(E102*D102,1)</f>
        <v>0</v>
      </c>
      <c r="G102" s="15">
        <f>'일위대가목록(총체)'!F147</f>
        <v>0</v>
      </c>
      <c r="H102" s="16">
        <f>TRUNC(G102*D102,1)</f>
        <v>0</v>
      </c>
      <c r="I102" s="15">
        <f>'일위대가목록(총체)'!G147</f>
        <v>0</v>
      </c>
      <c r="J102" s="16">
        <f>TRUNC(I102*D102,1)</f>
        <v>0</v>
      </c>
      <c r="K102" s="15">
        <f t="shared" si="13"/>
        <v>0</v>
      </c>
      <c r="L102" s="16">
        <f t="shared" si="13"/>
        <v>0</v>
      </c>
      <c r="M102" s="9" t="s">
        <v>52</v>
      </c>
      <c r="N102" s="2" t="s">
        <v>138</v>
      </c>
      <c r="O102" s="2" t="s">
        <v>964</v>
      </c>
      <c r="P102" s="2" t="s">
        <v>60</v>
      </c>
      <c r="Q102" s="2" t="s">
        <v>61</v>
      </c>
      <c r="R102" s="2" t="s">
        <v>61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2" t="s">
        <v>52</v>
      </c>
      <c r="AW102" s="2" t="s">
        <v>965</v>
      </c>
      <c r="AX102" s="2" t="s">
        <v>52</v>
      </c>
      <c r="AY102" s="2" t="s">
        <v>52</v>
      </c>
    </row>
    <row r="103" spans="1:51" ht="30" customHeight="1" x14ac:dyDescent="0.3">
      <c r="A103" s="9" t="s">
        <v>966</v>
      </c>
      <c r="B103" s="9" t="s">
        <v>967</v>
      </c>
      <c r="C103" s="9" t="s">
        <v>68</v>
      </c>
      <c r="D103" s="10">
        <v>0.1</v>
      </c>
      <c r="E103" s="15">
        <f>'일위대가목록(총체)'!E148</f>
        <v>0</v>
      </c>
      <c r="F103" s="16">
        <f>TRUNC(E103*D103,1)</f>
        <v>0</v>
      </c>
      <c r="G103" s="15">
        <f>'일위대가목록(총체)'!F148</f>
        <v>0</v>
      </c>
      <c r="H103" s="16">
        <f>TRUNC(G103*D103,1)</f>
        <v>0</v>
      </c>
      <c r="I103" s="15">
        <f>'일위대가목록(총체)'!G148</f>
        <v>0</v>
      </c>
      <c r="J103" s="16">
        <f>TRUNC(I103*D103,1)</f>
        <v>0</v>
      </c>
      <c r="K103" s="15">
        <f t="shared" si="13"/>
        <v>0</v>
      </c>
      <c r="L103" s="16">
        <f t="shared" si="13"/>
        <v>0</v>
      </c>
      <c r="M103" s="9" t="s">
        <v>52</v>
      </c>
      <c r="N103" s="2" t="s">
        <v>138</v>
      </c>
      <c r="O103" s="2" t="s">
        <v>968</v>
      </c>
      <c r="P103" s="2" t="s">
        <v>60</v>
      </c>
      <c r="Q103" s="2" t="s">
        <v>61</v>
      </c>
      <c r="R103" s="2" t="s">
        <v>61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2" t="s">
        <v>52</v>
      </c>
      <c r="AW103" s="2" t="s">
        <v>969</v>
      </c>
      <c r="AX103" s="2" t="s">
        <v>52</v>
      </c>
      <c r="AY103" s="2" t="s">
        <v>52</v>
      </c>
    </row>
    <row r="104" spans="1:51" ht="30" customHeight="1" x14ac:dyDescent="0.3">
      <c r="A104" s="9" t="s">
        <v>811</v>
      </c>
      <c r="B104" s="9" t="s">
        <v>52</v>
      </c>
      <c r="C104" s="9" t="s">
        <v>52</v>
      </c>
      <c r="D104" s="10"/>
      <c r="E104" s="15"/>
      <c r="F104" s="16">
        <f>TRUNC(SUMIF(N101:N103, N100, F101:F103),0)</f>
        <v>0</v>
      </c>
      <c r="G104" s="15"/>
      <c r="H104" s="16">
        <f>TRUNC(SUMIF(N101:N103, N100, H101:H103),0)</f>
        <v>0</v>
      </c>
      <c r="I104" s="15"/>
      <c r="J104" s="16">
        <f>TRUNC(SUMIF(N101:N103, N100, J101:J103),0)</f>
        <v>0</v>
      </c>
      <c r="K104" s="15"/>
      <c r="L104" s="16">
        <f>F104+H104+J104</f>
        <v>0</v>
      </c>
      <c r="M104" s="9" t="s">
        <v>52</v>
      </c>
      <c r="N104" s="2" t="s">
        <v>94</v>
      </c>
      <c r="O104" s="2" t="s">
        <v>94</v>
      </c>
      <c r="P104" s="2" t="s">
        <v>52</v>
      </c>
      <c r="Q104" s="2" t="s">
        <v>52</v>
      </c>
      <c r="R104" s="2" t="s">
        <v>52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2" t="s">
        <v>52</v>
      </c>
      <c r="AW104" s="2" t="s">
        <v>52</v>
      </c>
      <c r="AX104" s="2" t="s">
        <v>52</v>
      </c>
      <c r="AY104" s="2" t="s">
        <v>52</v>
      </c>
    </row>
    <row r="105" spans="1:51" ht="30" customHeight="1" x14ac:dyDescent="0.3">
      <c r="A105" s="10"/>
      <c r="B105" s="10"/>
      <c r="C105" s="10"/>
      <c r="D105" s="10"/>
      <c r="E105" s="15"/>
      <c r="F105" s="16"/>
      <c r="G105" s="15"/>
      <c r="H105" s="16"/>
      <c r="I105" s="15"/>
      <c r="J105" s="16"/>
      <c r="K105" s="15"/>
      <c r="L105" s="16"/>
      <c r="M105" s="10"/>
    </row>
    <row r="106" spans="1:51" ht="30" customHeight="1" x14ac:dyDescent="0.3">
      <c r="A106" s="44" t="s">
        <v>970</v>
      </c>
      <c r="B106" s="44"/>
      <c r="C106" s="44"/>
      <c r="D106" s="44"/>
      <c r="E106" s="45"/>
      <c r="F106" s="46"/>
      <c r="G106" s="45"/>
      <c r="H106" s="46"/>
      <c r="I106" s="45"/>
      <c r="J106" s="46"/>
      <c r="K106" s="45"/>
      <c r="L106" s="46"/>
      <c r="M106" s="44"/>
      <c r="N106" s="1" t="s">
        <v>150</v>
      </c>
    </row>
    <row r="107" spans="1:51" ht="30" customHeight="1" x14ac:dyDescent="0.3">
      <c r="A107" s="9" t="s">
        <v>972</v>
      </c>
      <c r="B107" s="9" t="s">
        <v>973</v>
      </c>
      <c r="C107" s="9" t="s">
        <v>974</v>
      </c>
      <c r="D107" s="10">
        <v>0.4</v>
      </c>
      <c r="E107" s="15">
        <f>'단가대비표(총체)'!O20</f>
        <v>0</v>
      </c>
      <c r="F107" s="16">
        <f t="shared" ref="F107:F114" si="14">TRUNC(E107*D107,1)</f>
        <v>0</v>
      </c>
      <c r="G107" s="15">
        <f>'단가대비표(총체)'!P20</f>
        <v>0</v>
      </c>
      <c r="H107" s="16">
        <f t="shared" ref="H107:H114" si="15">TRUNC(G107*D107,1)</f>
        <v>0</v>
      </c>
      <c r="I107" s="15">
        <f>'단가대비표(총체)'!V20</f>
        <v>0</v>
      </c>
      <c r="J107" s="16">
        <f t="shared" ref="J107:J114" si="16">TRUNC(I107*D107,1)</f>
        <v>0</v>
      </c>
      <c r="K107" s="15">
        <f t="shared" ref="K107:L114" si="17">TRUNC(E107+G107+I107,1)</f>
        <v>0</v>
      </c>
      <c r="L107" s="16">
        <f t="shared" si="17"/>
        <v>0</v>
      </c>
      <c r="M107" s="9" t="s">
        <v>52</v>
      </c>
      <c r="N107" s="2" t="s">
        <v>150</v>
      </c>
      <c r="O107" s="2" t="s">
        <v>975</v>
      </c>
      <c r="P107" s="2" t="s">
        <v>61</v>
      </c>
      <c r="Q107" s="2" t="s">
        <v>61</v>
      </c>
      <c r="R107" s="2" t="s">
        <v>60</v>
      </c>
      <c r="S107" s="3"/>
      <c r="T107" s="3"/>
      <c r="U107" s="3"/>
      <c r="V107" s="3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2" t="s">
        <v>52</v>
      </c>
      <c r="AW107" s="2" t="s">
        <v>976</v>
      </c>
      <c r="AX107" s="2" t="s">
        <v>52</v>
      </c>
      <c r="AY107" s="2" t="s">
        <v>52</v>
      </c>
    </row>
    <row r="108" spans="1:51" ht="30" customHeight="1" x14ac:dyDescent="0.3">
      <c r="A108" s="9" t="s">
        <v>972</v>
      </c>
      <c r="B108" s="9" t="s">
        <v>977</v>
      </c>
      <c r="C108" s="9" t="s">
        <v>974</v>
      </c>
      <c r="D108" s="10">
        <v>2.5</v>
      </c>
      <c r="E108" s="15">
        <f>'단가대비표(총체)'!O19</f>
        <v>0</v>
      </c>
      <c r="F108" s="16">
        <f t="shared" si="14"/>
        <v>0</v>
      </c>
      <c r="G108" s="15">
        <f>'단가대비표(총체)'!P19</f>
        <v>0</v>
      </c>
      <c r="H108" s="16">
        <f t="shared" si="15"/>
        <v>0</v>
      </c>
      <c r="I108" s="15">
        <f>'단가대비표(총체)'!V19</f>
        <v>0</v>
      </c>
      <c r="J108" s="16">
        <f t="shared" si="16"/>
        <v>0</v>
      </c>
      <c r="K108" s="15">
        <f t="shared" si="17"/>
        <v>0</v>
      </c>
      <c r="L108" s="16">
        <f t="shared" si="17"/>
        <v>0</v>
      </c>
      <c r="M108" s="9" t="s">
        <v>52</v>
      </c>
      <c r="N108" s="2" t="s">
        <v>150</v>
      </c>
      <c r="O108" s="2" t="s">
        <v>978</v>
      </c>
      <c r="P108" s="2" t="s">
        <v>61</v>
      </c>
      <c r="Q108" s="2" t="s">
        <v>61</v>
      </c>
      <c r="R108" s="2" t="s">
        <v>60</v>
      </c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2" t="s">
        <v>52</v>
      </c>
      <c r="AW108" s="2" t="s">
        <v>979</v>
      </c>
      <c r="AX108" s="2" t="s">
        <v>52</v>
      </c>
      <c r="AY108" s="2" t="s">
        <v>52</v>
      </c>
    </row>
    <row r="109" spans="1:51" ht="30" customHeight="1" x14ac:dyDescent="0.3">
      <c r="A109" s="9" t="s">
        <v>972</v>
      </c>
      <c r="B109" s="9" t="s">
        <v>980</v>
      </c>
      <c r="C109" s="9" t="s">
        <v>974</v>
      </c>
      <c r="D109" s="10">
        <v>1.2</v>
      </c>
      <c r="E109" s="15">
        <f>'단가대비표(총체)'!O21</f>
        <v>0</v>
      </c>
      <c r="F109" s="16">
        <f t="shared" si="14"/>
        <v>0</v>
      </c>
      <c r="G109" s="15">
        <f>'단가대비표(총체)'!P21</f>
        <v>0</v>
      </c>
      <c r="H109" s="16">
        <f t="shared" si="15"/>
        <v>0</v>
      </c>
      <c r="I109" s="15">
        <f>'단가대비표(총체)'!V21</f>
        <v>0</v>
      </c>
      <c r="J109" s="16">
        <f t="shared" si="16"/>
        <v>0</v>
      </c>
      <c r="K109" s="15">
        <f t="shared" si="17"/>
        <v>0</v>
      </c>
      <c r="L109" s="16">
        <f t="shared" si="17"/>
        <v>0</v>
      </c>
      <c r="M109" s="9" t="s">
        <v>52</v>
      </c>
      <c r="N109" s="2" t="s">
        <v>150</v>
      </c>
      <c r="O109" s="2" t="s">
        <v>981</v>
      </c>
      <c r="P109" s="2" t="s">
        <v>61</v>
      </c>
      <c r="Q109" s="2" t="s">
        <v>61</v>
      </c>
      <c r="R109" s="2" t="s">
        <v>60</v>
      </c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2" t="s">
        <v>52</v>
      </c>
      <c r="AW109" s="2" t="s">
        <v>982</v>
      </c>
      <c r="AX109" s="2" t="s">
        <v>52</v>
      </c>
      <c r="AY109" s="2" t="s">
        <v>52</v>
      </c>
    </row>
    <row r="110" spans="1:51" ht="30" customHeight="1" x14ac:dyDescent="0.3">
      <c r="A110" s="9" t="s">
        <v>983</v>
      </c>
      <c r="B110" s="9" t="s">
        <v>984</v>
      </c>
      <c r="C110" s="9" t="s">
        <v>307</v>
      </c>
      <c r="D110" s="10">
        <v>1</v>
      </c>
      <c r="E110" s="15">
        <f>TRUNC(SUMIF(V107:V114, RIGHTB(O110, 1), F107:F114)*U110, 2)</f>
        <v>0</v>
      </c>
      <c r="F110" s="16">
        <f t="shared" si="14"/>
        <v>0</v>
      </c>
      <c r="G110" s="15">
        <v>0</v>
      </c>
      <c r="H110" s="16">
        <f t="shared" si="15"/>
        <v>0</v>
      </c>
      <c r="I110" s="15">
        <v>0</v>
      </c>
      <c r="J110" s="16">
        <f t="shared" si="16"/>
        <v>0</v>
      </c>
      <c r="K110" s="15">
        <f t="shared" si="17"/>
        <v>0</v>
      </c>
      <c r="L110" s="16">
        <f t="shared" si="17"/>
        <v>0</v>
      </c>
      <c r="M110" s="9" t="s">
        <v>52</v>
      </c>
      <c r="N110" s="2" t="s">
        <v>150</v>
      </c>
      <c r="O110" s="2" t="s">
        <v>809</v>
      </c>
      <c r="P110" s="2" t="s">
        <v>61</v>
      </c>
      <c r="Q110" s="2" t="s">
        <v>61</v>
      </c>
      <c r="R110" s="2" t="s">
        <v>61</v>
      </c>
      <c r="S110" s="3">
        <v>0</v>
      </c>
      <c r="T110" s="3">
        <v>0</v>
      </c>
      <c r="U110" s="3">
        <v>0.02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2" t="s">
        <v>52</v>
      </c>
      <c r="AW110" s="2" t="s">
        <v>985</v>
      </c>
      <c r="AX110" s="2" t="s">
        <v>52</v>
      </c>
      <c r="AY110" s="2" t="s">
        <v>52</v>
      </c>
    </row>
    <row r="111" spans="1:51" ht="30" customHeight="1" x14ac:dyDescent="0.3">
      <c r="A111" s="9" t="s">
        <v>986</v>
      </c>
      <c r="B111" s="9" t="s">
        <v>156</v>
      </c>
      <c r="C111" s="9" t="s">
        <v>68</v>
      </c>
      <c r="D111" s="10">
        <v>1</v>
      </c>
      <c r="E111" s="15">
        <f>'일위대가목록(총체)'!E150</f>
        <v>0</v>
      </c>
      <c r="F111" s="16">
        <f t="shared" si="14"/>
        <v>0</v>
      </c>
      <c r="G111" s="15">
        <f>'일위대가목록(총체)'!F150</f>
        <v>0</v>
      </c>
      <c r="H111" s="16">
        <f t="shared" si="15"/>
        <v>0</v>
      </c>
      <c r="I111" s="15">
        <f>'일위대가목록(총체)'!G150</f>
        <v>0</v>
      </c>
      <c r="J111" s="16">
        <f t="shared" si="16"/>
        <v>0</v>
      </c>
      <c r="K111" s="15">
        <f t="shared" si="17"/>
        <v>0</v>
      </c>
      <c r="L111" s="16">
        <f t="shared" si="17"/>
        <v>0</v>
      </c>
      <c r="M111" s="9" t="s">
        <v>52</v>
      </c>
      <c r="N111" s="2" t="s">
        <v>150</v>
      </c>
      <c r="O111" s="2" t="s">
        <v>987</v>
      </c>
      <c r="P111" s="2" t="s">
        <v>60</v>
      </c>
      <c r="Q111" s="2" t="s">
        <v>61</v>
      </c>
      <c r="R111" s="2" t="s">
        <v>61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2" t="s">
        <v>52</v>
      </c>
      <c r="AW111" s="2" t="s">
        <v>988</v>
      </c>
      <c r="AX111" s="2" t="s">
        <v>52</v>
      </c>
      <c r="AY111" s="2" t="s">
        <v>52</v>
      </c>
    </row>
    <row r="112" spans="1:51" ht="30" customHeight="1" x14ac:dyDescent="0.3">
      <c r="A112" s="9" t="s">
        <v>989</v>
      </c>
      <c r="B112" s="9" t="s">
        <v>990</v>
      </c>
      <c r="C112" s="9" t="s">
        <v>68</v>
      </c>
      <c r="D112" s="10">
        <v>1</v>
      </c>
      <c r="E112" s="15">
        <f>'일위대가목록(총체)'!E151</f>
        <v>0</v>
      </c>
      <c r="F112" s="16">
        <f t="shared" si="14"/>
        <v>0</v>
      </c>
      <c r="G112" s="15">
        <f>'일위대가목록(총체)'!F151</f>
        <v>0</v>
      </c>
      <c r="H112" s="16">
        <f t="shared" si="15"/>
        <v>0</v>
      </c>
      <c r="I112" s="15">
        <f>'일위대가목록(총체)'!G151</f>
        <v>0</v>
      </c>
      <c r="J112" s="16">
        <f t="shared" si="16"/>
        <v>0</v>
      </c>
      <c r="K112" s="15">
        <f t="shared" si="17"/>
        <v>0</v>
      </c>
      <c r="L112" s="16">
        <f t="shared" si="17"/>
        <v>0</v>
      </c>
      <c r="M112" s="9" t="s">
        <v>52</v>
      </c>
      <c r="N112" s="2" t="s">
        <v>150</v>
      </c>
      <c r="O112" s="2" t="s">
        <v>991</v>
      </c>
      <c r="P112" s="2" t="s">
        <v>60</v>
      </c>
      <c r="Q112" s="2" t="s">
        <v>61</v>
      </c>
      <c r="R112" s="2" t="s">
        <v>61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2" t="s">
        <v>52</v>
      </c>
      <c r="AW112" s="2" t="s">
        <v>992</v>
      </c>
      <c r="AX112" s="2" t="s">
        <v>52</v>
      </c>
      <c r="AY112" s="2" t="s">
        <v>52</v>
      </c>
    </row>
    <row r="113" spans="1:51" ht="30" customHeight="1" x14ac:dyDescent="0.3">
      <c r="A113" s="9" t="s">
        <v>993</v>
      </c>
      <c r="B113" s="9" t="s">
        <v>994</v>
      </c>
      <c r="C113" s="9" t="s">
        <v>68</v>
      </c>
      <c r="D113" s="10">
        <v>1</v>
      </c>
      <c r="E113" s="15">
        <f>'일위대가목록(총체)'!E152</f>
        <v>0</v>
      </c>
      <c r="F113" s="16">
        <f t="shared" si="14"/>
        <v>0</v>
      </c>
      <c r="G113" s="15">
        <f>'일위대가목록(총체)'!F152</f>
        <v>0</v>
      </c>
      <c r="H113" s="16">
        <f t="shared" si="15"/>
        <v>0</v>
      </c>
      <c r="I113" s="15">
        <f>'일위대가목록(총체)'!G152</f>
        <v>0</v>
      </c>
      <c r="J113" s="16">
        <f t="shared" si="16"/>
        <v>0</v>
      </c>
      <c r="K113" s="15">
        <f t="shared" si="17"/>
        <v>0</v>
      </c>
      <c r="L113" s="16">
        <f t="shared" si="17"/>
        <v>0</v>
      </c>
      <c r="M113" s="9" t="s">
        <v>52</v>
      </c>
      <c r="N113" s="2" t="s">
        <v>150</v>
      </c>
      <c r="O113" s="2" t="s">
        <v>995</v>
      </c>
      <c r="P113" s="2" t="s">
        <v>60</v>
      </c>
      <c r="Q113" s="2" t="s">
        <v>61</v>
      </c>
      <c r="R113" s="2" t="s">
        <v>61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2" t="s">
        <v>52</v>
      </c>
      <c r="AW113" s="2" t="s">
        <v>996</v>
      </c>
      <c r="AX113" s="2" t="s">
        <v>52</v>
      </c>
      <c r="AY113" s="2" t="s">
        <v>52</v>
      </c>
    </row>
    <row r="114" spans="1:51" ht="30" customHeight="1" x14ac:dyDescent="0.3">
      <c r="A114" s="9" t="s">
        <v>997</v>
      </c>
      <c r="B114" s="9" t="s">
        <v>998</v>
      </c>
      <c r="C114" s="9" t="s">
        <v>68</v>
      </c>
      <c r="D114" s="10">
        <v>1</v>
      </c>
      <c r="E114" s="15">
        <f>'일위대가목록(총체)'!E153</f>
        <v>0</v>
      </c>
      <c r="F114" s="16">
        <f t="shared" si="14"/>
        <v>0</v>
      </c>
      <c r="G114" s="15">
        <f>'일위대가목록(총체)'!F153</f>
        <v>0</v>
      </c>
      <c r="H114" s="16">
        <f t="shared" si="15"/>
        <v>0</v>
      </c>
      <c r="I114" s="15">
        <f>'일위대가목록(총체)'!G153</f>
        <v>0</v>
      </c>
      <c r="J114" s="16">
        <f t="shared" si="16"/>
        <v>0</v>
      </c>
      <c r="K114" s="15">
        <f t="shared" si="17"/>
        <v>0</v>
      </c>
      <c r="L114" s="16">
        <f t="shared" si="17"/>
        <v>0</v>
      </c>
      <c r="M114" s="9" t="s">
        <v>52</v>
      </c>
      <c r="N114" s="2" t="s">
        <v>150</v>
      </c>
      <c r="O114" s="2" t="s">
        <v>999</v>
      </c>
      <c r="P114" s="2" t="s">
        <v>60</v>
      </c>
      <c r="Q114" s="2" t="s">
        <v>61</v>
      </c>
      <c r="R114" s="2" t="s">
        <v>61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2" t="s">
        <v>52</v>
      </c>
      <c r="AW114" s="2" t="s">
        <v>1000</v>
      </c>
      <c r="AX114" s="2" t="s">
        <v>52</v>
      </c>
      <c r="AY114" s="2" t="s">
        <v>52</v>
      </c>
    </row>
    <row r="115" spans="1:51" ht="30" customHeight="1" x14ac:dyDescent="0.3">
      <c r="A115" s="9" t="s">
        <v>811</v>
      </c>
      <c r="B115" s="9" t="s">
        <v>52</v>
      </c>
      <c r="C115" s="9" t="s">
        <v>52</v>
      </c>
      <c r="D115" s="10"/>
      <c r="E115" s="15"/>
      <c r="F115" s="16">
        <f>TRUNC(SUMIF(N107:N114, N106, F107:F114),0)</f>
        <v>0</v>
      </c>
      <c r="G115" s="15"/>
      <c r="H115" s="16">
        <f>TRUNC(SUMIF(N107:N114, N106, H107:H114),0)</f>
        <v>0</v>
      </c>
      <c r="I115" s="15"/>
      <c r="J115" s="16">
        <f>TRUNC(SUMIF(N107:N114, N106, J107:J114),0)</f>
        <v>0</v>
      </c>
      <c r="K115" s="15"/>
      <c r="L115" s="16">
        <f>F115+H115+J115</f>
        <v>0</v>
      </c>
      <c r="M115" s="9" t="s">
        <v>52</v>
      </c>
      <c r="N115" s="2" t="s">
        <v>94</v>
      </c>
      <c r="O115" s="2" t="s">
        <v>94</v>
      </c>
      <c r="P115" s="2" t="s">
        <v>52</v>
      </c>
      <c r="Q115" s="2" t="s">
        <v>52</v>
      </c>
      <c r="R115" s="2" t="s">
        <v>52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2" t="s">
        <v>52</v>
      </c>
      <c r="AW115" s="2" t="s">
        <v>52</v>
      </c>
      <c r="AX115" s="2" t="s">
        <v>52</v>
      </c>
      <c r="AY115" s="2" t="s">
        <v>52</v>
      </c>
    </row>
    <row r="116" spans="1:51" ht="30" customHeight="1" x14ac:dyDescent="0.3">
      <c r="A116" s="10"/>
      <c r="B116" s="10"/>
      <c r="C116" s="10"/>
      <c r="D116" s="10"/>
      <c r="E116" s="15"/>
      <c r="F116" s="16"/>
      <c r="G116" s="15"/>
      <c r="H116" s="16"/>
      <c r="I116" s="15"/>
      <c r="J116" s="16"/>
      <c r="K116" s="15"/>
      <c r="L116" s="16"/>
      <c r="M116" s="10"/>
    </row>
    <row r="117" spans="1:51" ht="30" customHeight="1" x14ac:dyDescent="0.3">
      <c r="A117" s="44" t="s">
        <v>1001</v>
      </c>
      <c r="B117" s="44"/>
      <c r="C117" s="44"/>
      <c r="D117" s="44"/>
      <c r="E117" s="45"/>
      <c r="F117" s="46"/>
      <c r="G117" s="45"/>
      <c r="H117" s="46"/>
      <c r="I117" s="45"/>
      <c r="J117" s="46"/>
      <c r="K117" s="45"/>
      <c r="L117" s="46"/>
      <c r="M117" s="44"/>
      <c r="N117" s="1" t="s">
        <v>153</v>
      </c>
    </row>
    <row r="118" spans="1:51" ht="30" customHeight="1" x14ac:dyDescent="0.3">
      <c r="A118" s="9" t="s">
        <v>972</v>
      </c>
      <c r="B118" s="9" t="s">
        <v>973</v>
      </c>
      <c r="C118" s="9" t="s">
        <v>974</v>
      </c>
      <c r="D118" s="10">
        <v>0.4</v>
      </c>
      <c r="E118" s="15">
        <f>'단가대비표(총체)'!O20</f>
        <v>0</v>
      </c>
      <c r="F118" s="16">
        <f t="shared" ref="F118:F125" si="18">TRUNC(E118*D118,1)</f>
        <v>0</v>
      </c>
      <c r="G118" s="15">
        <f>'단가대비표(총체)'!P20</f>
        <v>0</v>
      </c>
      <c r="H118" s="16">
        <f t="shared" ref="H118:H125" si="19">TRUNC(G118*D118,1)</f>
        <v>0</v>
      </c>
      <c r="I118" s="15">
        <f>'단가대비표(총체)'!V20</f>
        <v>0</v>
      </c>
      <c r="J118" s="16">
        <f t="shared" ref="J118:J125" si="20">TRUNC(I118*D118,1)</f>
        <v>0</v>
      </c>
      <c r="K118" s="15">
        <f t="shared" ref="K118:L125" si="21">TRUNC(E118+G118+I118,1)</f>
        <v>0</v>
      </c>
      <c r="L118" s="16">
        <f t="shared" si="21"/>
        <v>0</v>
      </c>
      <c r="M118" s="9" t="s">
        <v>52</v>
      </c>
      <c r="N118" s="2" t="s">
        <v>153</v>
      </c>
      <c r="O118" s="2" t="s">
        <v>975</v>
      </c>
      <c r="P118" s="2" t="s">
        <v>61</v>
      </c>
      <c r="Q118" s="2" t="s">
        <v>61</v>
      </c>
      <c r="R118" s="2" t="s">
        <v>60</v>
      </c>
      <c r="S118" s="3"/>
      <c r="T118" s="3"/>
      <c r="U118" s="3"/>
      <c r="V118" s="3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2" t="s">
        <v>52</v>
      </c>
      <c r="AW118" s="2" t="s">
        <v>1003</v>
      </c>
      <c r="AX118" s="2" t="s">
        <v>52</v>
      </c>
      <c r="AY118" s="2" t="s">
        <v>52</v>
      </c>
    </row>
    <row r="119" spans="1:51" ht="30" customHeight="1" x14ac:dyDescent="0.3">
      <c r="A119" s="9" t="s">
        <v>972</v>
      </c>
      <c r="B119" s="9" t="s">
        <v>977</v>
      </c>
      <c r="C119" s="9" t="s">
        <v>974</v>
      </c>
      <c r="D119" s="10">
        <v>2.5</v>
      </c>
      <c r="E119" s="15">
        <f>'단가대비표(총체)'!O19</f>
        <v>0</v>
      </c>
      <c r="F119" s="16">
        <f t="shared" si="18"/>
        <v>0</v>
      </c>
      <c r="G119" s="15">
        <f>'단가대비표(총체)'!P19</f>
        <v>0</v>
      </c>
      <c r="H119" s="16">
        <f t="shared" si="19"/>
        <v>0</v>
      </c>
      <c r="I119" s="15">
        <f>'단가대비표(총체)'!V19</f>
        <v>0</v>
      </c>
      <c r="J119" s="16">
        <f t="shared" si="20"/>
        <v>0</v>
      </c>
      <c r="K119" s="15">
        <f t="shared" si="21"/>
        <v>0</v>
      </c>
      <c r="L119" s="16">
        <f t="shared" si="21"/>
        <v>0</v>
      </c>
      <c r="M119" s="9" t="s">
        <v>52</v>
      </c>
      <c r="N119" s="2" t="s">
        <v>153</v>
      </c>
      <c r="O119" s="2" t="s">
        <v>978</v>
      </c>
      <c r="P119" s="2" t="s">
        <v>61</v>
      </c>
      <c r="Q119" s="2" t="s">
        <v>61</v>
      </c>
      <c r="R119" s="2" t="s">
        <v>60</v>
      </c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2" t="s">
        <v>52</v>
      </c>
      <c r="AW119" s="2" t="s">
        <v>1004</v>
      </c>
      <c r="AX119" s="2" t="s">
        <v>52</v>
      </c>
      <c r="AY119" s="2" t="s">
        <v>52</v>
      </c>
    </row>
    <row r="120" spans="1:51" ht="30" customHeight="1" x14ac:dyDescent="0.3">
      <c r="A120" s="9" t="s">
        <v>972</v>
      </c>
      <c r="B120" s="9" t="s">
        <v>980</v>
      </c>
      <c r="C120" s="9" t="s">
        <v>974</v>
      </c>
      <c r="D120" s="10">
        <v>1.2</v>
      </c>
      <c r="E120" s="15">
        <f>'단가대비표(총체)'!O21</f>
        <v>0</v>
      </c>
      <c r="F120" s="16">
        <f t="shared" si="18"/>
        <v>0</v>
      </c>
      <c r="G120" s="15">
        <f>'단가대비표(총체)'!P21</f>
        <v>0</v>
      </c>
      <c r="H120" s="16">
        <f t="shared" si="19"/>
        <v>0</v>
      </c>
      <c r="I120" s="15">
        <f>'단가대비표(총체)'!V21</f>
        <v>0</v>
      </c>
      <c r="J120" s="16">
        <f t="shared" si="20"/>
        <v>0</v>
      </c>
      <c r="K120" s="15">
        <f t="shared" si="21"/>
        <v>0</v>
      </c>
      <c r="L120" s="16">
        <f t="shared" si="21"/>
        <v>0</v>
      </c>
      <c r="M120" s="9" t="s">
        <v>52</v>
      </c>
      <c r="N120" s="2" t="s">
        <v>153</v>
      </c>
      <c r="O120" s="2" t="s">
        <v>981</v>
      </c>
      <c r="P120" s="2" t="s">
        <v>61</v>
      </c>
      <c r="Q120" s="2" t="s">
        <v>61</v>
      </c>
      <c r="R120" s="2" t="s">
        <v>60</v>
      </c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2" t="s">
        <v>52</v>
      </c>
      <c r="AW120" s="2" t="s">
        <v>1005</v>
      </c>
      <c r="AX120" s="2" t="s">
        <v>52</v>
      </c>
      <c r="AY120" s="2" t="s">
        <v>52</v>
      </c>
    </row>
    <row r="121" spans="1:51" ht="30" customHeight="1" x14ac:dyDescent="0.3">
      <c r="A121" s="9" t="s">
        <v>983</v>
      </c>
      <c r="B121" s="9" t="s">
        <v>984</v>
      </c>
      <c r="C121" s="9" t="s">
        <v>307</v>
      </c>
      <c r="D121" s="10">
        <v>1</v>
      </c>
      <c r="E121" s="15">
        <f>TRUNC(SUMIF(V118:V125, RIGHTB(O121, 1), F118:F125)*U121, 2)</f>
        <v>0</v>
      </c>
      <c r="F121" s="16">
        <f t="shared" si="18"/>
        <v>0</v>
      </c>
      <c r="G121" s="15">
        <v>0</v>
      </c>
      <c r="H121" s="16">
        <f t="shared" si="19"/>
        <v>0</v>
      </c>
      <c r="I121" s="15">
        <v>0</v>
      </c>
      <c r="J121" s="16">
        <f t="shared" si="20"/>
        <v>0</v>
      </c>
      <c r="K121" s="15">
        <f t="shared" si="21"/>
        <v>0</v>
      </c>
      <c r="L121" s="16">
        <f t="shared" si="21"/>
        <v>0</v>
      </c>
      <c r="M121" s="9" t="s">
        <v>52</v>
      </c>
      <c r="N121" s="2" t="s">
        <v>153</v>
      </c>
      <c r="O121" s="2" t="s">
        <v>809</v>
      </c>
      <c r="P121" s="2" t="s">
        <v>61</v>
      </c>
      <c r="Q121" s="2" t="s">
        <v>61</v>
      </c>
      <c r="R121" s="2" t="s">
        <v>61</v>
      </c>
      <c r="S121" s="3">
        <v>0</v>
      </c>
      <c r="T121" s="3">
        <v>0</v>
      </c>
      <c r="U121" s="3">
        <v>0.02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2" t="s">
        <v>52</v>
      </c>
      <c r="AW121" s="2" t="s">
        <v>1006</v>
      </c>
      <c r="AX121" s="2" t="s">
        <v>52</v>
      </c>
      <c r="AY121" s="2" t="s">
        <v>52</v>
      </c>
    </row>
    <row r="122" spans="1:51" ht="30" customHeight="1" x14ac:dyDescent="0.3">
      <c r="A122" s="9" t="s">
        <v>986</v>
      </c>
      <c r="B122" s="9" t="s">
        <v>1007</v>
      </c>
      <c r="C122" s="9" t="s">
        <v>68</v>
      </c>
      <c r="D122" s="10">
        <v>1</v>
      </c>
      <c r="E122" s="15">
        <f>'일위대가목록(총체)'!E154</f>
        <v>0</v>
      </c>
      <c r="F122" s="16">
        <f t="shared" si="18"/>
        <v>0</v>
      </c>
      <c r="G122" s="15">
        <f>'일위대가목록(총체)'!F154</f>
        <v>0</v>
      </c>
      <c r="H122" s="16">
        <f t="shared" si="19"/>
        <v>0</v>
      </c>
      <c r="I122" s="15">
        <f>'일위대가목록(총체)'!G154</f>
        <v>0</v>
      </c>
      <c r="J122" s="16">
        <f t="shared" si="20"/>
        <v>0</v>
      </c>
      <c r="K122" s="15">
        <f t="shared" si="21"/>
        <v>0</v>
      </c>
      <c r="L122" s="16">
        <f t="shared" si="21"/>
        <v>0</v>
      </c>
      <c r="M122" s="9" t="s">
        <v>52</v>
      </c>
      <c r="N122" s="2" t="s">
        <v>153</v>
      </c>
      <c r="O122" s="2" t="s">
        <v>1008</v>
      </c>
      <c r="P122" s="2" t="s">
        <v>60</v>
      </c>
      <c r="Q122" s="2" t="s">
        <v>61</v>
      </c>
      <c r="R122" s="2" t="s">
        <v>61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2" t="s">
        <v>52</v>
      </c>
      <c r="AW122" s="2" t="s">
        <v>1009</v>
      </c>
      <c r="AX122" s="2" t="s">
        <v>52</v>
      </c>
      <c r="AY122" s="2" t="s">
        <v>52</v>
      </c>
    </row>
    <row r="123" spans="1:51" ht="30" customHeight="1" x14ac:dyDescent="0.3">
      <c r="A123" s="9" t="s">
        <v>989</v>
      </c>
      <c r="B123" s="9" t="s">
        <v>990</v>
      </c>
      <c r="C123" s="9" t="s">
        <v>68</v>
      </c>
      <c r="D123" s="10">
        <v>1</v>
      </c>
      <c r="E123" s="15">
        <f>'일위대가목록(총체)'!E151</f>
        <v>0</v>
      </c>
      <c r="F123" s="16">
        <f t="shared" si="18"/>
        <v>0</v>
      </c>
      <c r="G123" s="15">
        <f>'일위대가목록(총체)'!F151</f>
        <v>0</v>
      </c>
      <c r="H123" s="16">
        <f t="shared" si="19"/>
        <v>0</v>
      </c>
      <c r="I123" s="15">
        <f>'일위대가목록(총체)'!G151</f>
        <v>0</v>
      </c>
      <c r="J123" s="16">
        <f t="shared" si="20"/>
        <v>0</v>
      </c>
      <c r="K123" s="15">
        <f t="shared" si="21"/>
        <v>0</v>
      </c>
      <c r="L123" s="16">
        <f t="shared" si="21"/>
        <v>0</v>
      </c>
      <c r="M123" s="9" t="s">
        <v>52</v>
      </c>
      <c r="N123" s="2" t="s">
        <v>153</v>
      </c>
      <c r="O123" s="2" t="s">
        <v>991</v>
      </c>
      <c r="P123" s="2" t="s">
        <v>60</v>
      </c>
      <c r="Q123" s="2" t="s">
        <v>61</v>
      </c>
      <c r="R123" s="2" t="s">
        <v>61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2" t="s">
        <v>52</v>
      </c>
      <c r="AW123" s="2" t="s">
        <v>1010</v>
      </c>
      <c r="AX123" s="2" t="s">
        <v>52</v>
      </c>
      <c r="AY123" s="2" t="s">
        <v>52</v>
      </c>
    </row>
    <row r="124" spans="1:51" ht="30" customHeight="1" x14ac:dyDescent="0.3">
      <c r="A124" s="9" t="s">
        <v>993</v>
      </c>
      <c r="B124" s="9" t="s">
        <v>1011</v>
      </c>
      <c r="C124" s="9" t="s">
        <v>68</v>
      </c>
      <c r="D124" s="10">
        <v>1</v>
      </c>
      <c r="E124" s="15">
        <f>'일위대가목록(총체)'!E155</f>
        <v>0</v>
      </c>
      <c r="F124" s="16">
        <f t="shared" si="18"/>
        <v>0</v>
      </c>
      <c r="G124" s="15">
        <f>'일위대가목록(총체)'!F155</f>
        <v>0</v>
      </c>
      <c r="H124" s="16">
        <f t="shared" si="19"/>
        <v>0</v>
      </c>
      <c r="I124" s="15">
        <f>'일위대가목록(총체)'!G155</f>
        <v>0</v>
      </c>
      <c r="J124" s="16">
        <f t="shared" si="20"/>
        <v>0</v>
      </c>
      <c r="K124" s="15">
        <f t="shared" si="21"/>
        <v>0</v>
      </c>
      <c r="L124" s="16">
        <f t="shared" si="21"/>
        <v>0</v>
      </c>
      <c r="M124" s="9" t="s">
        <v>52</v>
      </c>
      <c r="N124" s="2" t="s">
        <v>153</v>
      </c>
      <c r="O124" s="2" t="s">
        <v>1012</v>
      </c>
      <c r="P124" s="2" t="s">
        <v>60</v>
      </c>
      <c r="Q124" s="2" t="s">
        <v>61</v>
      </c>
      <c r="R124" s="2" t="s">
        <v>61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2" t="s">
        <v>52</v>
      </c>
      <c r="AW124" s="2" t="s">
        <v>1013</v>
      </c>
      <c r="AX124" s="2" t="s">
        <v>52</v>
      </c>
      <c r="AY124" s="2" t="s">
        <v>52</v>
      </c>
    </row>
    <row r="125" spans="1:51" ht="30" customHeight="1" x14ac:dyDescent="0.3">
      <c r="A125" s="9" t="s">
        <v>997</v>
      </c>
      <c r="B125" s="9" t="s">
        <v>1014</v>
      </c>
      <c r="C125" s="9" t="s">
        <v>68</v>
      </c>
      <c r="D125" s="10">
        <v>1</v>
      </c>
      <c r="E125" s="15">
        <f>'일위대가목록(총체)'!E156</f>
        <v>0</v>
      </c>
      <c r="F125" s="16">
        <f t="shared" si="18"/>
        <v>0</v>
      </c>
      <c r="G125" s="15">
        <f>'일위대가목록(총체)'!F156</f>
        <v>0</v>
      </c>
      <c r="H125" s="16">
        <f t="shared" si="19"/>
        <v>0</v>
      </c>
      <c r="I125" s="15">
        <f>'일위대가목록(총체)'!G156</f>
        <v>0</v>
      </c>
      <c r="J125" s="16">
        <f t="shared" si="20"/>
        <v>0</v>
      </c>
      <c r="K125" s="15">
        <f t="shared" si="21"/>
        <v>0</v>
      </c>
      <c r="L125" s="16">
        <f t="shared" si="21"/>
        <v>0</v>
      </c>
      <c r="M125" s="9" t="s">
        <v>52</v>
      </c>
      <c r="N125" s="2" t="s">
        <v>153</v>
      </c>
      <c r="O125" s="2" t="s">
        <v>1015</v>
      </c>
      <c r="P125" s="2" t="s">
        <v>60</v>
      </c>
      <c r="Q125" s="2" t="s">
        <v>61</v>
      </c>
      <c r="R125" s="2" t="s">
        <v>61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2" t="s">
        <v>52</v>
      </c>
      <c r="AW125" s="2" t="s">
        <v>1016</v>
      </c>
      <c r="AX125" s="2" t="s">
        <v>52</v>
      </c>
      <c r="AY125" s="2" t="s">
        <v>52</v>
      </c>
    </row>
    <row r="126" spans="1:51" ht="30" customHeight="1" x14ac:dyDescent="0.3">
      <c r="A126" s="9" t="s">
        <v>811</v>
      </c>
      <c r="B126" s="9" t="s">
        <v>52</v>
      </c>
      <c r="C126" s="9" t="s">
        <v>52</v>
      </c>
      <c r="D126" s="10"/>
      <c r="E126" s="15"/>
      <c r="F126" s="16">
        <f>TRUNC(SUMIF(N118:N125, N117, F118:F125),0)</f>
        <v>0</v>
      </c>
      <c r="G126" s="15"/>
      <c r="H126" s="16">
        <f>TRUNC(SUMIF(N118:N125, N117, H118:H125),0)</f>
        <v>0</v>
      </c>
      <c r="I126" s="15"/>
      <c r="J126" s="16">
        <f>TRUNC(SUMIF(N118:N125, N117, J118:J125),0)</f>
        <v>0</v>
      </c>
      <c r="K126" s="15"/>
      <c r="L126" s="16">
        <f>F126+H126+J126</f>
        <v>0</v>
      </c>
      <c r="M126" s="9" t="s">
        <v>52</v>
      </c>
      <c r="N126" s="2" t="s">
        <v>94</v>
      </c>
      <c r="O126" s="2" t="s">
        <v>94</v>
      </c>
      <c r="P126" s="2" t="s">
        <v>52</v>
      </c>
      <c r="Q126" s="2" t="s">
        <v>52</v>
      </c>
      <c r="R126" s="2" t="s">
        <v>52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2" t="s">
        <v>52</v>
      </c>
      <c r="AW126" s="2" t="s">
        <v>52</v>
      </c>
      <c r="AX126" s="2" t="s">
        <v>52</v>
      </c>
      <c r="AY126" s="2" t="s">
        <v>52</v>
      </c>
    </row>
    <row r="127" spans="1:51" ht="30" customHeight="1" x14ac:dyDescent="0.3">
      <c r="A127" s="10"/>
      <c r="B127" s="10"/>
      <c r="C127" s="10"/>
      <c r="D127" s="10"/>
      <c r="E127" s="15"/>
      <c r="F127" s="16"/>
      <c r="G127" s="15"/>
      <c r="H127" s="16"/>
      <c r="I127" s="15"/>
      <c r="J127" s="16"/>
      <c r="K127" s="15"/>
      <c r="L127" s="16"/>
      <c r="M127" s="10"/>
    </row>
    <row r="128" spans="1:51" ht="30" customHeight="1" x14ac:dyDescent="0.3">
      <c r="A128" s="44" t="s">
        <v>1017</v>
      </c>
      <c r="B128" s="44"/>
      <c r="C128" s="44"/>
      <c r="D128" s="44"/>
      <c r="E128" s="45"/>
      <c r="F128" s="46"/>
      <c r="G128" s="45"/>
      <c r="H128" s="46"/>
      <c r="I128" s="45"/>
      <c r="J128" s="46"/>
      <c r="K128" s="45"/>
      <c r="L128" s="46"/>
      <c r="M128" s="44"/>
      <c r="N128" s="1" t="s">
        <v>157</v>
      </c>
    </row>
    <row r="129" spans="1:51" ht="30" customHeight="1" x14ac:dyDescent="0.3">
      <c r="A129" s="9" t="s">
        <v>1019</v>
      </c>
      <c r="B129" s="9" t="s">
        <v>1020</v>
      </c>
      <c r="C129" s="9" t="s">
        <v>1021</v>
      </c>
      <c r="D129" s="10">
        <v>13.05</v>
      </c>
      <c r="E129" s="15">
        <f>'단가대비표(총체)'!O31</f>
        <v>0</v>
      </c>
      <c r="F129" s="16">
        <f t="shared" ref="F129:F134" si="22">TRUNC(E129*D129,1)</f>
        <v>0</v>
      </c>
      <c r="G129" s="15">
        <f>'단가대비표(총체)'!P31</f>
        <v>0</v>
      </c>
      <c r="H129" s="16">
        <f t="shared" ref="H129:H134" si="23">TRUNC(G129*D129,1)</f>
        <v>0</v>
      </c>
      <c r="I129" s="15">
        <f>'단가대비표(총체)'!V31</f>
        <v>0</v>
      </c>
      <c r="J129" s="16">
        <f t="shared" ref="J129:J134" si="24">TRUNC(I129*D129,1)</f>
        <v>0</v>
      </c>
      <c r="K129" s="15">
        <f t="shared" ref="K129:L134" si="25">TRUNC(E129+G129+I129,1)</f>
        <v>0</v>
      </c>
      <c r="L129" s="16">
        <f t="shared" si="25"/>
        <v>0</v>
      </c>
      <c r="M129" s="9" t="s">
        <v>52</v>
      </c>
      <c r="N129" s="2" t="s">
        <v>157</v>
      </c>
      <c r="O129" s="2" t="s">
        <v>1022</v>
      </c>
      <c r="P129" s="2" t="s">
        <v>61</v>
      </c>
      <c r="Q129" s="2" t="s">
        <v>61</v>
      </c>
      <c r="R129" s="2" t="s">
        <v>60</v>
      </c>
      <c r="S129" s="3"/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2" t="s">
        <v>52</v>
      </c>
      <c r="AW129" s="2" t="s">
        <v>1023</v>
      </c>
      <c r="AX129" s="2" t="s">
        <v>52</v>
      </c>
      <c r="AY129" s="2" t="s">
        <v>52</v>
      </c>
    </row>
    <row r="130" spans="1:51" ht="30" customHeight="1" x14ac:dyDescent="0.3">
      <c r="A130" s="9" t="s">
        <v>1024</v>
      </c>
      <c r="B130" s="9" t="s">
        <v>1025</v>
      </c>
      <c r="C130" s="9" t="s">
        <v>637</v>
      </c>
      <c r="D130" s="10">
        <v>1.7000000000000001E-2</v>
      </c>
      <c r="E130" s="15">
        <f>'단가대비표(총체)'!O7</f>
        <v>0</v>
      </c>
      <c r="F130" s="16">
        <f t="shared" si="22"/>
        <v>0</v>
      </c>
      <c r="G130" s="15">
        <f>'단가대비표(총체)'!P7</f>
        <v>0</v>
      </c>
      <c r="H130" s="16">
        <f t="shared" si="23"/>
        <v>0</v>
      </c>
      <c r="I130" s="15">
        <f>'단가대비표(총체)'!V7</f>
        <v>0</v>
      </c>
      <c r="J130" s="16">
        <f t="shared" si="24"/>
        <v>0</v>
      </c>
      <c r="K130" s="15">
        <f t="shared" si="25"/>
        <v>0</v>
      </c>
      <c r="L130" s="16">
        <f t="shared" si="25"/>
        <v>0</v>
      </c>
      <c r="M130" s="9" t="s">
        <v>52</v>
      </c>
      <c r="N130" s="2" t="s">
        <v>157</v>
      </c>
      <c r="O130" s="2" t="s">
        <v>1026</v>
      </c>
      <c r="P130" s="2" t="s">
        <v>61</v>
      </c>
      <c r="Q130" s="2" t="s">
        <v>61</v>
      </c>
      <c r="R130" s="2" t="s">
        <v>60</v>
      </c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2" t="s">
        <v>52</v>
      </c>
      <c r="AW130" s="2" t="s">
        <v>1027</v>
      </c>
      <c r="AX130" s="2" t="s">
        <v>52</v>
      </c>
      <c r="AY130" s="2" t="s">
        <v>52</v>
      </c>
    </row>
    <row r="131" spans="1:51" ht="30" customHeight="1" x14ac:dyDescent="0.3">
      <c r="A131" s="9" t="s">
        <v>1028</v>
      </c>
      <c r="B131" s="9" t="s">
        <v>1029</v>
      </c>
      <c r="C131" s="9" t="s">
        <v>923</v>
      </c>
      <c r="D131" s="10">
        <v>0.65500000000000003</v>
      </c>
      <c r="E131" s="15">
        <f>'단가대비표(총체)'!O18</f>
        <v>0</v>
      </c>
      <c r="F131" s="16">
        <f t="shared" si="22"/>
        <v>0</v>
      </c>
      <c r="G131" s="15">
        <f>'단가대비표(총체)'!P18</f>
        <v>0</v>
      </c>
      <c r="H131" s="16">
        <f t="shared" si="23"/>
        <v>0</v>
      </c>
      <c r="I131" s="15">
        <f>'단가대비표(총체)'!V18</f>
        <v>0</v>
      </c>
      <c r="J131" s="16">
        <f t="shared" si="24"/>
        <v>0</v>
      </c>
      <c r="K131" s="15">
        <f t="shared" si="25"/>
        <v>0</v>
      </c>
      <c r="L131" s="16">
        <f t="shared" si="25"/>
        <v>0</v>
      </c>
      <c r="M131" s="9" t="s">
        <v>52</v>
      </c>
      <c r="N131" s="2" t="s">
        <v>157</v>
      </c>
      <c r="O131" s="2" t="s">
        <v>1030</v>
      </c>
      <c r="P131" s="2" t="s">
        <v>61</v>
      </c>
      <c r="Q131" s="2" t="s">
        <v>61</v>
      </c>
      <c r="R131" s="2" t="s">
        <v>60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2" t="s">
        <v>52</v>
      </c>
      <c r="AW131" s="2" t="s">
        <v>1031</v>
      </c>
      <c r="AX131" s="2" t="s">
        <v>52</v>
      </c>
      <c r="AY131" s="2" t="s">
        <v>52</v>
      </c>
    </row>
    <row r="132" spans="1:51" ht="30" customHeight="1" x14ac:dyDescent="0.3">
      <c r="A132" s="9" t="s">
        <v>874</v>
      </c>
      <c r="B132" s="9" t="s">
        <v>875</v>
      </c>
      <c r="C132" s="9" t="s">
        <v>307</v>
      </c>
      <c r="D132" s="10">
        <v>1</v>
      </c>
      <c r="E132" s="15">
        <v>0</v>
      </c>
      <c r="F132" s="16">
        <f t="shared" si="22"/>
        <v>0</v>
      </c>
      <c r="G132" s="15">
        <v>0</v>
      </c>
      <c r="H132" s="16">
        <f t="shared" si="23"/>
        <v>0</v>
      </c>
      <c r="I132" s="15">
        <f>TRUNC(SUMIF(V129:V134, RIGHTB(O132, 1), H129:H134)*U132, 2)</f>
        <v>0</v>
      </c>
      <c r="J132" s="16">
        <f t="shared" si="24"/>
        <v>0</v>
      </c>
      <c r="K132" s="15">
        <f t="shared" si="25"/>
        <v>0</v>
      </c>
      <c r="L132" s="16">
        <f t="shared" si="25"/>
        <v>0</v>
      </c>
      <c r="M132" s="9" t="s">
        <v>52</v>
      </c>
      <c r="N132" s="2" t="s">
        <v>157</v>
      </c>
      <c r="O132" s="2" t="s">
        <v>809</v>
      </c>
      <c r="P132" s="2" t="s">
        <v>61</v>
      </c>
      <c r="Q132" s="2" t="s">
        <v>61</v>
      </c>
      <c r="R132" s="2" t="s">
        <v>61</v>
      </c>
      <c r="S132" s="3">
        <v>1</v>
      </c>
      <c r="T132" s="3">
        <v>2</v>
      </c>
      <c r="U132" s="3">
        <v>0.03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2" t="s">
        <v>52</v>
      </c>
      <c r="AW132" s="2" t="s">
        <v>1032</v>
      </c>
      <c r="AX132" s="2" t="s">
        <v>52</v>
      </c>
      <c r="AY132" s="2" t="s">
        <v>52</v>
      </c>
    </row>
    <row r="133" spans="1:51" ht="30" customHeight="1" x14ac:dyDescent="0.3">
      <c r="A133" s="9" t="s">
        <v>1033</v>
      </c>
      <c r="B133" s="9" t="s">
        <v>822</v>
      </c>
      <c r="C133" s="9" t="s">
        <v>823</v>
      </c>
      <c r="D133" s="10">
        <v>7.4999999999999997E-2</v>
      </c>
      <c r="E133" s="15">
        <f>'단가대비표(총체)'!O191</f>
        <v>0</v>
      </c>
      <c r="F133" s="16">
        <f t="shared" si="22"/>
        <v>0</v>
      </c>
      <c r="G133" s="15">
        <f>'단가대비표(총체)'!P191</f>
        <v>0</v>
      </c>
      <c r="H133" s="16">
        <f t="shared" si="23"/>
        <v>0</v>
      </c>
      <c r="I133" s="15">
        <f>'단가대비표(총체)'!V191</f>
        <v>0</v>
      </c>
      <c r="J133" s="16">
        <f t="shared" si="24"/>
        <v>0</v>
      </c>
      <c r="K133" s="15">
        <f t="shared" si="25"/>
        <v>0</v>
      </c>
      <c r="L133" s="16">
        <f t="shared" si="25"/>
        <v>0</v>
      </c>
      <c r="M133" s="9" t="s">
        <v>52</v>
      </c>
      <c r="N133" s="2" t="s">
        <v>157</v>
      </c>
      <c r="O133" s="2" t="s">
        <v>1034</v>
      </c>
      <c r="P133" s="2" t="s">
        <v>61</v>
      </c>
      <c r="Q133" s="2" t="s">
        <v>61</v>
      </c>
      <c r="R133" s="2" t="s">
        <v>60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2" t="s">
        <v>52</v>
      </c>
      <c r="AW133" s="2" t="s">
        <v>1035</v>
      </c>
      <c r="AX133" s="2" t="s">
        <v>52</v>
      </c>
      <c r="AY133" s="2" t="s">
        <v>52</v>
      </c>
    </row>
    <row r="134" spans="1:51" ht="30" customHeight="1" x14ac:dyDescent="0.3">
      <c r="A134" s="9" t="s">
        <v>821</v>
      </c>
      <c r="B134" s="9" t="s">
        <v>822</v>
      </c>
      <c r="C134" s="9" t="s">
        <v>823</v>
      </c>
      <c r="D134" s="10">
        <v>0.04</v>
      </c>
      <c r="E134" s="15">
        <f>'단가대비표(총체)'!O180</f>
        <v>0</v>
      </c>
      <c r="F134" s="16">
        <f t="shared" si="22"/>
        <v>0</v>
      </c>
      <c r="G134" s="15">
        <f>'단가대비표(총체)'!P180</f>
        <v>0</v>
      </c>
      <c r="H134" s="16">
        <f t="shared" si="23"/>
        <v>0</v>
      </c>
      <c r="I134" s="15">
        <f>'단가대비표(총체)'!V180</f>
        <v>0</v>
      </c>
      <c r="J134" s="16">
        <f t="shared" si="24"/>
        <v>0</v>
      </c>
      <c r="K134" s="15">
        <f t="shared" si="25"/>
        <v>0</v>
      </c>
      <c r="L134" s="16">
        <f t="shared" si="25"/>
        <v>0</v>
      </c>
      <c r="M134" s="9" t="s">
        <v>52</v>
      </c>
      <c r="N134" s="2" t="s">
        <v>157</v>
      </c>
      <c r="O134" s="2" t="s">
        <v>824</v>
      </c>
      <c r="P134" s="2" t="s">
        <v>61</v>
      </c>
      <c r="Q134" s="2" t="s">
        <v>61</v>
      </c>
      <c r="R134" s="2" t="s">
        <v>60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2" t="s">
        <v>52</v>
      </c>
      <c r="AW134" s="2" t="s">
        <v>1036</v>
      </c>
      <c r="AX134" s="2" t="s">
        <v>52</v>
      </c>
      <c r="AY134" s="2" t="s">
        <v>52</v>
      </c>
    </row>
    <row r="135" spans="1:51" ht="30" customHeight="1" x14ac:dyDescent="0.3">
      <c r="A135" s="9" t="s">
        <v>811</v>
      </c>
      <c r="B135" s="9" t="s">
        <v>52</v>
      </c>
      <c r="C135" s="9" t="s">
        <v>52</v>
      </c>
      <c r="D135" s="10"/>
      <c r="E135" s="15"/>
      <c r="F135" s="16">
        <f>TRUNC(SUMIF(N129:N134, N128, F129:F134),0)</f>
        <v>0</v>
      </c>
      <c r="G135" s="15"/>
      <c r="H135" s="16">
        <f>TRUNC(SUMIF(N129:N134, N128, H129:H134),0)</f>
        <v>0</v>
      </c>
      <c r="I135" s="15"/>
      <c r="J135" s="16">
        <f>TRUNC(SUMIF(N129:N134, N128, J129:J134),0)</f>
        <v>0</v>
      </c>
      <c r="K135" s="15"/>
      <c r="L135" s="16">
        <f>F135+H135+J135</f>
        <v>0</v>
      </c>
      <c r="M135" s="9" t="s">
        <v>52</v>
      </c>
      <c r="N135" s="2" t="s">
        <v>94</v>
      </c>
      <c r="O135" s="2" t="s">
        <v>94</v>
      </c>
      <c r="P135" s="2" t="s">
        <v>52</v>
      </c>
      <c r="Q135" s="2" t="s">
        <v>52</v>
      </c>
      <c r="R135" s="2" t="s">
        <v>52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2" t="s">
        <v>52</v>
      </c>
      <c r="AW135" s="2" t="s">
        <v>52</v>
      </c>
      <c r="AX135" s="2" t="s">
        <v>52</v>
      </c>
      <c r="AY135" s="2" t="s">
        <v>52</v>
      </c>
    </row>
    <row r="136" spans="1:51" ht="30" customHeight="1" x14ac:dyDescent="0.3">
      <c r="A136" s="10"/>
      <c r="B136" s="10"/>
      <c r="C136" s="10"/>
      <c r="D136" s="10"/>
      <c r="E136" s="15"/>
      <c r="F136" s="16"/>
      <c r="G136" s="15"/>
      <c r="H136" s="16"/>
      <c r="I136" s="15"/>
      <c r="J136" s="16"/>
      <c r="K136" s="15"/>
      <c r="L136" s="16"/>
      <c r="M136" s="10"/>
    </row>
    <row r="137" spans="1:51" ht="30" customHeight="1" x14ac:dyDescent="0.3">
      <c r="A137" s="44" t="s">
        <v>1037</v>
      </c>
      <c r="B137" s="44"/>
      <c r="C137" s="44"/>
      <c r="D137" s="44"/>
      <c r="E137" s="45"/>
      <c r="F137" s="46"/>
      <c r="G137" s="45"/>
      <c r="H137" s="46"/>
      <c r="I137" s="45"/>
      <c r="J137" s="46"/>
      <c r="K137" s="45"/>
      <c r="L137" s="46"/>
      <c r="M137" s="44"/>
      <c r="N137" s="1" t="s">
        <v>160</v>
      </c>
    </row>
    <row r="138" spans="1:51" ht="30" customHeight="1" x14ac:dyDescent="0.3">
      <c r="A138" s="9" t="s">
        <v>1019</v>
      </c>
      <c r="B138" s="9" t="s">
        <v>1020</v>
      </c>
      <c r="C138" s="9" t="s">
        <v>1021</v>
      </c>
      <c r="D138" s="10">
        <v>13.05</v>
      </c>
      <c r="E138" s="15">
        <f>'단가대비표(총체)'!O31</f>
        <v>0</v>
      </c>
      <c r="F138" s="16">
        <f t="shared" ref="F138:F143" si="26">TRUNC(E138*D138,1)</f>
        <v>0</v>
      </c>
      <c r="G138" s="15">
        <f>'단가대비표(총체)'!P31</f>
        <v>0</v>
      </c>
      <c r="H138" s="16">
        <f t="shared" ref="H138:H143" si="27">TRUNC(G138*D138,1)</f>
        <v>0</v>
      </c>
      <c r="I138" s="15">
        <f>'단가대비표(총체)'!V31</f>
        <v>0</v>
      </c>
      <c r="J138" s="16">
        <f t="shared" ref="J138:J143" si="28">TRUNC(I138*D138,1)</f>
        <v>0</v>
      </c>
      <c r="K138" s="15">
        <f t="shared" ref="K138:L143" si="29">TRUNC(E138+G138+I138,1)</f>
        <v>0</v>
      </c>
      <c r="L138" s="16">
        <f t="shared" si="29"/>
        <v>0</v>
      </c>
      <c r="M138" s="9" t="s">
        <v>52</v>
      </c>
      <c r="N138" s="2" t="s">
        <v>160</v>
      </c>
      <c r="O138" s="2" t="s">
        <v>1022</v>
      </c>
      <c r="P138" s="2" t="s">
        <v>61</v>
      </c>
      <c r="Q138" s="2" t="s">
        <v>61</v>
      </c>
      <c r="R138" s="2" t="s">
        <v>60</v>
      </c>
      <c r="S138" s="3"/>
      <c r="T138" s="3"/>
      <c r="U138" s="3"/>
      <c r="V138" s="3">
        <v>1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2" t="s">
        <v>52</v>
      </c>
      <c r="AW138" s="2" t="s">
        <v>1039</v>
      </c>
      <c r="AX138" s="2" t="s">
        <v>52</v>
      </c>
      <c r="AY138" s="2" t="s">
        <v>52</v>
      </c>
    </row>
    <row r="139" spans="1:51" ht="30" customHeight="1" x14ac:dyDescent="0.3">
      <c r="A139" s="9" t="s">
        <v>1024</v>
      </c>
      <c r="B139" s="9" t="s">
        <v>1025</v>
      </c>
      <c r="C139" s="9" t="s">
        <v>637</v>
      </c>
      <c r="D139" s="10">
        <v>1.7000000000000001E-2</v>
      </c>
      <c r="E139" s="15">
        <f>'단가대비표(총체)'!O7</f>
        <v>0</v>
      </c>
      <c r="F139" s="16">
        <f t="shared" si="26"/>
        <v>0</v>
      </c>
      <c r="G139" s="15">
        <f>'단가대비표(총체)'!P7</f>
        <v>0</v>
      </c>
      <c r="H139" s="16">
        <f t="shared" si="27"/>
        <v>0</v>
      </c>
      <c r="I139" s="15">
        <f>'단가대비표(총체)'!V7</f>
        <v>0</v>
      </c>
      <c r="J139" s="16">
        <f t="shared" si="28"/>
        <v>0</v>
      </c>
      <c r="K139" s="15">
        <f t="shared" si="29"/>
        <v>0</v>
      </c>
      <c r="L139" s="16">
        <f t="shared" si="29"/>
        <v>0</v>
      </c>
      <c r="M139" s="9" t="s">
        <v>52</v>
      </c>
      <c r="N139" s="2" t="s">
        <v>160</v>
      </c>
      <c r="O139" s="2" t="s">
        <v>1026</v>
      </c>
      <c r="P139" s="2" t="s">
        <v>61</v>
      </c>
      <c r="Q139" s="2" t="s">
        <v>61</v>
      </c>
      <c r="R139" s="2" t="s">
        <v>60</v>
      </c>
      <c r="S139" s="3"/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2" t="s">
        <v>52</v>
      </c>
      <c r="AW139" s="2" t="s">
        <v>1040</v>
      </c>
      <c r="AX139" s="2" t="s">
        <v>52</v>
      </c>
      <c r="AY139" s="2" t="s">
        <v>52</v>
      </c>
    </row>
    <row r="140" spans="1:51" ht="30" customHeight="1" x14ac:dyDescent="0.3">
      <c r="A140" s="9" t="s">
        <v>1028</v>
      </c>
      <c r="B140" s="9" t="s">
        <v>1029</v>
      </c>
      <c r="C140" s="9" t="s">
        <v>923</v>
      </c>
      <c r="D140" s="10">
        <v>0.65500000000000003</v>
      </c>
      <c r="E140" s="15">
        <f>'단가대비표(총체)'!O18</f>
        <v>0</v>
      </c>
      <c r="F140" s="16">
        <f t="shared" si="26"/>
        <v>0</v>
      </c>
      <c r="G140" s="15">
        <f>'단가대비표(총체)'!P18</f>
        <v>0</v>
      </c>
      <c r="H140" s="16">
        <f t="shared" si="27"/>
        <v>0</v>
      </c>
      <c r="I140" s="15">
        <f>'단가대비표(총체)'!V18</f>
        <v>0</v>
      </c>
      <c r="J140" s="16">
        <f t="shared" si="28"/>
        <v>0</v>
      </c>
      <c r="K140" s="15">
        <f t="shared" si="29"/>
        <v>0</v>
      </c>
      <c r="L140" s="16">
        <f t="shared" si="29"/>
        <v>0</v>
      </c>
      <c r="M140" s="9" t="s">
        <v>52</v>
      </c>
      <c r="N140" s="2" t="s">
        <v>160</v>
      </c>
      <c r="O140" s="2" t="s">
        <v>1030</v>
      </c>
      <c r="P140" s="2" t="s">
        <v>61</v>
      </c>
      <c r="Q140" s="2" t="s">
        <v>61</v>
      </c>
      <c r="R140" s="2" t="s">
        <v>60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2" t="s">
        <v>52</v>
      </c>
      <c r="AW140" s="2" t="s">
        <v>1041</v>
      </c>
      <c r="AX140" s="2" t="s">
        <v>52</v>
      </c>
      <c r="AY140" s="2" t="s">
        <v>52</v>
      </c>
    </row>
    <row r="141" spans="1:51" ht="30" customHeight="1" x14ac:dyDescent="0.3">
      <c r="A141" s="9" t="s">
        <v>874</v>
      </c>
      <c r="B141" s="9" t="s">
        <v>875</v>
      </c>
      <c r="C141" s="9" t="s">
        <v>307</v>
      </c>
      <c r="D141" s="10">
        <v>1</v>
      </c>
      <c r="E141" s="15">
        <v>0</v>
      </c>
      <c r="F141" s="16">
        <f t="shared" si="26"/>
        <v>0</v>
      </c>
      <c r="G141" s="15">
        <v>0</v>
      </c>
      <c r="H141" s="16">
        <f t="shared" si="27"/>
        <v>0</v>
      </c>
      <c r="I141" s="15">
        <f>TRUNC(SUMIF(V138:V143, RIGHTB(O141, 1), H138:H143)*U141, 2)</f>
        <v>0</v>
      </c>
      <c r="J141" s="16">
        <f t="shared" si="28"/>
        <v>0</v>
      </c>
      <c r="K141" s="15">
        <f t="shared" si="29"/>
        <v>0</v>
      </c>
      <c r="L141" s="16">
        <f t="shared" si="29"/>
        <v>0</v>
      </c>
      <c r="M141" s="9" t="s">
        <v>52</v>
      </c>
      <c r="N141" s="2" t="s">
        <v>160</v>
      </c>
      <c r="O141" s="2" t="s">
        <v>809</v>
      </c>
      <c r="P141" s="2" t="s">
        <v>61</v>
      </c>
      <c r="Q141" s="2" t="s">
        <v>61</v>
      </c>
      <c r="R141" s="2" t="s">
        <v>61</v>
      </c>
      <c r="S141" s="3">
        <v>1</v>
      </c>
      <c r="T141" s="3">
        <v>2</v>
      </c>
      <c r="U141" s="3">
        <v>0.03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2" t="s">
        <v>52</v>
      </c>
      <c r="AW141" s="2" t="s">
        <v>1042</v>
      </c>
      <c r="AX141" s="2" t="s">
        <v>52</v>
      </c>
      <c r="AY141" s="2" t="s">
        <v>52</v>
      </c>
    </row>
    <row r="142" spans="1:51" ht="30" customHeight="1" x14ac:dyDescent="0.3">
      <c r="A142" s="9" t="s">
        <v>1033</v>
      </c>
      <c r="B142" s="9" t="s">
        <v>822</v>
      </c>
      <c r="C142" s="9" t="s">
        <v>823</v>
      </c>
      <c r="D142" s="10">
        <v>0.06</v>
      </c>
      <c r="E142" s="15">
        <f>'단가대비표(총체)'!O191</f>
        <v>0</v>
      </c>
      <c r="F142" s="16">
        <f t="shared" si="26"/>
        <v>0</v>
      </c>
      <c r="G142" s="15">
        <f>'단가대비표(총체)'!P191</f>
        <v>0</v>
      </c>
      <c r="H142" s="16">
        <f t="shared" si="27"/>
        <v>0</v>
      </c>
      <c r="I142" s="15">
        <f>'단가대비표(총체)'!V191</f>
        <v>0</v>
      </c>
      <c r="J142" s="16">
        <f t="shared" si="28"/>
        <v>0</v>
      </c>
      <c r="K142" s="15">
        <f t="shared" si="29"/>
        <v>0</v>
      </c>
      <c r="L142" s="16">
        <f t="shared" si="29"/>
        <v>0</v>
      </c>
      <c r="M142" s="9" t="s">
        <v>52</v>
      </c>
      <c r="N142" s="2" t="s">
        <v>160</v>
      </c>
      <c r="O142" s="2" t="s">
        <v>1034</v>
      </c>
      <c r="P142" s="2" t="s">
        <v>61</v>
      </c>
      <c r="Q142" s="2" t="s">
        <v>61</v>
      </c>
      <c r="R142" s="2" t="s">
        <v>60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2" t="s">
        <v>52</v>
      </c>
      <c r="AW142" s="2" t="s">
        <v>1043</v>
      </c>
      <c r="AX142" s="2" t="s">
        <v>52</v>
      </c>
      <c r="AY142" s="2" t="s">
        <v>52</v>
      </c>
    </row>
    <row r="143" spans="1:51" ht="30" customHeight="1" x14ac:dyDescent="0.3">
      <c r="A143" s="9" t="s">
        <v>821</v>
      </c>
      <c r="B143" s="9" t="s">
        <v>822</v>
      </c>
      <c r="C143" s="9" t="s">
        <v>823</v>
      </c>
      <c r="D143" s="10">
        <v>0.03</v>
      </c>
      <c r="E143" s="15">
        <f>'단가대비표(총체)'!O180</f>
        <v>0</v>
      </c>
      <c r="F143" s="16">
        <f t="shared" si="26"/>
        <v>0</v>
      </c>
      <c r="G143" s="15">
        <f>'단가대비표(총체)'!P180</f>
        <v>0</v>
      </c>
      <c r="H143" s="16">
        <f t="shared" si="27"/>
        <v>0</v>
      </c>
      <c r="I143" s="15">
        <f>'단가대비표(총체)'!V180</f>
        <v>0</v>
      </c>
      <c r="J143" s="16">
        <f t="shared" si="28"/>
        <v>0</v>
      </c>
      <c r="K143" s="15">
        <f t="shared" si="29"/>
        <v>0</v>
      </c>
      <c r="L143" s="16">
        <f t="shared" si="29"/>
        <v>0</v>
      </c>
      <c r="M143" s="9" t="s">
        <v>52</v>
      </c>
      <c r="N143" s="2" t="s">
        <v>160</v>
      </c>
      <c r="O143" s="2" t="s">
        <v>824</v>
      </c>
      <c r="P143" s="2" t="s">
        <v>61</v>
      </c>
      <c r="Q143" s="2" t="s">
        <v>61</v>
      </c>
      <c r="R143" s="2" t="s">
        <v>60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2" t="s">
        <v>52</v>
      </c>
      <c r="AW143" s="2" t="s">
        <v>1044</v>
      </c>
      <c r="AX143" s="2" t="s">
        <v>52</v>
      </c>
      <c r="AY143" s="2" t="s">
        <v>52</v>
      </c>
    </row>
    <row r="144" spans="1:51" ht="30" customHeight="1" x14ac:dyDescent="0.3">
      <c r="A144" s="9" t="s">
        <v>811</v>
      </c>
      <c r="B144" s="9" t="s">
        <v>52</v>
      </c>
      <c r="C144" s="9" t="s">
        <v>52</v>
      </c>
      <c r="D144" s="10"/>
      <c r="E144" s="15"/>
      <c r="F144" s="16">
        <f>TRUNC(SUMIF(N138:N143, N137, F138:F143),0)</f>
        <v>0</v>
      </c>
      <c r="G144" s="15"/>
      <c r="H144" s="16">
        <f>TRUNC(SUMIF(N138:N143, N137, H138:H143),0)</f>
        <v>0</v>
      </c>
      <c r="I144" s="15"/>
      <c r="J144" s="16">
        <f>TRUNC(SUMIF(N138:N143, N137, J138:J143),0)</f>
        <v>0</v>
      </c>
      <c r="K144" s="15"/>
      <c r="L144" s="16">
        <f>F144+H144+J144</f>
        <v>0</v>
      </c>
      <c r="M144" s="9" t="s">
        <v>52</v>
      </c>
      <c r="N144" s="2" t="s">
        <v>94</v>
      </c>
      <c r="O144" s="2" t="s">
        <v>94</v>
      </c>
      <c r="P144" s="2" t="s">
        <v>52</v>
      </c>
      <c r="Q144" s="2" t="s">
        <v>52</v>
      </c>
      <c r="R144" s="2" t="s">
        <v>52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2" t="s">
        <v>52</v>
      </c>
      <c r="AW144" s="2" t="s">
        <v>52</v>
      </c>
      <c r="AX144" s="2" t="s">
        <v>52</v>
      </c>
      <c r="AY144" s="2" t="s">
        <v>52</v>
      </c>
    </row>
    <row r="145" spans="1:51" ht="30" customHeight="1" x14ac:dyDescent="0.3">
      <c r="A145" s="10"/>
      <c r="B145" s="10"/>
      <c r="C145" s="10"/>
      <c r="D145" s="10"/>
      <c r="E145" s="15"/>
      <c r="F145" s="16"/>
      <c r="G145" s="15"/>
      <c r="H145" s="16"/>
      <c r="I145" s="15"/>
      <c r="J145" s="16"/>
      <c r="K145" s="15"/>
      <c r="L145" s="16"/>
      <c r="M145" s="10"/>
    </row>
    <row r="146" spans="1:51" ht="30" customHeight="1" x14ac:dyDescent="0.3">
      <c r="A146" s="44" t="s">
        <v>1045</v>
      </c>
      <c r="B146" s="44"/>
      <c r="C146" s="44"/>
      <c r="D146" s="44"/>
      <c r="E146" s="45"/>
      <c r="F146" s="46"/>
      <c r="G146" s="45"/>
      <c r="H146" s="46"/>
      <c r="I146" s="45"/>
      <c r="J146" s="46"/>
      <c r="K146" s="45"/>
      <c r="L146" s="46"/>
      <c r="M146" s="44"/>
      <c r="N146" s="1" t="s">
        <v>166</v>
      </c>
    </row>
    <row r="147" spans="1:51" ht="30" customHeight="1" x14ac:dyDescent="0.3">
      <c r="A147" s="9" t="s">
        <v>1047</v>
      </c>
      <c r="B147" s="9" t="s">
        <v>1048</v>
      </c>
      <c r="C147" s="9" t="s">
        <v>637</v>
      </c>
      <c r="D147" s="10">
        <v>4.7200000000000002E-3</v>
      </c>
      <c r="E147" s="15">
        <f>'단가대비표(총체)'!O28</f>
        <v>0</v>
      </c>
      <c r="F147" s="16">
        <f>TRUNC(E147*D147,1)</f>
        <v>0</v>
      </c>
      <c r="G147" s="15">
        <f>'단가대비표(총체)'!P28</f>
        <v>0</v>
      </c>
      <c r="H147" s="16">
        <f>TRUNC(G147*D147,1)</f>
        <v>0</v>
      </c>
      <c r="I147" s="15">
        <f>'단가대비표(총체)'!V28</f>
        <v>0</v>
      </c>
      <c r="J147" s="16">
        <f>TRUNC(I147*D147,1)</f>
        <v>0</v>
      </c>
      <c r="K147" s="15">
        <f>TRUNC(E147+G147+I147,1)</f>
        <v>0</v>
      </c>
      <c r="L147" s="16">
        <f>TRUNC(F147+H147+J147,1)</f>
        <v>0</v>
      </c>
      <c r="M147" s="9" t="s">
        <v>52</v>
      </c>
      <c r="N147" s="2" t="s">
        <v>166</v>
      </c>
      <c r="O147" s="2" t="s">
        <v>1049</v>
      </c>
      <c r="P147" s="2" t="s">
        <v>61</v>
      </c>
      <c r="Q147" s="2" t="s">
        <v>61</v>
      </c>
      <c r="R147" s="2" t="s">
        <v>60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2" t="s">
        <v>52</v>
      </c>
      <c r="AW147" s="2" t="s">
        <v>1050</v>
      </c>
      <c r="AX147" s="2" t="s">
        <v>52</v>
      </c>
      <c r="AY147" s="2" t="s">
        <v>52</v>
      </c>
    </row>
    <row r="148" spans="1:51" ht="30" customHeight="1" x14ac:dyDescent="0.3">
      <c r="A148" s="9" t="s">
        <v>164</v>
      </c>
      <c r="B148" s="9" t="s">
        <v>1051</v>
      </c>
      <c r="C148" s="9" t="s">
        <v>68</v>
      </c>
      <c r="D148" s="10">
        <v>1</v>
      </c>
      <c r="E148" s="15">
        <f>'일위대가목록(총체)'!E157</f>
        <v>0</v>
      </c>
      <c r="F148" s="16">
        <f>TRUNC(E148*D148,1)</f>
        <v>0</v>
      </c>
      <c r="G148" s="15">
        <f>'일위대가목록(총체)'!F157</f>
        <v>0</v>
      </c>
      <c r="H148" s="16">
        <f>TRUNC(G148*D148,1)</f>
        <v>0</v>
      </c>
      <c r="I148" s="15">
        <f>'일위대가목록(총체)'!G157</f>
        <v>0</v>
      </c>
      <c r="J148" s="16">
        <f>TRUNC(I148*D148,1)</f>
        <v>0</v>
      </c>
      <c r="K148" s="15">
        <f>TRUNC(E148+G148+I148,1)</f>
        <v>0</v>
      </c>
      <c r="L148" s="16">
        <f>TRUNC(F148+H148+J148,1)</f>
        <v>0</v>
      </c>
      <c r="M148" s="9" t="s">
        <v>52</v>
      </c>
      <c r="N148" s="2" t="s">
        <v>166</v>
      </c>
      <c r="O148" s="2" t="s">
        <v>1052</v>
      </c>
      <c r="P148" s="2" t="s">
        <v>60</v>
      </c>
      <c r="Q148" s="2" t="s">
        <v>61</v>
      </c>
      <c r="R148" s="2" t="s">
        <v>61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2" t="s">
        <v>52</v>
      </c>
      <c r="AW148" s="2" t="s">
        <v>1053</v>
      </c>
      <c r="AX148" s="2" t="s">
        <v>52</v>
      </c>
      <c r="AY148" s="2" t="s">
        <v>52</v>
      </c>
    </row>
    <row r="149" spans="1:51" ht="30" customHeight="1" x14ac:dyDescent="0.3">
      <c r="A149" s="9" t="s">
        <v>811</v>
      </c>
      <c r="B149" s="9" t="s">
        <v>52</v>
      </c>
      <c r="C149" s="9" t="s">
        <v>52</v>
      </c>
      <c r="D149" s="10"/>
      <c r="E149" s="15"/>
      <c r="F149" s="16">
        <f>TRUNC(SUMIF(N147:N148, N146, F147:F148),0)</f>
        <v>0</v>
      </c>
      <c r="G149" s="15"/>
      <c r="H149" s="16">
        <f>TRUNC(SUMIF(N147:N148, N146, H147:H148),0)</f>
        <v>0</v>
      </c>
      <c r="I149" s="15"/>
      <c r="J149" s="16">
        <f>TRUNC(SUMIF(N147:N148, N146, J147:J148),0)</f>
        <v>0</v>
      </c>
      <c r="K149" s="15"/>
      <c r="L149" s="16">
        <f>F149+H149+J149</f>
        <v>0</v>
      </c>
      <c r="M149" s="9" t="s">
        <v>52</v>
      </c>
      <c r="N149" s="2" t="s">
        <v>94</v>
      </c>
      <c r="O149" s="2" t="s">
        <v>94</v>
      </c>
      <c r="P149" s="2" t="s">
        <v>52</v>
      </c>
      <c r="Q149" s="2" t="s">
        <v>52</v>
      </c>
      <c r="R149" s="2" t="s">
        <v>52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2" t="s">
        <v>52</v>
      </c>
      <c r="AW149" s="2" t="s">
        <v>52</v>
      </c>
      <c r="AX149" s="2" t="s">
        <v>52</v>
      </c>
      <c r="AY149" s="2" t="s">
        <v>52</v>
      </c>
    </row>
    <row r="150" spans="1:51" ht="30" customHeight="1" x14ac:dyDescent="0.3">
      <c r="A150" s="10"/>
      <c r="B150" s="10"/>
      <c r="C150" s="10"/>
      <c r="D150" s="10"/>
      <c r="E150" s="15"/>
      <c r="F150" s="16"/>
      <c r="G150" s="15"/>
      <c r="H150" s="16"/>
      <c r="I150" s="15"/>
      <c r="J150" s="16"/>
      <c r="K150" s="15"/>
      <c r="L150" s="16"/>
      <c r="M150" s="10"/>
    </row>
    <row r="151" spans="1:51" ht="30" customHeight="1" x14ac:dyDescent="0.3">
      <c r="A151" s="44" t="s">
        <v>1054</v>
      </c>
      <c r="B151" s="44"/>
      <c r="C151" s="44"/>
      <c r="D151" s="44"/>
      <c r="E151" s="45"/>
      <c r="F151" s="46"/>
      <c r="G151" s="45"/>
      <c r="H151" s="46"/>
      <c r="I151" s="45"/>
      <c r="J151" s="46"/>
      <c r="K151" s="45"/>
      <c r="L151" s="46"/>
      <c r="M151" s="44"/>
      <c r="N151" s="1" t="s">
        <v>169</v>
      </c>
    </row>
    <row r="152" spans="1:51" ht="30" customHeight="1" x14ac:dyDescent="0.3">
      <c r="A152" s="9" t="s">
        <v>1047</v>
      </c>
      <c r="B152" s="9" t="s">
        <v>1048</v>
      </c>
      <c r="C152" s="9" t="s">
        <v>637</v>
      </c>
      <c r="D152" s="10">
        <v>9.4400000000000005E-3</v>
      </c>
      <c r="E152" s="15">
        <f>'단가대비표(총체)'!O28</f>
        <v>0</v>
      </c>
      <c r="F152" s="16">
        <f>TRUNC(E152*D152,1)</f>
        <v>0</v>
      </c>
      <c r="G152" s="15">
        <f>'단가대비표(총체)'!P28</f>
        <v>0</v>
      </c>
      <c r="H152" s="16">
        <f>TRUNC(G152*D152,1)</f>
        <v>0</v>
      </c>
      <c r="I152" s="15">
        <f>'단가대비표(총체)'!V28</f>
        <v>0</v>
      </c>
      <c r="J152" s="16">
        <f>TRUNC(I152*D152,1)</f>
        <v>0</v>
      </c>
      <c r="K152" s="15">
        <f>TRUNC(E152+G152+I152,1)</f>
        <v>0</v>
      </c>
      <c r="L152" s="16">
        <f>TRUNC(F152+H152+J152,1)</f>
        <v>0</v>
      </c>
      <c r="M152" s="9" t="s">
        <v>52</v>
      </c>
      <c r="N152" s="2" t="s">
        <v>169</v>
      </c>
      <c r="O152" s="2" t="s">
        <v>1049</v>
      </c>
      <c r="P152" s="2" t="s">
        <v>61</v>
      </c>
      <c r="Q152" s="2" t="s">
        <v>61</v>
      </c>
      <c r="R152" s="2" t="s">
        <v>60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2" t="s">
        <v>52</v>
      </c>
      <c r="AW152" s="2" t="s">
        <v>1056</v>
      </c>
      <c r="AX152" s="2" t="s">
        <v>52</v>
      </c>
      <c r="AY152" s="2" t="s">
        <v>52</v>
      </c>
    </row>
    <row r="153" spans="1:51" ht="30" customHeight="1" x14ac:dyDescent="0.3">
      <c r="A153" s="9" t="s">
        <v>164</v>
      </c>
      <c r="B153" s="9" t="s">
        <v>1051</v>
      </c>
      <c r="C153" s="9" t="s">
        <v>68</v>
      </c>
      <c r="D153" s="10">
        <v>1</v>
      </c>
      <c r="E153" s="15">
        <f>'일위대가목록(총체)'!E157</f>
        <v>0</v>
      </c>
      <c r="F153" s="16">
        <f>TRUNC(E153*D153,1)</f>
        <v>0</v>
      </c>
      <c r="G153" s="15">
        <f>'일위대가목록(총체)'!F157</f>
        <v>0</v>
      </c>
      <c r="H153" s="16">
        <f>TRUNC(G153*D153,1)</f>
        <v>0</v>
      </c>
      <c r="I153" s="15">
        <f>'일위대가목록(총체)'!G157</f>
        <v>0</v>
      </c>
      <c r="J153" s="16">
        <f>TRUNC(I153*D153,1)</f>
        <v>0</v>
      </c>
      <c r="K153" s="15">
        <f>TRUNC(E153+G153+I153,1)</f>
        <v>0</v>
      </c>
      <c r="L153" s="16">
        <f>TRUNC(F153+H153+J153,1)</f>
        <v>0</v>
      </c>
      <c r="M153" s="9" t="s">
        <v>52</v>
      </c>
      <c r="N153" s="2" t="s">
        <v>169</v>
      </c>
      <c r="O153" s="2" t="s">
        <v>1052</v>
      </c>
      <c r="P153" s="2" t="s">
        <v>60</v>
      </c>
      <c r="Q153" s="2" t="s">
        <v>61</v>
      </c>
      <c r="R153" s="2" t="s">
        <v>61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2" t="s">
        <v>52</v>
      </c>
      <c r="AW153" s="2" t="s">
        <v>1057</v>
      </c>
      <c r="AX153" s="2" t="s">
        <v>52</v>
      </c>
      <c r="AY153" s="2" t="s">
        <v>52</v>
      </c>
    </row>
    <row r="154" spans="1:51" ht="30" customHeight="1" x14ac:dyDescent="0.3">
      <c r="A154" s="9" t="s">
        <v>811</v>
      </c>
      <c r="B154" s="9" t="s">
        <v>52</v>
      </c>
      <c r="C154" s="9" t="s">
        <v>52</v>
      </c>
      <c r="D154" s="10"/>
      <c r="E154" s="15"/>
      <c r="F154" s="16">
        <f>TRUNC(SUMIF(N152:N153, N151, F152:F153),0)</f>
        <v>0</v>
      </c>
      <c r="G154" s="15"/>
      <c r="H154" s="16">
        <f>TRUNC(SUMIF(N152:N153, N151, H152:H153),0)</f>
        <v>0</v>
      </c>
      <c r="I154" s="15"/>
      <c r="J154" s="16">
        <f>TRUNC(SUMIF(N152:N153, N151, J152:J153),0)</f>
        <v>0</v>
      </c>
      <c r="K154" s="15"/>
      <c r="L154" s="16">
        <f>F154+H154+J154</f>
        <v>0</v>
      </c>
      <c r="M154" s="9" t="s">
        <v>52</v>
      </c>
      <c r="N154" s="2" t="s">
        <v>94</v>
      </c>
      <c r="O154" s="2" t="s">
        <v>94</v>
      </c>
      <c r="P154" s="2" t="s">
        <v>52</v>
      </c>
      <c r="Q154" s="2" t="s">
        <v>52</v>
      </c>
      <c r="R154" s="2" t="s">
        <v>52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2" t="s">
        <v>52</v>
      </c>
      <c r="AW154" s="2" t="s">
        <v>52</v>
      </c>
      <c r="AX154" s="2" t="s">
        <v>52</v>
      </c>
      <c r="AY154" s="2" t="s">
        <v>52</v>
      </c>
    </row>
    <row r="155" spans="1:51" ht="30" customHeight="1" x14ac:dyDescent="0.3">
      <c r="A155" s="10"/>
      <c r="B155" s="10"/>
      <c r="C155" s="10"/>
      <c r="D155" s="10"/>
      <c r="E155" s="15"/>
      <c r="F155" s="16"/>
      <c r="G155" s="15"/>
      <c r="H155" s="16"/>
      <c r="I155" s="15"/>
      <c r="J155" s="16"/>
      <c r="K155" s="15"/>
      <c r="L155" s="16"/>
      <c r="M155" s="10"/>
    </row>
    <row r="156" spans="1:51" ht="30" customHeight="1" x14ac:dyDescent="0.3">
      <c r="A156" s="44" t="s">
        <v>1058</v>
      </c>
      <c r="B156" s="44"/>
      <c r="C156" s="44"/>
      <c r="D156" s="44"/>
      <c r="E156" s="45"/>
      <c r="F156" s="46"/>
      <c r="G156" s="45"/>
      <c r="H156" s="46"/>
      <c r="I156" s="45"/>
      <c r="J156" s="46"/>
      <c r="K156" s="45"/>
      <c r="L156" s="46"/>
      <c r="M156" s="44"/>
      <c r="N156" s="1" t="s">
        <v>172</v>
      </c>
    </row>
    <row r="157" spans="1:51" ht="30" customHeight="1" x14ac:dyDescent="0.3">
      <c r="A157" s="9" t="s">
        <v>1060</v>
      </c>
      <c r="B157" s="9" t="s">
        <v>822</v>
      </c>
      <c r="C157" s="9" t="s">
        <v>823</v>
      </c>
      <c r="D157" s="10">
        <v>0.06</v>
      </c>
      <c r="E157" s="15">
        <f>'단가대비표(총체)'!O195</f>
        <v>0</v>
      </c>
      <c r="F157" s="16">
        <f>TRUNC(E157*D157,1)</f>
        <v>0</v>
      </c>
      <c r="G157" s="15">
        <f>'단가대비표(총체)'!P195</f>
        <v>0</v>
      </c>
      <c r="H157" s="16">
        <f>TRUNC(G157*D157,1)</f>
        <v>0</v>
      </c>
      <c r="I157" s="15">
        <f>'단가대비표(총체)'!V195</f>
        <v>0</v>
      </c>
      <c r="J157" s="16">
        <f>TRUNC(I157*D157,1)</f>
        <v>0</v>
      </c>
      <c r="K157" s="15">
        <f t="shared" ref="K157:L159" si="30">TRUNC(E157+G157+I157,1)</f>
        <v>0</v>
      </c>
      <c r="L157" s="16">
        <f t="shared" si="30"/>
        <v>0</v>
      </c>
      <c r="M157" s="9" t="s">
        <v>52</v>
      </c>
      <c r="N157" s="2" t="s">
        <v>172</v>
      </c>
      <c r="O157" s="2" t="s">
        <v>1061</v>
      </c>
      <c r="P157" s="2" t="s">
        <v>61</v>
      </c>
      <c r="Q157" s="2" t="s">
        <v>61</v>
      </c>
      <c r="R157" s="2" t="s">
        <v>60</v>
      </c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2" t="s">
        <v>52</v>
      </c>
      <c r="AW157" s="2" t="s">
        <v>1062</v>
      </c>
      <c r="AX157" s="2" t="s">
        <v>52</v>
      </c>
      <c r="AY157" s="2" t="s">
        <v>52</v>
      </c>
    </row>
    <row r="158" spans="1:51" ht="30" customHeight="1" x14ac:dyDescent="0.3">
      <c r="A158" s="9" t="s">
        <v>821</v>
      </c>
      <c r="B158" s="9" t="s">
        <v>822</v>
      </c>
      <c r="C158" s="9" t="s">
        <v>823</v>
      </c>
      <c r="D158" s="10">
        <v>0.01</v>
      </c>
      <c r="E158" s="15">
        <f>'단가대비표(총체)'!O180</f>
        <v>0</v>
      </c>
      <c r="F158" s="16">
        <f>TRUNC(E158*D158,1)</f>
        <v>0</v>
      </c>
      <c r="G158" s="15">
        <f>'단가대비표(총체)'!P180</f>
        <v>0</v>
      </c>
      <c r="H158" s="16">
        <f>TRUNC(G158*D158,1)</f>
        <v>0</v>
      </c>
      <c r="I158" s="15">
        <f>'단가대비표(총체)'!V180</f>
        <v>0</v>
      </c>
      <c r="J158" s="16">
        <f>TRUNC(I158*D158,1)</f>
        <v>0</v>
      </c>
      <c r="K158" s="15">
        <f t="shared" si="30"/>
        <v>0</v>
      </c>
      <c r="L158" s="16">
        <f t="shared" si="30"/>
        <v>0</v>
      </c>
      <c r="M158" s="9" t="s">
        <v>52</v>
      </c>
      <c r="N158" s="2" t="s">
        <v>172</v>
      </c>
      <c r="O158" s="2" t="s">
        <v>824</v>
      </c>
      <c r="P158" s="2" t="s">
        <v>61</v>
      </c>
      <c r="Q158" s="2" t="s">
        <v>61</v>
      </c>
      <c r="R158" s="2" t="s">
        <v>60</v>
      </c>
      <c r="S158" s="3"/>
      <c r="T158" s="3"/>
      <c r="U158" s="3"/>
      <c r="V158" s="3">
        <v>1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2" t="s">
        <v>52</v>
      </c>
      <c r="AW158" s="2" t="s">
        <v>1063</v>
      </c>
      <c r="AX158" s="2" t="s">
        <v>52</v>
      </c>
      <c r="AY158" s="2" t="s">
        <v>52</v>
      </c>
    </row>
    <row r="159" spans="1:51" ht="30" customHeight="1" x14ac:dyDescent="0.3">
      <c r="A159" s="9" t="s">
        <v>874</v>
      </c>
      <c r="B159" s="9" t="s">
        <v>891</v>
      </c>
      <c r="C159" s="9" t="s">
        <v>307</v>
      </c>
      <c r="D159" s="10">
        <v>1</v>
      </c>
      <c r="E159" s="15">
        <v>0</v>
      </c>
      <c r="F159" s="16">
        <f>TRUNC(E159*D159,1)</f>
        <v>0</v>
      </c>
      <c r="G159" s="15">
        <v>0</v>
      </c>
      <c r="H159" s="16">
        <f>TRUNC(G159*D159,1)</f>
        <v>0</v>
      </c>
      <c r="I159" s="15">
        <f>TRUNC(SUMIF(V157:V159, RIGHTB(O159, 1), H157:H159)*U159, 2)</f>
        <v>0</v>
      </c>
      <c r="J159" s="16">
        <f>TRUNC(I159*D159,1)</f>
        <v>0</v>
      </c>
      <c r="K159" s="15">
        <f t="shared" si="30"/>
        <v>0</v>
      </c>
      <c r="L159" s="16">
        <f t="shared" si="30"/>
        <v>0</v>
      </c>
      <c r="M159" s="9" t="s">
        <v>52</v>
      </c>
      <c r="N159" s="2" t="s">
        <v>172</v>
      </c>
      <c r="O159" s="2" t="s">
        <v>809</v>
      </c>
      <c r="P159" s="2" t="s">
        <v>61</v>
      </c>
      <c r="Q159" s="2" t="s">
        <v>61</v>
      </c>
      <c r="R159" s="2" t="s">
        <v>61</v>
      </c>
      <c r="S159" s="3">
        <v>1</v>
      </c>
      <c r="T159" s="3">
        <v>2</v>
      </c>
      <c r="U159" s="3">
        <v>0.02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2" t="s">
        <v>52</v>
      </c>
      <c r="AW159" s="2" t="s">
        <v>1064</v>
      </c>
      <c r="AX159" s="2" t="s">
        <v>52</v>
      </c>
      <c r="AY159" s="2" t="s">
        <v>52</v>
      </c>
    </row>
    <row r="160" spans="1:51" ht="30" customHeight="1" x14ac:dyDescent="0.3">
      <c r="A160" s="9" t="s">
        <v>811</v>
      </c>
      <c r="B160" s="9" t="s">
        <v>52</v>
      </c>
      <c r="C160" s="9" t="s">
        <v>52</v>
      </c>
      <c r="D160" s="10"/>
      <c r="E160" s="15"/>
      <c r="F160" s="16">
        <f>TRUNC(SUMIF(N157:N159, N156, F157:F159),0)</f>
        <v>0</v>
      </c>
      <c r="G160" s="15"/>
      <c r="H160" s="16">
        <f>TRUNC(SUMIF(N157:N159, N156, H157:H159),0)</f>
        <v>0</v>
      </c>
      <c r="I160" s="15"/>
      <c r="J160" s="16">
        <f>TRUNC(SUMIF(N157:N159, N156, J157:J159),0)</f>
        <v>0</v>
      </c>
      <c r="K160" s="15"/>
      <c r="L160" s="16">
        <f>F160+H160+J160</f>
        <v>0</v>
      </c>
      <c r="M160" s="9" t="s">
        <v>52</v>
      </c>
      <c r="N160" s="2" t="s">
        <v>94</v>
      </c>
      <c r="O160" s="2" t="s">
        <v>94</v>
      </c>
      <c r="P160" s="2" t="s">
        <v>52</v>
      </c>
      <c r="Q160" s="2" t="s">
        <v>52</v>
      </c>
      <c r="R160" s="2" t="s">
        <v>52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2" t="s">
        <v>52</v>
      </c>
      <c r="AW160" s="2" t="s">
        <v>52</v>
      </c>
      <c r="AX160" s="2" t="s">
        <v>52</v>
      </c>
      <c r="AY160" s="2" t="s">
        <v>52</v>
      </c>
    </row>
    <row r="161" spans="1:51" ht="30" customHeight="1" x14ac:dyDescent="0.3">
      <c r="A161" s="10"/>
      <c r="B161" s="10"/>
      <c r="C161" s="10"/>
      <c r="D161" s="10"/>
      <c r="E161" s="15"/>
      <c r="F161" s="16"/>
      <c r="G161" s="15"/>
      <c r="H161" s="16"/>
      <c r="I161" s="15"/>
      <c r="J161" s="16"/>
      <c r="K161" s="15"/>
      <c r="L161" s="16"/>
      <c r="M161" s="10"/>
    </row>
    <row r="162" spans="1:51" ht="30" customHeight="1" x14ac:dyDescent="0.3">
      <c r="A162" s="44" t="s">
        <v>1065</v>
      </c>
      <c r="B162" s="44"/>
      <c r="C162" s="44"/>
      <c r="D162" s="44"/>
      <c r="E162" s="45"/>
      <c r="F162" s="46"/>
      <c r="G162" s="45"/>
      <c r="H162" s="46"/>
      <c r="I162" s="45"/>
      <c r="J162" s="46"/>
      <c r="K162" s="45"/>
      <c r="L162" s="46"/>
      <c r="M162" s="44"/>
      <c r="N162" s="1" t="s">
        <v>176</v>
      </c>
    </row>
    <row r="163" spans="1:51" ht="30" customHeight="1" x14ac:dyDescent="0.3">
      <c r="A163" s="9" t="s">
        <v>1067</v>
      </c>
      <c r="B163" s="9" t="s">
        <v>1068</v>
      </c>
      <c r="C163" s="9" t="s">
        <v>1021</v>
      </c>
      <c r="D163" s="10">
        <v>0.54</v>
      </c>
      <c r="E163" s="15">
        <f>'단가대비표(총체)'!O117</f>
        <v>0</v>
      </c>
      <c r="F163" s="16">
        <f>TRUNC(E163*D163,1)</f>
        <v>0</v>
      </c>
      <c r="G163" s="15">
        <f>'단가대비표(총체)'!P117</f>
        <v>0</v>
      </c>
      <c r="H163" s="16">
        <f>TRUNC(G163*D163,1)</f>
        <v>0</v>
      </c>
      <c r="I163" s="15">
        <f>'단가대비표(총체)'!V117</f>
        <v>0</v>
      </c>
      <c r="J163" s="16">
        <f>TRUNC(I163*D163,1)</f>
        <v>0</v>
      </c>
      <c r="K163" s="15">
        <f t="shared" ref="K163:L166" si="31">TRUNC(E163+G163+I163,1)</f>
        <v>0</v>
      </c>
      <c r="L163" s="16">
        <f t="shared" si="31"/>
        <v>0</v>
      </c>
      <c r="M163" s="9" t="s">
        <v>52</v>
      </c>
      <c r="N163" s="2" t="s">
        <v>176</v>
      </c>
      <c r="O163" s="2" t="s">
        <v>1069</v>
      </c>
      <c r="P163" s="2" t="s">
        <v>61</v>
      </c>
      <c r="Q163" s="2" t="s">
        <v>61</v>
      </c>
      <c r="R163" s="2" t="s">
        <v>60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2" t="s">
        <v>52</v>
      </c>
      <c r="AW163" s="2" t="s">
        <v>1070</v>
      </c>
      <c r="AX163" s="2" t="s">
        <v>52</v>
      </c>
      <c r="AY163" s="2" t="s">
        <v>52</v>
      </c>
    </row>
    <row r="164" spans="1:51" ht="30" customHeight="1" x14ac:dyDescent="0.3">
      <c r="A164" s="9" t="s">
        <v>1071</v>
      </c>
      <c r="B164" s="9" t="s">
        <v>822</v>
      </c>
      <c r="C164" s="9" t="s">
        <v>823</v>
      </c>
      <c r="D164" s="10">
        <v>0.104</v>
      </c>
      <c r="E164" s="15">
        <f>'단가대비표(총체)'!O188</f>
        <v>0</v>
      </c>
      <c r="F164" s="16">
        <f>TRUNC(E164*D164,1)</f>
        <v>0</v>
      </c>
      <c r="G164" s="15">
        <f>'단가대비표(총체)'!P188</f>
        <v>0</v>
      </c>
      <c r="H164" s="16">
        <f>TRUNC(G164*D164,1)</f>
        <v>0</v>
      </c>
      <c r="I164" s="15">
        <f>'단가대비표(총체)'!V188</f>
        <v>0</v>
      </c>
      <c r="J164" s="16">
        <f>TRUNC(I164*D164,1)</f>
        <v>0</v>
      </c>
      <c r="K164" s="15">
        <f t="shared" si="31"/>
        <v>0</v>
      </c>
      <c r="L164" s="16">
        <f t="shared" si="31"/>
        <v>0</v>
      </c>
      <c r="M164" s="9" t="s">
        <v>52</v>
      </c>
      <c r="N164" s="2" t="s">
        <v>176</v>
      </c>
      <c r="O164" s="2" t="s">
        <v>1072</v>
      </c>
      <c r="P164" s="2" t="s">
        <v>61</v>
      </c>
      <c r="Q164" s="2" t="s">
        <v>61</v>
      </c>
      <c r="R164" s="2" t="s">
        <v>60</v>
      </c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2" t="s">
        <v>52</v>
      </c>
      <c r="AW164" s="2" t="s">
        <v>1073</v>
      </c>
      <c r="AX164" s="2" t="s">
        <v>52</v>
      </c>
      <c r="AY164" s="2" t="s">
        <v>52</v>
      </c>
    </row>
    <row r="165" spans="1:51" ht="30" customHeight="1" x14ac:dyDescent="0.3">
      <c r="A165" s="9" t="s">
        <v>821</v>
      </c>
      <c r="B165" s="9" t="s">
        <v>822</v>
      </c>
      <c r="C165" s="9" t="s">
        <v>823</v>
      </c>
      <c r="D165" s="10">
        <v>1.2E-2</v>
      </c>
      <c r="E165" s="15">
        <f>'단가대비표(총체)'!O180</f>
        <v>0</v>
      </c>
      <c r="F165" s="16">
        <f>TRUNC(E165*D165,1)</f>
        <v>0</v>
      </c>
      <c r="G165" s="15">
        <f>'단가대비표(총체)'!P180</f>
        <v>0</v>
      </c>
      <c r="H165" s="16">
        <f>TRUNC(G165*D165,1)</f>
        <v>0</v>
      </c>
      <c r="I165" s="15">
        <f>'단가대비표(총체)'!V180</f>
        <v>0</v>
      </c>
      <c r="J165" s="16">
        <f>TRUNC(I165*D165,1)</f>
        <v>0</v>
      </c>
      <c r="K165" s="15">
        <f t="shared" si="31"/>
        <v>0</v>
      </c>
      <c r="L165" s="16">
        <f t="shared" si="31"/>
        <v>0</v>
      </c>
      <c r="M165" s="9" t="s">
        <v>52</v>
      </c>
      <c r="N165" s="2" t="s">
        <v>176</v>
      </c>
      <c r="O165" s="2" t="s">
        <v>824</v>
      </c>
      <c r="P165" s="2" t="s">
        <v>61</v>
      </c>
      <c r="Q165" s="2" t="s">
        <v>61</v>
      </c>
      <c r="R165" s="2" t="s">
        <v>60</v>
      </c>
      <c r="S165" s="3"/>
      <c r="T165" s="3"/>
      <c r="U165" s="3"/>
      <c r="V165" s="3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2" t="s">
        <v>52</v>
      </c>
      <c r="AW165" s="2" t="s">
        <v>1074</v>
      </c>
      <c r="AX165" s="2" t="s">
        <v>52</v>
      </c>
      <c r="AY165" s="2" t="s">
        <v>52</v>
      </c>
    </row>
    <row r="166" spans="1:51" ht="30" customHeight="1" x14ac:dyDescent="0.3">
      <c r="A166" s="9" t="s">
        <v>874</v>
      </c>
      <c r="B166" s="9" t="s">
        <v>891</v>
      </c>
      <c r="C166" s="9" t="s">
        <v>307</v>
      </c>
      <c r="D166" s="10">
        <v>1</v>
      </c>
      <c r="E166" s="15">
        <f>TRUNC(SUMIF(V163:V166, RIGHTB(O166, 1), H163:H166)*U166, 2)</f>
        <v>0</v>
      </c>
      <c r="F166" s="16">
        <f>TRUNC(E166*D166,1)</f>
        <v>0</v>
      </c>
      <c r="G166" s="15">
        <v>0</v>
      </c>
      <c r="H166" s="16">
        <f>TRUNC(G166*D166,1)</f>
        <v>0</v>
      </c>
      <c r="I166" s="15">
        <v>0</v>
      </c>
      <c r="J166" s="16">
        <f>TRUNC(I166*D166,1)</f>
        <v>0</v>
      </c>
      <c r="K166" s="15">
        <f t="shared" si="31"/>
        <v>0</v>
      </c>
      <c r="L166" s="16">
        <f t="shared" si="31"/>
        <v>0</v>
      </c>
      <c r="M166" s="9" t="s">
        <v>52</v>
      </c>
      <c r="N166" s="2" t="s">
        <v>176</v>
      </c>
      <c r="O166" s="2" t="s">
        <v>809</v>
      </c>
      <c r="P166" s="2" t="s">
        <v>61</v>
      </c>
      <c r="Q166" s="2" t="s">
        <v>61</v>
      </c>
      <c r="R166" s="2" t="s">
        <v>61</v>
      </c>
      <c r="S166" s="3">
        <v>1</v>
      </c>
      <c r="T166" s="3">
        <v>0</v>
      </c>
      <c r="U166" s="3">
        <v>0.02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2" t="s">
        <v>52</v>
      </c>
      <c r="AW166" s="2" t="s">
        <v>1075</v>
      </c>
      <c r="AX166" s="2" t="s">
        <v>52</v>
      </c>
      <c r="AY166" s="2" t="s">
        <v>52</v>
      </c>
    </row>
    <row r="167" spans="1:51" ht="30" customHeight="1" x14ac:dyDescent="0.3">
      <c r="A167" s="9" t="s">
        <v>811</v>
      </c>
      <c r="B167" s="9" t="s">
        <v>52</v>
      </c>
      <c r="C167" s="9" t="s">
        <v>52</v>
      </c>
      <c r="D167" s="10"/>
      <c r="E167" s="15"/>
      <c r="F167" s="16">
        <f>TRUNC(SUMIF(N163:N166, N162, F163:F166),0)</f>
        <v>0</v>
      </c>
      <c r="G167" s="15"/>
      <c r="H167" s="16">
        <f>TRUNC(SUMIF(N163:N166, N162, H163:H166),0)</f>
        <v>0</v>
      </c>
      <c r="I167" s="15"/>
      <c r="J167" s="16">
        <f>TRUNC(SUMIF(N163:N166, N162, J163:J166),0)</f>
        <v>0</v>
      </c>
      <c r="K167" s="15"/>
      <c r="L167" s="16">
        <f>F167+H167+J167</f>
        <v>0</v>
      </c>
      <c r="M167" s="9" t="s">
        <v>52</v>
      </c>
      <c r="N167" s="2" t="s">
        <v>94</v>
      </c>
      <c r="O167" s="2" t="s">
        <v>94</v>
      </c>
      <c r="P167" s="2" t="s">
        <v>52</v>
      </c>
      <c r="Q167" s="2" t="s">
        <v>52</v>
      </c>
      <c r="R167" s="2" t="s">
        <v>52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2" t="s">
        <v>52</v>
      </c>
      <c r="AW167" s="2" t="s">
        <v>52</v>
      </c>
      <c r="AX167" s="2" t="s">
        <v>52</v>
      </c>
      <c r="AY167" s="2" t="s">
        <v>52</v>
      </c>
    </row>
    <row r="168" spans="1:51" ht="30" customHeight="1" x14ac:dyDescent="0.3">
      <c r="A168" s="10"/>
      <c r="B168" s="10"/>
      <c r="C168" s="10"/>
      <c r="D168" s="10"/>
      <c r="E168" s="15"/>
      <c r="F168" s="16"/>
      <c r="G168" s="15"/>
      <c r="H168" s="16"/>
      <c r="I168" s="15"/>
      <c r="J168" s="16"/>
      <c r="K168" s="15"/>
      <c r="L168" s="16"/>
      <c r="M168" s="10"/>
    </row>
    <row r="169" spans="1:51" ht="30" customHeight="1" x14ac:dyDescent="0.3">
      <c r="A169" s="44" t="s">
        <v>1076</v>
      </c>
      <c r="B169" s="44"/>
      <c r="C169" s="44"/>
      <c r="D169" s="44"/>
      <c r="E169" s="45"/>
      <c r="F169" s="46"/>
      <c r="G169" s="45"/>
      <c r="H169" s="46"/>
      <c r="I169" s="45"/>
      <c r="J169" s="46"/>
      <c r="K169" s="45"/>
      <c r="L169" s="46"/>
      <c r="M169" s="44"/>
      <c r="N169" s="1" t="s">
        <v>183</v>
      </c>
    </row>
    <row r="170" spans="1:51" ht="30" customHeight="1" x14ac:dyDescent="0.3">
      <c r="A170" s="9" t="s">
        <v>1067</v>
      </c>
      <c r="B170" s="9" t="s">
        <v>1068</v>
      </c>
      <c r="C170" s="9" t="s">
        <v>1021</v>
      </c>
      <c r="D170" s="10">
        <v>0.54</v>
      </c>
      <c r="E170" s="15">
        <f>'단가대비표(총체)'!O117</f>
        <v>0</v>
      </c>
      <c r="F170" s="16">
        <f>TRUNC(E170*D170,1)</f>
        <v>0</v>
      </c>
      <c r="G170" s="15">
        <f>'단가대비표(총체)'!P117</f>
        <v>0</v>
      </c>
      <c r="H170" s="16">
        <f>TRUNC(G170*D170,1)</f>
        <v>0</v>
      </c>
      <c r="I170" s="15">
        <f>'단가대비표(총체)'!V117</f>
        <v>0</v>
      </c>
      <c r="J170" s="16">
        <f>TRUNC(I170*D170,1)</f>
        <v>0</v>
      </c>
      <c r="K170" s="15">
        <f t="shared" ref="K170:L173" si="32">TRUNC(E170+G170+I170,1)</f>
        <v>0</v>
      </c>
      <c r="L170" s="16">
        <f t="shared" si="32"/>
        <v>0</v>
      </c>
      <c r="M170" s="9" t="s">
        <v>52</v>
      </c>
      <c r="N170" s="2" t="s">
        <v>183</v>
      </c>
      <c r="O170" s="2" t="s">
        <v>1069</v>
      </c>
      <c r="P170" s="2" t="s">
        <v>61</v>
      </c>
      <c r="Q170" s="2" t="s">
        <v>61</v>
      </c>
      <c r="R170" s="2" t="s">
        <v>60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2" t="s">
        <v>52</v>
      </c>
      <c r="AW170" s="2" t="s">
        <v>1078</v>
      </c>
      <c r="AX170" s="2" t="s">
        <v>52</v>
      </c>
      <c r="AY170" s="2" t="s">
        <v>52</v>
      </c>
    </row>
    <row r="171" spans="1:51" ht="30" customHeight="1" x14ac:dyDescent="0.3">
      <c r="A171" s="9" t="s">
        <v>1071</v>
      </c>
      <c r="B171" s="9" t="s">
        <v>822</v>
      </c>
      <c r="C171" s="9" t="s">
        <v>823</v>
      </c>
      <c r="D171" s="10">
        <v>0.104</v>
      </c>
      <c r="E171" s="15">
        <f>'단가대비표(총체)'!O188</f>
        <v>0</v>
      </c>
      <c r="F171" s="16">
        <f>TRUNC(E171*D171,1)</f>
        <v>0</v>
      </c>
      <c r="G171" s="15">
        <f>'단가대비표(총체)'!P188</f>
        <v>0</v>
      </c>
      <c r="H171" s="16">
        <f>TRUNC(G171*D171,1)</f>
        <v>0</v>
      </c>
      <c r="I171" s="15">
        <f>'단가대비표(총체)'!V188</f>
        <v>0</v>
      </c>
      <c r="J171" s="16">
        <f>TRUNC(I171*D171,1)</f>
        <v>0</v>
      </c>
      <c r="K171" s="15">
        <f t="shared" si="32"/>
        <v>0</v>
      </c>
      <c r="L171" s="16">
        <f t="shared" si="32"/>
        <v>0</v>
      </c>
      <c r="M171" s="9" t="s">
        <v>52</v>
      </c>
      <c r="N171" s="2" t="s">
        <v>183</v>
      </c>
      <c r="O171" s="2" t="s">
        <v>1072</v>
      </c>
      <c r="P171" s="2" t="s">
        <v>61</v>
      </c>
      <c r="Q171" s="2" t="s">
        <v>61</v>
      </c>
      <c r="R171" s="2" t="s">
        <v>60</v>
      </c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2" t="s">
        <v>52</v>
      </c>
      <c r="AW171" s="2" t="s">
        <v>1079</v>
      </c>
      <c r="AX171" s="2" t="s">
        <v>52</v>
      </c>
      <c r="AY171" s="2" t="s">
        <v>52</v>
      </c>
    </row>
    <row r="172" spans="1:51" ht="30" customHeight="1" x14ac:dyDescent="0.3">
      <c r="A172" s="9" t="s">
        <v>821</v>
      </c>
      <c r="B172" s="9" t="s">
        <v>822</v>
      </c>
      <c r="C172" s="9" t="s">
        <v>823</v>
      </c>
      <c r="D172" s="10">
        <v>1.2E-2</v>
      </c>
      <c r="E172" s="15">
        <f>'단가대비표(총체)'!O180</f>
        <v>0</v>
      </c>
      <c r="F172" s="16">
        <f>TRUNC(E172*D172,1)</f>
        <v>0</v>
      </c>
      <c r="G172" s="15">
        <f>'단가대비표(총체)'!P180</f>
        <v>0</v>
      </c>
      <c r="H172" s="16">
        <f>TRUNC(G172*D172,1)</f>
        <v>0</v>
      </c>
      <c r="I172" s="15">
        <f>'단가대비표(총체)'!V180</f>
        <v>0</v>
      </c>
      <c r="J172" s="16">
        <f>TRUNC(I172*D172,1)</f>
        <v>0</v>
      </c>
      <c r="K172" s="15">
        <f t="shared" si="32"/>
        <v>0</v>
      </c>
      <c r="L172" s="16">
        <f t="shared" si="32"/>
        <v>0</v>
      </c>
      <c r="M172" s="9" t="s">
        <v>52</v>
      </c>
      <c r="N172" s="2" t="s">
        <v>183</v>
      </c>
      <c r="O172" s="2" t="s">
        <v>824</v>
      </c>
      <c r="P172" s="2" t="s">
        <v>61</v>
      </c>
      <c r="Q172" s="2" t="s">
        <v>61</v>
      </c>
      <c r="R172" s="2" t="s">
        <v>60</v>
      </c>
      <c r="S172" s="3"/>
      <c r="T172" s="3"/>
      <c r="U172" s="3"/>
      <c r="V172" s="3">
        <v>1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2" t="s">
        <v>52</v>
      </c>
      <c r="AW172" s="2" t="s">
        <v>1080</v>
      </c>
      <c r="AX172" s="2" t="s">
        <v>52</v>
      </c>
      <c r="AY172" s="2" t="s">
        <v>52</v>
      </c>
    </row>
    <row r="173" spans="1:51" ht="30" customHeight="1" x14ac:dyDescent="0.3">
      <c r="A173" s="9" t="s">
        <v>874</v>
      </c>
      <c r="B173" s="9" t="s">
        <v>891</v>
      </c>
      <c r="C173" s="9" t="s">
        <v>307</v>
      </c>
      <c r="D173" s="10">
        <v>1</v>
      </c>
      <c r="E173" s="15">
        <f>TRUNC(SUMIF(V170:V173, RIGHTB(O173, 1), H170:H173)*U173, 2)</f>
        <v>0</v>
      </c>
      <c r="F173" s="16">
        <f>TRUNC(E173*D173,1)</f>
        <v>0</v>
      </c>
      <c r="G173" s="15">
        <v>0</v>
      </c>
      <c r="H173" s="16">
        <f>TRUNC(G173*D173,1)</f>
        <v>0</v>
      </c>
      <c r="I173" s="15">
        <v>0</v>
      </c>
      <c r="J173" s="16">
        <f>TRUNC(I173*D173,1)</f>
        <v>0</v>
      </c>
      <c r="K173" s="15">
        <f t="shared" si="32"/>
        <v>0</v>
      </c>
      <c r="L173" s="16">
        <f t="shared" si="32"/>
        <v>0</v>
      </c>
      <c r="M173" s="9" t="s">
        <v>52</v>
      </c>
      <c r="N173" s="2" t="s">
        <v>183</v>
      </c>
      <c r="O173" s="2" t="s">
        <v>809</v>
      </c>
      <c r="P173" s="2" t="s">
        <v>61</v>
      </c>
      <c r="Q173" s="2" t="s">
        <v>61</v>
      </c>
      <c r="R173" s="2" t="s">
        <v>61</v>
      </c>
      <c r="S173" s="3">
        <v>1</v>
      </c>
      <c r="T173" s="3">
        <v>0</v>
      </c>
      <c r="U173" s="3">
        <v>0.02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2" t="s">
        <v>52</v>
      </c>
      <c r="AW173" s="2" t="s">
        <v>1081</v>
      </c>
      <c r="AX173" s="2" t="s">
        <v>52</v>
      </c>
      <c r="AY173" s="2" t="s">
        <v>52</v>
      </c>
    </row>
    <row r="174" spans="1:51" ht="30" customHeight="1" x14ac:dyDescent="0.3">
      <c r="A174" s="9" t="s">
        <v>811</v>
      </c>
      <c r="B174" s="9" t="s">
        <v>52</v>
      </c>
      <c r="C174" s="9" t="s">
        <v>52</v>
      </c>
      <c r="D174" s="10"/>
      <c r="E174" s="15"/>
      <c r="F174" s="16">
        <f>TRUNC(SUMIF(N170:N173, N169, F170:F173),0)</f>
        <v>0</v>
      </c>
      <c r="G174" s="15"/>
      <c r="H174" s="16">
        <f>TRUNC(SUMIF(N170:N173, N169, H170:H173),0)</f>
        <v>0</v>
      </c>
      <c r="I174" s="15"/>
      <c r="J174" s="16">
        <f>TRUNC(SUMIF(N170:N173, N169, J170:J173),0)</f>
        <v>0</v>
      </c>
      <c r="K174" s="15"/>
      <c r="L174" s="16">
        <f>F174+H174+J174</f>
        <v>0</v>
      </c>
      <c r="M174" s="9" t="s">
        <v>52</v>
      </c>
      <c r="N174" s="2" t="s">
        <v>94</v>
      </c>
      <c r="O174" s="2" t="s">
        <v>94</v>
      </c>
      <c r="P174" s="2" t="s">
        <v>52</v>
      </c>
      <c r="Q174" s="2" t="s">
        <v>52</v>
      </c>
      <c r="R174" s="2" t="s">
        <v>52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2" t="s">
        <v>52</v>
      </c>
      <c r="AW174" s="2" t="s">
        <v>52</v>
      </c>
      <c r="AX174" s="2" t="s">
        <v>52</v>
      </c>
      <c r="AY174" s="2" t="s">
        <v>52</v>
      </c>
    </row>
    <row r="175" spans="1:51" ht="30" customHeight="1" x14ac:dyDescent="0.3">
      <c r="A175" s="10"/>
      <c r="B175" s="10"/>
      <c r="C175" s="10"/>
      <c r="D175" s="10"/>
      <c r="E175" s="15"/>
      <c r="F175" s="16"/>
      <c r="G175" s="15"/>
      <c r="H175" s="16"/>
      <c r="I175" s="15"/>
      <c r="J175" s="16"/>
      <c r="K175" s="15"/>
      <c r="L175" s="16"/>
      <c r="M175" s="10"/>
    </row>
    <row r="176" spans="1:51" ht="30" customHeight="1" x14ac:dyDescent="0.3">
      <c r="A176" s="44" t="s">
        <v>1082</v>
      </c>
      <c r="B176" s="44"/>
      <c r="C176" s="44"/>
      <c r="D176" s="44"/>
      <c r="E176" s="45"/>
      <c r="F176" s="46"/>
      <c r="G176" s="45"/>
      <c r="H176" s="46"/>
      <c r="I176" s="45"/>
      <c r="J176" s="46"/>
      <c r="K176" s="45"/>
      <c r="L176" s="46"/>
      <c r="M176" s="44"/>
      <c r="N176" s="1" t="s">
        <v>190</v>
      </c>
    </row>
    <row r="177" spans="1:51" ht="30" customHeight="1" x14ac:dyDescent="0.3">
      <c r="A177" s="9" t="s">
        <v>1067</v>
      </c>
      <c r="B177" s="9" t="s">
        <v>1068</v>
      </c>
      <c r="C177" s="9" t="s">
        <v>1021</v>
      </c>
      <c r="D177" s="10">
        <v>0.27</v>
      </c>
      <c r="E177" s="15">
        <f>'단가대비표(총체)'!O117</f>
        <v>0</v>
      </c>
      <c r="F177" s="16">
        <f>TRUNC(E177*D177,1)</f>
        <v>0</v>
      </c>
      <c r="G177" s="15">
        <f>'단가대비표(총체)'!P117</f>
        <v>0</v>
      </c>
      <c r="H177" s="16">
        <f>TRUNC(G177*D177,1)</f>
        <v>0</v>
      </c>
      <c r="I177" s="15">
        <f>'단가대비표(총체)'!V117</f>
        <v>0</v>
      </c>
      <c r="J177" s="16">
        <f>TRUNC(I177*D177,1)</f>
        <v>0</v>
      </c>
      <c r="K177" s="15">
        <f t="shared" ref="K177:L180" si="33">TRUNC(E177+G177+I177,1)</f>
        <v>0</v>
      </c>
      <c r="L177" s="16">
        <f t="shared" si="33"/>
        <v>0</v>
      </c>
      <c r="M177" s="9" t="s">
        <v>52</v>
      </c>
      <c r="N177" s="2" t="s">
        <v>190</v>
      </c>
      <c r="O177" s="2" t="s">
        <v>1069</v>
      </c>
      <c r="P177" s="2" t="s">
        <v>61</v>
      </c>
      <c r="Q177" s="2" t="s">
        <v>61</v>
      </c>
      <c r="R177" s="2" t="s">
        <v>60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2" t="s">
        <v>52</v>
      </c>
      <c r="AW177" s="2" t="s">
        <v>1084</v>
      </c>
      <c r="AX177" s="2" t="s">
        <v>52</v>
      </c>
      <c r="AY177" s="2" t="s">
        <v>52</v>
      </c>
    </row>
    <row r="178" spans="1:51" ht="30" customHeight="1" x14ac:dyDescent="0.3">
      <c r="A178" s="9" t="s">
        <v>1071</v>
      </c>
      <c r="B178" s="9" t="s">
        <v>822</v>
      </c>
      <c r="C178" s="9" t="s">
        <v>823</v>
      </c>
      <c r="D178" s="10">
        <v>9.1999999999999998E-2</v>
      </c>
      <c r="E178" s="15">
        <f>'단가대비표(총체)'!O188</f>
        <v>0</v>
      </c>
      <c r="F178" s="16">
        <f>TRUNC(E178*D178,1)</f>
        <v>0</v>
      </c>
      <c r="G178" s="15">
        <f>'단가대비표(총체)'!P188</f>
        <v>0</v>
      </c>
      <c r="H178" s="16">
        <f>TRUNC(G178*D178,1)</f>
        <v>0</v>
      </c>
      <c r="I178" s="15">
        <f>'단가대비표(총체)'!V188</f>
        <v>0</v>
      </c>
      <c r="J178" s="16">
        <f>TRUNC(I178*D178,1)</f>
        <v>0</v>
      </c>
      <c r="K178" s="15">
        <f t="shared" si="33"/>
        <v>0</v>
      </c>
      <c r="L178" s="16">
        <f t="shared" si="33"/>
        <v>0</v>
      </c>
      <c r="M178" s="9" t="s">
        <v>52</v>
      </c>
      <c r="N178" s="2" t="s">
        <v>190</v>
      </c>
      <c r="O178" s="2" t="s">
        <v>1072</v>
      </c>
      <c r="P178" s="2" t="s">
        <v>61</v>
      </c>
      <c r="Q178" s="2" t="s">
        <v>61</v>
      </c>
      <c r="R178" s="2" t="s">
        <v>60</v>
      </c>
      <c r="S178" s="3"/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2" t="s">
        <v>52</v>
      </c>
      <c r="AW178" s="2" t="s">
        <v>1085</v>
      </c>
      <c r="AX178" s="2" t="s">
        <v>52</v>
      </c>
      <c r="AY178" s="2" t="s">
        <v>52</v>
      </c>
    </row>
    <row r="179" spans="1:51" ht="30" customHeight="1" x14ac:dyDescent="0.3">
      <c r="A179" s="9" t="s">
        <v>821</v>
      </c>
      <c r="B179" s="9" t="s">
        <v>822</v>
      </c>
      <c r="C179" s="9" t="s">
        <v>823</v>
      </c>
      <c r="D179" s="10">
        <v>8.9999999999999993E-3</v>
      </c>
      <c r="E179" s="15">
        <f>'단가대비표(총체)'!O180</f>
        <v>0</v>
      </c>
      <c r="F179" s="16">
        <f>TRUNC(E179*D179,1)</f>
        <v>0</v>
      </c>
      <c r="G179" s="15">
        <f>'단가대비표(총체)'!P180</f>
        <v>0</v>
      </c>
      <c r="H179" s="16">
        <f>TRUNC(G179*D179,1)</f>
        <v>0</v>
      </c>
      <c r="I179" s="15">
        <f>'단가대비표(총체)'!V180</f>
        <v>0</v>
      </c>
      <c r="J179" s="16">
        <f>TRUNC(I179*D179,1)</f>
        <v>0</v>
      </c>
      <c r="K179" s="15">
        <f t="shared" si="33"/>
        <v>0</v>
      </c>
      <c r="L179" s="16">
        <f t="shared" si="33"/>
        <v>0</v>
      </c>
      <c r="M179" s="9" t="s">
        <v>52</v>
      </c>
      <c r="N179" s="2" t="s">
        <v>190</v>
      </c>
      <c r="O179" s="2" t="s">
        <v>824</v>
      </c>
      <c r="P179" s="2" t="s">
        <v>61</v>
      </c>
      <c r="Q179" s="2" t="s">
        <v>61</v>
      </c>
      <c r="R179" s="2" t="s">
        <v>60</v>
      </c>
      <c r="S179" s="3"/>
      <c r="T179" s="3"/>
      <c r="U179" s="3"/>
      <c r="V179" s="3">
        <v>1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2" t="s">
        <v>52</v>
      </c>
      <c r="AW179" s="2" t="s">
        <v>1086</v>
      </c>
      <c r="AX179" s="2" t="s">
        <v>52</v>
      </c>
      <c r="AY179" s="2" t="s">
        <v>52</v>
      </c>
    </row>
    <row r="180" spans="1:51" ht="30" customHeight="1" x14ac:dyDescent="0.3">
      <c r="A180" s="9" t="s">
        <v>874</v>
      </c>
      <c r="B180" s="9" t="s">
        <v>891</v>
      </c>
      <c r="C180" s="9" t="s">
        <v>307</v>
      </c>
      <c r="D180" s="10">
        <v>1</v>
      </c>
      <c r="E180" s="15">
        <f>TRUNC(SUMIF(V177:V180, RIGHTB(O180, 1), H177:H180)*U180, 2)</f>
        <v>0</v>
      </c>
      <c r="F180" s="16">
        <f>TRUNC(E180*D180,1)</f>
        <v>0</v>
      </c>
      <c r="G180" s="15">
        <v>0</v>
      </c>
      <c r="H180" s="16">
        <f>TRUNC(G180*D180,1)</f>
        <v>0</v>
      </c>
      <c r="I180" s="15">
        <v>0</v>
      </c>
      <c r="J180" s="16">
        <f>TRUNC(I180*D180,1)</f>
        <v>0</v>
      </c>
      <c r="K180" s="15">
        <f t="shared" si="33"/>
        <v>0</v>
      </c>
      <c r="L180" s="16">
        <f t="shared" si="33"/>
        <v>0</v>
      </c>
      <c r="M180" s="9" t="s">
        <v>52</v>
      </c>
      <c r="N180" s="2" t="s">
        <v>190</v>
      </c>
      <c r="O180" s="2" t="s">
        <v>809</v>
      </c>
      <c r="P180" s="2" t="s">
        <v>61</v>
      </c>
      <c r="Q180" s="2" t="s">
        <v>61</v>
      </c>
      <c r="R180" s="2" t="s">
        <v>61</v>
      </c>
      <c r="S180" s="3">
        <v>1</v>
      </c>
      <c r="T180" s="3">
        <v>0</v>
      </c>
      <c r="U180" s="3">
        <v>0.02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2" t="s">
        <v>52</v>
      </c>
      <c r="AW180" s="2" t="s">
        <v>1087</v>
      </c>
      <c r="AX180" s="2" t="s">
        <v>52</v>
      </c>
      <c r="AY180" s="2" t="s">
        <v>52</v>
      </c>
    </row>
    <row r="181" spans="1:51" ht="30" customHeight="1" x14ac:dyDescent="0.3">
      <c r="A181" s="9" t="s">
        <v>811</v>
      </c>
      <c r="B181" s="9" t="s">
        <v>52</v>
      </c>
      <c r="C181" s="9" t="s">
        <v>52</v>
      </c>
      <c r="D181" s="10"/>
      <c r="E181" s="15"/>
      <c r="F181" s="16">
        <f>TRUNC(SUMIF(N177:N180, N176, F177:F180),0)</f>
        <v>0</v>
      </c>
      <c r="G181" s="15"/>
      <c r="H181" s="16">
        <f>TRUNC(SUMIF(N177:N180, N176, H177:H180),0)</f>
        <v>0</v>
      </c>
      <c r="I181" s="15"/>
      <c r="J181" s="16">
        <f>TRUNC(SUMIF(N177:N180, N176, J177:J180),0)</f>
        <v>0</v>
      </c>
      <c r="K181" s="15"/>
      <c r="L181" s="16">
        <f>F181+H181+J181</f>
        <v>0</v>
      </c>
      <c r="M181" s="9" t="s">
        <v>52</v>
      </c>
      <c r="N181" s="2" t="s">
        <v>94</v>
      </c>
      <c r="O181" s="2" t="s">
        <v>94</v>
      </c>
      <c r="P181" s="2" t="s">
        <v>52</v>
      </c>
      <c r="Q181" s="2" t="s">
        <v>52</v>
      </c>
      <c r="R181" s="2" t="s">
        <v>52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2" t="s">
        <v>52</v>
      </c>
      <c r="AW181" s="2" t="s">
        <v>52</v>
      </c>
      <c r="AX181" s="2" t="s">
        <v>52</v>
      </c>
      <c r="AY181" s="2" t="s">
        <v>52</v>
      </c>
    </row>
    <row r="182" spans="1:51" ht="30" customHeight="1" x14ac:dyDescent="0.3">
      <c r="A182" s="10"/>
      <c r="B182" s="10"/>
      <c r="C182" s="10"/>
      <c r="D182" s="10"/>
      <c r="E182" s="15"/>
      <c r="F182" s="16"/>
      <c r="G182" s="15"/>
      <c r="H182" s="16"/>
      <c r="I182" s="15"/>
      <c r="J182" s="16"/>
      <c r="K182" s="15"/>
      <c r="L182" s="16"/>
      <c r="M182" s="10"/>
    </row>
    <row r="183" spans="1:51" ht="30" customHeight="1" x14ac:dyDescent="0.3">
      <c r="A183" s="44" t="s">
        <v>1088</v>
      </c>
      <c r="B183" s="44"/>
      <c r="C183" s="44"/>
      <c r="D183" s="44"/>
      <c r="E183" s="45"/>
      <c r="F183" s="46"/>
      <c r="G183" s="45"/>
      <c r="H183" s="46"/>
      <c r="I183" s="45"/>
      <c r="J183" s="46"/>
      <c r="K183" s="45"/>
      <c r="L183" s="46"/>
      <c r="M183" s="44"/>
      <c r="N183" s="1" t="s">
        <v>197</v>
      </c>
    </row>
    <row r="184" spans="1:51" ht="30" customHeight="1" x14ac:dyDescent="0.3">
      <c r="A184" s="9" t="s">
        <v>1090</v>
      </c>
      <c r="B184" s="9" t="s">
        <v>196</v>
      </c>
      <c r="C184" s="9" t="s">
        <v>68</v>
      </c>
      <c r="D184" s="10">
        <v>1.1000000000000001</v>
      </c>
      <c r="E184" s="15">
        <f>'단가대비표(총체)'!O11</f>
        <v>0</v>
      </c>
      <c r="F184" s="16">
        <f>TRUNC(E184*D184,1)</f>
        <v>0</v>
      </c>
      <c r="G184" s="15">
        <f>'단가대비표(총체)'!P11</f>
        <v>0</v>
      </c>
      <c r="H184" s="16">
        <f>TRUNC(G184*D184,1)</f>
        <v>0</v>
      </c>
      <c r="I184" s="15">
        <f>'단가대비표(총체)'!V11</f>
        <v>0</v>
      </c>
      <c r="J184" s="16">
        <f>TRUNC(I184*D184,1)</f>
        <v>0</v>
      </c>
      <c r="K184" s="15">
        <f t="shared" ref="K184:L186" si="34">TRUNC(E184+G184+I184,1)</f>
        <v>0</v>
      </c>
      <c r="L184" s="16">
        <f t="shared" si="34"/>
        <v>0</v>
      </c>
      <c r="M184" s="9" t="s">
        <v>52</v>
      </c>
      <c r="N184" s="2" t="s">
        <v>197</v>
      </c>
      <c r="O184" s="2" t="s">
        <v>1091</v>
      </c>
      <c r="P184" s="2" t="s">
        <v>61</v>
      </c>
      <c r="Q184" s="2" t="s">
        <v>61</v>
      </c>
      <c r="R184" s="2" t="s">
        <v>60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2" t="s">
        <v>52</v>
      </c>
      <c r="AW184" s="2" t="s">
        <v>1092</v>
      </c>
      <c r="AX184" s="2" t="s">
        <v>52</v>
      </c>
      <c r="AY184" s="2" t="s">
        <v>52</v>
      </c>
    </row>
    <row r="185" spans="1:51" ht="30" customHeight="1" x14ac:dyDescent="0.3">
      <c r="A185" s="9" t="s">
        <v>1067</v>
      </c>
      <c r="B185" s="9" t="s">
        <v>1093</v>
      </c>
      <c r="C185" s="9" t="s">
        <v>1021</v>
      </c>
      <c r="D185" s="10">
        <v>0.27</v>
      </c>
      <c r="E185" s="15">
        <f>'단가대비표(총체)'!O118</f>
        <v>0</v>
      </c>
      <c r="F185" s="16">
        <f>TRUNC(E185*D185,1)</f>
        <v>0</v>
      </c>
      <c r="G185" s="15">
        <f>'단가대비표(총체)'!P118</f>
        <v>0</v>
      </c>
      <c r="H185" s="16">
        <f>TRUNC(G185*D185,1)</f>
        <v>0</v>
      </c>
      <c r="I185" s="15">
        <f>'단가대비표(총체)'!V118</f>
        <v>0</v>
      </c>
      <c r="J185" s="16">
        <f>TRUNC(I185*D185,1)</f>
        <v>0</v>
      </c>
      <c r="K185" s="15">
        <f t="shared" si="34"/>
        <v>0</v>
      </c>
      <c r="L185" s="16">
        <f t="shared" si="34"/>
        <v>0</v>
      </c>
      <c r="M185" s="9" t="s">
        <v>52</v>
      </c>
      <c r="N185" s="2" t="s">
        <v>197</v>
      </c>
      <c r="O185" s="2" t="s">
        <v>1094</v>
      </c>
      <c r="P185" s="2" t="s">
        <v>61</v>
      </c>
      <c r="Q185" s="2" t="s">
        <v>61</v>
      </c>
      <c r="R185" s="2" t="s">
        <v>60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2" t="s">
        <v>52</v>
      </c>
      <c r="AW185" s="2" t="s">
        <v>1095</v>
      </c>
      <c r="AX185" s="2" t="s">
        <v>52</v>
      </c>
      <c r="AY185" s="2" t="s">
        <v>52</v>
      </c>
    </row>
    <row r="186" spans="1:51" ht="30" customHeight="1" x14ac:dyDescent="0.3">
      <c r="A186" s="9" t="s">
        <v>1096</v>
      </c>
      <c r="B186" s="9" t="s">
        <v>822</v>
      </c>
      <c r="C186" s="9" t="s">
        <v>823</v>
      </c>
      <c r="D186" s="10">
        <v>0.06</v>
      </c>
      <c r="E186" s="15">
        <f>'단가대비표(총체)'!O181</f>
        <v>0</v>
      </c>
      <c r="F186" s="16">
        <f>TRUNC(E186*D186,1)</f>
        <v>0</v>
      </c>
      <c r="G186" s="15">
        <f>'단가대비표(총체)'!P181</f>
        <v>0</v>
      </c>
      <c r="H186" s="16">
        <f>TRUNC(G186*D186,1)</f>
        <v>0</v>
      </c>
      <c r="I186" s="15">
        <f>'단가대비표(총체)'!V181</f>
        <v>0</v>
      </c>
      <c r="J186" s="16">
        <f>TRUNC(I186*D186,1)</f>
        <v>0</v>
      </c>
      <c r="K186" s="15">
        <f t="shared" si="34"/>
        <v>0</v>
      </c>
      <c r="L186" s="16">
        <f t="shared" si="34"/>
        <v>0</v>
      </c>
      <c r="M186" s="9" t="s">
        <v>52</v>
      </c>
      <c r="N186" s="2" t="s">
        <v>197</v>
      </c>
      <c r="O186" s="2" t="s">
        <v>1097</v>
      </c>
      <c r="P186" s="2" t="s">
        <v>61</v>
      </c>
      <c r="Q186" s="2" t="s">
        <v>61</v>
      </c>
      <c r="R186" s="2" t="s">
        <v>60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2" t="s">
        <v>52</v>
      </c>
      <c r="AW186" s="2" t="s">
        <v>1098</v>
      </c>
      <c r="AX186" s="2" t="s">
        <v>52</v>
      </c>
      <c r="AY186" s="2" t="s">
        <v>52</v>
      </c>
    </row>
    <row r="187" spans="1:51" ht="30" customHeight="1" x14ac:dyDescent="0.3">
      <c r="A187" s="9" t="s">
        <v>811</v>
      </c>
      <c r="B187" s="9" t="s">
        <v>52</v>
      </c>
      <c r="C187" s="9" t="s">
        <v>52</v>
      </c>
      <c r="D187" s="10"/>
      <c r="E187" s="15"/>
      <c r="F187" s="16">
        <f>TRUNC(SUMIF(N184:N186, N183, F184:F186),0)</f>
        <v>0</v>
      </c>
      <c r="G187" s="15"/>
      <c r="H187" s="16">
        <f>TRUNC(SUMIF(N184:N186, N183, H184:H186),0)</f>
        <v>0</v>
      </c>
      <c r="I187" s="15"/>
      <c r="J187" s="16">
        <f>TRUNC(SUMIF(N184:N186, N183, J184:J186),0)</f>
        <v>0</v>
      </c>
      <c r="K187" s="15"/>
      <c r="L187" s="16">
        <f>F187+H187+J187</f>
        <v>0</v>
      </c>
      <c r="M187" s="9" t="s">
        <v>52</v>
      </c>
      <c r="N187" s="2" t="s">
        <v>94</v>
      </c>
      <c r="O187" s="2" t="s">
        <v>94</v>
      </c>
      <c r="P187" s="2" t="s">
        <v>52</v>
      </c>
      <c r="Q187" s="2" t="s">
        <v>52</v>
      </c>
      <c r="R187" s="2" t="s">
        <v>52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2" t="s">
        <v>52</v>
      </c>
      <c r="AW187" s="2" t="s">
        <v>52</v>
      </c>
      <c r="AX187" s="2" t="s">
        <v>52</v>
      </c>
      <c r="AY187" s="2" t="s">
        <v>52</v>
      </c>
    </row>
    <row r="188" spans="1:51" ht="30" customHeight="1" x14ac:dyDescent="0.3">
      <c r="A188" s="10"/>
      <c r="B188" s="10"/>
      <c r="C188" s="10"/>
      <c r="D188" s="10"/>
      <c r="E188" s="15"/>
      <c r="F188" s="16"/>
      <c r="G188" s="15"/>
      <c r="H188" s="16"/>
      <c r="I188" s="15"/>
      <c r="J188" s="16"/>
      <c r="K188" s="15"/>
      <c r="L188" s="16"/>
      <c r="M188" s="10"/>
    </row>
    <row r="189" spans="1:51" ht="30" customHeight="1" x14ac:dyDescent="0.3">
      <c r="A189" s="44" t="s">
        <v>1099</v>
      </c>
      <c r="B189" s="44"/>
      <c r="C189" s="44"/>
      <c r="D189" s="44"/>
      <c r="E189" s="45"/>
      <c r="F189" s="46"/>
      <c r="G189" s="45"/>
      <c r="H189" s="46"/>
      <c r="I189" s="45"/>
      <c r="J189" s="46"/>
      <c r="K189" s="45"/>
      <c r="L189" s="46"/>
      <c r="M189" s="44"/>
      <c r="N189" s="1" t="s">
        <v>201</v>
      </c>
    </row>
    <row r="190" spans="1:51" ht="30" customHeight="1" x14ac:dyDescent="0.3">
      <c r="A190" s="9" t="s">
        <v>1101</v>
      </c>
      <c r="B190" s="9" t="s">
        <v>200</v>
      </c>
      <c r="C190" s="9" t="s">
        <v>68</v>
      </c>
      <c r="D190" s="10">
        <v>1.01</v>
      </c>
      <c r="E190" s="15">
        <f>'단가대비표(총체)'!O82</f>
        <v>0</v>
      </c>
      <c r="F190" s="16">
        <f>TRUNC(E190*D190,1)</f>
        <v>0</v>
      </c>
      <c r="G190" s="15">
        <f>'단가대비표(총체)'!P82</f>
        <v>0</v>
      </c>
      <c r="H190" s="16">
        <f>TRUNC(G190*D190,1)</f>
        <v>0</v>
      </c>
      <c r="I190" s="15">
        <f>'단가대비표(총체)'!V82</f>
        <v>0</v>
      </c>
      <c r="J190" s="16">
        <f>TRUNC(I190*D190,1)</f>
        <v>0</v>
      </c>
      <c r="K190" s="15">
        <f t="shared" ref="K190:L194" si="35">TRUNC(E190+G190+I190,1)</f>
        <v>0</v>
      </c>
      <c r="L190" s="16">
        <f t="shared" si="35"/>
        <v>0</v>
      </c>
      <c r="M190" s="9" t="s">
        <v>52</v>
      </c>
      <c r="N190" s="2" t="s">
        <v>201</v>
      </c>
      <c r="O190" s="2" t="s">
        <v>1102</v>
      </c>
      <c r="P190" s="2" t="s">
        <v>61</v>
      </c>
      <c r="Q190" s="2" t="s">
        <v>61</v>
      </c>
      <c r="R190" s="2" t="s">
        <v>60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2" t="s">
        <v>52</v>
      </c>
      <c r="AW190" s="2" t="s">
        <v>1103</v>
      </c>
      <c r="AX190" s="2" t="s">
        <v>52</v>
      </c>
      <c r="AY190" s="2" t="s">
        <v>52</v>
      </c>
    </row>
    <row r="191" spans="1:51" ht="30" customHeight="1" x14ac:dyDescent="0.3">
      <c r="A191" s="9" t="s">
        <v>1067</v>
      </c>
      <c r="B191" s="9" t="s">
        <v>1104</v>
      </c>
      <c r="C191" s="9" t="s">
        <v>1021</v>
      </c>
      <c r="D191" s="10">
        <v>0.27</v>
      </c>
      <c r="E191" s="15">
        <f>'단가대비표(총체)'!O119</f>
        <v>0</v>
      </c>
      <c r="F191" s="16">
        <f>TRUNC(E191*D191,1)</f>
        <v>0</v>
      </c>
      <c r="G191" s="15">
        <f>'단가대비표(총체)'!P119</f>
        <v>0</v>
      </c>
      <c r="H191" s="16">
        <f>TRUNC(G191*D191,1)</f>
        <v>0</v>
      </c>
      <c r="I191" s="15">
        <f>'단가대비표(총체)'!V119</f>
        <v>0</v>
      </c>
      <c r="J191" s="16">
        <f>TRUNC(I191*D191,1)</f>
        <v>0</v>
      </c>
      <c r="K191" s="15">
        <f t="shared" si="35"/>
        <v>0</v>
      </c>
      <c r="L191" s="16">
        <f t="shared" si="35"/>
        <v>0</v>
      </c>
      <c r="M191" s="9" t="s">
        <v>52</v>
      </c>
      <c r="N191" s="2" t="s">
        <v>201</v>
      </c>
      <c r="O191" s="2" t="s">
        <v>1105</v>
      </c>
      <c r="P191" s="2" t="s">
        <v>61</v>
      </c>
      <c r="Q191" s="2" t="s">
        <v>61</v>
      </c>
      <c r="R191" s="2" t="s">
        <v>60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2" t="s">
        <v>52</v>
      </c>
      <c r="AW191" s="2" t="s">
        <v>1106</v>
      </c>
      <c r="AX191" s="2" t="s">
        <v>52</v>
      </c>
      <c r="AY191" s="2" t="s">
        <v>52</v>
      </c>
    </row>
    <row r="192" spans="1:51" ht="30" customHeight="1" x14ac:dyDescent="0.3">
      <c r="A192" s="9" t="s">
        <v>1107</v>
      </c>
      <c r="B192" s="9" t="s">
        <v>1108</v>
      </c>
      <c r="C192" s="9" t="s">
        <v>82</v>
      </c>
      <c r="D192" s="10">
        <v>10.199999999999999</v>
      </c>
      <c r="E192" s="15">
        <f>'단가대비표(총체)'!O126</f>
        <v>0</v>
      </c>
      <c r="F192" s="16">
        <f>TRUNC(E192*D192,1)</f>
        <v>0</v>
      </c>
      <c r="G192" s="15">
        <f>'단가대비표(총체)'!P126</f>
        <v>0</v>
      </c>
      <c r="H192" s="16">
        <f>TRUNC(G192*D192,1)</f>
        <v>0</v>
      </c>
      <c r="I192" s="15">
        <f>'단가대비표(총체)'!V126</f>
        <v>0</v>
      </c>
      <c r="J192" s="16">
        <f>TRUNC(I192*D192,1)</f>
        <v>0</v>
      </c>
      <c r="K192" s="15">
        <f t="shared" si="35"/>
        <v>0</v>
      </c>
      <c r="L192" s="16">
        <f t="shared" si="35"/>
        <v>0</v>
      </c>
      <c r="M192" s="9" t="s">
        <v>1109</v>
      </c>
      <c r="N192" s="2" t="s">
        <v>201</v>
      </c>
      <c r="O192" s="2" t="s">
        <v>1110</v>
      </c>
      <c r="P192" s="2" t="s">
        <v>61</v>
      </c>
      <c r="Q192" s="2" t="s">
        <v>61</v>
      </c>
      <c r="R192" s="2" t="s">
        <v>60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2" t="s">
        <v>52</v>
      </c>
      <c r="AW192" s="2" t="s">
        <v>1111</v>
      </c>
      <c r="AX192" s="2" t="s">
        <v>52</v>
      </c>
      <c r="AY192" s="2" t="s">
        <v>52</v>
      </c>
    </row>
    <row r="193" spans="1:51" ht="30" customHeight="1" x14ac:dyDescent="0.3">
      <c r="A193" s="9" t="s">
        <v>1112</v>
      </c>
      <c r="B193" s="9" t="s">
        <v>822</v>
      </c>
      <c r="C193" s="9" t="s">
        <v>823</v>
      </c>
      <c r="D193" s="10">
        <v>0.19</v>
      </c>
      <c r="E193" s="15">
        <f>'단가대비표(총체)'!O190</f>
        <v>0</v>
      </c>
      <c r="F193" s="16">
        <f>TRUNC(E193*D193,1)</f>
        <v>0</v>
      </c>
      <c r="G193" s="15">
        <f>'단가대비표(총체)'!P190</f>
        <v>0</v>
      </c>
      <c r="H193" s="16">
        <f>TRUNC(G193*D193,1)</f>
        <v>0</v>
      </c>
      <c r="I193" s="15">
        <f>'단가대비표(총체)'!V190</f>
        <v>0</v>
      </c>
      <c r="J193" s="16">
        <f>TRUNC(I193*D193,1)</f>
        <v>0</v>
      </c>
      <c r="K193" s="15">
        <f t="shared" si="35"/>
        <v>0</v>
      </c>
      <c r="L193" s="16">
        <f t="shared" si="35"/>
        <v>0</v>
      </c>
      <c r="M193" s="9" t="s">
        <v>52</v>
      </c>
      <c r="N193" s="2" t="s">
        <v>201</v>
      </c>
      <c r="O193" s="2" t="s">
        <v>1113</v>
      </c>
      <c r="P193" s="2" t="s">
        <v>61</v>
      </c>
      <c r="Q193" s="2" t="s">
        <v>61</v>
      </c>
      <c r="R193" s="2" t="s">
        <v>60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2" t="s">
        <v>52</v>
      </c>
      <c r="AW193" s="2" t="s">
        <v>1114</v>
      </c>
      <c r="AX193" s="2" t="s">
        <v>52</v>
      </c>
      <c r="AY193" s="2" t="s">
        <v>52</v>
      </c>
    </row>
    <row r="194" spans="1:51" ht="30" customHeight="1" x14ac:dyDescent="0.3">
      <c r="A194" s="9" t="s">
        <v>821</v>
      </c>
      <c r="B194" s="9" t="s">
        <v>822</v>
      </c>
      <c r="C194" s="9" t="s">
        <v>823</v>
      </c>
      <c r="D194" s="10">
        <v>8.3000000000000004E-2</v>
      </c>
      <c r="E194" s="15">
        <f>'단가대비표(총체)'!O180</f>
        <v>0</v>
      </c>
      <c r="F194" s="16">
        <f>TRUNC(E194*D194,1)</f>
        <v>0</v>
      </c>
      <c r="G194" s="15">
        <f>'단가대비표(총체)'!P180</f>
        <v>0</v>
      </c>
      <c r="H194" s="16">
        <f>TRUNC(G194*D194,1)</f>
        <v>0</v>
      </c>
      <c r="I194" s="15">
        <f>'단가대비표(총체)'!V180</f>
        <v>0</v>
      </c>
      <c r="J194" s="16">
        <f>TRUNC(I194*D194,1)</f>
        <v>0</v>
      </c>
      <c r="K194" s="15">
        <f t="shared" si="35"/>
        <v>0</v>
      </c>
      <c r="L194" s="16">
        <f t="shared" si="35"/>
        <v>0</v>
      </c>
      <c r="M194" s="9" t="s">
        <v>52</v>
      </c>
      <c r="N194" s="2" t="s">
        <v>201</v>
      </c>
      <c r="O194" s="2" t="s">
        <v>824</v>
      </c>
      <c r="P194" s="2" t="s">
        <v>61</v>
      </c>
      <c r="Q194" s="2" t="s">
        <v>61</v>
      </c>
      <c r="R194" s="2" t="s">
        <v>60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2" t="s">
        <v>52</v>
      </c>
      <c r="AW194" s="2" t="s">
        <v>1115</v>
      </c>
      <c r="AX194" s="2" t="s">
        <v>52</v>
      </c>
      <c r="AY194" s="2" t="s">
        <v>52</v>
      </c>
    </row>
    <row r="195" spans="1:51" ht="30" customHeight="1" x14ac:dyDescent="0.3">
      <c r="A195" s="9" t="s">
        <v>811</v>
      </c>
      <c r="B195" s="9" t="s">
        <v>52</v>
      </c>
      <c r="C195" s="9" t="s">
        <v>52</v>
      </c>
      <c r="D195" s="10"/>
      <c r="E195" s="15"/>
      <c r="F195" s="16">
        <f>TRUNC(SUMIF(N190:N194, N189, F190:F194),0)</f>
        <v>0</v>
      </c>
      <c r="G195" s="15"/>
      <c r="H195" s="16">
        <f>TRUNC(SUMIF(N190:N194, N189, H190:H194),0)</f>
        <v>0</v>
      </c>
      <c r="I195" s="15"/>
      <c r="J195" s="16">
        <f>TRUNC(SUMIF(N190:N194, N189, J190:J194),0)</f>
        <v>0</v>
      </c>
      <c r="K195" s="15"/>
      <c r="L195" s="16">
        <f>F195+H195+J195</f>
        <v>0</v>
      </c>
      <c r="M195" s="9" t="s">
        <v>52</v>
      </c>
      <c r="N195" s="2" t="s">
        <v>94</v>
      </c>
      <c r="O195" s="2" t="s">
        <v>94</v>
      </c>
      <c r="P195" s="2" t="s">
        <v>52</v>
      </c>
      <c r="Q195" s="2" t="s">
        <v>52</v>
      </c>
      <c r="R195" s="2" t="s">
        <v>52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2" t="s">
        <v>52</v>
      </c>
      <c r="AW195" s="2" t="s">
        <v>52</v>
      </c>
      <c r="AX195" s="2" t="s">
        <v>52</v>
      </c>
      <c r="AY195" s="2" t="s">
        <v>52</v>
      </c>
    </row>
    <row r="196" spans="1:51" ht="30" customHeight="1" x14ac:dyDescent="0.3">
      <c r="A196" s="10"/>
      <c r="B196" s="10"/>
      <c r="C196" s="10"/>
      <c r="D196" s="10"/>
      <c r="E196" s="15"/>
      <c r="F196" s="16"/>
      <c r="G196" s="15"/>
      <c r="H196" s="16"/>
      <c r="I196" s="15"/>
      <c r="J196" s="16"/>
      <c r="K196" s="15"/>
      <c r="L196" s="16"/>
      <c r="M196" s="10"/>
    </row>
    <row r="197" spans="1:51" ht="30" customHeight="1" x14ac:dyDescent="0.3">
      <c r="A197" s="44" t="s">
        <v>1116</v>
      </c>
      <c r="B197" s="44"/>
      <c r="C197" s="44"/>
      <c r="D197" s="44"/>
      <c r="E197" s="45"/>
      <c r="F197" s="46"/>
      <c r="G197" s="45"/>
      <c r="H197" s="46"/>
      <c r="I197" s="45"/>
      <c r="J197" s="46"/>
      <c r="K197" s="45"/>
      <c r="L197" s="46"/>
      <c r="M197" s="44"/>
      <c r="N197" s="1" t="s">
        <v>205</v>
      </c>
    </row>
    <row r="198" spans="1:51" ht="30" customHeight="1" x14ac:dyDescent="0.3">
      <c r="A198" s="9" t="s">
        <v>1060</v>
      </c>
      <c r="B198" s="9" t="s">
        <v>822</v>
      </c>
      <c r="C198" s="9" t="s">
        <v>823</v>
      </c>
      <c r="D198" s="10">
        <v>0.01</v>
      </c>
      <c r="E198" s="15">
        <f>'단가대비표(총체)'!O195</f>
        <v>0</v>
      </c>
      <c r="F198" s="16">
        <f>TRUNC(E198*D198,1)</f>
        <v>0</v>
      </c>
      <c r="G198" s="15">
        <f>'단가대비표(총체)'!P195</f>
        <v>0</v>
      </c>
      <c r="H198" s="16">
        <f>TRUNC(G198*D198,1)</f>
        <v>0</v>
      </c>
      <c r="I198" s="15">
        <f>'단가대비표(총체)'!V195</f>
        <v>0</v>
      </c>
      <c r="J198" s="16">
        <f>TRUNC(I198*D198,1)</f>
        <v>0</v>
      </c>
      <c r="K198" s="15">
        <f>TRUNC(E198+G198+I198,1)</f>
        <v>0</v>
      </c>
      <c r="L198" s="16">
        <f>TRUNC(F198+H198+J198,1)</f>
        <v>0</v>
      </c>
      <c r="M198" s="9" t="s">
        <v>52</v>
      </c>
      <c r="N198" s="2" t="s">
        <v>205</v>
      </c>
      <c r="O198" s="2" t="s">
        <v>1061</v>
      </c>
      <c r="P198" s="2" t="s">
        <v>61</v>
      </c>
      <c r="Q198" s="2" t="s">
        <v>61</v>
      </c>
      <c r="R198" s="2" t="s">
        <v>60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2" t="s">
        <v>52</v>
      </c>
      <c r="AW198" s="2" t="s">
        <v>1118</v>
      </c>
      <c r="AX198" s="2" t="s">
        <v>52</v>
      </c>
      <c r="AY198" s="2" t="s">
        <v>52</v>
      </c>
    </row>
    <row r="199" spans="1:51" ht="30" customHeight="1" x14ac:dyDescent="0.3">
      <c r="A199" s="9" t="s">
        <v>821</v>
      </c>
      <c r="B199" s="9" t="s">
        <v>822</v>
      </c>
      <c r="C199" s="9" t="s">
        <v>823</v>
      </c>
      <c r="D199" s="10">
        <v>3.0000000000000001E-3</v>
      </c>
      <c r="E199" s="15">
        <f>'단가대비표(총체)'!O180</f>
        <v>0</v>
      </c>
      <c r="F199" s="16">
        <f>TRUNC(E199*D199,1)</f>
        <v>0</v>
      </c>
      <c r="G199" s="15">
        <f>'단가대비표(총체)'!P180</f>
        <v>0</v>
      </c>
      <c r="H199" s="16">
        <f>TRUNC(G199*D199,1)</f>
        <v>0</v>
      </c>
      <c r="I199" s="15">
        <f>'단가대비표(총체)'!V180</f>
        <v>0</v>
      </c>
      <c r="J199" s="16">
        <f>TRUNC(I199*D199,1)</f>
        <v>0</v>
      </c>
      <c r="K199" s="15">
        <f>TRUNC(E199+G199+I199,1)</f>
        <v>0</v>
      </c>
      <c r="L199" s="16">
        <f>TRUNC(F199+H199+J199,1)</f>
        <v>0</v>
      </c>
      <c r="M199" s="9" t="s">
        <v>52</v>
      </c>
      <c r="N199" s="2" t="s">
        <v>205</v>
      </c>
      <c r="O199" s="2" t="s">
        <v>824</v>
      </c>
      <c r="P199" s="2" t="s">
        <v>61</v>
      </c>
      <c r="Q199" s="2" t="s">
        <v>61</v>
      </c>
      <c r="R199" s="2" t="s">
        <v>60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2" t="s">
        <v>52</v>
      </c>
      <c r="AW199" s="2" t="s">
        <v>1119</v>
      </c>
      <c r="AX199" s="2" t="s">
        <v>52</v>
      </c>
      <c r="AY199" s="2" t="s">
        <v>52</v>
      </c>
    </row>
    <row r="200" spans="1:51" ht="30" customHeight="1" x14ac:dyDescent="0.3">
      <c r="A200" s="9" t="s">
        <v>811</v>
      </c>
      <c r="B200" s="9" t="s">
        <v>52</v>
      </c>
      <c r="C200" s="9" t="s">
        <v>52</v>
      </c>
      <c r="D200" s="10"/>
      <c r="E200" s="15"/>
      <c r="F200" s="16">
        <f>TRUNC(SUMIF(N198:N199, N197, F198:F199),0)</f>
        <v>0</v>
      </c>
      <c r="G200" s="15"/>
      <c r="H200" s="16">
        <f>TRUNC(SUMIF(N198:N199, N197, H198:H199),0)</f>
        <v>0</v>
      </c>
      <c r="I200" s="15"/>
      <c r="J200" s="16">
        <f>TRUNC(SUMIF(N198:N199, N197, J198:J199),0)</f>
        <v>0</v>
      </c>
      <c r="K200" s="15"/>
      <c r="L200" s="16">
        <f>F200+H200+J200</f>
        <v>0</v>
      </c>
      <c r="M200" s="9" t="s">
        <v>52</v>
      </c>
      <c r="N200" s="2" t="s">
        <v>94</v>
      </c>
      <c r="O200" s="2" t="s">
        <v>94</v>
      </c>
      <c r="P200" s="2" t="s">
        <v>52</v>
      </c>
      <c r="Q200" s="2" t="s">
        <v>52</v>
      </c>
      <c r="R200" s="2" t="s">
        <v>52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2" t="s">
        <v>52</v>
      </c>
      <c r="AW200" s="2" t="s">
        <v>52</v>
      </c>
      <c r="AX200" s="2" t="s">
        <v>52</v>
      </c>
      <c r="AY200" s="2" t="s">
        <v>52</v>
      </c>
    </row>
    <row r="201" spans="1:51" ht="30" customHeight="1" x14ac:dyDescent="0.3">
      <c r="A201" s="10"/>
      <c r="B201" s="10"/>
      <c r="C201" s="10"/>
      <c r="D201" s="10"/>
      <c r="E201" s="15"/>
      <c r="F201" s="16"/>
      <c r="G201" s="15"/>
      <c r="H201" s="16"/>
      <c r="I201" s="15"/>
      <c r="J201" s="16"/>
      <c r="K201" s="15"/>
      <c r="L201" s="16"/>
      <c r="M201" s="10"/>
    </row>
    <row r="202" spans="1:51" ht="30" customHeight="1" x14ac:dyDescent="0.3">
      <c r="A202" s="44" t="s">
        <v>1120</v>
      </c>
      <c r="B202" s="44"/>
      <c r="C202" s="44"/>
      <c r="D202" s="44"/>
      <c r="E202" s="45"/>
      <c r="F202" s="46"/>
      <c r="G202" s="45"/>
      <c r="H202" s="46"/>
      <c r="I202" s="45"/>
      <c r="J202" s="46"/>
      <c r="K202" s="45"/>
      <c r="L202" s="46"/>
      <c r="M202" s="44"/>
      <c r="N202" s="1" t="s">
        <v>212</v>
      </c>
    </row>
    <row r="203" spans="1:51" ht="30" customHeight="1" x14ac:dyDescent="0.3">
      <c r="A203" s="9" t="s">
        <v>1060</v>
      </c>
      <c r="B203" s="9" t="s">
        <v>822</v>
      </c>
      <c r="C203" s="9" t="s">
        <v>823</v>
      </c>
      <c r="D203" s="10">
        <v>4.5999999999999999E-2</v>
      </c>
      <c r="E203" s="15">
        <f>'단가대비표(총체)'!O195</f>
        <v>0</v>
      </c>
      <c r="F203" s="16">
        <f>TRUNC(E203*D203,1)</f>
        <v>0</v>
      </c>
      <c r="G203" s="15">
        <f>'단가대비표(총체)'!P195</f>
        <v>0</v>
      </c>
      <c r="H203" s="16">
        <f>TRUNC(G203*D203,1)</f>
        <v>0</v>
      </c>
      <c r="I203" s="15">
        <f>'단가대비표(총체)'!V195</f>
        <v>0</v>
      </c>
      <c r="J203" s="16">
        <f>TRUNC(I203*D203,1)</f>
        <v>0</v>
      </c>
      <c r="K203" s="15">
        <f t="shared" ref="K203:L205" si="36">TRUNC(E203+G203+I203,1)</f>
        <v>0</v>
      </c>
      <c r="L203" s="16">
        <f t="shared" si="36"/>
        <v>0</v>
      </c>
      <c r="M203" s="9" t="s">
        <v>52</v>
      </c>
      <c r="N203" s="2" t="s">
        <v>212</v>
      </c>
      <c r="O203" s="2" t="s">
        <v>1061</v>
      </c>
      <c r="P203" s="2" t="s">
        <v>61</v>
      </c>
      <c r="Q203" s="2" t="s">
        <v>61</v>
      </c>
      <c r="R203" s="2" t="s">
        <v>60</v>
      </c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2" t="s">
        <v>52</v>
      </c>
      <c r="AW203" s="2" t="s">
        <v>1122</v>
      </c>
      <c r="AX203" s="2" t="s">
        <v>52</v>
      </c>
      <c r="AY203" s="2" t="s">
        <v>52</v>
      </c>
    </row>
    <row r="204" spans="1:51" ht="30" customHeight="1" x14ac:dyDescent="0.3">
      <c r="A204" s="9" t="s">
        <v>821</v>
      </c>
      <c r="B204" s="9" t="s">
        <v>822</v>
      </c>
      <c r="C204" s="9" t="s">
        <v>823</v>
      </c>
      <c r="D204" s="10">
        <v>2.3E-2</v>
      </c>
      <c r="E204" s="15">
        <f>'단가대비표(총체)'!O180</f>
        <v>0</v>
      </c>
      <c r="F204" s="16">
        <f>TRUNC(E204*D204,1)</f>
        <v>0</v>
      </c>
      <c r="G204" s="15">
        <f>'단가대비표(총체)'!P180</f>
        <v>0</v>
      </c>
      <c r="H204" s="16">
        <f>TRUNC(G204*D204,1)</f>
        <v>0</v>
      </c>
      <c r="I204" s="15">
        <f>'단가대비표(총체)'!V180</f>
        <v>0</v>
      </c>
      <c r="J204" s="16">
        <f>TRUNC(I204*D204,1)</f>
        <v>0</v>
      </c>
      <c r="K204" s="15">
        <f t="shared" si="36"/>
        <v>0</v>
      </c>
      <c r="L204" s="16">
        <f t="shared" si="36"/>
        <v>0</v>
      </c>
      <c r="M204" s="9" t="s">
        <v>52</v>
      </c>
      <c r="N204" s="2" t="s">
        <v>212</v>
      </c>
      <c r="O204" s="2" t="s">
        <v>824</v>
      </c>
      <c r="P204" s="2" t="s">
        <v>61</v>
      </c>
      <c r="Q204" s="2" t="s">
        <v>61</v>
      </c>
      <c r="R204" s="2" t="s">
        <v>60</v>
      </c>
      <c r="S204" s="3"/>
      <c r="T204" s="3"/>
      <c r="U204" s="3"/>
      <c r="V204" s="3">
        <v>1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2" t="s">
        <v>52</v>
      </c>
      <c r="AW204" s="2" t="s">
        <v>1123</v>
      </c>
      <c r="AX204" s="2" t="s">
        <v>52</v>
      </c>
      <c r="AY204" s="2" t="s">
        <v>52</v>
      </c>
    </row>
    <row r="205" spans="1:51" ht="30" customHeight="1" x14ac:dyDescent="0.3">
      <c r="A205" s="9" t="s">
        <v>874</v>
      </c>
      <c r="B205" s="9" t="s">
        <v>1124</v>
      </c>
      <c r="C205" s="9" t="s">
        <v>307</v>
      </c>
      <c r="D205" s="10">
        <v>1</v>
      </c>
      <c r="E205" s="15">
        <v>0</v>
      </c>
      <c r="F205" s="16">
        <f>TRUNC(E205*D205,1)</f>
        <v>0</v>
      </c>
      <c r="G205" s="15">
        <v>0</v>
      </c>
      <c r="H205" s="16">
        <f>TRUNC(G205*D205,1)</f>
        <v>0</v>
      </c>
      <c r="I205" s="15">
        <f>TRUNC(SUMIF(V203:V205, RIGHTB(O205, 1), H203:H205)*U205, 2)</f>
        <v>0</v>
      </c>
      <c r="J205" s="16">
        <f>TRUNC(I205*D205,1)</f>
        <v>0</v>
      </c>
      <c r="K205" s="15">
        <f t="shared" si="36"/>
        <v>0</v>
      </c>
      <c r="L205" s="16">
        <f t="shared" si="36"/>
        <v>0</v>
      </c>
      <c r="M205" s="9" t="s">
        <v>52</v>
      </c>
      <c r="N205" s="2" t="s">
        <v>212</v>
      </c>
      <c r="O205" s="2" t="s">
        <v>809</v>
      </c>
      <c r="P205" s="2" t="s">
        <v>61</v>
      </c>
      <c r="Q205" s="2" t="s">
        <v>61</v>
      </c>
      <c r="R205" s="2" t="s">
        <v>61</v>
      </c>
      <c r="S205" s="3">
        <v>1</v>
      </c>
      <c r="T205" s="3">
        <v>2</v>
      </c>
      <c r="U205" s="3">
        <v>0.01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2" t="s">
        <v>52</v>
      </c>
      <c r="AW205" s="2" t="s">
        <v>1125</v>
      </c>
      <c r="AX205" s="2" t="s">
        <v>52</v>
      </c>
      <c r="AY205" s="2" t="s">
        <v>52</v>
      </c>
    </row>
    <row r="206" spans="1:51" ht="30" customHeight="1" x14ac:dyDescent="0.3">
      <c r="A206" s="9" t="s">
        <v>811</v>
      </c>
      <c r="B206" s="9" t="s">
        <v>52</v>
      </c>
      <c r="C206" s="9" t="s">
        <v>52</v>
      </c>
      <c r="D206" s="10"/>
      <c r="E206" s="15"/>
      <c r="F206" s="16">
        <f>TRUNC(SUMIF(N203:N205, N202, F203:F205),0)</f>
        <v>0</v>
      </c>
      <c r="G206" s="15"/>
      <c r="H206" s="16">
        <f>TRUNC(SUMIF(N203:N205, N202, H203:H205),0)</f>
        <v>0</v>
      </c>
      <c r="I206" s="15"/>
      <c r="J206" s="16">
        <f>TRUNC(SUMIF(N203:N205, N202, J203:J205),0)</f>
        <v>0</v>
      </c>
      <c r="K206" s="15"/>
      <c r="L206" s="16">
        <f>F206+H206+J206</f>
        <v>0</v>
      </c>
      <c r="M206" s="9" t="s">
        <v>52</v>
      </c>
      <c r="N206" s="2" t="s">
        <v>94</v>
      </c>
      <c r="O206" s="2" t="s">
        <v>94</v>
      </c>
      <c r="P206" s="2" t="s">
        <v>52</v>
      </c>
      <c r="Q206" s="2" t="s">
        <v>52</v>
      </c>
      <c r="R206" s="2" t="s">
        <v>52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2" t="s">
        <v>52</v>
      </c>
      <c r="AW206" s="2" t="s">
        <v>52</v>
      </c>
      <c r="AX206" s="2" t="s">
        <v>52</v>
      </c>
      <c r="AY206" s="2" t="s">
        <v>52</v>
      </c>
    </row>
    <row r="207" spans="1:51" ht="30" customHeight="1" x14ac:dyDescent="0.3">
      <c r="A207" s="10"/>
      <c r="B207" s="10"/>
      <c r="C207" s="10"/>
      <c r="D207" s="10"/>
      <c r="E207" s="15"/>
      <c r="F207" s="16"/>
      <c r="G207" s="15"/>
      <c r="H207" s="16"/>
      <c r="I207" s="15"/>
      <c r="J207" s="16"/>
      <c r="K207" s="15"/>
      <c r="L207" s="16"/>
      <c r="M207" s="10"/>
    </row>
    <row r="208" spans="1:51" ht="30" customHeight="1" x14ac:dyDescent="0.3">
      <c r="A208" s="44" t="s">
        <v>1126</v>
      </c>
      <c r="B208" s="44"/>
      <c r="C208" s="44"/>
      <c r="D208" s="44"/>
      <c r="E208" s="45"/>
      <c r="F208" s="46"/>
      <c r="G208" s="45"/>
      <c r="H208" s="46"/>
      <c r="I208" s="45"/>
      <c r="J208" s="46"/>
      <c r="K208" s="45"/>
      <c r="L208" s="46"/>
      <c r="M208" s="44"/>
      <c r="N208" s="1" t="s">
        <v>215</v>
      </c>
    </row>
    <row r="209" spans="1:51" ht="30" customHeight="1" x14ac:dyDescent="0.3">
      <c r="A209" s="9" t="s">
        <v>1060</v>
      </c>
      <c r="B209" s="9" t="s">
        <v>822</v>
      </c>
      <c r="C209" s="9" t="s">
        <v>823</v>
      </c>
      <c r="D209" s="10">
        <v>4.2999999999999997E-2</v>
      </c>
      <c r="E209" s="15">
        <f>'단가대비표(총체)'!O195</f>
        <v>0</v>
      </c>
      <c r="F209" s="16">
        <f>TRUNC(E209*D209,1)</f>
        <v>0</v>
      </c>
      <c r="G209" s="15">
        <f>'단가대비표(총체)'!P195</f>
        <v>0</v>
      </c>
      <c r="H209" s="16">
        <f>TRUNC(G209*D209,1)</f>
        <v>0</v>
      </c>
      <c r="I209" s="15">
        <f>'단가대비표(총체)'!V195</f>
        <v>0</v>
      </c>
      <c r="J209" s="16">
        <f>TRUNC(I209*D209,1)</f>
        <v>0</v>
      </c>
      <c r="K209" s="15">
        <f t="shared" ref="K209:L211" si="37">TRUNC(E209+G209+I209,1)</f>
        <v>0</v>
      </c>
      <c r="L209" s="16">
        <f t="shared" si="37"/>
        <v>0</v>
      </c>
      <c r="M209" s="9" t="s">
        <v>52</v>
      </c>
      <c r="N209" s="2" t="s">
        <v>215</v>
      </c>
      <c r="O209" s="2" t="s">
        <v>1061</v>
      </c>
      <c r="P209" s="2" t="s">
        <v>61</v>
      </c>
      <c r="Q209" s="2" t="s">
        <v>61</v>
      </c>
      <c r="R209" s="2" t="s">
        <v>60</v>
      </c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2" t="s">
        <v>52</v>
      </c>
      <c r="AW209" s="2" t="s">
        <v>1128</v>
      </c>
      <c r="AX209" s="2" t="s">
        <v>52</v>
      </c>
      <c r="AY209" s="2" t="s">
        <v>52</v>
      </c>
    </row>
    <row r="210" spans="1:51" ht="30" customHeight="1" x14ac:dyDescent="0.3">
      <c r="A210" s="9" t="s">
        <v>821</v>
      </c>
      <c r="B210" s="9" t="s">
        <v>822</v>
      </c>
      <c r="C210" s="9" t="s">
        <v>823</v>
      </c>
      <c r="D210" s="10">
        <v>2.1000000000000001E-2</v>
      </c>
      <c r="E210" s="15">
        <f>'단가대비표(총체)'!O180</f>
        <v>0</v>
      </c>
      <c r="F210" s="16">
        <f>TRUNC(E210*D210,1)</f>
        <v>0</v>
      </c>
      <c r="G210" s="15">
        <f>'단가대비표(총체)'!P180</f>
        <v>0</v>
      </c>
      <c r="H210" s="16">
        <f>TRUNC(G210*D210,1)</f>
        <v>0</v>
      </c>
      <c r="I210" s="15">
        <f>'단가대비표(총체)'!V180</f>
        <v>0</v>
      </c>
      <c r="J210" s="16">
        <f>TRUNC(I210*D210,1)</f>
        <v>0</v>
      </c>
      <c r="K210" s="15">
        <f t="shared" si="37"/>
        <v>0</v>
      </c>
      <c r="L210" s="16">
        <f t="shared" si="37"/>
        <v>0</v>
      </c>
      <c r="M210" s="9" t="s">
        <v>52</v>
      </c>
      <c r="N210" s="2" t="s">
        <v>215</v>
      </c>
      <c r="O210" s="2" t="s">
        <v>824</v>
      </c>
      <c r="P210" s="2" t="s">
        <v>61</v>
      </c>
      <c r="Q210" s="2" t="s">
        <v>61</v>
      </c>
      <c r="R210" s="2" t="s">
        <v>60</v>
      </c>
      <c r="S210" s="3"/>
      <c r="T210" s="3"/>
      <c r="U210" s="3"/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2" t="s">
        <v>52</v>
      </c>
      <c r="AW210" s="2" t="s">
        <v>1129</v>
      </c>
      <c r="AX210" s="2" t="s">
        <v>52</v>
      </c>
      <c r="AY210" s="2" t="s">
        <v>52</v>
      </c>
    </row>
    <row r="211" spans="1:51" ht="30" customHeight="1" x14ac:dyDescent="0.3">
      <c r="A211" s="9" t="s">
        <v>874</v>
      </c>
      <c r="B211" s="9" t="s">
        <v>1124</v>
      </c>
      <c r="C211" s="9" t="s">
        <v>307</v>
      </c>
      <c r="D211" s="10">
        <v>1</v>
      </c>
      <c r="E211" s="15">
        <v>0</v>
      </c>
      <c r="F211" s="16">
        <f>TRUNC(E211*D211,1)</f>
        <v>0</v>
      </c>
      <c r="G211" s="15">
        <v>0</v>
      </c>
      <c r="H211" s="16">
        <f>TRUNC(G211*D211,1)</f>
        <v>0</v>
      </c>
      <c r="I211" s="15">
        <f>TRUNC(SUMIF(V209:V211, RIGHTB(O211, 1), H209:H211)*U211, 2)</f>
        <v>0</v>
      </c>
      <c r="J211" s="16">
        <f>TRUNC(I211*D211,1)</f>
        <v>0</v>
      </c>
      <c r="K211" s="15">
        <f t="shared" si="37"/>
        <v>0</v>
      </c>
      <c r="L211" s="16">
        <f t="shared" si="37"/>
        <v>0</v>
      </c>
      <c r="M211" s="9" t="s">
        <v>52</v>
      </c>
      <c r="N211" s="2" t="s">
        <v>215</v>
      </c>
      <c r="O211" s="2" t="s">
        <v>809</v>
      </c>
      <c r="P211" s="2" t="s">
        <v>61</v>
      </c>
      <c r="Q211" s="2" t="s">
        <v>61</v>
      </c>
      <c r="R211" s="2" t="s">
        <v>61</v>
      </c>
      <c r="S211" s="3">
        <v>1</v>
      </c>
      <c r="T211" s="3">
        <v>2</v>
      </c>
      <c r="U211" s="3">
        <v>0.01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2" t="s">
        <v>52</v>
      </c>
      <c r="AW211" s="2" t="s">
        <v>1130</v>
      </c>
      <c r="AX211" s="2" t="s">
        <v>52</v>
      </c>
      <c r="AY211" s="2" t="s">
        <v>52</v>
      </c>
    </row>
    <row r="212" spans="1:51" ht="30" customHeight="1" x14ac:dyDescent="0.3">
      <c r="A212" s="9" t="s">
        <v>811</v>
      </c>
      <c r="B212" s="9" t="s">
        <v>52</v>
      </c>
      <c r="C212" s="9" t="s">
        <v>52</v>
      </c>
      <c r="D212" s="10"/>
      <c r="E212" s="15"/>
      <c r="F212" s="16">
        <f>TRUNC(SUMIF(N209:N211, N208, F209:F211),0)</f>
        <v>0</v>
      </c>
      <c r="G212" s="15"/>
      <c r="H212" s="16">
        <f>TRUNC(SUMIF(N209:N211, N208, H209:H211),0)</f>
        <v>0</v>
      </c>
      <c r="I212" s="15"/>
      <c r="J212" s="16">
        <f>TRUNC(SUMIF(N209:N211, N208, J209:J211),0)</f>
        <v>0</v>
      </c>
      <c r="K212" s="15"/>
      <c r="L212" s="16">
        <f>F212+H212+J212</f>
        <v>0</v>
      </c>
      <c r="M212" s="9" t="s">
        <v>52</v>
      </c>
      <c r="N212" s="2" t="s">
        <v>94</v>
      </c>
      <c r="O212" s="2" t="s">
        <v>94</v>
      </c>
      <c r="P212" s="2" t="s">
        <v>52</v>
      </c>
      <c r="Q212" s="2" t="s">
        <v>52</v>
      </c>
      <c r="R212" s="2" t="s">
        <v>52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2" t="s">
        <v>52</v>
      </c>
      <c r="AW212" s="2" t="s">
        <v>52</v>
      </c>
      <c r="AX212" s="2" t="s">
        <v>52</v>
      </c>
      <c r="AY212" s="2" t="s">
        <v>52</v>
      </c>
    </row>
    <row r="213" spans="1:51" ht="30" customHeight="1" x14ac:dyDescent="0.3">
      <c r="A213" s="10"/>
      <c r="B213" s="10"/>
      <c r="C213" s="10"/>
      <c r="D213" s="10"/>
      <c r="E213" s="15"/>
      <c r="F213" s="16"/>
      <c r="G213" s="15"/>
      <c r="H213" s="16"/>
      <c r="I213" s="15"/>
      <c r="J213" s="16"/>
      <c r="K213" s="15"/>
      <c r="L213" s="16"/>
      <c r="M213" s="10"/>
    </row>
    <row r="214" spans="1:51" ht="30" customHeight="1" x14ac:dyDescent="0.3">
      <c r="A214" s="44" t="s">
        <v>1131</v>
      </c>
      <c r="B214" s="44"/>
      <c r="C214" s="44"/>
      <c r="D214" s="44"/>
      <c r="E214" s="45"/>
      <c r="F214" s="46"/>
      <c r="G214" s="45"/>
      <c r="H214" s="46"/>
      <c r="I214" s="45"/>
      <c r="J214" s="46"/>
      <c r="K214" s="45"/>
      <c r="L214" s="46"/>
      <c r="M214" s="44"/>
      <c r="N214" s="1" t="s">
        <v>218</v>
      </c>
    </row>
    <row r="215" spans="1:51" ht="30" customHeight="1" x14ac:dyDescent="0.3">
      <c r="A215" s="9" t="s">
        <v>1060</v>
      </c>
      <c r="B215" s="9" t="s">
        <v>822</v>
      </c>
      <c r="C215" s="9" t="s">
        <v>823</v>
      </c>
      <c r="D215" s="10">
        <v>0.06</v>
      </c>
      <c r="E215" s="15">
        <f>'단가대비표(총체)'!O195</f>
        <v>0</v>
      </c>
      <c r="F215" s="16">
        <f>TRUNC(E215*D215,1)</f>
        <v>0</v>
      </c>
      <c r="G215" s="15">
        <f>'단가대비표(총체)'!P195</f>
        <v>0</v>
      </c>
      <c r="H215" s="16">
        <f>TRUNC(G215*D215,1)</f>
        <v>0</v>
      </c>
      <c r="I215" s="15">
        <f>'단가대비표(총체)'!V195</f>
        <v>0</v>
      </c>
      <c r="J215" s="16">
        <f>TRUNC(I215*D215,1)</f>
        <v>0</v>
      </c>
      <c r="K215" s="15">
        <f t="shared" ref="K215:L217" si="38">TRUNC(E215+G215+I215,1)</f>
        <v>0</v>
      </c>
      <c r="L215" s="16">
        <f t="shared" si="38"/>
        <v>0</v>
      </c>
      <c r="M215" s="9" t="s">
        <v>52</v>
      </c>
      <c r="N215" s="2" t="s">
        <v>218</v>
      </c>
      <c r="O215" s="2" t="s">
        <v>1061</v>
      </c>
      <c r="P215" s="2" t="s">
        <v>61</v>
      </c>
      <c r="Q215" s="2" t="s">
        <v>61</v>
      </c>
      <c r="R215" s="2" t="s">
        <v>60</v>
      </c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2" t="s">
        <v>52</v>
      </c>
      <c r="AW215" s="2" t="s">
        <v>1133</v>
      </c>
      <c r="AX215" s="2" t="s">
        <v>52</v>
      </c>
      <c r="AY215" s="2" t="s">
        <v>52</v>
      </c>
    </row>
    <row r="216" spans="1:51" ht="30" customHeight="1" x14ac:dyDescent="0.3">
      <c r="A216" s="9" t="s">
        <v>821</v>
      </c>
      <c r="B216" s="9" t="s">
        <v>822</v>
      </c>
      <c r="C216" s="9" t="s">
        <v>823</v>
      </c>
      <c r="D216" s="10">
        <v>0.03</v>
      </c>
      <c r="E216" s="15">
        <f>'단가대비표(총체)'!O180</f>
        <v>0</v>
      </c>
      <c r="F216" s="16">
        <f>TRUNC(E216*D216,1)</f>
        <v>0</v>
      </c>
      <c r="G216" s="15">
        <f>'단가대비표(총체)'!P180</f>
        <v>0</v>
      </c>
      <c r="H216" s="16">
        <f>TRUNC(G216*D216,1)</f>
        <v>0</v>
      </c>
      <c r="I216" s="15">
        <f>'단가대비표(총체)'!V180</f>
        <v>0</v>
      </c>
      <c r="J216" s="16">
        <f>TRUNC(I216*D216,1)</f>
        <v>0</v>
      </c>
      <c r="K216" s="15">
        <f t="shared" si="38"/>
        <v>0</v>
      </c>
      <c r="L216" s="16">
        <f t="shared" si="38"/>
        <v>0</v>
      </c>
      <c r="M216" s="9" t="s">
        <v>52</v>
      </c>
      <c r="N216" s="2" t="s">
        <v>218</v>
      </c>
      <c r="O216" s="2" t="s">
        <v>824</v>
      </c>
      <c r="P216" s="2" t="s">
        <v>61</v>
      </c>
      <c r="Q216" s="2" t="s">
        <v>61</v>
      </c>
      <c r="R216" s="2" t="s">
        <v>60</v>
      </c>
      <c r="S216" s="3"/>
      <c r="T216" s="3"/>
      <c r="U216" s="3"/>
      <c r="V216" s="3">
        <v>1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2" t="s">
        <v>52</v>
      </c>
      <c r="AW216" s="2" t="s">
        <v>1134</v>
      </c>
      <c r="AX216" s="2" t="s">
        <v>52</v>
      </c>
      <c r="AY216" s="2" t="s">
        <v>52</v>
      </c>
    </row>
    <row r="217" spans="1:51" ht="30" customHeight="1" x14ac:dyDescent="0.3">
      <c r="A217" s="9" t="s">
        <v>874</v>
      </c>
      <c r="B217" s="9" t="s">
        <v>1124</v>
      </c>
      <c r="C217" s="9" t="s">
        <v>307</v>
      </c>
      <c r="D217" s="10">
        <v>1</v>
      </c>
      <c r="E217" s="15">
        <v>0</v>
      </c>
      <c r="F217" s="16">
        <f>TRUNC(E217*D217,1)</f>
        <v>0</v>
      </c>
      <c r="G217" s="15">
        <v>0</v>
      </c>
      <c r="H217" s="16">
        <f>TRUNC(G217*D217,1)</f>
        <v>0</v>
      </c>
      <c r="I217" s="15">
        <f>TRUNC(SUMIF(V215:V217, RIGHTB(O217, 1), H215:H217)*U217, 2)</f>
        <v>0</v>
      </c>
      <c r="J217" s="16">
        <f>TRUNC(I217*D217,1)</f>
        <v>0</v>
      </c>
      <c r="K217" s="15">
        <f t="shared" si="38"/>
        <v>0</v>
      </c>
      <c r="L217" s="16">
        <f t="shared" si="38"/>
        <v>0</v>
      </c>
      <c r="M217" s="9" t="s">
        <v>52</v>
      </c>
      <c r="N217" s="2" t="s">
        <v>218</v>
      </c>
      <c r="O217" s="2" t="s">
        <v>809</v>
      </c>
      <c r="P217" s="2" t="s">
        <v>61</v>
      </c>
      <c r="Q217" s="2" t="s">
        <v>61</v>
      </c>
      <c r="R217" s="2" t="s">
        <v>61</v>
      </c>
      <c r="S217" s="3">
        <v>1</v>
      </c>
      <c r="T217" s="3">
        <v>2</v>
      </c>
      <c r="U217" s="3">
        <v>0.01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2" t="s">
        <v>52</v>
      </c>
      <c r="AW217" s="2" t="s">
        <v>1135</v>
      </c>
      <c r="AX217" s="2" t="s">
        <v>52</v>
      </c>
      <c r="AY217" s="2" t="s">
        <v>52</v>
      </c>
    </row>
    <row r="218" spans="1:51" ht="30" customHeight="1" x14ac:dyDescent="0.3">
      <c r="A218" s="9" t="s">
        <v>811</v>
      </c>
      <c r="B218" s="9" t="s">
        <v>52</v>
      </c>
      <c r="C218" s="9" t="s">
        <v>52</v>
      </c>
      <c r="D218" s="10"/>
      <c r="E218" s="15"/>
      <c r="F218" s="16">
        <f>TRUNC(SUMIF(N215:N217, N214, F215:F217),0)</f>
        <v>0</v>
      </c>
      <c r="G218" s="15"/>
      <c r="H218" s="16">
        <f>TRUNC(SUMIF(N215:N217, N214, H215:H217),0)</f>
        <v>0</v>
      </c>
      <c r="I218" s="15"/>
      <c r="J218" s="16">
        <f>TRUNC(SUMIF(N215:N217, N214, J215:J217),0)</f>
        <v>0</v>
      </c>
      <c r="K218" s="15"/>
      <c r="L218" s="16">
        <f>F218+H218+J218</f>
        <v>0</v>
      </c>
      <c r="M218" s="9" t="s">
        <v>52</v>
      </c>
      <c r="N218" s="2" t="s">
        <v>94</v>
      </c>
      <c r="O218" s="2" t="s">
        <v>94</v>
      </c>
      <c r="P218" s="2" t="s">
        <v>52</v>
      </c>
      <c r="Q218" s="2" t="s">
        <v>52</v>
      </c>
      <c r="R218" s="2" t="s">
        <v>52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2" t="s">
        <v>52</v>
      </c>
      <c r="AW218" s="2" t="s">
        <v>52</v>
      </c>
      <c r="AX218" s="2" t="s">
        <v>52</v>
      </c>
      <c r="AY218" s="2" t="s">
        <v>52</v>
      </c>
    </row>
    <row r="219" spans="1:51" ht="30" customHeight="1" x14ac:dyDescent="0.3">
      <c r="A219" s="10"/>
      <c r="B219" s="10"/>
      <c r="C219" s="10"/>
      <c r="D219" s="10"/>
      <c r="E219" s="15"/>
      <c r="F219" s="16"/>
      <c r="G219" s="15"/>
      <c r="H219" s="16"/>
      <c r="I219" s="15"/>
      <c r="J219" s="16"/>
      <c r="K219" s="15"/>
      <c r="L219" s="16"/>
      <c r="M219" s="10"/>
    </row>
    <row r="220" spans="1:51" ht="30" customHeight="1" x14ac:dyDescent="0.3">
      <c r="A220" s="44" t="s">
        <v>1136</v>
      </c>
      <c r="B220" s="44"/>
      <c r="C220" s="44"/>
      <c r="D220" s="44"/>
      <c r="E220" s="45"/>
      <c r="F220" s="46"/>
      <c r="G220" s="45"/>
      <c r="H220" s="46"/>
      <c r="I220" s="45"/>
      <c r="J220" s="46"/>
      <c r="K220" s="45"/>
      <c r="L220" s="46"/>
      <c r="M220" s="44"/>
      <c r="N220" s="1" t="s">
        <v>222</v>
      </c>
    </row>
    <row r="221" spans="1:51" ht="30" customHeight="1" x14ac:dyDescent="0.3">
      <c r="A221" s="9" t="s">
        <v>1138</v>
      </c>
      <c r="B221" s="9" t="s">
        <v>822</v>
      </c>
      <c r="C221" s="9" t="s">
        <v>823</v>
      </c>
      <c r="D221" s="10">
        <v>0.10299999999999999</v>
      </c>
      <c r="E221" s="15">
        <f>'단가대비표(총체)'!O183</f>
        <v>0</v>
      </c>
      <c r="F221" s="16">
        <f t="shared" ref="F221:F226" si="39">TRUNC(E221*D221,1)</f>
        <v>0</v>
      </c>
      <c r="G221" s="15">
        <f>'단가대비표(총체)'!P183</f>
        <v>0</v>
      </c>
      <c r="H221" s="16">
        <f t="shared" ref="H221:H226" si="40">TRUNC(G221*D221,1)</f>
        <v>0</v>
      </c>
      <c r="I221" s="15">
        <f>'단가대비표(총체)'!V183</f>
        <v>0</v>
      </c>
      <c r="J221" s="16">
        <f t="shared" ref="J221:J226" si="41">TRUNC(I221*D221,1)</f>
        <v>0</v>
      </c>
      <c r="K221" s="15">
        <f t="shared" ref="K221:L226" si="42">TRUNC(E221+G221+I221,1)</f>
        <v>0</v>
      </c>
      <c r="L221" s="16">
        <f t="shared" si="42"/>
        <v>0</v>
      </c>
      <c r="M221" s="9" t="s">
        <v>52</v>
      </c>
      <c r="N221" s="2" t="s">
        <v>222</v>
      </c>
      <c r="O221" s="2" t="s">
        <v>1139</v>
      </c>
      <c r="P221" s="2" t="s">
        <v>61</v>
      </c>
      <c r="Q221" s="2" t="s">
        <v>61</v>
      </c>
      <c r="R221" s="2" t="s">
        <v>60</v>
      </c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2" t="s">
        <v>52</v>
      </c>
      <c r="AW221" s="2" t="s">
        <v>1140</v>
      </c>
      <c r="AX221" s="2" t="s">
        <v>52</v>
      </c>
      <c r="AY221" s="2" t="s">
        <v>52</v>
      </c>
    </row>
    <row r="222" spans="1:51" ht="30" customHeight="1" x14ac:dyDescent="0.3">
      <c r="A222" s="9" t="s">
        <v>1060</v>
      </c>
      <c r="B222" s="9" t="s">
        <v>1141</v>
      </c>
      <c r="C222" s="9" t="s">
        <v>823</v>
      </c>
      <c r="D222" s="10">
        <v>0.1</v>
      </c>
      <c r="E222" s="15">
        <f>'단가대비표(총체)'!O196</f>
        <v>0</v>
      </c>
      <c r="F222" s="16">
        <f t="shared" si="39"/>
        <v>0</v>
      </c>
      <c r="G222" s="15">
        <f>'단가대비표(총체)'!P196</f>
        <v>0</v>
      </c>
      <c r="H222" s="16">
        <f t="shared" si="40"/>
        <v>0</v>
      </c>
      <c r="I222" s="15">
        <f>'단가대비표(총체)'!V196</f>
        <v>0</v>
      </c>
      <c r="J222" s="16">
        <f t="shared" si="41"/>
        <v>0</v>
      </c>
      <c r="K222" s="15">
        <f t="shared" si="42"/>
        <v>0</v>
      </c>
      <c r="L222" s="16">
        <f t="shared" si="42"/>
        <v>0</v>
      </c>
      <c r="M222" s="9" t="s">
        <v>52</v>
      </c>
      <c r="N222" s="2" t="s">
        <v>222</v>
      </c>
      <c r="O222" s="2" t="s">
        <v>1142</v>
      </c>
      <c r="P222" s="2" t="s">
        <v>61</v>
      </c>
      <c r="Q222" s="2" t="s">
        <v>61</v>
      </c>
      <c r="R222" s="2" t="s">
        <v>60</v>
      </c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2" t="s">
        <v>52</v>
      </c>
      <c r="AW222" s="2" t="s">
        <v>1143</v>
      </c>
      <c r="AX222" s="2" t="s">
        <v>52</v>
      </c>
      <c r="AY222" s="2" t="s">
        <v>52</v>
      </c>
    </row>
    <row r="223" spans="1:51" ht="30" customHeight="1" x14ac:dyDescent="0.3">
      <c r="A223" s="9" t="s">
        <v>1060</v>
      </c>
      <c r="B223" s="9" t="s">
        <v>1144</v>
      </c>
      <c r="C223" s="9" t="s">
        <v>823</v>
      </c>
      <c r="D223" s="10">
        <v>0.05</v>
      </c>
      <c r="E223" s="15">
        <f>'단가대비표(총체)'!O197</f>
        <v>0</v>
      </c>
      <c r="F223" s="16">
        <f t="shared" si="39"/>
        <v>0</v>
      </c>
      <c r="G223" s="15">
        <f>'단가대비표(총체)'!P197</f>
        <v>0</v>
      </c>
      <c r="H223" s="16">
        <f t="shared" si="40"/>
        <v>0</v>
      </c>
      <c r="I223" s="15">
        <f>'단가대비표(총체)'!V197</f>
        <v>0</v>
      </c>
      <c r="J223" s="16">
        <f t="shared" si="41"/>
        <v>0</v>
      </c>
      <c r="K223" s="15">
        <f t="shared" si="42"/>
        <v>0</v>
      </c>
      <c r="L223" s="16">
        <f t="shared" si="42"/>
        <v>0</v>
      </c>
      <c r="M223" s="9" t="s">
        <v>52</v>
      </c>
      <c r="N223" s="2" t="s">
        <v>222</v>
      </c>
      <c r="O223" s="2" t="s">
        <v>1145</v>
      </c>
      <c r="P223" s="2" t="s">
        <v>61</v>
      </c>
      <c r="Q223" s="2" t="s">
        <v>61</v>
      </c>
      <c r="R223" s="2" t="s">
        <v>60</v>
      </c>
      <c r="S223" s="3"/>
      <c r="T223" s="3"/>
      <c r="U223" s="3"/>
      <c r="V223" s="3">
        <v>1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2" t="s">
        <v>52</v>
      </c>
      <c r="AW223" s="2" t="s">
        <v>1146</v>
      </c>
      <c r="AX223" s="2" t="s">
        <v>52</v>
      </c>
      <c r="AY223" s="2" t="s">
        <v>52</v>
      </c>
    </row>
    <row r="224" spans="1:51" ht="30" customHeight="1" x14ac:dyDescent="0.3">
      <c r="A224" s="9" t="s">
        <v>1060</v>
      </c>
      <c r="B224" s="9" t="s">
        <v>1147</v>
      </c>
      <c r="C224" s="9" t="s">
        <v>823</v>
      </c>
      <c r="D224" s="10">
        <v>3.3000000000000002E-2</v>
      </c>
      <c r="E224" s="15">
        <f>'단가대비표(총체)'!O198</f>
        <v>0</v>
      </c>
      <c r="F224" s="16">
        <f t="shared" si="39"/>
        <v>0</v>
      </c>
      <c r="G224" s="15">
        <f>'단가대비표(총체)'!P198</f>
        <v>0</v>
      </c>
      <c r="H224" s="16">
        <f t="shared" si="40"/>
        <v>0</v>
      </c>
      <c r="I224" s="15">
        <f>'단가대비표(총체)'!V198</f>
        <v>0</v>
      </c>
      <c r="J224" s="16">
        <f t="shared" si="41"/>
        <v>0</v>
      </c>
      <c r="K224" s="15">
        <f t="shared" si="42"/>
        <v>0</v>
      </c>
      <c r="L224" s="16">
        <f t="shared" si="42"/>
        <v>0</v>
      </c>
      <c r="M224" s="9" t="s">
        <v>52</v>
      </c>
      <c r="N224" s="2" t="s">
        <v>222</v>
      </c>
      <c r="O224" s="2" t="s">
        <v>1148</v>
      </c>
      <c r="P224" s="2" t="s">
        <v>61</v>
      </c>
      <c r="Q224" s="2" t="s">
        <v>61</v>
      </c>
      <c r="R224" s="2" t="s">
        <v>60</v>
      </c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2" t="s">
        <v>52</v>
      </c>
      <c r="AW224" s="2" t="s">
        <v>1149</v>
      </c>
      <c r="AX224" s="2" t="s">
        <v>52</v>
      </c>
      <c r="AY224" s="2" t="s">
        <v>52</v>
      </c>
    </row>
    <row r="225" spans="1:51" ht="30" customHeight="1" x14ac:dyDescent="0.3">
      <c r="A225" s="9" t="s">
        <v>1060</v>
      </c>
      <c r="B225" s="9" t="s">
        <v>1150</v>
      </c>
      <c r="C225" s="9" t="s">
        <v>823</v>
      </c>
      <c r="D225" s="10">
        <v>8.8000000000000005E-3</v>
      </c>
      <c r="E225" s="15">
        <f>'단가대비표(총체)'!O199</f>
        <v>0</v>
      </c>
      <c r="F225" s="16">
        <f t="shared" si="39"/>
        <v>0</v>
      </c>
      <c r="G225" s="15">
        <f>'단가대비표(총체)'!P199</f>
        <v>0</v>
      </c>
      <c r="H225" s="16">
        <f t="shared" si="40"/>
        <v>0</v>
      </c>
      <c r="I225" s="15">
        <f>'단가대비표(총체)'!V199</f>
        <v>0</v>
      </c>
      <c r="J225" s="16">
        <f t="shared" si="41"/>
        <v>0</v>
      </c>
      <c r="K225" s="15">
        <f t="shared" si="42"/>
        <v>0</v>
      </c>
      <c r="L225" s="16">
        <f t="shared" si="42"/>
        <v>0</v>
      </c>
      <c r="M225" s="9" t="s">
        <v>52</v>
      </c>
      <c r="N225" s="2" t="s">
        <v>222</v>
      </c>
      <c r="O225" s="2" t="s">
        <v>1151</v>
      </c>
      <c r="P225" s="2" t="s">
        <v>61</v>
      </c>
      <c r="Q225" s="2" t="s">
        <v>61</v>
      </c>
      <c r="R225" s="2" t="s">
        <v>60</v>
      </c>
      <c r="S225" s="3"/>
      <c r="T225" s="3"/>
      <c r="U225" s="3"/>
      <c r="V225" s="3">
        <v>1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2" t="s">
        <v>52</v>
      </c>
      <c r="AW225" s="2" t="s">
        <v>1152</v>
      </c>
      <c r="AX225" s="2" t="s">
        <v>52</v>
      </c>
      <c r="AY225" s="2" t="s">
        <v>52</v>
      </c>
    </row>
    <row r="226" spans="1:51" ht="30" customHeight="1" x14ac:dyDescent="0.3">
      <c r="A226" s="9" t="s">
        <v>874</v>
      </c>
      <c r="B226" s="9" t="s">
        <v>875</v>
      </c>
      <c r="C226" s="9" t="s">
        <v>307</v>
      </c>
      <c r="D226" s="10">
        <v>1</v>
      </c>
      <c r="E226" s="15">
        <f>TRUNC(SUMIF(V221:V226, RIGHTB(O226, 1), H221:H226)*U226, 2)</f>
        <v>0</v>
      </c>
      <c r="F226" s="16">
        <f t="shared" si="39"/>
        <v>0</v>
      </c>
      <c r="G226" s="15">
        <v>0</v>
      </c>
      <c r="H226" s="16">
        <f t="shared" si="40"/>
        <v>0</v>
      </c>
      <c r="I226" s="15">
        <v>0</v>
      </c>
      <c r="J226" s="16">
        <f t="shared" si="41"/>
        <v>0</v>
      </c>
      <c r="K226" s="15">
        <f t="shared" si="42"/>
        <v>0</v>
      </c>
      <c r="L226" s="16">
        <f t="shared" si="42"/>
        <v>0</v>
      </c>
      <c r="M226" s="9" t="s">
        <v>52</v>
      </c>
      <c r="N226" s="2" t="s">
        <v>222</v>
      </c>
      <c r="O226" s="2" t="s">
        <v>809</v>
      </c>
      <c r="P226" s="2" t="s">
        <v>61</v>
      </c>
      <c r="Q226" s="2" t="s">
        <v>61</v>
      </c>
      <c r="R226" s="2" t="s">
        <v>61</v>
      </c>
      <c r="S226" s="3">
        <v>1</v>
      </c>
      <c r="T226" s="3">
        <v>0</v>
      </c>
      <c r="U226" s="3">
        <v>0.03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2" t="s">
        <v>52</v>
      </c>
      <c r="AW226" s="2" t="s">
        <v>1153</v>
      </c>
      <c r="AX226" s="2" t="s">
        <v>52</v>
      </c>
      <c r="AY226" s="2" t="s">
        <v>52</v>
      </c>
    </row>
    <row r="227" spans="1:51" ht="30" customHeight="1" x14ac:dyDescent="0.3">
      <c r="A227" s="9" t="s">
        <v>811</v>
      </c>
      <c r="B227" s="9" t="s">
        <v>52</v>
      </c>
      <c r="C227" s="9" t="s">
        <v>52</v>
      </c>
      <c r="D227" s="10"/>
      <c r="E227" s="15"/>
      <c r="F227" s="16">
        <f>TRUNC(SUMIF(N221:N226, N220, F221:F226),0)</f>
        <v>0</v>
      </c>
      <c r="G227" s="15"/>
      <c r="H227" s="16">
        <f>TRUNC(SUMIF(N221:N226, N220, H221:H226),0)</f>
        <v>0</v>
      </c>
      <c r="I227" s="15"/>
      <c r="J227" s="16">
        <f>TRUNC(SUMIF(N221:N226, N220, J221:J226),0)</f>
        <v>0</v>
      </c>
      <c r="K227" s="15"/>
      <c r="L227" s="16">
        <f>F227+H227+J227</f>
        <v>0</v>
      </c>
      <c r="M227" s="9" t="s">
        <v>52</v>
      </c>
      <c r="N227" s="2" t="s">
        <v>94</v>
      </c>
      <c r="O227" s="2" t="s">
        <v>94</v>
      </c>
      <c r="P227" s="2" t="s">
        <v>52</v>
      </c>
      <c r="Q227" s="2" t="s">
        <v>52</v>
      </c>
      <c r="R227" s="2" t="s">
        <v>52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2" t="s">
        <v>52</v>
      </c>
      <c r="AW227" s="2" t="s">
        <v>52</v>
      </c>
      <c r="AX227" s="2" t="s">
        <v>52</v>
      </c>
      <c r="AY227" s="2" t="s">
        <v>52</v>
      </c>
    </row>
    <row r="228" spans="1:51" ht="30" customHeight="1" x14ac:dyDescent="0.3">
      <c r="A228" s="10"/>
      <c r="B228" s="10"/>
      <c r="C228" s="10"/>
      <c r="D228" s="10"/>
      <c r="E228" s="15"/>
      <c r="F228" s="16"/>
      <c r="G228" s="15"/>
      <c r="H228" s="16"/>
      <c r="I228" s="15"/>
      <c r="J228" s="16"/>
      <c r="K228" s="15"/>
      <c r="L228" s="16"/>
      <c r="M228" s="10"/>
    </row>
    <row r="229" spans="1:51" ht="30" customHeight="1" x14ac:dyDescent="0.3">
      <c r="A229" s="44" t="s">
        <v>1154</v>
      </c>
      <c r="B229" s="44"/>
      <c r="C229" s="44"/>
      <c r="D229" s="44"/>
      <c r="E229" s="45"/>
      <c r="F229" s="46"/>
      <c r="G229" s="45"/>
      <c r="H229" s="46"/>
      <c r="I229" s="45"/>
      <c r="J229" s="46"/>
      <c r="K229" s="45"/>
      <c r="L229" s="46"/>
      <c r="M229" s="44"/>
      <c r="N229" s="1" t="s">
        <v>226</v>
      </c>
    </row>
    <row r="230" spans="1:51" ht="30" customHeight="1" x14ac:dyDescent="0.3">
      <c r="A230" s="9" t="s">
        <v>1138</v>
      </c>
      <c r="B230" s="9" t="s">
        <v>822</v>
      </c>
      <c r="C230" s="9" t="s">
        <v>823</v>
      </c>
      <c r="D230" s="10">
        <v>0.10299999999999999</v>
      </c>
      <c r="E230" s="15">
        <f>'단가대비표(총체)'!O183</f>
        <v>0</v>
      </c>
      <c r="F230" s="16">
        <f t="shared" ref="F230:F235" si="43">TRUNC(E230*D230,1)</f>
        <v>0</v>
      </c>
      <c r="G230" s="15">
        <f>'단가대비표(총체)'!P183</f>
        <v>0</v>
      </c>
      <c r="H230" s="16">
        <f t="shared" ref="H230:H235" si="44">TRUNC(G230*D230,1)</f>
        <v>0</v>
      </c>
      <c r="I230" s="15">
        <f>'단가대비표(총체)'!V183</f>
        <v>0</v>
      </c>
      <c r="J230" s="16">
        <f t="shared" ref="J230:J235" si="45">TRUNC(I230*D230,1)</f>
        <v>0</v>
      </c>
      <c r="K230" s="15">
        <f t="shared" ref="K230:L235" si="46">TRUNC(E230+G230+I230,1)</f>
        <v>0</v>
      </c>
      <c r="L230" s="16">
        <f t="shared" si="46"/>
        <v>0</v>
      </c>
      <c r="M230" s="9" t="s">
        <v>52</v>
      </c>
      <c r="N230" s="2" t="s">
        <v>226</v>
      </c>
      <c r="O230" s="2" t="s">
        <v>1139</v>
      </c>
      <c r="P230" s="2" t="s">
        <v>61</v>
      </c>
      <c r="Q230" s="2" t="s">
        <v>61</v>
      </c>
      <c r="R230" s="2" t="s">
        <v>60</v>
      </c>
      <c r="S230" s="3"/>
      <c r="T230" s="3"/>
      <c r="U230" s="3"/>
      <c r="V230" s="3">
        <v>1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2" t="s">
        <v>52</v>
      </c>
      <c r="AW230" s="2" t="s">
        <v>1156</v>
      </c>
      <c r="AX230" s="2" t="s">
        <v>52</v>
      </c>
      <c r="AY230" s="2" t="s">
        <v>52</v>
      </c>
    </row>
    <row r="231" spans="1:51" ht="30" customHeight="1" x14ac:dyDescent="0.3">
      <c r="A231" s="9" t="s">
        <v>1060</v>
      </c>
      <c r="B231" s="9" t="s">
        <v>1141</v>
      </c>
      <c r="C231" s="9" t="s">
        <v>823</v>
      </c>
      <c r="D231" s="10">
        <v>0.1</v>
      </c>
      <c r="E231" s="15">
        <f>'단가대비표(총체)'!O196</f>
        <v>0</v>
      </c>
      <c r="F231" s="16">
        <f t="shared" si="43"/>
        <v>0</v>
      </c>
      <c r="G231" s="15">
        <f>'단가대비표(총체)'!P196</f>
        <v>0</v>
      </c>
      <c r="H231" s="16">
        <f t="shared" si="44"/>
        <v>0</v>
      </c>
      <c r="I231" s="15">
        <f>'단가대비표(총체)'!V196</f>
        <v>0</v>
      </c>
      <c r="J231" s="16">
        <f t="shared" si="45"/>
        <v>0</v>
      </c>
      <c r="K231" s="15">
        <f t="shared" si="46"/>
        <v>0</v>
      </c>
      <c r="L231" s="16">
        <f t="shared" si="46"/>
        <v>0</v>
      </c>
      <c r="M231" s="9" t="s">
        <v>52</v>
      </c>
      <c r="N231" s="2" t="s">
        <v>226</v>
      </c>
      <c r="O231" s="2" t="s">
        <v>1142</v>
      </c>
      <c r="P231" s="2" t="s">
        <v>61</v>
      </c>
      <c r="Q231" s="2" t="s">
        <v>61</v>
      </c>
      <c r="R231" s="2" t="s">
        <v>60</v>
      </c>
      <c r="S231" s="3"/>
      <c r="T231" s="3"/>
      <c r="U231" s="3"/>
      <c r="V231" s="3">
        <v>1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2" t="s">
        <v>52</v>
      </c>
      <c r="AW231" s="2" t="s">
        <v>1157</v>
      </c>
      <c r="AX231" s="2" t="s">
        <v>52</v>
      </c>
      <c r="AY231" s="2" t="s">
        <v>52</v>
      </c>
    </row>
    <row r="232" spans="1:51" ht="30" customHeight="1" x14ac:dyDescent="0.3">
      <c r="A232" s="9" t="s">
        <v>1060</v>
      </c>
      <c r="B232" s="9" t="s">
        <v>1144</v>
      </c>
      <c r="C232" s="9" t="s">
        <v>823</v>
      </c>
      <c r="D232" s="10">
        <v>0.05</v>
      </c>
      <c r="E232" s="15">
        <f>'단가대비표(총체)'!O197</f>
        <v>0</v>
      </c>
      <c r="F232" s="16">
        <f t="shared" si="43"/>
        <v>0</v>
      </c>
      <c r="G232" s="15">
        <f>'단가대비표(총체)'!P197</f>
        <v>0</v>
      </c>
      <c r="H232" s="16">
        <f t="shared" si="44"/>
        <v>0</v>
      </c>
      <c r="I232" s="15">
        <f>'단가대비표(총체)'!V197</f>
        <v>0</v>
      </c>
      <c r="J232" s="16">
        <f t="shared" si="45"/>
        <v>0</v>
      </c>
      <c r="K232" s="15">
        <f t="shared" si="46"/>
        <v>0</v>
      </c>
      <c r="L232" s="16">
        <f t="shared" si="46"/>
        <v>0</v>
      </c>
      <c r="M232" s="9" t="s">
        <v>52</v>
      </c>
      <c r="N232" s="2" t="s">
        <v>226</v>
      </c>
      <c r="O232" s="2" t="s">
        <v>1145</v>
      </c>
      <c r="P232" s="2" t="s">
        <v>61</v>
      </c>
      <c r="Q232" s="2" t="s">
        <v>61</v>
      </c>
      <c r="R232" s="2" t="s">
        <v>60</v>
      </c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2" t="s">
        <v>52</v>
      </c>
      <c r="AW232" s="2" t="s">
        <v>1158</v>
      </c>
      <c r="AX232" s="2" t="s">
        <v>52</v>
      </c>
      <c r="AY232" s="2" t="s">
        <v>52</v>
      </c>
    </row>
    <row r="233" spans="1:51" ht="30" customHeight="1" x14ac:dyDescent="0.3">
      <c r="A233" s="9" t="s">
        <v>1060</v>
      </c>
      <c r="B233" s="9" t="s">
        <v>1147</v>
      </c>
      <c r="C233" s="9" t="s">
        <v>823</v>
      </c>
      <c r="D233" s="10">
        <v>3.3000000000000002E-2</v>
      </c>
      <c r="E233" s="15">
        <f>'단가대비표(총체)'!O198</f>
        <v>0</v>
      </c>
      <c r="F233" s="16">
        <f t="shared" si="43"/>
        <v>0</v>
      </c>
      <c r="G233" s="15">
        <f>'단가대비표(총체)'!P198</f>
        <v>0</v>
      </c>
      <c r="H233" s="16">
        <f t="shared" si="44"/>
        <v>0</v>
      </c>
      <c r="I233" s="15">
        <f>'단가대비표(총체)'!V198</f>
        <v>0</v>
      </c>
      <c r="J233" s="16">
        <f t="shared" si="45"/>
        <v>0</v>
      </c>
      <c r="K233" s="15">
        <f t="shared" si="46"/>
        <v>0</v>
      </c>
      <c r="L233" s="16">
        <f t="shared" si="46"/>
        <v>0</v>
      </c>
      <c r="M233" s="9" t="s">
        <v>52</v>
      </c>
      <c r="N233" s="2" t="s">
        <v>226</v>
      </c>
      <c r="O233" s="2" t="s">
        <v>1148</v>
      </c>
      <c r="P233" s="2" t="s">
        <v>61</v>
      </c>
      <c r="Q233" s="2" t="s">
        <v>61</v>
      </c>
      <c r="R233" s="2" t="s">
        <v>60</v>
      </c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2" t="s">
        <v>52</v>
      </c>
      <c r="AW233" s="2" t="s">
        <v>1159</v>
      </c>
      <c r="AX233" s="2" t="s">
        <v>52</v>
      </c>
      <c r="AY233" s="2" t="s">
        <v>52</v>
      </c>
    </row>
    <row r="234" spans="1:51" ht="30" customHeight="1" x14ac:dyDescent="0.3">
      <c r="A234" s="9" t="s">
        <v>1060</v>
      </c>
      <c r="B234" s="9" t="s">
        <v>1150</v>
      </c>
      <c r="C234" s="9" t="s">
        <v>823</v>
      </c>
      <c r="D234" s="10">
        <v>8.8000000000000005E-3</v>
      </c>
      <c r="E234" s="15">
        <f>'단가대비표(총체)'!O199</f>
        <v>0</v>
      </c>
      <c r="F234" s="16">
        <f t="shared" si="43"/>
        <v>0</v>
      </c>
      <c r="G234" s="15">
        <f>'단가대비표(총체)'!P199</f>
        <v>0</v>
      </c>
      <c r="H234" s="16">
        <f t="shared" si="44"/>
        <v>0</v>
      </c>
      <c r="I234" s="15">
        <f>'단가대비표(총체)'!V199</f>
        <v>0</v>
      </c>
      <c r="J234" s="16">
        <f t="shared" si="45"/>
        <v>0</v>
      </c>
      <c r="K234" s="15">
        <f t="shared" si="46"/>
        <v>0</v>
      </c>
      <c r="L234" s="16">
        <f t="shared" si="46"/>
        <v>0</v>
      </c>
      <c r="M234" s="9" t="s">
        <v>52</v>
      </c>
      <c r="N234" s="2" t="s">
        <v>226</v>
      </c>
      <c r="O234" s="2" t="s">
        <v>1151</v>
      </c>
      <c r="P234" s="2" t="s">
        <v>61</v>
      </c>
      <c r="Q234" s="2" t="s">
        <v>61</v>
      </c>
      <c r="R234" s="2" t="s">
        <v>60</v>
      </c>
      <c r="S234" s="3"/>
      <c r="T234" s="3"/>
      <c r="U234" s="3"/>
      <c r="V234" s="3">
        <v>1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2" t="s">
        <v>52</v>
      </c>
      <c r="AW234" s="2" t="s">
        <v>1160</v>
      </c>
      <c r="AX234" s="2" t="s">
        <v>52</v>
      </c>
      <c r="AY234" s="2" t="s">
        <v>52</v>
      </c>
    </row>
    <row r="235" spans="1:51" ht="30" customHeight="1" x14ac:dyDescent="0.3">
      <c r="A235" s="9" t="s">
        <v>874</v>
      </c>
      <c r="B235" s="9" t="s">
        <v>875</v>
      </c>
      <c r="C235" s="9" t="s">
        <v>307</v>
      </c>
      <c r="D235" s="10">
        <v>1</v>
      </c>
      <c r="E235" s="15">
        <f>TRUNC(SUMIF(V230:V235, RIGHTB(O235, 1), H230:H235)*U235, 2)</f>
        <v>0</v>
      </c>
      <c r="F235" s="16">
        <f t="shared" si="43"/>
        <v>0</v>
      </c>
      <c r="G235" s="15">
        <v>0</v>
      </c>
      <c r="H235" s="16">
        <f t="shared" si="44"/>
        <v>0</v>
      </c>
      <c r="I235" s="15">
        <v>0</v>
      </c>
      <c r="J235" s="16">
        <f t="shared" si="45"/>
        <v>0</v>
      </c>
      <c r="K235" s="15">
        <f t="shared" si="46"/>
        <v>0</v>
      </c>
      <c r="L235" s="16">
        <f t="shared" si="46"/>
        <v>0</v>
      </c>
      <c r="M235" s="9" t="s">
        <v>52</v>
      </c>
      <c r="N235" s="2" t="s">
        <v>226</v>
      </c>
      <c r="O235" s="2" t="s">
        <v>809</v>
      </c>
      <c r="P235" s="2" t="s">
        <v>61</v>
      </c>
      <c r="Q235" s="2" t="s">
        <v>61</v>
      </c>
      <c r="R235" s="2" t="s">
        <v>61</v>
      </c>
      <c r="S235" s="3">
        <v>1</v>
      </c>
      <c r="T235" s="3">
        <v>0</v>
      </c>
      <c r="U235" s="3">
        <v>0.03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2" t="s">
        <v>52</v>
      </c>
      <c r="AW235" s="2" t="s">
        <v>1161</v>
      </c>
      <c r="AX235" s="2" t="s">
        <v>52</v>
      </c>
      <c r="AY235" s="2" t="s">
        <v>52</v>
      </c>
    </row>
    <row r="236" spans="1:51" ht="30" customHeight="1" x14ac:dyDescent="0.3">
      <c r="A236" s="9" t="s">
        <v>811</v>
      </c>
      <c r="B236" s="9" t="s">
        <v>52</v>
      </c>
      <c r="C236" s="9" t="s">
        <v>52</v>
      </c>
      <c r="D236" s="10"/>
      <c r="E236" s="15"/>
      <c r="F236" s="16">
        <f>TRUNC(SUMIF(N230:N235, N229, F230:F235),0)</f>
        <v>0</v>
      </c>
      <c r="G236" s="15"/>
      <c r="H236" s="16">
        <f>TRUNC(SUMIF(N230:N235, N229, H230:H235),0)</f>
        <v>0</v>
      </c>
      <c r="I236" s="15"/>
      <c r="J236" s="16">
        <f>TRUNC(SUMIF(N230:N235, N229, J230:J235),0)</f>
        <v>0</v>
      </c>
      <c r="K236" s="15"/>
      <c r="L236" s="16">
        <f>F236+H236+J236</f>
        <v>0</v>
      </c>
      <c r="M236" s="9" t="s">
        <v>52</v>
      </c>
      <c r="N236" s="2" t="s">
        <v>94</v>
      </c>
      <c r="O236" s="2" t="s">
        <v>94</v>
      </c>
      <c r="P236" s="2" t="s">
        <v>52</v>
      </c>
      <c r="Q236" s="2" t="s">
        <v>52</v>
      </c>
      <c r="R236" s="2" t="s">
        <v>52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2" t="s">
        <v>52</v>
      </c>
      <c r="AW236" s="2" t="s">
        <v>52</v>
      </c>
      <c r="AX236" s="2" t="s">
        <v>52</v>
      </c>
      <c r="AY236" s="2" t="s">
        <v>52</v>
      </c>
    </row>
    <row r="237" spans="1:51" ht="30" customHeight="1" x14ac:dyDescent="0.3">
      <c r="A237" s="10"/>
      <c r="B237" s="10"/>
      <c r="C237" s="10"/>
      <c r="D237" s="10"/>
      <c r="E237" s="15"/>
      <c r="F237" s="16"/>
      <c r="G237" s="15"/>
      <c r="H237" s="16"/>
      <c r="I237" s="15"/>
      <c r="J237" s="16"/>
      <c r="K237" s="15"/>
      <c r="L237" s="16"/>
      <c r="M237" s="10"/>
    </row>
    <row r="238" spans="1:51" ht="30" customHeight="1" x14ac:dyDescent="0.3">
      <c r="A238" s="44" t="s">
        <v>1162</v>
      </c>
      <c r="B238" s="44"/>
      <c r="C238" s="44"/>
      <c r="D238" s="44"/>
      <c r="E238" s="45"/>
      <c r="F238" s="46"/>
      <c r="G238" s="45"/>
      <c r="H238" s="46"/>
      <c r="I238" s="45"/>
      <c r="J238" s="46"/>
      <c r="K238" s="45"/>
      <c r="L238" s="46"/>
      <c r="M238" s="44"/>
      <c r="N238" s="1" t="s">
        <v>230</v>
      </c>
    </row>
    <row r="239" spans="1:51" ht="30" customHeight="1" x14ac:dyDescent="0.3">
      <c r="A239" s="9" t="s">
        <v>1164</v>
      </c>
      <c r="B239" s="9" t="s">
        <v>1165</v>
      </c>
      <c r="C239" s="9" t="s">
        <v>68</v>
      </c>
      <c r="D239" s="10">
        <v>1.1000000000000001</v>
      </c>
      <c r="E239" s="15">
        <f>'단가대비표(총체)'!O43</f>
        <v>0</v>
      </c>
      <c r="F239" s="16">
        <f>TRUNC(E239*D239,1)</f>
        <v>0</v>
      </c>
      <c r="G239" s="15">
        <f>'단가대비표(총체)'!P43</f>
        <v>0</v>
      </c>
      <c r="H239" s="16">
        <f>TRUNC(G239*D239,1)</f>
        <v>0</v>
      </c>
      <c r="I239" s="15">
        <f>'단가대비표(총체)'!V43</f>
        <v>0</v>
      </c>
      <c r="J239" s="16">
        <f>TRUNC(I239*D239,1)</f>
        <v>0</v>
      </c>
      <c r="K239" s="15">
        <f>TRUNC(E239+G239+I239,1)</f>
        <v>0</v>
      </c>
      <c r="L239" s="16">
        <f>TRUNC(F239+H239+J239,1)</f>
        <v>0</v>
      </c>
      <c r="M239" s="9" t="s">
        <v>52</v>
      </c>
      <c r="N239" s="2" t="s">
        <v>230</v>
      </c>
      <c r="O239" s="2" t="s">
        <v>1166</v>
      </c>
      <c r="P239" s="2" t="s">
        <v>61</v>
      </c>
      <c r="Q239" s="2" t="s">
        <v>61</v>
      </c>
      <c r="R239" s="2" t="s">
        <v>60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2" t="s">
        <v>52</v>
      </c>
      <c r="AW239" s="2" t="s">
        <v>1167</v>
      </c>
      <c r="AX239" s="2" t="s">
        <v>52</v>
      </c>
      <c r="AY239" s="2" t="s">
        <v>52</v>
      </c>
    </row>
    <row r="240" spans="1:51" ht="30" customHeight="1" x14ac:dyDescent="0.3">
      <c r="A240" s="9" t="s">
        <v>1168</v>
      </c>
      <c r="B240" s="9" t="s">
        <v>1169</v>
      </c>
      <c r="C240" s="9" t="s">
        <v>68</v>
      </c>
      <c r="D240" s="10">
        <v>1</v>
      </c>
      <c r="E240" s="15">
        <f>'일위대가목록(총체)'!E158</f>
        <v>0</v>
      </c>
      <c r="F240" s="16">
        <f>TRUNC(E240*D240,1)</f>
        <v>0</v>
      </c>
      <c r="G240" s="15">
        <f>'일위대가목록(총체)'!F158</f>
        <v>0</v>
      </c>
      <c r="H240" s="16">
        <f>TRUNC(G240*D240,1)</f>
        <v>0</v>
      </c>
      <c r="I240" s="15">
        <f>'일위대가목록(총체)'!G158</f>
        <v>0</v>
      </c>
      <c r="J240" s="16">
        <f>TRUNC(I240*D240,1)</f>
        <v>0</v>
      </c>
      <c r="K240" s="15">
        <f>TRUNC(E240+G240+I240,1)</f>
        <v>0</v>
      </c>
      <c r="L240" s="16">
        <f>TRUNC(F240+H240+J240,1)</f>
        <v>0</v>
      </c>
      <c r="M240" s="9" t="s">
        <v>52</v>
      </c>
      <c r="N240" s="2" t="s">
        <v>230</v>
      </c>
      <c r="O240" s="2" t="s">
        <v>1170</v>
      </c>
      <c r="P240" s="2" t="s">
        <v>60</v>
      </c>
      <c r="Q240" s="2" t="s">
        <v>61</v>
      </c>
      <c r="R240" s="2" t="s">
        <v>61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2" t="s">
        <v>52</v>
      </c>
      <c r="AW240" s="2" t="s">
        <v>1171</v>
      </c>
      <c r="AX240" s="2" t="s">
        <v>52</v>
      </c>
      <c r="AY240" s="2" t="s">
        <v>52</v>
      </c>
    </row>
    <row r="241" spans="1:51" ht="30" customHeight="1" x14ac:dyDescent="0.3">
      <c r="A241" s="9" t="s">
        <v>811</v>
      </c>
      <c r="B241" s="9" t="s">
        <v>52</v>
      </c>
      <c r="C241" s="9" t="s">
        <v>52</v>
      </c>
      <c r="D241" s="10"/>
      <c r="E241" s="15"/>
      <c r="F241" s="16">
        <f>TRUNC(SUMIF(N239:N240, N238, F239:F240),0)</f>
        <v>0</v>
      </c>
      <c r="G241" s="15"/>
      <c r="H241" s="16">
        <f>TRUNC(SUMIF(N239:N240, N238, H239:H240),0)</f>
        <v>0</v>
      </c>
      <c r="I241" s="15"/>
      <c r="J241" s="16">
        <f>TRUNC(SUMIF(N239:N240, N238, J239:J240),0)</f>
        <v>0</v>
      </c>
      <c r="K241" s="15"/>
      <c r="L241" s="16">
        <f>F241+H241+J241</f>
        <v>0</v>
      </c>
      <c r="M241" s="9" t="s">
        <v>52</v>
      </c>
      <c r="N241" s="2" t="s">
        <v>94</v>
      </c>
      <c r="O241" s="2" t="s">
        <v>94</v>
      </c>
      <c r="P241" s="2" t="s">
        <v>52</v>
      </c>
      <c r="Q241" s="2" t="s">
        <v>52</v>
      </c>
      <c r="R241" s="2" t="s">
        <v>52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2" t="s">
        <v>52</v>
      </c>
      <c r="AW241" s="2" t="s">
        <v>52</v>
      </c>
      <c r="AX241" s="2" t="s">
        <v>52</v>
      </c>
      <c r="AY241" s="2" t="s">
        <v>52</v>
      </c>
    </row>
    <row r="242" spans="1:51" ht="30" customHeight="1" x14ac:dyDescent="0.3">
      <c r="A242" s="10"/>
      <c r="B242" s="10"/>
      <c r="C242" s="10"/>
      <c r="D242" s="10"/>
      <c r="E242" s="15"/>
      <c r="F242" s="16"/>
      <c r="G242" s="15"/>
      <c r="H242" s="16"/>
      <c r="I242" s="15"/>
      <c r="J242" s="16"/>
      <c r="K242" s="15"/>
      <c r="L242" s="16"/>
      <c r="M242" s="10"/>
    </row>
    <row r="243" spans="1:51" ht="30" customHeight="1" x14ac:dyDescent="0.3">
      <c r="A243" s="44" t="s">
        <v>1172</v>
      </c>
      <c r="B243" s="44"/>
      <c r="C243" s="44"/>
      <c r="D243" s="44"/>
      <c r="E243" s="45"/>
      <c r="F243" s="46"/>
      <c r="G243" s="45"/>
      <c r="H243" s="46"/>
      <c r="I243" s="45"/>
      <c r="J243" s="46"/>
      <c r="K243" s="45"/>
      <c r="L243" s="46"/>
      <c r="M243" s="44"/>
      <c r="N243" s="1" t="s">
        <v>241</v>
      </c>
    </row>
    <row r="244" spans="1:51" ht="30" customHeight="1" x14ac:dyDescent="0.3">
      <c r="A244" s="9" t="s">
        <v>1174</v>
      </c>
      <c r="B244" s="9" t="s">
        <v>1175</v>
      </c>
      <c r="C244" s="9" t="s">
        <v>68</v>
      </c>
      <c r="D244" s="10">
        <v>1</v>
      </c>
      <c r="E244" s="15">
        <f>'일위대가목록(총체)'!E159</f>
        <v>0</v>
      </c>
      <c r="F244" s="16">
        <f>TRUNC(E244*D244,1)</f>
        <v>0</v>
      </c>
      <c r="G244" s="15">
        <f>'일위대가목록(총체)'!F159</f>
        <v>0</v>
      </c>
      <c r="H244" s="16">
        <f>TRUNC(G244*D244,1)</f>
        <v>0</v>
      </c>
      <c r="I244" s="15">
        <f>'일위대가목록(총체)'!G159</f>
        <v>0</v>
      </c>
      <c r="J244" s="16">
        <f>TRUNC(I244*D244,1)</f>
        <v>0</v>
      </c>
      <c r="K244" s="15">
        <f>TRUNC(E244+G244+I244,1)</f>
        <v>0</v>
      </c>
      <c r="L244" s="16">
        <f>TRUNC(F244+H244+J244,1)</f>
        <v>0</v>
      </c>
      <c r="M244" s="9" t="s">
        <v>52</v>
      </c>
      <c r="N244" s="2" t="s">
        <v>241</v>
      </c>
      <c r="O244" s="2" t="s">
        <v>1176</v>
      </c>
      <c r="P244" s="2" t="s">
        <v>60</v>
      </c>
      <c r="Q244" s="2" t="s">
        <v>61</v>
      </c>
      <c r="R244" s="2" t="s">
        <v>61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2" t="s">
        <v>52</v>
      </c>
      <c r="AW244" s="2" t="s">
        <v>1177</v>
      </c>
      <c r="AX244" s="2" t="s">
        <v>52</v>
      </c>
      <c r="AY244" s="2" t="s">
        <v>52</v>
      </c>
    </row>
    <row r="245" spans="1:51" ht="30" customHeight="1" x14ac:dyDescent="0.3">
      <c r="A245" s="9" t="s">
        <v>811</v>
      </c>
      <c r="B245" s="9" t="s">
        <v>52</v>
      </c>
      <c r="C245" s="9" t="s">
        <v>52</v>
      </c>
      <c r="D245" s="10"/>
      <c r="E245" s="15"/>
      <c r="F245" s="16">
        <f>TRUNC(SUMIF(N244:N244, N243, F244:F244),0)</f>
        <v>0</v>
      </c>
      <c r="G245" s="15"/>
      <c r="H245" s="16">
        <f>TRUNC(SUMIF(N244:N244, N243, H244:H244),0)</f>
        <v>0</v>
      </c>
      <c r="I245" s="15"/>
      <c r="J245" s="16">
        <f>TRUNC(SUMIF(N244:N244, N243, J244:J244),0)</f>
        <v>0</v>
      </c>
      <c r="K245" s="15"/>
      <c r="L245" s="16">
        <f>F245+H245+J245</f>
        <v>0</v>
      </c>
      <c r="M245" s="9" t="s">
        <v>52</v>
      </c>
      <c r="N245" s="2" t="s">
        <v>94</v>
      </c>
      <c r="O245" s="2" t="s">
        <v>94</v>
      </c>
      <c r="P245" s="2" t="s">
        <v>52</v>
      </c>
      <c r="Q245" s="2" t="s">
        <v>52</v>
      </c>
      <c r="R245" s="2" t="s">
        <v>52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2" t="s">
        <v>52</v>
      </c>
      <c r="AW245" s="2" t="s">
        <v>52</v>
      </c>
      <c r="AX245" s="2" t="s">
        <v>52</v>
      </c>
      <c r="AY245" s="2" t="s">
        <v>52</v>
      </c>
    </row>
    <row r="246" spans="1:51" ht="30" customHeight="1" x14ac:dyDescent="0.3">
      <c r="A246" s="10"/>
      <c r="B246" s="10"/>
      <c r="C246" s="10"/>
      <c r="D246" s="10"/>
      <c r="E246" s="15"/>
      <c r="F246" s="16"/>
      <c r="G246" s="15"/>
      <c r="H246" s="16"/>
      <c r="I246" s="15"/>
      <c r="J246" s="16"/>
      <c r="K246" s="15"/>
      <c r="L246" s="16"/>
      <c r="M246" s="10"/>
    </row>
    <row r="247" spans="1:51" ht="30" customHeight="1" x14ac:dyDescent="0.3">
      <c r="A247" s="44" t="s">
        <v>1178</v>
      </c>
      <c r="B247" s="44"/>
      <c r="C247" s="44"/>
      <c r="D247" s="44"/>
      <c r="E247" s="45"/>
      <c r="F247" s="46"/>
      <c r="G247" s="45"/>
      <c r="H247" s="46"/>
      <c r="I247" s="45"/>
      <c r="J247" s="46"/>
      <c r="K247" s="45"/>
      <c r="L247" s="46"/>
      <c r="M247" s="44"/>
      <c r="N247" s="1" t="s">
        <v>248</v>
      </c>
    </row>
    <row r="248" spans="1:51" ht="30" customHeight="1" x14ac:dyDescent="0.3">
      <c r="A248" s="9" t="s">
        <v>1180</v>
      </c>
      <c r="B248" s="9" t="s">
        <v>1181</v>
      </c>
      <c r="C248" s="9" t="s">
        <v>68</v>
      </c>
      <c r="D248" s="10">
        <v>1</v>
      </c>
      <c r="E248" s="15">
        <f>'일위대가목록(총체)'!E160</f>
        <v>0</v>
      </c>
      <c r="F248" s="16">
        <f>TRUNC(E248*D248,1)</f>
        <v>0</v>
      </c>
      <c r="G248" s="15">
        <f>'일위대가목록(총체)'!F160</f>
        <v>0</v>
      </c>
      <c r="H248" s="16">
        <f>TRUNC(G248*D248,1)</f>
        <v>0</v>
      </c>
      <c r="I248" s="15">
        <f>'일위대가목록(총체)'!G160</f>
        <v>0</v>
      </c>
      <c r="J248" s="16">
        <f>TRUNC(I248*D248,1)</f>
        <v>0</v>
      </c>
      <c r="K248" s="15">
        <f>TRUNC(E248+G248+I248,1)</f>
        <v>0</v>
      </c>
      <c r="L248" s="16">
        <f>TRUNC(F248+H248+J248,1)</f>
        <v>0</v>
      </c>
      <c r="M248" s="9" t="s">
        <v>52</v>
      </c>
      <c r="N248" s="2" t="s">
        <v>248</v>
      </c>
      <c r="O248" s="2" t="s">
        <v>1182</v>
      </c>
      <c r="P248" s="2" t="s">
        <v>60</v>
      </c>
      <c r="Q248" s="2" t="s">
        <v>61</v>
      </c>
      <c r="R248" s="2" t="s">
        <v>61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2" t="s">
        <v>52</v>
      </c>
      <c r="AW248" s="2" t="s">
        <v>1183</v>
      </c>
      <c r="AX248" s="2" t="s">
        <v>52</v>
      </c>
      <c r="AY248" s="2" t="s">
        <v>52</v>
      </c>
    </row>
    <row r="249" spans="1:51" ht="30" customHeight="1" x14ac:dyDescent="0.3">
      <c r="A249" s="9" t="s">
        <v>811</v>
      </c>
      <c r="B249" s="9" t="s">
        <v>52</v>
      </c>
      <c r="C249" s="9" t="s">
        <v>52</v>
      </c>
      <c r="D249" s="10"/>
      <c r="E249" s="15"/>
      <c r="F249" s="16">
        <f>TRUNC(SUMIF(N248:N248, N247, F248:F248),0)</f>
        <v>0</v>
      </c>
      <c r="G249" s="15"/>
      <c r="H249" s="16">
        <f>TRUNC(SUMIF(N248:N248, N247, H248:H248),0)</f>
        <v>0</v>
      </c>
      <c r="I249" s="15"/>
      <c r="J249" s="16">
        <f>TRUNC(SUMIF(N248:N248, N247, J248:J248),0)</f>
        <v>0</v>
      </c>
      <c r="K249" s="15"/>
      <c r="L249" s="16">
        <f>F249+H249+J249</f>
        <v>0</v>
      </c>
      <c r="M249" s="9" t="s">
        <v>52</v>
      </c>
      <c r="N249" s="2" t="s">
        <v>94</v>
      </c>
      <c r="O249" s="2" t="s">
        <v>94</v>
      </c>
      <c r="P249" s="2" t="s">
        <v>52</v>
      </c>
      <c r="Q249" s="2" t="s">
        <v>52</v>
      </c>
      <c r="R249" s="2" t="s">
        <v>52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2" t="s">
        <v>52</v>
      </c>
      <c r="AW249" s="2" t="s">
        <v>52</v>
      </c>
      <c r="AX249" s="2" t="s">
        <v>52</v>
      </c>
      <c r="AY249" s="2" t="s">
        <v>52</v>
      </c>
    </row>
    <row r="250" spans="1:51" ht="30" customHeight="1" x14ac:dyDescent="0.3">
      <c r="A250" s="10"/>
      <c r="B250" s="10"/>
      <c r="C250" s="10"/>
      <c r="D250" s="10"/>
      <c r="E250" s="15"/>
      <c r="F250" s="16"/>
      <c r="G250" s="15"/>
      <c r="H250" s="16"/>
      <c r="I250" s="15"/>
      <c r="J250" s="16"/>
      <c r="K250" s="15"/>
      <c r="L250" s="16"/>
      <c r="M250" s="10"/>
    </row>
    <row r="251" spans="1:51" ht="30" customHeight="1" x14ac:dyDescent="0.3">
      <c r="A251" s="44" t="s">
        <v>1184</v>
      </c>
      <c r="B251" s="44"/>
      <c r="C251" s="44"/>
      <c r="D251" s="44"/>
      <c r="E251" s="45"/>
      <c r="F251" s="46"/>
      <c r="G251" s="45"/>
      <c r="H251" s="46"/>
      <c r="I251" s="45"/>
      <c r="J251" s="46"/>
      <c r="K251" s="45"/>
      <c r="L251" s="46"/>
      <c r="M251" s="44"/>
      <c r="N251" s="1" t="s">
        <v>256</v>
      </c>
    </row>
    <row r="252" spans="1:51" ht="30" customHeight="1" x14ac:dyDescent="0.3">
      <c r="A252" s="9" t="s">
        <v>1060</v>
      </c>
      <c r="B252" s="9" t="s">
        <v>822</v>
      </c>
      <c r="C252" s="9" t="s">
        <v>823</v>
      </c>
      <c r="D252" s="10">
        <v>0.05</v>
      </c>
      <c r="E252" s="15">
        <f>'단가대비표(총체)'!O195</f>
        <v>0</v>
      </c>
      <c r="F252" s="16">
        <f>TRUNC(E252*D252,1)</f>
        <v>0</v>
      </c>
      <c r="G252" s="15">
        <f>'단가대비표(총체)'!P195</f>
        <v>0</v>
      </c>
      <c r="H252" s="16">
        <f>TRUNC(G252*D252,1)</f>
        <v>0</v>
      </c>
      <c r="I252" s="15">
        <f>'단가대비표(총체)'!V195</f>
        <v>0</v>
      </c>
      <c r="J252" s="16">
        <f>TRUNC(I252*D252,1)</f>
        <v>0</v>
      </c>
      <c r="K252" s="15">
        <f t="shared" ref="K252:L254" si="47">TRUNC(E252+G252+I252,1)</f>
        <v>0</v>
      </c>
      <c r="L252" s="16">
        <f t="shared" si="47"/>
        <v>0</v>
      </c>
      <c r="M252" s="9" t="s">
        <v>52</v>
      </c>
      <c r="N252" s="2" t="s">
        <v>256</v>
      </c>
      <c r="O252" s="2" t="s">
        <v>1061</v>
      </c>
      <c r="P252" s="2" t="s">
        <v>61</v>
      </c>
      <c r="Q252" s="2" t="s">
        <v>61</v>
      </c>
      <c r="R252" s="2" t="s">
        <v>60</v>
      </c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2" t="s">
        <v>52</v>
      </c>
      <c r="AW252" s="2" t="s">
        <v>1186</v>
      </c>
      <c r="AX252" s="2" t="s">
        <v>52</v>
      </c>
      <c r="AY252" s="2" t="s">
        <v>52</v>
      </c>
    </row>
    <row r="253" spans="1:51" ht="30" customHeight="1" x14ac:dyDescent="0.3">
      <c r="A253" s="9" t="s">
        <v>821</v>
      </c>
      <c r="B253" s="9" t="s">
        <v>822</v>
      </c>
      <c r="C253" s="9" t="s">
        <v>823</v>
      </c>
      <c r="D253" s="10">
        <v>0.01</v>
      </c>
      <c r="E253" s="15">
        <f>'단가대비표(총체)'!O180</f>
        <v>0</v>
      </c>
      <c r="F253" s="16">
        <f>TRUNC(E253*D253,1)</f>
        <v>0</v>
      </c>
      <c r="G253" s="15">
        <f>'단가대비표(총체)'!P180</f>
        <v>0</v>
      </c>
      <c r="H253" s="16">
        <f>TRUNC(G253*D253,1)</f>
        <v>0</v>
      </c>
      <c r="I253" s="15">
        <f>'단가대비표(총체)'!V180</f>
        <v>0</v>
      </c>
      <c r="J253" s="16">
        <f>TRUNC(I253*D253,1)</f>
        <v>0</v>
      </c>
      <c r="K253" s="15">
        <f t="shared" si="47"/>
        <v>0</v>
      </c>
      <c r="L253" s="16">
        <f t="shared" si="47"/>
        <v>0</v>
      </c>
      <c r="M253" s="9" t="s">
        <v>52</v>
      </c>
      <c r="N253" s="2" t="s">
        <v>256</v>
      </c>
      <c r="O253" s="2" t="s">
        <v>824</v>
      </c>
      <c r="P253" s="2" t="s">
        <v>61</v>
      </c>
      <c r="Q253" s="2" t="s">
        <v>61</v>
      </c>
      <c r="R253" s="2" t="s">
        <v>60</v>
      </c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2" t="s">
        <v>52</v>
      </c>
      <c r="AW253" s="2" t="s">
        <v>1187</v>
      </c>
      <c r="AX253" s="2" t="s">
        <v>52</v>
      </c>
      <c r="AY253" s="2" t="s">
        <v>52</v>
      </c>
    </row>
    <row r="254" spans="1:51" ht="30" customHeight="1" x14ac:dyDescent="0.3">
      <c r="A254" s="9" t="s">
        <v>874</v>
      </c>
      <c r="B254" s="9" t="s">
        <v>875</v>
      </c>
      <c r="C254" s="9" t="s">
        <v>307</v>
      </c>
      <c r="D254" s="10">
        <v>1</v>
      </c>
      <c r="E254" s="15">
        <v>0</v>
      </c>
      <c r="F254" s="16">
        <f>TRUNC(E254*D254,1)</f>
        <v>0</v>
      </c>
      <c r="G254" s="15">
        <v>0</v>
      </c>
      <c r="H254" s="16">
        <f>TRUNC(G254*D254,1)</f>
        <v>0</v>
      </c>
      <c r="I254" s="15">
        <f>TRUNC(SUMIF(V252:V254, RIGHTB(O254, 1), H252:H254)*U254, 2)</f>
        <v>0</v>
      </c>
      <c r="J254" s="16">
        <f>TRUNC(I254*D254,1)</f>
        <v>0</v>
      </c>
      <c r="K254" s="15">
        <f t="shared" si="47"/>
        <v>0</v>
      </c>
      <c r="L254" s="16">
        <f t="shared" si="47"/>
        <v>0</v>
      </c>
      <c r="M254" s="9" t="s">
        <v>52</v>
      </c>
      <c r="N254" s="2" t="s">
        <v>256</v>
      </c>
      <c r="O254" s="2" t="s">
        <v>809</v>
      </c>
      <c r="P254" s="2" t="s">
        <v>61</v>
      </c>
      <c r="Q254" s="2" t="s">
        <v>61</v>
      </c>
      <c r="R254" s="2" t="s">
        <v>61</v>
      </c>
      <c r="S254" s="3">
        <v>1</v>
      </c>
      <c r="T254" s="3">
        <v>2</v>
      </c>
      <c r="U254" s="3">
        <v>0.03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2" t="s">
        <v>52</v>
      </c>
      <c r="AW254" s="2" t="s">
        <v>1188</v>
      </c>
      <c r="AX254" s="2" t="s">
        <v>52</v>
      </c>
      <c r="AY254" s="2" t="s">
        <v>52</v>
      </c>
    </row>
    <row r="255" spans="1:51" ht="30" customHeight="1" x14ac:dyDescent="0.3">
      <c r="A255" s="9" t="s">
        <v>811</v>
      </c>
      <c r="B255" s="9" t="s">
        <v>52</v>
      </c>
      <c r="C255" s="9" t="s">
        <v>52</v>
      </c>
      <c r="D255" s="10"/>
      <c r="E255" s="15"/>
      <c r="F255" s="16">
        <f>TRUNC(SUMIF(N252:N254, N251, F252:F254),0)</f>
        <v>0</v>
      </c>
      <c r="G255" s="15"/>
      <c r="H255" s="16">
        <f>TRUNC(SUMIF(N252:N254, N251, H252:H254),0)</f>
        <v>0</v>
      </c>
      <c r="I255" s="15"/>
      <c r="J255" s="16">
        <f>TRUNC(SUMIF(N252:N254, N251, J252:J254),0)</f>
        <v>0</v>
      </c>
      <c r="K255" s="15"/>
      <c r="L255" s="16">
        <f>F255+H255+J255</f>
        <v>0</v>
      </c>
      <c r="M255" s="9" t="s">
        <v>52</v>
      </c>
      <c r="N255" s="2" t="s">
        <v>94</v>
      </c>
      <c r="O255" s="2" t="s">
        <v>94</v>
      </c>
      <c r="P255" s="2" t="s">
        <v>52</v>
      </c>
      <c r="Q255" s="2" t="s">
        <v>52</v>
      </c>
      <c r="R255" s="2" t="s">
        <v>52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2" t="s">
        <v>52</v>
      </c>
      <c r="AW255" s="2" t="s">
        <v>52</v>
      </c>
      <c r="AX255" s="2" t="s">
        <v>52</v>
      </c>
      <c r="AY255" s="2" t="s">
        <v>52</v>
      </c>
    </row>
    <row r="256" spans="1:51" ht="30" customHeight="1" x14ac:dyDescent="0.3">
      <c r="A256" s="10"/>
      <c r="B256" s="10"/>
      <c r="C256" s="10"/>
      <c r="D256" s="10"/>
      <c r="E256" s="15"/>
      <c r="F256" s="16"/>
      <c r="G256" s="15"/>
      <c r="H256" s="16"/>
      <c r="I256" s="15"/>
      <c r="J256" s="16"/>
      <c r="K256" s="15"/>
      <c r="L256" s="16"/>
      <c r="M256" s="10"/>
    </row>
    <row r="257" spans="1:51" ht="30" customHeight="1" x14ac:dyDescent="0.3">
      <c r="A257" s="44" t="s">
        <v>1189</v>
      </c>
      <c r="B257" s="44"/>
      <c r="C257" s="44"/>
      <c r="D257" s="44"/>
      <c r="E257" s="45"/>
      <c r="F257" s="46"/>
      <c r="G257" s="45"/>
      <c r="H257" s="46"/>
      <c r="I257" s="45"/>
      <c r="J257" s="46"/>
      <c r="K257" s="45"/>
      <c r="L257" s="46"/>
      <c r="M257" s="44"/>
      <c r="N257" s="1" t="s">
        <v>259</v>
      </c>
    </row>
    <row r="258" spans="1:51" ht="30" customHeight="1" x14ac:dyDescent="0.3">
      <c r="A258" s="9" t="s">
        <v>1060</v>
      </c>
      <c r="B258" s="9" t="s">
        <v>822</v>
      </c>
      <c r="C258" s="9" t="s">
        <v>823</v>
      </c>
      <c r="D258" s="10">
        <v>0.05</v>
      </c>
      <c r="E258" s="15">
        <f>'단가대비표(총체)'!O195</f>
        <v>0</v>
      </c>
      <c r="F258" s="16">
        <f>TRUNC(E258*D258,1)</f>
        <v>0</v>
      </c>
      <c r="G258" s="15">
        <f>'단가대비표(총체)'!P195</f>
        <v>0</v>
      </c>
      <c r="H258" s="16">
        <f>TRUNC(G258*D258,1)</f>
        <v>0</v>
      </c>
      <c r="I258" s="15">
        <f>'단가대비표(총체)'!V195</f>
        <v>0</v>
      </c>
      <c r="J258" s="16">
        <f>TRUNC(I258*D258,1)</f>
        <v>0</v>
      </c>
      <c r="K258" s="15">
        <f t="shared" ref="K258:L260" si="48">TRUNC(E258+G258+I258,1)</f>
        <v>0</v>
      </c>
      <c r="L258" s="16">
        <f t="shared" si="48"/>
        <v>0</v>
      </c>
      <c r="M258" s="9" t="s">
        <v>52</v>
      </c>
      <c r="N258" s="2" t="s">
        <v>259</v>
      </c>
      <c r="O258" s="2" t="s">
        <v>1061</v>
      </c>
      <c r="P258" s="2" t="s">
        <v>61</v>
      </c>
      <c r="Q258" s="2" t="s">
        <v>61</v>
      </c>
      <c r="R258" s="2" t="s">
        <v>60</v>
      </c>
      <c r="S258" s="3"/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2" t="s">
        <v>52</v>
      </c>
      <c r="AW258" s="2" t="s">
        <v>1191</v>
      </c>
      <c r="AX258" s="2" t="s">
        <v>52</v>
      </c>
      <c r="AY258" s="2" t="s">
        <v>52</v>
      </c>
    </row>
    <row r="259" spans="1:51" ht="30" customHeight="1" x14ac:dyDescent="0.3">
      <c r="A259" s="9" t="s">
        <v>821</v>
      </c>
      <c r="B259" s="9" t="s">
        <v>822</v>
      </c>
      <c r="C259" s="9" t="s">
        <v>823</v>
      </c>
      <c r="D259" s="10">
        <v>0.01</v>
      </c>
      <c r="E259" s="15">
        <f>'단가대비표(총체)'!O180</f>
        <v>0</v>
      </c>
      <c r="F259" s="16">
        <f>TRUNC(E259*D259,1)</f>
        <v>0</v>
      </c>
      <c r="G259" s="15">
        <f>'단가대비표(총체)'!P180</f>
        <v>0</v>
      </c>
      <c r="H259" s="16">
        <f>TRUNC(G259*D259,1)</f>
        <v>0</v>
      </c>
      <c r="I259" s="15">
        <f>'단가대비표(총체)'!V180</f>
        <v>0</v>
      </c>
      <c r="J259" s="16">
        <f>TRUNC(I259*D259,1)</f>
        <v>0</v>
      </c>
      <c r="K259" s="15">
        <f t="shared" si="48"/>
        <v>0</v>
      </c>
      <c r="L259" s="16">
        <f t="shared" si="48"/>
        <v>0</v>
      </c>
      <c r="M259" s="9" t="s">
        <v>52</v>
      </c>
      <c r="N259" s="2" t="s">
        <v>259</v>
      </c>
      <c r="O259" s="2" t="s">
        <v>824</v>
      </c>
      <c r="P259" s="2" t="s">
        <v>61</v>
      </c>
      <c r="Q259" s="2" t="s">
        <v>61</v>
      </c>
      <c r="R259" s="2" t="s">
        <v>60</v>
      </c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2" t="s">
        <v>52</v>
      </c>
      <c r="AW259" s="2" t="s">
        <v>1192</v>
      </c>
      <c r="AX259" s="2" t="s">
        <v>52</v>
      </c>
      <c r="AY259" s="2" t="s">
        <v>52</v>
      </c>
    </row>
    <row r="260" spans="1:51" ht="30" customHeight="1" x14ac:dyDescent="0.3">
      <c r="A260" s="9" t="s">
        <v>874</v>
      </c>
      <c r="B260" s="9" t="s">
        <v>875</v>
      </c>
      <c r="C260" s="9" t="s">
        <v>307</v>
      </c>
      <c r="D260" s="10">
        <v>1</v>
      </c>
      <c r="E260" s="15">
        <v>0</v>
      </c>
      <c r="F260" s="16">
        <f>TRUNC(E260*D260,1)</f>
        <v>0</v>
      </c>
      <c r="G260" s="15">
        <v>0</v>
      </c>
      <c r="H260" s="16">
        <f>TRUNC(G260*D260,1)</f>
        <v>0</v>
      </c>
      <c r="I260" s="15">
        <f>TRUNC(SUMIF(V258:V260, RIGHTB(O260, 1), H258:H260)*U260, 2)</f>
        <v>0</v>
      </c>
      <c r="J260" s="16">
        <f>TRUNC(I260*D260,1)</f>
        <v>0</v>
      </c>
      <c r="K260" s="15">
        <f t="shared" si="48"/>
        <v>0</v>
      </c>
      <c r="L260" s="16">
        <f t="shared" si="48"/>
        <v>0</v>
      </c>
      <c r="M260" s="9" t="s">
        <v>52</v>
      </c>
      <c r="N260" s="2" t="s">
        <v>259</v>
      </c>
      <c r="O260" s="2" t="s">
        <v>809</v>
      </c>
      <c r="P260" s="2" t="s">
        <v>61</v>
      </c>
      <c r="Q260" s="2" t="s">
        <v>61</v>
      </c>
      <c r="R260" s="2" t="s">
        <v>61</v>
      </c>
      <c r="S260" s="3">
        <v>1</v>
      </c>
      <c r="T260" s="3">
        <v>2</v>
      </c>
      <c r="U260" s="3">
        <v>0.03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2" t="s">
        <v>52</v>
      </c>
      <c r="AW260" s="2" t="s">
        <v>1193</v>
      </c>
      <c r="AX260" s="2" t="s">
        <v>52</v>
      </c>
      <c r="AY260" s="2" t="s">
        <v>52</v>
      </c>
    </row>
    <row r="261" spans="1:51" ht="30" customHeight="1" x14ac:dyDescent="0.3">
      <c r="A261" s="9" t="s">
        <v>811</v>
      </c>
      <c r="B261" s="9" t="s">
        <v>52</v>
      </c>
      <c r="C261" s="9" t="s">
        <v>52</v>
      </c>
      <c r="D261" s="10"/>
      <c r="E261" s="15"/>
      <c r="F261" s="16">
        <f>TRUNC(SUMIF(N258:N260, N257, F258:F260),0)</f>
        <v>0</v>
      </c>
      <c r="G261" s="15"/>
      <c r="H261" s="16">
        <f>TRUNC(SUMIF(N258:N260, N257, H258:H260),0)</f>
        <v>0</v>
      </c>
      <c r="I261" s="15"/>
      <c r="J261" s="16">
        <f>TRUNC(SUMIF(N258:N260, N257, J258:J260),0)</f>
        <v>0</v>
      </c>
      <c r="K261" s="15"/>
      <c r="L261" s="16">
        <f>F261+H261+J261</f>
        <v>0</v>
      </c>
      <c r="M261" s="9" t="s">
        <v>52</v>
      </c>
      <c r="N261" s="2" t="s">
        <v>94</v>
      </c>
      <c r="O261" s="2" t="s">
        <v>94</v>
      </c>
      <c r="P261" s="2" t="s">
        <v>52</v>
      </c>
      <c r="Q261" s="2" t="s">
        <v>52</v>
      </c>
      <c r="R261" s="2" t="s">
        <v>52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2" t="s">
        <v>52</v>
      </c>
      <c r="AW261" s="2" t="s">
        <v>52</v>
      </c>
      <c r="AX261" s="2" t="s">
        <v>52</v>
      </c>
      <c r="AY261" s="2" t="s">
        <v>52</v>
      </c>
    </row>
    <row r="262" spans="1:51" ht="30" customHeight="1" x14ac:dyDescent="0.3">
      <c r="A262" s="10"/>
      <c r="B262" s="10"/>
      <c r="C262" s="10"/>
      <c r="D262" s="10"/>
      <c r="E262" s="15"/>
      <c r="F262" s="16"/>
      <c r="G262" s="15"/>
      <c r="H262" s="16"/>
      <c r="I262" s="15"/>
      <c r="J262" s="16"/>
      <c r="K262" s="15"/>
      <c r="L262" s="16"/>
      <c r="M262" s="10"/>
    </row>
    <row r="263" spans="1:51" ht="30" customHeight="1" x14ac:dyDescent="0.3">
      <c r="A263" s="44" t="s">
        <v>1194</v>
      </c>
      <c r="B263" s="44"/>
      <c r="C263" s="44"/>
      <c r="D263" s="44"/>
      <c r="E263" s="45"/>
      <c r="F263" s="46"/>
      <c r="G263" s="45"/>
      <c r="H263" s="46"/>
      <c r="I263" s="45"/>
      <c r="J263" s="46"/>
      <c r="K263" s="45"/>
      <c r="L263" s="46"/>
      <c r="M263" s="44"/>
      <c r="N263" s="1" t="s">
        <v>274</v>
      </c>
    </row>
    <row r="264" spans="1:51" ht="30" customHeight="1" x14ac:dyDescent="0.3">
      <c r="A264" s="9" t="s">
        <v>1196</v>
      </c>
      <c r="B264" s="9" t="s">
        <v>1197</v>
      </c>
      <c r="C264" s="9" t="s">
        <v>82</v>
      </c>
      <c r="D264" s="10">
        <v>1</v>
      </c>
      <c r="E264" s="15">
        <f>'단가대비표(총체)'!O51</f>
        <v>0</v>
      </c>
      <c r="F264" s="16">
        <f>TRUNC(E264*D264,1)</f>
        <v>0</v>
      </c>
      <c r="G264" s="15">
        <f>'단가대비표(총체)'!P51</f>
        <v>0</v>
      </c>
      <c r="H264" s="16">
        <f>TRUNC(G264*D264,1)</f>
        <v>0</v>
      </c>
      <c r="I264" s="15">
        <f>'단가대비표(총체)'!V51</f>
        <v>0</v>
      </c>
      <c r="J264" s="16">
        <f>TRUNC(I264*D264,1)</f>
        <v>0</v>
      </c>
      <c r="K264" s="15">
        <f t="shared" ref="K264:L267" si="49">TRUNC(E264+G264+I264,1)</f>
        <v>0</v>
      </c>
      <c r="L264" s="16">
        <f t="shared" si="49"/>
        <v>0</v>
      </c>
      <c r="M264" s="9" t="s">
        <v>52</v>
      </c>
      <c r="N264" s="2" t="s">
        <v>274</v>
      </c>
      <c r="O264" s="2" t="s">
        <v>1198</v>
      </c>
      <c r="P264" s="2" t="s">
        <v>61</v>
      </c>
      <c r="Q264" s="2" t="s">
        <v>61</v>
      </c>
      <c r="R264" s="2" t="s">
        <v>60</v>
      </c>
      <c r="S264" s="3"/>
      <c r="T264" s="3"/>
      <c r="U264" s="3"/>
      <c r="V264" s="3">
        <v>1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2" t="s">
        <v>52</v>
      </c>
      <c r="AW264" s="2" t="s">
        <v>1199</v>
      </c>
      <c r="AX264" s="2" t="s">
        <v>52</v>
      </c>
      <c r="AY264" s="2" t="s">
        <v>52</v>
      </c>
    </row>
    <row r="265" spans="1:51" ht="30" customHeight="1" x14ac:dyDescent="0.3">
      <c r="A265" s="9" t="s">
        <v>1060</v>
      </c>
      <c r="B265" s="9" t="s">
        <v>822</v>
      </c>
      <c r="C265" s="9" t="s">
        <v>823</v>
      </c>
      <c r="D265" s="10">
        <v>1.4E-2</v>
      </c>
      <c r="E265" s="15">
        <f>'단가대비표(총체)'!O195</f>
        <v>0</v>
      </c>
      <c r="F265" s="16">
        <f>TRUNC(E265*D265,1)</f>
        <v>0</v>
      </c>
      <c r="G265" s="15">
        <f>'단가대비표(총체)'!P195</f>
        <v>0</v>
      </c>
      <c r="H265" s="16">
        <f>TRUNC(G265*D265,1)</f>
        <v>0</v>
      </c>
      <c r="I265" s="15">
        <f>'단가대비표(총체)'!V195</f>
        <v>0</v>
      </c>
      <c r="J265" s="16">
        <f>TRUNC(I265*D265,1)</f>
        <v>0</v>
      </c>
      <c r="K265" s="15">
        <f t="shared" si="49"/>
        <v>0</v>
      </c>
      <c r="L265" s="16">
        <f t="shared" si="49"/>
        <v>0</v>
      </c>
      <c r="M265" s="9" t="s">
        <v>52</v>
      </c>
      <c r="N265" s="2" t="s">
        <v>274</v>
      </c>
      <c r="O265" s="2" t="s">
        <v>1061</v>
      </c>
      <c r="P265" s="2" t="s">
        <v>61</v>
      </c>
      <c r="Q265" s="2" t="s">
        <v>61</v>
      </c>
      <c r="R265" s="2" t="s">
        <v>60</v>
      </c>
      <c r="S265" s="3"/>
      <c r="T265" s="3"/>
      <c r="U265" s="3"/>
      <c r="V265" s="3">
        <v>1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2" t="s">
        <v>52</v>
      </c>
      <c r="AW265" s="2" t="s">
        <v>1200</v>
      </c>
      <c r="AX265" s="2" t="s">
        <v>52</v>
      </c>
      <c r="AY265" s="2" t="s">
        <v>52</v>
      </c>
    </row>
    <row r="266" spans="1:51" ht="30" customHeight="1" x14ac:dyDescent="0.3">
      <c r="A266" s="9" t="s">
        <v>821</v>
      </c>
      <c r="B266" s="9" t="s">
        <v>822</v>
      </c>
      <c r="C266" s="9" t="s">
        <v>823</v>
      </c>
      <c r="D266" s="10">
        <v>3.0000000000000001E-3</v>
      </c>
      <c r="E266" s="15">
        <f>'단가대비표(총체)'!O180</f>
        <v>0</v>
      </c>
      <c r="F266" s="16">
        <f>TRUNC(E266*D266,1)</f>
        <v>0</v>
      </c>
      <c r="G266" s="15">
        <f>'단가대비표(총체)'!P180</f>
        <v>0</v>
      </c>
      <c r="H266" s="16">
        <f>TRUNC(G266*D266,1)</f>
        <v>0</v>
      </c>
      <c r="I266" s="15">
        <f>'단가대비표(총체)'!V180</f>
        <v>0</v>
      </c>
      <c r="J266" s="16">
        <f>TRUNC(I266*D266,1)</f>
        <v>0</v>
      </c>
      <c r="K266" s="15">
        <f t="shared" si="49"/>
        <v>0</v>
      </c>
      <c r="L266" s="16">
        <f t="shared" si="49"/>
        <v>0</v>
      </c>
      <c r="M266" s="9" t="s">
        <v>52</v>
      </c>
      <c r="N266" s="2" t="s">
        <v>274</v>
      </c>
      <c r="O266" s="2" t="s">
        <v>824</v>
      </c>
      <c r="P266" s="2" t="s">
        <v>61</v>
      </c>
      <c r="Q266" s="2" t="s">
        <v>61</v>
      </c>
      <c r="R266" s="2" t="s">
        <v>60</v>
      </c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2" t="s">
        <v>52</v>
      </c>
      <c r="AW266" s="2" t="s">
        <v>1201</v>
      </c>
      <c r="AX266" s="2" t="s">
        <v>52</v>
      </c>
      <c r="AY266" s="2" t="s">
        <v>52</v>
      </c>
    </row>
    <row r="267" spans="1:51" ht="30" customHeight="1" x14ac:dyDescent="0.3">
      <c r="A267" s="9" t="s">
        <v>874</v>
      </c>
      <c r="B267" s="9" t="s">
        <v>891</v>
      </c>
      <c r="C267" s="9" t="s">
        <v>307</v>
      </c>
      <c r="D267" s="10">
        <v>1</v>
      </c>
      <c r="E267" s="15">
        <v>0</v>
      </c>
      <c r="F267" s="16">
        <f>TRUNC(E267*D267,1)</f>
        <v>0</v>
      </c>
      <c r="G267" s="15">
        <v>0</v>
      </c>
      <c r="H267" s="16">
        <f>TRUNC(G267*D267,1)</f>
        <v>0</v>
      </c>
      <c r="I267" s="15">
        <f>TRUNC(SUMIF(V264:V267, RIGHTB(O267, 1), H264:H267)*U267, 2)</f>
        <v>0</v>
      </c>
      <c r="J267" s="16">
        <f>TRUNC(I267*D267,1)</f>
        <v>0</v>
      </c>
      <c r="K267" s="15">
        <f t="shared" si="49"/>
        <v>0</v>
      </c>
      <c r="L267" s="16">
        <f t="shared" si="49"/>
        <v>0</v>
      </c>
      <c r="M267" s="9" t="s">
        <v>52</v>
      </c>
      <c r="N267" s="2" t="s">
        <v>274</v>
      </c>
      <c r="O267" s="2" t="s">
        <v>809</v>
      </c>
      <c r="P267" s="2" t="s">
        <v>61</v>
      </c>
      <c r="Q267" s="2" t="s">
        <v>61</v>
      </c>
      <c r="R267" s="2" t="s">
        <v>61</v>
      </c>
      <c r="S267" s="3">
        <v>1</v>
      </c>
      <c r="T267" s="3">
        <v>2</v>
      </c>
      <c r="U267" s="3">
        <v>0.02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2" t="s">
        <v>52</v>
      </c>
      <c r="AW267" s="2" t="s">
        <v>1202</v>
      </c>
      <c r="AX267" s="2" t="s">
        <v>52</v>
      </c>
      <c r="AY267" s="2" t="s">
        <v>52</v>
      </c>
    </row>
    <row r="268" spans="1:51" ht="30" customHeight="1" x14ac:dyDescent="0.3">
      <c r="A268" s="9" t="s">
        <v>811</v>
      </c>
      <c r="B268" s="9" t="s">
        <v>52</v>
      </c>
      <c r="C268" s="9" t="s">
        <v>52</v>
      </c>
      <c r="D268" s="10"/>
      <c r="E268" s="15"/>
      <c r="F268" s="16">
        <f>TRUNC(SUMIF(N264:N267, N263, F264:F267),0)</f>
        <v>0</v>
      </c>
      <c r="G268" s="15"/>
      <c r="H268" s="16">
        <f>TRUNC(SUMIF(N264:N267, N263, H264:H267),0)</f>
        <v>0</v>
      </c>
      <c r="I268" s="15"/>
      <c r="J268" s="16">
        <f>TRUNC(SUMIF(N264:N267, N263, J264:J267),0)</f>
        <v>0</v>
      </c>
      <c r="K268" s="15"/>
      <c r="L268" s="16">
        <f>F268+H268+J268</f>
        <v>0</v>
      </c>
      <c r="M268" s="9" t="s">
        <v>52</v>
      </c>
      <c r="N268" s="2" t="s">
        <v>94</v>
      </c>
      <c r="O268" s="2" t="s">
        <v>94</v>
      </c>
      <c r="P268" s="2" t="s">
        <v>52</v>
      </c>
      <c r="Q268" s="2" t="s">
        <v>52</v>
      </c>
      <c r="R268" s="2" t="s">
        <v>52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2" t="s">
        <v>52</v>
      </c>
      <c r="AW268" s="2" t="s">
        <v>52</v>
      </c>
      <c r="AX268" s="2" t="s">
        <v>52</v>
      </c>
      <c r="AY268" s="2" t="s">
        <v>52</v>
      </c>
    </row>
    <row r="269" spans="1:51" ht="30" customHeight="1" x14ac:dyDescent="0.3">
      <c r="A269" s="10"/>
      <c r="B269" s="10"/>
      <c r="C269" s="10"/>
      <c r="D269" s="10"/>
      <c r="E269" s="15"/>
      <c r="F269" s="16"/>
      <c r="G269" s="15"/>
      <c r="H269" s="16"/>
      <c r="I269" s="15"/>
      <c r="J269" s="16"/>
      <c r="K269" s="15"/>
      <c r="L269" s="16"/>
      <c r="M269" s="10"/>
    </row>
    <row r="270" spans="1:51" ht="30" customHeight="1" x14ac:dyDescent="0.3">
      <c r="A270" s="44" t="s">
        <v>1203</v>
      </c>
      <c r="B270" s="44"/>
      <c r="C270" s="44"/>
      <c r="D270" s="44"/>
      <c r="E270" s="45"/>
      <c r="F270" s="46"/>
      <c r="G270" s="45"/>
      <c r="H270" s="46"/>
      <c r="I270" s="45"/>
      <c r="J270" s="46"/>
      <c r="K270" s="45"/>
      <c r="L270" s="46"/>
      <c r="M270" s="44"/>
      <c r="N270" s="1" t="s">
        <v>277</v>
      </c>
    </row>
    <row r="271" spans="1:51" ht="30" customHeight="1" x14ac:dyDescent="0.3">
      <c r="A271" s="9" t="s">
        <v>1196</v>
      </c>
      <c r="B271" s="9" t="s">
        <v>276</v>
      </c>
      <c r="C271" s="9" t="s">
        <v>82</v>
      </c>
      <c r="D271" s="10">
        <v>1.04</v>
      </c>
      <c r="E271" s="15">
        <f>'단가대비표(총체)'!O46</f>
        <v>0</v>
      </c>
      <c r="F271" s="16">
        <f>TRUNC(E271*D271,1)</f>
        <v>0</v>
      </c>
      <c r="G271" s="15">
        <f>'단가대비표(총체)'!P46</f>
        <v>0</v>
      </c>
      <c r="H271" s="16">
        <f>TRUNC(G271*D271,1)</f>
        <v>0</v>
      </c>
      <c r="I271" s="15">
        <f>'단가대비표(총체)'!V46</f>
        <v>0</v>
      </c>
      <c r="J271" s="16">
        <f>TRUNC(I271*D271,1)</f>
        <v>0</v>
      </c>
      <c r="K271" s="15">
        <f t="shared" ref="K271:L275" si="50">TRUNC(E271+G271+I271,1)</f>
        <v>0</v>
      </c>
      <c r="L271" s="16">
        <f t="shared" si="50"/>
        <v>0</v>
      </c>
      <c r="M271" s="9" t="s">
        <v>52</v>
      </c>
      <c r="N271" s="2" t="s">
        <v>277</v>
      </c>
      <c r="O271" s="2" t="s">
        <v>1205</v>
      </c>
      <c r="P271" s="2" t="s">
        <v>61</v>
      </c>
      <c r="Q271" s="2" t="s">
        <v>61</v>
      </c>
      <c r="R271" s="2" t="s">
        <v>60</v>
      </c>
      <c r="S271" s="3"/>
      <c r="T271" s="3"/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2" t="s">
        <v>52</v>
      </c>
      <c r="AW271" s="2" t="s">
        <v>1206</v>
      </c>
      <c r="AX271" s="2" t="s">
        <v>52</v>
      </c>
      <c r="AY271" s="2" t="s">
        <v>52</v>
      </c>
    </row>
    <row r="272" spans="1:51" ht="30" customHeight="1" x14ac:dyDescent="0.3">
      <c r="A272" s="9" t="s">
        <v>1067</v>
      </c>
      <c r="B272" s="9" t="s">
        <v>1068</v>
      </c>
      <c r="C272" s="9" t="s">
        <v>1021</v>
      </c>
      <c r="D272" s="10">
        <v>2.8500000000000001E-2</v>
      </c>
      <c r="E272" s="15">
        <f>'단가대비표(총체)'!O117</f>
        <v>0</v>
      </c>
      <c r="F272" s="16">
        <f>TRUNC(E272*D272,1)</f>
        <v>0</v>
      </c>
      <c r="G272" s="15">
        <f>'단가대비표(총체)'!P117</f>
        <v>0</v>
      </c>
      <c r="H272" s="16">
        <f>TRUNC(G272*D272,1)</f>
        <v>0</v>
      </c>
      <c r="I272" s="15">
        <f>'단가대비표(총체)'!V117</f>
        <v>0</v>
      </c>
      <c r="J272" s="16">
        <f>TRUNC(I272*D272,1)</f>
        <v>0</v>
      </c>
      <c r="K272" s="15">
        <f t="shared" si="50"/>
        <v>0</v>
      </c>
      <c r="L272" s="16">
        <f t="shared" si="50"/>
        <v>0</v>
      </c>
      <c r="M272" s="9" t="s">
        <v>52</v>
      </c>
      <c r="N272" s="2" t="s">
        <v>277</v>
      </c>
      <c r="O272" s="2" t="s">
        <v>1069</v>
      </c>
      <c r="P272" s="2" t="s">
        <v>61</v>
      </c>
      <c r="Q272" s="2" t="s">
        <v>61</v>
      </c>
      <c r="R272" s="2" t="s">
        <v>60</v>
      </c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2" t="s">
        <v>52</v>
      </c>
      <c r="AW272" s="2" t="s">
        <v>1207</v>
      </c>
      <c r="AX272" s="2" t="s">
        <v>52</v>
      </c>
      <c r="AY272" s="2" t="s">
        <v>52</v>
      </c>
    </row>
    <row r="273" spans="1:51" ht="30" customHeight="1" x14ac:dyDescent="0.3">
      <c r="A273" s="9" t="s">
        <v>1060</v>
      </c>
      <c r="B273" s="9" t="s">
        <v>822</v>
      </c>
      <c r="C273" s="9" t="s">
        <v>823</v>
      </c>
      <c r="D273" s="10">
        <v>1.4E-2</v>
      </c>
      <c r="E273" s="15">
        <f>'단가대비표(총체)'!O195</f>
        <v>0</v>
      </c>
      <c r="F273" s="16">
        <f>TRUNC(E273*D273,1)</f>
        <v>0</v>
      </c>
      <c r="G273" s="15">
        <f>'단가대비표(총체)'!P195</f>
        <v>0</v>
      </c>
      <c r="H273" s="16">
        <f>TRUNC(G273*D273,1)</f>
        <v>0</v>
      </c>
      <c r="I273" s="15">
        <f>'단가대비표(총체)'!V195</f>
        <v>0</v>
      </c>
      <c r="J273" s="16">
        <f>TRUNC(I273*D273,1)</f>
        <v>0</v>
      </c>
      <c r="K273" s="15">
        <f t="shared" si="50"/>
        <v>0</v>
      </c>
      <c r="L273" s="16">
        <f t="shared" si="50"/>
        <v>0</v>
      </c>
      <c r="M273" s="9" t="s">
        <v>52</v>
      </c>
      <c r="N273" s="2" t="s">
        <v>277</v>
      </c>
      <c r="O273" s="2" t="s">
        <v>1061</v>
      </c>
      <c r="P273" s="2" t="s">
        <v>61</v>
      </c>
      <c r="Q273" s="2" t="s">
        <v>61</v>
      </c>
      <c r="R273" s="2" t="s">
        <v>60</v>
      </c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2" t="s">
        <v>52</v>
      </c>
      <c r="AW273" s="2" t="s">
        <v>1208</v>
      </c>
      <c r="AX273" s="2" t="s">
        <v>52</v>
      </c>
      <c r="AY273" s="2" t="s">
        <v>52</v>
      </c>
    </row>
    <row r="274" spans="1:51" ht="30" customHeight="1" x14ac:dyDescent="0.3">
      <c r="A274" s="9" t="s">
        <v>821</v>
      </c>
      <c r="B274" s="9" t="s">
        <v>822</v>
      </c>
      <c r="C274" s="9" t="s">
        <v>823</v>
      </c>
      <c r="D274" s="10">
        <v>3.0000000000000001E-3</v>
      </c>
      <c r="E274" s="15">
        <f>'단가대비표(총체)'!O180</f>
        <v>0</v>
      </c>
      <c r="F274" s="16">
        <f>TRUNC(E274*D274,1)</f>
        <v>0</v>
      </c>
      <c r="G274" s="15">
        <f>'단가대비표(총체)'!P180</f>
        <v>0</v>
      </c>
      <c r="H274" s="16">
        <f>TRUNC(G274*D274,1)</f>
        <v>0</v>
      </c>
      <c r="I274" s="15">
        <f>'단가대비표(총체)'!V180</f>
        <v>0</v>
      </c>
      <c r="J274" s="16">
        <f>TRUNC(I274*D274,1)</f>
        <v>0</v>
      </c>
      <c r="K274" s="15">
        <f t="shared" si="50"/>
        <v>0</v>
      </c>
      <c r="L274" s="16">
        <f t="shared" si="50"/>
        <v>0</v>
      </c>
      <c r="M274" s="9" t="s">
        <v>52</v>
      </c>
      <c r="N274" s="2" t="s">
        <v>277</v>
      </c>
      <c r="O274" s="2" t="s">
        <v>824</v>
      </c>
      <c r="P274" s="2" t="s">
        <v>61</v>
      </c>
      <c r="Q274" s="2" t="s">
        <v>61</v>
      </c>
      <c r="R274" s="2" t="s">
        <v>60</v>
      </c>
      <c r="S274" s="3"/>
      <c r="T274" s="3"/>
      <c r="U274" s="3"/>
      <c r="V274" s="3">
        <v>1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2" t="s">
        <v>52</v>
      </c>
      <c r="AW274" s="2" t="s">
        <v>1209</v>
      </c>
      <c r="AX274" s="2" t="s">
        <v>52</v>
      </c>
      <c r="AY274" s="2" t="s">
        <v>52</v>
      </c>
    </row>
    <row r="275" spans="1:51" ht="30" customHeight="1" x14ac:dyDescent="0.3">
      <c r="A275" s="9" t="s">
        <v>874</v>
      </c>
      <c r="B275" s="9" t="s">
        <v>891</v>
      </c>
      <c r="C275" s="9" t="s">
        <v>307</v>
      </c>
      <c r="D275" s="10">
        <v>1</v>
      </c>
      <c r="E275" s="15">
        <v>0</v>
      </c>
      <c r="F275" s="16">
        <f>TRUNC(E275*D275,1)</f>
        <v>0</v>
      </c>
      <c r="G275" s="15">
        <v>0</v>
      </c>
      <c r="H275" s="16">
        <f>TRUNC(G275*D275,1)</f>
        <v>0</v>
      </c>
      <c r="I275" s="15">
        <f>TRUNC(SUMIF(V271:V275, RIGHTB(O275, 1), H271:H275)*U275, 2)</f>
        <v>0</v>
      </c>
      <c r="J275" s="16">
        <f>TRUNC(I275*D275,1)</f>
        <v>0</v>
      </c>
      <c r="K275" s="15">
        <f t="shared" si="50"/>
        <v>0</v>
      </c>
      <c r="L275" s="16">
        <f t="shared" si="50"/>
        <v>0</v>
      </c>
      <c r="M275" s="9" t="s">
        <v>52</v>
      </c>
      <c r="N275" s="2" t="s">
        <v>277</v>
      </c>
      <c r="O275" s="2" t="s">
        <v>809</v>
      </c>
      <c r="P275" s="2" t="s">
        <v>61</v>
      </c>
      <c r="Q275" s="2" t="s">
        <v>61</v>
      </c>
      <c r="R275" s="2" t="s">
        <v>61</v>
      </c>
      <c r="S275" s="3">
        <v>1</v>
      </c>
      <c r="T275" s="3">
        <v>2</v>
      </c>
      <c r="U275" s="3">
        <v>0.02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2" t="s">
        <v>52</v>
      </c>
      <c r="AW275" s="2" t="s">
        <v>1210</v>
      </c>
      <c r="AX275" s="2" t="s">
        <v>52</v>
      </c>
      <c r="AY275" s="2" t="s">
        <v>52</v>
      </c>
    </row>
    <row r="276" spans="1:51" ht="30" customHeight="1" x14ac:dyDescent="0.3">
      <c r="A276" s="9" t="s">
        <v>811</v>
      </c>
      <c r="B276" s="9" t="s">
        <v>52</v>
      </c>
      <c r="C276" s="9" t="s">
        <v>52</v>
      </c>
      <c r="D276" s="10"/>
      <c r="E276" s="15"/>
      <c r="F276" s="16">
        <f>TRUNC(SUMIF(N271:N275, N270, F271:F275),0)</f>
        <v>0</v>
      </c>
      <c r="G276" s="15"/>
      <c r="H276" s="16">
        <f>TRUNC(SUMIF(N271:N275, N270, H271:H275),0)</f>
        <v>0</v>
      </c>
      <c r="I276" s="15"/>
      <c r="J276" s="16">
        <f>TRUNC(SUMIF(N271:N275, N270, J271:J275),0)</f>
        <v>0</v>
      </c>
      <c r="K276" s="15"/>
      <c r="L276" s="16">
        <f>F276+H276+J276</f>
        <v>0</v>
      </c>
      <c r="M276" s="9" t="s">
        <v>52</v>
      </c>
      <c r="N276" s="2" t="s">
        <v>94</v>
      </c>
      <c r="O276" s="2" t="s">
        <v>94</v>
      </c>
      <c r="P276" s="2" t="s">
        <v>52</v>
      </c>
      <c r="Q276" s="2" t="s">
        <v>52</v>
      </c>
      <c r="R276" s="2" t="s">
        <v>52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2" t="s">
        <v>52</v>
      </c>
      <c r="AW276" s="2" t="s">
        <v>52</v>
      </c>
      <c r="AX276" s="2" t="s">
        <v>52</v>
      </c>
      <c r="AY276" s="2" t="s">
        <v>52</v>
      </c>
    </row>
    <row r="277" spans="1:51" ht="30" customHeight="1" x14ac:dyDescent="0.3">
      <c r="A277" s="10"/>
      <c r="B277" s="10"/>
      <c r="C277" s="10"/>
      <c r="D277" s="10"/>
      <c r="E277" s="15"/>
      <c r="F277" s="16"/>
      <c r="G277" s="15"/>
      <c r="H277" s="16"/>
      <c r="I277" s="15"/>
      <c r="J277" s="16"/>
      <c r="K277" s="15"/>
      <c r="L277" s="16"/>
      <c r="M277" s="10"/>
    </row>
    <row r="278" spans="1:51" ht="30" customHeight="1" x14ac:dyDescent="0.3">
      <c r="A278" s="44" t="s">
        <v>1211</v>
      </c>
      <c r="B278" s="44"/>
      <c r="C278" s="44"/>
      <c r="D278" s="44"/>
      <c r="E278" s="45"/>
      <c r="F278" s="46"/>
      <c r="G278" s="45"/>
      <c r="H278" s="46"/>
      <c r="I278" s="45"/>
      <c r="J278" s="46"/>
      <c r="K278" s="45"/>
      <c r="L278" s="46"/>
      <c r="M278" s="44"/>
      <c r="N278" s="1" t="s">
        <v>280</v>
      </c>
    </row>
    <row r="279" spans="1:51" ht="30" customHeight="1" x14ac:dyDescent="0.3">
      <c r="A279" s="9" t="s">
        <v>1213</v>
      </c>
      <c r="B279" s="9" t="s">
        <v>276</v>
      </c>
      <c r="C279" s="9" t="s">
        <v>82</v>
      </c>
      <c r="D279" s="10">
        <v>1.1000000000000001</v>
      </c>
      <c r="E279" s="15">
        <f>'단가대비표(총체)'!O47</f>
        <v>0</v>
      </c>
      <c r="F279" s="16">
        <f>TRUNC(E279*D279,1)</f>
        <v>0</v>
      </c>
      <c r="G279" s="15">
        <f>'단가대비표(총체)'!P47</f>
        <v>0</v>
      </c>
      <c r="H279" s="16">
        <f>TRUNC(G279*D279,1)</f>
        <v>0</v>
      </c>
      <c r="I279" s="15">
        <f>'단가대비표(총체)'!V47</f>
        <v>0</v>
      </c>
      <c r="J279" s="16">
        <f>TRUNC(I279*D279,1)</f>
        <v>0</v>
      </c>
      <c r="K279" s="15">
        <f t="shared" ref="K279:L283" si="51">TRUNC(E279+G279+I279,1)</f>
        <v>0</v>
      </c>
      <c r="L279" s="16">
        <f t="shared" si="51"/>
        <v>0</v>
      </c>
      <c r="M279" s="9" t="s">
        <v>52</v>
      </c>
      <c r="N279" s="2" t="s">
        <v>280</v>
      </c>
      <c r="O279" s="2" t="s">
        <v>1214</v>
      </c>
      <c r="P279" s="2" t="s">
        <v>61</v>
      </c>
      <c r="Q279" s="2" t="s">
        <v>61</v>
      </c>
      <c r="R279" s="2" t="s">
        <v>60</v>
      </c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2" t="s">
        <v>52</v>
      </c>
      <c r="AW279" s="2" t="s">
        <v>1215</v>
      </c>
      <c r="AX279" s="2" t="s">
        <v>52</v>
      </c>
      <c r="AY279" s="2" t="s">
        <v>52</v>
      </c>
    </row>
    <row r="280" spans="1:51" ht="30" customHeight="1" x14ac:dyDescent="0.3">
      <c r="A280" s="9" t="s">
        <v>1067</v>
      </c>
      <c r="B280" s="9" t="s">
        <v>1068</v>
      </c>
      <c r="C280" s="9" t="s">
        <v>1021</v>
      </c>
      <c r="D280" s="10">
        <v>8.0000000000000002E-3</v>
      </c>
      <c r="E280" s="15">
        <f>'단가대비표(총체)'!O117</f>
        <v>0</v>
      </c>
      <c r="F280" s="16">
        <f>TRUNC(E280*D280,1)</f>
        <v>0</v>
      </c>
      <c r="G280" s="15">
        <f>'단가대비표(총체)'!P117</f>
        <v>0</v>
      </c>
      <c r="H280" s="16">
        <f>TRUNC(G280*D280,1)</f>
        <v>0</v>
      </c>
      <c r="I280" s="15">
        <f>'단가대비표(총체)'!V117</f>
        <v>0</v>
      </c>
      <c r="J280" s="16">
        <f>TRUNC(I280*D280,1)</f>
        <v>0</v>
      </c>
      <c r="K280" s="15">
        <f t="shared" si="51"/>
        <v>0</v>
      </c>
      <c r="L280" s="16">
        <f t="shared" si="51"/>
        <v>0</v>
      </c>
      <c r="M280" s="9" t="s">
        <v>52</v>
      </c>
      <c r="N280" s="2" t="s">
        <v>280</v>
      </c>
      <c r="O280" s="2" t="s">
        <v>1069</v>
      </c>
      <c r="P280" s="2" t="s">
        <v>61</v>
      </c>
      <c r="Q280" s="2" t="s">
        <v>61</v>
      </c>
      <c r="R280" s="2" t="s">
        <v>60</v>
      </c>
      <c r="S280" s="3"/>
      <c r="T280" s="3"/>
      <c r="U280" s="3"/>
      <c r="V280" s="3">
        <v>1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2" t="s">
        <v>52</v>
      </c>
      <c r="AW280" s="2" t="s">
        <v>1216</v>
      </c>
      <c r="AX280" s="2" t="s">
        <v>52</v>
      </c>
      <c r="AY280" s="2" t="s">
        <v>52</v>
      </c>
    </row>
    <row r="281" spans="1:51" ht="30" customHeight="1" x14ac:dyDescent="0.3">
      <c r="A281" s="9" t="s">
        <v>1060</v>
      </c>
      <c r="B281" s="9" t="s">
        <v>822</v>
      </c>
      <c r="C281" s="9" t="s">
        <v>823</v>
      </c>
      <c r="D281" s="10">
        <v>8.3000000000000004E-2</v>
      </c>
      <c r="E281" s="15">
        <f>'단가대비표(총체)'!O195</f>
        <v>0</v>
      </c>
      <c r="F281" s="16">
        <f>TRUNC(E281*D281,1)</f>
        <v>0</v>
      </c>
      <c r="G281" s="15">
        <f>'단가대비표(총체)'!P195</f>
        <v>0</v>
      </c>
      <c r="H281" s="16">
        <f>TRUNC(G281*D281,1)</f>
        <v>0</v>
      </c>
      <c r="I281" s="15">
        <f>'단가대비표(총체)'!V195</f>
        <v>0</v>
      </c>
      <c r="J281" s="16">
        <f>TRUNC(I281*D281,1)</f>
        <v>0</v>
      </c>
      <c r="K281" s="15">
        <f t="shared" si="51"/>
        <v>0</v>
      </c>
      <c r="L281" s="16">
        <f t="shared" si="51"/>
        <v>0</v>
      </c>
      <c r="M281" s="9" t="s">
        <v>52</v>
      </c>
      <c r="N281" s="2" t="s">
        <v>280</v>
      </c>
      <c r="O281" s="2" t="s">
        <v>1061</v>
      </c>
      <c r="P281" s="2" t="s">
        <v>61</v>
      </c>
      <c r="Q281" s="2" t="s">
        <v>61</v>
      </c>
      <c r="R281" s="2" t="s">
        <v>60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2" t="s">
        <v>52</v>
      </c>
      <c r="AW281" s="2" t="s">
        <v>1217</v>
      </c>
      <c r="AX281" s="2" t="s">
        <v>52</v>
      </c>
      <c r="AY281" s="2" t="s">
        <v>52</v>
      </c>
    </row>
    <row r="282" spans="1:51" ht="30" customHeight="1" x14ac:dyDescent="0.3">
      <c r="A282" s="9" t="s">
        <v>821</v>
      </c>
      <c r="B282" s="9" t="s">
        <v>822</v>
      </c>
      <c r="C282" s="9" t="s">
        <v>823</v>
      </c>
      <c r="D282" s="10">
        <v>8.0000000000000002E-3</v>
      </c>
      <c r="E282" s="15">
        <f>'단가대비표(총체)'!O180</f>
        <v>0</v>
      </c>
      <c r="F282" s="16">
        <f>TRUNC(E282*D282,1)</f>
        <v>0</v>
      </c>
      <c r="G282" s="15">
        <f>'단가대비표(총체)'!P180</f>
        <v>0</v>
      </c>
      <c r="H282" s="16">
        <f>TRUNC(G282*D282,1)</f>
        <v>0</v>
      </c>
      <c r="I282" s="15">
        <f>'단가대비표(총체)'!V180</f>
        <v>0</v>
      </c>
      <c r="J282" s="16">
        <f>TRUNC(I282*D282,1)</f>
        <v>0</v>
      </c>
      <c r="K282" s="15">
        <f t="shared" si="51"/>
        <v>0</v>
      </c>
      <c r="L282" s="16">
        <f t="shared" si="51"/>
        <v>0</v>
      </c>
      <c r="M282" s="9" t="s">
        <v>52</v>
      </c>
      <c r="N282" s="2" t="s">
        <v>280</v>
      </c>
      <c r="O282" s="2" t="s">
        <v>824</v>
      </c>
      <c r="P282" s="2" t="s">
        <v>61</v>
      </c>
      <c r="Q282" s="2" t="s">
        <v>61</v>
      </c>
      <c r="R282" s="2" t="s">
        <v>60</v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2" t="s">
        <v>52</v>
      </c>
      <c r="AW282" s="2" t="s">
        <v>1218</v>
      </c>
      <c r="AX282" s="2" t="s">
        <v>52</v>
      </c>
      <c r="AY282" s="2" t="s">
        <v>52</v>
      </c>
    </row>
    <row r="283" spans="1:51" ht="30" customHeight="1" x14ac:dyDescent="0.3">
      <c r="A283" s="9" t="s">
        <v>874</v>
      </c>
      <c r="B283" s="9" t="s">
        <v>891</v>
      </c>
      <c r="C283" s="9" t="s">
        <v>307</v>
      </c>
      <c r="D283" s="10">
        <v>1</v>
      </c>
      <c r="E283" s="15">
        <v>0</v>
      </c>
      <c r="F283" s="16">
        <f>TRUNC(E283*D283,1)</f>
        <v>0</v>
      </c>
      <c r="G283" s="15">
        <v>0</v>
      </c>
      <c r="H283" s="16">
        <f>TRUNC(G283*D283,1)</f>
        <v>0</v>
      </c>
      <c r="I283" s="15">
        <f>TRUNC(SUMIF(V279:V283, RIGHTB(O283, 1), H279:H283)*U283, 2)</f>
        <v>0</v>
      </c>
      <c r="J283" s="16">
        <f>TRUNC(I283*D283,1)</f>
        <v>0</v>
      </c>
      <c r="K283" s="15">
        <f t="shared" si="51"/>
        <v>0</v>
      </c>
      <c r="L283" s="16">
        <f t="shared" si="51"/>
        <v>0</v>
      </c>
      <c r="M283" s="9" t="s">
        <v>52</v>
      </c>
      <c r="N283" s="2" t="s">
        <v>280</v>
      </c>
      <c r="O283" s="2" t="s">
        <v>809</v>
      </c>
      <c r="P283" s="2" t="s">
        <v>61</v>
      </c>
      <c r="Q283" s="2" t="s">
        <v>61</v>
      </c>
      <c r="R283" s="2" t="s">
        <v>61</v>
      </c>
      <c r="S283" s="3">
        <v>1</v>
      </c>
      <c r="T283" s="3">
        <v>2</v>
      </c>
      <c r="U283" s="3">
        <v>0.02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2" t="s">
        <v>52</v>
      </c>
      <c r="AW283" s="2" t="s">
        <v>1219</v>
      </c>
      <c r="AX283" s="2" t="s">
        <v>52</v>
      </c>
      <c r="AY283" s="2" t="s">
        <v>52</v>
      </c>
    </row>
    <row r="284" spans="1:51" ht="30" customHeight="1" x14ac:dyDescent="0.3">
      <c r="A284" s="9" t="s">
        <v>811</v>
      </c>
      <c r="B284" s="9" t="s">
        <v>52</v>
      </c>
      <c r="C284" s="9" t="s">
        <v>52</v>
      </c>
      <c r="D284" s="10"/>
      <c r="E284" s="15"/>
      <c r="F284" s="16">
        <f>TRUNC(SUMIF(N279:N283, N278, F279:F283),0)</f>
        <v>0</v>
      </c>
      <c r="G284" s="15"/>
      <c r="H284" s="16">
        <f>TRUNC(SUMIF(N279:N283, N278, H279:H283),0)</f>
        <v>0</v>
      </c>
      <c r="I284" s="15"/>
      <c r="J284" s="16">
        <f>TRUNC(SUMIF(N279:N283, N278, J279:J283),0)</f>
        <v>0</v>
      </c>
      <c r="K284" s="15"/>
      <c r="L284" s="16">
        <f>F284+H284+J284</f>
        <v>0</v>
      </c>
      <c r="M284" s="9" t="s">
        <v>52</v>
      </c>
      <c r="N284" s="2" t="s">
        <v>94</v>
      </c>
      <c r="O284" s="2" t="s">
        <v>94</v>
      </c>
      <c r="P284" s="2" t="s">
        <v>52</v>
      </c>
      <c r="Q284" s="2" t="s">
        <v>52</v>
      </c>
      <c r="R284" s="2" t="s">
        <v>52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2" t="s">
        <v>52</v>
      </c>
      <c r="AW284" s="2" t="s">
        <v>52</v>
      </c>
      <c r="AX284" s="2" t="s">
        <v>52</v>
      </c>
      <c r="AY284" s="2" t="s">
        <v>52</v>
      </c>
    </row>
    <row r="285" spans="1:51" ht="30" customHeight="1" x14ac:dyDescent="0.3">
      <c r="A285" s="10"/>
      <c r="B285" s="10"/>
      <c r="C285" s="10"/>
      <c r="D285" s="10"/>
      <c r="E285" s="15"/>
      <c r="F285" s="16"/>
      <c r="G285" s="15"/>
      <c r="H285" s="16"/>
      <c r="I285" s="15"/>
      <c r="J285" s="16"/>
      <c r="K285" s="15"/>
      <c r="L285" s="16"/>
      <c r="M285" s="10"/>
    </row>
    <row r="286" spans="1:51" ht="30" customHeight="1" x14ac:dyDescent="0.3">
      <c r="A286" s="44" t="s">
        <v>1220</v>
      </c>
      <c r="B286" s="44"/>
      <c r="C286" s="44"/>
      <c r="D286" s="44"/>
      <c r="E286" s="45"/>
      <c r="F286" s="46"/>
      <c r="G286" s="45"/>
      <c r="H286" s="46"/>
      <c r="I286" s="45"/>
      <c r="J286" s="46"/>
      <c r="K286" s="45"/>
      <c r="L286" s="46"/>
      <c r="M286" s="44"/>
      <c r="N286" s="1" t="s">
        <v>284</v>
      </c>
    </row>
    <row r="287" spans="1:51" ht="30" customHeight="1" x14ac:dyDescent="0.3">
      <c r="A287" s="9" t="s">
        <v>1222</v>
      </c>
      <c r="B287" s="9" t="s">
        <v>283</v>
      </c>
      <c r="C287" s="9" t="s">
        <v>82</v>
      </c>
      <c r="D287" s="10">
        <v>1.1000000000000001</v>
      </c>
      <c r="E287" s="15">
        <f>'단가대비표(총체)'!O48</f>
        <v>0</v>
      </c>
      <c r="F287" s="16">
        <f>TRUNC(E287*D287,1)</f>
        <v>0</v>
      </c>
      <c r="G287" s="15">
        <f>'단가대비표(총체)'!P48</f>
        <v>0</v>
      </c>
      <c r="H287" s="16">
        <f>TRUNC(G287*D287,1)</f>
        <v>0</v>
      </c>
      <c r="I287" s="15">
        <f>'단가대비표(총체)'!V48</f>
        <v>0</v>
      </c>
      <c r="J287" s="16">
        <f>TRUNC(I287*D287,1)</f>
        <v>0</v>
      </c>
      <c r="K287" s="15">
        <f t="shared" ref="K287:L291" si="52">TRUNC(E287+G287+I287,1)</f>
        <v>0</v>
      </c>
      <c r="L287" s="16">
        <f t="shared" si="52"/>
        <v>0</v>
      </c>
      <c r="M287" s="9" t="s">
        <v>52</v>
      </c>
      <c r="N287" s="2" t="s">
        <v>284</v>
      </c>
      <c r="O287" s="2" t="s">
        <v>1223</v>
      </c>
      <c r="P287" s="2" t="s">
        <v>61</v>
      </c>
      <c r="Q287" s="2" t="s">
        <v>61</v>
      </c>
      <c r="R287" s="2" t="s">
        <v>60</v>
      </c>
      <c r="S287" s="3"/>
      <c r="T287" s="3"/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2" t="s">
        <v>52</v>
      </c>
      <c r="AW287" s="2" t="s">
        <v>1224</v>
      </c>
      <c r="AX287" s="2" t="s">
        <v>52</v>
      </c>
      <c r="AY287" s="2" t="s">
        <v>52</v>
      </c>
    </row>
    <row r="288" spans="1:51" ht="30" customHeight="1" x14ac:dyDescent="0.3">
      <c r="A288" s="9" t="s">
        <v>1067</v>
      </c>
      <c r="B288" s="9" t="s">
        <v>1068</v>
      </c>
      <c r="C288" s="9" t="s">
        <v>1021</v>
      </c>
      <c r="D288" s="10">
        <v>8.0000000000000002E-3</v>
      </c>
      <c r="E288" s="15">
        <f>'단가대비표(총체)'!O117</f>
        <v>0</v>
      </c>
      <c r="F288" s="16">
        <f>TRUNC(E288*D288,1)</f>
        <v>0</v>
      </c>
      <c r="G288" s="15">
        <f>'단가대비표(총체)'!P117</f>
        <v>0</v>
      </c>
      <c r="H288" s="16">
        <f>TRUNC(G288*D288,1)</f>
        <v>0</v>
      </c>
      <c r="I288" s="15">
        <f>'단가대비표(총체)'!V117</f>
        <v>0</v>
      </c>
      <c r="J288" s="16">
        <f>TRUNC(I288*D288,1)</f>
        <v>0</v>
      </c>
      <c r="K288" s="15">
        <f t="shared" si="52"/>
        <v>0</v>
      </c>
      <c r="L288" s="16">
        <f t="shared" si="52"/>
        <v>0</v>
      </c>
      <c r="M288" s="9" t="s">
        <v>52</v>
      </c>
      <c r="N288" s="2" t="s">
        <v>284</v>
      </c>
      <c r="O288" s="2" t="s">
        <v>1069</v>
      </c>
      <c r="P288" s="2" t="s">
        <v>61</v>
      </c>
      <c r="Q288" s="2" t="s">
        <v>61</v>
      </c>
      <c r="R288" s="2" t="s">
        <v>60</v>
      </c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2" t="s">
        <v>52</v>
      </c>
      <c r="AW288" s="2" t="s">
        <v>1225</v>
      </c>
      <c r="AX288" s="2" t="s">
        <v>52</v>
      </c>
      <c r="AY288" s="2" t="s">
        <v>52</v>
      </c>
    </row>
    <row r="289" spans="1:51" ht="30" customHeight="1" x14ac:dyDescent="0.3">
      <c r="A289" s="9" t="s">
        <v>1060</v>
      </c>
      <c r="B289" s="9" t="s">
        <v>822</v>
      </c>
      <c r="C289" s="9" t="s">
        <v>823</v>
      </c>
      <c r="D289" s="10">
        <v>6.7000000000000004E-2</v>
      </c>
      <c r="E289" s="15">
        <f>'단가대비표(총체)'!O195</f>
        <v>0</v>
      </c>
      <c r="F289" s="16">
        <f>TRUNC(E289*D289,1)</f>
        <v>0</v>
      </c>
      <c r="G289" s="15">
        <f>'단가대비표(총체)'!P195</f>
        <v>0</v>
      </c>
      <c r="H289" s="16">
        <f>TRUNC(G289*D289,1)</f>
        <v>0</v>
      </c>
      <c r="I289" s="15">
        <f>'단가대비표(총체)'!V195</f>
        <v>0</v>
      </c>
      <c r="J289" s="16">
        <f>TRUNC(I289*D289,1)</f>
        <v>0</v>
      </c>
      <c r="K289" s="15">
        <f t="shared" si="52"/>
        <v>0</v>
      </c>
      <c r="L289" s="16">
        <f t="shared" si="52"/>
        <v>0</v>
      </c>
      <c r="M289" s="9" t="s">
        <v>52</v>
      </c>
      <c r="N289" s="2" t="s">
        <v>284</v>
      </c>
      <c r="O289" s="2" t="s">
        <v>1061</v>
      </c>
      <c r="P289" s="2" t="s">
        <v>61</v>
      </c>
      <c r="Q289" s="2" t="s">
        <v>61</v>
      </c>
      <c r="R289" s="2" t="s">
        <v>60</v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2" t="s">
        <v>52</v>
      </c>
      <c r="AW289" s="2" t="s">
        <v>1226</v>
      </c>
      <c r="AX289" s="2" t="s">
        <v>52</v>
      </c>
      <c r="AY289" s="2" t="s">
        <v>52</v>
      </c>
    </row>
    <row r="290" spans="1:51" ht="30" customHeight="1" x14ac:dyDescent="0.3">
      <c r="A290" s="9" t="s">
        <v>821</v>
      </c>
      <c r="B290" s="9" t="s">
        <v>822</v>
      </c>
      <c r="C290" s="9" t="s">
        <v>823</v>
      </c>
      <c r="D290" s="10">
        <v>6.0000000000000001E-3</v>
      </c>
      <c r="E290" s="15">
        <f>'단가대비표(총체)'!O180</f>
        <v>0</v>
      </c>
      <c r="F290" s="16">
        <f>TRUNC(E290*D290,1)</f>
        <v>0</v>
      </c>
      <c r="G290" s="15">
        <f>'단가대비표(총체)'!P180</f>
        <v>0</v>
      </c>
      <c r="H290" s="16">
        <f>TRUNC(G290*D290,1)</f>
        <v>0</v>
      </c>
      <c r="I290" s="15">
        <f>'단가대비표(총체)'!V180</f>
        <v>0</v>
      </c>
      <c r="J290" s="16">
        <f>TRUNC(I290*D290,1)</f>
        <v>0</v>
      </c>
      <c r="K290" s="15">
        <f t="shared" si="52"/>
        <v>0</v>
      </c>
      <c r="L290" s="16">
        <f t="shared" si="52"/>
        <v>0</v>
      </c>
      <c r="M290" s="9" t="s">
        <v>52</v>
      </c>
      <c r="N290" s="2" t="s">
        <v>284</v>
      </c>
      <c r="O290" s="2" t="s">
        <v>824</v>
      </c>
      <c r="P290" s="2" t="s">
        <v>61</v>
      </c>
      <c r="Q290" s="2" t="s">
        <v>61</v>
      </c>
      <c r="R290" s="2" t="s">
        <v>60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2" t="s">
        <v>52</v>
      </c>
      <c r="AW290" s="2" t="s">
        <v>1227</v>
      </c>
      <c r="AX290" s="2" t="s">
        <v>52</v>
      </c>
      <c r="AY290" s="2" t="s">
        <v>52</v>
      </c>
    </row>
    <row r="291" spans="1:51" ht="30" customHeight="1" x14ac:dyDescent="0.3">
      <c r="A291" s="9" t="s">
        <v>874</v>
      </c>
      <c r="B291" s="9" t="s">
        <v>891</v>
      </c>
      <c r="C291" s="9" t="s">
        <v>307</v>
      </c>
      <c r="D291" s="10">
        <v>1</v>
      </c>
      <c r="E291" s="15">
        <v>0</v>
      </c>
      <c r="F291" s="16">
        <f>TRUNC(E291*D291,1)</f>
        <v>0</v>
      </c>
      <c r="G291" s="15">
        <v>0</v>
      </c>
      <c r="H291" s="16">
        <f>TRUNC(G291*D291,1)</f>
        <v>0</v>
      </c>
      <c r="I291" s="15">
        <f>TRUNC(SUMIF(V287:V291, RIGHTB(O291, 1), H287:H291)*U291, 2)</f>
        <v>0</v>
      </c>
      <c r="J291" s="16">
        <f>TRUNC(I291*D291,1)</f>
        <v>0</v>
      </c>
      <c r="K291" s="15">
        <f t="shared" si="52"/>
        <v>0</v>
      </c>
      <c r="L291" s="16">
        <f t="shared" si="52"/>
        <v>0</v>
      </c>
      <c r="M291" s="9" t="s">
        <v>52</v>
      </c>
      <c r="N291" s="2" t="s">
        <v>284</v>
      </c>
      <c r="O291" s="2" t="s">
        <v>809</v>
      </c>
      <c r="P291" s="2" t="s">
        <v>61</v>
      </c>
      <c r="Q291" s="2" t="s">
        <v>61</v>
      </c>
      <c r="R291" s="2" t="s">
        <v>61</v>
      </c>
      <c r="S291" s="3">
        <v>1</v>
      </c>
      <c r="T291" s="3">
        <v>2</v>
      </c>
      <c r="U291" s="3">
        <v>0.02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2" t="s">
        <v>52</v>
      </c>
      <c r="AW291" s="2" t="s">
        <v>1228</v>
      </c>
      <c r="AX291" s="2" t="s">
        <v>52</v>
      </c>
      <c r="AY291" s="2" t="s">
        <v>52</v>
      </c>
    </row>
    <row r="292" spans="1:51" ht="30" customHeight="1" x14ac:dyDescent="0.3">
      <c r="A292" s="9" t="s">
        <v>811</v>
      </c>
      <c r="B292" s="9" t="s">
        <v>52</v>
      </c>
      <c r="C292" s="9" t="s">
        <v>52</v>
      </c>
      <c r="D292" s="10"/>
      <c r="E292" s="15"/>
      <c r="F292" s="16">
        <f>TRUNC(SUMIF(N287:N291, N286, F287:F291),0)</f>
        <v>0</v>
      </c>
      <c r="G292" s="15"/>
      <c r="H292" s="16">
        <f>TRUNC(SUMIF(N287:N291, N286, H287:H291),0)</f>
        <v>0</v>
      </c>
      <c r="I292" s="15"/>
      <c r="J292" s="16">
        <f>TRUNC(SUMIF(N287:N291, N286, J287:J291),0)</f>
        <v>0</v>
      </c>
      <c r="K292" s="15"/>
      <c r="L292" s="16">
        <f>F292+H292+J292</f>
        <v>0</v>
      </c>
      <c r="M292" s="9" t="s">
        <v>52</v>
      </c>
      <c r="N292" s="2" t="s">
        <v>94</v>
      </c>
      <c r="O292" s="2" t="s">
        <v>94</v>
      </c>
      <c r="P292" s="2" t="s">
        <v>52</v>
      </c>
      <c r="Q292" s="2" t="s">
        <v>52</v>
      </c>
      <c r="R292" s="2" t="s">
        <v>52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2" t="s">
        <v>52</v>
      </c>
      <c r="AW292" s="2" t="s">
        <v>52</v>
      </c>
      <c r="AX292" s="2" t="s">
        <v>52</v>
      </c>
      <c r="AY292" s="2" t="s">
        <v>52</v>
      </c>
    </row>
    <row r="293" spans="1:51" ht="30" customHeight="1" x14ac:dyDescent="0.3">
      <c r="A293" s="10"/>
      <c r="B293" s="10"/>
      <c r="C293" s="10"/>
      <c r="D293" s="10"/>
      <c r="E293" s="15"/>
      <c r="F293" s="16"/>
      <c r="G293" s="15"/>
      <c r="H293" s="16"/>
      <c r="I293" s="15"/>
      <c r="J293" s="16"/>
      <c r="K293" s="15"/>
      <c r="L293" s="16"/>
      <c r="M293" s="10"/>
    </row>
    <row r="294" spans="1:51" ht="30" customHeight="1" x14ac:dyDescent="0.3">
      <c r="A294" s="44" t="s">
        <v>1229</v>
      </c>
      <c r="B294" s="44"/>
      <c r="C294" s="44"/>
      <c r="D294" s="44"/>
      <c r="E294" s="45"/>
      <c r="F294" s="46"/>
      <c r="G294" s="45"/>
      <c r="H294" s="46"/>
      <c r="I294" s="45"/>
      <c r="J294" s="46"/>
      <c r="K294" s="45"/>
      <c r="L294" s="46"/>
      <c r="M294" s="44"/>
      <c r="N294" s="1" t="s">
        <v>288</v>
      </c>
    </row>
    <row r="295" spans="1:51" ht="30" customHeight="1" x14ac:dyDescent="0.3">
      <c r="A295" s="9" t="s">
        <v>1231</v>
      </c>
      <c r="B295" s="9" t="s">
        <v>287</v>
      </c>
      <c r="C295" s="9" t="s">
        <v>82</v>
      </c>
      <c r="D295" s="10">
        <v>1.1000000000000001</v>
      </c>
      <c r="E295" s="15">
        <f>'단가대비표(총체)'!O49</f>
        <v>0</v>
      </c>
      <c r="F295" s="16">
        <f>TRUNC(E295*D295,1)</f>
        <v>0</v>
      </c>
      <c r="G295" s="15">
        <f>'단가대비표(총체)'!P49</f>
        <v>0</v>
      </c>
      <c r="H295" s="16">
        <f>TRUNC(G295*D295,1)</f>
        <v>0</v>
      </c>
      <c r="I295" s="15">
        <f>'단가대비표(총체)'!V49</f>
        <v>0</v>
      </c>
      <c r="J295" s="16">
        <f>TRUNC(I295*D295,1)</f>
        <v>0</v>
      </c>
      <c r="K295" s="15">
        <f t="shared" ref="K295:L299" si="53">TRUNC(E295+G295+I295,1)</f>
        <v>0</v>
      </c>
      <c r="L295" s="16">
        <f t="shared" si="53"/>
        <v>0</v>
      </c>
      <c r="M295" s="9" t="s">
        <v>52</v>
      </c>
      <c r="N295" s="2" t="s">
        <v>288</v>
      </c>
      <c r="O295" s="2" t="s">
        <v>1232</v>
      </c>
      <c r="P295" s="2" t="s">
        <v>61</v>
      </c>
      <c r="Q295" s="2" t="s">
        <v>61</v>
      </c>
      <c r="R295" s="2" t="s">
        <v>60</v>
      </c>
      <c r="S295" s="3"/>
      <c r="T295" s="3"/>
      <c r="U295" s="3"/>
      <c r="V295" s="3">
        <v>1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2" t="s">
        <v>52</v>
      </c>
      <c r="AW295" s="2" t="s">
        <v>1233</v>
      </c>
      <c r="AX295" s="2" t="s">
        <v>52</v>
      </c>
      <c r="AY295" s="2" t="s">
        <v>52</v>
      </c>
    </row>
    <row r="296" spans="1:51" ht="30" customHeight="1" x14ac:dyDescent="0.3">
      <c r="A296" s="9" t="s">
        <v>1067</v>
      </c>
      <c r="B296" s="9" t="s">
        <v>1068</v>
      </c>
      <c r="C296" s="9" t="s">
        <v>1021</v>
      </c>
      <c r="D296" s="10">
        <v>8.0000000000000002E-3</v>
      </c>
      <c r="E296" s="15">
        <f>'단가대비표(총체)'!O117</f>
        <v>0</v>
      </c>
      <c r="F296" s="16">
        <f>TRUNC(E296*D296,1)</f>
        <v>0</v>
      </c>
      <c r="G296" s="15">
        <f>'단가대비표(총체)'!P117</f>
        <v>0</v>
      </c>
      <c r="H296" s="16">
        <f>TRUNC(G296*D296,1)</f>
        <v>0</v>
      </c>
      <c r="I296" s="15">
        <f>'단가대비표(총체)'!V117</f>
        <v>0</v>
      </c>
      <c r="J296" s="16">
        <f>TRUNC(I296*D296,1)</f>
        <v>0</v>
      </c>
      <c r="K296" s="15">
        <f t="shared" si="53"/>
        <v>0</v>
      </c>
      <c r="L296" s="16">
        <f t="shared" si="53"/>
        <v>0</v>
      </c>
      <c r="M296" s="9" t="s">
        <v>52</v>
      </c>
      <c r="N296" s="2" t="s">
        <v>288</v>
      </c>
      <c r="O296" s="2" t="s">
        <v>1069</v>
      </c>
      <c r="P296" s="2" t="s">
        <v>61</v>
      </c>
      <c r="Q296" s="2" t="s">
        <v>61</v>
      </c>
      <c r="R296" s="2" t="s">
        <v>60</v>
      </c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2" t="s">
        <v>52</v>
      </c>
      <c r="AW296" s="2" t="s">
        <v>1234</v>
      </c>
      <c r="AX296" s="2" t="s">
        <v>52</v>
      </c>
      <c r="AY296" s="2" t="s">
        <v>52</v>
      </c>
    </row>
    <row r="297" spans="1:51" ht="30" customHeight="1" x14ac:dyDescent="0.3">
      <c r="A297" s="9" t="s">
        <v>1060</v>
      </c>
      <c r="B297" s="9" t="s">
        <v>822</v>
      </c>
      <c r="C297" s="9" t="s">
        <v>823</v>
      </c>
      <c r="D297" s="10">
        <v>5.1999999999999998E-2</v>
      </c>
      <c r="E297" s="15">
        <f>'단가대비표(총체)'!O195</f>
        <v>0</v>
      </c>
      <c r="F297" s="16">
        <f>TRUNC(E297*D297,1)</f>
        <v>0</v>
      </c>
      <c r="G297" s="15">
        <f>'단가대비표(총체)'!P195</f>
        <v>0</v>
      </c>
      <c r="H297" s="16">
        <f>TRUNC(G297*D297,1)</f>
        <v>0</v>
      </c>
      <c r="I297" s="15">
        <f>'단가대비표(총체)'!V195</f>
        <v>0</v>
      </c>
      <c r="J297" s="16">
        <f>TRUNC(I297*D297,1)</f>
        <v>0</v>
      </c>
      <c r="K297" s="15">
        <f t="shared" si="53"/>
        <v>0</v>
      </c>
      <c r="L297" s="16">
        <f t="shared" si="53"/>
        <v>0</v>
      </c>
      <c r="M297" s="9" t="s">
        <v>52</v>
      </c>
      <c r="N297" s="2" t="s">
        <v>288</v>
      </c>
      <c r="O297" s="2" t="s">
        <v>1061</v>
      </c>
      <c r="P297" s="2" t="s">
        <v>61</v>
      </c>
      <c r="Q297" s="2" t="s">
        <v>61</v>
      </c>
      <c r="R297" s="2" t="s">
        <v>60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2" t="s">
        <v>52</v>
      </c>
      <c r="AW297" s="2" t="s">
        <v>1235</v>
      </c>
      <c r="AX297" s="2" t="s">
        <v>52</v>
      </c>
      <c r="AY297" s="2" t="s">
        <v>52</v>
      </c>
    </row>
    <row r="298" spans="1:51" ht="30" customHeight="1" x14ac:dyDescent="0.3">
      <c r="A298" s="9" t="s">
        <v>821</v>
      </c>
      <c r="B298" s="9" t="s">
        <v>822</v>
      </c>
      <c r="C298" s="9" t="s">
        <v>823</v>
      </c>
      <c r="D298" s="10">
        <v>5.0000000000000001E-3</v>
      </c>
      <c r="E298" s="15">
        <f>'단가대비표(총체)'!O180</f>
        <v>0</v>
      </c>
      <c r="F298" s="16">
        <f>TRUNC(E298*D298,1)</f>
        <v>0</v>
      </c>
      <c r="G298" s="15">
        <f>'단가대비표(총체)'!P180</f>
        <v>0</v>
      </c>
      <c r="H298" s="16">
        <f>TRUNC(G298*D298,1)</f>
        <v>0</v>
      </c>
      <c r="I298" s="15">
        <f>'단가대비표(총체)'!V180</f>
        <v>0</v>
      </c>
      <c r="J298" s="16">
        <f>TRUNC(I298*D298,1)</f>
        <v>0</v>
      </c>
      <c r="K298" s="15">
        <f t="shared" si="53"/>
        <v>0</v>
      </c>
      <c r="L298" s="16">
        <f t="shared" si="53"/>
        <v>0</v>
      </c>
      <c r="M298" s="9" t="s">
        <v>52</v>
      </c>
      <c r="N298" s="2" t="s">
        <v>288</v>
      </c>
      <c r="O298" s="2" t="s">
        <v>824</v>
      </c>
      <c r="P298" s="2" t="s">
        <v>61</v>
      </c>
      <c r="Q298" s="2" t="s">
        <v>61</v>
      </c>
      <c r="R298" s="2" t="s">
        <v>60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2" t="s">
        <v>52</v>
      </c>
      <c r="AW298" s="2" t="s">
        <v>1236</v>
      </c>
      <c r="AX298" s="2" t="s">
        <v>52</v>
      </c>
      <c r="AY298" s="2" t="s">
        <v>52</v>
      </c>
    </row>
    <row r="299" spans="1:51" ht="30" customHeight="1" x14ac:dyDescent="0.3">
      <c r="A299" s="9" t="s">
        <v>874</v>
      </c>
      <c r="B299" s="9" t="s">
        <v>891</v>
      </c>
      <c r="C299" s="9" t="s">
        <v>307</v>
      </c>
      <c r="D299" s="10">
        <v>1</v>
      </c>
      <c r="E299" s="15">
        <v>0</v>
      </c>
      <c r="F299" s="16">
        <f>TRUNC(E299*D299,1)</f>
        <v>0</v>
      </c>
      <c r="G299" s="15">
        <v>0</v>
      </c>
      <c r="H299" s="16">
        <f>TRUNC(G299*D299,1)</f>
        <v>0</v>
      </c>
      <c r="I299" s="15">
        <f>TRUNC(SUMIF(V295:V299, RIGHTB(O299, 1), H295:H299)*U299, 2)</f>
        <v>0</v>
      </c>
      <c r="J299" s="16">
        <f>TRUNC(I299*D299,1)</f>
        <v>0</v>
      </c>
      <c r="K299" s="15">
        <f t="shared" si="53"/>
        <v>0</v>
      </c>
      <c r="L299" s="16">
        <f t="shared" si="53"/>
        <v>0</v>
      </c>
      <c r="M299" s="9" t="s">
        <v>52</v>
      </c>
      <c r="N299" s="2" t="s">
        <v>288</v>
      </c>
      <c r="O299" s="2" t="s">
        <v>809</v>
      </c>
      <c r="P299" s="2" t="s">
        <v>61</v>
      </c>
      <c r="Q299" s="2" t="s">
        <v>61</v>
      </c>
      <c r="R299" s="2" t="s">
        <v>61</v>
      </c>
      <c r="S299" s="3">
        <v>1</v>
      </c>
      <c r="T299" s="3">
        <v>2</v>
      </c>
      <c r="U299" s="3">
        <v>0.02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2" t="s">
        <v>52</v>
      </c>
      <c r="AW299" s="2" t="s">
        <v>1237</v>
      </c>
      <c r="AX299" s="2" t="s">
        <v>52</v>
      </c>
      <c r="AY299" s="2" t="s">
        <v>52</v>
      </c>
    </row>
    <row r="300" spans="1:51" ht="30" customHeight="1" x14ac:dyDescent="0.3">
      <c r="A300" s="9" t="s">
        <v>811</v>
      </c>
      <c r="B300" s="9" t="s">
        <v>52</v>
      </c>
      <c r="C300" s="9" t="s">
        <v>52</v>
      </c>
      <c r="D300" s="10"/>
      <c r="E300" s="15"/>
      <c r="F300" s="16">
        <f>TRUNC(SUMIF(N295:N299, N294, F295:F299),0)</f>
        <v>0</v>
      </c>
      <c r="G300" s="15"/>
      <c r="H300" s="16">
        <f>TRUNC(SUMIF(N295:N299, N294, H295:H299),0)</f>
        <v>0</v>
      </c>
      <c r="I300" s="15"/>
      <c r="J300" s="16">
        <f>TRUNC(SUMIF(N295:N299, N294, J295:J299),0)</f>
        <v>0</v>
      </c>
      <c r="K300" s="15"/>
      <c r="L300" s="16">
        <f>F300+H300+J300</f>
        <v>0</v>
      </c>
      <c r="M300" s="9" t="s">
        <v>52</v>
      </c>
      <c r="N300" s="2" t="s">
        <v>94</v>
      </c>
      <c r="O300" s="2" t="s">
        <v>94</v>
      </c>
      <c r="P300" s="2" t="s">
        <v>52</v>
      </c>
      <c r="Q300" s="2" t="s">
        <v>52</v>
      </c>
      <c r="R300" s="2" t="s">
        <v>52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2" t="s">
        <v>52</v>
      </c>
      <c r="AW300" s="2" t="s">
        <v>52</v>
      </c>
      <c r="AX300" s="2" t="s">
        <v>52</v>
      </c>
      <c r="AY300" s="2" t="s">
        <v>52</v>
      </c>
    </row>
    <row r="301" spans="1:51" ht="30" customHeight="1" x14ac:dyDescent="0.3">
      <c r="A301" s="10"/>
      <c r="B301" s="10"/>
      <c r="C301" s="10"/>
      <c r="D301" s="10"/>
      <c r="E301" s="15"/>
      <c r="F301" s="16"/>
      <c r="G301" s="15"/>
      <c r="H301" s="16"/>
      <c r="I301" s="15"/>
      <c r="J301" s="16"/>
      <c r="K301" s="15"/>
      <c r="L301" s="16"/>
      <c r="M301" s="10"/>
    </row>
    <row r="302" spans="1:51" ht="30" customHeight="1" x14ac:dyDescent="0.3">
      <c r="A302" s="44" t="s">
        <v>1238</v>
      </c>
      <c r="B302" s="44"/>
      <c r="C302" s="44"/>
      <c r="D302" s="44"/>
      <c r="E302" s="45"/>
      <c r="F302" s="46"/>
      <c r="G302" s="45"/>
      <c r="H302" s="46"/>
      <c r="I302" s="45"/>
      <c r="J302" s="46"/>
      <c r="K302" s="45"/>
      <c r="L302" s="46"/>
      <c r="M302" s="44"/>
      <c r="N302" s="1" t="s">
        <v>292</v>
      </c>
    </row>
    <row r="303" spans="1:51" ht="30" customHeight="1" x14ac:dyDescent="0.3">
      <c r="A303" s="9" t="s">
        <v>1240</v>
      </c>
      <c r="B303" s="9" t="s">
        <v>1241</v>
      </c>
      <c r="C303" s="9" t="s">
        <v>68</v>
      </c>
      <c r="D303" s="10">
        <v>1.1000000000000001</v>
      </c>
      <c r="E303" s="15">
        <f>'단가대비표(총체)'!O50</f>
        <v>0</v>
      </c>
      <c r="F303" s="16">
        <f>TRUNC(E303*D303,1)</f>
        <v>0</v>
      </c>
      <c r="G303" s="15">
        <f>'단가대비표(총체)'!P50</f>
        <v>0</v>
      </c>
      <c r="H303" s="16">
        <f>TRUNC(G303*D303,1)</f>
        <v>0</v>
      </c>
      <c r="I303" s="15">
        <f>'단가대비표(총체)'!V50</f>
        <v>0</v>
      </c>
      <c r="J303" s="16">
        <f>TRUNC(I303*D303,1)</f>
        <v>0</v>
      </c>
      <c r="K303" s="15">
        <f t="shared" ref="K303:L307" si="54">TRUNC(E303+G303+I303,1)</f>
        <v>0</v>
      </c>
      <c r="L303" s="16">
        <f t="shared" si="54"/>
        <v>0</v>
      </c>
      <c r="M303" s="9" t="s">
        <v>52</v>
      </c>
      <c r="N303" s="2" t="s">
        <v>292</v>
      </c>
      <c r="O303" s="2" t="s">
        <v>1242</v>
      </c>
      <c r="P303" s="2" t="s">
        <v>61</v>
      </c>
      <c r="Q303" s="2" t="s">
        <v>61</v>
      </c>
      <c r="R303" s="2" t="s">
        <v>60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2" t="s">
        <v>52</v>
      </c>
      <c r="AW303" s="2" t="s">
        <v>1243</v>
      </c>
      <c r="AX303" s="2" t="s">
        <v>52</v>
      </c>
      <c r="AY303" s="2" t="s">
        <v>52</v>
      </c>
    </row>
    <row r="304" spans="1:51" ht="30" customHeight="1" x14ac:dyDescent="0.3">
      <c r="A304" s="9" t="s">
        <v>1067</v>
      </c>
      <c r="B304" s="9" t="s">
        <v>1068</v>
      </c>
      <c r="C304" s="9" t="s">
        <v>1021</v>
      </c>
      <c r="D304" s="10">
        <v>0.27</v>
      </c>
      <c r="E304" s="15">
        <f>'단가대비표(총체)'!O117</f>
        <v>0</v>
      </c>
      <c r="F304" s="16">
        <f>TRUNC(E304*D304,1)</f>
        <v>0</v>
      </c>
      <c r="G304" s="15">
        <f>'단가대비표(총체)'!P117</f>
        <v>0</v>
      </c>
      <c r="H304" s="16">
        <f>TRUNC(G304*D304,1)</f>
        <v>0</v>
      </c>
      <c r="I304" s="15">
        <f>'단가대비표(총체)'!V117</f>
        <v>0</v>
      </c>
      <c r="J304" s="16">
        <f>TRUNC(I304*D304,1)</f>
        <v>0</v>
      </c>
      <c r="K304" s="15">
        <f t="shared" si="54"/>
        <v>0</v>
      </c>
      <c r="L304" s="16">
        <f t="shared" si="54"/>
        <v>0</v>
      </c>
      <c r="M304" s="9" t="s">
        <v>52</v>
      </c>
      <c r="N304" s="2" t="s">
        <v>292</v>
      </c>
      <c r="O304" s="2" t="s">
        <v>1069</v>
      </c>
      <c r="P304" s="2" t="s">
        <v>61</v>
      </c>
      <c r="Q304" s="2" t="s">
        <v>61</v>
      </c>
      <c r="R304" s="2" t="s">
        <v>60</v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2" t="s">
        <v>52</v>
      </c>
      <c r="AW304" s="2" t="s">
        <v>1244</v>
      </c>
      <c r="AX304" s="2" t="s">
        <v>52</v>
      </c>
      <c r="AY304" s="2" t="s">
        <v>52</v>
      </c>
    </row>
    <row r="305" spans="1:51" ht="30" customHeight="1" x14ac:dyDescent="0.3">
      <c r="A305" s="9" t="s">
        <v>1071</v>
      </c>
      <c r="B305" s="9" t="s">
        <v>822</v>
      </c>
      <c r="C305" s="9" t="s">
        <v>823</v>
      </c>
      <c r="D305" s="10">
        <v>9.1999999999999998E-2</v>
      </c>
      <c r="E305" s="15">
        <f>'단가대비표(총체)'!O188</f>
        <v>0</v>
      </c>
      <c r="F305" s="16">
        <f>TRUNC(E305*D305,1)</f>
        <v>0</v>
      </c>
      <c r="G305" s="15">
        <f>'단가대비표(총체)'!P188</f>
        <v>0</v>
      </c>
      <c r="H305" s="16">
        <f>TRUNC(G305*D305,1)</f>
        <v>0</v>
      </c>
      <c r="I305" s="15">
        <f>'단가대비표(총체)'!V188</f>
        <v>0</v>
      </c>
      <c r="J305" s="16">
        <f>TRUNC(I305*D305,1)</f>
        <v>0</v>
      </c>
      <c r="K305" s="15">
        <f t="shared" si="54"/>
        <v>0</v>
      </c>
      <c r="L305" s="16">
        <f t="shared" si="54"/>
        <v>0</v>
      </c>
      <c r="M305" s="9" t="s">
        <v>52</v>
      </c>
      <c r="N305" s="2" t="s">
        <v>292</v>
      </c>
      <c r="O305" s="2" t="s">
        <v>1072</v>
      </c>
      <c r="P305" s="2" t="s">
        <v>61</v>
      </c>
      <c r="Q305" s="2" t="s">
        <v>61</v>
      </c>
      <c r="R305" s="2" t="s">
        <v>60</v>
      </c>
      <c r="S305" s="3"/>
      <c r="T305" s="3"/>
      <c r="U305" s="3"/>
      <c r="V305" s="3">
        <v>1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2" t="s">
        <v>52</v>
      </c>
      <c r="AW305" s="2" t="s">
        <v>1245</v>
      </c>
      <c r="AX305" s="2" t="s">
        <v>52</v>
      </c>
      <c r="AY305" s="2" t="s">
        <v>52</v>
      </c>
    </row>
    <row r="306" spans="1:51" ht="30" customHeight="1" x14ac:dyDescent="0.3">
      <c r="A306" s="9" t="s">
        <v>821</v>
      </c>
      <c r="B306" s="9" t="s">
        <v>822</v>
      </c>
      <c r="C306" s="9" t="s">
        <v>823</v>
      </c>
      <c r="D306" s="10">
        <v>8.9999999999999993E-3</v>
      </c>
      <c r="E306" s="15">
        <f>'단가대비표(총체)'!O180</f>
        <v>0</v>
      </c>
      <c r="F306" s="16">
        <f>TRUNC(E306*D306,1)</f>
        <v>0</v>
      </c>
      <c r="G306" s="15">
        <f>'단가대비표(총체)'!P180</f>
        <v>0</v>
      </c>
      <c r="H306" s="16">
        <f>TRUNC(G306*D306,1)</f>
        <v>0</v>
      </c>
      <c r="I306" s="15">
        <f>'단가대비표(총체)'!V180</f>
        <v>0</v>
      </c>
      <c r="J306" s="16">
        <f>TRUNC(I306*D306,1)</f>
        <v>0</v>
      </c>
      <c r="K306" s="15">
        <f t="shared" si="54"/>
        <v>0</v>
      </c>
      <c r="L306" s="16">
        <f t="shared" si="54"/>
        <v>0</v>
      </c>
      <c r="M306" s="9" t="s">
        <v>52</v>
      </c>
      <c r="N306" s="2" t="s">
        <v>292</v>
      </c>
      <c r="O306" s="2" t="s">
        <v>824</v>
      </c>
      <c r="P306" s="2" t="s">
        <v>61</v>
      </c>
      <c r="Q306" s="2" t="s">
        <v>61</v>
      </c>
      <c r="R306" s="2" t="s">
        <v>60</v>
      </c>
      <c r="S306" s="3"/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2" t="s">
        <v>52</v>
      </c>
      <c r="AW306" s="2" t="s">
        <v>1246</v>
      </c>
      <c r="AX306" s="2" t="s">
        <v>52</v>
      </c>
      <c r="AY306" s="2" t="s">
        <v>52</v>
      </c>
    </row>
    <row r="307" spans="1:51" ht="30" customHeight="1" x14ac:dyDescent="0.3">
      <c r="A307" s="9" t="s">
        <v>874</v>
      </c>
      <c r="B307" s="9" t="s">
        <v>875</v>
      </c>
      <c r="C307" s="9" t="s">
        <v>307</v>
      </c>
      <c r="D307" s="10">
        <v>1</v>
      </c>
      <c r="E307" s="15">
        <f>TRUNC(SUMIF(V303:V307, RIGHTB(O307, 1), H303:H307)*U307, 2)</f>
        <v>0</v>
      </c>
      <c r="F307" s="16">
        <f>TRUNC(E307*D307,1)</f>
        <v>0</v>
      </c>
      <c r="G307" s="15">
        <v>0</v>
      </c>
      <c r="H307" s="16">
        <f>TRUNC(G307*D307,1)</f>
        <v>0</v>
      </c>
      <c r="I307" s="15">
        <v>0</v>
      </c>
      <c r="J307" s="16">
        <f>TRUNC(I307*D307,1)</f>
        <v>0</v>
      </c>
      <c r="K307" s="15">
        <f t="shared" si="54"/>
        <v>0</v>
      </c>
      <c r="L307" s="16">
        <f t="shared" si="54"/>
        <v>0</v>
      </c>
      <c r="M307" s="9" t="s">
        <v>52</v>
      </c>
      <c r="N307" s="2" t="s">
        <v>292</v>
      </c>
      <c r="O307" s="2" t="s">
        <v>809</v>
      </c>
      <c r="P307" s="2" t="s">
        <v>61</v>
      </c>
      <c r="Q307" s="2" t="s">
        <v>61</v>
      </c>
      <c r="R307" s="2" t="s">
        <v>61</v>
      </c>
      <c r="S307" s="3">
        <v>1</v>
      </c>
      <c r="T307" s="3">
        <v>0</v>
      </c>
      <c r="U307" s="3">
        <v>0.03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2" t="s">
        <v>52</v>
      </c>
      <c r="AW307" s="2" t="s">
        <v>1247</v>
      </c>
      <c r="AX307" s="2" t="s">
        <v>52</v>
      </c>
      <c r="AY307" s="2" t="s">
        <v>52</v>
      </c>
    </row>
    <row r="308" spans="1:51" ht="30" customHeight="1" x14ac:dyDescent="0.3">
      <c r="A308" s="9" t="s">
        <v>811</v>
      </c>
      <c r="B308" s="9" t="s">
        <v>52</v>
      </c>
      <c r="C308" s="9" t="s">
        <v>52</v>
      </c>
      <c r="D308" s="10"/>
      <c r="E308" s="15"/>
      <c r="F308" s="16">
        <f>TRUNC(SUMIF(N303:N307, N302, F303:F307),0)</f>
        <v>0</v>
      </c>
      <c r="G308" s="15"/>
      <c r="H308" s="16">
        <f>TRUNC(SUMIF(N303:N307, N302, H303:H307),0)</f>
        <v>0</v>
      </c>
      <c r="I308" s="15"/>
      <c r="J308" s="16">
        <f>TRUNC(SUMIF(N303:N307, N302, J303:J307),0)</f>
        <v>0</v>
      </c>
      <c r="K308" s="15"/>
      <c r="L308" s="16">
        <f>F308+H308+J308</f>
        <v>0</v>
      </c>
      <c r="M308" s="9" t="s">
        <v>52</v>
      </c>
      <c r="N308" s="2" t="s">
        <v>94</v>
      </c>
      <c r="O308" s="2" t="s">
        <v>94</v>
      </c>
      <c r="P308" s="2" t="s">
        <v>52</v>
      </c>
      <c r="Q308" s="2" t="s">
        <v>52</v>
      </c>
      <c r="R308" s="2" t="s">
        <v>52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2" t="s">
        <v>52</v>
      </c>
      <c r="AW308" s="2" t="s">
        <v>52</v>
      </c>
      <c r="AX308" s="2" t="s">
        <v>52</v>
      </c>
      <c r="AY308" s="2" t="s">
        <v>52</v>
      </c>
    </row>
    <row r="309" spans="1:51" ht="30" customHeight="1" x14ac:dyDescent="0.3">
      <c r="A309" s="10"/>
      <c r="B309" s="10"/>
      <c r="C309" s="10"/>
      <c r="D309" s="10"/>
      <c r="E309" s="15"/>
      <c r="F309" s="16"/>
      <c r="G309" s="15"/>
      <c r="H309" s="16"/>
      <c r="I309" s="15"/>
      <c r="J309" s="16"/>
      <c r="K309" s="15"/>
      <c r="L309" s="16"/>
      <c r="M309" s="10"/>
    </row>
    <row r="310" spans="1:51" ht="30" customHeight="1" x14ac:dyDescent="0.3">
      <c r="A310" s="44" t="s">
        <v>1248</v>
      </c>
      <c r="B310" s="44"/>
      <c r="C310" s="44"/>
      <c r="D310" s="44"/>
      <c r="E310" s="45"/>
      <c r="F310" s="46"/>
      <c r="G310" s="45"/>
      <c r="H310" s="46"/>
      <c r="I310" s="45"/>
      <c r="J310" s="46"/>
      <c r="K310" s="45"/>
      <c r="L310" s="46"/>
      <c r="M310" s="44"/>
      <c r="N310" s="1" t="s">
        <v>296</v>
      </c>
    </row>
    <row r="311" spans="1:51" ht="30" customHeight="1" x14ac:dyDescent="0.3">
      <c r="A311" s="9" t="s">
        <v>1250</v>
      </c>
      <c r="B311" s="9" t="s">
        <v>1251</v>
      </c>
      <c r="C311" s="9" t="s">
        <v>68</v>
      </c>
      <c r="D311" s="10">
        <v>1</v>
      </c>
      <c r="E311" s="15">
        <f>'일위대가목록(총체)'!E161</f>
        <v>0</v>
      </c>
      <c r="F311" s="16">
        <f>TRUNC(E311*D311,1)</f>
        <v>0</v>
      </c>
      <c r="G311" s="15">
        <f>'일위대가목록(총체)'!F161</f>
        <v>0</v>
      </c>
      <c r="H311" s="16">
        <f>TRUNC(G311*D311,1)</f>
        <v>0</v>
      </c>
      <c r="I311" s="15">
        <f>'일위대가목록(총체)'!G161</f>
        <v>0</v>
      </c>
      <c r="J311" s="16">
        <f>TRUNC(I311*D311,1)</f>
        <v>0</v>
      </c>
      <c r="K311" s="15">
        <f t="shared" ref="K311:L313" si="55">TRUNC(E311+G311+I311,1)</f>
        <v>0</v>
      </c>
      <c r="L311" s="16">
        <f t="shared" si="55"/>
        <v>0</v>
      </c>
      <c r="M311" s="9" t="s">
        <v>52</v>
      </c>
      <c r="N311" s="2" t="s">
        <v>296</v>
      </c>
      <c r="O311" s="2" t="s">
        <v>1252</v>
      </c>
      <c r="P311" s="2" t="s">
        <v>60</v>
      </c>
      <c r="Q311" s="2" t="s">
        <v>61</v>
      </c>
      <c r="R311" s="2" t="s">
        <v>61</v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2" t="s">
        <v>52</v>
      </c>
      <c r="AW311" s="2" t="s">
        <v>1253</v>
      </c>
      <c r="AX311" s="2" t="s">
        <v>52</v>
      </c>
      <c r="AY311" s="2" t="s">
        <v>52</v>
      </c>
    </row>
    <row r="312" spans="1:51" ht="30" customHeight="1" x14ac:dyDescent="0.3">
      <c r="A312" s="9" t="s">
        <v>1254</v>
      </c>
      <c r="B312" s="9" t="s">
        <v>822</v>
      </c>
      <c r="C312" s="9" t="s">
        <v>823</v>
      </c>
      <c r="D312" s="10">
        <v>2.7E-2</v>
      </c>
      <c r="E312" s="15">
        <f>'단가대비표(총체)'!O200</f>
        <v>0</v>
      </c>
      <c r="F312" s="16">
        <f>TRUNC(E312*D312,1)</f>
        <v>0</v>
      </c>
      <c r="G312" s="15">
        <f>'단가대비표(총체)'!P200</f>
        <v>0</v>
      </c>
      <c r="H312" s="16">
        <f>TRUNC(G312*D312,1)</f>
        <v>0</v>
      </c>
      <c r="I312" s="15">
        <f>'단가대비표(총체)'!V200</f>
        <v>0</v>
      </c>
      <c r="J312" s="16">
        <f>TRUNC(I312*D312,1)</f>
        <v>0</v>
      </c>
      <c r="K312" s="15">
        <f t="shared" si="55"/>
        <v>0</v>
      </c>
      <c r="L312" s="16">
        <f t="shared" si="55"/>
        <v>0</v>
      </c>
      <c r="M312" s="9" t="s">
        <v>52</v>
      </c>
      <c r="N312" s="2" t="s">
        <v>296</v>
      </c>
      <c r="O312" s="2" t="s">
        <v>1255</v>
      </c>
      <c r="P312" s="2" t="s">
        <v>61</v>
      </c>
      <c r="Q312" s="2" t="s">
        <v>61</v>
      </c>
      <c r="R312" s="2" t="s">
        <v>60</v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2" t="s">
        <v>52</v>
      </c>
      <c r="AW312" s="2" t="s">
        <v>1256</v>
      </c>
      <c r="AX312" s="2" t="s">
        <v>52</v>
      </c>
      <c r="AY312" s="2" t="s">
        <v>52</v>
      </c>
    </row>
    <row r="313" spans="1:51" ht="30" customHeight="1" x14ac:dyDescent="0.3">
      <c r="A313" s="9" t="s">
        <v>821</v>
      </c>
      <c r="B313" s="9" t="s">
        <v>822</v>
      </c>
      <c r="C313" s="9" t="s">
        <v>823</v>
      </c>
      <c r="D313" s="10">
        <v>6.0000000000000001E-3</v>
      </c>
      <c r="E313" s="15">
        <f>'단가대비표(총체)'!O180</f>
        <v>0</v>
      </c>
      <c r="F313" s="16">
        <f>TRUNC(E313*D313,1)</f>
        <v>0</v>
      </c>
      <c r="G313" s="15">
        <f>'단가대비표(총체)'!P180</f>
        <v>0</v>
      </c>
      <c r="H313" s="16">
        <f>TRUNC(G313*D313,1)</f>
        <v>0</v>
      </c>
      <c r="I313" s="15">
        <f>'단가대비표(총체)'!V180</f>
        <v>0</v>
      </c>
      <c r="J313" s="16">
        <f>TRUNC(I313*D313,1)</f>
        <v>0</v>
      </c>
      <c r="K313" s="15">
        <f t="shared" si="55"/>
        <v>0</v>
      </c>
      <c r="L313" s="16">
        <f t="shared" si="55"/>
        <v>0</v>
      </c>
      <c r="M313" s="9" t="s">
        <v>52</v>
      </c>
      <c r="N313" s="2" t="s">
        <v>296</v>
      </c>
      <c r="O313" s="2" t="s">
        <v>824</v>
      </c>
      <c r="P313" s="2" t="s">
        <v>61</v>
      </c>
      <c r="Q313" s="2" t="s">
        <v>61</v>
      </c>
      <c r="R313" s="2" t="s">
        <v>60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2" t="s">
        <v>52</v>
      </c>
      <c r="AW313" s="2" t="s">
        <v>1257</v>
      </c>
      <c r="AX313" s="2" t="s">
        <v>52</v>
      </c>
      <c r="AY313" s="2" t="s">
        <v>52</v>
      </c>
    </row>
    <row r="314" spans="1:51" ht="30" customHeight="1" x14ac:dyDescent="0.3">
      <c r="A314" s="9" t="s">
        <v>811</v>
      </c>
      <c r="B314" s="9" t="s">
        <v>52</v>
      </c>
      <c r="C314" s="9" t="s">
        <v>52</v>
      </c>
      <c r="D314" s="10"/>
      <c r="E314" s="15"/>
      <c r="F314" s="16">
        <f>TRUNC(SUMIF(N311:N313, N310, F311:F313),0)</f>
        <v>0</v>
      </c>
      <c r="G314" s="15"/>
      <c r="H314" s="16">
        <f>TRUNC(SUMIF(N311:N313, N310, H311:H313),0)</f>
        <v>0</v>
      </c>
      <c r="I314" s="15"/>
      <c r="J314" s="16">
        <f>TRUNC(SUMIF(N311:N313, N310, J311:J313),0)</f>
        <v>0</v>
      </c>
      <c r="K314" s="15"/>
      <c r="L314" s="16">
        <f>F314+H314+J314</f>
        <v>0</v>
      </c>
      <c r="M314" s="9" t="s">
        <v>52</v>
      </c>
      <c r="N314" s="2" t="s">
        <v>94</v>
      </c>
      <c r="O314" s="2" t="s">
        <v>94</v>
      </c>
      <c r="P314" s="2" t="s">
        <v>52</v>
      </c>
      <c r="Q314" s="2" t="s">
        <v>52</v>
      </c>
      <c r="R314" s="2" t="s">
        <v>52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2" t="s">
        <v>52</v>
      </c>
      <c r="AW314" s="2" t="s">
        <v>52</v>
      </c>
      <c r="AX314" s="2" t="s">
        <v>52</v>
      </c>
      <c r="AY314" s="2" t="s">
        <v>52</v>
      </c>
    </row>
    <row r="315" spans="1:51" ht="30" customHeight="1" x14ac:dyDescent="0.3">
      <c r="A315" s="10"/>
      <c r="B315" s="10"/>
      <c r="C315" s="10"/>
      <c r="D315" s="10"/>
      <c r="E315" s="15"/>
      <c r="F315" s="16"/>
      <c r="G315" s="15"/>
      <c r="H315" s="16"/>
      <c r="I315" s="15"/>
      <c r="J315" s="16"/>
      <c r="K315" s="15"/>
      <c r="L315" s="16"/>
      <c r="M315" s="10"/>
    </row>
    <row r="316" spans="1:51" ht="30" customHeight="1" x14ac:dyDescent="0.3">
      <c r="A316" s="44" t="s">
        <v>1258</v>
      </c>
      <c r="B316" s="44"/>
      <c r="C316" s="44"/>
      <c r="D316" s="44"/>
      <c r="E316" s="45"/>
      <c r="F316" s="46"/>
      <c r="G316" s="45"/>
      <c r="H316" s="46"/>
      <c r="I316" s="45"/>
      <c r="J316" s="46"/>
      <c r="K316" s="45"/>
      <c r="L316" s="46"/>
      <c r="M316" s="44"/>
      <c r="N316" s="1" t="s">
        <v>299</v>
      </c>
    </row>
    <row r="317" spans="1:51" ht="30" customHeight="1" x14ac:dyDescent="0.3">
      <c r="A317" s="9" t="s">
        <v>1250</v>
      </c>
      <c r="B317" s="9" t="s">
        <v>1251</v>
      </c>
      <c r="C317" s="9" t="s">
        <v>68</v>
      </c>
      <c r="D317" s="10">
        <v>1</v>
      </c>
      <c r="E317" s="15">
        <f>'일위대가목록(총체)'!E161</f>
        <v>0</v>
      </c>
      <c r="F317" s="16">
        <f>TRUNC(E317*D317,1)</f>
        <v>0</v>
      </c>
      <c r="G317" s="15">
        <f>'일위대가목록(총체)'!F161</f>
        <v>0</v>
      </c>
      <c r="H317" s="16">
        <f>TRUNC(G317*D317,1)</f>
        <v>0</v>
      </c>
      <c r="I317" s="15">
        <f>'일위대가목록(총체)'!G161</f>
        <v>0</v>
      </c>
      <c r="J317" s="16">
        <f>TRUNC(I317*D317,1)</f>
        <v>0</v>
      </c>
      <c r="K317" s="15">
        <f t="shared" ref="K317:L320" si="56">TRUNC(E317+G317+I317,1)</f>
        <v>0</v>
      </c>
      <c r="L317" s="16">
        <f t="shared" si="56"/>
        <v>0</v>
      </c>
      <c r="M317" s="9" t="s">
        <v>52</v>
      </c>
      <c r="N317" s="2" t="s">
        <v>299</v>
      </c>
      <c r="O317" s="2" t="s">
        <v>1252</v>
      </c>
      <c r="P317" s="2" t="s">
        <v>60</v>
      </c>
      <c r="Q317" s="2" t="s">
        <v>61</v>
      </c>
      <c r="R317" s="2" t="s">
        <v>61</v>
      </c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2" t="s">
        <v>52</v>
      </c>
      <c r="AW317" s="2" t="s">
        <v>1260</v>
      </c>
      <c r="AX317" s="2" t="s">
        <v>52</v>
      </c>
      <c r="AY317" s="2" t="s">
        <v>52</v>
      </c>
    </row>
    <row r="318" spans="1:51" ht="30" customHeight="1" x14ac:dyDescent="0.3">
      <c r="A318" s="9" t="s">
        <v>1254</v>
      </c>
      <c r="B318" s="9" t="s">
        <v>822</v>
      </c>
      <c r="C318" s="9" t="s">
        <v>823</v>
      </c>
      <c r="D318" s="10">
        <v>2.7E-2</v>
      </c>
      <c r="E318" s="15">
        <f>'단가대비표(총체)'!O200</f>
        <v>0</v>
      </c>
      <c r="F318" s="16">
        <f>TRUNC(E318*D318,1)</f>
        <v>0</v>
      </c>
      <c r="G318" s="15">
        <f>'단가대비표(총체)'!P200</f>
        <v>0</v>
      </c>
      <c r="H318" s="16">
        <f>TRUNC(G318*D318,1)</f>
        <v>0</v>
      </c>
      <c r="I318" s="15">
        <f>'단가대비표(총체)'!V200</f>
        <v>0</v>
      </c>
      <c r="J318" s="16">
        <f>TRUNC(I318*D318,1)</f>
        <v>0</v>
      </c>
      <c r="K318" s="15">
        <f t="shared" si="56"/>
        <v>0</v>
      </c>
      <c r="L318" s="16">
        <f t="shared" si="56"/>
        <v>0</v>
      </c>
      <c r="M318" s="9" t="s">
        <v>52</v>
      </c>
      <c r="N318" s="2" t="s">
        <v>299</v>
      </c>
      <c r="O318" s="2" t="s">
        <v>1255</v>
      </c>
      <c r="P318" s="2" t="s">
        <v>61</v>
      </c>
      <c r="Q318" s="2" t="s">
        <v>61</v>
      </c>
      <c r="R318" s="2" t="s">
        <v>60</v>
      </c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2" t="s">
        <v>52</v>
      </c>
      <c r="AW318" s="2" t="s">
        <v>1261</v>
      </c>
      <c r="AX318" s="2" t="s">
        <v>52</v>
      </c>
      <c r="AY318" s="2" t="s">
        <v>52</v>
      </c>
    </row>
    <row r="319" spans="1:51" ht="30" customHeight="1" x14ac:dyDescent="0.3">
      <c r="A319" s="9" t="s">
        <v>821</v>
      </c>
      <c r="B319" s="9" t="s">
        <v>822</v>
      </c>
      <c r="C319" s="9" t="s">
        <v>823</v>
      </c>
      <c r="D319" s="10">
        <v>6.0000000000000001E-3</v>
      </c>
      <c r="E319" s="15">
        <f>'단가대비표(총체)'!O180</f>
        <v>0</v>
      </c>
      <c r="F319" s="16">
        <f>TRUNC(E319*D319,1)</f>
        <v>0</v>
      </c>
      <c r="G319" s="15">
        <f>'단가대비표(총체)'!P180</f>
        <v>0</v>
      </c>
      <c r="H319" s="16">
        <f>TRUNC(G319*D319,1)</f>
        <v>0</v>
      </c>
      <c r="I319" s="15">
        <f>'단가대비표(총체)'!V180</f>
        <v>0</v>
      </c>
      <c r="J319" s="16">
        <f>TRUNC(I319*D319,1)</f>
        <v>0</v>
      </c>
      <c r="K319" s="15">
        <f t="shared" si="56"/>
        <v>0</v>
      </c>
      <c r="L319" s="16">
        <f t="shared" si="56"/>
        <v>0</v>
      </c>
      <c r="M319" s="9" t="s">
        <v>52</v>
      </c>
      <c r="N319" s="2" t="s">
        <v>299</v>
      </c>
      <c r="O319" s="2" t="s">
        <v>824</v>
      </c>
      <c r="P319" s="2" t="s">
        <v>61</v>
      </c>
      <c r="Q319" s="2" t="s">
        <v>61</v>
      </c>
      <c r="R319" s="2" t="s">
        <v>60</v>
      </c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2" t="s">
        <v>52</v>
      </c>
      <c r="AW319" s="2" t="s">
        <v>1262</v>
      </c>
      <c r="AX319" s="2" t="s">
        <v>52</v>
      </c>
      <c r="AY319" s="2" t="s">
        <v>52</v>
      </c>
    </row>
    <row r="320" spans="1:51" ht="30" customHeight="1" x14ac:dyDescent="0.3">
      <c r="A320" s="9" t="s">
        <v>1263</v>
      </c>
      <c r="B320" s="9" t="s">
        <v>1264</v>
      </c>
      <c r="C320" s="9" t="s">
        <v>307</v>
      </c>
      <c r="D320" s="10">
        <v>1</v>
      </c>
      <c r="E320" s="15">
        <v>0</v>
      </c>
      <c r="F320" s="16">
        <f>TRUNC(E320*D320,1)</f>
        <v>0</v>
      </c>
      <c r="G320" s="15">
        <f>TRUNC(SUMIF(V317:V320, RIGHTB(O320, 1), H317:H320)*U320, 2)</f>
        <v>0</v>
      </c>
      <c r="H320" s="16">
        <f>TRUNC(G320*D320,1)</f>
        <v>0</v>
      </c>
      <c r="I320" s="15">
        <v>0</v>
      </c>
      <c r="J320" s="16">
        <f>TRUNC(I320*D320,1)</f>
        <v>0</v>
      </c>
      <c r="K320" s="15">
        <f t="shared" si="56"/>
        <v>0</v>
      </c>
      <c r="L320" s="16">
        <f t="shared" si="56"/>
        <v>0</v>
      </c>
      <c r="M320" s="9" t="s">
        <v>52</v>
      </c>
      <c r="N320" s="2" t="s">
        <v>299</v>
      </c>
      <c r="O320" s="2" t="s">
        <v>809</v>
      </c>
      <c r="P320" s="2" t="s">
        <v>61</v>
      </c>
      <c r="Q320" s="2" t="s">
        <v>61</v>
      </c>
      <c r="R320" s="2" t="s">
        <v>61</v>
      </c>
      <c r="S320" s="3">
        <v>1</v>
      </c>
      <c r="T320" s="3">
        <v>1</v>
      </c>
      <c r="U320" s="3">
        <v>0.3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2" t="s">
        <v>52</v>
      </c>
      <c r="AW320" s="2" t="s">
        <v>1265</v>
      </c>
      <c r="AX320" s="2" t="s">
        <v>52</v>
      </c>
      <c r="AY320" s="2" t="s">
        <v>52</v>
      </c>
    </row>
    <row r="321" spans="1:51" ht="30" customHeight="1" x14ac:dyDescent="0.3">
      <c r="A321" s="9" t="s">
        <v>811</v>
      </c>
      <c r="B321" s="9" t="s">
        <v>52</v>
      </c>
      <c r="C321" s="9" t="s">
        <v>52</v>
      </c>
      <c r="D321" s="10"/>
      <c r="E321" s="15"/>
      <c r="F321" s="16">
        <f>TRUNC(SUMIF(N317:N320, N316, F317:F320),0)</f>
        <v>0</v>
      </c>
      <c r="G321" s="15"/>
      <c r="H321" s="16">
        <f>TRUNC(SUMIF(N317:N320, N316, H317:H320),0)</f>
        <v>0</v>
      </c>
      <c r="I321" s="15"/>
      <c r="J321" s="16">
        <f>TRUNC(SUMIF(N317:N320, N316, J317:J320),0)</f>
        <v>0</v>
      </c>
      <c r="K321" s="15"/>
      <c r="L321" s="16">
        <f>F321+H321+J321</f>
        <v>0</v>
      </c>
      <c r="M321" s="9" t="s">
        <v>52</v>
      </c>
      <c r="N321" s="2" t="s">
        <v>94</v>
      </c>
      <c r="O321" s="2" t="s">
        <v>94</v>
      </c>
      <c r="P321" s="2" t="s">
        <v>52</v>
      </c>
      <c r="Q321" s="2" t="s">
        <v>52</v>
      </c>
      <c r="R321" s="2" t="s">
        <v>52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2" t="s">
        <v>52</v>
      </c>
      <c r="AW321" s="2" t="s">
        <v>52</v>
      </c>
      <c r="AX321" s="2" t="s">
        <v>52</v>
      </c>
      <c r="AY321" s="2" t="s">
        <v>52</v>
      </c>
    </row>
    <row r="322" spans="1:51" ht="30" customHeight="1" x14ac:dyDescent="0.3">
      <c r="A322" s="10"/>
      <c r="B322" s="10"/>
      <c r="C322" s="10"/>
      <c r="D322" s="10"/>
      <c r="E322" s="15"/>
      <c r="F322" s="16"/>
      <c r="G322" s="15"/>
      <c r="H322" s="16"/>
      <c r="I322" s="15"/>
      <c r="J322" s="16"/>
      <c r="K322" s="15"/>
      <c r="L322" s="16"/>
      <c r="M322" s="10"/>
    </row>
    <row r="323" spans="1:51" ht="30" customHeight="1" x14ac:dyDescent="0.3">
      <c r="A323" s="44" t="s">
        <v>1266</v>
      </c>
      <c r="B323" s="44"/>
      <c r="C323" s="44"/>
      <c r="D323" s="44"/>
      <c r="E323" s="45"/>
      <c r="F323" s="46"/>
      <c r="G323" s="45"/>
      <c r="H323" s="46"/>
      <c r="I323" s="45"/>
      <c r="J323" s="46"/>
      <c r="K323" s="45"/>
      <c r="L323" s="46"/>
      <c r="M323" s="44"/>
      <c r="N323" s="1" t="s">
        <v>303</v>
      </c>
    </row>
    <row r="324" spans="1:51" ht="30" customHeight="1" x14ac:dyDescent="0.3">
      <c r="A324" s="9" t="s">
        <v>250</v>
      </c>
      <c r="B324" s="9" t="s">
        <v>1268</v>
      </c>
      <c r="C324" s="9" t="s">
        <v>68</v>
      </c>
      <c r="D324" s="10">
        <v>1.05</v>
      </c>
      <c r="E324" s="15">
        <f>'단가대비표(총체)'!O73</f>
        <v>0</v>
      </c>
      <c r="F324" s="16">
        <f>TRUNC(E324*D324,1)</f>
        <v>0</v>
      </c>
      <c r="G324" s="15">
        <f>'단가대비표(총체)'!P73</f>
        <v>0</v>
      </c>
      <c r="H324" s="16">
        <f>TRUNC(G324*D324,1)</f>
        <v>0</v>
      </c>
      <c r="I324" s="15">
        <f>'단가대비표(총체)'!V73</f>
        <v>0</v>
      </c>
      <c r="J324" s="16">
        <f>TRUNC(I324*D324,1)</f>
        <v>0</v>
      </c>
      <c r="K324" s="15">
        <f>TRUNC(E324+G324+I324,1)</f>
        <v>0</v>
      </c>
      <c r="L324" s="16">
        <f>TRUNC(F324+H324+J324,1)</f>
        <v>0</v>
      </c>
      <c r="M324" s="9" t="s">
        <v>52</v>
      </c>
      <c r="N324" s="2" t="s">
        <v>303</v>
      </c>
      <c r="O324" s="2" t="s">
        <v>1269</v>
      </c>
      <c r="P324" s="2" t="s">
        <v>61</v>
      </c>
      <c r="Q324" s="2" t="s">
        <v>61</v>
      </c>
      <c r="R324" s="2" t="s">
        <v>60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2" t="s">
        <v>52</v>
      </c>
      <c r="AW324" s="2" t="s">
        <v>1270</v>
      </c>
      <c r="AX324" s="2" t="s">
        <v>52</v>
      </c>
      <c r="AY324" s="2" t="s">
        <v>52</v>
      </c>
    </row>
    <row r="325" spans="1:51" ht="30" customHeight="1" x14ac:dyDescent="0.3">
      <c r="A325" s="9" t="s">
        <v>1180</v>
      </c>
      <c r="B325" s="9" t="s">
        <v>1271</v>
      </c>
      <c r="C325" s="9" t="s">
        <v>68</v>
      </c>
      <c r="D325" s="10">
        <v>1</v>
      </c>
      <c r="E325" s="15">
        <f>'일위대가목록(총체)'!E162</f>
        <v>0</v>
      </c>
      <c r="F325" s="16">
        <f>TRUNC(E325*D325,1)</f>
        <v>0</v>
      </c>
      <c r="G325" s="15">
        <f>'일위대가목록(총체)'!F162</f>
        <v>0</v>
      </c>
      <c r="H325" s="16">
        <f>TRUNC(G325*D325,1)</f>
        <v>0</v>
      </c>
      <c r="I325" s="15">
        <f>'일위대가목록(총체)'!G162</f>
        <v>0</v>
      </c>
      <c r="J325" s="16">
        <f>TRUNC(I325*D325,1)</f>
        <v>0</v>
      </c>
      <c r="K325" s="15">
        <f>TRUNC(E325+G325+I325,1)</f>
        <v>0</v>
      </c>
      <c r="L325" s="16">
        <f>TRUNC(F325+H325+J325,1)</f>
        <v>0</v>
      </c>
      <c r="M325" s="9" t="s">
        <v>52</v>
      </c>
      <c r="N325" s="2" t="s">
        <v>303</v>
      </c>
      <c r="O325" s="2" t="s">
        <v>1272</v>
      </c>
      <c r="P325" s="2" t="s">
        <v>60</v>
      </c>
      <c r="Q325" s="2" t="s">
        <v>61</v>
      </c>
      <c r="R325" s="2" t="s">
        <v>61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2" t="s">
        <v>52</v>
      </c>
      <c r="AW325" s="2" t="s">
        <v>1273</v>
      </c>
      <c r="AX325" s="2" t="s">
        <v>52</v>
      </c>
      <c r="AY325" s="2" t="s">
        <v>52</v>
      </c>
    </row>
    <row r="326" spans="1:51" ht="30" customHeight="1" x14ac:dyDescent="0.3">
      <c r="A326" s="9" t="s">
        <v>811</v>
      </c>
      <c r="B326" s="9" t="s">
        <v>52</v>
      </c>
      <c r="C326" s="9" t="s">
        <v>52</v>
      </c>
      <c r="D326" s="10"/>
      <c r="E326" s="15"/>
      <c r="F326" s="16">
        <f>TRUNC(SUMIF(N324:N325, N323, F324:F325),0)</f>
        <v>0</v>
      </c>
      <c r="G326" s="15"/>
      <c r="H326" s="16">
        <f>TRUNC(SUMIF(N324:N325, N323, H324:H325),0)</f>
        <v>0</v>
      </c>
      <c r="I326" s="15"/>
      <c r="J326" s="16">
        <f>TRUNC(SUMIF(N324:N325, N323, J324:J325),0)</f>
        <v>0</v>
      </c>
      <c r="K326" s="15"/>
      <c r="L326" s="16">
        <f>F326+H326+J326</f>
        <v>0</v>
      </c>
      <c r="M326" s="9" t="s">
        <v>52</v>
      </c>
      <c r="N326" s="2" t="s">
        <v>94</v>
      </c>
      <c r="O326" s="2" t="s">
        <v>94</v>
      </c>
      <c r="P326" s="2" t="s">
        <v>52</v>
      </c>
      <c r="Q326" s="2" t="s">
        <v>52</v>
      </c>
      <c r="R326" s="2" t="s">
        <v>52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2" t="s">
        <v>52</v>
      </c>
      <c r="AW326" s="2" t="s">
        <v>52</v>
      </c>
      <c r="AX326" s="2" t="s">
        <v>52</v>
      </c>
      <c r="AY326" s="2" t="s">
        <v>52</v>
      </c>
    </row>
    <row r="327" spans="1:51" ht="30" customHeight="1" x14ac:dyDescent="0.3">
      <c r="A327" s="10"/>
      <c r="B327" s="10"/>
      <c r="C327" s="10"/>
      <c r="D327" s="10"/>
      <c r="E327" s="15"/>
      <c r="F327" s="16"/>
      <c r="G327" s="15"/>
      <c r="H327" s="16"/>
      <c r="I327" s="15"/>
      <c r="J327" s="16"/>
      <c r="K327" s="15"/>
      <c r="L327" s="16"/>
      <c r="M327" s="10"/>
    </row>
    <row r="328" spans="1:51" ht="30" customHeight="1" x14ac:dyDescent="0.3">
      <c r="A328" s="44" t="s">
        <v>1274</v>
      </c>
      <c r="B328" s="44"/>
      <c r="C328" s="44"/>
      <c r="D328" s="44"/>
      <c r="E328" s="45"/>
      <c r="F328" s="46"/>
      <c r="G328" s="45"/>
      <c r="H328" s="46"/>
      <c r="I328" s="45"/>
      <c r="J328" s="46"/>
      <c r="K328" s="45"/>
      <c r="L328" s="46"/>
      <c r="M328" s="44"/>
      <c r="N328" s="1" t="s">
        <v>308</v>
      </c>
    </row>
    <row r="329" spans="1:51" ht="30" customHeight="1" x14ac:dyDescent="0.3">
      <c r="A329" s="9" t="s">
        <v>1276</v>
      </c>
      <c r="B329" s="9" t="s">
        <v>1277</v>
      </c>
      <c r="C329" s="9" t="s">
        <v>320</v>
      </c>
      <c r="D329" s="10">
        <v>12</v>
      </c>
      <c r="E329" s="15">
        <f>'단가대비표(총체)'!O66</f>
        <v>0</v>
      </c>
      <c r="F329" s="16">
        <f t="shared" ref="F329:F335" si="57">TRUNC(E329*D329,1)</f>
        <v>0</v>
      </c>
      <c r="G329" s="15">
        <f>'단가대비표(총체)'!P66</f>
        <v>0</v>
      </c>
      <c r="H329" s="16">
        <f t="shared" ref="H329:H335" si="58">TRUNC(G329*D329,1)</f>
        <v>0</v>
      </c>
      <c r="I329" s="15">
        <f>'단가대비표(총체)'!V66</f>
        <v>0</v>
      </c>
      <c r="J329" s="16">
        <f t="shared" ref="J329:J335" si="59">TRUNC(I329*D329,1)</f>
        <v>0</v>
      </c>
      <c r="K329" s="15">
        <f t="shared" ref="K329:L335" si="60">TRUNC(E329+G329+I329,1)</f>
        <v>0</v>
      </c>
      <c r="L329" s="16">
        <f t="shared" si="60"/>
        <v>0</v>
      </c>
      <c r="M329" s="9" t="s">
        <v>52</v>
      </c>
      <c r="N329" s="2" t="s">
        <v>308</v>
      </c>
      <c r="O329" s="2" t="s">
        <v>1278</v>
      </c>
      <c r="P329" s="2" t="s">
        <v>61</v>
      </c>
      <c r="Q329" s="2" t="s">
        <v>61</v>
      </c>
      <c r="R329" s="2" t="s">
        <v>60</v>
      </c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2" t="s">
        <v>52</v>
      </c>
      <c r="AW329" s="2" t="s">
        <v>1279</v>
      </c>
      <c r="AX329" s="2" t="s">
        <v>52</v>
      </c>
      <c r="AY329" s="2" t="s">
        <v>52</v>
      </c>
    </row>
    <row r="330" spans="1:51" ht="30" customHeight="1" x14ac:dyDescent="0.3">
      <c r="A330" s="9" t="s">
        <v>1276</v>
      </c>
      <c r="B330" s="9" t="s">
        <v>1280</v>
      </c>
      <c r="C330" s="9" t="s">
        <v>320</v>
      </c>
      <c r="D330" s="10">
        <v>4</v>
      </c>
      <c r="E330" s="15">
        <f>'단가대비표(총체)'!O67</f>
        <v>0</v>
      </c>
      <c r="F330" s="16">
        <f t="shared" si="57"/>
        <v>0</v>
      </c>
      <c r="G330" s="15">
        <f>'단가대비표(총체)'!P67</f>
        <v>0</v>
      </c>
      <c r="H330" s="16">
        <f t="shared" si="58"/>
        <v>0</v>
      </c>
      <c r="I330" s="15">
        <f>'단가대비표(총체)'!V67</f>
        <v>0</v>
      </c>
      <c r="J330" s="16">
        <f t="shared" si="59"/>
        <v>0</v>
      </c>
      <c r="K330" s="15">
        <f t="shared" si="60"/>
        <v>0</v>
      </c>
      <c r="L330" s="16">
        <f t="shared" si="60"/>
        <v>0</v>
      </c>
      <c r="M330" s="9" t="s">
        <v>52</v>
      </c>
      <c r="N330" s="2" t="s">
        <v>308</v>
      </c>
      <c r="O330" s="2" t="s">
        <v>1281</v>
      </c>
      <c r="P330" s="2" t="s">
        <v>61</v>
      </c>
      <c r="Q330" s="2" t="s">
        <v>61</v>
      </c>
      <c r="R330" s="2" t="s">
        <v>60</v>
      </c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2" t="s">
        <v>52</v>
      </c>
      <c r="AW330" s="2" t="s">
        <v>1282</v>
      </c>
      <c r="AX330" s="2" t="s">
        <v>52</v>
      </c>
      <c r="AY330" s="2" t="s">
        <v>52</v>
      </c>
    </row>
    <row r="331" spans="1:51" ht="30" customHeight="1" x14ac:dyDescent="0.3">
      <c r="A331" s="9" t="s">
        <v>1276</v>
      </c>
      <c r="B331" s="9" t="s">
        <v>1283</v>
      </c>
      <c r="C331" s="9" t="s">
        <v>320</v>
      </c>
      <c r="D331" s="10">
        <v>4</v>
      </c>
      <c r="E331" s="15">
        <f>'단가대비표(총체)'!O68</f>
        <v>0</v>
      </c>
      <c r="F331" s="16">
        <f t="shared" si="57"/>
        <v>0</v>
      </c>
      <c r="G331" s="15">
        <f>'단가대비표(총체)'!P68</f>
        <v>0</v>
      </c>
      <c r="H331" s="16">
        <f t="shared" si="58"/>
        <v>0</v>
      </c>
      <c r="I331" s="15">
        <f>'단가대비표(총체)'!V68</f>
        <v>0</v>
      </c>
      <c r="J331" s="16">
        <f t="shared" si="59"/>
        <v>0</v>
      </c>
      <c r="K331" s="15">
        <f t="shared" si="60"/>
        <v>0</v>
      </c>
      <c r="L331" s="16">
        <f t="shared" si="60"/>
        <v>0</v>
      </c>
      <c r="M331" s="9" t="s">
        <v>52</v>
      </c>
      <c r="N331" s="2" t="s">
        <v>308</v>
      </c>
      <c r="O331" s="2" t="s">
        <v>1284</v>
      </c>
      <c r="P331" s="2" t="s">
        <v>61</v>
      </c>
      <c r="Q331" s="2" t="s">
        <v>61</v>
      </c>
      <c r="R331" s="2" t="s">
        <v>60</v>
      </c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2" t="s">
        <v>52</v>
      </c>
      <c r="AW331" s="2" t="s">
        <v>1285</v>
      </c>
      <c r="AX331" s="2" t="s">
        <v>52</v>
      </c>
      <c r="AY331" s="2" t="s">
        <v>52</v>
      </c>
    </row>
    <row r="332" spans="1:51" ht="30" customHeight="1" x14ac:dyDescent="0.3">
      <c r="A332" s="9" t="s">
        <v>1286</v>
      </c>
      <c r="B332" s="9" t="s">
        <v>1287</v>
      </c>
      <c r="C332" s="9" t="s">
        <v>320</v>
      </c>
      <c r="D332" s="10">
        <v>64</v>
      </c>
      <c r="E332" s="15">
        <f>'단가대비표(총체)'!O69</f>
        <v>0</v>
      </c>
      <c r="F332" s="16">
        <f t="shared" si="57"/>
        <v>0</v>
      </c>
      <c r="G332" s="15">
        <f>'단가대비표(총체)'!P69</f>
        <v>0</v>
      </c>
      <c r="H332" s="16">
        <f t="shared" si="58"/>
        <v>0</v>
      </c>
      <c r="I332" s="15">
        <f>'단가대비표(총체)'!V69</f>
        <v>0</v>
      </c>
      <c r="J332" s="16">
        <f t="shared" si="59"/>
        <v>0</v>
      </c>
      <c r="K332" s="15">
        <f t="shared" si="60"/>
        <v>0</v>
      </c>
      <c r="L332" s="16">
        <f t="shared" si="60"/>
        <v>0</v>
      </c>
      <c r="M332" s="9" t="s">
        <v>52</v>
      </c>
      <c r="N332" s="2" t="s">
        <v>308</v>
      </c>
      <c r="O332" s="2" t="s">
        <v>1288</v>
      </c>
      <c r="P332" s="2" t="s">
        <v>61</v>
      </c>
      <c r="Q332" s="2" t="s">
        <v>61</v>
      </c>
      <c r="R332" s="2" t="s">
        <v>60</v>
      </c>
      <c r="S332" s="3"/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2" t="s">
        <v>52</v>
      </c>
      <c r="AW332" s="2" t="s">
        <v>1289</v>
      </c>
      <c r="AX332" s="2" t="s">
        <v>52</v>
      </c>
      <c r="AY332" s="2" t="s">
        <v>52</v>
      </c>
    </row>
    <row r="333" spans="1:51" ht="30" customHeight="1" x14ac:dyDescent="0.3">
      <c r="A333" s="9" t="s">
        <v>1290</v>
      </c>
      <c r="B333" s="9" t="s">
        <v>1291</v>
      </c>
      <c r="C333" s="9" t="s">
        <v>320</v>
      </c>
      <c r="D333" s="10">
        <v>4</v>
      </c>
      <c r="E333" s="15">
        <f>'단가대비표(총체)'!O70</f>
        <v>0</v>
      </c>
      <c r="F333" s="16">
        <f t="shared" si="57"/>
        <v>0</v>
      </c>
      <c r="G333" s="15">
        <f>'단가대비표(총체)'!P70</f>
        <v>0</v>
      </c>
      <c r="H333" s="16">
        <f t="shared" si="58"/>
        <v>0</v>
      </c>
      <c r="I333" s="15">
        <f>'단가대비표(총체)'!V70</f>
        <v>0</v>
      </c>
      <c r="J333" s="16">
        <f t="shared" si="59"/>
        <v>0</v>
      </c>
      <c r="K333" s="15">
        <f t="shared" si="60"/>
        <v>0</v>
      </c>
      <c r="L333" s="16">
        <f t="shared" si="60"/>
        <v>0</v>
      </c>
      <c r="M333" s="9" t="s">
        <v>52</v>
      </c>
      <c r="N333" s="2" t="s">
        <v>308</v>
      </c>
      <c r="O333" s="2" t="s">
        <v>1292</v>
      </c>
      <c r="P333" s="2" t="s">
        <v>61</v>
      </c>
      <c r="Q333" s="2" t="s">
        <v>61</v>
      </c>
      <c r="R333" s="2" t="s">
        <v>60</v>
      </c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2" t="s">
        <v>52</v>
      </c>
      <c r="AW333" s="2" t="s">
        <v>1293</v>
      </c>
      <c r="AX333" s="2" t="s">
        <v>52</v>
      </c>
      <c r="AY333" s="2" t="s">
        <v>52</v>
      </c>
    </row>
    <row r="334" spans="1:51" ht="30" customHeight="1" x14ac:dyDescent="0.3">
      <c r="A334" s="9" t="s">
        <v>983</v>
      </c>
      <c r="B334" s="9" t="s">
        <v>875</v>
      </c>
      <c r="C334" s="9" t="s">
        <v>307</v>
      </c>
      <c r="D334" s="10">
        <v>1</v>
      </c>
      <c r="E334" s="15">
        <f>TRUNC(SUMIF(V329:V335, RIGHTB(O334, 1), H329:H335)*U334, 2)</f>
        <v>0</v>
      </c>
      <c r="F334" s="16">
        <f t="shared" si="57"/>
        <v>0</v>
      </c>
      <c r="G334" s="15">
        <v>0</v>
      </c>
      <c r="H334" s="16">
        <f t="shared" si="58"/>
        <v>0</v>
      </c>
      <c r="I334" s="15">
        <v>0</v>
      </c>
      <c r="J334" s="16">
        <f t="shared" si="59"/>
        <v>0</v>
      </c>
      <c r="K334" s="15">
        <f t="shared" si="60"/>
        <v>0</v>
      </c>
      <c r="L334" s="16">
        <f t="shared" si="60"/>
        <v>0</v>
      </c>
      <c r="M334" s="9" t="s">
        <v>52</v>
      </c>
      <c r="N334" s="2" t="s">
        <v>308</v>
      </c>
      <c r="O334" s="2" t="s">
        <v>809</v>
      </c>
      <c r="P334" s="2" t="s">
        <v>61</v>
      </c>
      <c r="Q334" s="2" t="s">
        <v>61</v>
      </c>
      <c r="R334" s="2" t="s">
        <v>61</v>
      </c>
      <c r="S334" s="3">
        <v>1</v>
      </c>
      <c r="T334" s="3">
        <v>0</v>
      </c>
      <c r="U334" s="3">
        <v>0.03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2" t="s">
        <v>52</v>
      </c>
      <c r="AW334" s="2" t="s">
        <v>1294</v>
      </c>
      <c r="AX334" s="2" t="s">
        <v>52</v>
      </c>
      <c r="AY334" s="2" t="s">
        <v>52</v>
      </c>
    </row>
    <row r="335" spans="1:51" ht="30" customHeight="1" x14ac:dyDescent="0.3">
      <c r="A335" s="9" t="s">
        <v>1295</v>
      </c>
      <c r="B335" s="9" t="s">
        <v>822</v>
      </c>
      <c r="C335" s="9" t="s">
        <v>823</v>
      </c>
      <c r="D335" s="10">
        <v>0.5</v>
      </c>
      <c r="E335" s="15">
        <f>'단가대비표(총체)'!O210</f>
        <v>0</v>
      </c>
      <c r="F335" s="16">
        <f t="shared" si="57"/>
        <v>0</v>
      </c>
      <c r="G335" s="15">
        <f>'단가대비표(총체)'!P210</f>
        <v>0</v>
      </c>
      <c r="H335" s="16">
        <f t="shared" si="58"/>
        <v>0</v>
      </c>
      <c r="I335" s="15">
        <f>'단가대비표(총체)'!V210</f>
        <v>0</v>
      </c>
      <c r="J335" s="16">
        <f t="shared" si="59"/>
        <v>0</v>
      </c>
      <c r="K335" s="15">
        <f t="shared" si="60"/>
        <v>0</v>
      </c>
      <c r="L335" s="16">
        <f t="shared" si="60"/>
        <v>0</v>
      </c>
      <c r="M335" s="9" t="s">
        <v>52</v>
      </c>
      <c r="N335" s="2" t="s">
        <v>308</v>
      </c>
      <c r="O335" s="2" t="s">
        <v>1296</v>
      </c>
      <c r="P335" s="2" t="s">
        <v>61</v>
      </c>
      <c r="Q335" s="2" t="s">
        <v>61</v>
      </c>
      <c r="R335" s="2" t="s">
        <v>60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2" t="s">
        <v>52</v>
      </c>
      <c r="AW335" s="2" t="s">
        <v>1297</v>
      </c>
      <c r="AX335" s="2" t="s">
        <v>52</v>
      </c>
      <c r="AY335" s="2" t="s">
        <v>52</v>
      </c>
    </row>
    <row r="336" spans="1:51" ht="30" customHeight="1" x14ac:dyDescent="0.3">
      <c r="A336" s="9" t="s">
        <v>811</v>
      </c>
      <c r="B336" s="9" t="s">
        <v>52</v>
      </c>
      <c r="C336" s="9" t="s">
        <v>52</v>
      </c>
      <c r="D336" s="10"/>
      <c r="E336" s="15"/>
      <c r="F336" s="16">
        <f>TRUNC(SUMIF(N329:N335, N328, F329:F335),0)</f>
        <v>0</v>
      </c>
      <c r="G336" s="15"/>
      <c r="H336" s="16">
        <f>TRUNC(SUMIF(N329:N335, N328, H329:H335),0)</f>
        <v>0</v>
      </c>
      <c r="I336" s="15"/>
      <c r="J336" s="16">
        <f>TRUNC(SUMIF(N329:N335, N328, J329:J335),0)</f>
        <v>0</v>
      </c>
      <c r="K336" s="15"/>
      <c r="L336" s="16">
        <f>F336+H336+J336</f>
        <v>0</v>
      </c>
      <c r="M336" s="9" t="s">
        <v>52</v>
      </c>
      <c r="N336" s="2" t="s">
        <v>94</v>
      </c>
      <c r="O336" s="2" t="s">
        <v>94</v>
      </c>
      <c r="P336" s="2" t="s">
        <v>52</v>
      </c>
      <c r="Q336" s="2" t="s">
        <v>52</v>
      </c>
      <c r="R336" s="2" t="s">
        <v>52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2" t="s">
        <v>52</v>
      </c>
      <c r="AW336" s="2" t="s">
        <v>52</v>
      </c>
      <c r="AX336" s="2" t="s">
        <v>52</v>
      </c>
      <c r="AY336" s="2" t="s">
        <v>52</v>
      </c>
    </row>
    <row r="337" spans="1:51" ht="30" customHeight="1" x14ac:dyDescent="0.3">
      <c r="A337" s="10"/>
      <c r="B337" s="10"/>
      <c r="C337" s="10"/>
      <c r="D337" s="10"/>
      <c r="E337" s="15"/>
      <c r="F337" s="16"/>
      <c r="G337" s="15"/>
      <c r="H337" s="16"/>
      <c r="I337" s="15"/>
      <c r="J337" s="16"/>
      <c r="K337" s="15"/>
      <c r="L337" s="16"/>
      <c r="M337" s="10"/>
    </row>
    <row r="338" spans="1:51" ht="30" customHeight="1" x14ac:dyDescent="0.3">
      <c r="A338" s="44" t="s">
        <v>1298</v>
      </c>
      <c r="B338" s="44"/>
      <c r="C338" s="44"/>
      <c r="D338" s="44"/>
      <c r="E338" s="45"/>
      <c r="F338" s="46"/>
      <c r="G338" s="45"/>
      <c r="H338" s="46"/>
      <c r="I338" s="45"/>
      <c r="J338" s="46"/>
      <c r="K338" s="45"/>
      <c r="L338" s="46"/>
      <c r="M338" s="44"/>
      <c r="N338" s="1" t="s">
        <v>311</v>
      </c>
    </row>
    <row r="339" spans="1:51" ht="30" customHeight="1" x14ac:dyDescent="0.3">
      <c r="A339" s="9" t="s">
        <v>1276</v>
      </c>
      <c r="B339" s="9" t="s">
        <v>1277</v>
      </c>
      <c r="C339" s="9" t="s">
        <v>320</v>
      </c>
      <c r="D339" s="10">
        <v>31</v>
      </c>
      <c r="E339" s="15">
        <f>'단가대비표(총체)'!O66</f>
        <v>0</v>
      </c>
      <c r="F339" s="16">
        <f t="shared" ref="F339:F345" si="61">TRUNC(E339*D339,1)</f>
        <v>0</v>
      </c>
      <c r="G339" s="15">
        <f>'단가대비표(총체)'!P66</f>
        <v>0</v>
      </c>
      <c r="H339" s="16">
        <f t="shared" ref="H339:H345" si="62">TRUNC(G339*D339,1)</f>
        <v>0</v>
      </c>
      <c r="I339" s="15">
        <f>'단가대비표(총체)'!V66</f>
        <v>0</v>
      </c>
      <c r="J339" s="16">
        <f t="shared" ref="J339:J345" si="63">TRUNC(I339*D339,1)</f>
        <v>0</v>
      </c>
      <c r="K339" s="15">
        <f t="shared" ref="K339:L345" si="64">TRUNC(E339+G339+I339,1)</f>
        <v>0</v>
      </c>
      <c r="L339" s="16">
        <f t="shared" si="64"/>
        <v>0</v>
      </c>
      <c r="M339" s="9" t="s">
        <v>52</v>
      </c>
      <c r="N339" s="2" t="s">
        <v>311</v>
      </c>
      <c r="O339" s="2" t="s">
        <v>1278</v>
      </c>
      <c r="P339" s="2" t="s">
        <v>61</v>
      </c>
      <c r="Q339" s="2" t="s">
        <v>61</v>
      </c>
      <c r="R339" s="2" t="s">
        <v>60</v>
      </c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2" t="s">
        <v>52</v>
      </c>
      <c r="AW339" s="2" t="s">
        <v>1300</v>
      </c>
      <c r="AX339" s="2" t="s">
        <v>52</v>
      </c>
      <c r="AY339" s="2" t="s">
        <v>52</v>
      </c>
    </row>
    <row r="340" spans="1:51" ht="30" customHeight="1" x14ac:dyDescent="0.3">
      <c r="A340" s="9" t="s">
        <v>1276</v>
      </c>
      <c r="B340" s="9" t="s">
        <v>1280</v>
      </c>
      <c r="C340" s="9" t="s">
        <v>320</v>
      </c>
      <c r="D340" s="10">
        <v>9</v>
      </c>
      <c r="E340" s="15">
        <f>'단가대비표(총체)'!O67</f>
        <v>0</v>
      </c>
      <c r="F340" s="16">
        <f t="shared" si="61"/>
        <v>0</v>
      </c>
      <c r="G340" s="15">
        <f>'단가대비표(총체)'!P67</f>
        <v>0</v>
      </c>
      <c r="H340" s="16">
        <f t="shared" si="62"/>
        <v>0</v>
      </c>
      <c r="I340" s="15">
        <f>'단가대비표(총체)'!V67</f>
        <v>0</v>
      </c>
      <c r="J340" s="16">
        <f t="shared" si="63"/>
        <v>0</v>
      </c>
      <c r="K340" s="15">
        <f t="shared" si="64"/>
        <v>0</v>
      </c>
      <c r="L340" s="16">
        <f t="shared" si="64"/>
        <v>0</v>
      </c>
      <c r="M340" s="9" t="s">
        <v>52</v>
      </c>
      <c r="N340" s="2" t="s">
        <v>311</v>
      </c>
      <c r="O340" s="2" t="s">
        <v>1281</v>
      </c>
      <c r="P340" s="2" t="s">
        <v>61</v>
      </c>
      <c r="Q340" s="2" t="s">
        <v>61</v>
      </c>
      <c r="R340" s="2" t="s">
        <v>60</v>
      </c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2" t="s">
        <v>52</v>
      </c>
      <c r="AW340" s="2" t="s">
        <v>1301</v>
      </c>
      <c r="AX340" s="2" t="s">
        <v>52</v>
      </c>
      <c r="AY340" s="2" t="s">
        <v>52</v>
      </c>
    </row>
    <row r="341" spans="1:51" ht="30" customHeight="1" x14ac:dyDescent="0.3">
      <c r="A341" s="9" t="s">
        <v>1276</v>
      </c>
      <c r="B341" s="9" t="s">
        <v>1283</v>
      </c>
      <c r="C341" s="9" t="s">
        <v>320</v>
      </c>
      <c r="D341" s="10">
        <v>10</v>
      </c>
      <c r="E341" s="15">
        <f>'단가대비표(총체)'!O68</f>
        <v>0</v>
      </c>
      <c r="F341" s="16">
        <f t="shared" si="61"/>
        <v>0</v>
      </c>
      <c r="G341" s="15">
        <f>'단가대비표(총체)'!P68</f>
        <v>0</v>
      </c>
      <c r="H341" s="16">
        <f t="shared" si="62"/>
        <v>0</v>
      </c>
      <c r="I341" s="15">
        <f>'단가대비표(총체)'!V68</f>
        <v>0</v>
      </c>
      <c r="J341" s="16">
        <f t="shared" si="63"/>
        <v>0</v>
      </c>
      <c r="K341" s="15">
        <f t="shared" si="64"/>
        <v>0</v>
      </c>
      <c r="L341" s="16">
        <f t="shared" si="64"/>
        <v>0</v>
      </c>
      <c r="M341" s="9" t="s">
        <v>52</v>
      </c>
      <c r="N341" s="2" t="s">
        <v>311</v>
      </c>
      <c r="O341" s="2" t="s">
        <v>1284</v>
      </c>
      <c r="P341" s="2" t="s">
        <v>61</v>
      </c>
      <c r="Q341" s="2" t="s">
        <v>61</v>
      </c>
      <c r="R341" s="2" t="s">
        <v>60</v>
      </c>
      <c r="S341" s="3"/>
      <c r="T341" s="3"/>
      <c r="U341" s="3"/>
      <c r="V341" s="3">
        <v>1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2" t="s">
        <v>52</v>
      </c>
      <c r="AW341" s="2" t="s">
        <v>1302</v>
      </c>
      <c r="AX341" s="2" t="s">
        <v>52</v>
      </c>
      <c r="AY341" s="2" t="s">
        <v>52</v>
      </c>
    </row>
    <row r="342" spans="1:51" ht="30" customHeight="1" x14ac:dyDescent="0.3">
      <c r="A342" s="9" t="s">
        <v>1286</v>
      </c>
      <c r="B342" s="9" t="s">
        <v>1287</v>
      </c>
      <c r="C342" s="9" t="s">
        <v>320</v>
      </c>
      <c r="D342" s="10">
        <v>175</v>
      </c>
      <c r="E342" s="15">
        <f>'단가대비표(총체)'!O69</f>
        <v>0</v>
      </c>
      <c r="F342" s="16">
        <f t="shared" si="61"/>
        <v>0</v>
      </c>
      <c r="G342" s="15">
        <f>'단가대비표(총체)'!P69</f>
        <v>0</v>
      </c>
      <c r="H342" s="16">
        <f t="shared" si="62"/>
        <v>0</v>
      </c>
      <c r="I342" s="15">
        <f>'단가대비표(총체)'!V69</f>
        <v>0</v>
      </c>
      <c r="J342" s="16">
        <f t="shared" si="63"/>
        <v>0</v>
      </c>
      <c r="K342" s="15">
        <f t="shared" si="64"/>
        <v>0</v>
      </c>
      <c r="L342" s="16">
        <f t="shared" si="64"/>
        <v>0</v>
      </c>
      <c r="M342" s="9" t="s">
        <v>52</v>
      </c>
      <c r="N342" s="2" t="s">
        <v>311</v>
      </c>
      <c r="O342" s="2" t="s">
        <v>1288</v>
      </c>
      <c r="P342" s="2" t="s">
        <v>61</v>
      </c>
      <c r="Q342" s="2" t="s">
        <v>61</v>
      </c>
      <c r="R342" s="2" t="s">
        <v>60</v>
      </c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2" t="s">
        <v>52</v>
      </c>
      <c r="AW342" s="2" t="s">
        <v>1303</v>
      </c>
      <c r="AX342" s="2" t="s">
        <v>52</v>
      </c>
      <c r="AY342" s="2" t="s">
        <v>52</v>
      </c>
    </row>
    <row r="343" spans="1:51" ht="30" customHeight="1" x14ac:dyDescent="0.3">
      <c r="A343" s="9" t="s">
        <v>1290</v>
      </c>
      <c r="B343" s="9" t="s">
        <v>1291</v>
      </c>
      <c r="C343" s="9" t="s">
        <v>320</v>
      </c>
      <c r="D343" s="10">
        <v>10</v>
      </c>
      <c r="E343" s="15">
        <f>'단가대비표(총체)'!O70</f>
        <v>0</v>
      </c>
      <c r="F343" s="16">
        <f t="shared" si="61"/>
        <v>0</v>
      </c>
      <c r="G343" s="15">
        <f>'단가대비표(총체)'!P70</f>
        <v>0</v>
      </c>
      <c r="H343" s="16">
        <f t="shared" si="62"/>
        <v>0</v>
      </c>
      <c r="I343" s="15">
        <f>'단가대비표(총체)'!V70</f>
        <v>0</v>
      </c>
      <c r="J343" s="16">
        <f t="shared" si="63"/>
        <v>0</v>
      </c>
      <c r="K343" s="15">
        <f t="shared" si="64"/>
        <v>0</v>
      </c>
      <c r="L343" s="16">
        <f t="shared" si="64"/>
        <v>0</v>
      </c>
      <c r="M343" s="9" t="s">
        <v>52</v>
      </c>
      <c r="N343" s="2" t="s">
        <v>311</v>
      </c>
      <c r="O343" s="2" t="s">
        <v>1292</v>
      </c>
      <c r="P343" s="2" t="s">
        <v>61</v>
      </c>
      <c r="Q343" s="2" t="s">
        <v>61</v>
      </c>
      <c r="R343" s="2" t="s">
        <v>60</v>
      </c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2" t="s">
        <v>52</v>
      </c>
      <c r="AW343" s="2" t="s">
        <v>1304</v>
      </c>
      <c r="AX343" s="2" t="s">
        <v>52</v>
      </c>
      <c r="AY343" s="2" t="s">
        <v>52</v>
      </c>
    </row>
    <row r="344" spans="1:51" ht="30" customHeight="1" x14ac:dyDescent="0.3">
      <c r="A344" s="9" t="s">
        <v>983</v>
      </c>
      <c r="B344" s="9" t="s">
        <v>875</v>
      </c>
      <c r="C344" s="9" t="s">
        <v>307</v>
      </c>
      <c r="D344" s="10">
        <v>1</v>
      </c>
      <c r="E344" s="15">
        <f>TRUNC(SUMIF(V339:V345, RIGHTB(O344, 1), H339:H345)*U344, 2)</f>
        <v>0</v>
      </c>
      <c r="F344" s="16">
        <f t="shared" si="61"/>
        <v>0</v>
      </c>
      <c r="G344" s="15">
        <v>0</v>
      </c>
      <c r="H344" s="16">
        <f t="shared" si="62"/>
        <v>0</v>
      </c>
      <c r="I344" s="15">
        <v>0</v>
      </c>
      <c r="J344" s="16">
        <f t="shared" si="63"/>
        <v>0</v>
      </c>
      <c r="K344" s="15">
        <f t="shared" si="64"/>
        <v>0</v>
      </c>
      <c r="L344" s="16">
        <f t="shared" si="64"/>
        <v>0</v>
      </c>
      <c r="M344" s="9" t="s">
        <v>52</v>
      </c>
      <c r="N344" s="2" t="s">
        <v>311</v>
      </c>
      <c r="O344" s="2" t="s">
        <v>809</v>
      </c>
      <c r="P344" s="2" t="s">
        <v>61</v>
      </c>
      <c r="Q344" s="2" t="s">
        <v>61</v>
      </c>
      <c r="R344" s="2" t="s">
        <v>61</v>
      </c>
      <c r="S344" s="3">
        <v>1</v>
      </c>
      <c r="T344" s="3">
        <v>0</v>
      </c>
      <c r="U344" s="3">
        <v>0.03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2" t="s">
        <v>52</v>
      </c>
      <c r="AW344" s="2" t="s">
        <v>1305</v>
      </c>
      <c r="AX344" s="2" t="s">
        <v>52</v>
      </c>
      <c r="AY344" s="2" t="s">
        <v>52</v>
      </c>
    </row>
    <row r="345" spans="1:51" ht="30" customHeight="1" x14ac:dyDescent="0.3">
      <c r="A345" s="9" t="s">
        <v>1295</v>
      </c>
      <c r="B345" s="9" t="s">
        <v>822</v>
      </c>
      <c r="C345" s="9" t="s">
        <v>823</v>
      </c>
      <c r="D345" s="10">
        <v>1</v>
      </c>
      <c r="E345" s="15">
        <f>'단가대비표(총체)'!O210</f>
        <v>0</v>
      </c>
      <c r="F345" s="16">
        <f t="shared" si="61"/>
        <v>0</v>
      </c>
      <c r="G345" s="15">
        <f>'단가대비표(총체)'!P210</f>
        <v>0</v>
      </c>
      <c r="H345" s="16">
        <f t="shared" si="62"/>
        <v>0</v>
      </c>
      <c r="I345" s="15">
        <f>'단가대비표(총체)'!V210</f>
        <v>0</v>
      </c>
      <c r="J345" s="16">
        <f t="shared" si="63"/>
        <v>0</v>
      </c>
      <c r="K345" s="15">
        <f t="shared" si="64"/>
        <v>0</v>
      </c>
      <c r="L345" s="16">
        <f t="shared" si="64"/>
        <v>0</v>
      </c>
      <c r="M345" s="9" t="s">
        <v>52</v>
      </c>
      <c r="N345" s="2" t="s">
        <v>311</v>
      </c>
      <c r="O345" s="2" t="s">
        <v>1296</v>
      </c>
      <c r="P345" s="2" t="s">
        <v>61</v>
      </c>
      <c r="Q345" s="2" t="s">
        <v>61</v>
      </c>
      <c r="R345" s="2" t="s">
        <v>60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2" t="s">
        <v>52</v>
      </c>
      <c r="AW345" s="2" t="s">
        <v>1306</v>
      </c>
      <c r="AX345" s="2" t="s">
        <v>52</v>
      </c>
      <c r="AY345" s="2" t="s">
        <v>52</v>
      </c>
    </row>
    <row r="346" spans="1:51" ht="30" customHeight="1" x14ac:dyDescent="0.3">
      <c r="A346" s="9" t="s">
        <v>811</v>
      </c>
      <c r="B346" s="9" t="s">
        <v>52</v>
      </c>
      <c r="C346" s="9" t="s">
        <v>52</v>
      </c>
      <c r="D346" s="10"/>
      <c r="E346" s="15"/>
      <c r="F346" s="16">
        <f>TRUNC(SUMIF(N339:N345, N338, F339:F345),0)</f>
        <v>0</v>
      </c>
      <c r="G346" s="15"/>
      <c r="H346" s="16">
        <f>TRUNC(SUMIF(N339:N345, N338, H339:H345),0)</f>
        <v>0</v>
      </c>
      <c r="I346" s="15"/>
      <c r="J346" s="16">
        <f>TRUNC(SUMIF(N339:N345, N338, J339:J345),0)</f>
        <v>0</v>
      </c>
      <c r="K346" s="15"/>
      <c r="L346" s="16">
        <f>F346+H346+J346</f>
        <v>0</v>
      </c>
      <c r="M346" s="9" t="s">
        <v>52</v>
      </c>
      <c r="N346" s="2" t="s">
        <v>94</v>
      </c>
      <c r="O346" s="2" t="s">
        <v>94</v>
      </c>
      <c r="P346" s="2" t="s">
        <v>52</v>
      </c>
      <c r="Q346" s="2" t="s">
        <v>52</v>
      </c>
      <c r="R346" s="2" t="s">
        <v>52</v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2" t="s">
        <v>52</v>
      </c>
      <c r="AW346" s="2" t="s">
        <v>52</v>
      </c>
      <c r="AX346" s="2" t="s">
        <v>52</v>
      </c>
      <c r="AY346" s="2" t="s">
        <v>52</v>
      </c>
    </row>
    <row r="347" spans="1:51" ht="30" customHeight="1" x14ac:dyDescent="0.3">
      <c r="A347" s="10"/>
      <c r="B347" s="10"/>
      <c r="C347" s="10"/>
      <c r="D347" s="10"/>
      <c r="E347" s="15"/>
      <c r="F347" s="16"/>
      <c r="G347" s="15"/>
      <c r="H347" s="16"/>
      <c r="I347" s="15"/>
      <c r="J347" s="16"/>
      <c r="K347" s="15"/>
      <c r="L347" s="16"/>
      <c r="M347" s="10"/>
    </row>
    <row r="348" spans="1:51" ht="30" customHeight="1" x14ac:dyDescent="0.3">
      <c r="A348" s="44" t="s">
        <v>1307</v>
      </c>
      <c r="B348" s="44"/>
      <c r="C348" s="44"/>
      <c r="D348" s="44"/>
      <c r="E348" s="45"/>
      <c r="F348" s="46"/>
      <c r="G348" s="45"/>
      <c r="H348" s="46"/>
      <c r="I348" s="45"/>
      <c r="J348" s="46"/>
      <c r="K348" s="45"/>
      <c r="L348" s="46"/>
      <c r="M348" s="44"/>
      <c r="N348" s="1" t="s">
        <v>335</v>
      </c>
    </row>
    <row r="349" spans="1:51" ht="30" customHeight="1" x14ac:dyDescent="0.3">
      <c r="A349" s="9" t="s">
        <v>329</v>
      </c>
      <c r="B349" s="9" t="s">
        <v>1309</v>
      </c>
      <c r="C349" s="9" t="s">
        <v>82</v>
      </c>
      <c r="D349" s="10">
        <v>1.1000000000000001</v>
      </c>
      <c r="E349" s="15">
        <f>'단가대비표(총체)'!O57</f>
        <v>0</v>
      </c>
      <c r="F349" s="16">
        <f>TRUNC(E349*D349,1)</f>
        <v>0</v>
      </c>
      <c r="G349" s="15">
        <f>'단가대비표(총체)'!P57</f>
        <v>0</v>
      </c>
      <c r="H349" s="16">
        <f>TRUNC(G349*D349,1)</f>
        <v>0</v>
      </c>
      <c r="I349" s="15">
        <f>'단가대비표(총체)'!V57</f>
        <v>0</v>
      </c>
      <c r="J349" s="16">
        <f>TRUNC(I349*D349,1)</f>
        <v>0</v>
      </c>
      <c r="K349" s="15">
        <f t="shared" ref="K349:L351" si="65">TRUNC(E349+G349+I349,1)</f>
        <v>0</v>
      </c>
      <c r="L349" s="16">
        <f t="shared" si="65"/>
        <v>0</v>
      </c>
      <c r="M349" s="9" t="s">
        <v>52</v>
      </c>
      <c r="N349" s="2" t="s">
        <v>335</v>
      </c>
      <c r="O349" s="2" t="s">
        <v>1310</v>
      </c>
      <c r="P349" s="2" t="s">
        <v>61</v>
      </c>
      <c r="Q349" s="2" t="s">
        <v>61</v>
      </c>
      <c r="R349" s="2" t="s">
        <v>60</v>
      </c>
      <c r="S349" s="3"/>
      <c r="T349" s="3"/>
      <c r="U349" s="3"/>
      <c r="V349" s="3">
        <v>1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2" t="s">
        <v>52</v>
      </c>
      <c r="AW349" s="2" t="s">
        <v>1311</v>
      </c>
      <c r="AX349" s="2" t="s">
        <v>52</v>
      </c>
      <c r="AY349" s="2" t="s">
        <v>52</v>
      </c>
    </row>
    <row r="350" spans="1:51" ht="30" customHeight="1" x14ac:dyDescent="0.3">
      <c r="A350" s="9" t="s">
        <v>983</v>
      </c>
      <c r="B350" s="9" t="s">
        <v>1312</v>
      </c>
      <c r="C350" s="9" t="s">
        <v>307</v>
      </c>
      <c r="D350" s="10">
        <v>1</v>
      </c>
      <c r="E350" s="15">
        <f>TRUNC(SUMIF(V349:V351, RIGHTB(O350, 1), F349:F351)*U350, 2)</f>
        <v>0</v>
      </c>
      <c r="F350" s="16">
        <f>TRUNC(E350*D350,1)</f>
        <v>0</v>
      </c>
      <c r="G350" s="15">
        <v>0</v>
      </c>
      <c r="H350" s="16">
        <f>TRUNC(G350*D350,1)</f>
        <v>0</v>
      </c>
      <c r="I350" s="15">
        <v>0</v>
      </c>
      <c r="J350" s="16">
        <f>TRUNC(I350*D350,1)</f>
        <v>0</v>
      </c>
      <c r="K350" s="15">
        <f t="shared" si="65"/>
        <v>0</v>
      </c>
      <c r="L350" s="16">
        <f t="shared" si="65"/>
        <v>0</v>
      </c>
      <c r="M350" s="9" t="s">
        <v>52</v>
      </c>
      <c r="N350" s="2" t="s">
        <v>335</v>
      </c>
      <c r="O350" s="2" t="s">
        <v>809</v>
      </c>
      <c r="P350" s="2" t="s">
        <v>61</v>
      </c>
      <c r="Q350" s="2" t="s">
        <v>61</v>
      </c>
      <c r="R350" s="2" t="s">
        <v>61</v>
      </c>
      <c r="S350" s="3">
        <v>0</v>
      </c>
      <c r="T350" s="3">
        <v>0</v>
      </c>
      <c r="U350" s="3">
        <v>0.05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2" t="s">
        <v>52</v>
      </c>
      <c r="AW350" s="2" t="s">
        <v>1313</v>
      </c>
      <c r="AX350" s="2" t="s">
        <v>52</v>
      </c>
      <c r="AY350" s="2" t="s">
        <v>52</v>
      </c>
    </row>
    <row r="351" spans="1:51" ht="30" customHeight="1" x14ac:dyDescent="0.3">
      <c r="A351" s="9" t="s">
        <v>1314</v>
      </c>
      <c r="B351" s="9" t="s">
        <v>52</v>
      </c>
      <c r="C351" s="9" t="s">
        <v>82</v>
      </c>
      <c r="D351" s="10">
        <v>1</v>
      </c>
      <c r="E351" s="15">
        <f>'일위대가목록(총체)'!E163</f>
        <v>0</v>
      </c>
      <c r="F351" s="16">
        <f>TRUNC(E351*D351,1)</f>
        <v>0</v>
      </c>
      <c r="G351" s="15">
        <f>'일위대가목록(총체)'!F163</f>
        <v>0</v>
      </c>
      <c r="H351" s="16">
        <f>TRUNC(G351*D351,1)</f>
        <v>0</v>
      </c>
      <c r="I351" s="15">
        <f>'일위대가목록(총체)'!G163</f>
        <v>0</v>
      </c>
      <c r="J351" s="16">
        <f>TRUNC(I351*D351,1)</f>
        <v>0</v>
      </c>
      <c r="K351" s="15">
        <f t="shared" si="65"/>
        <v>0</v>
      </c>
      <c r="L351" s="16">
        <f t="shared" si="65"/>
        <v>0</v>
      </c>
      <c r="M351" s="9" t="s">
        <v>52</v>
      </c>
      <c r="N351" s="2" t="s">
        <v>335</v>
      </c>
      <c r="O351" s="2" t="s">
        <v>1315</v>
      </c>
      <c r="P351" s="2" t="s">
        <v>60</v>
      </c>
      <c r="Q351" s="2" t="s">
        <v>61</v>
      </c>
      <c r="R351" s="2" t="s">
        <v>61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2" t="s">
        <v>52</v>
      </c>
      <c r="AW351" s="2" t="s">
        <v>1316</v>
      </c>
      <c r="AX351" s="2" t="s">
        <v>52</v>
      </c>
      <c r="AY351" s="2" t="s">
        <v>52</v>
      </c>
    </row>
    <row r="352" spans="1:51" ht="30" customHeight="1" x14ac:dyDescent="0.3">
      <c r="A352" s="9" t="s">
        <v>811</v>
      </c>
      <c r="B352" s="9" t="s">
        <v>52</v>
      </c>
      <c r="C352" s="9" t="s">
        <v>52</v>
      </c>
      <c r="D352" s="10"/>
      <c r="E352" s="15"/>
      <c r="F352" s="16">
        <f>TRUNC(SUMIF(N349:N351, N348, F349:F351),0)</f>
        <v>0</v>
      </c>
      <c r="G352" s="15"/>
      <c r="H352" s="16">
        <f>TRUNC(SUMIF(N349:N351, N348, H349:H351),0)</f>
        <v>0</v>
      </c>
      <c r="I352" s="15"/>
      <c r="J352" s="16">
        <f>TRUNC(SUMIF(N349:N351, N348, J349:J351),0)</f>
        <v>0</v>
      </c>
      <c r="K352" s="15"/>
      <c r="L352" s="16">
        <f>F352+H352+J352</f>
        <v>0</v>
      </c>
      <c r="M352" s="9" t="s">
        <v>52</v>
      </c>
      <c r="N352" s="2" t="s">
        <v>94</v>
      </c>
      <c r="O352" s="2" t="s">
        <v>94</v>
      </c>
      <c r="P352" s="2" t="s">
        <v>52</v>
      </c>
      <c r="Q352" s="2" t="s">
        <v>52</v>
      </c>
      <c r="R352" s="2" t="s">
        <v>52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2" t="s">
        <v>52</v>
      </c>
      <c r="AW352" s="2" t="s">
        <v>52</v>
      </c>
      <c r="AX352" s="2" t="s">
        <v>52</v>
      </c>
      <c r="AY352" s="2" t="s">
        <v>52</v>
      </c>
    </row>
    <row r="353" spans="1:51" ht="30" customHeight="1" x14ac:dyDescent="0.3">
      <c r="A353" s="10"/>
      <c r="B353" s="10"/>
      <c r="C353" s="10"/>
      <c r="D353" s="10"/>
      <c r="E353" s="15"/>
      <c r="F353" s="16"/>
      <c r="G353" s="15"/>
      <c r="H353" s="16"/>
      <c r="I353" s="15"/>
      <c r="J353" s="16"/>
      <c r="K353" s="15"/>
      <c r="L353" s="16"/>
      <c r="M353" s="10"/>
    </row>
    <row r="354" spans="1:51" ht="30" customHeight="1" x14ac:dyDescent="0.3">
      <c r="A354" s="44" t="s">
        <v>1317</v>
      </c>
      <c r="B354" s="44"/>
      <c r="C354" s="44"/>
      <c r="D354" s="44"/>
      <c r="E354" s="45"/>
      <c r="F354" s="46"/>
      <c r="G354" s="45"/>
      <c r="H354" s="46"/>
      <c r="I354" s="45"/>
      <c r="J354" s="46"/>
      <c r="K354" s="45"/>
      <c r="L354" s="46"/>
      <c r="M354" s="44"/>
      <c r="N354" s="1" t="s">
        <v>338</v>
      </c>
    </row>
    <row r="355" spans="1:51" ht="30" customHeight="1" x14ac:dyDescent="0.3">
      <c r="A355" s="9" t="s">
        <v>329</v>
      </c>
      <c r="B355" s="9" t="s">
        <v>1319</v>
      </c>
      <c r="C355" s="9" t="s">
        <v>82</v>
      </c>
      <c r="D355" s="10">
        <v>1.1000000000000001</v>
      </c>
      <c r="E355" s="15">
        <f>'단가대비표(총체)'!O65</f>
        <v>0</v>
      </c>
      <c r="F355" s="16">
        <f>TRUNC(E355*D355,1)</f>
        <v>0</v>
      </c>
      <c r="G355" s="15">
        <f>'단가대비표(총체)'!P65</f>
        <v>0</v>
      </c>
      <c r="H355" s="16">
        <f>TRUNC(G355*D355,1)</f>
        <v>0</v>
      </c>
      <c r="I355" s="15">
        <f>'단가대비표(총체)'!V65</f>
        <v>0</v>
      </c>
      <c r="J355" s="16">
        <f>TRUNC(I355*D355,1)</f>
        <v>0</v>
      </c>
      <c r="K355" s="15">
        <f t="shared" ref="K355:L357" si="66">TRUNC(E355+G355+I355,1)</f>
        <v>0</v>
      </c>
      <c r="L355" s="16">
        <f t="shared" si="66"/>
        <v>0</v>
      </c>
      <c r="M355" s="9" t="s">
        <v>52</v>
      </c>
      <c r="N355" s="2" t="s">
        <v>338</v>
      </c>
      <c r="O355" s="2" t="s">
        <v>1320</v>
      </c>
      <c r="P355" s="2" t="s">
        <v>61</v>
      </c>
      <c r="Q355" s="2" t="s">
        <v>61</v>
      </c>
      <c r="R355" s="2" t="s">
        <v>60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2" t="s">
        <v>52</v>
      </c>
      <c r="AW355" s="2" t="s">
        <v>1321</v>
      </c>
      <c r="AX355" s="2" t="s">
        <v>52</v>
      </c>
      <c r="AY355" s="2" t="s">
        <v>52</v>
      </c>
    </row>
    <row r="356" spans="1:51" ht="30" customHeight="1" x14ac:dyDescent="0.3">
      <c r="A356" s="9" t="s">
        <v>983</v>
      </c>
      <c r="B356" s="9" t="s">
        <v>1312</v>
      </c>
      <c r="C356" s="9" t="s">
        <v>307</v>
      </c>
      <c r="D356" s="10">
        <v>1</v>
      </c>
      <c r="E356" s="15">
        <f>TRUNC(SUMIF(V355:V357, RIGHTB(O356, 1), F355:F357)*U356, 2)</f>
        <v>0</v>
      </c>
      <c r="F356" s="16">
        <f>TRUNC(E356*D356,1)</f>
        <v>0</v>
      </c>
      <c r="G356" s="15">
        <v>0</v>
      </c>
      <c r="H356" s="16">
        <f>TRUNC(G356*D356,1)</f>
        <v>0</v>
      </c>
      <c r="I356" s="15">
        <v>0</v>
      </c>
      <c r="J356" s="16">
        <f>TRUNC(I356*D356,1)</f>
        <v>0</v>
      </c>
      <c r="K356" s="15">
        <f t="shared" si="66"/>
        <v>0</v>
      </c>
      <c r="L356" s="16">
        <f t="shared" si="66"/>
        <v>0</v>
      </c>
      <c r="M356" s="9" t="s">
        <v>52</v>
      </c>
      <c r="N356" s="2" t="s">
        <v>338</v>
      </c>
      <c r="O356" s="2" t="s">
        <v>809</v>
      </c>
      <c r="P356" s="2" t="s">
        <v>61</v>
      </c>
      <c r="Q356" s="2" t="s">
        <v>61</v>
      </c>
      <c r="R356" s="2" t="s">
        <v>61</v>
      </c>
      <c r="S356" s="3">
        <v>0</v>
      </c>
      <c r="T356" s="3">
        <v>0</v>
      </c>
      <c r="U356" s="3">
        <v>0.05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2" t="s">
        <v>52</v>
      </c>
      <c r="AW356" s="2" t="s">
        <v>1322</v>
      </c>
      <c r="AX356" s="2" t="s">
        <v>52</v>
      </c>
      <c r="AY356" s="2" t="s">
        <v>52</v>
      </c>
    </row>
    <row r="357" spans="1:51" ht="30" customHeight="1" x14ac:dyDescent="0.3">
      <c r="A357" s="9" t="s">
        <v>1314</v>
      </c>
      <c r="B357" s="9" t="s">
        <v>52</v>
      </c>
      <c r="C357" s="9" t="s">
        <v>82</v>
      </c>
      <c r="D357" s="10">
        <v>1</v>
      </c>
      <c r="E357" s="15">
        <f>'일위대가목록(총체)'!E163</f>
        <v>0</v>
      </c>
      <c r="F357" s="16">
        <f>TRUNC(E357*D357,1)</f>
        <v>0</v>
      </c>
      <c r="G357" s="15">
        <f>'일위대가목록(총체)'!F163</f>
        <v>0</v>
      </c>
      <c r="H357" s="16">
        <f>TRUNC(G357*D357,1)</f>
        <v>0</v>
      </c>
      <c r="I357" s="15">
        <f>'일위대가목록(총체)'!G163</f>
        <v>0</v>
      </c>
      <c r="J357" s="16">
        <f>TRUNC(I357*D357,1)</f>
        <v>0</v>
      </c>
      <c r="K357" s="15">
        <f t="shared" si="66"/>
        <v>0</v>
      </c>
      <c r="L357" s="16">
        <f t="shared" si="66"/>
        <v>0</v>
      </c>
      <c r="M357" s="9" t="s">
        <v>52</v>
      </c>
      <c r="N357" s="2" t="s">
        <v>338</v>
      </c>
      <c r="O357" s="2" t="s">
        <v>1315</v>
      </c>
      <c r="P357" s="2" t="s">
        <v>60</v>
      </c>
      <c r="Q357" s="2" t="s">
        <v>61</v>
      </c>
      <c r="R357" s="2" t="s">
        <v>61</v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2" t="s">
        <v>52</v>
      </c>
      <c r="AW357" s="2" t="s">
        <v>1323</v>
      </c>
      <c r="AX357" s="2" t="s">
        <v>52</v>
      </c>
      <c r="AY357" s="2" t="s">
        <v>52</v>
      </c>
    </row>
    <row r="358" spans="1:51" ht="30" customHeight="1" x14ac:dyDescent="0.3">
      <c r="A358" s="9" t="s">
        <v>811</v>
      </c>
      <c r="B358" s="9" t="s">
        <v>52</v>
      </c>
      <c r="C358" s="9" t="s">
        <v>52</v>
      </c>
      <c r="D358" s="10"/>
      <c r="E358" s="15"/>
      <c r="F358" s="16">
        <f>TRUNC(SUMIF(N355:N357, N354, F355:F357),0)</f>
        <v>0</v>
      </c>
      <c r="G358" s="15"/>
      <c r="H358" s="16">
        <f>TRUNC(SUMIF(N355:N357, N354, H355:H357),0)</f>
        <v>0</v>
      </c>
      <c r="I358" s="15"/>
      <c r="J358" s="16">
        <f>TRUNC(SUMIF(N355:N357, N354, J355:J357),0)</f>
        <v>0</v>
      </c>
      <c r="K358" s="15"/>
      <c r="L358" s="16">
        <f>F358+H358+J358</f>
        <v>0</v>
      </c>
      <c r="M358" s="9" t="s">
        <v>52</v>
      </c>
      <c r="N358" s="2" t="s">
        <v>94</v>
      </c>
      <c r="O358" s="2" t="s">
        <v>94</v>
      </c>
      <c r="P358" s="2" t="s">
        <v>52</v>
      </c>
      <c r="Q358" s="2" t="s">
        <v>52</v>
      </c>
      <c r="R358" s="2" t="s">
        <v>52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2" t="s">
        <v>52</v>
      </c>
      <c r="AW358" s="2" t="s">
        <v>52</v>
      </c>
      <c r="AX358" s="2" t="s">
        <v>52</v>
      </c>
      <c r="AY358" s="2" t="s">
        <v>52</v>
      </c>
    </row>
    <row r="359" spans="1:51" ht="30" customHeight="1" x14ac:dyDescent="0.3">
      <c r="A359" s="10"/>
      <c r="B359" s="10"/>
      <c r="C359" s="10"/>
      <c r="D359" s="10"/>
      <c r="E359" s="15"/>
      <c r="F359" s="16"/>
      <c r="G359" s="15"/>
      <c r="H359" s="16"/>
      <c r="I359" s="15"/>
      <c r="J359" s="16"/>
      <c r="K359" s="15"/>
      <c r="L359" s="16"/>
      <c r="M359" s="10"/>
    </row>
    <row r="360" spans="1:51" ht="30" customHeight="1" x14ac:dyDescent="0.3">
      <c r="A360" s="44" t="s">
        <v>1324</v>
      </c>
      <c r="B360" s="44"/>
      <c r="C360" s="44"/>
      <c r="D360" s="44"/>
      <c r="E360" s="45"/>
      <c r="F360" s="46"/>
      <c r="G360" s="45"/>
      <c r="H360" s="46"/>
      <c r="I360" s="45"/>
      <c r="J360" s="46"/>
      <c r="K360" s="45"/>
      <c r="L360" s="46"/>
      <c r="M360" s="44"/>
      <c r="N360" s="1" t="s">
        <v>342</v>
      </c>
    </row>
    <row r="361" spans="1:51" ht="30" customHeight="1" x14ac:dyDescent="0.3">
      <c r="A361" s="9" t="s">
        <v>1326</v>
      </c>
      <c r="B361" s="9" t="s">
        <v>341</v>
      </c>
      <c r="C361" s="9" t="s">
        <v>82</v>
      </c>
      <c r="D361" s="10">
        <v>1</v>
      </c>
      <c r="E361" s="15">
        <f>'단가대비표(총체)'!O42</f>
        <v>0</v>
      </c>
      <c r="F361" s="16">
        <f>TRUNC(E361*D361,1)</f>
        <v>0</v>
      </c>
      <c r="G361" s="15">
        <f>'단가대비표(총체)'!P42</f>
        <v>0</v>
      </c>
      <c r="H361" s="16">
        <f>TRUNC(G361*D361,1)</f>
        <v>0</v>
      </c>
      <c r="I361" s="15">
        <f>'단가대비표(총체)'!V42</f>
        <v>0</v>
      </c>
      <c r="J361" s="16">
        <f>TRUNC(I361*D361,1)</f>
        <v>0</v>
      </c>
      <c r="K361" s="15">
        <f>TRUNC(E361+G361+I361,1)</f>
        <v>0</v>
      </c>
      <c r="L361" s="16">
        <f>TRUNC(F361+H361+J361,1)</f>
        <v>0</v>
      </c>
      <c r="M361" s="9" t="s">
        <v>52</v>
      </c>
      <c r="N361" s="2" t="s">
        <v>342</v>
      </c>
      <c r="O361" s="2" t="s">
        <v>1327</v>
      </c>
      <c r="P361" s="2" t="s">
        <v>61</v>
      </c>
      <c r="Q361" s="2" t="s">
        <v>61</v>
      </c>
      <c r="R361" s="2" t="s">
        <v>60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2" t="s">
        <v>52</v>
      </c>
      <c r="AW361" s="2" t="s">
        <v>1328</v>
      </c>
      <c r="AX361" s="2" t="s">
        <v>52</v>
      </c>
      <c r="AY361" s="2" t="s">
        <v>52</v>
      </c>
    </row>
    <row r="362" spans="1:51" ht="30" customHeight="1" x14ac:dyDescent="0.3">
      <c r="A362" s="9" t="s">
        <v>1329</v>
      </c>
      <c r="B362" s="9" t="s">
        <v>1330</v>
      </c>
      <c r="C362" s="9" t="s">
        <v>82</v>
      </c>
      <c r="D362" s="10">
        <v>1</v>
      </c>
      <c r="E362" s="15">
        <f>'일위대가목록(총체)'!E164</f>
        <v>0</v>
      </c>
      <c r="F362" s="16">
        <f>TRUNC(E362*D362,1)</f>
        <v>0</v>
      </c>
      <c r="G362" s="15">
        <f>'일위대가목록(총체)'!F164</f>
        <v>0</v>
      </c>
      <c r="H362" s="16">
        <f>TRUNC(G362*D362,1)</f>
        <v>0</v>
      </c>
      <c r="I362" s="15">
        <f>'일위대가목록(총체)'!G164</f>
        <v>0</v>
      </c>
      <c r="J362" s="16">
        <f>TRUNC(I362*D362,1)</f>
        <v>0</v>
      </c>
      <c r="K362" s="15">
        <f>TRUNC(E362+G362+I362,1)</f>
        <v>0</v>
      </c>
      <c r="L362" s="16">
        <f>TRUNC(F362+H362+J362,1)</f>
        <v>0</v>
      </c>
      <c r="M362" s="9" t="s">
        <v>52</v>
      </c>
      <c r="N362" s="2" t="s">
        <v>342</v>
      </c>
      <c r="O362" s="2" t="s">
        <v>1331</v>
      </c>
      <c r="P362" s="2" t="s">
        <v>60</v>
      </c>
      <c r="Q362" s="2" t="s">
        <v>61</v>
      </c>
      <c r="R362" s="2" t="s">
        <v>61</v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2" t="s">
        <v>52</v>
      </c>
      <c r="AW362" s="2" t="s">
        <v>1332</v>
      </c>
      <c r="AX362" s="2" t="s">
        <v>52</v>
      </c>
      <c r="AY362" s="2" t="s">
        <v>52</v>
      </c>
    </row>
    <row r="363" spans="1:51" ht="30" customHeight="1" x14ac:dyDescent="0.3">
      <c r="A363" s="9" t="s">
        <v>811</v>
      </c>
      <c r="B363" s="9" t="s">
        <v>52</v>
      </c>
      <c r="C363" s="9" t="s">
        <v>52</v>
      </c>
      <c r="D363" s="10"/>
      <c r="E363" s="15"/>
      <c r="F363" s="16">
        <f>TRUNC(SUMIF(N361:N362, N360, F361:F362),0)</f>
        <v>0</v>
      </c>
      <c r="G363" s="15"/>
      <c r="H363" s="16">
        <f>TRUNC(SUMIF(N361:N362, N360, H361:H362),0)</f>
        <v>0</v>
      </c>
      <c r="I363" s="15"/>
      <c r="J363" s="16">
        <f>TRUNC(SUMIF(N361:N362, N360, J361:J362),0)</f>
        <v>0</v>
      </c>
      <c r="K363" s="15"/>
      <c r="L363" s="16">
        <f>F363+H363+J363</f>
        <v>0</v>
      </c>
      <c r="M363" s="9" t="s">
        <v>52</v>
      </c>
      <c r="N363" s="2" t="s">
        <v>94</v>
      </c>
      <c r="O363" s="2" t="s">
        <v>94</v>
      </c>
      <c r="P363" s="2" t="s">
        <v>52</v>
      </c>
      <c r="Q363" s="2" t="s">
        <v>52</v>
      </c>
      <c r="R363" s="2" t="s">
        <v>52</v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2" t="s">
        <v>52</v>
      </c>
      <c r="AW363" s="2" t="s">
        <v>52</v>
      </c>
      <c r="AX363" s="2" t="s">
        <v>52</v>
      </c>
      <c r="AY363" s="2" t="s">
        <v>52</v>
      </c>
    </row>
    <row r="364" spans="1:51" ht="30" customHeight="1" x14ac:dyDescent="0.3">
      <c r="A364" s="10"/>
      <c r="B364" s="10"/>
      <c r="C364" s="10"/>
      <c r="D364" s="10"/>
      <c r="E364" s="15"/>
      <c r="F364" s="16"/>
      <c r="G364" s="15"/>
      <c r="H364" s="16"/>
      <c r="I364" s="15"/>
      <c r="J364" s="16"/>
      <c r="K364" s="15"/>
      <c r="L364" s="16"/>
      <c r="M364" s="10"/>
    </row>
    <row r="365" spans="1:51" ht="30" customHeight="1" x14ac:dyDescent="0.3">
      <c r="A365" s="44" t="s">
        <v>1333</v>
      </c>
      <c r="B365" s="44"/>
      <c r="C365" s="44"/>
      <c r="D365" s="44"/>
      <c r="E365" s="45"/>
      <c r="F365" s="46"/>
      <c r="G365" s="45"/>
      <c r="H365" s="46"/>
      <c r="I365" s="45"/>
      <c r="J365" s="46"/>
      <c r="K365" s="45"/>
      <c r="L365" s="46"/>
      <c r="M365" s="44"/>
      <c r="N365" s="1" t="s">
        <v>346</v>
      </c>
    </row>
    <row r="366" spans="1:51" ht="30" customHeight="1" x14ac:dyDescent="0.3">
      <c r="A366" s="9" t="s">
        <v>1335</v>
      </c>
      <c r="B366" s="9" t="s">
        <v>1336</v>
      </c>
      <c r="C366" s="9" t="s">
        <v>82</v>
      </c>
      <c r="D366" s="10">
        <v>2.33</v>
      </c>
      <c r="E366" s="15">
        <f>'단가대비표(총체)'!O59</f>
        <v>0</v>
      </c>
      <c r="F366" s="16">
        <f t="shared" ref="F366:F373" si="67">TRUNC(E366*D366,1)</f>
        <v>0</v>
      </c>
      <c r="G366" s="15">
        <f>'단가대비표(총체)'!P59</f>
        <v>0</v>
      </c>
      <c r="H366" s="16">
        <f t="shared" ref="H366:H373" si="68">TRUNC(G366*D366,1)</f>
        <v>0</v>
      </c>
      <c r="I366" s="15">
        <f>'단가대비표(총체)'!V59</f>
        <v>0</v>
      </c>
      <c r="J366" s="16">
        <f t="shared" ref="J366:J373" si="69">TRUNC(I366*D366,1)</f>
        <v>0</v>
      </c>
      <c r="K366" s="15">
        <f t="shared" ref="K366:L373" si="70">TRUNC(E366+G366+I366,1)</f>
        <v>0</v>
      </c>
      <c r="L366" s="16">
        <f t="shared" si="70"/>
        <v>0</v>
      </c>
      <c r="M366" s="9" t="s">
        <v>52</v>
      </c>
      <c r="N366" s="2" t="s">
        <v>346</v>
      </c>
      <c r="O366" s="2" t="s">
        <v>1337</v>
      </c>
      <c r="P366" s="2" t="s">
        <v>61</v>
      </c>
      <c r="Q366" s="2" t="s">
        <v>61</v>
      </c>
      <c r="R366" s="2" t="s">
        <v>60</v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2" t="s">
        <v>52</v>
      </c>
      <c r="AW366" s="2" t="s">
        <v>1338</v>
      </c>
      <c r="AX366" s="2" t="s">
        <v>52</v>
      </c>
      <c r="AY366" s="2" t="s">
        <v>52</v>
      </c>
    </row>
    <row r="367" spans="1:51" ht="30" customHeight="1" x14ac:dyDescent="0.3">
      <c r="A367" s="9" t="s">
        <v>1339</v>
      </c>
      <c r="B367" s="9" t="s">
        <v>1340</v>
      </c>
      <c r="C367" s="9" t="s">
        <v>82</v>
      </c>
      <c r="D367" s="10">
        <v>0.68</v>
      </c>
      <c r="E367" s="15">
        <f>'단가대비표(총체)'!O61</f>
        <v>0</v>
      </c>
      <c r="F367" s="16">
        <f t="shared" si="67"/>
        <v>0</v>
      </c>
      <c r="G367" s="15">
        <f>'단가대비표(총체)'!P61</f>
        <v>0</v>
      </c>
      <c r="H367" s="16">
        <f t="shared" si="68"/>
        <v>0</v>
      </c>
      <c r="I367" s="15">
        <f>'단가대비표(총체)'!V61</f>
        <v>0</v>
      </c>
      <c r="J367" s="16">
        <f t="shared" si="69"/>
        <v>0</v>
      </c>
      <c r="K367" s="15">
        <f t="shared" si="70"/>
        <v>0</v>
      </c>
      <c r="L367" s="16">
        <f t="shared" si="70"/>
        <v>0</v>
      </c>
      <c r="M367" s="9" t="s">
        <v>52</v>
      </c>
      <c r="N367" s="2" t="s">
        <v>346</v>
      </c>
      <c r="O367" s="2" t="s">
        <v>1341</v>
      </c>
      <c r="P367" s="2" t="s">
        <v>61</v>
      </c>
      <c r="Q367" s="2" t="s">
        <v>61</v>
      </c>
      <c r="R367" s="2" t="s">
        <v>60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2" t="s">
        <v>52</v>
      </c>
      <c r="AW367" s="2" t="s">
        <v>1342</v>
      </c>
      <c r="AX367" s="2" t="s">
        <v>52</v>
      </c>
      <c r="AY367" s="2" t="s">
        <v>52</v>
      </c>
    </row>
    <row r="368" spans="1:51" ht="30" customHeight="1" x14ac:dyDescent="0.3">
      <c r="A368" s="9" t="s">
        <v>1343</v>
      </c>
      <c r="B368" s="9" t="s">
        <v>1344</v>
      </c>
      <c r="C368" s="9" t="s">
        <v>320</v>
      </c>
      <c r="D368" s="10">
        <v>21</v>
      </c>
      <c r="E368" s="15">
        <f>'단가대비표(총체)'!O63</f>
        <v>0</v>
      </c>
      <c r="F368" s="16">
        <f t="shared" si="67"/>
        <v>0</v>
      </c>
      <c r="G368" s="15">
        <f>'단가대비표(총체)'!P63</f>
        <v>0</v>
      </c>
      <c r="H368" s="16">
        <f t="shared" si="68"/>
        <v>0</v>
      </c>
      <c r="I368" s="15">
        <f>'단가대비표(총체)'!V63</f>
        <v>0</v>
      </c>
      <c r="J368" s="16">
        <f t="shared" si="69"/>
        <v>0</v>
      </c>
      <c r="K368" s="15">
        <f t="shared" si="70"/>
        <v>0</v>
      </c>
      <c r="L368" s="16">
        <f t="shared" si="70"/>
        <v>0</v>
      </c>
      <c r="M368" s="9" t="s">
        <v>52</v>
      </c>
      <c r="N368" s="2" t="s">
        <v>346</v>
      </c>
      <c r="O368" s="2" t="s">
        <v>1345</v>
      </c>
      <c r="P368" s="2" t="s">
        <v>61</v>
      </c>
      <c r="Q368" s="2" t="s">
        <v>61</v>
      </c>
      <c r="R368" s="2" t="s">
        <v>60</v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2" t="s">
        <v>52</v>
      </c>
      <c r="AW368" s="2" t="s">
        <v>1346</v>
      </c>
      <c r="AX368" s="2" t="s">
        <v>52</v>
      </c>
      <c r="AY368" s="2" t="s">
        <v>52</v>
      </c>
    </row>
    <row r="369" spans="1:51" ht="30" customHeight="1" x14ac:dyDescent="0.3">
      <c r="A369" s="9" t="s">
        <v>1347</v>
      </c>
      <c r="B369" s="9" t="s">
        <v>52</v>
      </c>
      <c r="C369" s="9" t="s">
        <v>320</v>
      </c>
      <c r="D369" s="10">
        <v>7</v>
      </c>
      <c r="E369" s="15">
        <f>'단가대비표(총체)'!O64</f>
        <v>0</v>
      </c>
      <c r="F369" s="16">
        <f t="shared" si="67"/>
        <v>0</v>
      </c>
      <c r="G369" s="15">
        <f>'단가대비표(총체)'!P64</f>
        <v>0</v>
      </c>
      <c r="H369" s="16">
        <f t="shared" si="68"/>
        <v>0</v>
      </c>
      <c r="I369" s="15">
        <f>'단가대비표(총체)'!V64</f>
        <v>0</v>
      </c>
      <c r="J369" s="16">
        <f t="shared" si="69"/>
        <v>0</v>
      </c>
      <c r="K369" s="15">
        <f t="shared" si="70"/>
        <v>0</v>
      </c>
      <c r="L369" s="16">
        <f t="shared" si="70"/>
        <v>0</v>
      </c>
      <c r="M369" s="9" t="s">
        <v>52</v>
      </c>
      <c r="N369" s="2" t="s">
        <v>346</v>
      </c>
      <c r="O369" s="2" t="s">
        <v>1348</v>
      </c>
      <c r="P369" s="2" t="s">
        <v>61</v>
      </c>
      <c r="Q369" s="2" t="s">
        <v>61</v>
      </c>
      <c r="R369" s="2" t="s">
        <v>60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2" t="s">
        <v>52</v>
      </c>
      <c r="AW369" s="2" t="s">
        <v>1349</v>
      </c>
      <c r="AX369" s="2" t="s">
        <v>52</v>
      </c>
      <c r="AY369" s="2" t="s">
        <v>52</v>
      </c>
    </row>
    <row r="370" spans="1:51" ht="30" customHeight="1" x14ac:dyDescent="0.3">
      <c r="A370" s="9" t="s">
        <v>1350</v>
      </c>
      <c r="B370" s="9" t="s">
        <v>1351</v>
      </c>
      <c r="C370" s="9" t="s">
        <v>1021</v>
      </c>
      <c r="D370" s="10">
        <v>0.14000000000000001</v>
      </c>
      <c r="E370" s="15">
        <f>'단가대비표(총체)'!O23</f>
        <v>0</v>
      </c>
      <c r="F370" s="16">
        <f t="shared" si="67"/>
        <v>0</v>
      </c>
      <c r="G370" s="15">
        <f>'단가대비표(총체)'!P23</f>
        <v>0</v>
      </c>
      <c r="H370" s="16">
        <f t="shared" si="68"/>
        <v>0</v>
      </c>
      <c r="I370" s="15">
        <f>'단가대비표(총체)'!V23</f>
        <v>0</v>
      </c>
      <c r="J370" s="16">
        <f t="shared" si="69"/>
        <v>0</v>
      </c>
      <c r="K370" s="15">
        <f t="shared" si="70"/>
        <v>0</v>
      </c>
      <c r="L370" s="16">
        <f t="shared" si="70"/>
        <v>0</v>
      </c>
      <c r="M370" s="9" t="s">
        <v>52</v>
      </c>
      <c r="N370" s="2" t="s">
        <v>346</v>
      </c>
      <c r="O370" s="2" t="s">
        <v>1352</v>
      </c>
      <c r="P370" s="2" t="s">
        <v>61</v>
      </c>
      <c r="Q370" s="2" t="s">
        <v>61</v>
      </c>
      <c r="R370" s="2" t="s">
        <v>60</v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2" t="s">
        <v>52</v>
      </c>
      <c r="AW370" s="2" t="s">
        <v>1353</v>
      </c>
      <c r="AX370" s="2" t="s">
        <v>52</v>
      </c>
      <c r="AY370" s="2" t="s">
        <v>52</v>
      </c>
    </row>
    <row r="371" spans="1:51" ht="30" customHeight="1" x14ac:dyDescent="0.3">
      <c r="A371" s="9" t="s">
        <v>1060</v>
      </c>
      <c r="B371" s="9" t="s">
        <v>822</v>
      </c>
      <c r="C371" s="9" t="s">
        <v>823</v>
      </c>
      <c r="D371" s="10">
        <v>6.7000000000000004E-2</v>
      </c>
      <c r="E371" s="15">
        <f>'단가대비표(총체)'!O195</f>
        <v>0</v>
      </c>
      <c r="F371" s="16">
        <f t="shared" si="67"/>
        <v>0</v>
      </c>
      <c r="G371" s="15">
        <f>'단가대비표(총체)'!P195</f>
        <v>0</v>
      </c>
      <c r="H371" s="16">
        <f t="shared" si="68"/>
        <v>0</v>
      </c>
      <c r="I371" s="15">
        <f>'단가대비표(총체)'!V195</f>
        <v>0</v>
      </c>
      <c r="J371" s="16">
        <f t="shared" si="69"/>
        <v>0</v>
      </c>
      <c r="K371" s="15">
        <f t="shared" si="70"/>
        <v>0</v>
      </c>
      <c r="L371" s="16">
        <f t="shared" si="70"/>
        <v>0</v>
      </c>
      <c r="M371" s="9" t="s">
        <v>52</v>
      </c>
      <c r="N371" s="2" t="s">
        <v>346</v>
      </c>
      <c r="O371" s="2" t="s">
        <v>1061</v>
      </c>
      <c r="P371" s="2" t="s">
        <v>61</v>
      </c>
      <c r="Q371" s="2" t="s">
        <v>61</v>
      </c>
      <c r="R371" s="2" t="s">
        <v>60</v>
      </c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2" t="s">
        <v>52</v>
      </c>
      <c r="AW371" s="2" t="s">
        <v>1354</v>
      </c>
      <c r="AX371" s="2" t="s">
        <v>52</v>
      </c>
      <c r="AY371" s="2" t="s">
        <v>52</v>
      </c>
    </row>
    <row r="372" spans="1:51" ht="30" customHeight="1" x14ac:dyDescent="0.3">
      <c r="A372" s="9" t="s">
        <v>821</v>
      </c>
      <c r="B372" s="9" t="s">
        <v>822</v>
      </c>
      <c r="C372" s="9" t="s">
        <v>823</v>
      </c>
      <c r="D372" s="10">
        <v>3.3000000000000002E-2</v>
      </c>
      <c r="E372" s="15">
        <f>'단가대비표(총체)'!O180</f>
        <v>0</v>
      </c>
      <c r="F372" s="16">
        <f t="shared" si="67"/>
        <v>0</v>
      </c>
      <c r="G372" s="15">
        <f>'단가대비표(총체)'!P180</f>
        <v>0</v>
      </c>
      <c r="H372" s="16">
        <f t="shared" si="68"/>
        <v>0</v>
      </c>
      <c r="I372" s="15">
        <f>'단가대비표(총체)'!V180</f>
        <v>0</v>
      </c>
      <c r="J372" s="16">
        <f t="shared" si="69"/>
        <v>0</v>
      </c>
      <c r="K372" s="15">
        <f t="shared" si="70"/>
        <v>0</v>
      </c>
      <c r="L372" s="16">
        <f t="shared" si="70"/>
        <v>0</v>
      </c>
      <c r="M372" s="9" t="s">
        <v>52</v>
      </c>
      <c r="N372" s="2" t="s">
        <v>346</v>
      </c>
      <c r="O372" s="2" t="s">
        <v>824</v>
      </c>
      <c r="P372" s="2" t="s">
        <v>61</v>
      </c>
      <c r="Q372" s="2" t="s">
        <v>61</v>
      </c>
      <c r="R372" s="2" t="s">
        <v>60</v>
      </c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2" t="s">
        <v>52</v>
      </c>
      <c r="AW372" s="2" t="s">
        <v>1355</v>
      </c>
      <c r="AX372" s="2" t="s">
        <v>52</v>
      </c>
      <c r="AY372" s="2" t="s">
        <v>52</v>
      </c>
    </row>
    <row r="373" spans="1:51" ht="30" customHeight="1" x14ac:dyDescent="0.3">
      <c r="A373" s="9" t="s">
        <v>874</v>
      </c>
      <c r="B373" s="9" t="s">
        <v>875</v>
      </c>
      <c r="C373" s="9" t="s">
        <v>307</v>
      </c>
      <c r="D373" s="10">
        <v>1</v>
      </c>
      <c r="E373" s="15">
        <f>TRUNC(SUMIF(V366:V373, RIGHTB(O373, 1), H366:H373)*U373, 2)</f>
        <v>0</v>
      </c>
      <c r="F373" s="16">
        <f t="shared" si="67"/>
        <v>0</v>
      </c>
      <c r="G373" s="15">
        <v>0</v>
      </c>
      <c r="H373" s="16">
        <f t="shared" si="68"/>
        <v>0</v>
      </c>
      <c r="I373" s="15">
        <v>0</v>
      </c>
      <c r="J373" s="16">
        <f t="shared" si="69"/>
        <v>0</v>
      </c>
      <c r="K373" s="15">
        <f t="shared" si="70"/>
        <v>0</v>
      </c>
      <c r="L373" s="16">
        <f t="shared" si="70"/>
        <v>0</v>
      </c>
      <c r="M373" s="9" t="s">
        <v>52</v>
      </c>
      <c r="N373" s="2" t="s">
        <v>346</v>
      </c>
      <c r="O373" s="2" t="s">
        <v>809</v>
      </c>
      <c r="P373" s="2" t="s">
        <v>61</v>
      </c>
      <c r="Q373" s="2" t="s">
        <v>61</v>
      </c>
      <c r="R373" s="2" t="s">
        <v>61</v>
      </c>
      <c r="S373" s="3">
        <v>1</v>
      </c>
      <c r="T373" s="3">
        <v>0</v>
      </c>
      <c r="U373" s="3">
        <v>0.03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2" t="s">
        <v>52</v>
      </c>
      <c r="AW373" s="2" t="s">
        <v>1356</v>
      </c>
      <c r="AX373" s="2" t="s">
        <v>52</v>
      </c>
      <c r="AY373" s="2" t="s">
        <v>52</v>
      </c>
    </row>
    <row r="374" spans="1:51" ht="30" customHeight="1" x14ac:dyDescent="0.3">
      <c r="A374" s="9" t="s">
        <v>811</v>
      </c>
      <c r="B374" s="9" t="s">
        <v>52</v>
      </c>
      <c r="C374" s="9" t="s">
        <v>52</v>
      </c>
      <c r="D374" s="10"/>
      <c r="E374" s="15"/>
      <c r="F374" s="16">
        <f>TRUNC(SUMIF(N366:N373, N365, F366:F373),0)</f>
        <v>0</v>
      </c>
      <c r="G374" s="15"/>
      <c r="H374" s="16">
        <f>TRUNC(SUMIF(N366:N373, N365, H366:H373),0)</f>
        <v>0</v>
      </c>
      <c r="I374" s="15"/>
      <c r="J374" s="16">
        <f>TRUNC(SUMIF(N366:N373, N365, J366:J373),0)</f>
        <v>0</v>
      </c>
      <c r="K374" s="15"/>
      <c r="L374" s="16">
        <f>F374+H374+J374</f>
        <v>0</v>
      </c>
      <c r="M374" s="9" t="s">
        <v>52</v>
      </c>
      <c r="N374" s="2" t="s">
        <v>94</v>
      </c>
      <c r="O374" s="2" t="s">
        <v>94</v>
      </c>
      <c r="P374" s="2" t="s">
        <v>52</v>
      </c>
      <c r="Q374" s="2" t="s">
        <v>52</v>
      </c>
      <c r="R374" s="2" t="s">
        <v>52</v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2" t="s">
        <v>52</v>
      </c>
      <c r="AW374" s="2" t="s">
        <v>52</v>
      </c>
      <c r="AX374" s="2" t="s">
        <v>52</v>
      </c>
      <c r="AY374" s="2" t="s">
        <v>52</v>
      </c>
    </row>
    <row r="375" spans="1:51" ht="30" customHeight="1" x14ac:dyDescent="0.3">
      <c r="A375" s="10"/>
      <c r="B375" s="10"/>
      <c r="C375" s="10"/>
      <c r="D375" s="10"/>
      <c r="E375" s="15"/>
      <c r="F375" s="16"/>
      <c r="G375" s="15"/>
      <c r="H375" s="16"/>
      <c r="I375" s="15"/>
      <c r="J375" s="16"/>
      <c r="K375" s="15"/>
      <c r="L375" s="16"/>
      <c r="M375" s="10"/>
    </row>
    <row r="376" spans="1:51" ht="30" customHeight="1" x14ac:dyDescent="0.3">
      <c r="A376" s="44" t="s">
        <v>1357</v>
      </c>
      <c r="B376" s="44"/>
      <c r="C376" s="44"/>
      <c r="D376" s="44"/>
      <c r="E376" s="45"/>
      <c r="F376" s="46"/>
      <c r="G376" s="45"/>
      <c r="H376" s="46"/>
      <c r="I376" s="45"/>
      <c r="J376" s="46"/>
      <c r="K376" s="45"/>
      <c r="L376" s="46"/>
      <c r="M376" s="44"/>
      <c r="N376" s="1" t="s">
        <v>350</v>
      </c>
    </row>
    <row r="377" spans="1:51" ht="30" customHeight="1" x14ac:dyDescent="0.3">
      <c r="A377" s="9" t="s">
        <v>1335</v>
      </c>
      <c r="B377" s="9" t="s">
        <v>1359</v>
      </c>
      <c r="C377" s="9" t="s">
        <v>82</v>
      </c>
      <c r="D377" s="10">
        <v>2.33</v>
      </c>
      <c r="E377" s="15">
        <f>'단가대비표(총체)'!O60</f>
        <v>0</v>
      </c>
      <c r="F377" s="16">
        <f t="shared" ref="F377:F384" si="71">TRUNC(E377*D377,1)</f>
        <v>0</v>
      </c>
      <c r="G377" s="15">
        <f>'단가대비표(총체)'!P60</f>
        <v>0</v>
      </c>
      <c r="H377" s="16">
        <f t="shared" ref="H377:H384" si="72">TRUNC(G377*D377,1)</f>
        <v>0</v>
      </c>
      <c r="I377" s="15">
        <f>'단가대비표(총체)'!V60</f>
        <v>0</v>
      </c>
      <c r="J377" s="16">
        <f t="shared" ref="J377:J384" si="73">TRUNC(I377*D377,1)</f>
        <v>0</v>
      </c>
      <c r="K377" s="15">
        <f t="shared" ref="K377:L384" si="74">TRUNC(E377+G377+I377,1)</f>
        <v>0</v>
      </c>
      <c r="L377" s="16">
        <f t="shared" si="74"/>
        <v>0</v>
      </c>
      <c r="M377" s="9" t="s">
        <v>52</v>
      </c>
      <c r="N377" s="2" t="s">
        <v>350</v>
      </c>
      <c r="O377" s="2" t="s">
        <v>1360</v>
      </c>
      <c r="P377" s="2" t="s">
        <v>61</v>
      </c>
      <c r="Q377" s="2" t="s">
        <v>61</v>
      </c>
      <c r="R377" s="2" t="s">
        <v>60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2" t="s">
        <v>52</v>
      </c>
      <c r="AW377" s="2" t="s">
        <v>1361</v>
      </c>
      <c r="AX377" s="2" t="s">
        <v>52</v>
      </c>
      <c r="AY377" s="2" t="s">
        <v>52</v>
      </c>
    </row>
    <row r="378" spans="1:51" ht="30" customHeight="1" x14ac:dyDescent="0.3">
      <c r="A378" s="9" t="s">
        <v>1339</v>
      </c>
      <c r="B378" s="9" t="s">
        <v>1362</v>
      </c>
      <c r="C378" s="9" t="s">
        <v>82</v>
      </c>
      <c r="D378" s="10">
        <v>0.68</v>
      </c>
      <c r="E378" s="15">
        <f>'단가대비표(총체)'!O62</f>
        <v>0</v>
      </c>
      <c r="F378" s="16">
        <f t="shared" si="71"/>
        <v>0</v>
      </c>
      <c r="G378" s="15">
        <f>'단가대비표(총체)'!P62</f>
        <v>0</v>
      </c>
      <c r="H378" s="16">
        <f t="shared" si="72"/>
        <v>0</v>
      </c>
      <c r="I378" s="15">
        <f>'단가대비표(총체)'!V62</f>
        <v>0</v>
      </c>
      <c r="J378" s="16">
        <f t="shared" si="73"/>
        <v>0</v>
      </c>
      <c r="K378" s="15">
        <f t="shared" si="74"/>
        <v>0</v>
      </c>
      <c r="L378" s="16">
        <f t="shared" si="74"/>
        <v>0</v>
      </c>
      <c r="M378" s="9" t="s">
        <v>52</v>
      </c>
      <c r="N378" s="2" t="s">
        <v>350</v>
      </c>
      <c r="O378" s="2" t="s">
        <v>1363</v>
      </c>
      <c r="P378" s="2" t="s">
        <v>61</v>
      </c>
      <c r="Q378" s="2" t="s">
        <v>61</v>
      </c>
      <c r="R378" s="2" t="s">
        <v>60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2" t="s">
        <v>52</v>
      </c>
      <c r="AW378" s="2" t="s">
        <v>1364</v>
      </c>
      <c r="AX378" s="2" t="s">
        <v>52</v>
      </c>
      <c r="AY378" s="2" t="s">
        <v>52</v>
      </c>
    </row>
    <row r="379" spans="1:51" ht="30" customHeight="1" x14ac:dyDescent="0.3">
      <c r="A379" s="9" t="s">
        <v>1343</v>
      </c>
      <c r="B379" s="9" t="s">
        <v>1344</v>
      </c>
      <c r="C379" s="9" t="s">
        <v>320</v>
      </c>
      <c r="D379" s="10">
        <v>18</v>
      </c>
      <c r="E379" s="15">
        <f>'단가대비표(총체)'!O63</f>
        <v>0</v>
      </c>
      <c r="F379" s="16">
        <f t="shared" si="71"/>
        <v>0</v>
      </c>
      <c r="G379" s="15">
        <f>'단가대비표(총체)'!P63</f>
        <v>0</v>
      </c>
      <c r="H379" s="16">
        <f t="shared" si="72"/>
        <v>0</v>
      </c>
      <c r="I379" s="15">
        <f>'단가대비표(총체)'!V63</f>
        <v>0</v>
      </c>
      <c r="J379" s="16">
        <f t="shared" si="73"/>
        <v>0</v>
      </c>
      <c r="K379" s="15">
        <f t="shared" si="74"/>
        <v>0</v>
      </c>
      <c r="L379" s="16">
        <f t="shared" si="74"/>
        <v>0</v>
      </c>
      <c r="M379" s="9" t="s">
        <v>52</v>
      </c>
      <c r="N379" s="2" t="s">
        <v>350</v>
      </c>
      <c r="O379" s="2" t="s">
        <v>1345</v>
      </c>
      <c r="P379" s="2" t="s">
        <v>61</v>
      </c>
      <c r="Q379" s="2" t="s">
        <v>61</v>
      </c>
      <c r="R379" s="2" t="s">
        <v>60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2" t="s">
        <v>52</v>
      </c>
      <c r="AW379" s="2" t="s">
        <v>1365</v>
      </c>
      <c r="AX379" s="2" t="s">
        <v>52</v>
      </c>
      <c r="AY379" s="2" t="s">
        <v>52</v>
      </c>
    </row>
    <row r="380" spans="1:51" ht="30" customHeight="1" x14ac:dyDescent="0.3">
      <c r="A380" s="9" t="s">
        <v>1347</v>
      </c>
      <c r="B380" s="9" t="s">
        <v>52</v>
      </c>
      <c r="C380" s="9" t="s">
        <v>320</v>
      </c>
      <c r="D380" s="10">
        <v>6</v>
      </c>
      <c r="E380" s="15">
        <f>'단가대비표(총체)'!O64</f>
        <v>0</v>
      </c>
      <c r="F380" s="16">
        <f t="shared" si="71"/>
        <v>0</v>
      </c>
      <c r="G380" s="15">
        <f>'단가대비표(총체)'!P64</f>
        <v>0</v>
      </c>
      <c r="H380" s="16">
        <f t="shared" si="72"/>
        <v>0</v>
      </c>
      <c r="I380" s="15">
        <f>'단가대비표(총체)'!V64</f>
        <v>0</v>
      </c>
      <c r="J380" s="16">
        <f t="shared" si="73"/>
        <v>0</v>
      </c>
      <c r="K380" s="15">
        <f t="shared" si="74"/>
        <v>0</v>
      </c>
      <c r="L380" s="16">
        <f t="shared" si="74"/>
        <v>0</v>
      </c>
      <c r="M380" s="9" t="s">
        <v>52</v>
      </c>
      <c r="N380" s="2" t="s">
        <v>350</v>
      </c>
      <c r="O380" s="2" t="s">
        <v>1348</v>
      </c>
      <c r="P380" s="2" t="s">
        <v>61</v>
      </c>
      <c r="Q380" s="2" t="s">
        <v>61</v>
      </c>
      <c r="R380" s="2" t="s">
        <v>60</v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2" t="s">
        <v>52</v>
      </c>
      <c r="AW380" s="2" t="s">
        <v>1366</v>
      </c>
      <c r="AX380" s="2" t="s">
        <v>52</v>
      </c>
      <c r="AY380" s="2" t="s">
        <v>52</v>
      </c>
    </row>
    <row r="381" spans="1:51" ht="30" customHeight="1" x14ac:dyDescent="0.3">
      <c r="A381" s="9" t="s">
        <v>1350</v>
      </c>
      <c r="B381" s="9" t="s">
        <v>1351</v>
      </c>
      <c r="C381" s="9" t="s">
        <v>1021</v>
      </c>
      <c r="D381" s="10">
        <v>0.12</v>
      </c>
      <c r="E381" s="15">
        <f>'단가대비표(총체)'!O23</f>
        <v>0</v>
      </c>
      <c r="F381" s="16">
        <f t="shared" si="71"/>
        <v>0</v>
      </c>
      <c r="G381" s="15">
        <f>'단가대비표(총체)'!P23</f>
        <v>0</v>
      </c>
      <c r="H381" s="16">
        <f t="shared" si="72"/>
        <v>0</v>
      </c>
      <c r="I381" s="15">
        <f>'단가대비표(총체)'!V23</f>
        <v>0</v>
      </c>
      <c r="J381" s="16">
        <f t="shared" si="73"/>
        <v>0</v>
      </c>
      <c r="K381" s="15">
        <f t="shared" si="74"/>
        <v>0</v>
      </c>
      <c r="L381" s="16">
        <f t="shared" si="74"/>
        <v>0</v>
      </c>
      <c r="M381" s="9" t="s">
        <v>52</v>
      </c>
      <c r="N381" s="2" t="s">
        <v>350</v>
      </c>
      <c r="O381" s="2" t="s">
        <v>1352</v>
      </c>
      <c r="P381" s="2" t="s">
        <v>61</v>
      </c>
      <c r="Q381" s="2" t="s">
        <v>61</v>
      </c>
      <c r="R381" s="2" t="s">
        <v>60</v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2" t="s">
        <v>52</v>
      </c>
      <c r="AW381" s="2" t="s">
        <v>1367</v>
      </c>
      <c r="AX381" s="2" t="s">
        <v>52</v>
      </c>
      <c r="AY381" s="2" t="s">
        <v>52</v>
      </c>
    </row>
    <row r="382" spans="1:51" ht="30" customHeight="1" x14ac:dyDescent="0.3">
      <c r="A382" s="9" t="s">
        <v>1060</v>
      </c>
      <c r="B382" s="9" t="s">
        <v>822</v>
      </c>
      <c r="C382" s="9" t="s">
        <v>823</v>
      </c>
      <c r="D382" s="10">
        <v>6.3E-2</v>
      </c>
      <c r="E382" s="15">
        <f>'단가대비표(총체)'!O195</f>
        <v>0</v>
      </c>
      <c r="F382" s="16">
        <f t="shared" si="71"/>
        <v>0</v>
      </c>
      <c r="G382" s="15">
        <f>'단가대비표(총체)'!P195</f>
        <v>0</v>
      </c>
      <c r="H382" s="16">
        <f t="shared" si="72"/>
        <v>0</v>
      </c>
      <c r="I382" s="15">
        <f>'단가대비표(총체)'!V195</f>
        <v>0</v>
      </c>
      <c r="J382" s="16">
        <f t="shared" si="73"/>
        <v>0</v>
      </c>
      <c r="K382" s="15">
        <f t="shared" si="74"/>
        <v>0</v>
      </c>
      <c r="L382" s="16">
        <f t="shared" si="74"/>
        <v>0</v>
      </c>
      <c r="M382" s="9" t="s">
        <v>52</v>
      </c>
      <c r="N382" s="2" t="s">
        <v>350</v>
      </c>
      <c r="O382" s="2" t="s">
        <v>1061</v>
      </c>
      <c r="P382" s="2" t="s">
        <v>61</v>
      </c>
      <c r="Q382" s="2" t="s">
        <v>61</v>
      </c>
      <c r="R382" s="2" t="s">
        <v>60</v>
      </c>
      <c r="S382" s="3"/>
      <c r="T382" s="3"/>
      <c r="U382" s="3"/>
      <c r="V382" s="3">
        <v>1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2" t="s">
        <v>52</v>
      </c>
      <c r="AW382" s="2" t="s">
        <v>1368</v>
      </c>
      <c r="AX382" s="2" t="s">
        <v>52</v>
      </c>
      <c r="AY382" s="2" t="s">
        <v>52</v>
      </c>
    </row>
    <row r="383" spans="1:51" ht="30" customHeight="1" x14ac:dyDescent="0.3">
      <c r="A383" s="9" t="s">
        <v>821</v>
      </c>
      <c r="B383" s="9" t="s">
        <v>822</v>
      </c>
      <c r="C383" s="9" t="s">
        <v>823</v>
      </c>
      <c r="D383" s="10">
        <v>3.1E-2</v>
      </c>
      <c r="E383" s="15">
        <f>'단가대비표(총체)'!O180</f>
        <v>0</v>
      </c>
      <c r="F383" s="16">
        <f t="shared" si="71"/>
        <v>0</v>
      </c>
      <c r="G383" s="15">
        <f>'단가대비표(총체)'!P180</f>
        <v>0</v>
      </c>
      <c r="H383" s="16">
        <f t="shared" si="72"/>
        <v>0</v>
      </c>
      <c r="I383" s="15">
        <f>'단가대비표(총체)'!V180</f>
        <v>0</v>
      </c>
      <c r="J383" s="16">
        <f t="shared" si="73"/>
        <v>0</v>
      </c>
      <c r="K383" s="15">
        <f t="shared" si="74"/>
        <v>0</v>
      </c>
      <c r="L383" s="16">
        <f t="shared" si="74"/>
        <v>0</v>
      </c>
      <c r="M383" s="9" t="s">
        <v>52</v>
      </c>
      <c r="N383" s="2" t="s">
        <v>350</v>
      </c>
      <c r="O383" s="2" t="s">
        <v>824</v>
      </c>
      <c r="P383" s="2" t="s">
        <v>61</v>
      </c>
      <c r="Q383" s="2" t="s">
        <v>61</v>
      </c>
      <c r="R383" s="2" t="s">
        <v>60</v>
      </c>
      <c r="S383" s="3"/>
      <c r="T383" s="3"/>
      <c r="U383" s="3"/>
      <c r="V383" s="3">
        <v>1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2" t="s">
        <v>52</v>
      </c>
      <c r="AW383" s="2" t="s">
        <v>1369</v>
      </c>
      <c r="AX383" s="2" t="s">
        <v>52</v>
      </c>
      <c r="AY383" s="2" t="s">
        <v>52</v>
      </c>
    </row>
    <row r="384" spans="1:51" ht="30" customHeight="1" x14ac:dyDescent="0.3">
      <c r="A384" s="9" t="s">
        <v>874</v>
      </c>
      <c r="B384" s="9" t="s">
        <v>875</v>
      </c>
      <c r="C384" s="9" t="s">
        <v>307</v>
      </c>
      <c r="D384" s="10">
        <v>1</v>
      </c>
      <c r="E384" s="15">
        <f>TRUNC(SUMIF(V377:V384, RIGHTB(O384, 1), H377:H384)*U384, 2)</f>
        <v>0</v>
      </c>
      <c r="F384" s="16">
        <f t="shared" si="71"/>
        <v>0</v>
      </c>
      <c r="G384" s="15">
        <v>0</v>
      </c>
      <c r="H384" s="16">
        <f t="shared" si="72"/>
        <v>0</v>
      </c>
      <c r="I384" s="15">
        <v>0</v>
      </c>
      <c r="J384" s="16">
        <f t="shared" si="73"/>
        <v>0</v>
      </c>
      <c r="K384" s="15">
        <f t="shared" si="74"/>
        <v>0</v>
      </c>
      <c r="L384" s="16">
        <f t="shared" si="74"/>
        <v>0</v>
      </c>
      <c r="M384" s="9" t="s">
        <v>52</v>
      </c>
      <c r="N384" s="2" t="s">
        <v>350</v>
      </c>
      <c r="O384" s="2" t="s">
        <v>809</v>
      </c>
      <c r="P384" s="2" t="s">
        <v>61</v>
      </c>
      <c r="Q384" s="2" t="s">
        <v>61</v>
      </c>
      <c r="R384" s="2" t="s">
        <v>61</v>
      </c>
      <c r="S384" s="3">
        <v>1</v>
      </c>
      <c r="T384" s="3">
        <v>0</v>
      </c>
      <c r="U384" s="3">
        <v>0.03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2" t="s">
        <v>52</v>
      </c>
      <c r="AW384" s="2" t="s">
        <v>1370</v>
      </c>
      <c r="AX384" s="2" t="s">
        <v>52</v>
      </c>
      <c r="AY384" s="2" t="s">
        <v>52</v>
      </c>
    </row>
    <row r="385" spans="1:51" ht="30" customHeight="1" x14ac:dyDescent="0.3">
      <c r="A385" s="9" t="s">
        <v>811</v>
      </c>
      <c r="B385" s="9" t="s">
        <v>52</v>
      </c>
      <c r="C385" s="9" t="s">
        <v>52</v>
      </c>
      <c r="D385" s="10"/>
      <c r="E385" s="15"/>
      <c r="F385" s="16">
        <f>TRUNC(SUMIF(N377:N384, N376, F377:F384),0)</f>
        <v>0</v>
      </c>
      <c r="G385" s="15"/>
      <c r="H385" s="16">
        <f>TRUNC(SUMIF(N377:N384, N376, H377:H384),0)</f>
        <v>0</v>
      </c>
      <c r="I385" s="15"/>
      <c r="J385" s="16">
        <f>TRUNC(SUMIF(N377:N384, N376, J377:J384),0)</f>
        <v>0</v>
      </c>
      <c r="K385" s="15"/>
      <c r="L385" s="16">
        <f>F385+H385+J385</f>
        <v>0</v>
      </c>
      <c r="M385" s="9" t="s">
        <v>52</v>
      </c>
      <c r="N385" s="2" t="s">
        <v>94</v>
      </c>
      <c r="O385" s="2" t="s">
        <v>94</v>
      </c>
      <c r="P385" s="2" t="s">
        <v>52</v>
      </c>
      <c r="Q385" s="2" t="s">
        <v>52</v>
      </c>
      <c r="R385" s="2" t="s">
        <v>52</v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2" t="s">
        <v>52</v>
      </c>
      <c r="AW385" s="2" t="s">
        <v>52</v>
      </c>
      <c r="AX385" s="2" t="s">
        <v>52</v>
      </c>
      <c r="AY385" s="2" t="s">
        <v>52</v>
      </c>
    </row>
    <row r="386" spans="1:51" ht="30" customHeight="1" x14ac:dyDescent="0.3">
      <c r="A386" s="10"/>
      <c r="B386" s="10"/>
      <c r="C386" s="10"/>
      <c r="D386" s="10"/>
      <c r="E386" s="15"/>
      <c r="F386" s="16"/>
      <c r="G386" s="15"/>
      <c r="H386" s="16"/>
      <c r="I386" s="15"/>
      <c r="J386" s="16"/>
      <c r="K386" s="15"/>
      <c r="L386" s="16"/>
      <c r="M386" s="10"/>
    </row>
    <row r="387" spans="1:51" ht="30" customHeight="1" x14ac:dyDescent="0.3">
      <c r="A387" s="44" t="s">
        <v>1371</v>
      </c>
      <c r="B387" s="44"/>
      <c r="C387" s="44"/>
      <c r="D387" s="44"/>
      <c r="E387" s="45"/>
      <c r="F387" s="46"/>
      <c r="G387" s="45"/>
      <c r="H387" s="46"/>
      <c r="I387" s="45"/>
      <c r="J387" s="46"/>
      <c r="K387" s="45"/>
      <c r="L387" s="46"/>
      <c r="M387" s="44"/>
      <c r="N387" s="1" t="s">
        <v>354</v>
      </c>
    </row>
    <row r="388" spans="1:51" ht="30" customHeight="1" x14ac:dyDescent="0.3">
      <c r="A388" s="9" t="s">
        <v>1373</v>
      </c>
      <c r="B388" s="9" t="s">
        <v>1374</v>
      </c>
      <c r="C388" s="9" t="s">
        <v>1021</v>
      </c>
      <c r="D388" s="10">
        <v>1.1121000000000001</v>
      </c>
      <c r="E388" s="15">
        <f>'단가대비표(총체)'!O27</f>
        <v>0</v>
      </c>
      <c r="F388" s="16">
        <f t="shared" ref="F388:F394" si="75">TRUNC(E388*D388,1)</f>
        <v>0</v>
      </c>
      <c r="G388" s="15">
        <f>'단가대비표(총체)'!P27</f>
        <v>0</v>
      </c>
      <c r="H388" s="16">
        <f t="shared" ref="H388:H394" si="76">TRUNC(G388*D388,1)</f>
        <v>0</v>
      </c>
      <c r="I388" s="15">
        <f>'단가대비표(총체)'!V27</f>
        <v>0</v>
      </c>
      <c r="J388" s="16">
        <f t="shared" ref="J388:J394" si="77">TRUNC(I388*D388,1)</f>
        <v>0</v>
      </c>
      <c r="K388" s="15">
        <f t="shared" ref="K388:L394" si="78">TRUNC(E388+G388+I388,1)</f>
        <v>0</v>
      </c>
      <c r="L388" s="16">
        <f t="shared" si="78"/>
        <v>0</v>
      </c>
      <c r="M388" s="9" t="s">
        <v>52</v>
      </c>
      <c r="N388" s="2" t="s">
        <v>354</v>
      </c>
      <c r="O388" s="2" t="s">
        <v>1375</v>
      </c>
      <c r="P388" s="2" t="s">
        <v>61</v>
      </c>
      <c r="Q388" s="2" t="s">
        <v>61</v>
      </c>
      <c r="R388" s="2" t="s">
        <v>60</v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2" t="s">
        <v>52</v>
      </c>
      <c r="AW388" s="2" t="s">
        <v>1376</v>
      </c>
      <c r="AX388" s="2" t="s">
        <v>52</v>
      </c>
      <c r="AY388" s="2" t="s">
        <v>52</v>
      </c>
    </row>
    <row r="389" spans="1:51" ht="30" customHeight="1" x14ac:dyDescent="0.3">
      <c r="A389" s="9" t="s">
        <v>1377</v>
      </c>
      <c r="B389" s="9" t="s">
        <v>1378</v>
      </c>
      <c r="C389" s="9" t="s">
        <v>1021</v>
      </c>
      <c r="D389" s="10">
        <v>2.5817999999999999</v>
      </c>
      <c r="E389" s="15">
        <f>'단가대비표(총체)'!O26</f>
        <v>0</v>
      </c>
      <c r="F389" s="16">
        <f t="shared" si="75"/>
        <v>0</v>
      </c>
      <c r="G389" s="15">
        <f>'단가대비표(총체)'!P26</f>
        <v>0</v>
      </c>
      <c r="H389" s="16">
        <f t="shared" si="76"/>
        <v>0</v>
      </c>
      <c r="I389" s="15">
        <f>'단가대비표(총체)'!V26</f>
        <v>0</v>
      </c>
      <c r="J389" s="16">
        <f t="shared" si="77"/>
        <v>0</v>
      </c>
      <c r="K389" s="15">
        <f t="shared" si="78"/>
        <v>0</v>
      </c>
      <c r="L389" s="16">
        <f t="shared" si="78"/>
        <v>0</v>
      </c>
      <c r="M389" s="9" t="s">
        <v>52</v>
      </c>
      <c r="N389" s="2" t="s">
        <v>354</v>
      </c>
      <c r="O389" s="2" t="s">
        <v>1379</v>
      </c>
      <c r="P389" s="2" t="s">
        <v>61</v>
      </c>
      <c r="Q389" s="2" t="s">
        <v>61</v>
      </c>
      <c r="R389" s="2" t="s">
        <v>60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2" t="s">
        <v>52</v>
      </c>
      <c r="AW389" s="2" t="s">
        <v>1380</v>
      </c>
      <c r="AX389" s="2" t="s">
        <v>52</v>
      </c>
      <c r="AY389" s="2" t="s">
        <v>52</v>
      </c>
    </row>
    <row r="390" spans="1:51" ht="30" customHeight="1" x14ac:dyDescent="0.3">
      <c r="A390" s="9" t="s">
        <v>1377</v>
      </c>
      <c r="B390" s="9" t="s">
        <v>1381</v>
      </c>
      <c r="C390" s="9" t="s">
        <v>1021</v>
      </c>
      <c r="D390" s="10">
        <v>5.11E-2</v>
      </c>
      <c r="E390" s="15">
        <f>'단가대비표(총체)'!O25</f>
        <v>0</v>
      </c>
      <c r="F390" s="16">
        <f t="shared" si="75"/>
        <v>0</v>
      </c>
      <c r="G390" s="15">
        <f>'단가대비표(총체)'!P25</f>
        <v>0</v>
      </c>
      <c r="H390" s="16">
        <f t="shared" si="76"/>
        <v>0</v>
      </c>
      <c r="I390" s="15">
        <f>'단가대비표(총체)'!V25</f>
        <v>0</v>
      </c>
      <c r="J390" s="16">
        <f t="shared" si="77"/>
        <v>0</v>
      </c>
      <c r="K390" s="15">
        <f t="shared" si="78"/>
        <v>0</v>
      </c>
      <c r="L390" s="16">
        <f t="shared" si="78"/>
        <v>0</v>
      </c>
      <c r="M390" s="9" t="s">
        <v>52</v>
      </c>
      <c r="N390" s="2" t="s">
        <v>354</v>
      </c>
      <c r="O390" s="2" t="s">
        <v>1382</v>
      </c>
      <c r="P390" s="2" t="s">
        <v>61</v>
      </c>
      <c r="Q390" s="2" t="s">
        <v>61</v>
      </c>
      <c r="R390" s="2" t="s">
        <v>60</v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2" t="s">
        <v>52</v>
      </c>
      <c r="AW390" s="2" t="s">
        <v>1383</v>
      </c>
      <c r="AX390" s="2" t="s">
        <v>52</v>
      </c>
      <c r="AY390" s="2" t="s">
        <v>52</v>
      </c>
    </row>
    <row r="391" spans="1:51" ht="30" customHeight="1" x14ac:dyDescent="0.3">
      <c r="A391" s="9" t="s">
        <v>1384</v>
      </c>
      <c r="B391" s="9" t="s">
        <v>1385</v>
      </c>
      <c r="C391" s="9" t="s">
        <v>1021</v>
      </c>
      <c r="D391" s="10">
        <v>1.0109999999999999</v>
      </c>
      <c r="E391" s="15">
        <f>'일위대가목록(총체)'!E165</f>
        <v>0</v>
      </c>
      <c r="F391" s="16">
        <f t="shared" si="75"/>
        <v>0</v>
      </c>
      <c r="G391" s="15">
        <f>'일위대가목록(총체)'!F165</f>
        <v>0</v>
      </c>
      <c r="H391" s="16">
        <f t="shared" si="76"/>
        <v>0</v>
      </c>
      <c r="I391" s="15">
        <f>'일위대가목록(총체)'!G165</f>
        <v>0</v>
      </c>
      <c r="J391" s="16">
        <f t="shared" si="77"/>
        <v>0</v>
      </c>
      <c r="K391" s="15">
        <f t="shared" si="78"/>
        <v>0</v>
      </c>
      <c r="L391" s="16">
        <f t="shared" si="78"/>
        <v>0</v>
      </c>
      <c r="M391" s="9" t="s">
        <v>52</v>
      </c>
      <c r="N391" s="2" t="s">
        <v>354</v>
      </c>
      <c r="O391" s="2" t="s">
        <v>1386</v>
      </c>
      <c r="P391" s="2" t="s">
        <v>60</v>
      </c>
      <c r="Q391" s="2" t="s">
        <v>61</v>
      </c>
      <c r="R391" s="2" t="s">
        <v>61</v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2" t="s">
        <v>52</v>
      </c>
      <c r="AW391" s="2" t="s">
        <v>1387</v>
      </c>
      <c r="AX391" s="2" t="s">
        <v>52</v>
      </c>
      <c r="AY391" s="2" t="s">
        <v>52</v>
      </c>
    </row>
    <row r="392" spans="1:51" ht="30" customHeight="1" x14ac:dyDescent="0.3">
      <c r="A392" s="9" t="s">
        <v>1384</v>
      </c>
      <c r="B392" s="9" t="s">
        <v>1388</v>
      </c>
      <c r="C392" s="9" t="s">
        <v>1021</v>
      </c>
      <c r="D392" s="10">
        <v>2.3940000000000001</v>
      </c>
      <c r="E392" s="15">
        <f>'일위대가목록(총체)'!E166</f>
        <v>0</v>
      </c>
      <c r="F392" s="16">
        <f t="shared" si="75"/>
        <v>0</v>
      </c>
      <c r="G392" s="15">
        <f>'일위대가목록(총체)'!F166</f>
        <v>0</v>
      </c>
      <c r="H392" s="16">
        <f t="shared" si="76"/>
        <v>0</v>
      </c>
      <c r="I392" s="15">
        <f>'일위대가목록(총체)'!G166</f>
        <v>0</v>
      </c>
      <c r="J392" s="16">
        <f t="shared" si="77"/>
        <v>0</v>
      </c>
      <c r="K392" s="15">
        <f t="shared" si="78"/>
        <v>0</v>
      </c>
      <c r="L392" s="16">
        <f t="shared" si="78"/>
        <v>0</v>
      </c>
      <c r="M392" s="9" t="s">
        <v>52</v>
      </c>
      <c r="N392" s="2" t="s">
        <v>354</v>
      </c>
      <c r="O392" s="2" t="s">
        <v>1389</v>
      </c>
      <c r="P392" s="2" t="s">
        <v>60</v>
      </c>
      <c r="Q392" s="2" t="s">
        <v>61</v>
      </c>
      <c r="R392" s="2" t="s">
        <v>61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2" t="s">
        <v>52</v>
      </c>
      <c r="AW392" s="2" t="s">
        <v>1390</v>
      </c>
      <c r="AX392" s="2" t="s">
        <v>52</v>
      </c>
      <c r="AY392" s="2" t="s">
        <v>52</v>
      </c>
    </row>
    <row r="393" spans="1:51" ht="30" customHeight="1" x14ac:dyDescent="0.3">
      <c r="A393" s="9" t="s">
        <v>744</v>
      </c>
      <c r="B393" s="9" t="s">
        <v>1391</v>
      </c>
      <c r="C393" s="9" t="s">
        <v>1021</v>
      </c>
      <c r="D393" s="10">
        <v>-7.0999999999999994E-2</v>
      </c>
      <c r="E393" s="15">
        <f>'단가대비표(총체)'!O16</f>
        <v>0</v>
      </c>
      <c r="F393" s="16">
        <f t="shared" si="75"/>
        <v>0</v>
      </c>
      <c r="G393" s="15">
        <f>'단가대비표(총체)'!P16</f>
        <v>0</v>
      </c>
      <c r="H393" s="16">
        <f t="shared" si="76"/>
        <v>0</v>
      </c>
      <c r="I393" s="15">
        <f>'단가대비표(총체)'!V16</f>
        <v>0</v>
      </c>
      <c r="J393" s="16">
        <f t="shared" si="77"/>
        <v>0</v>
      </c>
      <c r="K393" s="15">
        <f t="shared" si="78"/>
        <v>0</v>
      </c>
      <c r="L393" s="16">
        <f t="shared" si="78"/>
        <v>0</v>
      </c>
      <c r="M393" s="9" t="s">
        <v>746</v>
      </c>
      <c r="N393" s="2" t="s">
        <v>354</v>
      </c>
      <c r="O393" s="2" t="s">
        <v>1392</v>
      </c>
      <c r="P393" s="2" t="s">
        <v>61</v>
      </c>
      <c r="Q393" s="2" t="s">
        <v>61</v>
      </c>
      <c r="R393" s="2" t="s">
        <v>60</v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2" t="s">
        <v>52</v>
      </c>
      <c r="AW393" s="2" t="s">
        <v>1393</v>
      </c>
      <c r="AX393" s="2" t="s">
        <v>52</v>
      </c>
      <c r="AY393" s="2" t="s">
        <v>52</v>
      </c>
    </row>
    <row r="394" spans="1:51" ht="30" customHeight="1" x14ac:dyDescent="0.3">
      <c r="A394" s="9" t="s">
        <v>744</v>
      </c>
      <c r="B394" s="9" t="s">
        <v>745</v>
      </c>
      <c r="C394" s="9" t="s">
        <v>1021</v>
      </c>
      <c r="D394" s="10">
        <v>-0.16800000000000001</v>
      </c>
      <c r="E394" s="15">
        <f>'단가대비표(총체)'!O15</f>
        <v>0</v>
      </c>
      <c r="F394" s="16">
        <f t="shared" si="75"/>
        <v>0</v>
      </c>
      <c r="G394" s="15">
        <f>'단가대비표(총체)'!P15</f>
        <v>0</v>
      </c>
      <c r="H394" s="16">
        <f t="shared" si="76"/>
        <v>0</v>
      </c>
      <c r="I394" s="15">
        <f>'단가대비표(총체)'!V15</f>
        <v>0</v>
      </c>
      <c r="J394" s="16">
        <f t="shared" si="77"/>
        <v>0</v>
      </c>
      <c r="K394" s="15">
        <f t="shared" si="78"/>
        <v>0</v>
      </c>
      <c r="L394" s="16">
        <f t="shared" si="78"/>
        <v>0</v>
      </c>
      <c r="M394" s="9" t="s">
        <v>746</v>
      </c>
      <c r="N394" s="2" t="s">
        <v>354</v>
      </c>
      <c r="O394" s="2" t="s">
        <v>1394</v>
      </c>
      <c r="P394" s="2" t="s">
        <v>61</v>
      </c>
      <c r="Q394" s="2" t="s">
        <v>61</v>
      </c>
      <c r="R394" s="2" t="s">
        <v>60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2" t="s">
        <v>52</v>
      </c>
      <c r="AW394" s="2" t="s">
        <v>1395</v>
      </c>
      <c r="AX394" s="2" t="s">
        <v>52</v>
      </c>
      <c r="AY394" s="2" t="s">
        <v>52</v>
      </c>
    </row>
    <row r="395" spans="1:51" ht="30" customHeight="1" x14ac:dyDescent="0.3">
      <c r="A395" s="9" t="s">
        <v>811</v>
      </c>
      <c r="B395" s="9" t="s">
        <v>52</v>
      </c>
      <c r="C395" s="9" t="s">
        <v>52</v>
      </c>
      <c r="D395" s="10"/>
      <c r="E395" s="15"/>
      <c r="F395" s="16">
        <f>TRUNC(SUMIF(N388:N394, N387, F388:F394),0)</f>
        <v>0</v>
      </c>
      <c r="G395" s="15"/>
      <c r="H395" s="16">
        <f>TRUNC(SUMIF(N388:N394, N387, H388:H394),0)</f>
        <v>0</v>
      </c>
      <c r="I395" s="15"/>
      <c r="J395" s="16">
        <f>TRUNC(SUMIF(N388:N394, N387, J388:J394),0)</f>
        <v>0</v>
      </c>
      <c r="K395" s="15"/>
      <c r="L395" s="16">
        <f>F395+H395+J395</f>
        <v>0</v>
      </c>
      <c r="M395" s="9" t="s">
        <v>52</v>
      </c>
      <c r="N395" s="2" t="s">
        <v>94</v>
      </c>
      <c r="O395" s="2" t="s">
        <v>94</v>
      </c>
      <c r="P395" s="2" t="s">
        <v>52</v>
      </c>
      <c r="Q395" s="2" t="s">
        <v>52</v>
      </c>
      <c r="R395" s="2" t="s">
        <v>52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2" t="s">
        <v>52</v>
      </c>
      <c r="AW395" s="2" t="s">
        <v>52</v>
      </c>
      <c r="AX395" s="2" t="s">
        <v>52</v>
      </c>
      <c r="AY395" s="2" t="s">
        <v>52</v>
      </c>
    </row>
    <row r="396" spans="1:51" ht="30" customHeight="1" x14ac:dyDescent="0.3">
      <c r="A396" s="10"/>
      <c r="B396" s="10"/>
      <c r="C396" s="10"/>
      <c r="D396" s="10"/>
      <c r="E396" s="15"/>
      <c r="F396" s="16"/>
      <c r="G396" s="15"/>
      <c r="H396" s="16"/>
      <c r="I396" s="15"/>
      <c r="J396" s="16"/>
      <c r="K396" s="15"/>
      <c r="L396" s="16"/>
      <c r="M396" s="10"/>
    </row>
    <row r="397" spans="1:51" ht="30" customHeight="1" x14ac:dyDescent="0.3">
      <c r="A397" s="44" t="s">
        <v>1396</v>
      </c>
      <c r="B397" s="44"/>
      <c r="C397" s="44"/>
      <c r="D397" s="44"/>
      <c r="E397" s="45"/>
      <c r="F397" s="46"/>
      <c r="G397" s="45"/>
      <c r="H397" s="46"/>
      <c r="I397" s="45"/>
      <c r="J397" s="46"/>
      <c r="K397" s="45"/>
      <c r="L397" s="46"/>
      <c r="M397" s="44"/>
      <c r="N397" s="1" t="s">
        <v>358</v>
      </c>
    </row>
    <row r="398" spans="1:51" ht="30" customHeight="1" x14ac:dyDescent="0.3">
      <c r="A398" s="9" t="s">
        <v>1398</v>
      </c>
      <c r="B398" s="9" t="s">
        <v>1399</v>
      </c>
      <c r="C398" s="9" t="s">
        <v>82</v>
      </c>
      <c r="D398" s="10">
        <v>4.4400000000000004</v>
      </c>
      <c r="E398" s="15">
        <f>'단가대비표(총체)'!O149</f>
        <v>0</v>
      </c>
      <c r="F398" s="16">
        <f t="shared" ref="F398:F403" si="79">TRUNC(E398*D398,1)</f>
        <v>0</v>
      </c>
      <c r="G398" s="15">
        <f>'단가대비표(총체)'!P149</f>
        <v>0</v>
      </c>
      <c r="H398" s="16">
        <f t="shared" ref="H398:H403" si="80">TRUNC(G398*D398,1)</f>
        <v>0</v>
      </c>
      <c r="I398" s="15">
        <f>'단가대비표(총체)'!V149</f>
        <v>0</v>
      </c>
      <c r="J398" s="16">
        <f t="shared" ref="J398:J403" si="81">TRUNC(I398*D398,1)</f>
        <v>0</v>
      </c>
      <c r="K398" s="15">
        <f t="shared" ref="K398:L403" si="82">TRUNC(E398+G398+I398,1)</f>
        <v>0</v>
      </c>
      <c r="L398" s="16">
        <f t="shared" si="82"/>
        <v>0</v>
      </c>
      <c r="M398" s="9" t="s">
        <v>52</v>
      </c>
      <c r="N398" s="2" t="s">
        <v>358</v>
      </c>
      <c r="O398" s="2" t="s">
        <v>1400</v>
      </c>
      <c r="P398" s="2" t="s">
        <v>61</v>
      </c>
      <c r="Q398" s="2" t="s">
        <v>61</v>
      </c>
      <c r="R398" s="2" t="s">
        <v>60</v>
      </c>
      <c r="S398" s="3"/>
      <c r="T398" s="3"/>
      <c r="U398" s="3"/>
      <c r="V398" s="3">
        <v>1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2" t="s">
        <v>52</v>
      </c>
      <c r="AW398" s="2" t="s">
        <v>1401</v>
      </c>
      <c r="AX398" s="2" t="s">
        <v>52</v>
      </c>
      <c r="AY398" s="2" t="s">
        <v>52</v>
      </c>
    </row>
    <row r="399" spans="1:51" ht="30" customHeight="1" x14ac:dyDescent="0.3">
      <c r="A399" s="9" t="s">
        <v>983</v>
      </c>
      <c r="B399" s="9" t="s">
        <v>1402</v>
      </c>
      <c r="C399" s="9" t="s">
        <v>307</v>
      </c>
      <c r="D399" s="10">
        <v>1</v>
      </c>
      <c r="E399" s="15">
        <f>TRUNC(SUMIF(V398:V403, RIGHTB(O399, 1), F398:F403)*U399, 2)</f>
        <v>0</v>
      </c>
      <c r="F399" s="16">
        <f t="shared" si="79"/>
        <v>0</v>
      </c>
      <c r="G399" s="15">
        <v>0</v>
      </c>
      <c r="H399" s="16">
        <f t="shared" si="80"/>
        <v>0</v>
      </c>
      <c r="I399" s="15">
        <v>0</v>
      </c>
      <c r="J399" s="16">
        <f t="shared" si="81"/>
        <v>0</v>
      </c>
      <c r="K399" s="15">
        <f t="shared" si="82"/>
        <v>0</v>
      </c>
      <c r="L399" s="16">
        <f t="shared" si="82"/>
        <v>0</v>
      </c>
      <c r="M399" s="9" t="s">
        <v>52</v>
      </c>
      <c r="N399" s="2" t="s">
        <v>358</v>
      </c>
      <c r="O399" s="2" t="s">
        <v>809</v>
      </c>
      <c r="P399" s="2" t="s">
        <v>61</v>
      </c>
      <c r="Q399" s="2" t="s">
        <v>61</v>
      </c>
      <c r="R399" s="2" t="s">
        <v>61</v>
      </c>
      <c r="S399" s="3">
        <v>0</v>
      </c>
      <c r="T399" s="3">
        <v>0</v>
      </c>
      <c r="U399" s="3">
        <v>0.03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2" t="s">
        <v>52</v>
      </c>
      <c r="AW399" s="2" t="s">
        <v>1403</v>
      </c>
      <c r="AX399" s="2" t="s">
        <v>52</v>
      </c>
      <c r="AY399" s="2" t="s">
        <v>52</v>
      </c>
    </row>
    <row r="400" spans="1:51" ht="30" customHeight="1" x14ac:dyDescent="0.3">
      <c r="A400" s="9" t="s">
        <v>1138</v>
      </c>
      <c r="B400" s="9" t="s">
        <v>822</v>
      </c>
      <c r="C400" s="9" t="s">
        <v>823</v>
      </c>
      <c r="D400" s="10">
        <v>0.14000000000000001</v>
      </c>
      <c r="E400" s="15">
        <f>'단가대비표(총체)'!O183</f>
        <v>0</v>
      </c>
      <c r="F400" s="16">
        <f t="shared" si="79"/>
        <v>0</v>
      </c>
      <c r="G400" s="15">
        <f>'단가대비표(총체)'!P183</f>
        <v>0</v>
      </c>
      <c r="H400" s="16">
        <f t="shared" si="80"/>
        <v>0</v>
      </c>
      <c r="I400" s="15">
        <f>'단가대비표(총체)'!V183</f>
        <v>0</v>
      </c>
      <c r="J400" s="16">
        <f t="shared" si="81"/>
        <v>0</v>
      </c>
      <c r="K400" s="15">
        <f t="shared" si="82"/>
        <v>0</v>
      </c>
      <c r="L400" s="16">
        <f t="shared" si="82"/>
        <v>0</v>
      </c>
      <c r="M400" s="9" t="s">
        <v>52</v>
      </c>
      <c r="N400" s="2" t="s">
        <v>358</v>
      </c>
      <c r="O400" s="2" t="s">
        <v>1139</v>
      </c>
      <c r="P400" s="2" t="s">
        <v>61</v>
      </c>
      <c r="Q400" s="2" t="s">
        <v>61</v>
      </c>
      <c r="R400" s="2" t="s">
        <v>60</v>
      </c>
      <c r="S400" s="3"/>
      <c r="T400" s="3"/>
      <c r="U400" s="3"/>
      <c r="V400" s="3"/>
      <c r="W400" s="3">
        <v>2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2" t="s">
        <v>52</v>
      </c>
      <c r="AW400" s="2" t="s">
        <v>1404</v>
      </c>
      <c r="AX400" s="2" t="s">
        <v>52</v>
      </c>
      <c r="AY400" s="2" t="s">
        <v>52</v>
      </c>
    </row>
    <row r="401" spans="1:51" ht="30" customHeight="1" x14ac:dyDescent="0.3">
      <c r="A401" s="9" t="s">
        <v>1405</v>
      </c>
      <c r="B401" s="9" t="s">
        <v>822</v>
      </c>
      <c r="C401" s="9" t="s">
        <v>823</v>
      </c>
      <c r="D401" s="10">
        <v>0.126</v>
      </c>
      <c r="E401" s="15">
        <f>'단가대비표(총체)'!O184</f>
        <v>0</v>
      </c>
      <c r="F401" s="16">
        <f t="shared" si="79"/>
        <v>0</v>
      </c>
      <c r="G401" s="15">
        <f>'단가대비표(총체)'!P184</f>
        <v>0</v>
      </c>
      <c r="H401" s="16">
        <f t="shared" si="80"/>
        <v>0</v>
      </c>
      <c r="I401" s="15">
        <f>'단가대비표(총체)'!V184</f>
        <v>0</v>
      </c>
      <c r="J401" s="16">
        <f t="shared" si="81"/>
        <v>0</v>
      </c>
      <c r="K401" s="15">
        <f t="shared" si="82"/>
        <v>0</v>
      </c>
      <c r="L401" s="16">
        <f t="shared" si="82"/>
        <v>0</v>
      </c>
      <c r="M401" s="9" t="s">
        <v>52</v>
      </c>
      <c r="N401" s="2" t="s">
        <v>358</v>
      </c>
      <c r="O401" s="2" t="s">
        <v>1406</v>
      </c>
      <c r="P401" s="2" t="s">
        <v>61</v>
      </c>
      <c r="Q401" s="2" t="s">
        <v>61</v>
      </c>
      <c r="R401" s="2" t="s">
        <v>60</v>
      </c>
      <c r="S401" s="3"/>
      <c r="T401" s="3"/>
      <c r="U401" s="3"/>
      <c r="V401" s="3"/>
      <c r="W401" s="3">
        <v>2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2" t="s">
        <v>52</v>
      </c>
      <c r="AW401" s="2" t="s">
        <v>1407</v>
      </c>
      <c r="AX401" s="2" t="s">
        <v>52</v>
      </c>
      <c r="AY401" s="2" t="s">
        <v>52</v>
      </c>
    </row>
    <row r="402" spans="1:51" ht="30" customHeight="1" x14ac:dyDescent="0.3">
      <c r="A402" s="9" t="s">
        <v>821</v>
      </c>
      <c r="B402" s="9" t="s">
        <v>822</v>
      </c>
      <c r="C402" s="9" t="s">
        <v>823</v>
      </c>
      <c r="D402" s="10">
        <v>7.0000000000000007E-2</v>
      </c>
      <c r="E402" s="15">
        <f>'단가대비표(총체)'!O180</f>
        <v>0</v>
      </c>
      <c r="F402" s="16">
        <f t="shared" si="79"/>
        <v>0</v>
      </c>
      <c r="G402" s="15">
        <f>'단가대비표(총체)'!P180</f>
        <v>0</v>
      </c>
      <c r="H402" s="16">
        <f t="shared" si="80"/>
        <v>0</v>
      </c>
      <c r="I402" s="15">
        <f>'단가대비표(총체)'!V180</f>
        <v>0</v>
      </c>
      <c r="J402" s="16">
        <f t="shared" si="81"/>
        <v>0</v>
      </c>
      <c r="K402" s="15">
        <f t="shared" si="82"/>
        <v>0</v>
      </c>
      <c r="L402" s="16">
        <f t="shared" si="82"/>
        <v>0</v>
      </c>
      <c r="M402" s="9" t="s">
        <v>52</v>
      </c>
      <c r="N402" s="2" t="s">
        <v>358</v>
      </c>
      <c r="O402" s="2" t="s">
        <v>824</v>
      </c>
      <c r="P402" s="2" t="s">
        <v>61</v>
      </c>
      <c r="Q402" s="2" t="s">
        <v>61</v>
      </c>
      <c r="R402" s="2" t="s">
        <v>60</v>
      </c>
      <c r="S402" s="3"/>
      <c r="T402" s="3"/>
      <c r="U402" s="3"/>
      <c r="V402" s="3"/>
      <c r="W402" s="3">
        <v>2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2" t="s">
        <v>52</v>
      </c>
      <c r="AW402" s="2" t="s">
        <v>1408</v>
      </c>
      <c r="AX402" s="2" t="s">
        <v>52</v>
      </c>
      <c r="AY402" s="2" t="s">
        <v>52</v>
      </c>
    </row>
    <row r="403" spans="1:51" ht="30" customHeight="1" x14ac:dyDescent="0.3">
      <c r="A403" s="9" t="s">
        <v>874</v>
      </c>
      <c r="B403" s="9" t="s">
        <v>875</v>
      </c>
      <c r="C403" s="9" t="s">
        <v>307</v>
      </c>
      <c r="D403" s="10">
        <v>1</v>
      </c>
      <c r="E403" s="15">
        <f>TRUNC(SUMIF(W398:W403, RIGHTB(O403, 1), H398:H403)*U403, 2)</f>
        <v>0</v>
      </c>
      <c r="F403" s="16">
        <f t="shared" si="79"/>
        <v>0</v>
      </c>
      <c r="G403" s="15">
        <v>0</v>
      </c>
      <c r="H403" s="16">
        <f t="shared" si="80"/>
        <v>0</v>
      </c>
      <c r="I403" s="15">
        <v>0</v>
      </c>
      <c r="J403" s="16">
        <f t="shared" si="81"/>
        <v>0</v>
      </c>
      <c r="K403" s="15">
        <f t="shared" si="82"/>
        <v>0</v>
      </c>
      <c r="L403" s="16">
        <f t="shared" si="82"/>
        <v>0</v>
      </c>
      <c r="M403" s="9" t="s">
        <v>52</v>
      </c>
      <c r="N403" s="2" t="s">
        <v>358</v>
      </c>
      <c r="O403" s="2" t="s">
        <v>877</v>
      </c>
      <c r="P403" s="2" t="s">
        <v>61</v>
      </c>
      <c r="Q403" s="2" t="s">
        <v>61</v>
      </c>
      <c r="R403" s="2" t="s">
        <v>61</v>
      </c>
      <c r="S403" s="3">
        <v>1</v>
      </c>
      <c r="T403" s="3">
        <v>0</v>
      </c>
      <c r="U403" s="3">
        <v>0.03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2" t="s">
        <v>52</v>
      </c>
      <c r="AW403" s="2" t="s">
        <v>1409</v>
      </c>
      <c r="AX403" s="2" t="s">
        <v>52</v>
      </c>
      <c r="AY403" s="2" t="s">
        <v>52</v>
      </c>
    </row>
    <row r="404" spans="1:51" ht="30" customHeight="1" x14ac:dyDescent="0.3">
      <c r="A404" s="9" t="s">
        <v>811</v>
      </c>
      <c r="B404" s="9" t="s">
        <v>52</v>
      </c>
      <c r="C404" s="9" t="s">
        <v>52</v>
      </c>
      <c r="D404" s="10"/>
      <c r="E404" s="15"/>
      <c r="F404" s="16">
        <f>TRUNC(SUMIF(N398:N403, N397, F398:F403),0)</f>
        <v>0</v>
      </c>
      <c r="G404" s="15"/>
      <c r="H404" s="16">
        <f>TRUNC(SUMIF(N398:N403, N397, H398:H403),0)</f>
        <v>0</v>
      </c>
      <c r="I404" s="15"/>
      <c r="J404" s="16">
        <f>TRUNC(SUMIF(N398:N403, N397, J398:J403),0)</f>
        <v>0</v>
      </c>
      <c r="K404" s="15"/>
      <c r="L404" s="16">
        <f>F404+H404+J404</f>
        <v>0</v>
      </c>
      <c r="M404" s="9" t="s">
        <v>52</v>
      </c>
      <c r="N404" s="2" t="s">
        <v>94</v>
      </c>
      <c r="O404" s="2" t="s">
        <v>94</v>
      </c>
      <c r="P404" s="2" t="s">
        <v>52</v>
      </c>
      <c r="Q404" s="2" t="s">
        <v>52</v>
      </c>
      <c r="R404" s="2" t="s">
        <v>52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2" t="s">
        <v>52</v>
      </c>
      <c r="AW404" s="2" t="s">
        <v>52</v>
      </c>
      <c r="AX404" s="2" t="s">
        <v>52</v>
      </c>
      <c r="AY404" s="2" t="s">
        <v>52</v>
      </c>
    </row>
    <row r="405" spans="1:51" ht="30" customHeight="1" x14ac:dyDescent="0.3">
      <c r="A405" s="10"/>
      <c r="B405" s="10"/>
      <c r="C405" s="10"/>
      <c r="D405" s="10"/>
      <c r="E405" s="15"/>
      <c r="F405" s="16"/>
      <c r="G405" s="15"/>
      <c r="H405" s="16"/>
      <c r="I405" s="15"/>
      <c r="J405" s="16"/>
      <c r="K405" s="15"/>
      <c r="L405" s="16"/>
      <c r="M405" s="10"/>
    </row>
    <row r="406" spans="1:51" ht="30" customHeight="1" x14ac:dyDescent="0.3">
      <c r="A406" s="44" t="s">
        <v>1410</v>
      </c>
      <c r="B406" s="44"/>
      <c r="C406" s="44"/>
      <c r="D406" s="44"/>
      <c r="E406" s="45"/>
      <c r="F406" s="46"/>
      <c r="G406" s="45"/>
      <c r="H406" s="46"/>
      <c r="I406" s="45"/>
      <c r="J406" s="46"/>
      <c r="K406" s="45"/>
      <c r="L406" s="46"/>
      <c r="M406" s="44"/>
      <c r="N406" s="1" t="s">
        <v>364</v>
      </c>
    </row>
    <row r="407" spans="1:51" ht="30" customHeight="1" x14ac:dyDescent="0.3">
      <c r="A407" s="9" t="s">
        <v>1412</v>
      </c>
      <c r="B407" s="9" t="s">
        <v>1413</v>
      </c>
      <c r="C407" s="9" t="s">
        <v>768</v>
      </c>
      <c r="D407" s="10">
        <v>1</v>
      </c>
      <c r="E407" s="15">
        <f>'단가대비표(총체)'!O80</f>
        <v>0</v>
      </c>
      <c r="F407" s="16">
        <f t="shared" ref="F407:F414" si="83">TRUNC(E407*D407,1)</f>
        <v>0</v>
      </c>
      <c r="G407" s="15">
        <f>'단가대비표(총체)'!P80</f>
        <v>0</v>
      </c>
      <c r="H407" s="16">
        <f t="shared" ref="H407:H414" si="84">TRUNC(G407*D407,1)</f>
        <v>0</v>
      </c>
      <c r="I407" s="15">
        <f>'단가대비표(총체)'!V80</f>
        <v>0</v>
      </c>
      <c r="J407" s="16">
        <f t="shared" ref="J407:J414" si="85">TRUNC(I407*D407,1)</f>
        <v>0</v>
      </c>
      <c r="K407" s="15">
        <f t="shared" ref="K407:L414" si="86">TRUNC(E407+G407+I407,1)</f>
        <v>0</v>
      </c>
      <c r="L407" s="16">
        <f t="shared" si="86"/>
        <v>0</v>
      </c>
      <c r="M407" s="9" t="s">
        <v>52</v>
      </c>
      <c r="N407" s="2" t="s">
        <v>364</v>
      </c>
      <c r="O407" s="2" t="s">
        <v>1414</v>
      </c>
      <c r="P407" s="2" t="s">
        <v>61</v>
      </c>
      <c r="Q407" s="2" t="s">
        <v>61</v>
      </c>
      <c r="R407" s="2" t="s">
        <v>60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2" t="s">
        <v>52</v>
      </c>
      <c r="AW407" s="2" t="s">
        <v>1415</v>
      </c>
      <c r="AX407" s="2" t="s">
        <v>52</v>
      </c>
      <c r="AY407" s="2" t="s">
        <v>52</v>
      </c>
    </row>
    <row r="408" spans="1:51" ht="30" customHeight="1" x14ac:dyDescent="0.3">
      <c r="A408" s="9" t="s">
        <v>1416</v>
      </c>
      <c r="B408" s="9" t="s">
        <v>1417</v>
      </c>
      <c r="C408" s="9" t="s">
        <v>58</v>
      </c>
      <c r="D408" s="10">
        <v>1</v>
      </c>
      <c r="E408" s="15">
        <f>'일위대가목록(총체)'!E167</f>
        <v>0</v>
      </c>
      <c r="F408" s="16">
        <f t="shared" si="83"/>
        <v>0</v>
      </c>
      <c r="G408" s="15">
        <f>'일위대가목록(총체)'!F167</f>
        <v>0</v>
      </c>
      <c r="H408" s="16">
        <f t="shared" si="84"/>
        <v>0</v>
      </c>
      <c r="I408" s="15">
        <f>'일위대가목록(총체)'!G167</f>
        <v>0</v>
      </c>
      <c r="J408" s="16">
        <f t="shared" si="85"/>
        <v>0</v>
      </c>
      <c r="K408" s="15">
        <f t="shared" si="86"/>
        <v>0</v>
      </c>
      <c r="L408" s="16">
        <f t="shared" si="86"/>
        <v>0</v>
      </c>
      <c r="M408" s="9" t="s">
        <v>52</v>
      </c>
      <c r="N408" s="2" t="s">
        <v>364</v>
      </c>
      <c r="O408" s="2" t="s">
        <v>1418</v>
      </c>
      <c r="P408" s="2" t="s">
        <v>60</v>
      </c>
      <c r="Q408" s="2" t="s">
        <v>61</v>
      </c>
      <c r="R408" s="2" t="s">
        <v>61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2" t="s">
        <v>52</v>
      </c>
      <c r="AW408" s="2" t="s">
        <v>1419</v>
      </c>
      <c r="AX408" s="2" t="s">
        <v>52</v>
      </c>
      <c r="AY408" s="2" t="s">
        <v>52</v>
      </c>
    </row>
    <row r="409" spans="1:51" ht="30" customHeight="1" x14ac:dyDescent="0.3">
      <c r="A409" s="9" t="s">
        <v>1420</v>
      </c>
      <c r="B409" s="9" t="s">
        <v>1421</v>
      </c>
      <c r="C409" s="9" t="s">
        <v>427</v>
      </c>
      <c r="D409" s="10">
        <v>3</v>
      </c>
      <c r="E409" s="15">
        <f>'단가대비표(총체)'!O109</f>
        <v>0</v>
      </c>
      <c r="F409" s="16">
        <f t="shared" si="83"/>
        <v>0</v>
      </c>
      <c r="G409" s="15">
        <f>'단가대비표(총체)'!P109</f>
        <v>0</v>
      </c>
      <c r="H409" s="16">
        <f t="shared" si="84"/>
        <v>0</v>
      </c>
      <c r="I409" s="15">
        <f>'단가대비표(총체)'!V109</f>
        <v>0</v>
      </c>
      <c r="J409" s="16">
        <f t="shared" si="85"/>
        <v>0</v>
      </c>
      <c r="K409" s="15">
        <f t="shared" si="86"/>
        <v>0</v>
      </c>
      <c r="L409" s="16">
        <f t="shared" si="86"/>
        <v>0</v>
      </c>
      <c r="M409" s="9" t="s">
        <v>52</v>
      </c>
      <c r="N409" s="2" t="s">
        <v>364</v>
      </c>
      <c r="O409" s="2" t="s">
        <v>1422</v>
      </c>
      <c r="P409" s="2" t="s">
        <v>61</v>
      </c>
      <c r="Q409" s="2" t="s">
        <v>61</v>
      </c>
      <c r="R409" s="2" t="s">
        <v>60</v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2" t="s">
        <v>52</v>
      </c>
      <c r="AW409" s="2" t="s">
        <v>1423</v>
      </c>
      <c r="AX409" s="2" t="s">
        <v>52</v>
      </c>
      <c r="AY409" s="2" t="s">
        <v>52</v>
      </c>
    </row>
    <row r="410" spans="1:51" ht="30" customHeight="1" x14ac:dyDescent="0.3">
      <c r="A410" s="9" t="s">
        <v>1424</v>
      </c>
      <c r="B410" s="9" t="s">
        <v>1425</v>
      </c>
      <c r="C410" s="9" t="s">
        <v>58</v>
      </c>
      <c r="D410" s="10">
        <v>1</v>
      </c>
      <c r="E410" s="15">
        <f>'단가대비표(총체)'!O13</f>
        <v>0</v>
      </c>
      <c r="F410" s="16">
        <f t="shared" si="83"/>
        <v>0</v>
      </c>
      <c r="G410" s="15">
        <f>'단가대비표(총체)'!P13</f>
        <v>0</v>
      </c>
      <c r="H410" s="16">
        <f t="shared" si="84"/>
        <v>0</v>
      </c>
      <c r="I410" s="15">
        <f>'단가대비표(총체)'!V13</f>
        <v>0</v>
      </c>
      <c r="J410" s="16">
        <f t="shared" si="85"/>
        <v>0</v>
      </c>
      <c r="K410" s="15">
        <f t="shared" si="86"/>
        <v>0</v>
      </c>
      <c r="L410" s="16">
        <f t="shared" si="86"/>
        <v>0</v>
      </c>
      <c r="M410" s="9" t="s">
        <v>52</v>
      </c>
      <c r="N410" s="2" t="s">
        <v>364</v>
      </c>
      <c r="O410" s="2" t="s">
        <v>1426</v>
      </c>
      <c r="P410" s="2" t="s">
        <v>61</v>
      </c>
      <c r="Q410" s="2" t="s">
        <v>61</v>
      </c>
      <c r="R410" s="2" t="s">
        <v>60</v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2" t="s">
        <v>52</v>
      </c>
      <c r="AW410" s="2" t="s">
        <v>1427</v>
      </c>
      <c r="AX410" s="2" t="s">
        <v>52</v>
      </c>
      <c r="AY410" s="2" t="s">
        <v>52</v>
      </c>
    </row>
    <row r="411" spans="1:51" ht="30" customHeight="1" x14ac:dyDescent="0.3">
      <c r="A411" s="9" t="s">
        <v>1428</v>
      </c>
      <c r="B411" s="9" t="s">
        <v>1330</v>
      </c>
      <c r="C411" s="9" t="s">
        <v>58</v>
      </c>
      <c r="D411" s="10">
        <v>1</v>
      </c>
      <c r="E411" s="15">
        <f>'일위대가목록(총체)'!E168</f>
        <v>0</v>
      </c>
      <c r="F411" s="16">
        <f t="shared" si="83"/>
        <v>0</v>
      </c>
      <c r="G411" s="15">
        <f>'일위대가목록(총체)'!F168</f>
        <v>0</v>
      </c>
      <c r="H411" s="16">
        <f t="shared" si="84"/>
        <v>0</v>
      </c>
      <c r="I411" s="15">
        <f>'일위대가목록(총체)'!G168</f>
        <v>0</v>
      </c>
      <c r="J411" s="16">
        <f t="shared" si="85"/>
        <v>0</v>
      </c>
      <c r="K411" s="15">
        <f t="shared" si="86"/>
        <v>0</v>
      </c>
      <c r="L411" s="16">
        <f t="shared" si="86"/>
        <v>0</v>
      </c>
      <c r="M411" s="9" t="s">
        <v>52</v>
      </c>
      <c r="N411" s="2" t="s">
        <v>364</v>
      </c>
      <c r="O411" s="2" t="s">
        <v>1429</v>
      </c>
      <c r="P411" s="2" t="s">
        <v>60</v>
      </c>
      <c r="Q411" s="2" t="s">
        <v>61</v>
      </c>
      <c r="R411" s="2" t="s">
        <v>61</v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2" t="s">
        <v>52</v>
      </c>
      <c r="AW411" s="2" t="s">
        <v>1430</v>
      </c>
      <c r="AX411" s="2" t="s">
        <v>52</v>
      </c>
      <c r="AY411" s="2" t="s">
        <v>52</v>
      </c>
    </row>
    <row r="412" spans="1:51" ht="30" customHeight="1" x14ac:dyDescent="0.3">
      <c r="A412" s="9" t="s">
        <v>1431</v>
      </c>
      <c r="B412" s="9" t="s">
        <v>1432</v>
      </c>
      <c r="C412" s="9" t="s">
        <v>427</v>
      </c>
      <c r="D412" s="10">
        <v>1</v>
      </c>
      <c r="E412" s="15">
        <f>'단가대비표(총체)'!O111</f>
        <v>0</v>
      </c>
      <c r="F412" s="16">
        <f t="shared" si="83"/>
        <v>0</v>
      </c>
      <c r="G412" s="15">
        <f>'단가대비표(총체)'!P111</f>
        <v>0</v>
      </c>
      <c r="H412" s="16">
        <f t="shared" si="84"/>
        <v>0</v>
      </c>
      <c r="I412" s="15">
        <f>'단가대비표(총체)'!V111</f>
        <v>0</v>
      </c>
      <c r="J412" s="16">
        <f t="shared" si="85"/>
        <v>0</v>
      </c>
      <c r="K412" s="15">
        <f t="shared" si="86"/>
        <v>0</v>
      </c>
      <c r="L412" s="16">
        <f t="shared" si="86"/>
        <v>0</v>
      </c>
      <c r="M412" s="9" t="s">
        <v>52</v>
      </c>
      <c r="N412" s="2" t="s">
        <v>364</v>
      </c>
      <c r="O412" s="2" t="s">
        <v>1433</v>
      </c>
      <c r="P412" s="2" t="s">
        <v>61</v>
      </c>
      <c r="Q412" s="2" t="s">
        <v>61</v>
      </c>
      <c r="R412" s="2" t="s">
        <v>60</v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2" t="s">
        <v>52</v>
      </c>
      <c r="AW412" s="2" t="s">
        <v>1434</v>
      </c>
      <c r="AX412" s="2" t="s">
        <v>52</v>
      </c>
      <c r="AY412" s="2" t="s">
        <v>52</v>
      </c>
    </row>
    <row r="413" spans="1:51" ht="30" customHeight="1" x14ac:dyDescent="0.3">
      <c r="A413" s="9" t="s">
        <v>1435</v>
      </c>
      <c r="B413" s="9" t="s">
        <v>52</v>
      </c>
      <c r="C413" s="9" t="s">
        <v>82</v>
      </c>
      <c r="D413" s="10">
        <v>6</v>
      </c>
      <c r="E413" s="15">
        <f>'일위대가목록(총체)'!E169</f>
        <v>0</v>
      </c>
      <c r="F413" s="16">
        <f t="shared" si="83"/>
        <v>0</v>
      </c>
      <c r="G413" s="15">
        <f>'일위대가목록(총체)'!F169</f>
        <v>0</v>
      </c>
      <c r="H413" s="16">
        <f t="shared" si="84"/>
        <v>0</v>
      </c>
      <c r="I413" s="15">
        <f>'일위대가목록(총체)'!G169</f>
        <v>0</v>
      </c>
      <c r="J413" s="16">
        <f t="shared" si="85"/>
        <v>0</v>
      </c>
      <c r="K413" s="15">
        <f t="shared" si="86"/>
        <v>0</v>
      </c>
      <c r="L413" s="16">
        <f t="shared" si="86"/>
        <v>0</v>
      </c>
      <c r="M413" s="9" t="s">
        <v>52</v>
      </c>
      <c r="N413" s="2" t="s">
        <v>364</v>
      </c>
      <c r="O413" s="2" t="s">
        <v>1436</v>
      </c>
      <c r="P413" s="2" t="s">
        <v>60</v>
      </c>
      <c r="Q413" s="2" t="s">
        <v>61</v>
      </c>
      <c r="R413" s="2" t="s">
        <v>61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2" t="s">
        <v>52</v>
      </c>
      <c r="AW413" s="2" t="s">
        <v>1437</v>
      </c>
      <c r="AX413" s="2" t="s">
        <v>52</v>
      </c>
      <c r="AY413" s="2" t="s">
        <v>52</v>
      </c>
    </row>
    <row r="414" spans="1:51" ht="30" customHeight="1" x14ac:dyDescent="0.3">
      <c r="A414" s="9" t="s">
        <v>1438</v>
      </c>
      <c r="B414" s="9" t="s">
        <v>1439</v>
      </c>
      <c r="C414" s="9" t="s">
        <v>82</v>
      </c>
      <c r="D414" s="10">
        <v>6</v>
      </c>
      <c r="E414" s="15">
        <f>'일위대가목록(총체)'!E170</f>
        <v>0</v>
      </c>
      <c r="F414" s="16">
        <f t="shared" si="83"/>
        <v>0</v>
      </c>
      <c r="G414" s="15">
        <f>'일위대가목록(총체)'!F170</f>
        <v>0</v>
      </c>
      <c r="H414" s="16">
        <f t="shared" si="84"/>
        <v>0</v>
      </c>
      <c r="I414" s="15">
        <f>'일위대가목록(총체)'!G170</f>
        <v>0</v>
      </c>
      <c r="J414" s="16">
        <f t="shared" si="85"/>
        <v>0</v>
      </c>
      <c r="K414" s="15">
        <f t="shared" si="86"/>
        <v>0</v>
      </c>
      <c r="L414" s="16">
        <f t="shared" si="86"/>
        <v>0</v>
      </c>
      <c r="M414" s="9" t="s">
        <v>52</v>
      </c>
      <c r="N414" s="2" t="s">
        <v>364</v>
      </c>
      <c r="O414" s="2" t="s">
        <v>1440</v>
      </c>
      <c r="P414" s="2" t="s">
        <v>60</v>
      </c>
      <c r="Q414" s="2" t="s">
        <v>61</v>
      </c>
      <c r="R414" s="2" t="s">
        <v>61</v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2" t="s">
        <v>52</v>
      </c>
      <c r="AW414" s="2" t="s">
        <v>1441</v>
      </c>
      <c r="AX414" s="2" t="s">
        <v>52</v>
      </c>
      <c r="AY414" s="2" t="s">
        <v>52</v>
      </c>
    </row>
    <row r="415" spans="1:51" ht="30" customHeight="1" x14ac:dyDescent="0.3">
      <c r="A415" s="9" t="s">
        <v>811</v>
      </c>
      <c r="B415" s="9" t="s">
        <v>52</v>
      </c>
      <c r="C415" s="9" t="s">
        <v>52</v>
      </c>
      <c r="D415" s="10"/>
      <c r="E415" s="15"/>
      <c r="F415" s="16">
        <f>TRUNC(SUMIF(N407:N414, N406, F407:F414),0)</f>
        <v>0</v>
      </c>
      <c r="G415" s="15"/>
      <c r="H415" s="16">
        <f>TRUNC(SUMIF(N407:N414, N406, H407:H414),0)</f>
        <v>0</v>
      </c>
      <c r="I415" s="15"/>
      <c r="J415" s="16">
        <f>TRUNC(SUMIF(N407:N414, N406, J407:J414),0)</f>
        <v>0</v>
      </c>
      <c r="K415" s="15"/>
      <c r="L415" s="16">
        <f>F415+H415+J415</f>
        <v>0</v>
      </c>
      <c r="M415" s="9" t="s">
        <v>52</v>
      </c>
      <c r="N415" s="2" t="s">
        <v>94</v>
      </c>
      <c r="O415" s="2" t="s">
        <v>94</v>
      </c>
      <c r="P415" s="2" t="s">
        <v>52</v>
      </c>
      <c r="Q415" s="2" t="s">
        <v>52</v>
      </c>
      <c r="R415" s="2" t="s">
        <v>52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2" t="s">
        <v>52</v>
      </c>
      <c r="AW415" s="2" t="s">
        <v>52</v>
      </c>
      <c r="AX415" s="2" t="s">
        <v>52</v>
      </c>
      <c r="AY415" s="2" t="s">
        <v>52</v>
      </c>
    </row>
    <row r="416" spans="1:51" ht="30" customHeight="1" x14ac:dyDescent="0.3">
      <c r="A416" s="10"/>
      <c r="B416" s="10"/>
      <c r="C416" s="10"/>
      <c r="D416" s="10"/>
      <c r="E416" s="15"/>
      <c r="F416" s="16"/>
      <c r="G416" s="15"/>
      <c r="H416" s="16"/>
      <c r="I416" s="15"/>
      <c r="J416" s="16"/>
      <c r="K416" s="15"/>
      <c r="L416" s="16"/>
      <c r="M416" s="10"/>
    </row>
    <row r="417" spans="1:51" ht="30" customHeight="1" x14ac:dyDescent="0.3">
      <c r="A417" s="44" t="s">
        <v>1442</v>
      </c>
      <c r="B417" s="44"/>
      <c r="C417" s="44"/>
      <c r="D417" s="44"/>
      <c r="E417" s="45"/>
      <c r="F417" s="46"/>
      <c r="G417" s="45"/>
      <c r="H417" s="46"/>
      <c r="I417" s="45"/>
      <c r="J417" s="46"/>
      <c r="K417" s="45"/>
      <c r="L417" s="46"/>
      <c r="M417" s="44"/>
      <c r="N417" s="1" t="s">
        <v>368</v>
      </c>
    </row>
    <row r="418" spans="1:51" ht="30" customHeight="1" x14ac:dyDescent="0.3">
      <c r="A418" s="9" t="s">
        <v>1412</v>
      </c>
      <c r="B418" s="9" t="s">
        <v>1444</v>
      </c>
      <c r="C418" s="9" t="s">
        <v>768</v>
      </c>
      <c r="D418" s="10">
        <v>1</v>
      </c>
      <c r="E418" s="15">
        <f>'단가대비표(총체)'!O81</f>
        <v>0</v>
      </c>
      <c r="F418" s="16">
        <f t="shared" ref="F418:F426" si="87">TRUNC(E418*D418,1)</f>
        <v>0</v>
      </c>
      <c r="G418" s="15">
        <f>'단가대비표(총체)'!P81</f>
        <v>0</v>
      </c>
      <c r="H418" s="16">
        <f t="shared" ref="H418:H426" si="88">TRUNC(G418*D418,1)</f>
        <v>0</v>
      </c>
      <c r="I418" s="15">
        <f>'단가대비표(총체)'!V81</f>
        <v>0</v>
      </c>
      <c r="J418" s="16">
        <f t="shared" ref="J418:J426" si="89">TRUNC(I418*D418,1)</f>
        <v>0</v>
      </c>
      <c r="K418" s="15">
        <f t="shared" ref="K418:K426" si="90">TRUNC(E418+G418+I418,1)</f>
        <v>0</v>
      </c>
      <c r="L418" s="16">
        <f t="shared" ref="L418:L426" si="91">TRUNC(F418+H418+J418,1)</f>
        <v>0</v>
      </c>
      <c r="M418" s="9" t="s">
        <v>1445</v>
      </c>
      <c r="N418" s="2" t="s">
        <v>368</v>
      </c>
      <c r="O418" s="2" t="s">
        <v>1446</v>
      </c>
      <c r="P418" s="2" t="s">
        <v>61</v>
      </c>
      <c r="Q418" s="2" t="s">
        <v>61</v>
      </c>
      <c r="R418" s="2" t="s">
        <v>60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2" t="s">
        <v>52</v>
      </c>
      <c r="AW418" s="2" t="s">
        <v>1447</v>
      </c>
      <c r="AX418" s="2" t="s">
        <v>52</v>
      </c>
      <c r="AY418" s="2" t="s">
        <v>52</v>
      </c>
    </row>
    <row r="419" spans="1:51" ht="30" customHeight="1" x14ac:dyDescent="0.3">
      <c r="A419" s="9" t="s">
        <v>1416</v>
      </c>
      <c r="B419" s="9" t="s">
        <v>1448</v>
      </c>
      <c r="C419" s="9" t="s">
        <v>58</v>
      </c>
      <c r="D419" s="10">
        <v>1</v>
      </c>
      <c r="E419" s="15">
        <f>'일위대가목록(총체)'!E172</f>
        <v>0</v>
      </c>
      <c r="F419" s="16">
        <f t="shared" si="87"/>
        <v>0</v>
      </c>
      <c r="G419" s="15">
        <f>'일위대가목록(총체)'!F172</f>
        <v>0</v>
      </c>
      <c r="H419" s="16">
        <f t="shared" si="88"/>
        <v>0</v>
      </c>
      <c r="I419" s="15">
        <f>'일위대가목록(총체)'!G172</f>
        <v>0</v>
      </c>
      <c r="J419" s="16">
        <f t="shared" si="89"/>
        <v>0</v>
      </c>
      <c r="K419" s="15">
        <f t="shared" si="90"/>
        <v>0</v>
      </c>
      <c r="L419" s="16">
        <f t="shared" si="91"/>
        <v>0</v>
      </c>
      <c r="M419" s="9" t="s">
        <v>52</v>
      </c>
      <c r="N419" s="2" t="s">
        <v>368</v>
      </c>
      <c r="O419" s="2" t="s">
        <v>1449</v>
      </c>
      <c r="P419" s="2" t="s">
        <v>60</v>
      </c>
      <c r="Q419" s="2" t="s">
        <v>61</v>
      </c>
      <c r="R419" s="2" t="s">
        <v>61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2" t="s">
        <v>52</v>
      </c>
      <c r="AW419" s="2" t="s">
        <v>1450</v>
      </c>
      <c r="AX419" s="2" t="s">
        <v>52</v>
      </c>
      <c r="AY419" s="2" t="s">
        <v>52</v>
      </c>
    </row>
    <row r="420" spans="1:51" ht="30" customHeight="1" x14ac:dyDescent="0.3">
      <c r="A420" s="9" t="s">
        <v>1420</v>
      </c>
      <c r="B420" s="9" t="s">
        <v>1421</v>
      </c>
      <c r="C420" s="9" t="s">
        <v>427</v>
      </c>
      <c r="D420" s="10">
        <v>6</v>
      </c>
      <c r="E420" s="15">
        <f>'단가대비표(총체)'!O109</f>
        <v>0</v>
      </c>
      <c r="F420" s="16">
        <f t="shared" si="87"/>
        <v>0</v>
      </c>
      <c r="G420" s="15">
        <f>'단가대비표(총체)'!P109</f>
        <v>0</v>
      </c>
      <c r="H420" s="16">
        <f t="shared" si="88"/>
        <v>0</v>
      </c>
      <c r="I420" s="15">
        <f>'단가대비표(총체)'!V109</f>
        <v>0</v>
      </c>
      <c r="J420" s="16">
        <f t="shared" si="89"/>
        <v>0</v>
      </c>
      <c r="K420" s="15">
        <f t="shared" si="90"/>
        <v>0</v>
      </c>
      <c r="L420" s="16">
        <f t="shared" si="91"/>
        <v>0</v>
      </c>
      <c r="M420" s="9" t="s">
        <v>52</v>
      </c>
      <c r="N420" s="2" t="s">
        <v>368</v>
      </c>
      <c r="O420" s="2" t="s">
        <v>1422</v>
      </c>
      <c r="P420" s="2" t="s">
        <v>61</v>
      </c>
      <c r="Q420" s="2" t="s">
        <v>61</v>
      </c>
      <c r="R420" s="2" t="s">
        <v>60</v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2" t="s">
        <v>52</v>
      </c>
      <c r="AW420" s="2" t="s">
        <v>1451</v>
      </c>
      <c r="AX420" s="2" t="s">
        <v>52</v>
      </c>
      <c r="AY420" s="2" t="s">
        <v>52</v>
      </c>
    </row>
    <row r="421" spans="1:51" ht="30" customHeight="1" x14ac:dyDescent="0.3">
      <c r="A421" s="9" t="s">
        <v>1452</v>
      </c>
      <c r="B421" s="9" t="s">
        <v>1453</v>
      </c>
      <c r="C421" s="9" t="s">
        <v>410</v>
      </c>
      <c r="D421" s="10">
        <v>1</v>
      </c>
      <c r="E421" s="15">
        <f>'단가대비표(총체)'!O113</f>
        <v>0</v>
      </c>
      <c r="F421" s="16">
        <f t="shared" si="87"/>
        <v>0</v>
      </c>
      <c r="G421" s="15">
        <f>'단가대비표(총체)'!P113</f>
        <v>0</v>
      </c>
      <c r="H421" s="16">
        <f t="shared" si="88"/>
        <v>0</v>
      </c>
      <c r="I421" s="15">
        <f>'단가대비표(총체)'!V113</f>
        <v>0</v>
      </c>
      <c r="J421" s="16">
        <f t="shared" si="89"/>
        <v>0</v>
      </c>
      <c r="K421" s="15">
        <f t="shared" si="90"/>
        <v>0</v>
      </c>
      <c r="L421" s="16">
        <f t="shared" si="91"/>
        <v>0</v>
      </c>
      <c r="M421" s="9" t="s">
        <v>52</v>
      </c>
      <c r="N421" s="2" t="s">
        <v>368</v>
      </c>
      <c r="O421" s="2" t="s">
        <v>1454</v>
      </c>
      <c r="P421" s="2" t="s">
        <v>61</v>
      </c>
      <c r="Q421" s="2" t="s">
        <v>61</v>
      </c>
      <c r="R421" s="2" t="s">
        <v>60</v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2" t="s">
        <v>52</v>
      </c>
      <c r="AW421" s="2" t="s">
        <v>1455</v>
      </c>
      <c r="AX421" s="2" t="s">
        <v>52</v>
      </c>
      <c r="AY421" s="2" t="s">
        <v>52</v>
      </c>
    </row>
    <row r="422" spans="1:51" ht="30" customHeight="1" x14ac:dyDescent="0.3">
      <c r="A422" s="9" t="s">
        <v>1424</v>
      </c>
      <c r="B422" s="9" t="s">
        <v>1425</v>
      </c>
      <c r="C422" s="9" t="s">
        <v>58</v>
      </c>
      <c r="D422" s="10">
        <v>1</v>
      </c>
      <c r="E422" s="15">
        <f>'단가대비표(총체)'!O13</f>
        <v>0</v>
      </c>
      <c r="F422" s="16">
        <f t="shared" si="87"/>
        <v>0</v>
      </c>
      <c r="G422" s="15">
        <f>'단가대비표(총체)'!P13</f>
        <v>0</v>
      </c>
      <c r="H422" s="16">
        <f t="shared" si="88"/>
        <v>0</v>
      </c>
      <c r="I422" s="15">
        <f>'단가대비표(총체)'!V13</f>
        <v>0</v>
      </c>
      <c r="J422" s="16">
        <f t="shared" si="89"/>
        <v>0</v>
      </c>
      <c r="K422" s="15">
        <f t="shared" si="90"/>
        <v>0</v>
      </c>
      <c r="L422" s="16">
        <f t="shared" si="91"/>
        <v>0</v>
      </c>
      <c r="M422" s="9" t="s">
        <v>52</v>
      </c>
      <c r="N422" s="2" t="s">
        <v>368</v>
      </c>
      <c r="O422" s="2" t="s">
        <v>1426</v>
      </c>
      <c r="P422" s="2" t="s">
        <v>61</v>
      </c>
      <c r="Q422" s="2" t="s">
        <v>61</v>
      </c>
      <c r="R422" s="2" t="s">
        <v>60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2" t="s">
        <v>52</v>
      </c>
      <c r="AW422" s="2" t="s">
        <v>1456</v>
      </c>
      <c r="AX422" s="2" t="s">
        <v>52</v>
      </c>
      <c r="AY422" s="2" t="s">
        <v>52</v>
      </c>
    </row>
    <row r="423" spans="1:51" ht="30" customHeight="1" x14ac:dyDescent="0.3">
      <c r="A423" s="9" t="s">
        <v>1428</v>
      </c>
      <c r="B423" s="9" t="s">
        <v>1330</v>
      </c>
      <c r="C423" s="9" t="s">
        <v>58</v>
      </c>
      <c r="D423" s="10">
        <v>2</v>
      </c>
      <c r="E423" s="15">
        <f>'일위대가목록(총체)'!E168</f>
        <v>0</v>
      </c>
      <c r="F423" s="16">
        <f t="shared" si="87"/>
        <v>0</v>
      </c>
      <c r="G423" s="15">
        <f>'일위대가목록(총체)'!F168</f>
        <v>0</v>
      </c>
      <c r="H423" s="16">
        <f t="shared" si="88"/>
        <v>0</v>
      </c>
      <c r="I423" s="15">
        <f>'일위대가목록(총체)'!G168</f>
        <v>0</v>
      </c>
      <c r="J423" s="16">
        <f t="shared" si="89"/>
        <v>0</v>
      </c>
      <c r="K423" s="15">
        <f t="shared" si="90"/>
        <v>0</v>
      </c>
      <c r="L423" s="16">
        <f t="shared" si="91"/>
        <v>0</v>
      </c>
      <c r="M423" s="9" t="s">
        <v>52</v>
      </c>
      <c r="N423" s="2" t="s">
        <v>368</v>
      </c>
      <c r="O423" s="2" t="s">
        <v>1429</v>
      </c>
      <c r="P423" s="2" t="s">
        <v>60</v>
      </c>
      <c r="Q423" s="2" t="s">
        <v>61</v>
      </c>
      <c r="R423" s="2" t="s">
        <v>61</v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2" t="s">
        <v>52</v>
      </c>
      <c r="AW423" s="2" t="s">
        <v>1457</v>
      </c>
      <c r="AX423" s="2" t="s">
        <v>52</v>
      </c>
      <c r="AY423" s="2" t="s">
        <v>52</v>
      </c>
    </row>
    <row r="424" spans="1:51" ht="30" customHeight="1" x14ac:dyDescent="0.3">
      <c r="A424" s="9" t="s">
        <v>1431</v>
      </c>
      <c r="B424" s="9" t="s">
        <v>1432</v>
      </c>
      <c r="C424" s="9" t="s">
        <v>427</v>
      </c>
      <c r="D424" s="10">
        <v>2</v>
      </c>
      <c r="E424" s="15">
        <f>'단가대비표(총체)'!O111</f>
        <v>0</v>
      </c>
      <c r="F424" s="16">
        <f t="shared" si="87"/>
        <v>0</v>
      </c>
      <c r="G424" s="15">
        <f>'단가대비표(총체)'!P111</f>
        <v>0</v>
      </c>
      <c r="H424" s="16">
        <f t="shared" si="88"/>
        <v>0</v>
      </c>
      <c r="I424" s="15">
        <f>'단가대비표(총체)'!V111</f>
        <v>0</v>
      </c>
      <c r="J424" s="16">
        <f t="shared" si="89"/>
        <v>0</v>
      </c>
      <c r="K424" s="15">
        <f t="shared" si="90"/>
        <v>0</v>
      </c>
      <c r="L424" s="16">
        <f t="shared" si="91"/>
        <v>0</v>
      </c>
      <c r="M424" s="9" t="s">
        <v>52</v>
      </c>
      <c r="N424" s="2" t="s">
        <v>368</v>
      </c>
      <c r="O424" s="2" t="s">
        <v>1433</v>
      </c>
      <c r="P424" s="2" t="s">
        <v>61</v>
      </c>
      <c r="Q424" s="2" t="s">
        <v>61</v>
      </c>
      <c r="R424" s="2" t="s">
        <v>60</v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2" t="s">
        <v>52</v>
      </c>
      <c r="AW424" s="2" t="s">
        <v>1458</v>
      </c>
      <c r="AX424" s="2" t="s">
        <v>52</v>
      </c>
      <c r="AY424" s="2" t="s">
        <v>52</v>
      </c>
    </row>
    <row r="425" spans="1:51" ht="30" customHeight="1" x14ac:dyDescent="0.3">
      <c r="A425" s="9" t="s">
        <v>1435</v>
      </c>
      <c r="B425" s="9" t="s">
        <v>52</v>
      </c>
      <c r="C425" s="9" t="s">
        <v>82</v>
      </c>
      <c r="D425" s="10">
        <v>7.2</v>
      </c>
      <c r="E425" s="15">
        <f>'일위대가목록(총체)'!E169</f>
        <v>0</v>
      </c>
      <c r="F425" s="16">
        <f t="shared" si="87"/>
        <v>0</v>
      </c>
      <c r="G425" s="15">
        <f>'일위대가목록(총체)'!F169</f>
        <v>0</v>
      </c>
      <c r="H425" s="16">
        <f t="shared" si="88"/>
        <v>0</v>
      </c>
      <c r="I425" s="15">
        <f>'일위대가목록(총체)'!G169</f>
        <v>0</v>
      </c>
      <c r="J425" s="16">
        <f t="shared" si="89"/>
        <v>0</v>
      </c>
      <c r="K425" s="15">
        <f t="shared" si="90"/>
        <v>0</v>
      </c>
      <c r="L425" s="16">
        <f t="shared" si="91"/>
        <v>0</v>
      </c>
      <c r="M425" s="9" t="s">
        <v>52</v>
      </c>
      <c r="N425" s="2" t="s">
        <v>368</v>
      </c>
      <c r="O425" s="2" t="s">
        <v>1436</v>
      </c>
      <c r="P425" s="2" t="s">
        <v>60</v>
      </c>
      <c r="Q425" s="2" t="s">
        <v>61</v>
      </c>
      <c r="R425" s="2" t="s">
        <v>61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2" t="s">
        <v>52</v>
      </c>
      <c r="AW425" s="2" t="s">
        <v>1459</v>
      </c>
      <c r="AX425" s="2" t="s">
        <v>52</v>
      </c>
      <c r="AY425" s="2" t="s">
        <v>52</v>
      </c>
    </row>
    <row r="426" spans="1:51" ht="30" customHeight="1" x14ac:dyDescent="0.3">
      <c r="A426" s="9" t="s">
        <v>1438</v>
      </c>
      <c r="B426" s="9" t="s">
        <v>1439</v>
      </c>
      <c r="C426" s="9" t="s">
        <v>82</v>
      </c>
      <c r="D426" s="10">
        <v>7.2</v>
      </c>
      <c r="E426" s="15">
        <f>'일위대가목록(총체)'!E170</f>
        <v>0</v>
      </c>
      <c r="F426" s="16">
        <f t="shared" si="87"/>
        <v>0</v>
      </c>
      <c r="G426" s="15">
        <f>'일위대가목록(총체)'!F170</f>
        <v>0</v>
      </c>
      <c r="H426" s="16">
        <f t="shared" si="88"/>
        <v>0</v>
      </c>
      <c r="I426" s="15">
        <f>'일위대가목록(총체)'!G170</f>
        <v>0</v>
      </c>
      <c r="J426" s="16">
        <f t="shared" si="89"/>
        <v>0</v>
      </c>
      <c r="K426" s="15">
        <f t="shared" si="90"/>
        <v>0</v>
      </c>
      <c r="L426" s="16">
        <f t="shared" si="91"/>
        <v>0</v>
      </c>
      <c r="M426" s="9" t="s">
        <v>52</v>
      </c>
      <c r="N426" s="2" t="s">
        <v>368</v>
      </c>
      <c r="O426" s="2" t="s">
        <v>1440</v>
      </c>
      <c r="P426" s="2" t="s">
        <v>60</v>
      </c>
      <c r="Q426" s="2" t="s">
        <v>61</v>
      </c>
      <c r="R426" s="2" t="s">
        <v>61</v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2" t="s">
        <v>52</v>
      </c>
      <c r="AW426" s="2" t="s">
        <v>1460</v>
      </c>
      <c r="AX426" s="2" t="s">
        <v>52</v>
      </c>
      <c r="AY426" s="2" t="s">
        <v>52</v>
      </c>
    </row>
    <row r="427" spans="1:51" ht="30" customHeight="1" x14ac:dyDescent="0.3">
      <c r="A427" s="9" t="s">
        <v>811</v>
      </c>
      <c r="B427" s="9" t="s">
        <v>52</v>
      </c>
      <c r="C427" s="9" t="s">
        <v>52</v>
      </c>
      <c r="D427" s="10"/>
      <c r="E427" s="15"/>
      <c r="F427" s="16">
        <f>TRUNC(SUMIF(N418:N426, N417, F418:F426),0)</f>
        <v>0</v>
      </c>
      <c r="G427" s="15"/>
      <c r="H427" s="16">
        <f>TRUNC(SUMIF(N418:N426, N417, H418:H426),0)</f>
        <v>0</v>
      </c>
      <c r="I427" s="15"/>
      <c r="J427" s="16">
        <f>TRUNC(SUMIF(N418:N426, N417, J418:J426),0)</f>
        <v>0</v>
      </c>
      <c r="K427" s="15"/>
      <c r="L427" s="16">
        <f>F427+H427+J427</f>
        <v>0</v>
      </c>
      <c r="M427" s="9" t="s">
        <v>52</v>
      </c>
      <c r="N427" s="2" t="s">
        <v>94</v>
      </c>
      <c r="O427" s="2" t="s">
        <v>94</v>
      </c>
      <c r="P427" s="2" t="s">
        <v>52</v>
      </c>
      <c r="Q427" s="2" t="s">
        <v>52</v>
      </c>
      <c r="R427" s="2" t="s">
        <v>52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2" t="s">
        <v>52</v>
      </c>
      <c r="AW427" s="2" t="s">
        <v>52</v>
      </c>
      <c r="AX427" s="2" t="s">
        <v>52</v>
      </c>
      <c r="AY427" s="2" t="s">
        <v>52</v>
      </c>
    </row>
    <row r="428" spans="1:51" ht="30" customHeight="1" x14ac:dyDescent="0.3">
      <c r="A428" s="10"/>
      <c r="B428" s="10"/>
      <c r="C428" s="10"/>
      <c r="D428" s="10"/>
      <c r="E428" s="15"/>
      <c r="F428" s="16"/>
      <c r="G428" s="15"/>
      <c r="H428" s="16"/>
      <c r="I428" s="15"/>
      <c r="J428" s="16"/>
      <c r="K428" s="15"/>
      <c r="L428" s="16"/>
      <c r="M428" s="10"/>
    </row>
    <row r="429" spans="1:51" ht="30" customHeight="1" x14ac:dyDescent="0.3">
      <c r="A429" s="44" t="s">
        <v>1461</v>
      </c>
      <c r="B429" s="44"/>
      <c r="C429" s="44"/>
      <c r="D429" s="44"/>
      <c r="E429" s="45"/>
      <c r="F429" s="46"/>
      <c r="G429" s="45"/>
      <c r="H429" s="46"/>
      <c r="I429" s="45"/>
      <c r="J429" s="46"/>
      <c r="K429" s="45"/>
      <c r="L429" s="46"/>
      <c r="M429" s="44"/>
      <c r="N429" s="1" t="s">
        <v>372</v>
      </c>
    </row>
    <row r="430" spans="1:51" ht="30" customHeight="1" x14ac:dyDescent="0.3">
      <c r="A430" s="9" t="s">
        <v>1463</v>
      </c>
      <c r="B430" s="9" t="s">
        <v>1464</v>
      </c>
      <c r="C430" s="9" t="s">
        <v>427</v>
      </c>
      <c r="D430" s="10">
        <v>1</v>
      </c>
      <c r="E430" s="15">
        <f>'단가대비표(총체)'!O79</f>
        <v>0</v>
      </c>
      <c r="F430" s="16">
        <f>TRUNC(E430*D430,1)</f>
        <v>0</v>
      </c>
      <c r="G430" s="15">
        <f>'단가대비표(총체)'!P79</f>
        <v>0</v>
      </c>
      <c r="H430" s="16">
        <f>TRUNC(G430*D430,1)</f>
        <v>0</v>
      </c>
      <c r="I430" s="15">
        <f>'단가대비표(총체)'!V79</f>
        <v>0</v>
      </c>
      <c r="J430" s="16">
        <f>TRUNC(I430*D430,1)</f>
        <v>0</v>
      </c>
      <c r="K430" s="15">
        <f t="shared" ref="K430:L433" si="92">TRUNC(E430+G430+I430,1)</f>
        <v>0</v>
      </c>
      <c r="L430" s="16">
        <f t="shared" si="92"/>
        <v>0</v>
      </c>
      <c r="M430" s="9" t="s">
        <v>1465</v>
      </c>
      <c r="N430" s="2" t="s">
        <v>372</v>
      </c>
      <c r="O430" s="2" t="s">
        <v>1466</v>
      </c>
      <c r="P430" s="2" t="s">
        <v>61</v>
      </c>
      <c r="Q430" s="2" t="s">
        <v>61</v>
      </c>
      <c r="R430" s="2" t="s">
        <v>60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2" t="s">
        <v>52</v>
      </c>
      <c r="AW430" s="2" t="s">
        <v>1467</v>
      </c>
      <c r="AX430" s="2" t="s">
        <v>52</v>
      </c>
      <c r="AY430" s="2" t="s">
        <v>52</v>
      </c>
    </row>
    <row r="431" spans="1:51" ht="30" customHeight="1" x14ac:dyDescent="0.3">
      <c r="A431" s="9" t="s">
        <v>1468</v>
      </c>
      <c r="B431" s="9" t="s">
        <v>1448</v>
      </c>
      <c r="C431" s="9" t="s">
        <v>58</v>
      </c>
      <c r="D431" s="10">
        <v>1</v>
      </c>
      <c r="E431" s="15">
        <f>'일위대가목록(총체)'!E173</f>
        <v>0</v>
      </c>
      <c r="F431" s="16">
        <f>TRUNC(E431*D431,1)</f>
        <v>0</v>
      </c>
      <c r="G431" s="15">
        <f>'일위대가목록(총체)'!F173</f>
        <v>0</v>
      </c>
      <c r="H431" s="16">
        <f>TRUNC(G431*D431,1)</f>
        <v>0</v>
      </c>
      <c r="I431" s="15">
        <f>'일위대가목록(총체)'!G173</f>
        <v>0</v>
      </c>
      <c r="J431" s="16">
        <f>TRUNC(I431*D431,1)</f>
        <v>0</v>
      </c>
      <c r="K431" s="15">
        <f t="shared" si="92"/>
        <v>0</v>
      </c>
      <c r="L431" s="16">
        <f t="shared" si="92"/>
        <v>0</v>
      </c>
      <c r="M431" s="9" t="s">
        <v>52</v>
      </c>
      <c r="N431" s="2" t="s">
        <v>372</v>
      </c>
      <c r="O431" s="2" t="s">
        <v>1469</v>
      </c>
      <c r="P431" s="2" t="s">
        <v>60</v>
      </c>
      <c r="Q431" s="2" t="s">
        <v>61</v>
      </c>
      <c r="R431" s="2" t="s">
        <v>61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2" t="s">
        <v>52</v>
      </c>
      <c r="AW431" s="2" t="s">
        <v>1470</v>
      </c>
      <c r="AX431" s="2" t="s">
        <v>52</v>
      </c>
      <c r="AY431" s="2" t="s">
        <v>52</v>
      </c>
    </row>
    <row r="432" spans="1:51" ht="30" customHeight="1" x14ac:dyDescent="0.3">
      <c r="A432" s="9" t="s">
        <v>1438</v>
      </c>
      <c r="B432" s="9" t="s">
        <v>1439</v>
      </c>
      <c r="C432" s="9" t="s">
        <v>82</v>
      </c>
      <c r="D432" s="10">
        <v>7.2</v>
      </c>
      <c r="E432" s="15">
        <f>'일위대가목록(총체)'!E170</f>
        <v>0</v>
      </c>
      <c r="F432" s="16">
        <f>TRUNC(E432*D432,1)</f>
        <v>0</v>
      </c>
      <c r="G432" s="15">
        <f>'일위대가목록(총체)'!F170</f>
        <v>0</v>
      </c>
      <c r="H432" s="16">
        <f>TRUNC(G432*D432,1)</f>
        <v>0</v>
      </c>
      <c r="I432" s="15">
        <f>'일위대가목록(총체)'!G170</f>
        <v>0</v>
      </c>
      <c r="J432" s="16">
        <f>TRUNC(I432*D432,1)</f>
        <v>0</v>
      </c>
      <c r="K432" s="15">
        <f t="shared" si="92"/>
        <v>0</v>
      </c>
      <c r="L432" s="16">
        <f t="shared" si="92"/>
        <v>0</v>
      </c>
      <c r="M432" s="9" t="s">
        <v>52</v>
      </c>
      <c r="N432" s="2" t="s">
        <v>372</v>
      </c>
      <c r="O432" s="2" t="s">
        <v>1440</v>
      </c>
      <c r="P432" s="2" t="s">
        <v>60</v>
      </c>
      <c r="Q432" s="2" t="s">
        <v>61</v>
      </c>
      <c r="R432" s="2" t="s">
        <v>61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2" t="s">
        <v>52</v>
      </c>
      <c r="AW432" s="2" t="s">
        <v>1471</v>
      </c>
      <c r="AX432" s="2" t="s">
        <v>52</v>
      </c>
      <c r="AY432" s="2" t="s">
        <v>52</v>
      </c>
    </row>
    <row r="433" spans="1:51" ht="30" customHeight="1" x14ac:dyDescent="0.3">
      <c r="A433" s="9" t="s">
        <v>1435</v>
      </c>
      <c r="B433" s="9" t="s">
        <v>52</v>
      </c>
      <c r="C433" s="9" t="s">
        <v>82</v>
      </c>
      <c r="D433" s="10">
        <v>7.2</v>
      </c>
      <c r="E433" s="15">
        <f>'일위대가목록(총체)'!E169</f>
        <v>0</v>
      </c>
      <c r="F433" s="16">
        <f>TRUNC(E433*D433,1)</f>
        <v>0</v>
      </c>
      <c r="G433" s="15">
        <f>'일위대가목록(총체)'!F169</f>
        <v>0</v>
      </c>
      <c r="H433" s="16">
        <f>TRUNC(G433*D433,1)</f>
        <v>0</v>
      </c>
      <c r="I433" s="15">
        <f>'일위대가목록(총체)'!G169</f>
        <v>0</v>
      </c>
      <c r="J433" s="16">
        <f>TRUNC(I433*D433,1)</f>
        <v>0</v>
      </c>
      <c r="K433" s="15">
        <f t="shared" si="92"/>
        <v>0</v>
      </c>
      <c r="L433" s="16">
        <f t="shared" si="92"/>
        <v>0</v>
      </c>
      <c r="M433" s="9" t="s">
        <v>52</v>
      </c>
      <c r="N433" s="2" t="s">
        <v>372</v>
      </c>
      <c r="O433" s="2" t="s">
        <v>1436</v>
      </c>
      <c r="P433" s="2" t="s">
        <v>60</v>
      </c>
      <c r="Q433" s="2" t="s">
        <v>61</v>
      </c>
      <c r="R433" s="2" t="s">
        <v>61</v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2" t="s">
        <v>52</v>
      </c>
      <c r="AW433" s="2" t="s">
        <v>1472</v>
      </c>
      <c r="AX433" s="2" t="s">
        <v>52</v>
      </c>
      <c r="AY433" s="2" t="s">
        <v>52</v>
      </c>
    </row>
    <row r="434" spans="1:51" ht="30" customHeight="1" x14ac:dyDescent="0.3">
      <c r="A434" s="9" t="s">
        <v>811</v>
      </c>
      <c r="B434" s="9" t="s">
        <v>52</v>
      </c>
      <c r="C434" s="9" t="s">
        <v>52</v>
      </c>
      <c r="D434" s="10"/>
      <c r="E434" s="15"/>
      <c r="F434" s="16">
        <f>TRUNC(SUMIF(N430:N433, N429, F430:F433),0)</f>
        <v>0</v>
      </c>
      <c r="G434" s="15"/>
      <c r="H434" s="16">
        <f>TRUNC(SUMIF(N430:N433, N429, H430:H433),0)</f>
        <v>0</v>
      </c>
      <c r="I434" s="15"/>
      <c r="J434" s="16">
        <f>TRUNC(SUMIF(N430:N433, N429, J430:J433),0)</f>
        <v>0</v>
      </c>
      <c r="K434" s="15"/>
      <c r="L434" s="16">
        <f>F434+H434+J434</f>
        <v>0</v>
      </c>
      <c r="M434" s="9" t="s">
        <v>52</v>
      </c>
      <c r="N434" s="2" t="s">
        <v>94</v>
      </c>
      <c r="O434" s="2" t="s">
        <v>94</v>
      </c>
      <c r="P434" s="2" t="s">
        <v>52</v>
      </c>
      <c r="Q434" s="2" t="s">
        <v>52</v>
      </c>
      <c r="R434" s="2" t="s">
        <v>52</v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2" t="s">
        <v>52</v>
      </c>
      <c r="AW434" s="2" t="s">
        <v>52</v>
      </c>
      <c r="AX434" s="2" t="s">
        <v>52</v>
      </c>
      <c r="AY434" s="2" t="s">
        <v>52</v>
      </c>
    </row>
    <row r="435" spans="1:51" ht="30" customHeight="1" x14ac:dyDescent="0.3">
      <c r="A435" s="10"/>
      <c r="B435" s="10"/>
      <c r="C435" s="10"/>
      <c r="D435" s="10"/>
      <c r="E435" s="15"/>
      <c r="F435" s="16"/>
      <c r="G435" s="15"/>
      <c r="H435" s="16"/>
      <c r="I435" s="15"/>
      <c r="J435" s="16"/>
      <c r="K435" s="15"/>
      <c r="L435" s="16"/>
      <c r="M435" s="10"/>
    </row>
    <row r="436" spans="1:51" ht="30" customHeight="1" x14ac:dyDescent="0.3">
      <c r="A436" s="44" t="s">
        <v>1473</v>
      </c>
      <c r="B436" s="44"/>
      <c r="C436" s="44"/>
      <c r="D436" s="44"/>
      <c r="E436" s="45"/>
      <c r="F436" s="46"/>
      <c r="G436" s="45"/>
      <c r="H436" s="46"/>
      <c r="I436" s="45"/>
      <c r="J436" s="46"/>
      <c r="K436" s="45"/>
      <c r="L436" s="46"/>
      <c r="M436" s="44"/>
      <c r="N436" s="1" t="s">
        <v>376</v>
      </c>
    </row>
    <row r="437" spans="1:51" ht="30" customHeight="1" x14ac:dyDescent="0.3">
      <c r="A437" s="9" t="s">
        <v>1475</v>
      </c>
      <c r="B437" s="9" t="s">
        <v>1476</v>
      </c>
      <c r="C437" s="9" t="s">
        <v>410</v>
      </c>
      <c r="D437" s="10">
        <v>1</v>
      </c>
      <c r="E437" s="15">
        <f>'단가대비표(총체)'!O77</f>
        <v>0</v>
      </c>
      <c r="F437" s="16">
        <f t="shared" ref="F437:F447" si="93">TRUNC(E437*D437,1)</f>
        <v>0</v>
      </c>
      <c r="G437" s="15">
        <f>'단가대비표(총체)'!P77</f>
        <v>0</v>
      </c>
      <c r="H437" s="16">
        <f t="shared" ref="H437:H447" si="94">TRUNC(G437*D437,1)</f>
        <v>0</v>
      </c>
      <c r="I437" s="15">
        <f>'단가대비표(총체)'!V77</f>
        <v>0</v>
      </c>
      <c r="J437" s="16">
        <f t="shared" ref="J437:J447" si="95">TRUNC(I437*D437,1)</f>
        <v>0</v>
      </c>
      <c r="K437" s="15">
        <f t="shared" ref="K437:K447" si="96">TRUNC(E437+G437+I437,1)</f>
        <v>0</v>
      </c>
      <c r="L437" s="16">
        <f t="shared" ref="L437:L447" si="97">TRUNC(F437+H437+J437,1)</f>
        <v>0</v>
      </c>
      <c r="M437" s="9" t="s">
        <v>52</v>
      </c>
      <c r="N437" s="2" t="s">
        <v>376</v>
      </c>
      <c r="O437" s="2" t="s">
        <v>1477</v>
      </c>
      <c r="P437" s="2" t="s">
        <v>61</v>
      </c>
      <c r="Q437" s="2" t="s">
        <v>61</v>
      </c>
      <c r="R437" s="2" t="s">
        <v>60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2" t="s">
        <v>52</v>
      </c>
      <c r="AW437" s="2" t="s">
        <v>1478</v>
      </c>
      <c r="AX437" s="2" t="s">
        <v>52</v>
      </c>
      <c r="AY437" s="2" t="s">
        <v>52</v>
      </c>
    </row>
    <row r="438" spans="1:51" ht="30" customHeight="1" x14ac:dyDescent="0.3">
      <c r="A438" s="9" t="s">
        <v>1479</v>
      </c>
      <c r="B438" s="9" t="s">
        <v>1448</v>
      </c>
      <c r="C438" s="9" t="s">
        <v>58</v>
      </c>
      <c r="D438" s="10">
        <v>1</v>
      </c>
      <c r="E438" s="15">
        <f>'일위대가목록(총체)'!E174</f>
        <v>0</v>
      </c>
      <c r="F438" s="16">
        <f t="shared" si="93"/>
        <v>0</v>
      </c>
      <c r="G438" s="15">
        <f>'일위대가목록(총체)'!F174</f>
        <v>0</v>
      </c>
      <c r="H438" s="16">
        <f t="shared" si="94"/>
        <v>0</v>
      </c>
      <c r="I438" s="15">
        <f>'일위대가목록(총체)'!G174</f>
        <v>0</v>
      </c>
      <c r="J438" s="16">
        <f t="shared" si="95"/>
        <v>0</v>
      </c>
      <c r="K438" s="15">
        <f t="shared" si="96"/>
        <v>0</v>
      </c>
      <c r="L438" s="16">
        <f t="shared" si="97"/>
        <v>0</v>
      </c>
      <c r="M438" s="9" t="s">
        <v>52</v>
      </c>
      <c r="N438" s="2" t="s">
        <v>376</v>
      </c>
      <c r="O438" s="2" t="s">
        <v>1480</v>
      </c>
      <c r="P438" s="2" t="s">
        <v>60</v>
      </c>
      <c r="Q438" s="2" t="s">
        <v>61</v>
      </c>
      <c r="R438" s="2" t="s">
        <v>61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2" t="s">
        <v>52</v>
      </c>
      <c r="AW438" s="2" t="s">
        <v>1481</v>
      </c>
      <c r="AX438" s="2" t="s">
        <v>52</v>
      </c>
      <c r="AY438" s="2" t="s">
        <v>52</v>
      </c>
    </row>
    <row r="439" spans="1:51" ht="30" customHeight="1" x14ac:dyDescent="0.3">
      <c r="A439" s="9" t="s">
        <v>1482</v>
      </c>
      <c r="B439" s="9" t="s">
        <v>1483</v>
      </c>
      <c r="C439" s="9" t="s">
        <v>410</v>
      </c>
      <c r="D439" s="10">
        <v>2</v>
      </c>
      <c r="E439" s="15">
        <f>'단가대비표(총체)'!O110</f>
        <v>0</v>
      </c>
      <c r="F439" s="16">
        <f t="shared" si="93"/>
        <v>0</v>
      </c>
      <c r="G439" s="15">
        <f>'단가대비표(총체)'!P110</f>
        <v>0</v>
      </c>
      <c r="H439" s="16">
        <f t="shared" si="94"/>
        <v>0</v>
      </c>
      <c r="I439" s="15">
        <f>'단가대비표(총체)'!V110</f>
        <v>0</v>
      </c>
      <c r="J439" s="16">
        <f t="shared" si="95"/>
        <v>0</v>
      </c>
      <c r="K439" s="15">
        <f t="shared" si="96"/>
        <v>0</v>
      </c>
      <c r="L439" s="16">
        <f t="shared" si="97"/>
        <v>0</v>
      </c>
      <c r="M439" s="9" t="s">
        <v>52</v>
      </c>
      <c r="N439" s="2" t="s">
        <v>376</v>
      </c>
      <c r="O439" s="2" t="s">
        <v>1484</v>
      </c>
      <c r="P439" s="2" t="s">
        <v>61</v>
      </c>
      <c r="Q439" s="2" t="s">
        <v>61</v>
      </c>
      <c r="R439" s="2" t="s">
        <v>60</v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2" t="s">
        <v>52</v>
      </c>
      <c r="AW439" s="2" t="s">
        <v>1485</v>
      </c>
      <c r="AX439" s="2" t="s">
        <v>52</v>
      </c>
      <c r="AY439" s="2" t="s">
        <v>52</v>
      </c>
    </row>
    <row r="440" spans="1:51" ht="30" customHeight="1" x14ac:dyDescent="0.3">
      <c r="A440" s="9" t="s">
        <v>1452</v>
      </c>
      <c r="B440" s="9" t="s">
        <v>1486</v>
      </c>
      <c r="C440" s="9" t="s">
        <v>410</v>
      </c>
      <c r="D440" s="10">
        <v>1</v>
      </c>
      <c r="E440" s="15">
        <f>'단가대비표(총체)'!O112</f>
        <v>0</v>
      </c>
      <c r="F440" s="16">
        <f t="shared" si="93"/>
        <v>0</v>
      </c>
      <c r="G440" s="15">
        <f>'단가대비표(총체)'!P112</f>
        <v>0</v>
      </c>
      <c r="H440" s="16">
        <f t="shared" si="94"/>
        <v>0</v>
      </c>
      <c r="I440" s="15">
        <f>'단가대비표(총체)'!V112</f>
        <v>0</v>
      </c>
      <c r="J440" s="16">
        <f t="shared" si="95"/>
        <v>0</v>
      </c>
      <c r="K440" s="15">
        <f t="shared" si="96"/>
        <v>0</v>
      </c>
      <c r="L440" s="16">
        <f t="shared" si="97"/>
        <v>0</v>
      </c>
      <c r="M440" s="9" t="s">
        <v>52</v>
      </c>
      <c r="N440" s="2" t="s">
        <v>376</v>
      </c>
      <c r="O440" s="2" t="s">
        <v>1487</v>
      </c>
      <c r="P440" s="2" t="s">
        <v>61</v>
      </c>
      <c r="Q440" s="2" t="s">
        <v>61</v>
      </c>
      <c r="R440" s="2" t="s">
        <v>60</v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2" t="s">
        <v>52</v>
      </c>
      <c r="AW440" s="2" t="s">
        <v>1488</v>
      </c>
      <c r="AX440" s="2" t="s">
        <v>52</v>
      </c>
      <c r="AY440" s="2" t="s">
        <v>52</v>
      </c>
    </row>
    <row r="441" spans="1:51" ht="30" customHeight="1" x14ac:dyDescent="0.3">
      <c r="A441" s="9" t="s">
        <v>1424</v>
      </c>
      <c r="B441" s="9" t="s">
        <v>1489</v>
      </c>
      <c r="C441" s="9" t="s">
        <v>58</v>
      </c>
      <c r="D441" s="10">
        <v>1</v>
      </c>
      <c r="E441" s="15">
        <f>'단가대비표(총체)'!O12</f>
        <v>0</v>
      </c>
      <c r="F441" s="16">
        <f t="shared" si="93"/>
        <v>0</v>
      </c>
      <c r="G441" s="15">
        <f>'단가대비표(총체)'!P12</f>
        <v>0</v>
      </c>
      <c r="H441" s="16">
        <f t="shared" si="94"/>
        <v>0</v>
      </c>
      <c r="I441" s="15">
        <f>'단가대비표(총체)'!V12</f>
        <v>0</v>
      </c>
      <c r="J441" s="16">
        <f t="shared" si="95"/>
        <v>0</v>
      </c>
      <c r="K441" s="15">
        <f t="shared" si="96"/>
        <v>0</v>
      </c>
      <c r="L441" s="16">
        <f t="shared" si="97"/>
        <v>0</v>
      </c>
      <c r="M441" s="9" t="s">
        <v>52</v>
      </c>
      <c r="N441" s="2" t="s">
        <v>376</v>
      </c>
      <c r="O441" s="2" t="s">
        <v>1490</v>
      </c>
      <c r="P441" s="2" t="s">
        <v>61</v>
      </c>
      <c r="Q441" s="2" t="s">
        <v>61</v>
      </c>
      <c r="R441" s="2" t="s">
        <v>60</v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2" t="s">
        <v>52</v>
      </c>
      <c r="AW441" s="2" t="s">
        <v>1491</v>
      </c>
      <c r="AX441" s="2" t="s">
        <v>52</v>
      </c>
      <c r="AY441" s="2" t="s">
        <v>52</v>
      </c>
    </row>
    <row r="442" spans="1:51" ht="30" customHeight="1" x14ac:dyDescent="0.3">
      <c r="A442" s="9" t="s">
        <v>1492</v>
      </c>
      <c r="B442" s="9" t="s">
        <v>1330</v>
      </c>
      <c r="C442" s="9" t="s">
        <v>58</v>
      </c>
      <c r="D442" s="10">
        <v>1</v>
      </c>
      <c r="E442" s="15">
        <f>'일위대가목록(총체)'!E175</f>
        <v>0</v>
      </c>
      <c r="F442" s="16">
        <f t="shared" si="93"/>
        <v>0</v>
      </c>
      <c r="G442" s="15">
        <f>'일위대가목록(총체)'!F175</f>
        <v>0</v>
      </c>
      <c r="H442" s="16">
        <f t="shared" si="94"/>
        <v>0</v>
      </c>
      <c r="I442" s="15">
        <f>'일위대가목록(총체)'!G175</f>
        <v>0</v>
      </c>
      <c r="J442" s="16">
        <f t="shared" si="95"/>
        <v>0</v>
      </c>
      <c r="K442" s="15">
        <f t="shared" si="96"/>
        <v>0</v>
      </c>
      <c r="L442" s="16">
        <f t="shared" si="97"/>
        <v>0</v>
      </c>
      <c r="M442" s="9" t="s">
        <v>52</v>
      </c>
      <c r="N442" s="2" t="s">
        <v>376</v>
      </c>
      <c r="O442" s="2" t="s">
        <v>1493</v>
      </c>
      <c r="P442" s="2" t="s">
        <v>60</v>
      </c>
      <c r="Q442" s="2" t="s">
        <v>61</v>
      </c>
      <c r="R442" s="2" t="s">
        <v>61</v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2" t="s">
        <v>52</v>
      </c>
      <c r="AW442" s="2" t="s">
        <v>1494</v>
      </c>
      <c r="AX442" s="2" t="s">
        <v>52</v>
      </c>
      <c r="AY442" s="2" t="s">
        <v>52</v>
      </c>
    </row>
    <row r="443" spans="1:51" ht="30" customHeight="1" x14ac:dyDescent="0.3">
      <c r="A443" s="9" t="s">
        <v>1495</v>
      </c>
      <c r="B443" s="9" t="s">
        <v>1330</v>
      </c>
      <c r="C443" s="9" t="s">
        <v>58</v>
      </c>
      <c r="D443" s="10">
        <v>1</v>
      </c>
      <c r="E443" s="15">
        <f>'일위대가목록(총체)'!E176</f>
        <v>0</v>
      </c>
      <c r="F443" s="16">
        <f t="shared" si="93"/>
        <v>0</v>
      </c>
      <c r="G443" s="15">
        <f>'일위대가목록(총체)'!F176</f>
        <v>0</v>
      </c>
      <c r="H443" s="16">
        <f t="shared" si="94"/>
        <v>0</v>
      </c>
      <c r="I443" s="15">
        <f>'일위대가목록(총체)'!G176</f>
        <v>0</v>
      </c>
      <c r="J443" s="16">
        <f t="shared" si="95"/>
        <v>0</v>
      </c>
      <c r="K443" s="15">
        <f t="shared" si="96"/>
        <v>0</v>
      </c>
      <c r="L443" s="16">
        <f t="shared" si="97"/>
        <v>0</v>
      </c>
      <c r="M443" s="9" t="s">
        <v>52</v>
      </c>
      <c r="N443" s="2" t="s">
        <v>376</v>
      </c>
      <c r="O443" s="2" t="s">
        <v>1496</v>
      </c>
      <c r="P443" s="2" t="s">
        <v>60</v>
      </c>
      <c r="Q443" s="2" t="s">
        <v>61</v>
      </c>
      <c r="R443" s="2" t="s">
        <v>61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2" t="s">
        <v>52</v>
      </c>
      <c r="AW443" s="2" t="s">
        <v>1497</v>
      </c>
      <c r="AX443" s="2" t="s">
        <v>52</v>
      </c>
      <c r="AY443" s="2" t="s">
        <v>52</v>
      </c>
    </row>
    <row r="444" spans="1:51" ht="30" customHeight="1" x14ac:dyDescent="0.3">
      <c r="A444" s="9" t="s">
        <v>1498</v>
      </c>
      <c r="B444" s="9" t="s">
        <v>1499</v>
      </c>
      <c r="C444" s="9" t="s">
        <v>410</v>
      </c>
      <c r="D444" s="10">
        <v>2</v>
      </c>
      <c r="E444" s="15">
        <f>'단가대비표(총체)'!O75</f>
        <v>0</v>
      </c>
      <c r="F444" s="16">
        <f t="shared" si="93"/>
        <v>0</v>
      </c>
      <c r="G444" s="15">
        <f>'단가대비표(총체)'!P75</f>
        <v>0</v>
      </c>
      <c r="H444" s="16">
        <f t="shared" si="94"/>
        <v>0</v>
      </c>
      <c r="I444" s="15">
        <f>'단가대비표(총체)'!V75</f>
        <v>0</v>
      </c>
      <c r="J444" s="16">
        <f t="shared" si="95"/>
        <v>0</v>
      </c>
      <c r="K444" s="15">
        <f t="shared" si="96"/>
        <v>0</v>
      </c>
      <c r="L444" s="16">
        <f t="shared" si="97"/>
        <v>0</v>
      </c>
      <c r="M444" s="9" t="s">
        <v>52</v>
      </c>
      <c r="N444" s="2" t="s">
        <v>376</v>
      </c>
      <c r="O444" s="2" t="s">
        <v>1500</v>
      </c>
      <c r="P444" s="2" t="s">
        <v>61</v>
      </c>
      <c r="Q444" s="2" t="s">
        <v>61</v>
      </c>
      <c r="R444" s="2" t="s">
        <v>60</v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2" t="s">
        <v>52</v>
      </c>
      <c r="AW444" s="2" t="s">
        <v>1501</v>
      </c>
      <c r="AX444" s="2" t="s">
        <v>52</v>
      </c>
      <c r="AY444" s="2" t="s">
        <v>52</v>
      </c>
    </row>
    <row r="445" spans="1:51" ht="30" customHeight="1" x14ac:dyDescent="0.3">
      <c r="A445" s="9" t="s">
        <v>1502</v>
      </c>
      <c r="B445" s="9" t="s">
        <v>1330</v>
      </c>
      <c r="C445" s="9" t="s">
        <v>58</v>
      </c>
      <c r="D445" s="10">
        <v>2</v>
      </c>
      <c r="E445" s="15">
        <f>'일위대가목록(총체)'!E177</f>
        <v>0</v>
      </c>
      <c r="F445" s="16">
        <f t="shared" si="93"/>
        <v>0</v>
      </c>
      <c r="G445" s="15">
        <f>'일위대가목록(총체)'!F177</f>
        <v>0</v>
      </c>
      <c r="H445" s="16">
        <f t="shared" si="94"/>
        <v>0</v>
      </c>
      <c r="I445" s="15">
        <f>'일위대가목록(총체)'!G177</f>
        <v>0</v>
      </c>
      <c r="J445" s="16">
        <f t="shared" si="95"/>
        <v>0</v>
      </c>
      <c r="K445" s="15">
        <f t="shared" si="96"/>
        <v>0</v>
      </c>
      <c r="L445" s="16">
        <f t="shared" si="97"/>
        <v>0</v>
      </c>
      <c r="M445" s="9" t="s">
        <v>52</v>
      </c>
      <c r="N445" s="2" t="s">
        <v>376</v>
      </c>
      <c r="O445" s="2" t="s">
        <v>1503</v>
      </c>
      <c r="P445" s="2" t="s">
        <v>60</v>
      </c>
      <c r="Q445" s="2" t="s">
        <v>61</v>
      </c>
      <c r="R445" s="2" t="s">
        <v>61</v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2" t="s">
        <v>52</v>
      </c>
      <c r="AW445" s="2" t="s">
        <v>1504</v>
      </c>
      <c r="AX445" s="2" t="s">
        <v>52</v>
      </c>
      <c r="AY445" s="2" t="s">
        <v>52</v>
      </c>
    </row>
    <row r="446" spans="1:51" ht="30" customHeight="1" x14ac:dyDescent="0.3">
      <c r="A446" s="9" t="s">
        <v>1435</v>
      </c>
      <c r="B446" s="9" t="s">
        <v>52</v>
      </c>
      <c r="C446" s="9" t="s">
        <v>82</v>
      </c>
      <c r="D446" s="10">
        <v>7.8</v>
      </c>
      <c r="E446" s="15">
        <f>'일위대가목록(총체)'!E169</f>
        <v>0</v>
      </c>
      <c r="F446" s="16">
        <f t="shared" si="93"/>
        <v>0</v>
      </c>
      <c r="G446" s="15">
        <f>'일위대가목록(총체)'!F169</f>
        <v>0</v>
      </c>
      <c r="H446" s="16">
        <f t="shared" si="94"/>
        <v>0</v>
      </c>
      <c r="I446" s="15">
        <f>'일위대가목록(총체)'!G169</f>
        <v>0</v>
      </c>
      <c r="J446" s="16">
        <f t="shared" si="95"/>
        <v>0</v>
      </c>
      <c r="K446" s="15">
        <f t="shared" si="96"/>
        <v>0</v>
      </c>
      <c r="L446" s="16">
        <f t="shared" si="97"/>
        <v>0</v>
      </c>
      <c r="M446" s="9" t="s">
        <v>52</v>
      </c>
      <c r="N446" s="2" t="s">
        <v>376</v>
      </c>
      <c r="O446" s="2" t="s">
        <v>1436</v>
      </c>
      <c r="P446" s="2" t="s">
        <v>60</v>
      </c>
      <c r="Q446" s="2" t="s">
        <v>61</v>
      </c>
      <c r="R446" s="2" t="s">
        <v>61</v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2" t="s">
        <v>52</v>
      </c>
      <c r="AW446" s="2" t="s">
        <v>1505</v>
      </c>
      <c r="AX446" s="2" t="s">
        <v>52</v>
      </c>
      <c r="AY446" s="2" t="s">
        <v>52</v>
      </c>
    </row>
    <row r="447" spans="1:51" ht="30" customHeight="1" x14ac:dyDescent="0.3">
      <c r="A447" s="9" t="s">
        <v>1438</v>
      </c>
      <c r="B447" s="9" t="s">
        <v>1439</v>
      </c>
      <c r="C447" s="9" t="s">
        <v>82</v>
      </c>
      <c r="D447" s="10">
        <v>7.8</v>
      </c>
      <c r="E447" s="15">
        <f>'일위대가목록(총체)'!E170</f>
        <v>0</v>
      </c>
      <c r="F447" s="16">
        <f t="shared" si="93"/>
        <v>0</v>
      </c>
      <c r="G447" s="15">
        <f>'일위대가목록(총체)'!F170</f>
        <v>0</v>
      </c>
      <c r="H447" s="16">
        <f t="shared" si="94"/>
        <v>0</v>
      </c>
      <c r="I447" s="15">
        <f>'일위대가목록(총체)'!G170</f>
        <v>0</v>
      </c>
      <c r="J447" s="16">
        <f t="shared" si="95"/>
        <v>0</v>
      </c>
      <c r="K447" s="15">
        <f t="shared" si="96"/>
        <v>0</v>
      </c>
      <c r="L447" s="16">
        <f t="shared" si="97"/>
        <v>0</v>
      </c>
      <c r="M447" s="9" t="s">
        <v>52</v>
      </c>
      <c r="N447" s="2" t="s">
        <v>376</v>
      </c>
      <c r="O447" s="2" t="s">
        <v>1440</v>
      </c>
      <c r="P447" s="2" t="s">
        <v>60</v>
      </c>
      <c r="Q447" s="2" t="s">
        <v>61</v>
      </c>
      <c r="R447" s="2" t="s">
        <v>61</v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2" t="s">
        <v>52</v>
      </c>
      <c r="AW447" s="2" t="s">
        <v>1506</v>
      </c>
      <c r="AX447" s="2" t="s">
        <v>52</v>
      </c>
      <c r="AY447" s="2" t="s">
        <v>52</v>
      </c>
    </row>
    <row r="448" spans="1:51" ht="30" customHeight="1" x14ac:dyDescent="0.3">
      <c r="A448" s="9" t="s">
        <v>811</v>
      </c>
      <c r="B448" s="9" t="s">
        <v>52</v>
      </c>
      <c r="C448" s="9" t="s">
        <v>52</v>
      </c>
      <c r="D448" s="10"/>
      <c r="E448" s="15"/>
      <c r="F448" s="16">
        <f>TRUNC(SUMIF(N437:N447, N436, F437:F447),0)</f>
        <v>0</v>
      </c>
      <c r="G448" s="15"/>
      <c r="H448" s="16">
        <f>TRUNC(SUMIF(N437:N447, N436, H437:H447),0)</f>
        <v>0</v>
      </c>
      <c r="I448" s="15"/>
      <c r="J448" s="16">
        <f>TRUNC(SUMIF(N437:N447, N436, J437:J447),0)</f>
        <v>0</v>
      </c>
      <c r="K448" s="15"/>
      <c r="L448" s="16">
        <f>F448+H448+J448</f>
        <v>0</v>
      </c>
      <c r="M448" s="9" t="s">
        <v>52</v>
      </c>
      <c r="N448" s="2" t="s">
        <v>94</v>
      </c>
      <c r="O448" s="2" t="s">
        <v>94</v>
      </c>
      <c r="P448" s="2" t="s">
        <v>52</v>
      </c>
      <c r="Q448" s="2" t="s">
        <v>52</v>
      </c>
      <c r="R448" s="2" t="s">
        <v>52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2" t="s">
        <v>52</v>
      </c>
      <c r="AW448" s="2" t="s">
        <v>52</v>
      </c>
      <c r="AX448" s="2" t="s">
        <v>52</v>
      </c>
      <c r="AY448" s="2" t="s">
        <v>52</v>
      </c>
    </row>
    <row r="449" spans="1:51" ht="30" customHeight="1" x14ac:dyDescent="0.3">
      <c r="A449" s="10"/>
      <c r="B449" s="10"/>
      <c r="C449" s="10"/>
      <c r="D449" s="10"/>
      <c r="E449" s="15"/>
      <c r="F449" s="16"/>
      <c r="G449" s="15"/>
      <c r="H449" s="16"/>
      <c r="I449" s="15"/>
      <c r="J449" s="16"/>
      <c r="K449" s="15"/>
      <c r="L449" s="16"/>
      <c r="M449" s="10"/>
    </row>
    <row r="450" spans="1:51" ht="30" customHeight="1" x14ac:dyDescent="0.3">
      <c r="A450" s="44" t="s">
        <v>1507</v>
      </c>
      <c r="B450" s="44"/>
      <c r="C450" s="44"/>
      <c r="D450" s="44"/>
      <c r="E450" s="45"/>
      <c r="F450" s="46"/>
      <c r="G450" s="45"/>
      <c r="H450" s="46"/>
      <c r="I450" s="45"/>
      <c r="J450" s="46"/>
      <c r="K450" s="45"/>
      <c r="L450" s="46"/>
      <c r="M450" s="44"/>
      <c r="N450" s="1" t="s">
        <v>379</v>
      </c>
    </row>
    <row r="451" spans="1:51" ht="30" customHeight="1" x14ac:dyDescent="0.3">
      <c r="A451" s="9" t="s">
        <v>1509</v>
      </c>
      <c r="B451" s="9" t="s">
        <v>1510</v>
      </c>
      <c r="C451" s="9" t="s">
        <v>410</v>
      </c>
      <c r="D451" s="10">
        <v>1</v>
      </c>
      <c r="E451" s="15">
        <f>'단가대비표(총체)'!O76</f>
        <v>0</v>
      </c>
      <c r="F451" s="16">
        <f t="shared" ref="F451:F461" si="98">TRUNC(E451*D451,1)</f>
        <v>0</v>
      </c>
      <c r="G451" s="15">
        <f>'단가대비표(총체)'!P76</f>
        <v>0</v>
      </c>
      <c r="H451" s="16">
        <f t="shared" ref="H451:H461" si="99">TRUNC(G451*D451,1)</f>
        <v>0</v>
      </c>
      <c r="I451" s="15">
        <f>'단가대비표(총체)'!V76</f>
        <v>0</v>
      </c>
      <c r="J451" s="16">
        <f t="shared" ref="J451:J461" si="100">TRUNC(I451*D451,1)</f>
        <v>0</v>
      </c>
      <c r="K451" s="15">
        <f t="shared" ref="K451:K461" si="101">TRUNC(E451+G451+I451,1)</f>
        <v>0</v>
      </c>
      <c r="L451" s="16">
        <f t="shared" ref="L451:L461" si="102">TRUNC(F451+H451+J451,1)</f>
        <v>0</v>
      </c>
      <c r="M451" s="9" t="s">
        <v>52</v>
      </c>
      <c r="N451" s="2" t="s">
        <v>379</v>
      </c>
      <c r="O451" s="2" t="s">
        <v>1511</v>
      </c>
      <c r="P451" s="2" t="s">
        <v>61</v>
      </c>
      <c r="Q451" s="2" t="s">
        <v>61</v>
      </c>
      <c r="R451" s="2" t="s">
        <v>60</v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2" t="s">
        <v>52</v>
      </c>
      <c r="AW451" s="2" t="s">
        <v>1512</v>
      </c>
      <c r="AX451" s="2" t="s">
        <v>52</v>
      </c>
      <c r="AY451" s="2" t="s">
        <v>52</v>
      </c>
    </row>
    <row r="452" spans="1:51" ht="30" customHeight="1" x14ac:dyDescent="0.3">
      <c r="A452" s="9" t="s">
        <v>1479</v>
      </c>
      <c r="B452" s="9" t="s">
        <v>1448</v>
      </c>
      <c r="C452" s="9" t="s">
        <v>58</v>
      </c>
      <c r="D452" s="10">
        <v>1</v>
      </c>
      <c r="E452" s="15">
        <f>'일위대가목록(총체)'!E174</f>
        <v>0</v>
      </c>
      <c r="F452" s="16">
        <f t="shared" si="98"/>
        <v>0</v>
      </c>
      <c r="G452" s="15">
        <f>'일위대가목록(총체)'!F174</f>
        <v>0</v>
      </c>
      <c r="H452" s="16">
        <f t="shared" si="99"/>
        <v>0</v>
      </c>
      <c r="I452" s="15">
        <f>'일위대가목록(총체)'!G174</f>
        <v>0</v>
      </c>
      <c r="J452" s="16">
        <f t="shared" si="100"/>
        <v>0</v>
      </c>
      <c r="K452" s="15">
        <f t="shared" si="101"/>
        <v>0</v>
      </c>
      <c r="L452" s="16">
        <f t="shared" si="102"/>
        <v>0</v>
      </c>
      <c r="M452" s="9" t="s">
        <v>52</v>
      </c>
      <c r="N452" s="2" t="s">
        <v>379</v>
      </c>
      <c r="O452" s="2" t="s">
        <v>1480</v>
      </c>
      <c r="P452" s="2" t="s">
        <v>60</v>
      </c>
      <c r="Q452" s="2" t="s">
        <v>61</v>
      </c>
      <c r="R452" s="2" t="s">
        <v>61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2" t="s">
        <v>52</v>
      </c>
      <c r="AW452" s="2" t="s">
        <v>1513</v>
      </c>
      <c r="AX452" s="2" t="s">
        <v>52</v>
      </c>
      <c r="AY452" s="2" t="s">
        <v>52</v>
      </c>
    </row>
    <row r="453" spans="1:51" ht="30" customHeight="1" x14ac:dyDescent="0.3">
      <c r="A453" s="9" t="s">
        <v>1482</v>
      </c>
      <c r="B453" s="9" t="s">
        <v>1483</v>
      </c>
      <c r="C453" s="9" t="s">
        <v>410</v>
      </c>
      <c r="D453" s="10">
        <v>2</v>
      </c>
      <c r="E453" s="15">
        <f>'단가대비표(총체)'!O110</f>
        <v>0</v>
      </c>
      <c r="F453" s="16">
        <f t="shared" si="98"/>
        <v>0</v>
      </c>
      <c r="G453" s="15">
        <f>'단가대비표(총체)'!P110</f>
        <v>0</v>
      </c>
      <c r="H453" s="16">
        <f t="shared" si="99"/>
        <v>0</v>
      </c>
      <c r="I453" s="15">
        <f>'단가대비표(총체)'!V110</f>
        <v>0</v>
      </c>
      <c r="J453" s="16">
        <f t="shared" si="100"/>
        <v>0</v>
      </c>
      <c r="K453" s="15">
        <f t="shared" si="101"/>
        <v>0</v>
      </c>
      <c r="L453" s="16">
        <f t="shared" si="102"/>
        <v>0</v>
      </c>
      <c r="M453" s="9" t="s">
        <v>52</v>
      </c>
      <c r="N453" s="2" t="s">
        <v>379</v>
      </c>
      <c r="O453" s="2" t="s">
        <v>1484</v>
      </c>
      <c r="P453" s="2" t="s">
        <v>61</v>
      </c>
      <c r="Q453" s="2" t="s">
        <v>61</v>
      </c>
      <c r="R453" s="2" t="s">
        <v>60</v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2" t="s">
        <v>52</v>
      </c>
      <c r="AW453" s="2" t="s">
        <v>1514</v>
      </c>
      <c r="AX453" s="2" t="s">
        <v>52</v>
      </c>
      <c r="AY453" s="2" t="s">
        <v>52</v>
      </c>
    </row>
    <row r="454" spans="1:51" ht="30" customHeight="1" x14ac:dyDescent="0.3">
      <c r="A454" s="9" t="s">
        <v>1452</v>
      </c>
      <c r="B454" s="9" t="s">
        <v>1486</v>
      </c>
      <c r="C454" s="9" t="s">
        <v>410</v>
      </c>
      <c r="D454" s="10">
        <v>1</v>
      </c>
      <c r="E454" s="15">
        <f>'단가대비표(총체)'!O112</f>
        <v>0</v>
      </c>
      <c r="F454" s="16">
        <f t="shared" si="98"/>
        <v>0</v>
      </c>
      <c r="G454" s="15">
        <f>'단가대비표(총체)'!P112</f>
        <v>0</v>
      </c>
      <c r="H454" s="16">
        <f t="shared" si="99"/>
        <v>0</v>
      </c>
      <c r="I454" s="15">
        <f>'단가대비표(총체)'!V112</f>
        <v>0</v>
      </c>
      <c r="J454" s="16">
        <f t="shared" si="100"/>
        <v>0</v>
      </c>
      <c r="K454" s="15">
        <f t="shared" si="101"/>
        <v>0</v>
      </c>
      <c r="L454" s="16">
        <f t="shared" si="102"/>
        <v>0</v>
      </c>
      <c r="M454" s="9" t="s">
        <v>52</v>
      </c>
      <c r="N454" s="2" t="s">
        <v>379</v>
      </c>
      <c r="O454" s="2" t="s">
        <v>1487</v>
      </c>
      <c r="P454" s="2" t="s">
        <v>61</v>
      </c>
      <c r="Q454" s="2" t="s">
        <v>61</v>
      </c>
      <c r="R454" s="2" t="s">
        <v>60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2" t="s">
        <v>52</v>
      </c>
      <c r="AW454" s="2" t="s">
        <v>1515</v>
      </c>
      <c r="AX454" s="2" t="s">
        <v>52</v>
      </c>
      <c r="AY454" s="2" t="s">
        <v>52</v>
      </c>
    </row>
    <row r="455" spans="1:51" ht="30" customHeight="1" x14ac:dyDescent="0.3">
      <c r="A455" s="9" t="s">
        <v>1424</v>
      </c>
      <c r="B455" s="9" t="s">
        <v>1489</v>
      </c>
      <c r="C455" s="9" t="s">
        <v>58</v>
      </c>
      <c r="D455" s="10">
        <v>1</v>
      </c>
      <c r="E455" s="15">
        <f>'단가대비표(총체)'!O12</f>
        <v>0</v>
      </c>
      <c r="F455" s="16">
        <f t="shared" si="98"/>
        <v>0</v>
      </c>
      <c r="G455" s="15">
        <f>'단가대비표(총체)'!P12</f>
        <v>0</v>
      </c>
      <c r="H455" s="16">
        <f t="shared" si="99"/>
        <v>0</v>
      </c>
      <c r="I455" s="15">
        <f>'단가대비표(총체)'!V12</f>
        <v>0</v>
      </c>
      <c r="J455" s="16">
        <f t="shared" si="100"/>
        <v>0</v>
      </c>
      <c r="K455" s="15">
        <f t="shared" si="101"/>
        <v>0</v>
      </c>
      <c r="L455" s="16">
        <f t="shared" si="102"/>
        <v>0</v>
      </c>
      <c r="M455" s="9" t="s">
        <v>52</v>
      </c>
      <c r="N455" s="2" t="s">
        <v>379</v>
      </c>
      <c r="O455" s="2" t="s">
        <v>1490</v>
      </c>
      <c r="P455" s="2" t="s">
        <v>61</v>
      </c>
      <c r="Q455" s="2" t="s">
        <v>61</v>
      </c>
      <c r="R455" s="2" t="s">
        <v>60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2" t="s">
        <v>52</v>
      </c>
      <c r="AW455" s="2" t="s">
        <v>1516</v>
      </c>
      <c r="AX455" s="2" t="s">
        <v>52</v>
      </c>
      <c r="AY455" s="2" t="s">
        <v>52</v>
      </c>
    </row>
    <row r="456" spans="1:51" ht="30" customHeight="1" x14ac:dyDescent="0.3">
      <c r="A456" s="9" t="s">
        <v>1492</v>
      </c>
      <c r="B456" s="9" t="s">
        <v>1330</v>
      </c>
      <c r="C456" s="9" t="s">
        <v>58</v>
      </c>
      <c r="D456" s="10">
        <v>1</v>
      </c>
      <c r="E456" s="15">
        <f>'일위대가목록(총체)'!E175</f>
        <v>0</v>
      </c>
      <c r="F456" s="16">
        <f t="shared" si="98"/>
        <v>0</v>
      </c>
      <c r="G456" s="15">
        <f>'일위대가목록(총체)'!F175</f>
        <v>0</v>
      </c>
      <c r="H456" s="16">
        <f t="shared" si="99"/>
        <v>0</v>
      </c>
      <c r="I456" s="15">
        <f>'일위대가목록(총체)'!G175</f>
        <v>0</v>
      </c>
      <c r="J456" s="16">
        <f t="shared" si="100"/>
        <v>0</v>
      </c>
      <c r="K456" s="15">
        <f t="shared" si="101"/>
        <v>0</v>
      </c>
      <c r="L456" s="16">
        <f t="shared" si="102"/>
        <v>0</v>
      </c>
      <c r="M456" s="9" t="s">
        <v>52</v>
      </c>
      <c r="N456" s="2" t="s">
        <v>379</v>
      </c>
      <c r="O456" s="2" t="s">
        <v>1493</v>
      </c>
      <c r="P456" s="2" t="s">
        <v>60</v>
      </c>
      <c r="Q456" s="2" t="s">
        <v>61</v>
      </c>
      <c r="R456" s="2" t="s">
        <v>61</v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2" t="s">
        <v>52</v>
      </c>
      <c r="AW456" s="2" t="s">
        <v>1517</v>
      </c>
      <c r="AX456" s="2" t="s">
        <v>52</v>
      </c>
      <c r="AY456" s="2" t="s">
        <v>52</v>
      </c>
    </row>
    <row r="457" spans="1:51" ht="30" customHeight="1" x14ac:dyDescent="0.3">
      <c r="A457" s="9" t="s">
        <v>1495</v>
      </c>
      <c r="B457" s="9" t="s">
        <v>1330</v>
      </c>
      <c r="C457" s="9" t="s">
        <v>58</v>
      </c>
      <c r="D457" s="10">
        <v>1</v>
      </c>
      <c r="E457" s="15">
        <f>'일위대가목록(총체)'!E176</f>
        <v>0</v>
      </c>
      <c r="F457" s="16">
        <f t="shared" si="98"/>
        <v>0</v>
      </c>
      <c r="G457" s="15">
        <f>'일위대가목록(총체)'!F176</f>
        <v>0</v>
      </c>
      <c r="H457" s="16">
        <f t="shared" si="99"/>
        <v>0</v>
      </c>
      <c r="I457" s="15">
        <f>'일위대가목록(총체)'!G176</f>
        <v>0</v>
      </c>
      <c r="J457" s="16">
        <f t="shared" si="100"/>
        <v>0</v>
      </c>
      <c r="K457" s="15">
        <f t="shared" si="101"/>
        <v>0</v>
      </c>
      <c r="L457" s="16">
        <f t="shared" si="102"/>
        <v>0</v>
      </c>
      <c r="M457" s="9" t="s">
        <v>52</v>
      </c>
      <c r="N457" s="2" t="s">
        <v>379</v>
      </c>
      <c r="O457" s="2" t="s">
        <v>1496</v>
      </c>
      <c r="P457" s="2" t="s">
        <v>60</v>
      </c>
      <c r="Q457" s="2" t="s">
        <v>61</v>
      </c>
      <c r="R457" s="2" t="s">
        <v>61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2" t="s">
        <v>52</v>
      </c>
      <c r="AW457" s="2" t="s">
        <v>1518</v>
      </c>
      <c r="AX457" s="2" t="s">
        <v>52</v>
      </c>
      <c r="AY457" s="2" t="s">
        <v>52</v>
      </c>
    </row>
    <row r="458" spans="1:51" ht="30" customHeight="1" x14ac:dyDescent="0.3">
      <c r="A458" s="9" t="s">
        <v>1498</v>
      </c>
      <c r="B458" s="9" t="s">
        <v>1499</v>
      </c>
      <c r="C458" s="9" t="s">
        <v>410</v>
      </c>
      <c r="D458" s="10">
        <v>2</v>
      </c>
      <c r="E458" s="15">
        <f>'단가대비표(총체)'!O75</f>
        <v>0</v>
      </c>
      <c r="F458" s="16">
        <f t="shared" si="98"/>
        <v>0</v>
      </c>
      <c r="G458" s="15">
        <f>'단가대비표(총체)'!P75</f>
        <v>0</v>
      </c>
      <c r="H458" s="16">
        <f t="shared" si="99"/>
        <v>0</v>
      </c>
      <c r="I458" s="15">
        <f>'단가대비표(총체)'!V75</f>
        <v>0</v>
      </c>
      <c r="J458" s="16">
        <f t="shared" si="100"/>
        <v>0</v>
      </c>
      <c r="K458" s="15">
        <f t="shared" si="101"/>
        <v>0</v>
      </c>
      <c r="L458" s="16">
        <f t="shared" si="102"/>
        <v>0</v>
      </c>
      <c r="M458" s="9" t="s">
        <v>52</v>
      </c>
      <c r="N458" s="2" t="s">
        <v>379</v>
      </c>
      <c r="O458" s="2" t="s">
        <v>1500</v>
      </c>
      <c r="P458" s="2" t="s">
        <v>61</v>
      </c>
      <c r="Q458" s="2" t="s">
        <v>61</v>
      </c>
      <c r="R458" s="2" t="s">
        <v>60</v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2" t="s">
        <v>52</v>
      </c>
      <c r="AW458" s="2" t="s">
        <v>1519</v>
      </c>
      <c r="AX458" s="2" t="s">
        <v>52</v>
      </c>
      <c r="AY458" s="2" t="s">
        <v>52</v>
      </c>
    </row>
    <row r="459" spans="1:51" ht="30" customHeight="1" x14ac:dyDescent="0.3">
      <c r="A459" s="9" t="s">
        <v>1502</v>
      </c>
      <c r="B459" s="9" t="s">
        <v>1330</v>
      </c>
      <c r="C459" s="9" t="s">
        <v>58</v>
      </c>
      <c r="D459" s="10">
        <v>2</v>
      </c>
      <c r="E459" s="15">
        <f>'일위대가목록(총체)'!E177</f>
        <v>0</v>
      </c>
      <c r="F459" s="16">
        <f t="shared" si="98"/>
        <v>0</v>
      </c>
      <c r="G459" s="15">
        <f>'일위대가목록(총체)'!F177</f>
        <v>0</v>
      </c>
      <c r="H459" s="16">
        <f t="shared" si="99"/>
        <v>0</v>
      </c>
      <c r="I459" s="15">
        <f>'일위대가목록(총체)'!G177</f>
        <v>0</v>
      </c>
      <c r="J459" s="16">
        <f t="shared" si="100"/>
        <v>0</v>
      </c>
      <c r="K459" s="15">
        <f t="shared" si="101"/>
        <v>0</v>
      </c>
      <c r="L459" s="16">
        <f t="shared" si="102"/>
        <v>0</v>
      </c>
      <c r="M459" s="9" t="s">
        <v>52</v>
      </c>
      <c r="N459" s="2" t="s">
        <v>379</v>
      </c>
      <c r="O459" s="2" t="s">
        <v>1503</v>
      </c>
      <c r="P459" s="2" t="s">
        <v>60</v>
      </c>
      <c r="Q459" s="2" t="s">
        <v>61</v>
      </c>
      <c r="R459" s="2" t="s">
        <v>61</v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2" t="s">
        <v>52</v>
      </c>
      <c r="AW459" s="2" t="s">
        <v>1520</v>
      </c>
      <c r="AX459" s="2" t="s">
        <v>52</v>
      </c>
      <c r="AY459" s="2" t="s">
        <v>52</v>
      </c>
    </row>
    <row r="460" spans="1:51" ht="30" customHeight="1" x14ac:dyDescent="0.3">
      <c r="A460" s="9" t="s">
        <v>1435</v>
      </c>
      <c r="B460" s="9" t="s">
        <v>52</v>
      </c>
      <c r="C460" s="9" t="s">
        <v>82</v>
      </c>
      <c r="D460" s="10">
        <v>7.8</v>
      </c>
      <c r="E460" s="15">
        <f>'일위대가목록(총체)'!E169</f>
        <v>0</v>
      </c>
      <c r="F460" s="16">
        <f t="shared" si="98"/>
        <v>0</v>
      </c>
      <c r="G460" s="15">
        <f>'일위대가목록(총체)'!F169</f>
        <v>0</v>
      </c>
      <c r="H460" s="16">
        <f t="shared" si="99"/>
        <v>0</v>
      </c>
      <c r="I460" s="15">
        <f>'일위대가목록(총체)'!G169</f>
        <v>0</v>
      </c>
      <c r="J460" s="16">
        <f t="shared" si="100"/>
        <v>0</v>
      </c>
      <c r="K460" s="15">
        <f t="shared" si="101"/>
        <v>0</v>
      </c>
      <c r="L460" s="16">
        <f t="shared" si="102"/>
        <v>0</v>
      </c>
      <c r="M460" s="9" t="s">
        <v>52</v>
      </c>
      <c r="N460" s="2" t="s">
        <v>379</v>
      </c>
      <c r="O460" s="2" t="s">
        <v>1436</v>
      </c>
      <c r="P460" s="2" t="s">
        <v>60</v>
      </c>
      <c r="Q460" s="2" t="s">
        <v>61</v>
      </c>
      <c r="R460" s="2" t="s">
        <v>61</v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2" t="s">
        <v>52</v>
      </c>
      <c r="AW460" s="2" t="s">
        <v>1521</v>
      </c>
      <c r="AX460" s="2" t="s">
        <v>52</v>
      </c>
      <c r="AY460" s="2" t="s">
        <v>52</v>
      </c>
    </row>
    <row r="461" spans="1:51" ht="30" customHeight="1" x14ac:dyDescent="0.3">
      <c r="A461" s="9" t="s">
        <v>1438</v>
      </c>
      <c r="B461" s="9" t="s">
        <v>1439</v>
      </c>
      <c r="C461" s="9" t="s">
        <v>82</v>
      </c>
      <c r="D461" s="10">
        <v>7.8</v>
      </c>
      <c r="E461" s="15">
        <f>'일위대가목록(총체)'!E170</f>
        <v>0</v>
      </c>
      <c r="F461" s="16">
        <f t="shared" si="98"/>
        <v>0</v>
      </c>
      <c r="G461" s="15">
        <f>'일위대가목록(총체)'!F170</f>
        <v>0</v>
      </c>
      <c r="H461" s="16">
        <f t="shared" si="99"/>
        <v>0</v>
      </c>
      <c r="I461" s="15">
        <f>'일위대가목록(총체)'!G170</f>
        <v>0</v>
      </c>
      <c r="J461" s="16">
        <f t="shared" si="100"/>
        <v>0</v>
      </c>
      <c r="K461" s="15">
        <f t="shared" si="101"/>
        <v>0</v>
      </c>
      <c r="L461" s="16">
        <f t="shared" si="102"/>
        <v>0</v>
      </c>
      <c r="M461" s="9" t="s">
        <v>52</v>
      </c>
      <c r="N461" s="2" t="s">
        <v>379</v>
      </c>
      <c r="O461" s="2" t="s">
        <v>1440</v>
      </c>
      <c r="P461" s="2" t="s">
        <v>60</v>
      </c>
      <c r="Q461" s="2" t="s">
        <v>61</v>
      </c>
      <c r="R461" s="2" t="s">
        <v>61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2" t="s">
        <v>52</v>
      </c>
      <c r="AW461" s="2" t="s">
        <v>1522</v>
      </c>
      <c r="AX461" s="2" t="s">
        <v>52</v>
      </c>
      <c r="AY461" s="2" t="s">
        <v>52</v>
      </c>
    </row>
    <row r="462" spans="1:51" ht="30" customHeight="1" x14ac:dyDescent="0.3">
      <c r="A462" s="9" t="s">
        <v>811</v>
      </c>
      <c r="B462" s="9" t="s">
        <v>52</v>
      </c>
      <c r="C462" s="9" t="s">
        <v>52</v>
      </c>
      <c r="D462" s="10"/>
      <c r="E462" s="15"/>
      <c r="F462" s="16">
        <f>TRUNC(SUMIF(N451:N461, N450, F451:F461),0)</f>
        <v>0</v>
      </c>
      <c r="G462" s="15"/>
      <c r="H462" s="16">
        <f>TRUNC(SUMIF(N451:N461, N450, H451:H461),0)</f>
        <v>0</v>
      </c>
      <c r="I462" s="15"/>
      <c r="J462" s="16">
        <f>TRUNC(SUMIF(N451:N461, N450, J451:J461),0)</f>
        <v>0</v>
      </c>
      <c r="K462" s="15"/>
      <c r="L462" s="16">
        <f>F462+H462+J462</f>
        <v>0</v>
      </c>
      <c r="M462" s="9" t="s">
        <v>52</v>
      </c>
      <c r="N462" s="2" t="s">
        <v>94</v>
      </c>
      <c r="O462" s="2" t="s">
        <v>94</v>
      </c>
      <c r="P462" s="2" t="s">
        <v>52</v>
      </c>
      <c r="Q462" s="2" t="s">
        <v>52</v>
      </c>
      <c r="R462" s="2" t="s">
        <v>52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2" t="s">
        <v>52</v>
      </c>
      <c r="AW462" s="2" t="s">
        <v>52</v>
      </c>
      <c r="AX462" s="2" t="s">
        <v>52</v>
      </c>
      <c r="AY462" s="2" t="s">
        <v>52</v>
      </c>
    </row>
    <row r="463" spans="1:51" ht="30" customHeight="1" x14ac:dyDescent="0.3">
      <c r="A463" s="10"/>
      <c r="B463" s="10"/>
      <c r="C463" s="10"/>
      <c r="D463" s="10"/>
      <c r="E463" s="15"/>
      <c r="F463" s="16"/>
      <c r="G463" s="15"/>
      <c r="H463" s="16"/>
      <c r="I463" s="15"/>
      <c r="J463" s="16"/>
      <c r="K463" s="15"/>
      <c r="L463" s="16"/>
      <c r="M463" s="10"/>
    </row>
    <row r="464" spans="1:51" ht="30" customHeight="1" x14ac:dyDescent="0.3">
      <c r="A464" s="44" t="s">
        <v>1523</v>
      </c>
      <c r="B464" s="44"/>
      <c r="C464" s="44"/>
      <c r="D464" s="44"/>
      <c r="E464" s="45"/>
      <c r="F464" s="46"/>
      <c r="G464" s="45"/>
      <c r="H464" s="46"/>
      <c r="I464" s="45"/>
      <c r="J464" s="46"/>
      <c r="K464" s="45"/>
      <c r="L464" s="46"/>
      <c r="M464" s="44"/>
      <c r="N464" s="1" t="s">
        <v>383</v>
      </c>
    </row>
    <row r="465" spans="1:51" ht="30" customHeight="1" x14ac:dyDescent="0.3">
      <c r="A465" s="9" t="s">
        <v>1509</v>
      </c>
      <c r="B465" s="9" t="s">
        <v>1525</v>
      </c>
      <c r="C465" s="9" t="s">
        <v>410</v>
      </c>
      <c r="D465" s="10">
        <v>1</v>
      </c>
      <c r="E465" s="15">
        <f>'단가대비표(총체)'!O78</f>
        <v>0</v>
      </c>
      <c r="F465" s="16">
        <f t="shared" ref="F465:F473" si="103">TRUNC(E465*D465,1)</f>
        <v>0</v>
      </c>
      <c r="G465" s="15">
        <f>'단가대비표(총체)'!P78</f>
        <v>0</v>
      </c>
      <c r="H465" s="16">
        <f t="shared" ref="H465:H473" si="104">TRUNC(G465*D465,1)</f>
        <v>0</v>
      </c>
      <c r="I465" s="15">
        <f>'단가대비표(총체)'!V78</f>
        <v>0</v>
      </c>
      <c r="J465" s="16">
        <f t="shared" ref="J465:J473" si="105">TRUNC(I465*D465,1)</f>
        <v>0</v>
      </c>
      <c r="K465" s="15">
        <f t="shared" ref="K465:K473" si="106">TRUNC(E465+G465+I465,1)</f>
        <v>0</v>
      </c>
      <c r="L465" s="16">
        <f t="shared" ref="L465:L473" si="107">TRUNC(F465+H465+J465,1)</f>
        <v>0</v>
      </c>
      <c r="M465" s="9" t="s">
        <v>52</v>
      </c>
      <c r="N465" s="2" t="s">
        <v>383</v>
      </c>
      <c r="O465" s="2" t="s">
        <v>1526</v>
      </c>
      <c r="P465" s="2" t="s">
        <v>61</v>
      </c>
      <c r="Q465" s="2" t="s">
        <v>61</v>
      </c>
      <c r="R465" s="2" t="s">
        <v>60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2" t="s">
        <v>52</v>
      </c>
      <c r="AW465" s="2" t="s">
        <v>1527</v>
      </c>
      <c r="AX465" s="2" t="s">
        <v>52</v>
      </c>
      <c r="AY465" s="2" t="s">
        <v>52</v>
      </c>
    </row>
    <row r="466" spans="1:51" ht="30" customHeight="1" x14ac:dyDescent="0.3">
      <c r="A466" s="9" t="s">
        <v>1479</v>
      </c>
      <c r="B466" s="9" t="s">
        <v>1417</v>
      </c>
      <c r="C466" s="9" t="s">
        <v>58</v>
      </c>
      <c r="D466" s="10">
        <v>1</v>
      </c>
      <c r="E466" s="15">
        <f>'일위대가목록(총체)'!E178</f>
        <v>0</v>
      </c>
      <c r="F466" s="16">
        <f t="shared" si="103"/>
        <v>0</v>
      </c>
      <c r="G466" s="15">
        <f>'일위대가목록(총체)'!F178</f>
        <v>0</v>
      </c>
      <c r="H466" s="16">
        <f t="shared" si="104"/>
        <v>0</v>
      </c>
      <c r="I466" s="15">
        <f>'일위대가목록(총체)'!G178</f>
        <v>0</v>
      </c>
      <c r="J466" s="16">
        <f t="shared" si="105"/>
        <v>0</v>
      </c>
      <c r="K466" s="15">
        <f t="shared" si="106"/>
        <v>0</v>
      </c>
      <c r="L466" s="16">
        <f t="shared" si="107"/>
        <v>0</v>
      </c>
      <c r="M466" s="9" t="s">
        <v>52</v>
      </c>
      <c r="N466" s="2" t="s">
        <v>383</v>
      </c>
      <c r="O466" s="2" t="s">
        <v>1528</v>
      </c>
      <c r="P466" s="2" t="s">
        <v>60</v>
      </c>
      <c r="Q466" s="2" t="s">
        <v>61</v>
      </c>
      <c r="R466" s="2" t="s">
        <v>61</v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2" t="s">
        <v>52</v>
      </c>
      <c r="AW466" s="2" t="s">
        <v>1529</v>
      </c>
      <c r="AX466" s="2" t="s">
        <v>52</v>
      </c>
      <c r="AY466" s="2" t="s">
        <v>52</v>
      </c>
    </row>
    <row r="467" spans="1:51" ht="30" customHeight="1" x14ac:dyDescent="0.3">
      <c r="A467" s="9" t="s">
        <v>1482</v>
      </c>
      <c r="B467" s="9" t="s">
        <v>1483</v>
      </c>
      <c r="C467" s="9" t="s">
        <v>410</v>
      </c>
      <c r="D467" s="10">
        <v>1</v>
      </c>
      <c r="E467" s="15">
        <f>'단가대비표(총체)'!O110</f>
        <v>0</v>
      </c>
      <c r="F467" s="16">
        <f t="shared" si="103"/>
        <v>0</v>
      </c>
      <c r="G467" s="15">
        <f>'단가대비표(총체)'!P110</f>
        <v>0</v>
      </c>
      <c r="H467" s="16">
        <f t="shared" si="104"/>
        <v>0</v>
      </c>
      <c r="I467" s="15">
        <f>'단가대비표(총체)'!V110</f>
        <v>0</v>
      </c>
      <c r="J467" s="16">
        <f t="shared" si="105"/>
        <v>0</v>
      </c>
      <c r="K467" s="15">
        <f t="shared" si="106"/>
        <v>0</v>
      </c>
      <c r="L467" s="16">
        <f t="shared" si="107"/>
        <v>0</v>
      </c>
      <c r="M467" s="9" t="s">
        <v>52</v>
      </c>
      <c r="N467" s="2" t="s">
        <v>383</v>
      </c>
      <c r="O467" s="2" t="s">
        <v>1484</v>
      </c>
      <c r="P467" s="2" t="s">
        <v>61</v>
      </c>
      <c r="Q467" s="2" t="s">
        <v>61</v>
      </c>
      <c r="R467" s="2" t="s">
        <v>60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2" t="s">
        <v>52</v>
      </c>
      <c r="AW467" s="2" t="s">
        <v>1530</v>
      </c>
      <c r="AX467" s="2" t="s">
        <v>52</v>
      </c>
      <c r="AY467" s="2" t="s">
        <v>52</v>
      </c>
    </row>
    <row r="468" spans="1:51" ht="30" customHeight="1" x14ac:dyDescent="0.3">
      <c r="A468" s="9" t="s">
        <v>1424</v>
      </c>
      <c r="B468" s="9" t="s">
        <v>1489</v>
      </c>
      <c r="C468" s="9" t="s">
        <v>58</v>
      </c>
      <c r="D468" s="10">
        <v>1</v>
      </c>
      <c r="E468" s="15">
        <f>'단가대비표(총체)'!O12</f>
        <v>0</v>
      </c>
      <c r="F468" s="16">
        <f t="shared" si="103"/>
        <v>0</v>
      </c>
      <c r="G468" s="15">
        <f>'단가대비표(총체)'!P12</f>
        <v>0</v>
      </c>
      <c r="H468" s="16">
        <f t="shared" si="104"/>
        <v>0</v>
      </c>
      <c r="I468" s="15">
        <f>'단가대비표(총체)'!V12</f>
        <v>0</v>
      </c>
      <c r="J468" s="16">
        <f t="shared" si="105"/>
        <v>0</v>
      </c>
      <c r="K468" s="15">
        <f t="shared" si="106"/>
        <v>0</v>
      </c>
      <c r="L468" s="16">
        <f t="shared" si="107"/>
        <v>0</v>
      </c>
      <c r="M468" s="9" t="s">
        <v>52</v>
      </c>
      <c r="N468" s="2" t="s">
        <v>383</v>
      </c>
      <c r="O468" s="2" t="s">
        <v>1490</v>
      </c>
      <c r="P468" s="2" t="s">
        <v>61</v>
      </c>
      <c r="Q468" s="2" t="s">
        <v>61</v>
      </c>
      <c r="R468" s="2" t="s">
        <v>60</v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2" t="s">
        <v>52</v>
      </c>
      <c r="AW468" s="2" t="s">
        <v>1531</v>
      </c>
      <c r="AX468" s="2" t="s">
        <v>52</v>
      </c>
      <c r="AY468" s="2" t="s">
        <v>52</v>
      </c>
    </row>
    <row r="469" spans="1:51" ht="30" customHeight="1" x14ac:dyDescent="0.3">
      <c r="A469" s="9" t="s">
        <v>1492</v>
      </c>
      <c r="B469" s="9" t="s">
        <v>1330</v>
      </c>
      <c r="C469" s="9" t="s">
        <v>58</v>
      </c>
      <c r="D469" s="10">
        <v>1</v>
      </c>
      <c r="E469" s="15">
        <f>'일위대가목록(총체)'!E175</f>
        <v>0</v>
      </c>
      <c r="F469" s="16">
        <f t="shared" si="103"/>
        <v>0</v>
      </c>
      <c r="G469" s="15">
        <f>'일위대가목록(총체)'!F175</f>
        <v>0</v>
      </c>
      <c r="H469" s="16">
        <f t="shared" si="104"/>
        <v>0</v>
      </c>
      <c r="I469" s="15">
        <f>'일위대가목록(총체)'!G175</f>
        <v>0</v>
      </c>
      <c r="J469" s="16">
        <f t="shared" si="105"/>
        <v>0</v>
      </c>
      <c r="K469" s="15">
        <f t="shared" si="106"/>
        <v>0</v>
      </c>
      <c r="L469" s="16">
        <f t="shared" si="107"/>
        <v>0</v>
      </c>
      <c r="M469" s="9" t="s">
        <v>52</v>
      </c>
      <c r="N469" s="2" t="s">
        <v>383</v>
      </c>
      <c r="O469" s="2" t="s">
        <v>1493</v>
      </c>
      <c r="P469" s="2" t="s">
        <v>60</v>
      </c>
      <c r="Q469" s="2" t="s">
        <v>61</v>
      </c>
      <c r="R469" s="2" t="s">
        <v>61</v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2" t="s">
        <v>52</v>
      </c>
      <c r="AW469" s="2" t="s">
        <v>1532</v>
      </c>
      <c r="AX469" s="2" t="s">
        <v>52</v>
      </c>
      <c r="AY469" s="2" t="s">
        <v>52</v>
      </c>
    </row>
    <row r="470" spans="1:51" ht="30" customHeight="1" x14ac:dyDescent="0.3">
      <c r="A470" s="9" t="s">
        <v>1498</v>
      </c>
      <c r="B470" s="9" t="s">
        <v>1499</v>
      </c>
      <c r="C470" s="9" t="s">
        <v>410</v>
      </c>
      <c r="D470" s="10">
        <v>1</v>
      </c>
      <c r="E470" s="15">
        <f>'단가대비표(총체)'!O75</f>
        <v>0</v>
      </c>
      <c r="F470" s="16">
        <f t="shared" si="103"/>
        <v>0</v>
      </c>
      <c r="G470" s="15">
        <f>'단가대비표(총체)'!P75</f>
        <v>0</v>
      </c>
      <c r="H470" s="16">
        <f t="shared" si="104"/>
        <v>0</v>
      </c>
      <c r="I470" s="15">
        <f>'단가대비표(총체)'!V75</f>
        <v>0</v>
      </c>
      <c r="J470" s="16">
        <f t="shared" si="105"/>
        <v>0</v>
      </c>
      <c r="K470" s="15">
        <f t="shared" si="106"/>
        <v>0</v>
      </c>
      <c r="L470" s="16">
        <f t="shared" si="107"/>
        <v>0</v>
      </c>
      <c r="M470" s="9" t="s">
        <v>52</v>
      </c>
      <c r="N470" s="2" t="s">
        <v>383</v>
      </c>
      <c r="O470" s="2" t="s">
        <v>1500</v>
      </c>
      <c r="P470" s="2" t="s">
        <v>61</v>
      </c>
      <c r="Q470" s="2" t="s">
        <v>61</v>
      </c>
      <c r="R470" s="2" t="s">
        <v>60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2" t="s">
        <v>52</v>
      </c>
      <c r="AW470" s="2" t="s">
        <v>1533</v>
      </c>
      <c r="AX470" s="2" t="s">
        <v>52</v>
      </c>
      <c r="AY470" s="2" t="s">
        <v>52</v>
      </c>
    </row>
    <row r="471" spans="1:51" ht="30" customHeight="1" x14ac:dyDescent="0.3">
      <c r="A471" s="9" t="s">
        <v>1502</v>
      </c>
      <c r="B471" s="9" t="s">
        <v>1330</v>
      </c>
      <c r="C471" s="9" t="s">
        <v>58</v>
      </c>
      <c r="D471" s="10">
        <v>1</v>
      </c>
      <c r="E471" s="15">
        <f>'일위대가목록(총체)'!E177</f>
        <v>0</v>
      </c>
      <c r="F471" s="16">
        <f t="shared" si="103"/>
        <v>0</v>
      </c>
      <c r="G471" s="15">
        <f>'일위대가목록(총체)'!F177</f>
        <v>0</v>
      </c>
      <c r="H471" s="16">
        <f t="shared" si="104"/>
        <v>0</v>
      </c>
      <c r="I471" s="15">
        <f>'일위대가목록(총체)'!G177</f>
        <v>0</v>
      </c>
      <c r="J471" s="16">
        <f t="shared" si="105"/>
        <v>0</v>
      </c>
      <c r="K471" s="15">
        <f t="shared" si="106"/>
        <v>0</v>
      </c>
      <c r="L471" s="16">
        <f t="shared" si="107"/>
        <v>0</v>
      </c>
      <c r="M471" s="9" t="s">
        <v>52</v>
      </c>
      <c r="N471" s="2" t="s">
        <v>383</v>
      </c>
      <c r="O471" s="2" t="s">
        <v>1503</v>
      </c>
      <c r="P471" s="2" t="s">
        <v>60</v>
      </c>
      <c r="Q471" s="2" t="s">
        <v>61</v>
      </c>
      <c r="R471" s="2" t="s">
        <v>61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2" t="s">
        <v>52</v>
      </c>
      <c r="AW471" s="2" t="s">
        <v>1534</v>
      </c>
      <c r="AX471" s="2" t="s">
        <v>52</v>
      </c>
      <c r="AY471" s="2" t="s">
        <v>52</v>
      </c>
    </row>
    <row r="472" spans="1:51" ht="30" customHeight="1" x14ac:dyDescent="0.3">
      <c r="A472" s="9" t="s">
        <v>1435</v>
      </c>
      <c r="B472" s="9" t="s">
        <v>52</v>
      </c>
      <c r="C472" s="9" t="s">
        <v>82</v>
      </c>
      <c r="D472" s="10">
        <v>6.2</v>
      </c>
      <c r="E472" s="15">
        <f>'일위대가목록(총체)'!E169</f>
        <v>0</v>
      </c>
      <c r="F472" s="16">
        <f t="shared" si="103"/>
        <v>0</v>
      </c>
      <c r="G472" s="15">
        <f>'일위대가목록(총체)'!F169</f>
        <v>0</v>
      </c>
      <c r="H472" s="16">
        <f t="shared" si="104"/>
        <v>0</v>
      </c>
      <c r="I472" s="15">
        <f>'일위대가목록(총체)'!G169</f>
        <v>0</v>
      </c>
      <c r="J472" s="16">
        <f t="shared" si="105"/>
        <v>0</v>
      </c>
      <c r="K472" s="15">
        <f t="shared" si="106"/>
        <v>0</v>
      </c>
      <c r="L472" s="16">
        <f t="shared" si="107"/>
        <v>0</v>
      </c>
      <c r="M472" s="9" t="s">
        <v>52</v>
      </c>
      <c r="N472" s="2" t="s">
        <v>383</v>
      </c>
      <c r="O472" s="2" t="s">
        <v>1436</v>
      </c>
      <c r="P472" s="2" t="s">
        <v>60</v>
      </c>
      <c r="Q472" s="2" t="s">
        <v>61</v>
      </c>
      <c r="R472" s="2" t="s">
        <v>61</v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2" t="s">
        <v>52</v>
      </c>
      <c r="AW472" s="2" t="s">
        <v>1535</v>
      </c>
      <c r="AX472" s="2" t="s">
        <v>52</v>
      </c>
      <c r="AY472" s="2" t="s">
        <v>52</v>
      </c>
    </row>
    <row r="473" spans="1:51" ht="30" customHeight="1" x14ac:dyDescent="0.3">
      <c r="A473" s="9" t="s">
        <v>1438</v>
      </c>
      <c r="B473" s="9" t="s">
        <v>1439</v>
      </c>
      <c r="C473" s="9" t="s">
        <v>82</v>
      </c>
      <c r="D473" s="10">
        <v>6.2</v>
      </c>
      <c r="E473" s="15">
        <f>'일위대가목록(총체)'!E170</f>
        <v>0</v>
      </c>
      <c r="F473" s="16">
        <f t="shared" si="103"/>
        <v>0</v>
      </c>
      <c r="G473" s="15">
        <f>'일위대가목록(총체)'!F170</f>
        <v>0</v>
      </c>
      <c r="H473" s="16">
        <f t="shared" si="104"/>
        <v>0</v>
      </c>
      <c r="I473" s="15">
        <f>'일위대가목록(총체)'!G170</f>
        <v>0</v>
      </c>
      <c r="J473" s="16">
        <f t="shared" si="105"/>
        <v>0</v>
      </c>
      <c r="K473" s="15">
        <f t="shared" si="106"/>
        <v>0</v>
      </c>
      <c r="L473" s="16">
        <f t="shared" si="107"/>
        <v>0</v>
      </c>
      <c r="M473" s="9" t="s">
        <v>52</v>
      </c>
      <c r="N473" s="2" t="s">
        <v>383</v>
      </c>
      <c r="O473" s="2" t="s">
        <v>1440</v>
      </c>
      <c r="P473" s="2" t="s">
        <v>60</v>
      </c>
      <c r="Q473" s="2" t="s">
        <v>61</v>
      </c>
      <c r="R473" s="2" t="s">
        <v>61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2" t="s">
        <v>52</v>
      </c>
      <c r="AW473" s="2" t="s">
        <v>1536</v>
      </c>
      <c r="AX473" s="2" t="s">
        <v>52</v>
      </c>
      <c r="AY473" s="2" t="s">
        <v>52</v>
      </c>
    </row>
    <row r="474" spans="1:51" ht="30" customHeight="1" x14ac:dyDescent="0.3">
      <c r="A474" s="9" t="s">
        <v>811</v>
      </c>
      <c r="B474" s="9" t="s">
        <v>52</v>
      </c>
      <c r="C474" s="9" t="s">
        <v>52</v>
      </c>
      <c r="D474" s="10"/>
      <c r="E474" s="15"/>
      <c r="F474" s="16">
        <f>TRUNC(SUMIF(N465:N473, N464, F465:F473),0)</f>
        <v>0</v>
      </c>
      <c r="G474" s="15"/>
      <c r="H474" s="16">
        <f>TRUNC(SUMIF(N465:N473, N464, H465:H473),0)</f>
        <v>0</v>
      </c>
      <c r="I474" s="15"/>
      <c r="J474" s="16">
        <f>TRUNC(SUMIF(N465:N473, N464, J465:J473),0)</f>
        <v>0</v>
      </c>
      <c r="K474" s="15"/>
      <c r="L474" s="16">
        <f>F474+H474+J474</f>
        <v>0</v>
      </c>
      <c r="M474" s="9" t="s">
        <v>52</v>
      </c>
      <c r="N474" s="2" t="s">
        <v>94</v>
      </c>
      <c r="O474" s="2" t="s">
        <v>94</v>
      </c>
      <c r="P474" s="2" t="s">
        <v>52</v>
      </c>
      <c r="Q474" s="2" t="s">
        <v>52</v>
      </c>
      <c r="R474" s="2" t="s">
        <v>52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2" t="s">
        <v>52</v>
      </c>
      <c r="AW474" s="2" t="s">
        <v>52</v>
      </c>
      <c r="AX474" s="2" t="s">
        <v>52</v>
      </c>
      <c r="AY474" s="2" t="s">
        <v>52</v>
      </c>
    </row>
    <row r="475" spans="1:51" ht="30" customHeight="1" x14ac:dyDescent="0.3">
      <c r="A475" s="10"/>
      <c r="B475" s="10"/>
      <c r="C475" s="10"/>
      <c r="D475" s="10"/>
      <c r="E475" s="15"/>
      <c r="F475" s="16"/>
      <c r="G475" s="15"/>
      <c r="H475" s="16"/>
      <c r="I475" s="15"/>
      <c r="J475" s="16"/>
      <c r="K475" s="15"/>
      <c r="L475" s="16"/>
      <c r="M475" s="10"/>
    </row>
    <row r="476" spans="1:51" ht="30" customHeight="1" x14ac:dyDescent="0.3">
      <c r="A476" s="44" t="s">
        <v>1537</v>
      </c>
      <c r="B476" s="44"/>
      <c r="C476" s="44"/>
      <c r="D476" s="44"/>
      <c r="E476" s="45"/>
      <c r="F476" s="46"/>
      <c r="G476" s="45"/>
      <c r="H476" s="46"/>
      <c r="I476" s="45"/>
      <c r="J476" s="46"/>
      <c r="K476" s="45"/>
      <c r="L476" s="46"/>
      <c r="M476" s="44"/>
      <c r="N476" s="1" t="s">
        <v>389</v>
      </c>
    </row>
    <row r="477" spans="1:51" ht="30" customHeight="1" x14ac:dyDescent="0.3">
      <c r="A477" s="9" t="s">
        <v>1539</v>
      </c>
      <c r="B477" s="9" t="s">
        <v>1540</v>
      </c>
      <c r="C477" s="9" t="s">
        <v>923</v>
      </c>
      <c r="D477" s="10">
        <v>0.16600000000000001</v>
      </c>
      <c r="E477" s="15">
        <f>'단가대비표(총체)'!O128</f>
        <v>0</v>
      </c>
      <c r="F477" s="16">
        <f>TRUNC(E477*D477,1)</f>
        <v>0</v>
      </c>
      <c r="G477" s="15">
        <f>'단가대비표(총체)'!P128</f>
        <v>0</v>
      </c>
      <c r="H477" s="16">
        <f>TRUNC(G477*D477,1)</f>
        <v>0</v>
      </c>
      <c r="I477" s="15">
        <f>'단가대비표(총체)'!V128</f>
        <v>0</v>
      </c>
      <c r="J477" s="16">
        <f>TRUNC(I477*D477,1)</f>
        <v>0</v>
      </c>
      <c r="K477" s="15">
        <f t="shared" ref="K477:L480" si="108">TRUNC(E477+G477+I477,1)</f>
        <v>0</v>
      </c>
      <c r="L477" s="16">
        <f t="shared" si="108"/>
        <v>0</v>
      </c>
      <c r="M477" s="9" t="s">
        <v>52</v>
      </c>
      <c r="N477" s="2" t="s">
        <v>389</v>
      </c>
      <c r="O477" s="2" t="s">
        <v>1541</v>
      </c>
      <c r="P477" s="2" t="s">
        <v>61</v>
      </c>
      <c r="Q477" s="2" t="s">
        <v>61</v>
      </c>
      <c r="R477" s="2" t="s">
        <v>60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2" t="s">
        <v>52</v>
      </c>
      <c r="AW477" s="2" t="s">
        <v>1542</v>
      </c>
      <c r="AX477" s="2" t="s">
        <v>52</v>
      </c>
      <c r="AY477" s="2" t="s">
        <v>52</v>
      </c>
    </row>
    <row r="478" spans="1:51" ht="30" customHeight="1" x14ac:dyDescent="0.3">
      <c r="A478" s="9" t="s">
        <v>1543</v>
      </c>
      <c r="B478" s="9" t="s">
        <v>1544</v>
      </c>
      <c r="C478" s="9" t="s">
        <v>923</v>
      </c>
      <c r="D478" s="10">
        <v>8.0000000000000002E-3</v>
      </c>
      <c r="E478" s="15">
        <f>'단가대비표(총체)'!O130</f>
        <v>0</v>
      </c>
      <c r="F478" s="16">
        <f>TRUNC(E478*D478,1)</f>
        <v>0</v>
      </c>
      <c r="G478" s="15">
        <f>'단가대비표(총체)'!P130</f>
        <v>0</v>
      </c>
      <c r="H478" s="16">
        <f>TRUNC(G478*D478,1)</f>
        <v>0</v>
      </c>
      <c r="I478" s="15">
        <f>'단가대비표(총체)'!V130</f>
        <v>0</v>
      </c>
      <c r="J478" s="16">
        <f>TRUNC(I478*D478,1)</f>
        <v>0</v>
      </c>
      <c r="K478" s="15">
        <f t="shared" si="108"/>
        <v>0</v>
      </c>
      <c r="L478" s="16">
        <f t="shared" si="108"/>
        <v>0</v>
      </c>
      <c r="M478" s="9" t="s">
        <v>52</v>
      </c>
      <c r="N478" s="2" t="s">
        <v>389</v>
      </c>
      <c r="O478" s="2" t="s">
        <v>1545</v>
      </c>
      <c r="P478" s="2" t="s">
        <v>61</v>
      </c>
      <c r="Q478" s="2" t="s">
        <v>61</v>
      </c>
      <c r="R478" s="2" t="s">
        <v>60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2" t="s">
        <v>52</v>
      </c>
      <c r="AW478" s="2" t="s">
        <v>1546</v>
      </c>
      <c r="AX478" s="2" t="s">
        <v>52</v>
      </c>
      <c r="AY478" s="2" t="s">
        <v>52</v>
      </c>
    </row>
    <row r="479" spans="1:51" ht="30" customHeight="1" x14ac:dyDescent="0.3">
      <c r="A479" s="9" t="s">
        <v>1547</v>
      </c>
      <c r="B479" s="9" t="s">
        <v>1548</v>
      </c>
      <c r="C479" s="9" t="s">
        <v>68</v>
      </c>
      <c r="D479" s="10">
        <v>1</v>
      </c>
      <c r="E479" s="15">
        <f>'일위대가목록(총체)'!E179</f>
        <v>0</v>
      </c>
      <c r="F479" s="16">
        <f>TRUNC(E479*D479,1)</f>
        <v>0</v>
      </c>
      <c r="G479" s="15">
        <f>'일위대가목록(총체)'!F179</f>
        <v>0</v>
      </c>
      <c r="H479" s="16">
        <f>TRUNC(G479*D479,1)</f>
        <v>0</v>
      </c>
      <c r="I479" s="15">
        <f>'일위대가목록(총체)'!G179</f>
        <v>0</v>
      </c>
      <c r="J479" s="16">
        <f>TRUNC(I479*D479,1)</f>
        <v>0</v>
      </c>
      <c r="K479" s="15">
        <f t="shared" si="108"/>
        <v>0</v>
      </c>
      <c r="L479" s="16">
        <f t="shared" si="108"/>
        <v>0</v>
      </c>
      <c r="M479" s="9" t="s">
        <v>52</v>
      </c>
      <c r="N479" s="2" t="s">
        <v>389</v>
      </c>
      <c r="O479" s="2" t="s">
        <v>1549</v>
      </c>
      <c r="P479" s="2" t="s">
        <v>60</v>
      </c>
      <c r="Q479" s="2" t="s">
        <v>61</v>
      </c>
      <c r="R479" s="2" t="s">
        <v>61</v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2" t="s">
        <v>52</v>
      </c>
      <c r="AW479" s="2" t="s">
        <v>1550</v>
      </c>
      <c r="AX479" s="2" t="s">
        <v>52</v>
      </c>
      <c r="AY479" s="2" t="s">
        <v>52</v>
      </c>
    </row>
    <row r="480" spans="1:51" ht="30" customHeight="1" x14ac:dyDescent="0.3">
      <c r="A480" s="9" t="s">
        <v>1551</v>
      </c>
      <c r="B480" s="9" t="s">
        <v>1552</v>
      </c>
      <c r="C480" s="9" t="s">
        <v>68</v>
      </c>
      <c r="D480" s="10">
        <v>1</v>
      </c>
      <c r="E480" s="15">
        <f>'일위대가목록(총체)'!E180</f>
        <v>0</v>
      </c>
      <c r="F480" s="16">
        <f>TRUNC(E480*D480,1)</f>
        <v>0</v>
      </c>
      <c r="G480" s="15">
        <f>'일위대가목록(총체)'!F180</f>
        <v>0</v>
      </c>
      <c r="H480" s="16">
        <f>TRUNC(G480*D480,1)</f>
        <v>0</v>
      </c>
      <c r="I480" s="15">
        <f>'일위대가목록(총체)'!G180</f>
        <v>0</v>
      </c>
      <c r="J480" s="16">
        <f>TRUNC(I480*D480,1)</f>
        <v>0</v>
      </c>
      <c r="K480" s="15">
        <f t="shared" si="108"/>
        <v>0</v>
      </c>
      <c r="L480" s="16">
        <f t="shared" si="108"/>
        <v>0</v>
      </c>
      <c r="M480" s="9" t="s">
        <v>52</v>
      </c>
      <c r="N480" s="2" t="s">
        <v>389</v>
      </c>
      <c r="O480" s="2" t="s">
        <v>1553</v>
      </c>
      <c r="P480" s="2" t="s">
        <v>60</v>
      </c>
      <c r="Q480" s="2" t="s">
        <v>61</v>
      </c>
      <c r="R480" s="2" t="s">
        <v>61</v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2" t="s">
        <v>52</v>
      </c>
      <c r="AW480" s="2" t="s">
        <v>1554</v>
      </c>
      <c r="AX480" s="2" t="s">
        <v>52</v>
      </c>
      <c r="AY480" s="2" t="s">
        <v>52</v>
      </c>
    </row>
    <row r="481" spans="1:51" ht="30" customHeight="1" x14ac:dyDescent="0.3">
      <c r="A481" s="9" t="s">
        <v>811</v>
      </c>
      <c r="B481" s="9" t="s">
        <v>52</v>
      </c>
      <c r="C481" s="9" t="s">
        <v>52</v>
      </c>
      <c r="D481" s="10"/>
      <c r="E481" s="15"/>
      <c r="F481" s="16">
        <f>TRUNC(SUMIF(N477:N480, N476, F477:F480),0)</f>
        <v>0</v>
      </c>
      <c r="G481" s="15"/>
      <c r="H481" s="16">
        <f>TRUNC(SUMIF(N477:N480, N476, H477:H480),0)</f>
        <v>0</v>
      </c>
      <c r="I481" s="15"/>
      <c r="J481" s="16">
        <f>TRUNC(SUMIF(N477:N480, N476, J477:J480),0)</f>
        <v>0</v>
      </c>
      <c r="K481" s="15"/>
      <c r="L481" s="16">
        <f>F481+H481+J481</f>
        <v>0</v>
      </c>
      <c r="M481" s="9" t="s">
        <v>52</v>
      </c>
      <c r="N481" s="2" t="s">
        <v>94</v>
      </c>
      <c r="O481" s="2" t="s">
        <v>94</v>
      </c>
      <c r="P481" s="2" t="s">
        <v>52</v>
      </c>
      <c r="Q481" s="2" t="s">
        <v>52</v>
      </c>
      <c r="R481" s="2" t="s">
        <v>52</v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2" t="s">
        <v>52</v>
      </c>
      <c r="AW481" s="2" t="s">
        <v>52</v>
      </c>
      <c r="AX481" s="2" t="s">
        <v>52</v>
      </c>
      <c r="AY481" s="2" t="s">
        <v>52</v>
      </c>
    </row>
    <row r="482" spans="1:51" ht="30" customHeight="1" x14ac:dyDescent="0.3">
      <c r="A482" s="10"/>
      <c r="B482" s="10"/>
      <c r="C482" s="10"/>
      <c r="D482" s="10"/>
      <c r="E482" s="15"/>
      <c r="F482" s="16"/>
      <c r="G482" s="15"/>
      <c r="H482" s="16"/>
      <c r="I482" s="15"/>
      <c r="J482" s="16"/>
      <c r="K482" s="15"/>
      <c r="L482" s="16"/>
      <c r="M482" s="10"/>
    </row>
    <row r="483" spans="1:51" ht="30" customHeight="1" x14ac:dyDescent="0.3">
      <c r="A483" s="44" t="s">
        <v>1555</v>
      </c>
      <c r="B483" s="44"/>
      <c r="C483" s="44"/>
      <c r="D483" s="44"/>
      <c r="E483" s="45"/>
      <c r="F483" s="46"/>
      <c r="G483" s="45"/>
      <c r="H483" s="46"/>
      <c r="I483" s="45"/>
      <c r="J483" s="46"/>
      <c r="K483" s="45"/>
      <c r="L483" s="46"/>
      <c r="M483" s="44"/>
      <c r="N483" s="1" t="s">
        <v>393</v>
      </c>
    </row>
    <row r="484" spans="1:51" ht="30" customHeight="1" x14ac:dyDescent="0.3">
      <c r="A484" s="9" t="s">
        <v>1539</v>
      </c>
      <c r="B484" s="9" t="s">
        <v>1540</v>
      </c>
      <c r="C484" s="9" t="s">
        <v>923</v>
      </c>
      <c r="D484" s="10">
        <v>0.19900000000000001</v>
      </c>
      <c r="E484" s="15">
        <f>'단가대비표(총체)'!O128</f>
        <v>0</v>
      </c>
      <c r="F484" s="16">
        <f>TRUNC(E484*D484,1)</f>
        <v>0</v>
      </c>
      <c r="G484" s="15">
        <f>'단가대비표(총체)'!P128</f>
        <v>0</v>
      </c>
      <c r="H484" s="16">
        <f>TRUNC(G484*D484,1)</f>
        <v>0</v>
      </c>
      <c r="I484" s="15">
        <f>'단가대비표(총체)'!V128</f>
        <v>0</v>
      </c>
      <c r="J484" s="16">
        <f>TRUNC(I484*D484,1)</f>
        <v>0</v>
      </c>
      <c r="K484" s="15">
        <f t="shared" ref="K484:L487" si="109">TRUNC(E484+G484+I484,1)</f>
        <v>0</v>
      </c>
      <c r="L484" s="16">
        <f t="shared" si="109"/>
        <v>0</v>
      </c>
      <c r="M484" s="9" t="s">
        <v>52</v>
      </c>
      <c r="N484" s="2" t="s">
        <v>393</v>
      </c>
      <c r="O484" s="2" t="s">
        <v>1541</v>
      </c>
      <c r="P484" s="2" t="s">
        <v>61</v>
      </c>
      <c r="Q484" s="2" t="s">
        <v>61</v>
      </c>
      <c r="R484" s="2" t="s">
        <v>60</v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2" t="s">
        <v>52</v>
      </c>
      <c r="AW484" s="2" t="s">
        <v>1557</v>
      </c>
      <c r="AX484" s="2" t="s">
        <v>52</v>
      </c>
      <c r="AY484" s="2" t="s">
        <v>52</v>
      </c>
    </row>
    <row r="485" spans="1:51" ht="30" customHeight="1" x14ac:dyDescent="0.3">
      <c r="A485" s="9" t="s">
        <v>402</v>
      </c>
      <c r="B485" s="9" t="s">
        <v>1558</v>
      </c>
      <c r="C485" s="9" t="s">
        <v>68</v>
      </c>
      <c r="D485" s="10">
        <v>1</v>
      </c>
      <c r="E485" s="15">
        <f>'일위대가목록(총체)'!E181</f>
        <v>0</v>
      </c>
      <c r="F485" s="16">
        <f>TRUNC(E485*D485,1)</f>
        <v>0</v>
      </c>
      <c r="G485" s="15">
        <f>'일위대가목록(총체)'!F181</f>
        <v>0</v>
      </c>
      <c r="H485" s="16">
        <f>TRUNC(G485*D485,1)</f>
        <v>0</v>
      </c>
      <c r="I485" s="15">
        <f>'일위대가목록(총체)'!G181</f>
        <v>0</v>
      </c>
      <c r="J485" s="16">
        <f>TRUNC(I485*D485,1)</f>
        <v>0</v>
      </c>
      <c r="K485" s="15">
        <f t="shared" si="109"/>
        <v>0</v>
      </c>
      <c r="L485" s="16">
        <f t="shared" si="109"/>
        <v>0</v>
      </c>
      <c r="M485" s="9" t="s">
        <v>52</v>
      </c>
      <c r="N485" s="2" t="s">
        <v>393</v>
      </c>
      <c r="O485" s="2" t="s">
        <v>1559</v>
      </c>
      <c r="P485" s="2" t="s">
        <v>60</v>
      </c>
      <c r="Q485" s="2" t="s">
        <v>61</v>
      </c>
      <c r="R485" s="2" t="s">
        <v>61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2" t="s">
        <v>52</v>
      </c>
      <c r="AW485" s="2" t="s">
        <v>1560</v>
      </c>
      <c r="AX485" s="2" t="s">
        <v>52</v>
      </c>
      <c r="AY485" s="2" t="s">
        <v>52</v>
      </c>
    </row>
    <row r="486" spans="1:51" ht="30" customHeight="1" x14ac:dyDescent="0.3">
      <c r="A486" s="9" t="s">
        <v>1543</v>
      </c>
      <c r="B486" s="9" t="s">
        <v>1544</v>
      </c>
      <c r="C486" s="9" t="s">
        <v>923</v>
      </c>
      <c r="D486" s="10">
        <v>8.0000000000000002E-3</v>
      </c>
      <c r="E486" s="15">
        <f>'단가대비표(총체)'!O130</f>
        <v>0</v>
      </c>
      <c r="F486" s="16">
        <f>TRUNC(E486*D486,1)</f>
        <v>0</v>
      </c>
      <c r="G486" s="15">
        <f>'단가대비표(총체)'!P130</f>
        <v>0</v>
      </c>
      <c r="H486" s="16">
        <f>TRUNC(G486*D486,1)</f>
        <v>0</v>
      </c>
      <c r="I486" s="15">
        <f>'단가대비표(총체)'!V130</f>
        <v>0</v>
      </c>
      <c r="J486" s="16">
        <f>TRUNC(I486*D486,1)</f>
        <v>0</v>
      </c>
      <c r="K486" s="15">
        <f t="shared" si="109"/>
        <v>0</v>
      </c>
      <c r="L486" s="16">
        <f t="shared" si="109"/>
        <v>0</v>
      </c>
      <c r="M486" s="9" t="s">
        <v>52</v>
      </c>
      <c r="N486" s="2" t="s">
        <v>393</v>
      </c>
      <c r="O486" s="2" t="s">
        <v>1545</v>
      </c>
      <c r="P486" s="2" t="s">
        <v>61</v>
      </c>
      <c r="Q486" s="2" t="s">
        <v>61</v>
      </c>
      <c r="R486" s="2" t="s">
        <v>60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2" t="s">
        <v>52</v>
      </c>
      <c r="AW486" s="2" t="s">
        <v>1561</v>
      </c>
      <c r="AX486" s="2" t="s">
        <v>52</v>
      </c>
      <c r="AY486" s="2" t="s">
        <v>52</v>
      </c>
    </row>
    <row r="487" spans="1:51" ht="30" customHeight="1" x14ac:dyDescent="0.3">
      <c r="A487" s="9" t="s">
        <v>1562</v>
      </c>
      <c r="B487" s="9" t="s">
        <v>1563</v>
      </c>
      <c r="C487" s="9" t="s">
        <v>68</v>
      </c>
      <c r="D487" s="10">
        <v>1</v>
      </c>
      <c r="E487" s="15">
        <f>'일위대가목록(총체)'!E182</f>
        <v>0</v>
      </c>
      <c r="F487" s="16">
        <f>TRUNC(E487*D487,1)</f>
        <v>0</v>
      </c>
      <c r="G487" s="15">
        <f>'일위대가목록(총체)'!F182</f>
        <v>0</v>
      </c>
      <c r="H487" s="16">
        <f>TRUNC(G487*D487,1)</f>
        <v>0</v>
      </c>
      <c r="I487" s="15">
        <f>'일위대가목록(총체)'!G182</f>
        <v>0</v>
      </c>
      <c r="J487" s="16">
        <f>TRUNC(I487*D487,1)</f>
        <v>0</v>
      </c>
      <c r="K487" s="15">
        <f t="shared" si="109"/>
        <v>0</v>
      </c>
      <c r="L487" s="16">
        <f t="shared" si="109"/>
        <v>0</v>
      </c>
      <c r="M487" s="9" t="s">
        <v>52</v>
      </c>
      <c r="N487" s="2" t="s">
        <v>393</v>
      </c>
      <c r="O487" s="2" t="s">
        <v>1564</v>
      </c>
      <c r="P487" s="2" t="s">
        <v>60</v>
      </c>
      <c r="Q487" s="2" t="s">
        <v>61</v>
      </c>
      <c r="R487" s="2" t="s">
        <v>61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2" t="s">
        <v>52</v>
      </c>
      <c r="AW487" s="2" t="s">
        <v>1565</v>
      </c>
      <c r="AX487" s="2" t="s">
        <v>52</v>
      </c>
      <c r="AY487" s="2" t="s">
        <v>52</v>
      </c>
    </row>
    <row r="488" spans="1:51" ht="30" customHeight="1" x14ac:dyDescent="0.3">
      <c r="A488" s="9" t="s">
        <v>811</v>
      </c>
      <c r="B488" s="9" t="s">
        <v>52</v>
      </c>
      <c r="C488" s="9" t="s">
        <v>52</v>
      </c>
      <c r="D488" s="10"/>
      <c r="E488" s="15"/>
      <c r="F488" s="16">
        <f>TRUNC(SUMIF(N484:N487, N483, F484:F487),0)</f>
        <v>0</v>
      </c>
      <c r="G488" s="15"/>
      <c r="H488" s="16">
        <f>TRUNC(SUMIF(N484:N487, N483, H484:H487),0)</f>
        <v>0</v>
      </c>
      <c r="I488" s="15"/>
      <c r="J488" s="16">
        <f>TRUNC(SUMIF(N484:N487, N483, J484:J487),0)</f>
        <v>0</v>
      </c>
      <c r="K488" s="15"/>
      <c r="L488" s="16">
        <f>F488+H488+J488</f>
        <v>0</v>
      </c>
      <c r="M488" s="9" t="s">
        <v>52</v>
      </c>
      <c r="N488" s="2" t="s">
        <v>94</v>
      </c>
      <c r="O488" s="2" t="s">
        <v>94</v>
      </c>
      <c r="P488" s="2" t="s">
        <v>52</v>
      </c>
      <c r="Q488" s="2" t="s">
        <v>52</v>
      </c>
      <c r="R488" s="2" t="s">
        <v>52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2" t="s">
        <v>52</v>
      </c>
      <c r="AW488" s="2" t="s">
        <v>52</v>
      </c>
      <c r="AX488" s="2" t="s">
        <v>52</v>
      </c>
      <c r="AY488" s="2" t="s">
        <v>52</v>
      </c>
    </row>
    <row r="489" spans="1:51" ht="30" customHeight="1" x14ac:dyDescent="0.3">
      <c r="A489" s="10"/>
      <c r="B489" s="10"/>
      <c r="C489" s="10"/>
      <c r="D489" s="10"/>
      <c r="E489" s="15"/>
      <c r="F489" s="16"/>
      <c r="G489" s="15"/>
      <c r="H489" s="16"/>
      <c r="I489" s="15"/>
      <c r="J489" s="16"/>
      <c r="K489" s="15"/>
      <c r="L489" s="16"/>
      <c r="M489" s="10"/>
    </row>
    <row r="490" spans="1:51" ht="30" customHeight="1" x14ac:dyDescent="0.3">
      <c r="A490" s="44" t="s">
        <v>1566</v>
      </c>
      <c r="B490" s="44"/>
      <c r="C490" s="44"/>
      <c r="D490" s="44"/>
      <c r="E490" s="45"/>
      <c r="F490" s="46"/>
      <c r="G490" s="45"/>
      <c r="H490" s="46"/>
      <c r="I490" s="45"/>
      <c r="J490" s="46"/>
      <c r="K490" s="45"/>
      <c r="L490" s="46"/>
      <c r="M490" s="44"/>
      <c r="N490" s="1" t="s">
        <v>397</v>
      </c>
    </row>
    <row r="491" spans="1:51" ht="30" customHeight="1" x14ac:dyDescent="0.3">
      <c r="A491" s="9" t="s">
        <v>1568</v>
      </c>
      <c r="B491" s="9" t="s">
        <v>1569</v>
      </c>
      <c r="C491" s="9" t="s">
        <v>923</v>
      </c>
      <c r="D491" s="10">
        <v>0.19700000000000001</v>
      </c>
      <c r="E491" s="15">
        <f>'단가대비표(총체)'!O127</f>
        <v>0</v>
      </c>
      <c r="F491" s="16">
        <f>TRUNC(E491*D491,1)</f>
        <v>0</v>
      </c>
      <c r="G491" s="15">
        <f>'단가대비표(총체)'!P127</f>
        <v>0</v>
      </c>
      <c r="H491" s="16">
        <f>TRUNC(G491*D491,1)</f>
        <v>0</v>
      </c>
      <c r="I491" s="15">
        <f>'단가대비표(총체)'!V127</f>
        <v>0</v>
      </c>
      <c r="J491" s="16">
        <f>TRUNC(I491*D491,1)</f>
        <v>0</v>
      </c>
      <c r="K491" s="15">
        <f t="shared" ref="K491:L493" si="110">TRUNC(E491+G491+I491,1)</f>
        <v>0</v>
      </c>
      <c r="L491" s="16">
        <f t="shared" si="110"/>
        <v>0</v>
      </c>
      <c r="M491" s="9" t="s">
        <v>52</v>
      </c>
      <c r="N491" s="2" t="s">
        <v>397</v>
      </c>
      <c r="O491" s="2" t="s">
        <v>1570</v>
      </c>
      <c r="P491" s="2" t="s">
        <v>61</v>
      </c>
      <c r="Q491" s="2" t="s">
        <v>61</v>
      </c>
      <c r="R491" s="2" t="s">
        <v>60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2" t="s">
        <v>52</v>
      </c>
      <c r="AW491" s="2" t="s">
        <v>1571</v>
      </c>
      <c r="AX491" s="2" t="s">
        <v>52</v>
      </c>
      <c r="AY491" s="2" t="s">
        <v>52</v>
      </c>
    </row>
    <row r="492" spans="1:51" ht="30" customHeight="1" x14ac:dyDescent="0.3">
      <c r="A492" s="9" t="s">
        <v>402</v>
      </c>
      <c r="B492" s="9" t="s">
        <v>1558</v>
      </c>
      <c r="C492" s="9" t="s">
        <v>68</v>
      </c>
      <c r="D492" s="10">
        <v>1</v>
      </c>
      <c r="E492" s="15">
        <f>'일위대가목록(총체)'!E181</f>
        <v>0</v>
      </c>
      <c r="F492" s="16">
        <f>TRUNC(E492*D492,1)</f>
        <v>0</v>
      </c>
      <c r="G492" s="15">
        <f>'일위대가목록(총체)'!F181</f>
        <v>0</v>
      </c>
      <c r="H492" s="16">
        <f>TRUNC(G492*D492,1)</f>
        <v>0</v>
      </c>
      <c r="I492" s="15">
        <f>'일위대가목록(총체)'!G181</f>
        <v>0</v>
      </c>
      <c r="J492" s="16">
        <f>TRUNC(I492*D492,1)</f>
        <v>0</v>
      </c>
      <c r="K492" s="15">
        <f t="shared" si="110"/>
        <v>0</v>
      </c>
      <c r="L492" s="16">
        <f t="shared" si="110"/>
        <v>0</v>
      </c>
      <c r="M492" s="9" t="s">
        <v>52</v>
      </c>
      <c r="N492" s="2" t="s">
        <v>397</v>
      </c>
      <c r="O492" s="2" t="s">
        <v>1559</v>
      </c>
      <c r="P492" s="2" t="s">
        <v>60</v>
      </c>
      <c r="Q492" s="2" t="s">
        <v>61</v>
      </c>
      <c r="R492" s="2" t="s">
        <v>61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2" t="s">
        <v>52</v>
      </c>
      <c r="AW492" s="2" t="s">
        <v>1572</v>
      </c>
      <c r="AX492" s="2" t="s">
        <v>52</v>
      </c>
      <c r="AY492" s="2" t="s">
        <v>52</v>
      </c>
    </row>
    <row r="493" spans="1:51" ht="30" customHeight="1" x14ac:dyDescent="0.3">
      <c r="A493" s="9" t="s">
        <v>1573</v>
      </c>
      <c r="B493" s="9" t="s">
        <v>1574</v>
      </c>
      <c r="C493" s="9" t="s">
        <v>68</v>
      </c>
      <c r="D493" s="10">
        <v>1</v>
      </c>
      <c r="E493" s="15">
        <f>'일위대가목록(총체)'!E183</f>
        <v>0</v>
      </c>
      <c r="F493" s="16">
        <f>TRUNC(E493*D493,1)</f>
        <v>0</v>
      </c>
      <c r="G493" s="15">
        <f>'일위대가목록(총체)'!F183</f>
        <v>0</v>
      </c>
      <c r="H493" s="16">
        <f>TRUNC(G493*D493,1)</f>
        <v>0</v>
      </c>
      <c r="I493" s="15">
        <f>'일위대가목록(총체)'!G183</f>
        <v>0</v>
      </c>
      <c r="J493" s="16">
        <f>TRUNC(I493*D493,1)</f>
        <v>0</v>
      </c>
      <c r="K493" s="15">
        <f t="shared" si="110"/>
        <v>0</v>
      </c>
      <c r="L493" s="16">
        <f t="shared" si="110"/>
        <v>0</v>
      </c>
      <c r="M493" s="9" t="s">
        <v>52</v>
      </c>
      <c r="N493" s="2" t="s">
        <v>397</v>
      </c>
      <c r="O493" s="2" t="s">
        <v>1575</v>
      </c>
      <c r="P493" s="2" t="s">
        <v>60</v>
      </c>
      <c r="Q493" s="2" t="s">
        <v>61</v>
      </c>
      <c r="R493" s="2" t="s">
        <v>61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2" t="s">
        <v>52</v>
      </c>
      <c r="AW493" s="2" t="s">
        <v>1576</v>
      </c>
      <c r="AX493" s="2" t="s">
        <v>52</v>
      </c>
      <c r="AY493" s="2" t="s">
        <v>52</v>
      </c>
    </row>
    <row r="494" spans="1:51" ht="30" customHeight="1" x14ac:dyDescent="0.3">
      <c r="A494" s="9" t="s">
        <v>811</v>
      </c>
      <c r="B494" s="9" t="s">
        <v>52</v>
      </c>
      <c r="C494" s="9" t="s">
        <v>52</v>
      </c>
      <c r="D494" s="10"/>
      <c r="E494" s="15"/>
      <c r="F494" s="16">
        <f>TRUNC(SUMIF(N491:N493, N490, F491:F493),0)</f>
        <v>0</v>
      </c>
      <c r="G494" s="15"/>
      <c r="H494" s="16">
        <f>TRUNC(SUMIF(N491:N493, N490, H491:H493),0)</f>
        <v>0</v>
      </c>
      <c r="I494" s="15"/>
      <c r="J494" s="16">
        <f>TRUNC(SUMIF(N491:N493, N490, J491:J493),0)</f>
        <v>0</v>
      </c>
      <c r="K494" s="15"/>
      <c r="L494" s="16">
        <f>F494+H494+J494</f>
        <v>0</v>
      </c>
      <c r="M494" s="9" t="s">
        <v>52</v>
      </c>
      <c r="N494" s="2" t="s">
        <v>94</v>
      </c>
      <c r="O494" s="2" t="s">
        <v>94</v>
      </c>
      <c r="P494" s="2" t="s">
        <v>52</v>
      </c>
      <c r="Q494" s="2" t="s">
        <v>52</v>
      </c>
      <c r="R494" s="2" t="s">
        <v>52</v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2" t="s">
        <v>52</v>
      </c>
      <c r="AW494" s="2" t="s">
        <v>52</v>
      </c>
      <c r="AX494" s="2" t="s">
        <v>52</v>
      </c>
      <c r="AY494" s="2" t="s">
        <v>52</v>
      </c>
    </row>
    <row r="495" spans="1:51" ht="30" customHeight="1" x14ac:dyDescent="0.3">
      <c r="A495" s="10"/>
      <c r="B495" s="10"/>
      <c r="C495" s="10"/>
      <c r="D495" s="10"/>
      <c r="E495" s="15"/>
      <c r="F495" s="16"/>
      <c r="G495" s="15"/>
      <c r="H495" s="16"/>
      <c r="I495" s="15"/>
      <c r="J495" s="16"/>
      <c r="K495" s="15"/>
      <c r="L495" s="16"/>
      <c r="M495" s="10"/>
    </row>
    <row r="496" spans="1:51" ht="30" customHeight="1" x14ac:dyDescent="0.3">
      <c r="A496" s="44" t="s">
        <v>1577</v>
      </c>
      <c r="B496" s="44"/>
      <c r="C496" s="44"/>
      <c r="D496" s="44"/>
      <c r="E496" s="45"/>
      <c r="F496" s="46"/>
      <c r="G496" s="45"/>
      <c r="H496" s="46"/>
      <c r="I496" s="45"/>
      <c r="J496" s="46"/>
      <c r="K496" s="45"/>
      <c r="L496" s="46"/>
      <c r="M496" s="44"/>
      <c r="N496" s="1" t="s">
        <v>400</v>
      </c>
    </row>
    <row r="497" spans="1:51" ht="30" customHeight="1" x14ac:dyDescent="0.3">
      <c r="A497" s="9" t="s">
        <v>1568</v>
      </c>
      <c r="B497" s="9" t="s">
        <v>1569</v>
      </c>
      <c r="C497" s="9" t="s">
        <v>923</v>
      </c>
      <c r="D497" s="10">
        <v>0.19700000000000001</v>
      </c>
      <c r="E497" s="15">
        <f>'단가대비표(총체)'!O127</f>
        <v>0</v>
      </c>
      <c r="F497" s="16">
        <f>TRUNC(E497*D497,1)</f>
        <v>0</v>
      </c>
      <c r="G497" s="15">
        <f>'단가대비표(총체)'!P127</f>
        <v>0</v>
      </c>
      <c r="H497" s="16">
        <f>TRUNC(G497*D497,1)</f>
        <v>0</v>
      </c>
      <c r="I497" s="15">
        <f>'단가대비표(총체)'!V127</f>
        <v>0</v>
      </c>
      <c r="J497" s="16">
        <f>TRUNC(I497*D497,1)</f>
        <v>0</v>
      </c>
      <c r="K497" s="15">
        <f t="shared" ref="K497:L499" si="111">TRUNC(E497+G497+I497,1)</f>
        <v>0</v>
      </c>
      <c r="L497" s="16">
        <f t="shared" si="111"/>
        <v>0</v>
      </c>
      <c r="M497" s="9" t="s">
        <v>52</v>
      </c>
      <c r="N497" s="2" t="s">
        <v>400</v>
      </c>
      <c r="O497" s="2" t="s">
        <v>1570</v>
      </c>
      <c r="P497" s="2" t="s">
        <v>61</v>
      </c>
      <c r="Q497" s="2" t="s">
        <v>61</v>
      </c>
      <c r="R497" s="2" t="s">
        <v>60</v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2" t="s">
        <v>52</v>
      </c>
      <c r="AW497" s="2" t="s">
        <v>1579</v>
      </c>
      <c r="AX497" s="2" t="s">
        <v>52</v>
      </c>
      <c r="AY497" s="2" t="s">
        <v>52</v>
      </c>
    </row>
    <row r="498" spans="1:51" ht="30" customHeight="1" x14ac:dyDescent="0.3">
      <c r="A498" s="9" t="s">
        <v>402</v>
      </c>
      <c r="B498" s="9" t="s">
        <v>1558</v>
      </c>
      <c r="C498" s="9" t="s">
        <v>68</v>
      </c>
      <c r="D498" s="10">
        <v>1</v>
      </c>
      <c r="E498" s="15">
        <f>'일위대가목록(총체)'!E181</f>
        <v>0</v>
      </c>
      <c r="F498" s="16">
        <f>TRUNC(E498*D498,1)</f>
        <v>0</v>
      </c>
      <c r="G498" s="15">
        <f>'일위대가목록(총체)'!F181</f>
        <v>0</v>
      </c>
      <c r="H498" s="16">
        <f>TRUNC(G498*D498,1)</f>
        <v>0</v>
      </c>
      <c r="I498" s="15">
        <f>'일위대가목록(총체)'!G181</f>
        <v>0</v>
      </c>
      <c r="J498" s="16">
        <f>TRUNC(I498*D498,1)</f>
        <v>0</v>
      </c>
      <c r="K498" s="15">
        <f t="shared" si="111"/>
        <v>0</v>
      </c>
      <c r="L498" s="16">
        <f t="shared" si="111"/>
        <v>0</v>
      </c>
      <c r="M498" s="9" t="s">
        <v>52</v>
      </c>
      <c r="N498" s="2" t="s">
        <v>400</v>
      </c>
      <c r="O498" s="2" t="s">
        <v>1559</v>
      </c>
      <c r="P498" s="2" t="s">
        <v>60</v>
      </c>
      <c r="Q498" s="2" t="s">
        <v>61</v>
      </c>
      <c r="R498" s="2" t="s">
        <v>61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2" t="s">
        <v>52</v>
      </c>
      <c r="AW498" s="2" t="s">
        <v>1580</v>
      </c>
      <c r="AX498" s="2" t="s">
        <v>52</v>
      </c>
      <c r="AY498" s="2" t="s">
        <v>52</v>
      </c>
    </row>
    <row r="499" spans="1:51" ht="30" customHeight="1" x14ac:dyDescent="0.3">
      <c r="A499" s="9" t="s">
        <v>1573</v>
      </c>
      <c r="B499" s="9" t="s">
        <v>1574</v>
      </c>
      <c r="C499" s="9" t="s">
        <v>68</v>
      </c>
      <c r="D499" s="10">
        <v>1</v>
      </c>
      <c r="E499" s="15">
        <f>'일위대가목록(총체)'!E183</f>
        <v>0</v>
      </c>
      <c r="F499" s="16">
        <f>TRUNC(E499*D499,1)</f>
        <v>0</v>
      </c>
      <c r="G499" s="15">
        <f>'일위대가목록(총체)'!F183</f>
        <v>0</v>
      </c>
      <c r="H499" s="16">
        <f>TRUNC(G499*D499,1)</f>
        <v>0</v>
      </c>
      <c r="I499" s="15">
        <f>'일위대가목록(총체)'!G183</f>
        <v>0</v>
      </c>
      <c r="J499" s="16">
        <f>TRUNC(I499*D499,1)</f>
        <v>0</v>
      </c>
      <c r="K499" s="15">
        <f t="shared" si="111"/>
        <v>0</v>
      </c>
      <c r="L499" s="16">
        <f t="shared" si="111"/>
        <v>0</v>
      </c>
      <c r="M499" s="9" t="s">
        <v>52</v>
      </c>
      <c r="N499" s="2" t="s">
        <v>400</v>
      </c>
      <c r="O499" s="2" t="s">
        <v>1575</v>
      </c>
      <c r="P499" s="2" t="s">
        <v>60</v>
      </c>
      <c r="Q499" s="2" t="s">
        <v>61</v>
      </c>
      <c r="R499" s="2" t="s">
        <v>61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2" t="s">
        <v>52</v>
      </c>
      <c r="AW499" s="2" t="s">
        <v>1581</v>
      </c>
      <c r="AX499" s="2" t="s">
        <v>52</v>
      </c>
      <c r="AY499" s="2" t="s">
        <v>52</v>
      </c>
    </row>
    <row r="500" spans="1:51" ht="30" customHeight="1" x14ac:dyDescent="0.3">
      <c r="A500" s="9" t="s">
        <v>811</v>
      </c>
      <c r="B500" s="9" t="s">
        <v>52</v>
      </c>
      <c r="C500" s="9" t="s">
        <v>52</v>
      </c>
      <c r="D500" s="10"/>
      <c r="E500" s="15"/>
      <c r="F500" s="16">
        <f>TRUNC(SUMIF(N497:N499, N496, F497:F499),0)</f>
        <v>0</v>
      </c>
      <c r="G500" s="15"/>
      <c r="H500" s="16">
        <f>TRUNC(SUMIF(N497:N499, N496, H497:H499),0)</f>
        <v>0</v>
      </c>
      <c r="I500" s="15"/>
      <c r="J500" s="16">
        <f>TRUNC(SUMIF(N497:N499, N496, J497:J499),0)</f>
        <v>0</v>
      </c>
      <c r="K500" s="15"/>
      <c r="L500" s="16">
        <f>F500+H500+J500</f>
        <v>0</v>
      </c>
      <c r="M500" s="9" t="s">
        <v>52</v>
      </c>
      <c r="N500" s="2" t="s">
        <v>94</v>
      </c>
      <c r="O500" s="2" t="s">
        <v>94</v>
      </c>
      <c r="P500" s="2" t="s">
        <v>52</v>
      </c>
      <c r="Q500" s="2" t="s">
        <v>52</v>
      </c>
      <c r="R500" s="2" t="s">
        <v>52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2" t="s">
        <v>52</v>
      </c>
      <c r="AW500" s="2" t="s">
        <v>52</v>
      </c>
      <c r="AX500" s="2" t="s">
        <v>52</v>
      </c>
      <c r="AY500" s="2" t="s">
        <v>52</v>
      </c>
    </row>
    <row r="501" spans="1:51" ht="30" customHeight="1" x14ac:dyDescent="0.3">
      <c r="A501" s="10"/>
      <c r="B501" s="10"/>
      <c r="C501" s="10"/>
      <c r="D501" s="10"/>
      <c r="E501" s="15"/>
      <c r="F501" s="16"/>
      <c r="G501" s="15"/>
      <c r="H501" s="16"/>
      <c r="I501" s="15"/>
      <c r="J501" s="16"/>
      <c r="K501" s="15"/>
      <c r="L501" s="16"/>
      <c r="M501" s="10"/>
    </row>
    <row r="502" spans="1:51" ht="30" customHeight="1" x14ac:dyDescent="0.3">
      <c r="A502" s="44" t="s">
        <v>1582</v>
      </c>
      <c r="B502" s="44"/>
      <c r="C502" s="44"/>
      <c r="D502" s="44"/>
      <c r="E502" s="45"/>
      <c r="F502" s="46"/>
      <c r="G502" s="45"/>
      <c r="H502" s="46"/>
      <c r="I502" s="45"/>
      <c r="J502" s="46"/>
      <c r="K502" s="45"/>
      <c r="L502" s="46"/>
      <c r="M502" s="44"/>
      <c r="N502" s="1" t="s">
        <v>404</v>
      </c>
    </row>
    <row r="503" spans="1:51" ht="30" customHeight="1" x14ac:dyDescent="0.3">
      <c r="A503" s="9" t="s">
        <v>1584</v>
      </c>
      <c r="B503" s="9" t="s">
        <v>822</v>
      </c>
      <c r="C503" s="9" t="s">
        <v>823</v>
      </c>
      <c r="D503" s="10">
        <v>0.01</v>
      </c>
      <c r="E503" s="15">
        <f>'단가대비표(총체)'!O194</f>
        <v>0</v>
      </c>
      <c r="F503" s="16">
        <f>TRUNC(E503*D503,1)</f>
        <v>0</v>
      </c>
      <c r="G503" s="15">
        <f>'단가대비표(총체)'!P194</f>
        <v>0</v>
      </c>
      <c r="H503" s="16">
        <f>TRUNC(G503*D503,1)</f>
        <v>0</v>
      </c>
      <c r="I503" s="15">
        <f>'단가대비표(총체)'!V194</f>
        <v>0</v>
      </c>
      <c r="J503" s="16">
        <f>TRUNC(I503*D503,1)</f>
        <v>0</v>
      </c>
      <c r="K503" s="15">
        <f t="shared" ref="K503:L506" si="112">TRUNC(E503+G503+I503,1)</f>
        <v>0</v>
      </c>
      <c r="L503" s="16">
        <f t="shared" si="112"/>
        <v>0</v>
      </c>
      <c r="M503" s="9" t="s">
        <v>52</v>
      </c>
      <c r="N503" s="2" t="s">
        <v>404</v>
      </c>
      <c r="O503" s="2" t="s">
        <v>1585</v>
      </c>
      <c r="P503" s="2" t="s">
        <v>61</v>
      </c>
      <c r="Q503" s="2" t="s">
        <v>61</v>
      </c>
      <c r="R503" s="2" t="s">
        <v>60</v>
      </c>
      <c r="S503" s="3"/>
      <c r="T503" s="3"/>
      <c r="U503" s="3"/>
      <c r="V503" s="3">
        <v>1</v>
      </c>
      <c r="W503" s="3">
        <v>2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2" t="s">
        <v>52</v>
      </c>
      <c r="AW503" s="2" t="s">
        <v>1586</v>
      </c>
      <c r="AX503" s="2" t="s">
        <v>52</v>
      </c>
      <c r="AY503" s="2" t="s">
        <v>52</v>
      </c>
    </row>
    <row r="504" spans="1:51" ht="30" customHeight="1" x14ac:dyDescent="0.3">
      <c r="A504" s="9" t="s">
        <v>821</v>
      </c>
      <c r="B504" s="9" t="s">
        <v>822</v>
      </c>
      <c r="C504" s="9" t="s">
        <v>823</v>
      </c>
      <c r="D504" s="10">
        <v>1E-3</v>
      </c>
      <c r="E504" s="15">
        <f>'단가대비표(총체)'!O180</f>
        <v>0</v>
      </c>
      <c r="F504" s="16">
        <f>TRUNC(E504*D504,1)</f>
        <v>0</v>
      </c>
      <c r="G504" s="15">
        <f>'단가대비표(총체)'!P180</f>
        <v>0</v>
      </c>
      <c r="H504" s="16">
        <f>TRUNC(G504*D504,1)</f>
        <v>0</v>
      </c>
      <c r="I504" s="15">
        <f>'단가대비표(총체)'!V180</f>
        <v>0</v>
      </c>
      <c r="J504" s="16">
        <f>TRUNC(I504*D504,1)</f>
        <v>0</v>
      </c>
      <c r="K504" s="15">
        <f t="shared" si="112"/>
        <v>0</v>
      </c>
      <c r="L504" s="16">
        <f t="shared" si="112"/>
        <v>0</v>
      </c>
      <c r="M504" s="9" t="s">
        <v>52</v>
      </c>
      <c r="N504" s="2" t="s">
        <v>404</v>
      </c>
      <c r="O504" s="2" t="s">
        <v>824</v>
      </c>
      <c r="P504" s="2" t="s">
        <v>61</v>
      </c>
      <c r="Q504" s="2" t="s">
        <v>61</v>
      </c>
      <c r="R504" s="2" t="s">
        <v>60</v>
      </c>
      <c r="S504" s="3"/>
      <c r="T504" s="3"/>
      <c r="U504" s="3"/>
      <c r="V504" s="3">
        <v>1</v>
      </c>
      <c r="W504" s="3">
        <v>2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2" t="s">
        <v>52</v>
      </c>
      <c r="AW504" s="2" t="s">
        <v>1587</v>
      </c>
      <c r="AX504" s="2" t="s">
        <v>52</v>
      </c>
      <c r="AY504" s="2" t="s">
        <v>52</v>
      </c>
    </row>
    <row r="505" spans="1:51" ht="30" customHeight="1" x14ac:dyDescent="0.3">
      <c r="A505" s="9" t="s">
        <v>1588</v>
      </c>
      <c r="B505" s="9" t="s">
        <v>875</v>
      </c>
      <c r="C505" s="9" t="s">
        <v>307</v>
      </c>
      <c r="D505" s="10">
        <v>1</v>
      </c>
      <c r="E505" s="15">
        <f>TRUNC(SUMIF(V503:V506, RIGHTB(O505, 1), H503:H506)*U505, 2)</f>
        <v>0</v>
      </c>
      <c r="F505" s="16">
        <f>TRUNC(E505*D505,1)</f>
        <v>0</v>
      </c>
      <c r="G505" s="15">
        <v>0</v>
      </c>
      <c r="H505" s="16">
        <f>TRUNC(G505*D505,1)</f>
        <v>0</v>
      </c>
      <c r="I505" s="15">
        <v>0</v>
      </c>
      <c r="J505" s="16">
        <f>TRUNC(I505*D505,1)</f>
        <v>0</v>
      </c>
      <c r="K505" s="15">
        <f t="shared" si="112"/>
        <v>0</v>
      </c>
      <c r="L505" s="16">
        <f t="shared" si="112"/>
        <v>0</v>
      </c>
      <c r="M505" s="9" t="s">
        <v>52</v>
      </c>
      <c r="N505" s="2" t="s">
        <v>404</v>
      </c>
      <c r="O505" s="2" t="s">
        <v>809</v>
      </c>
      <c r="P505" s="2" t="s">
        <v>61</v>
      </c>
      <c r="Q505" s="2" t="s">
        <v>61</v>
      </c>
      <c r="R505" s="2" t="s">
        <v>61</v>
      </c>
      <c r="S505" s="3">
        <v>1</v>
      </c>
      <c r="T505" s="3">
        <v>0</v>
      </c>
      <c r="U505" s="3">
        <v>0.03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2" t="s">
        <v>52</v>
      </c>
      <c r="AW505" s="2" t="s">
        <v>1589</v>
      </c>
      <c r="AX505" s="2" t="s">
        <v>52</v>
      </c>
      <c r="AY505" s="2" t="s">
        <v>52</v>
      </c>
    </row>
    <row r="506" spans="1:51" ht="30" customHeight="1" x14ac:dyDescent="0.3">
      <c r="A506" s="9" t="s">
        <v>1263</v>
      </c>
      <c r="B506" s="9" t="s">
        <v>1590</v>
      </c>
      <c r="C506" s="9" t="s">
        <v>307</v>
      </c>
      <c r="D506" s="10">
        <v>1</v>
      </c>
      <c r="E506" s="15">
        <v>0</v>
      </c>
      <c r="F506" s="16">
        <f>TRUNC(E506*D506,1)</f>
        <v>0</v>
      </c>
      <c r="G506" s="15">
        <f>TRUNC(SUMIF(W503:W506, RIGHTB(O506, 1), H503:H506)*U506, 2)</f>
        <v>0</v>
      </c>
      <c r="H506" s="16">
        <f>TRUNC(G506*D506,1)</f>
        <v>0</v>
      </c>
      <c r="I506" s="15">
        <v>0</v>
      </c>
      <c r="J506" s="16">
        <f>TRUNC(I506*D506,1)</f>
        <v>0</v>
      </c>
      <c r="K506" s="15">
        <f t="shared" si="112"/>
        <v>0</v>
      </c>
      <c r="L506" s="16">
        <f t="shared" si="112"/>
        <v>0</v>
      </c>
      <c r="M506" s="9" t="s">
        <v>52</v>
      </c>
      <c r="N506" s="2" t="s">
        <v>404</v>
      </c>
      <c r="O506" s="2" t="s">
        <v>877</v>
      </c>
      <c r="P506" s="2" t="s">
        <v>61</v>
      </c>
      <c r="Q506" s="2" t="s">
        <v>61</v>
      </c>
      <c r="R506" s="2" t="s">
        <v>61</v>
      </c>
      <c r="S506" s="3">
        <v>1</v>
      </c>
      <c r="T506" s="3">
        <v>1</v>
      </c>
      <c r="U506" s="3">
        <v>0.05</v>
      </c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2" t="s">
        <v>52</v>
      </c>
      <c r="AW506" s="2" t="s">
        <v>1591</v>
      </c>
      <c r="AX506" s="2" t="s">
        <v>52</v>
      </c>
      <c r="AY506" s="2" t="s">
        <v>52</v>
      </c>
    </row>
    <row r="507" spans="1:51" ht="30" customHeight="1" x14ac:dyDescent="0.3">
      <c r="A507" s="9" t="s">
        <v>811</v>
      </c>
      <c r="B507" s="9" t="s">
        <v>52</v>
      </c>
      <c r="C507" s="9" t="s">
        <v>52</v>
      </c>
      <c r="D507" s="10"/>
      <c r="E507" s="15"/>
      <c r="F507" s="16">
        <f>TRUNC(SUMIF(N503:N506, N502, F503:F506),0)</f>
        <v>0</v>
      </c>
      <c r="G507" s="15"/>
      <c r="H507" s="16">
        <f>TRUNC(SUMIF(N503:N506, N502, H503:H506),0)</f>
        <v>0</v>
      </c>
      <c r="I507" s="15"/>
      <c r="J507" s="16">
        <f>TRUNC(SUMIF(N503:N506, N502, J503:J506),0)</f>
        <v>0</v>
      </c>
      <c r="K507" s="15"/>
      <c r="L507" s="16">
        <f>F507+H507+J507</f>
        <v>0</v>
      </c>
      <c r="M507" s="9" t="s">
        <v>52</v>
      </c>
      <c r="N507" s="2" t="s">
        <v>94</v>
      </c>
      <c r="O507" s="2" t="s">
        <v>94</v>
      </c>
      <c r="P507" s="2" t="s">
        <v>52</v>
      </c>
      <c r="Q507" s="2" t="s">
        <v>52</v>
      </c>
      <c r="R507" s="2" t="s">
        <v>52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2" t="s">
        <v>52</v>
      </c>
      <c r="AW507" s="2" t="s">
        <v>52</v>
      </c>
      <c r="AX507" s="2" t="s">
        <v>52</v>
      </c>
      <c r="AY507" s="2" t="s">
        <v>52</v>
      </c>
    </row>
    <row r="508" spans="1:51" ht="30" customHeight="1" x14ac:dyDescent="0.3">
      <c r="A508" s="10"/>
      <c r="B508" s="10"/>
      <c r="C508" s="10"/>
      <c r="D508" s="10"/>
      <c r="E508" s="15"/>
      <c r="F508" s="16"/>
      <c r="G508" s="15"/>
      <c r="H508" s="16"/>
      <c r="I508" s="15"/>
      <c r="J508" s="16"/>
      <c r="K508" s="15"/>
      <c r="L508" s="16"/>
      <c r="M508" s="10"/>
    </row>
    <row r="509" spans="1:51" ht="30" customHeight="1" x14ac:dyDescent="0.3">
      <c r="A509" s="44" t="s">
        <v>1592</v>
      </c>
      <c r="B509" s="44"/>
      <c r="C509" s="44"/>
      <c r="D509" s="44"/>
      <c r="E509" s="45"/>
      <c r="F509" s="46"/>
      <c r="G509" s="45"/>
      <c r="H509" s="46"/>
      <c r="I509" s="45"/>
      <c r="J509" s="46"/>
      <c r="K509" s="45"/>
      <c r="L509" s="46"/>
      <c r="M509" s="44"/>
      <c r="N509" s="1" t="s">
        <v>411</v>
      </c>
    </row>
    <row r="510" spans="1:51" ht="30" customHeight="1" x14ac:dyDescent="0.3">
      <c r="A510" s="9" t="s">
        <v>1594</v>
      </c>
      <c r="B510" s="9" t="s">
        <v>1595</v>
      </c>
      <c r="C510" s="9" t="s">
        <v>73</v>
      </c>
      <c r="D510" s="10">
        <v>1</v>
      </c>
      <c r="E510" s="15">
        <f>'단가대비표(총체)'!O83</f>
        <v>0</v>
      </c>
      <c r="F510" s="16">
        <f>TRUNC(E510*D510,1)</f>
        <v>0</v>
      </c>
      <c r="G510" s="15">
        <f>'단가대비표(총체)'!P83</f>
        <v>0</v>
      </c>
      <c r="H510" s="16">
        <f>TRUNC(G510*D510,1)</f>
        <v>0</v>
      </c>
      <c r="I510" s="15">
        <f>'단가대비표(총체)'!V83</f>
        <v>0</v>
      </c>
      <c r="J510" s="16">
        <f>TRUNC(I510*D510,1)</f>
        <v>0</v>
      </c>
      <c r="K510" s="15">
        <f t="shared" ref="K510:L512" si="113">TRUNC(E510+G510+I510,1)</f>
        <v>0</v>
      </c>
      <c r="L510" s="16">
        <f t="shared" si="113"/>
        <v>0</v>
      </c>
      <c r="M510" s="9" t="s">
        <v>52</v>
      </c>
      <c r="N510" s="2" t="s">
        <v>411</v>
      </c>
      <c r="O510" s="2" t="s">
        <v>1596</v>
      </c>
      <c r="P510" s="2" t="s">
        <v>61</v>
      </c>
      <c r="Q510" s="2" t="s">
        <v>61</v>
      </c>
      <c r="R510" s="2" t="s">
        <v>60</v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2" t="s">
        <v>52</v>
      </c>
      <c r="AW510" s="2" t="s">
        <v>1597</v>
      </c>
      <c r="AX510" s="2" t="s">
        <v>52</v>
      </c>
      <c r="AY510" s="2" t="s">
        <v>52</v>
      </c>
    </row>
    <row r="511" spans="1:51" ht="30" customHeight="1" x14ac:dyDescent="0.3">
      <c r="A511" s="9" t="s">
        <v>1598</v>
      </c>
      <c r="B511" s="9" t="s">
        <v>822</v>
      </c>
      <c r="C511" s="9" t="s">
        <v>823</v>
      </c>
      <c r="D511" s="10">
        <v>0.27500000000000002</v>
      </c>
      <c r="E511" s="15">
        <f>'단가대비표(총체)'!O205</f>
        <v>0</v>
      </c>
      <c r="F511" s="16">
        <f>TRUNC(E511*D511,1)</f>
        <v>0</v>
      </c>
      <c r="G511" s="15">
        <f>'단가대비표(총체)'!P205</f>
        <v>0</v>
      </c>
      <c r="H511" s="16">
        <f>TRUNC(G511*D511,1)</f>
        <v>0</v>
      </c>
      <c r="I511" s="15">
        <f>'단가대비표(총체)'!V205</f>
        <v>0</v>
      </c>
      <c r="J511" s="16">
        <f>TRUNC(I511*D511,1)</f>
        <v>0</v>
      </c>
      <c r="K511" s="15">
        <f t="shared" si="113"/>
        <v>0</v>
      </c>
      <c r="L511" s="16">
        <f t="shared" si="113"/>
        <v>0</v>
      </c>
      <c r="M511" s="9" t="s">
        <v>52</v>
      </c>
      <c r="N511" s="2" t="s">
        <v>411</v>
      </c>
      <c r="O511" s="2" t="s">
        <v>1599</v>
      </c>
      <c r="P511" s="2" t="s">
        <v>61</v>
      </c>
      <c r="Q511" s="2" t="s">
        <v>61</v>
      </c>
      <c r="R511" s="2" t="s">
        <v>60</v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2" t="s">
        <v>52</v>
      </c>
      <c r="AW511" s="2" t="s">
        <v>1600</v>
      </c>
      <c r="AX511" s="2" t="s">
        <v>52</v>
      </c>
      <c r="AY511" s="2" t="s">
        <v>52</v>
      </c>
    </row>
    <row r="512" spans="1:51" ht="30" customHeight="1" x14ac:dyDescent="0.3">
      <c r="A512" s="9" t="s">
        <v>821</v>
      </c>
      <c r="B512" s="9" t="s">
        <v>822</v>
      </c>
      <c r="C512" s="9" t="s">
        <v>823</v>
      </c>
      <c r="D512" s="10">
        <v>6.5000000000000002E-2</v>
      </c>
      <c r="E512" s="15">
        <f>'단가대비표(총체)'!O180</f>
        <v>0</v>
      </c>
      <c r="F512" s="16">
        <f>TRUNC(E512*D512,1)</f>
        <v>0</v>
      </c>
      <c r="G512" s="15">
        <f>'단가대비표(총체)'!P180</f>
        <v>0</v>
      </c>
      <c r="H512" s="16">
        <f>TRUNC(G512*D512,1)</f>
        <v>0</v>
      </c>
      <c r="I512" s="15">
        <f>'단가대비표(총체)'!V180</f>
        <v>0</v>
      </c>
      <c r="J512" s="16">
        <f>TRUNC(I512*D512,1)</f>
        <v>0</v>
      </c>
      <c r="K512" s="15">
        <f t="shared" si="113"/>
        <v>0</v>
      </c>
      <c r="L512" s="16">
        <f t="shared" si="113"/>
        <v>0</v>
      </c>
      <c r="M512" s="9" t="s">
        <v>52</v>
      </c>
      <c r="N512" s="2" t="s">
        <v>411</v>
      </c>
      <c r="O512" s="2" t="s">
        <v>824</v>
      </c>
      <c r="P512" s="2" t="s">
        <v>61</v>
      </c>
      <c r="Q512" s="2" t="s">
        <v>61</v>
      </c>
      <c r="R512" s="2" t="s">
        <v>60</v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2" t="s">
        <v>52</v>
      </c>
      <c r="AW512" s="2" t="s">
        <v>1601</v>
      </c>
      <c r="AX512" s="2" t="s">
        <v>52</v>
      </c>
      <c r="AY512" s="2" t="s">
        <v>52</v>
      </c>
    </row>
    <row r="513" spans="1:51" ht="30" customHeight="1" x14ac:dyDescent="0.3">
      <c r="A513" s="9" t="s">
        <v>811</v>
      </c>
      <c r="B513" s="9" t="s">
        <v>52</v>
      </c>
      <c r="C513" s="9" t="s">
        <v>52</v>
      </c>
      <c r="D513" s="10"/>
      <c r="E513" s="15"/>
      <c r="F513" s="16">
        <f>TRUNC(SUMIF(N510:N512, N509, F510:F512),0)</f>
        <v>0</v>
      </c>
      <c r="G513" s="15"/>
      <c r="H513" s="16">
        <f>TRUNC(SUMIF(N510:N512, N509, H510:H512),0)</f>
        <v>0</v>
      </c>
      <c r="I513" s="15"/>
      <c r="J513" s="16">
        <f>TRUNC(SUMIF(N510:N512, N509, J510:J512),0)</f>
        <v>0</v>
      </c>
      <c r="K513" s="15"/>
      <c r="L513" s="16">
        <f>F513+H513+J513</f>
        <v>0</v>
      </c>
      <c r="M513" s="9" t="s">
        <v>52</v>
      </c>
      <c r="N513" s="2" t="s">
        <v>94</v>
      </c>
      <c r="O513" s="2" t="s">
        <v>94</v>
      </c>
      <c r="P513" s="2" t="s">
        <v>52</v>
      </c>
      <c r="Q513" s="2" t="s">
        <v>52</v>
      </c>
      <c r="R513" s="2" t="s">
        <v>52</v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2" t="s">
        <v>52</v>
      </c>
      <c r="AW513" s="2" t="s">
        <v>52</v>
      </c>
      <c r="AX513" s="2" t="s">
        <v>52</v>
      </c>
      <c r="AY513" s="2" t="s">
        <v>52</v>
      </c>
    </row>
    <row r="514" spans="1:51" ht="30" customHeight="1" x14ac:dyDescent="0.3">
      <c r="A514" s="10"/>
      <c r="B514" s="10"/>
      <c r="C514" s="10"/>
      <c r="D514" s="10"/>
      <c r="E514" s="15"/>
      <c r="F514" s="16"/>
      <c r="G514" s="15"/>
      <c r="H514" s="16"/>
      <c r="I514" s="15"/>
      <c r="J514" s="16"/>
      <c r="K514" s="15"/>
      <c r="L514" s="16"/>
      <c r="M514" s="10"/>
    </row>
    <row r="515" spans="1:51" ht="30" customHeight="1" x14ac:dyDescent="0.3">
      <c r="A515" s="44" t="s">
        <v>1602</v>
      </c>
      <c r="B515" s="44"/>
      <c r="C515" s="44"/>
      <c r="D515" s="44"/>
      <c r="E515" s="45"/>
      <c r="F515" s="46"/>
      <c r="G515" s="45"/>
      <c r="H515" s="46"/>
      <c r="I515" s="45"/>
      <c r="J515" s="46"/>
      <c r="K515" s="45"/>
      <c r="L515" s="46"/>
      <c r="M515" s="44"/>
      <c r="N515" s="1" t="s">
        <v>415</v>
      </c>
    </row>
    <row r="516" spans="1:51" ht="30" customHeight="1" x14ac:dyDescent="0.3">
      <c r="A516" s="9" t="s">
        <v>1604</v>
      </c>
      <c r="B516" s="9" t="s">
        <v>1605</v>
      </c>
      <c r="C516" s="9" t="s">
        <v>410</v>
      </c>
      <c r="D516" s="10">
        <v>1</v>
      </c>
      <c r="E516" s="15">
        <f>'단가대비표(총체)'!O84</f>
        <v>0</v>
      </c>
      <c r="F516" s="16">
        <f>TRUNC(E516*D516,1)</f>
        <v>0</v>
      </c>
      <c r="G516" s="15">
        <f>'단가대비표(총체)'!P84</f>
        <v>0</v>
      </c>
      <c r="H516" s="16">
        <f>TRUNC(G516*D516,1)</f>
        <v>0</v>
      </c>
      <c r="I516" s="15">
        <f>'단가대비표(총체)'!V84</f>
        <v>0</v>
      </c>
      <c r="J516" s="16">
        <f>TRUNC(I516*D516,1)</f>
        <v>0</v>
      </c>
      <c r="K516" s="15">
        <f t="shared" ref="K516:L518" si="114">TRUNC(E516+G516+I516,1)</f>
        <v>0</v>
      </c>
      <c r="L516" s="16">
        <f t="shared" si="114"/>
        <v>0</v>
      </c>
      <c r="M516" s="9" t="s">
        <v>52</v>
      </c>
      <c r="N516" s="2" t="s">
        <v>415</v>
      </c>
      <c r="O516" s="2" t="s">
        <v>1606</v>
      </c>
      <c r="P516" s="2" t="s">
        <v>61</v>
      </c>
      <c r="Q516" s="2" t="s">
        <v>61</v>
      </c>
      <c r="R516" s="2" t="s">
        <v>60</v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2" t="s">
        <v>52</v>
      </c>
      <c r="AW516" s="2" t="s">
        <v>1607</v>
      </c>
      <c r="AX516" s="2" t="s">
        <v>52</v>
      </c>
      <c r="AY516" s="2" t="s">
        <v>52</v>
      </c>
    </row>
    <row r="517" spans="1:51" ht="30" customHeight="1" x14ac:dyDescent="0.3">
      <c r="A517" s="9" t="s">
        <v>1598</v>
      </c>
      <c r="B517" s="9" t="s">
        <v>822</v>
      </c>
      <c r="C517" s="9" t="s">
        <v>823</v>
      </c>
      <c r="D517" s="10">
        <v>0.69399999999999995</v>
      </c>
      <c r="E517" s="15">
        <f>'단가대비표(총체)'!O205</f>
        <v>0</v>
      </c>
      <c r="F517" s="16">
        <f>TRUNC(E517*D517,1)</f>
        <v>0</v>
      </c>
      <c r="G517" s="15">
        <f>'단가대비표(총체)'!P205</f>
        <v>0</v>
      </c>
      <c r="H517" s="16">
        <f>TRUNC(G517*D517,1)</f>
        <v>0</v>
      </c>
      <c r="I517" s="15">
        <f>'단가대비표(총체)'!V205</f>
        <v>0</v>
      </c>
      <c r="J517" s="16">
        <f>TRUNC(I517*D517,1)</f>
        <v>0</v>
      </c>
      <c r="K517" s="15">
        <f t="shared" si="114"/>
        <v>0</v>
      </c>
      <c r="L517" s="16">
        <f t="shared" si="114"/>
        <v>0</v>
      </c>
      <c r="M517" s="9" t="s">
        <v>52</v>
      </c>
      <c r="N517" s="2" t="s">
        <v>415</v>
      </c>
      <c r="O517" s="2" t="s">
        <v>1599</v>
      </c>
      <c r="P517" s="2" t="s">
        <v>61</v>
      </c>
      <c r="Q517" s="2" t="s">
        <v>61</v>
      </c>
      <c r="R517" s="2" t="s">
        <v>60</v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2" t="s">
        <v>52</v>
      </c>
      <c r="AW517" s="2" t="s">
        <v>1608</v>
      </c>
      <c r="AX517" s="2" t="s">
        <v>52</v>
      </c>
      <c r="AY517" s="2" t="s">
        <v>52</v>
      </c>
    </row>
    <row r="518" spans="1:51" ht="30" customHeight="1" x14ac:dyDescent="0.3">
      <c r="A518" s="9" t="s">
        <v>821</v>
      </c>
      <c r="B518" s="9" t="s">
        <v>822</v>
      </c>
      <c r="C518" s="9" t="s">
        <v>823</v>
      </c>
      <c r="D518" s="10">
        <v>0.2</v>
      </c>
      <c r="E518" s="15">
        <f>'단가대비표(총체)'!O180</f>
        <v>0</v>
      </c>
      <c r="F518" s="16">
        <f>TRUNC(E518*D518,1)</f>
        <v>0</v>
      </c>
      <c r="G518" s="15">
        <f>'단가대비표(총체)'!P180</f>
        <v>0</v>
      </c>
      <c r="H518" s="16">
        <f>TRUNC(G518*D518,1)</f>
        <v>0</v>
      </c>
      <c r="I518" s="15">
        <f>'단가대비표(총체)'!V180</f>
        <v>0</v>
      </c>
      <c r="J518" s="16">
        <f>TRUNC(I518*D518,1)</f>
        <v>0</v>
      </c>
      <c r="K518" s="15">
        <f t="shared" si="114"/>
        <v>0</v>
      </c>
      <c r="L518" s="16">
        <f t="shared" si="114"/>
        <v>0</v>
      </c>
      <c r="M518" s="9" t="s">
        <v>52</v>
      </c>
      <c r="N518" s="2" t="s">
        <v>415</v>
      </c>
      <c r="O518" s="2" t="s">
        <v>824</v>
      </c>
      <c r="P518" s="2" t="s">
        <v>61</v>
      </c>
      <c r="Q518" s="2" t="s">
        <v>61</v>
      </c>
      <c r="R518" s="2" t="s">
        <v>60</v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2" t="s">
        <v>52</v>
      </c>
      <c r="AW518" s="2" t="s">
        <v>1609</v>
      </c>
      <c r="AX518" s="2" t="s">
        <v>52</v>
      </c>
      <c r="AY518" s="2" t="s">
        <v>52</v>
      </c>
    </row>
    <row r="519" spans="1:51" ht="30" customHeight="1" x14ac:dyDescent="0.3">
      <c r="A519" s="9" t="s">
        <v>811</v>
      </c>
      <c r="B519" s="9" t="s">
        <v>52</v>
      </c>
      <c r="C519" s="9" t="s">
        <v>52</v>
      </c>
      <c r="D519" s="10"/>
      <c r="E519" s="15"/>
      <c r="F519" s="16">
        <f>TRUNC(SUMIF(N516:N518, N515, F516:F518),0)</f>
        <v>0</v>
      </c>
      <c r="G519" s="15"/>
      <c r="H519" s="16">
        <f>TRUNC(SUMIF(N516:N518, N515, H516:H518),0)</f>
        <v>0</v>
      </c>
      <c r="I519" s="15"/>
      <c r="J519" s="16">
        <f>TRUNC(SUMIF(N516:N518, N515, J516:J518),0)</f>
        <v>0</v>
      </c>
      <c r="K519" s="15"/>
      <c r="L519" s="16">
        <f>F519+H519+J519</f>
        <v>0</v>
      </c>
      <c r="M519" s="9" t="s">
        <v>52</v>
      </c>
      <c r="N519" s="2" t="s">
        <v>94</v>
      </c>
      <c r="O519" s="2" t="s">
        <v>94</v>
      </c>
      <c r="P519" s="2" t="s">
        <v>52</v>
      </c>
      <c r="Q519" s="2" t="s">
        <v>52</v>
      </c>
      <c r="R519" s="2" t="s">
        <v>52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2" t="s">
        <v>52</v>
      </c>
      <c r="AW519" s="2" t="s">
        <v>52</v>
      </c>
      <c r="AX519" s="2" t="s">
        <v>52</v>
      </c>
      <c r="AY519" s="2" t="s">
        <v>52</v>
      </c>
    </row>
    <row r="520" spans="1:51" ht="30" customHeight="1" x14ac:dyDescent="0.3">
      <c r="A520" s="10"/>
      <c r="B520" s="10"/>
      <c r="C520" s="10"/>
      <c r="D520" s="10"/>
      <c r="E520" s="15"/>
      <c r="F520" s="16"/>
      <c r="G520" s="15"/>
      <c r="H520" s="16"/>
      <c r="I520" s="15"/>
      <c r="J520" s="16"/>
      <c r="K520" s="15"/>
      <c r="L520" s="16"/>
      <c r="M520" s="10"/>
    </row>
    <row r="521" spans="1:51" ht="30" customHeight="1" x14ac:dyDescent="0.3">
      <c r="A521" s="44" t="s">
        <v>1610</v>
      </c>
      <c r="B521" s="44"/>
      <c r="C521" s="44"/>
      <c r="D521" s="44"/>
      <c r="E521" s="45"/>
      <c r="F521" s="46"/>
      <c r="G521" s="45"/>
      <c r="H521" s="46"/>
      <c r="I521" s="45"/>
      <c r="J521" s="46"/>
      <c r="K521" s="45"/>
      <c r="L521" s="46"/>
      <c r="M521" s="44"/>
      <c r="N521" s="1" t="s">
        <v>419</v>
      </c>
    </row>
    <row r="522" spans="1:51" ht="30" customHeight="1" x14ac:dyDescent="0.3">
      <c r="A522" s="9" t="s">
        <v>1612</v>
      </c>
      <c r="B522" s="9" t="s">
        <v>1613</v>
      </c>
      <c r="C522" s="9" t="s">
        <v>410</v>
      </c>
      <c r="D522" s="10">
        <v>1</v>
      </c>
      <c r="E522" s="15">
        <f>'단가대비표(총체)'!O85</f>
        <v>0</v>
      </c>
      <c r="F522" s="16">
        <f>TRUNC(E522*D522,1)</f>
        <v>0</v>
      </c>
      <c r="G522" s="15">
        <f>'단가대비표(총체)'!P85</f>
        <v>0</v>
      </c>
      <c r="H522" s="16">
        <f>TRUNC(G522*D522,1)</f>
        <v>0</v>
      </c>
      <c r="I522" s="15">
        <f>'단가대비표(총체)'!V85</f>
        <v>0</v>
      </c>
      <c r="J522" s="16">
        <f>TRUNC(I522*D522,1)</f>
        <v>0</v>
      </c>
      <c r="K522" s="15">
        <f t="shared" ref="K522:L524" si="115">TRUNC(E522+G522+I522,1)</f>
        <v>0</v>
      </c>
      <c r="L522" s="16">
        <f t="shared" si="115"/>
        <v>0</v>
      </c>
      <c r="M522" s="9" t="s">
        <v>52</v>
      </c>
      <c r="N522" s="2" t="s">
        <v>419</v>
      </c>
      <c r="O522" s="2" t="s">
        <v>1614</v>
      </c>
      <c r="P522" s="2" t="s">
        <v>61</v>
      </c>
      <c r="Q522" s="2" t="s">
        <v>61</v>
      </c>
      <c r="R522" s="2" t="s">
        <v>60</v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2" t="s">
        <v>52</v>
      </c>
      <c r="AW522" s="2" t="s">
        <v>1615</v>
      </c>
      <c r="AX522" s="2" t="s">
        <v>52</v>
      </c>
      <c r="AY522" s="2" t="s">
        <v>52</v>
      </c>
    </row>
    <row r="523" spans="1:51" ht="30" customHeight="1" x14ac:dyDescent="0.3">
      <c r="A523" s="9" t="s">
        <v>1598</v>
      </c>
      <c r="B523" s="9" t="s">
        <v>822</v>
      </c>
      <c r="C523" s="9" t="s">
        <v>823</v>
      </c>
      <c r="D523" s="10">
        <v>0.79600000000000004</v>
      </c>
      <c r="E523" s="15">
        <f>'단가대비표(총체)'!O205</f>
        <v>0</v>
      </c>
      <c r="F523" s="16">
        <f>TRUNC(E523*D523,1)</f>
        <v>0</v>
      </c>
      <c r="G523" s="15">
        <f>'단가대비표(총체)'!P205</f>
        <v>0</v>
      </c>
      <c r="H523" s="16">
        <f>TRUNC(G523*D523,1)</f>
        <v>0</v>
      </c>
      <c r="I523" s="15">
        <f>'단가대비표(총체)'!V205</f>
        <v>0</v>
      </c>
      <c r="J523" s="16">
        <f>TRUNC(I523*D523,1)</f>
        <v>0</v>
      </c>
      <c r="K523" s="15">
        <f t="shared" si="115"/>
        <v>0</v>
      </c>
      <c r="L523" s="16">
        <f t="shared" si="115"/>
        <v>0</v>
      </c>
      <c r="M523" s="9" t="s">
        <v>52</v>
      </c>
      <c r="N523" s="2" t="s">
        <v>419</v>
      </c>
      <c r="O523" s="2" t="s">
        <v>1599</v>
      </c>
      <c r="P523" s="2" t="s">
        <v>61</v>
      </c>
      <c r="Q523" s="2" t="s">
        <v>61</v>
      </c>
      <c r="R523" s="2" t="s">
        <v>60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2" t="s">
        <v>52</v>
      </c>
      <c r="AW523" s="2" t="s">
        <v>1616</v>
      </c>
      <c r="AX523" s="2" t="s">
        <v>52</v>
      </c>
      <c r="AY523" s="2" t="s">
        <v>52</v>
      </c>
    </row>
    <row r="524" spans="1:51" ht="30" customHeight="1" x14ac:dyDescent="0.3">
      <c r="A524" s="9" t="s">
        <v>821</v>
      </c>
      <c r="B524" s="9" t="s">
        <v>822</v>
      </c>
      <c r="C524" s="9" t="s">
        <v>823</v>
      </c>
      <c r="D524" s="10">
        <v>0.24099999999999999</v>
      </c>
      <c r="E524" s="15">
        <f>'단가대비표(총체)'!O180</f>
        <v>0</v>
      </c>
      <c r="F524" s="16">
        <f>TRUNC(E524*D524,1)</f>
        <v>0</v>
      </c>
      <c r="G524" s="15">
        <f>'단가대비표(총체)'!P180</f>
        <v>0</v>
      </c>
      <c r="H524" s="16">
        <f>TRUNC(G524*D524,1)</f>
        <v>0</v>
      </c>
      <c r="I524" s="15">
        <f>'단가대비표(총체)'!V180</f>
        <v>0</v>
      </c>
      <c r="J524" s="16">
        <f>TRUNC(I524*D524,1)</f>
        <v>0</v>
      </c>
      <c r="K524" s="15">
        <f t="shared" si="115"/>
        <v>0</v>
      </c>
      <c r="L524" s="16">
        <f t="shared" si="115"/>
        <v>0</v>
      </c>
      <c r="M524" s="9" t="s">
        <v>52</v>
      </c>
      <c r="N524" s="2" t="s">
        <v>419</v>
      </c>
      <c r="O524" s="2" t="s">
        <v>824</v>
      </c>
      <c r="P524" s="2" t="s">
        <v>61</v>
      </c>
      <c r="Q524" s="2" t="s">
        <v>61</v>
      </c>
      <c r="R524" s="2" t="s">
        <v>60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2" t="s">
        <v>52</v>
      </c>
      <c r="AW524" s="2" t="s">
        <v>1617</v>
      </c>
      <c r="AX524" s="2" t="s">
        <v>52</v>
      </c>
      <c r="AY524" s="2" t="s">
        <v>52</v>
      </c>
    </row>
    <row r="525" spans="1:51" ht="30" customHeight="1" x14ac:dyDescent="0.3">
      <c r="A525" s="9" t="s">
        <v>811</v>
      </c>
      <c r="B525" s="9" t="s">
        <v>52</v>
      </c>
      <c r="C525" s="9" t="s">
        <v>52</v>
      </c>
      <c r="D525" s="10"/>
      <c r="E525" s="15"/>
      <c r="F525" s="16">
        <f>TRUNC(SUMIF(N522:N524, N521, F522:F524),0)</f>
        <v>0</v>
      </c>
      <c r="G525" s="15"/>
      <c r="H525" s="16">
        <f>TRUNC(SUMIF(N522:N524, N521, H522:H524),0)</f>
        <v>0</v>
      </c>
      <c r="I525" s="15"/>
      <c r="J525" s="16">
        <f>TRUNC(SUMIF(N522:N524, N521, J522:J524),0)</f>
        <v>0</v>
      </c>
      <c r="K525" s="15"/>
      <c r="L525" s="16">
        <f>F525+H525+J525</f>
        <v>0</v>
      </c>
      <c r="M525" s="9" t="s">
        <v>52</v>
      </c>
      <c r="N525" s="2" t="s">
        <v>94</v>
      </c>
      <c r="O525" s="2" t="s">
        <v>94</v>
      </c>
      <c r="P525" s="2" t="s">
        <v>52</v>
      </c>
      <c r="Q525" s="2" t="s">
        <v>52</v>
      </c>
      <c r="R525" s="2" t="s">
        <v>52</v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2" t="s">
        <v>52</v>
      </c>
      <c r="AW525" s="2" t="s">
        <v>52</v>
      </c>
      <c r="AX525" s="2" t="s">
        <v>52</v>
      </c>
      <c r="AY525" s="2" t="s">
        <v>52</v>
      </c>
    </row>
    <row r="526" spans="1:51" ht="30" customHeight="1" x14ac:dyDescent="0.3">
      <c r="A526" s="10"/>
      <c r="B526" s="10"/>
      <c r="C526" s="10"/>
      <c r="D526" s="10"/>
      <c r="E526" s="15"/>
      <c r="F526" s="16"/>
      <c r="G526" s="15"/>
      <c r="H526" s="16"/>
      <c r="I526" s="15"/>
      <c r="J526" s="16"/>
      <c r="K526" s="15"/>
      <c r="L526" s="16"/>
      <c r="M526" s="10"/>
    </row>
    <row r="527" spans="1:51" ht="30" customHeight="1" x14ac:dyDescent="0.3">
      <c r="A527" s="44" t="s">
        <v>1618</v>
      </c>
      <c r="B527" s="44"/>
      <c r="C527" s="44"/>
      <c r="D527" s="44"/>
      <c r="E527" s="45"/>
      <c r="F527" s="46"/>
      <c r="G527" s="45"/>
      <c r="H527" s="46"/>
      <c r="I527" s="45"/>
      <c r="J527" s="46"/>
      <c r="K527" s="45"/>
      <c r="L527" s="46"/>
      <c r="M527" s="44"/>
      <c r="N527" s="1" t="s">
        <v>423</v>
      </c>
    </row>
    <row r="528" spans="1:51" ht="30" customHeight="1" x14ac:dyDescent="0.3">
      <c r="A528" s="9" t="s">
        <v>1620</v>
      </c>
      <c r="B528" s="9" t="s">
        <v>1621</v>
      </c>
      <c r="C528" s="9" t="s">
        <v>410</v>
      </c>
      <c r="D528" s="10">
        <v>1</v>
      </c>
      <c r="E528" s="15">
        <f>'단가대비표(총체)'!O96</f>
        <v>0</v>
      </c>
      <c r="F528" s="16">
        <f>TRUNC(E528*D528,1)</f>
        <v>0</v>
      </c>
      <c r="G528" s="15">
        <f>'단가대비표(총체)'!P96</f>
        <v>0</v>
      </c>
      <c r="H528" s="16">
        <f>TRUNC(G528*D528,1)</f>
        <v>0</v>
      </c>
      <c r="I528" s="15">
        <f>'단가대비표(총체)'!V96</f>
        <v>0</v>
      </c>
      <c r="J528" s="16">
        <f>TRUNC(I528*D528,1)</f>
        <v>0</v>
      </c>
      <c r="K528" s="15">
        <f t="shared" ref="K528:L530" si="116">TRUNC(E528+G528+I528,1)</f>
        <v>0</v>
      </c>
      <c r="L528" s="16">
        <f t="shared" si="116"/>
        <v>0</v>
      </c>
      <c r="M528" s="9" t="s">
        <v>52</v>
      </c>
      <c r="N528" s="2" t="s">
        <v>423</v>
      </c>
      <c r="O528" s="2" t="s">
        <v>1622</v>
      </c>
      <c r="P528" s="2" t="s">
        <v>61</v>
      </c>
      <c r="Q528" s="2" t="s">
        <v>61</v>
      </c>
      <c r="R528" s="2" t="s">
        <v>60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2" t="s">
        <v>52</v>
      </c>
      <c r="AW528" s="2" t="s">
        <v>1623</v>
      </c>
      <c r="AX528" s="2" t="s">
        <v>52</v>
      </c>
      <c r="AY528" s="2" t="s">
        <v>52</v>
      </c>
    </row>
    <row r="529" spans="1:51" ht="30" customHeight="1" x14ac:dyDescent="0.3">
      <c r="A529" s="9" t="s">
        <v>1598</v>
      </c>
      <c r="B529" s="9" t="s">
        <v>822</v>
      </c>
      <c r="C529" s="9" t="s">
        <v>823</v>
      </c>
      <c r="D529" s="10">
        <v>0.25</v>
      </c>
      <c r="E529" s="15">
        <f>'단가대비표(총체)'!O205</f>
        <v>0</v>
      </c>
      <c r="F529" s="16">
        <f>TRUNC(E529*D529,1)</f>
        <v>0</v>
      </c>
      <c r="G529" s="15">
        <f>'단가대비표(총체)'!P205</f>
        <v>0</v>
      </c>
      <c r="H529" s="16">
        <f>TRUNC(G529*D529,1)</f>
        <v>0</v>
      </c>
      <c r="I529" s="15">
        <f>'단가대비표(총체)'!V205</f>
        <v>0</v>
      </c>
      <c r="J529" s="16">
        <f>TRUNC(I529*D529,1)</f>
        <v>0</v>
      </c>
      <c r="K529" s="15">
        <f t="shared" si="116"/>
        <v>0</v>
      </c>
      <c r="L529" s="16">
        <f t="shared" si="116"/>
        <v>0</v>
      </c>
      <c r="M529" s="9" t="s">
        <v>52</v>
      </c>
      <c r="N529" s="2" t="s">
        <v>423</v>
      </c>
      <c r="O529" s="2" t="s">
        <v>1599</v>
      </c>
      <c r="P529" s="2" t="s">
        <v>61</v>
      </c>
      <c r="Q529" s="2" t="s">
        <v>61</v>
      </c>
      <c r="R529" s="2" t="s">
        <v>60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2" t="s">
        <v>52</v>
      </c>
      <c r="AW529" s="2" t="s">
        <v>1624</v>
      </c>
      <c r="AX529" s="2" t="s">
        <v>52</v>
      </c>
      <c r="AY529" s="2" t="s">
        <v>52</v>
      </c>
    </row>
    <row r="530" spans="1:51" ht="30" customHeight="1" x14ac:dyDescent="0.3">
      <c r="A530" s="9" t="s">
        <v>821</v>
      </c>
      <c r="B530" s="9" t="s">
        <v>822</v>
      </c>
      <c r="C530" s="9" t="s">
        <v>823</v>
      </c>
      <c r="D530" s="10">
        <v>9.6000000000000002E-2</v>
      </c>
      <c r="E530" s="15">
        <f>'단가대비표(총체)'!O180</f>
        <v>0</v>
      </c>
      <c r="F530" s="16">
        <f>TRUNC(E530*D530,1)</f>
        <v>0</v>
      </c>
      <c r="G530" s="15">
        <f>'단가대비표(총체)'!P180</f>
        <v>0</v>
      </c>
      <c r="H530" s="16">
        <f>TRUNC(G530*D530,1)</f>
        <v>0</v>
      </c>
      <c r="I530" s="15">
        <f>'단가대비표(총체)'!V180</f>
        <v>0</v>
      </c>
      <c r="J530" s="16">
        <f>TRUNC(I530*D530,1)</f>
        <v>0</v>
      </c>
      <c r="K530" s="15">
        <f t="shared" si="116"/>
        <v>0</v>
      </c>
      <c r="L530" s="16">
        <f t="shared" si="116"/>
        <v>0</v>
      </c>
      <c r="M530" s="9" t="s">
        <v>52</v>
      </c>
      <c r="N530" s="2" t="s">
        <v>423</v>
      </c>
      <c r="O530" s="2" t="s">
        <v>824</v>
      </c>
      <c r="P530" s="2" t="s">
        <v>61</v>
      </c>
      <c r="Q530" s="2" t="s">
        <v>61</v>
      </c>
      <c r="R530" s="2" t="s">
        <v>60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2" t="s">
        <v>52</v>
      </c>
      <c r="AW530" s="2" t="s">
        <v>1625</v>
      </c>
      <c r="AX530" s="2" t="s">
        <v>52</v>
      </c>
      <c r="AY530" s="2" t="s">
        <v>52</v>
      </c>
    </row>
    <row r="531" spans="1:51" ht="30" customHeight="1" x14ac:dyDescent="0.3">
      <c r="A531" s="9" t="s">
        <v>811</v>
      </c>
      <c r="B531" s="9" t="s">
        <v>52</v>
      </c>
      <c r="C531" s="9" t="s">
        <v>52</v>
      </c>
      <c r="D531" s="10"/>
      <c r="E531" s="15"/>
      <c r="F531" s="16">
        <f>TRUNC(SUMIF(N528:N530, N527, F528:F530),0)</f>
        <v>0</v>
      </c>
      <c r="G531" s="15"/>
      <c r="H531" s="16">
        <f>TRUNC(SUMIF(N528:N530, N527, H528:H530),0)</f>
        <v>0</v>
      </c>
      <c r="I531" s="15"/>
      <c r="J531" s="16">
        <f>TRUNC(SUMIF(N528:N530, N527, J528:J530),0)</f>
        <v>0</v>
      </c>
      <c r="K531" s="15"/>
      <c r="L531" s="16">
        <f>F531+H531+J531</f>
        <v>0</v>
      </c>
      <c r="M531" s="9" t="s">
        <v>52</v>
      </c>
      <c r="N531" s="2" t="s">
        <v>94</v>
      </c>
      <c r="O531" s="2" t="s">
        <v>94</v>
      </c>
      <c r="P531" s="2" t="s">
        <v>52</v>
      </c>
      <c r="Q531" s="2" t="s">
        <v>52</v>
      </c>
      <c r="R531" s="2" t="s">
        <v>52</v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2" t="s">
        <v>52</v>
      </c>
      <c r="AW531" s="2" t="s">
        <v>52</v>
      </c>
      <c r="AX531" s="2" t="s">
        <v>52</v>
      </c>
      <c r="AY531" s="2" t="s">
        <v>52</v>
      </c>
    </row>
    <row r="532" spans="1:51" ht="30" customHeight="1" x14ac:dyDescent="0.3">
      <c r="A532" s="10"/>
      <c r="B532" s="10"/>
      <c r="C532" s="10"/>
      <c r="D532" s="10"/>
      <c r="E532" s="15"/>
      <c r="F532" s="16"/>
      <c r="G532" s="15"/>
      <c r="H532" s="16"/>
      <c r="I532" s="15"/>
      <c r="J532" s="16"/>
      <c r="K532" s="15"/>
      <c r="L532" s="16"/>
      <c r="M532" s="10"/>
    </row>
    <row r="533" spans="1:51" ht="30" customHeight="1" x14ac:dyDescent="0.3">
      <c r="A533" s="44" t="s">
        <v>1626</v>
      </c>
      <c r="B533" s="44"/>
      <c r="C533" s="44"/>
      <c r="D533" s="44"/>
      <c r="E533" s="45"/>
      <c r="F533" s="46"/>
      <c r="G533" s="45"/>
      <c r="H533" s="46"/>
      <c r="I533" s="45"/>
      <c r="J533" s="46"/>
      <c r="K533" s="45"/>
      <c r="L533" s="46"/>
      <c r="M533" s="44"/>
      <c r="N533" s="1" t="s">
        <v>428</v>
      </c>
    </row>
    <row r="534" spans="1:51" ht="30" customHeight="1" x14ac:dyDescent="0.3">
      <c r="A534" s="9" t="s">
        <v>1628</v>
      </c>
      <c r="B534" s="9" t="s">
        <v>1629</v>
      </c>
      <c r="C534" s="9" t="s">
        <v>427</v>
      </c>
      <c r="D534" s="10">
        <v>1</v>
      </c>
      <c r="E534" s="15">
        <f>'단가대비표(총체)'!O92</f>
        <v>0</v>
      </c>
      <c r="F534" s="16">
        <f>TRUNC(E534*D534,1)</f>
        <v>0</v>
      </c>
      <c r="G534" s="15">
        <f>'단가대비표(총체)'!P92</f>
        <v>0</v>
      </c>
      <c r="H534" s="16">
        <f>TRUNC(G534*D534,1)</f>
        <v>0</v>
      </c>
      <c r="I534" s="15">
        <f>'단가대비표(총체)'!V92</f>
        <v>0</v>
      </c>
      <c r="J534" s="16">
        <f>TRUNC(I534*D534,1)</f>
        <v>0</v>
      </c>
      <c r="K534" s="15">
        <f t="shared" ref="K534:L536" si="117">TRUNC(E534+G534+I534,1)</f>
        <v>0</v>
      </c>
      <c r="L534" s="16">
        <f t="shared" si="117"/>
        <v>0</v>
      </c>
      <c r="M534" s="9" t="s">
        <v>52</v>
      </c>
      <c r="N534" s="2" t="s">
        <v>428</v>
      </c>
      <c r="O534" s="2" t="s">
        <v>1630</v>
      </c>
      <c r="P534" s="2" t="s">
        <v>61</v>
      </c>
      <c r="Q534" s="2" t="s">
        <v>61</v>
      </c>
      <c r="R534" s="2" t="s">
        <v>60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2" t="s">
        <v>52</v>
      </c>
      <c r="AW534" s="2" t="s">
        <v>1631</v>
      </c>
      <c r="AX534" s="2" t="s">
        <v>52</v>
      </c>
      <c r="AY534" s="2" t="s">
        <v>52</v>
      </c>
    </row>
    <row r="535" spans="1:51" ht="30" customHeight="1" x14ac:dyDescent="0.3">
      <c r="A535" s="9" t="s">
        <v>1598</v>
      </c>
      <c r="B535" s="9" t="s">
        <v>822</v>
      </c>
      <c r="C535" s="9" t="s">
        <v>823</v>
      </c>
      <c r="D535" s="10">
        <v>0.13900000000000001</v>
      </c>
      <c r="E535" s="15">
        <f>'단가대비표(총체)'!O205</f>
        <v>0</v>
      </c>
      <c r="F535" s="16">
        <f>TRUNC(E535*D535,1)</f>
        <v>0</v>
      </c>
      <c r="G535" s="15">
        <f>'단가대비표(총체)'!P205</f>
        <v>0</v>
      </c>
      <c r="H535" s="16">
        <f>TRUNC(G535*D535,1)</f>
        <v>0</v>
      </c>
      <c r="I535" s="15">
        <f>'단가대비표(총체)'!V205</f>
        <v>0</v>
      </c>
      <c r="J535" s="16">
        <f>TRUNC(I535*D535,1)</f>
        <v>0</v>
      </c>
      <c r="K535" s="15">
        <f t="shared" si="117"/>
        <v>0</v>
      </c>
      <c r="L535" s="16">
        <f t="shared" si="117"/>
        <v>0</v>
      </c>
      <c r="M535" s="9" t="s">
        <v>52</v>
      </c>
      <c r="N535" s="2" t="s">
        <v>428</v>
      </c>
      <c r="O535" s="2" t="s">
        <v>1599</v>
      </c>
      <c r="P535" s="2" t="s">
        <v>61</v>
      </c>
      <c r="Q535" s="2" t="s">
        <v>61</v>
      </c>
      <c r="R535" s="2" t="s">
        <v>60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2" t="s">
        <v>52</v>
      </c>
      <c r="AW535" s="2" t="s">
        <v>1632</v>
      </c>
      <c r="AX535" s="2" t="s">
        <v>52</v>
      </c>
      <c r="AY535" s="2" t="s">
        <v>52</v>
      </c>
    </row>
    <row r="536" spans="1:51" ht="30" customHeight="1" x14ac:dyDescent="0.3">
      <c r="A536" s="9" t="s">
        <v>821</v>
      </c>
      <c r="B536" s="9" t="s">
        <v>822</v>
      </c>
      <c r="C536" s="9" t="s">
        <v>823</v>
      </c>
      <c r="D536" s="10">
        <v>2.8000000000000001E-2</v>
      </c>
      <c r="E536" s="15">
        <f>'단가대비표(총체)'!O180</f>
        <v>0</v>
      </c>
      <c r="F536" s="16">
        <f>TRUNC(E536*D536,1)</f>
        <v>0</v>
      </c>
      <c r="G536" s="15">
        <f>'단가대비표(총체)'!P180</f>
        <v>0</v>
      </c>
      <c r="H536" s="16">
        <f>TRUNC(G536*D536,1)</f>
        <v>0</v>
      </c>
      <c r="I536" s="15">
        <f>'단가대비표(총체)'!V180</f>
        <v>0</v>
      </c>
      <c r="J536" s="16">
        <f>TRUNC(I536*D536,1)</f>
        <v>0</v>
      </c>
      <c r="K536" s="15">
        <f t="shared" si="117"/>
        <v>0</v>
      </c>
      <c r="L536" s="16">
        <f t="shared" si="117"/>
        <v>0</v>
      </c>
      <c r="M536" s="9" t="s">
        <v>52</v>
      </c>
      <c r="N536" s="2" t="s">
        <v>428</v>
      </c>
      <c r="O536" s="2" t="s">
        <v>824</v>
      </c>
      <c r="P536" s="2" t="s">
        <v>61</v>
      </c>
      <c r="Q536" s="2" t="s">
        <v>61</v>
      </c>
      <c r="R536" s="2" t="s">
        <v>60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2" t="s">
        <v>52</v>
      </c>
      <c r="AW536" s="2" t="s">
        <v>1633</v>
      </c>
      <c r="AX536" s="2" t="s">
        <v>52</v>
      </c>
      <c r="AY536" s="2" t="s">
        <v>52</v>
      </c>
    </row>
    <row r="537" spans="1:51" ht="30" customHeight="1" x14ac:dyDescent="0.3">
      <c r="A537" s="9" t="s">
        <v>811</v>
      </c>
      <c r="B537" s="9" t="s">
        <v>52</v>
      </c>
      <c r="C537" s="9" t="s">
        <v>52</v>
      </c>
      <c r="D537" s="10"/>
      <c r="E537" s="15"/>
      <c r="F537" s="16">
        <f>TRUNC(SUMIF(N534:N536, N533, F534:F536),0)</f>
        <v>0</v>
      </c>
      <c r="G537" s="15"/>
      <c r="H537" s="16">
        <f>TRUNC(SUMIF(N534:N536, N533, H534:H536),0)</f>
        <v>0</v>
      </c>
      <c r="I537" s="15"/>
      <c r="J537" s="16">
        <f>TRUNC(SUMIF(N534:N536, N533, J534:J536),0)</f>
        <v>0</v>
      </c>
      <c r="K537" s="15"/>
      <c r="L537" s="16">
        <f>F537+H537+J537</f>
        <v>0</v>
      </c>
      <c r="M537" s="9" t="s">
        <v>52</v>
      </c>
      <c r="N537" s="2" t="s">
        <v>94</v>
      </c>
      <c r="O537" s="2" t="s">
        <v>94</v>
      </c>
      <c r="P537" s="2" t="s">
        <v>52</v>
      </c>
      <c r="Q537" s="2" t="s">
        <v>52</v>
      </c>
      <c r="R537" s="2" t="s">
        <v>52</v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2" t="s">
        <v>52</v>
      </c>
      <c r="AW537" s="2" t="s">
        <v>52</v>
      </c>
      <c r="AX537" s="2" t="s">
        <v>52</v>
      </c>
      <c r="AY537" s="2" t="s">
        <v>52</v>
      </c>
    </row>
    <row r="538" spans="1:51" ht="30" customHeight="1" x14ac:dyDescent="0.3">
      <c r="A538" s="10"/>
      <c r="B538" s="10"/>
      <c r="C538" s="10"/>
      <c r="D538" s="10"/>
      <c r="E538" s="15"/>
      <c r="F538" s="16"/>
      <c r="G538" s="15"/>
      <c r="H538" s="16"/>
      <c r="I538" s="15"/>
      <c r="J538" s="16"/>
      <c r="K538" s="15"/>
      <c r="L538" s="16"/>
      <c r="M538" s="10"/>
    </row>
    <row r="539" spans="1:51" ht="30" customHeight="1" x14ac:dyDescent="0.3">
      <c r="A539" s="44" t="s">
        <v>1634</v>
      </c>
      <c r="B539" s="44"/>
      <c r="C539" s="44"/>
      <c r="D539" s="44"/>
      <c r="E539" s="45"/>
      <c r="F539" s="46"/>
      <c r="G539" s="45"/>
      <c r="H539" s="46"/>
      <c r="I539" s="45"/>
      <c r="J539" s="46"/>
      <c r="K539" s="45"/>
      <c r="L539" s="46"/>
      <c r="M539" s="44"/>
      <c r="N539" s="1" t="s">
        <v>432</v>
      </c>
    </row>
    <row r="540" spans="1:51" ht="30" customHeight="1" x14ac:dyDescent="0.3">
      <c r="A540" s="9" t="s">
        <v>1636</v>
      </c>
      <c r="B540" s="9" t="s">
        <v>1637</v>
      </c>
      <c r="C540" s="9" t="s">
        <v>427</v>
      </c>
      <c r="D540" s="10">
        <v>1</v>
      </c>
      <c r="E540" s="15">
        <f>'단가대비표(총체)'!O90</f>
        <v>0</v>
      </c>
      <c r="F540" s="16">
        <f>TRUNC(E540*D540,1)</f>
        <v>0</v>
      </c>
      <c r="G540" s="15">
        <f>'단가대비표(총체)'!P90</f>
        <v>0</v>
      </c>
      <c r="H540" s="16">
        <f>TRUNC(G540*D540,1)</f>
        <v>0</v>
      </c>
      <c r="I540" s="15">
        <f>'단가대비표(총체)'!V90</f>
        <v>0</v>
      </c>
      <c r="J540" s="16">
        <f>TRUNC(I540*D540,1)</f>
        <v>0</v>
      </c>
      <c r="K540" s="15">
        <f t="shared" ref="K540:L542" si="118">TRUNC(E540+G540+I540,1)</f>
        <v>0</v>
      </c>
      <c r="L540" s="16">
        <f t="shared" si="118"/>
        <v>0</v>
      </c>
      <c r="M540" s="9" t="s">
        <v>52</v>
      </c>
      <c r="N540" s="2" t="s">
        <v>432</v>
      </c>
      <c r="O540" s="2" t="s">
        <v>1638</v>
      </c>
      <c r="P540" s="2" t="s">
        <v>61</v>
      </c>
      <c r="Q540" s="2" t="s">
        <v>61</v>
      </c>
      <c r="R540" s="2" t="s">
        <v>60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2" t="s">
        <v>52</v>
      </c>
      <c r="AW540" s="2" t="s">
        <v>1639</v>
      </c>
      <c r="AX540" s="2" t="s">
        <v>52</v>
      </c>
      <c r="AY540" s="2" t="s">
        <v>52</v>
      </c>
    </row>
    <row r="541" spans="1:51" ht="30" customHeight="1" x14ac:dyDescent="0.3">
      <c r="A541" s="9" t="s">
        <v>1598</v>
      </c>
      <c r="B541" s="9" t="s">
        <v>822</v>
      </c>
      <c r="C541" s="9" t="s">
        <v>823</v>
      </c>
      <c r="D541" s="10">
        <v>0.192</v>
      </c>
      <c r="E541" s="15">
        <f>'단가대비표(총체)'!O205</f>
        <v>0</v>
      </c>
      <c r="F541" s="16">
        <f>TRUNC(E541*D541,1)</f>
        <v>0</v>
      </c>
      <c r="G541" s="15">
        <f>'단가대비표(총체)'!P205</f>
        <v>0</v>
      </c>
      <c r="H541" s="16">
        <f>TRUNC(G541*D541,1)</f>
        <v>0</v>
      </c>
      <c r="I541" s="15">
        <f>'단가대비표(총체)'!V205</f>
        <v>0</v>
      </c>
      <c r="J541" s="16">
        <f>TRUNC(I541*D541,1)</f>
        <v>0</v>
      </c>
      <c r="K541" s="15">
        <f t="shared" si="118"/>
        <v>0</v>
      </c>
      <c r="L541" s="16">
        <f t="shared" si="118"/>
        <v>0</v>
      </c>
      <c r="M541" s="9" t="s">
        <v>52</v>
      </c>
      <c r="N541" s="2" t="s">
        <v>432</v>
      </c>
      <c r="O541" s="2" t="s">
        <v>1599</v>
      </c>
      <c r="P541" s="2" t="s">
        <v>61</v>
      </c>
      <c r="Q541" s="2" t="s">
        <v>61</v>
      </c>
      <c r="R541" s="2" t="s">
        <v>60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2" t="s">
        <v>52</v>
      </c>
      <c r="AW541" s="2" t="s">
        <v>1640</v>
      </c>
      <c r="AX541" s="2" t="s">
        <v>52</v>
      </c>
      <c r="AY541" s="2" t="s">
        <v>52</v>
      </c>
    </row>
    <row r="542" spans="1:51" ht="30" customHeight="1" x14ac:dyDescent="0.3">
      <c r="A542" s="9" t="s">
        <v>821</v>
      </c>
      <c r="B542" s="9" t="s">
        <v>822</v>
      </c>
      <c r="C542" s="9" t="s">
        <v>823</v>
      </c>
      <c r="D542" s="10">
        <v>1.9E-2</v>
      </c>
      <c r="E542" s="15">
        <f>'단가대비표(총체)'!O180</f>
        <v>0</v>
      </c>
      <c r="F542" s="16">
        <f>TRUNC(E542*D542,1)</f>
        <v>0</v>
      </c>
      <c r="G542" s="15">
        <f>'단가대비표(총체)'!P180</f>
        <v>0</v>
      </c>
      <c r="H542" s="16">
        <f>TRUNC(G542*D542,1)</f>
        <v>0</v>
      </c>
      <c r="I542" s="15">
        <f>'단가대비표(총체)'!V180</f>
        <v>0</v>
      </c>
      <c r="J542" s="16">
        <f>TRUNC(I542*D542,1)</f>
        <v>0</v>
      </c>
      <c r="K542" s="15">
        <f t="shared" si="118"/>
        <v>0</v>
      </c>
      <c r="L542" s="16">
        <f t="shared" si="118"/>
        <v>0</v>
      </c>
      <c r="M542" s="9" t="s">
        <v>52</v>
      </c>
      <c r="N542" s="2" t="s">
        <v>432</v>
      </c>
      <c r="O542" s="2" t="s">
        <v>824</v>
      </c>
      <c r="P542" s="2" t="s">
        <v>61</v>
      </c>
      <c r="Q542" s="2" t="s">
        <v>61</v>
      </c>
      <c r="R542" s="2" t="s">
        <v>60</v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2" t="s">
        <v>52</v>
      </c>
      <c r="AW542" s="2" t="s">
        <v>1641</v>
      </c>
      <c r="AX542" s="2" t="s">
        <v>52</v>
      </c>
      <c r="AY542" s="2" t="s">
        <v>52</v>
      </c>
    </row>
    <row r="543" spans="1:51" ht="30" customHeight="1" x14ac:dyDescent="0.3">
      <c r="A543" s="9" t="s">
        <v>811</v>
      </c>
      <c r="B543" s="9" t="s">
        <v>52</v>
      </c>
      <c r="C543" s="9" t="s">
        <v>52</v>
      </c>
      <c r="D543" s="10"/>
      <c r="E543" s="15"/>
      <c r="F543" s="16">
        <f>TRUNC(SUMIF(N540:N542, N539, F540:F542),0)</f>
        <v>0</v>
      </c>
      <c r="G543" s="15"/>
      <c r="H543" s="16">
        <f>TRUNC(SUMIF(N540:N542, N539, H540:H542),0)</f>
        <v>0</v>
      </c>
      <c r="I543" s="15"/>
      <c r="J543" s="16">
        <f>TRUNC(SUMIF(N540:N542, N539, J540:J542),0)</f>
        <v>0</v>
      </c>
      <c r="K543" s="15"/>
      <c r="L543" s="16">
        <f>F543+H543+J543</f>
        <v>0</v>
      </c>
      <c r="M543" s="9" t="s">
        <v>52</v>
      </c>
      <c r="N543" s="2" t="s">
        <v>94</v>
      </c>
      <c r="O543" s="2" t="s">
        <v>94</v>
      </c>
      <c r="P543" s="2" t="s">
        <v>52</v>
      </c>
      <c r="Q543" s="2" t="s">
        <v>52</v>
      </c>
      <c r="R543" s="2" t="s">
        <v>52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2" t="s">
        <v>52</v>
      </c>
      <c r="AW543" s="2" t="s">
        <v>52</v>
      </c>
      <c r="AX543" s="2" t="s">
        <v>52</v>
      </c>
      <c r="AY543" s="2" t="s">
        <v>52</v>
      </c>
    </row>
    <row r="544" spans="1:51" ht="30" customHeight="1" x14ac:dyDescent="0.3">
      <c r="A544" s="10"/>
      <c r="B544" s="10"/>
      <c r="C544" s="10"/>
      <c r="D544" s="10"/>
      <c r="E544" s="15"/>
      <c r="F544" s="16"/>
      <c r="G544" s="15"/>
      <c r="H544" s="16"/>
      <c r="I544" s="15"/>
      <c r="J544" s="16"/>
      <c r="K544" s="15"/>
      <c r="L544" s="16"/>
      <c r="M544" s="10"/>
    </row>
    <row r="545" spans="1:51" ht="30" customHeight="1" x14ac:dyDescent="0.3">
      <c r="A545" s="44" t="s">
        <v>1642</v>
      </c>
      <c r="B545" s="44"/>
      <c r="C545" s="44"/>
      <c r="D545" s="44"/>
      <c r="E545" s="45"/>
      <c r="F545" s="46"/>
      <c r="G545" s="45"/>
      <c r="H545" s="46"/>
      <c r="I545" s="45"/>
      <c r="J545" s="46"/>
      <c r="K545" s="45"/>
      <c r="L545" s="46"/>
      <c r="M545" s="44"/>
      <c r="N545" s="1" t="s">
        <v>436</v>
      </c>
    </row>
    <row r="546" spans="1:51" ht="30" customHeight="1" x14ac:dyDescent="0.3">
      <c r="A546" s="9" t="s">
        <v>1644</v>
      </c>
      <c r="B546" s="9" t="s">
        <v>1645</v>
      </c>
      <c r="C546" s="9" t="s">
        <v>427</v>
      </c>
      <c r="D546" s="10">
        <v>1</v>
      </c>
      <c r="E546" s="15">
        <f>'단가대비표(총체)'!O91</f>
        <v>0</v>
      </c>
      <c r="F546" s="16">
        <f>TRUNC(E546*D546,1)</f>
        <v>0</v>
      </c>
      <c r="G546" s="15">
        <f>'단가대비표(총체)'!P91</f>
        <v>0</v>
      </c>
      <c r="H546" s="16">
        <f>TRUNC(G546*D546,1)</f>
        <v>0</v>
      </c>
      <c r="I546" s="15">
        <f>'단가대비표(총체)'!V91</f>
        <v>0</v>
      </c>
      <c r="J546" s="16">
        <f>TRUNC(I546*D546,1)</f>
        <v>0</v>
      </c>
      <c r="K546" s="15">
        <f t="shared" ref="K546:L548" si="119">TRUNC(E546+G546+I546,1)</f>
        <v>0</v>
      </c>
      <c r="L546" s="16">
        <f t="shared" si="119"/>
        <v>0</v>
      </c>
      <c r="M546" s="9" t="s">
        <v>52</v>
      </c>
      <c r="N546" s="2" t="s">
        <v>436</v>
      </c>
      <c r="O546" s="2" t="s">
        <v>1646</v>
      </c>
      <c r="P546" s="2" t="s">
        <v>61</v>
      </c>
      <c r="Q546" s="2" t="s">
        <v>61</v>
      </c>
      <c r="R546" s="2" t="s">
        <v>60</v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2" t="s">
        <v>52</v>
      </c>
      <c r="AW546" s="2" t="s">
        <v>1647</v>
      </c>
      <c r="AX546" s="2" t="s">
        <v>52</v>
      </c>
      <c r="AY546" s="2" t="s">
        <v>52</v>
      </c>
    </row>
    <row r="547" spans="1:51" ht="30" customHeight="1" x14ac:dyDescent="0.3">
      <c r="A547" s="9" t="s">
        <v>1598</v>
      </c>
      <c r="B547" s="9" t="s">
        <v>822</v>
      </c>
      <c r="C547" s="9" t="s">
        <v>823</v>
      </c>
      <c r="D547" s="10">
        <v>0.16400000000000001</v>
      </c>
      <c r="E547" s="15">
        <f>'단가대비표(총체)'!O205</f>
        <v>0</v>
      </c>
      <c r="F547" s="16">
        <f>TRUNC(E547*D547,1)</f>
        <v>0</v>
      </c>
      <c r="G547" s="15">
        <f>'단가대비표(총체)'!P205</f>
        <v>0</v>
      </c>
      <c r="H547" s="16">
        <f>TRUNC(G547*D547,1)</f>
        <v>0</v>
      </c>
      <c r="I547" s="15">
        <f>'단가대비표(총체)'!V205</f>
        <v>0</v>
      </c>
      <c r="J547" s="16">
        <f>TRUNC(I547*D547,1)</f>
        <v>0</v>
      </c>
      <c r="K547" s="15">
        <f t="shared" si="119"/>
        <v>0</v>
      </c>
      <c r="L547" s="16">
        <f t="shared" si="119"/>
        <v>0</v>
      </c>
      <c r="M547" s="9" t="s">
        <v>52</v>
      </c>
      <c r="N547" s="2" t="s">
        <v>436</v>
      </c>
      <c r="O547" s="2" t="s">
        <v>1599</v>
      </c>
      <c r="P547" s="2" t="s">
        <v>61</v>
      </c>
      <c r="Q547" s="2" t="s">
        <v>61</v>
      </c>
      <c r="R547" s="2" t="s">
        <v>60</v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2" t="s">
        <v>52</v>
      </c>
      <c r="AW547" s="2" t="s">
        <v>1648</v>
      </c>
      <c r="AX547" s="2" t="s">
        <v>52</v>
      </c>
      <c r="AY547" s="2" t="s">
        <v>52</v>
      </c>
    </row>
    <row r="548" spans="1:51" ht="30" customHeight="1" x14ac:dyDescent="0.3">
      <c r="A548" s="9" t="s">
        <v>821</v>
      </c>
      <c r="B548" s="9" t="s">
        <v>822</v>
      </c>
      <c r="C548" s="9" t="s">
        <v>823</v>
      </c>
      <c r="D548" s="10">
        <v>3.3000000000000002E-2</v>
      </c>
      <c r="E548" s="15">
        <f>'단가대비표(총체)'!O180</f>
        <v>0</v>
      </c>
      <c r="F548" s="16">
        <f>TRUNC(E548*D548,1)</f>
        <v>0</v>
      </c>
      <c r="G548" s="15">
        <f>'단가대비표(총체)'!P180</f>
        <v>0</v>
      </c>
      <c r="H548" s="16">
        <f>TRUNC(G548*D548,1)</f>
        <v>0</v>
      </c>
      <c r="I548" s="15">
        <f>'단가대비표(총체)'!V180</f>
        <v>0</v>
      </c>
      <c r="J548" s="16">
        <f>TRUNC(I548*D548,1)</f>
        <v>0</v>
      </c>
      <c r="K548" s="15">
        <f t="shared" si="119"/>
        <v>0</v>
      </c>
      <c r="L548" s="16">
        <f t="shared" si="119"/>
        <v>0</v>
      </c>
      <c r="M548" s="9" t="s">
        <v>52</v>
      </c>
      <c r="N548" s="2" t="s">
        <v>436</v>
      </c>
      <c r="O548" s="2" t="s">
        <v>824</v>
      </c>
      <c r="P548" s="2" t="s">
        <v>61</v>
      </c>
      <c r="Q548" s="2" t="s">
        <v>61</v>
      </c>
      <c r="R548" s="2" t="s">
        <v>60</v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2" t="s">
        <v>52</v>
      </c>
      <c r="AW548" s="2" t="s">
        <v>1649</v>
      </c>
      <c r="AX548" s="2" t="s">
        <v>52</v>
      </c>
      <c r="AY548" s="2" t="s">
        <v>52</v>
      </c>
    </row>
    <row r="549" spans="1:51" ht="30" customHeight="1" x14ac:dyDescent="0.3">
      <c r="A549" s="9" t="s">
        <v>811</v>
      </c>
      <c r="B549" s="9" t="s">
        <v>52</v>
      </c>
      <c r="C549" s="9" t="s">
        <v>52</v>
      </c>
      <c r="D549" s="10"/>
      <c r="E549" s="15"/>
      <c r="F549" s="16">
        <f>TRUNC(SUMIF(N546:N548, N545, F546:F548),0)</f>
        <v>0</v>
      </c>
      <c r="G549" s="15"/>
      <c r="H549" s="16">
        <f>TRUNC(SUMIF(N546:N548, N545, H546:H548),0)</f>
        <v>0</v>
      </c>
      <c r="I549" s="15"/>
      <c r="J549" s="16">
        <f>TRUNC(SUMIF(N546:N548, N545, J546:J548),0)</f>
        <v>0</v>
      </c>
      <c r="K549" s="15"/>
      <c r="L549" s="16">
        <f>F549+H549+J549</f>
        <v>0</v>
      </c>
      <c r="M549" s="9" t="s">
        <v>52</v>
      </c>
      <c r="N549" s="2" t="s">
        <v>94</v>
      </c>
      <c r="O549" s="2" t="s">
        <v>94</v>
      </c>
      <c r="P549" s="2" t="s">
        <v>52</v>
      </c>
      <c r="Q549" s="2" t="s">
        <v>52</v>
      </c>
      <c r="R549" s="2" t="s">
        <v>52</v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2" t="s">
        <v>52</v>
      </c>
      <c r="AW549" s="2" t="s">
        <v>52</v>
      </c>
      <c r="AX549" s="2" t="s">
        <v>52</v>
      </c>
      <c r="AY549" s="2" t="s">
        <v>52</v>
      </c>
    </row>
    <row r="550" spans="1:51" ht="30" customHeight="1" x14ac:dyDescent="0.3">
      <c r="A550" s="10"/>
      <c r="B550" s="10"/>
      <c r="C550" s="10"/>
      <c r="D550" s="10"/>
      <c r="E550" s="15"/>
      <c r="F550" s="16"/>
      <c r="G550" s="15"/>
      <c r="H550" s="16"/>
      <c r="I550" s="15"/>
      <c r="J550" s="16"/>
      <c r="K550" s="15"/>
      <c r="L550" s="16"/>
      <c r="M550" s="10"/>
    </row>
    <row r="551" spans="1:51" ht="30" customHeight="1" x14ac:dyDescent="0.3">
      <c r="A551" s="44" t="s">
        <v>1650</v>
      </c>
      <c r="B551" s="44"/>
      <c r="C551" s="44"/>
      <c r="D551" s="44"/>
      <c r="E551" s="45"/>
      <c r="F551" s="46"/>
      <c r="G551" s="45"/>
      <c r="H551" s="46"/>
      <c r="I551" s="45"/>
      <c r="J551" s="46"/>
      <c r="K551" s="45"/>
      <c r="L551" s="46"/>
      <c r="M551" s="44"/>
      <c r="N551" s="1" t="s">
        <v>440</v>
      </c>
    </row>
    <row r="552" spans="1:51" ht="30" customHeight="1" x14ac:dyDescent="0.3">
      <c r="A552" s="9" t="s">
        <v>438</v>
      </c>
      <c r="B552" s="9" t="s">
        <v>439</v>
      </c>
      <c r="C552" s="9" t="s">
        <v>427</v>
      </c>
      <c r="D552" s="10">
        <v>1</v>
      </c>
      <c r="E552" s="15">
        <f>'단가대비표(총체)'!O93</f>
        <v>0</v>
      </c>
      <c r="F552" s="16">
        <f>TRUNC(E552*D552,1)</f>
        <v>0</v>
      </c>
      <c r="G552" s="15">
        <f>'단가대비표(총체)'!P93</f>
        <v>0</v>
      </c>
      <c r="H552" s="16">
        <f>TRUNC(G552*D552,1)</f>
        <v>0</v>
      </c>
      <c r="I552" s="15">
        <f>'단가대비표(총체)'!V93</f>
        <v>0</v>
      </c>
      <c r="J552" s="16">
        <f>TRUNC(I552*D552,1)</f>
        <v>0</v>
      </c>
      <c r="K552" s="15">
        <f t="shared" ref="K552:L554" si="120">TRUNC(E552+G552+I552,1)</f>
        <v>0</v>
      </c>
      <c r="L552" s="16">
        <f t="shared" si="120"/>
        <v>0</v>
      </c>
      <c r="M552" s="9" t="s">
        <v>52</v>
      </c>
      <c r="N552" s="2" t="s">
        <v>440</v>
      </c>
      <c r="O552" s="2" t="s">
        <v>1652</v>
      </c>
      <c r="P552" s="2" t="s">
        <v>61</v>
      </c>
      <c r="Q552" s="2" t="s">
        <v>61</v>
      </c>
      <c r="R552" s="2" t="s">
        <v>60</v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2" t="s">
        <v>52</v>
      </c>
      <c r="AW552" s="2" t="s">
        <v>1653</v>
      </c>
      <c r="AX552" s="2" t="s">
        <v>52</v>
      </c>
      <c r="AY552" s="2" t="s">
        <v>52</v>
      </c>
    </row>
    <row r="553" spans="1:51" ht="30" customHeight="1" x14ac:dyDescent="0.3">
      <c r="A553" s="9" t="s">
        <v>1598</v>
      </c>
      <c r="B553" s="9" t="s">
        <v>822</v>
      </c>
      <c r="C553" s="9" t="s">
        <v>823</v>
      </c>
      <c r="D553" s="10">
        <v>8.6999999999999994E-2</v>
      </c>
      <c r="E553" s="15">
        <f>'단가대비표(총체)'!O205</f>
        <v>0</v>
      </c>
      <c r="F553" s="16">
        <f>TRUNC(E553*D553,1)</f>
        <v>0</v>
      </c>
      <c r="G553" s="15">
        <f>'단가대비표(총체)'!P205</f>
        <v>0</v>
      </c>
      <c r="H553" s="16">
        <f>TRUNC(G553*D553,1)</f>
        <v>0</v>
      </c>
      <c r="I553" s="15">
        <f>'단가대비표(총체)'!V205</f>
        <v>0</v>
      </c>
      <c r="J553" s="16">
        <f>TRUNC(I553*D553,1)</f>
        <v>0</v>
      </c>
      <c r="K553" s="15">
        <f t="shared" si="120"/>
        <v>0</v>
      </c>
      <c r="L553" s="16">
        <f t="shared" si="120"/>
        <v>0</v>
      </c>
      <c r="M553" s="9" t="s">
        <v>52</v>
      </c>
      <c r="N553" s="2" t="s">
        <v>440</v>
      </c>
      <c r="O553" s="2" t="s">
        <v>1599</v>
      </c>
      <c r="P553" s="2" t="s">
        <v>61</v>
      </c>
      <c r="Q553" s="2" t="s">
        <v>61</v>
      </c>
      <c r="R553" s="2" t="s">
        <v>60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2" t="s">
        <v>52</v>
      </c>
      <c r="AW553" s="2" t="s">
        <v>1654</v>
      </c>
      <c r="AX553" s="2" t="s">
        <v>52</v>
      </c>
      <c r="AY553" s="2" t="s">
        <v>52</v>
      </c>
    </row>
    <row r="554" spans="1:51" ht="30" customHeight="1" x14ac:dyDescent="0.3">
      <c r="A554" s="9" t="s">
        <v>821</v>
      </c>
      <c r="B554" s="9" t="s">
        <v>822</v>
      </c>
      <c r="C554" s="9" t="s">
        <v>823</v>
      </c>
      <c r="D554" s="10">
        <v>1.7000000000000001E-2</v>
      </c>
      <c r="E554" s="15">
        <f>'단가대비표(총체)'!O180</f>
        <v>0</v>
      </c>
      <c r="F554" s="16">
        <f>TRUNC(E554*D554,1)</f>
        <v>0</v>
      </c>
      <c r="G554" s="15">
        <f>'단가대비표(총체)'!P180</f>
        <v>0</v>
      </c>
      <c r="H554" s="16">
        <f>TRUNC(G554*D554,1)</f>
        <v>0</v>
      </c>
      <c r="I554" s="15">
        <f>'단가대비표(총체)'!V180</f>
        <v>0</v>
      </c>
      <c r="J554" s="16">
        <f>TRUNC(I554*D554,1)</f>
        <v>0</v>
      </c>
      <c r="K554" s="15">
        <f t="shared" si="120"/>
        <v>0</v>
      </c>
      <c r="L554" s="16">
        <f t="shared" si="120"/>
        <v>0</v>
      </c>
      <c r="M554" s="9" t="s">
        <v>52</v>
      </c>
      <c r="N554" s="2" t="s">
        <v>440</v>
      </c>
      <c r="O554" s="2" t="s">
        <v>824</v>
      </c>
      <c r="P554" s="2" t="s">
        <v>61</v>
      </c>
      <c r="Q554" s="2" t="s">
        <v>61</v>
      </c>
      <c r="R554" s="2" t="s">
        <v>60</v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2" t="s">
        <v>52</v>
      </c>
      <c r="AW554" s="2" t="s">
        <v>1655</v>
      </c>
      <c r="AX554" s="2" t="s">
        <v>52</v>
      </c>
      <c r="AY554" s="2" t="s">
        <v>52</v>
      </c>
    </row>
    <row r="555" spans="1:51" ht="30" customHeight="1" x14ac:dyDescent="0.3">
      <c r="A555" s="9" t="s">
        <v>811</v>
      </c>
      <c r="B555" s="9" t="s">
        <v>52</v>
      </c>
      <c r="C555" s="9" t="s">
        <v>52</v>
      </c>
      <c r="D555" s="10"/>
      <c r="E555" s="15"/>
      <c r="F555" s="16">
        <f>TRUNC(SUMIF(N552:N554, N551, F552:F554),0)</f>
        <v>0</v>
      </c>
      <c r="G555" s="15"/>
      <c r="H555" s="16">
        <f>TRUNC(SUMIF(N552:N554, N551, H552:H554),0)</f>
        <v>0</v>
      </c>
      <c r="I555" s="15"/>
      <c r="J555" s="16">
        <f>TRUNC(SUMIF(N552:N554, N551, J552:J554),0)</f>
        <v>0</v>
      </c>
      <c r="K555" s="15"/>
      <c r="L555" s="16">
        <f>F555+H555+J555</f>
        <v>0</v>
      </c>
      <c r="M555" s="9" t="s">
        <v>52</v>
      </c>
      <c r="N555" s="2" t="s">
        <v>94</v>
      </c>
      <c r="O555" s="2" t="s">
        <v>94</v>
      </c>
      <c r="P555" s="2" t="s">
        <v>52</v>
      </c>
      <c r="Q555" s="2" t="s">
        <v>52</v>
      </c>
      <c r="R555" s="2" t="s">
        <v>52</v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2" t="s">
        <v>52</v>
      </c>
      <c r="AW555" s="2" t="s">
        <v>52</v>
      </c>
      <c r="AX555" s="2" t="s">
        <v>52</v>
      </c>
      <c r="AY555" s="2" t="s">
        <v>52</v>
      </c>
    </row>
    <row r="556" spans="1:51" ht="30" customHeight="1" x14ac:dyDescent="0.3">
      <c r="A556" s="10"/>
      <c r="B556" s="10"/>
      <c r="C556" s="10"/>
      <c r="D556" s="10"/>
      <c r="E556" s="15"/>
      <c r="F556" s="16"/>
      <c r="G556" s="15"/>
      <c r="H556" s="16"/>
      <c r="I556" s="15"/>
      <c r="J556" s="16"/>
      <c r="K556" s="15"/>
      <c r="L556" s="16"/>
      <c r="M556" s="10"/>
    </row>
    <row r="557" spans="1:51" ht="30" customHeight="1" x14ac:dyDescent="0.3">
      <c r="A557" s="44" t="s">
        <v>1656</v>
      </c>
      <c r="B557" s="44"/>
      <c r="C557" s="44"/>
      <c r="D557" s="44"/>
      <c r="E557" s="45"/>
      <c r="F557" s="46"/>
      <c r="G557" s="45"/>
      <c r="H557" s="46"/>
      <c r="I557" s="45"/>
      <c r="J557" s="46"/>
      <c r="K557" s="45"/>
      <c r="L557" s="46"/>
      <c r="M557" s="44"/>
      <c r="N557" s="1" t="s">
        <v>444</v>
      </c>
    </row>
    <row r="558" spans="1:51" ht="30" customHeight="1" x14ac:dyDescent="0.3">
      <c r="A558" s="9" t="s">
        <v>1658</v>
      </c>
      <c r="B558" s="9" t="s">
        <v>1659</v>
      </c>
      <c r="C558" s="9" t="s">
        <v>427</v>
      </c>
      <c r="D558" s="10">
        <v>1</v>
      </c>
      <c r="E558" s="15">
        <f>'단가대비표(총체)'!O175</f>
        <v>0</v>
      </c>
      <c r="F558" s="16">
        <f>TRUNC(E558*D558,1)</f>
        <v>0</v>
      </c>
      <c r="G558" s="15">
        <f>'단가대비표(총체)'!P175</f>
        <v>0</v>
      </c>
      <c r="H558" s="16">
        <f>TRUNC(G558*D558,1)</f>
        <v>0</v>
      </c>
      <c r="I558" s="15">
        <f>'단가대비표(총체)'!V175</f>
        <v>0</v>
      </c>
      <c r="J558" s="16">
        <f>TRUNC(I558*D558,1)</f>
        <v>0</v>
      </c>
      <c r="K558" s="15">
        <f t="shared" ref="K558:L560" si="121">TRUNC(E558+G558+I558,1)</f>
        <v>0</v>
      </c>
      <c r="L558" s="16">
        <f t="shared" si="121"/>
        <v>0</v>
      </c>
      <c r="M558" s="9" t="s">
        <v>1660</v>
      </c>
      <c r="N558" s="2" t="s">
        <v>444</v>
      </c>
      <c r="O558" s="2" t="s">
        <v>1661</v>
      </c>
      <c r="P558" s="2" t="s">
        <v>61</v>
      </c>
      <c r="Q558" s="2" t="s">
        <v>61</v>
      </c>
      <c r="R558" s="2" t="s">
        <v>60</v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2" t="s">
        <v>52</v>
      </c>
      <c r="AW558" s="2" t="s">
        <v>1662</v>
      </c>
      <c r="AX558" s="2" t="s">
        <v>52</v>
      </c>
      <c r="AY558" s="2" t="s">
        <v>52</v>
      </c>
    </row>
    <row r="559" spans="1:51" ht="30" customHeight="1" x14ac:dyDescent="0.3">
      <c r="A559" s="9" t="s">
        <v>1598</v>
      </c>
      <c r="B559" s="9" t="s">
        <v>822</v>
      </c>
      <c r="C559" s="9" t="s">
        <v>823</v>
      </c>
      <c r="D559" s="10">
        <v>0.18</v>
      </c>
      <c r="E559" s="15">
        <f>'단가대비표(총체)'!O205</f>
        <v>0</v>
      </c>
      <c r="F559" s="16">
        <f>TRUNC(E559*D559,1)</f>
        <v>0</v>
      </c>
      <c r="G559" s="15">
        <f>'단가대비표(총체)'!P205</f>
        <v>0</v>
      </c>
      <c r="H559" s="16">
        <f>TRUNC(G559*D559,1)</f>
        <v>0</v>
      </c>
      <c r="I559" s="15">
        <f>'단가대비표(총체)'!V205</f>
        <v>0</v>
      </c>
      <c r="J559" s="16">
        <f>TRUNC(I559*D559,1)</f>
        <v>0</v>
      </c>
      <c r="K559" s="15">
        <f t="shared" si="121"/>
        <v>0</v>
      </c>
      <c r="L559" s="16">
        <f t="shared" si="121"/>
        <v>0</v>
      </c>
      <c r="M559" s="9" t="s">
        <v>52</v>
      </c>
      <c r="N559" s="2" t="s">
        <v>444</v>
      </c>
      <c r="O559" s="2" t="s">
        <v>1599</v>
      </c>
      <c r="P559" s="2" t="s">
        <v>61</v>
      </c>
      <c r="Q559" s="2" t="s">
        <v>61</v>
      </c>
      <c r="R559" s="2" t="s">
        <v>60</v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2" t="s">
        <v>52</v>
      </c>
      <c r="AW559" s="2" t="s">
        <v>1663</v>
      </c>
      <c r="AX559" s="2" t="s">
        <v>52</v>
      </c>
      <c r="AY559" s="2" t="s">
        <v>52</v>
      </c>
    </row>
    <row r="560" spans="1:51" ht="30" customHeight="1" x14ac:dyDescent="0.3">
      <c r="A560" s="9" t="s">
        <v>821</v>
      </c>
      <c r="B560" s="9" t="s">
        <v>822</v>
      </c>
      <c r="C560" s="9" t="s">
        <v>823</v>
      </c>
      <c r="D560" s="10">
        <v>2.8000000000000001E-2</v>
      </c>
      <c r="E560" s="15">
        <f>'단가대비표(총체)'!O180</f>
        <v>0</v>
      </c>
      <c r="F560" s="16">
        <f>TRUNC(E560*D560,1)</f>
        <v>0</v>
      </c>
      <c r="G560" s="15">
        <f>'단가대비표(총체)'!P180</f>
        <v>0</v>
      </c>
      <c r="H560" s="16">
        <f>TRUNC(G560*D560,1)</f>
        <v>0</v>
      </c>
      <c r="I560" s="15">
        <f>'단가대비표(총체)'!V180</f>
        <v>0</v>
      </c>
      <c r="J560" s="16">
        <f>TRUNC(I560*D560,1)</f>
        <v>0</v>
      </c>
      <c r="K560" s="15">
        <f t="shared" si="121"/>
        <v>0</v>
      </c>
      <c r="L560" s="16">
        <f t="shared" si="121"/>
        <v>0</v>
      </c>
      <c r="M560" s="9" t="s">
        <v>52</v>
      </c>
      <c r="N560" s="2" t="s">
        <v>444</v>
      </c>
      <c r="O560" s="2" t="s">
        <v>824</v>
      </c>
      <c r="P560" s="2" t="s">
        <v>61</v>
      </c>
      <c r="Q560" s="2" t="s">
        <v>61</v>
      </c>
      <c r="R560" s="2" t="s">
        <v>60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2" t="s">
        <v>52</v>
      </c>
      <c r="AW560" s="2" t="s">
        <v>1664</v>
      </c>
      <c r="AX560" s="2" t="s">
        <v>52</v>
      </c>
      <c r="AY560" s="2" t="s">
        <v>52</v>
      </c>
    </row>
    <row r="561" spans="1:51" ht="30" customHeight="1" x14ac:dyDescent="0.3">
      <c r="A561" s="9" t="s">
        <v>811</v>
      </c>
      <c r="B561" s="9" t="s">
        <v>52</v>
      </c>
      <c r="C561" s="9" t="s">
        <v>52</v>
      </c>
      <c r="D561" s="10"/>
      <c r="E561" s="15"/>
      <c r="F561" s="16">
        <f>TRUNC(SUMIF(N558:N560, N557, F558:F560),0)</f>
        <v>0</v>
      </c>
      <c r="G561" s="15"/>
      <c r="H561" s="16">
        <f>TRUNC(SUMIF(N558:N560, N557, H558:H560),0)</f>
        <v>0</v>
      </c>
      <c r="I561" s="15"/>
      <c r="J561" s="16">
        <f>TRUNC(SUMIF(N558:N560, N557, J558:J560),0)</f>
        <v>0</v>
      </c>
      <c r="K561" s="15"/>
      <c r="L561" s="16">
        <f>F561+H561+J561</f>
        <v>0</v>
      </c>
      <c r="M561" s="9" t="s">
        <v>52</v>
      </c>
      <c r="N561" s="2" t="s">
        <v>94</v>
      </c>
      <c r="O561" s="2" t="s">
        <v>94</v>
      </c>
      <c r="P561" s="2" t="s">
        <v>52</v>
      </c>
      <c r="Q561" s="2" t="s">
        <v>52</v>
      </c>
      <c r="R561" s="2" t="s">
        <v>52</v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2" t="s">
        <v>52</v>
      </c>
      <c r="AW561" s="2" t="s">
        <v>52</v>
      </c>
      <c r="AX561" s="2" t="s">
        <v>52</v>
      </c>
      <c r="AY561" s="2" t="s">
        <v>52</v>
      </c>
    </row>
    <row r="562" spans="1:51" ht="30" customHeight="1" x14ac:dyDescent="0.3">
      <c r="A562" s="10"/>
      <c r="B562" s="10"/>
      <c r="C562" s="10"/>
      <c r="D562" s="10"/>
      <c r="E562" s="15"/>
      <c r="F562" s="16"/>
      <c r="G562" s="15"/>
      <c r="H562" s="16"/>
      <c r="I562" s="15"/>
      <c r="J562" s="16"/>
      <c r="K562" s="15"/>
      <c r="L562" s="16"/>
      <c r="M562" s="10"/>
    </row>
    <row r="563" spans="1:51" ht="30" customHeight="1" x14ac:dyDescent="0.3">
      <c r="A563" s="44" t="s">
        <v>1665</v>
      </c>
      <c r="B563" s="44"/>
      <c r="C563" s="44"/>
      <c r="D563" s="44"/>
      <c r="E563" s="45"/>
      <c r="F563" s="46"/>
      <c r="G563" s="45"/>
      <c r="H563" s="46"/>
      <c r="I563" s="45"/>
      <c r="J563" s="46"/>
      <c r="K563" s="45"/>
      <c r="L563" s="46"/>
      <c r="M563" s="44"/>
      <c r="N563" s="1" t="s">
        <v>447</v>
      </c>
    </row>
    <row r="564" spans="1:51" ht="30" customHeight="1" x14ac:dyDescent="0.3">
      <c r="A564" s="9" t="s">
        <v>438</v>
      </c>
      <c r="B564" s="9" t="s">
        <v>446</v>
      </c>
      <c r="C564" s="9" t="s">
        <v>427</v>
      </c>
      <c r="D564" s="10">
        <v>1</v>
      </c>
      <c r="E564" s="15">
        <f>'단가대비표(총체)'!O94</f>
        <v>0</v>
      </c>
      <c r="F564" s="16">
        <f>TRUNC(E564*D564,1)</f>
        <v>0</v>
      </c>
      <c r="G564" s="15">
        <f>'단가대비표(총체)'!P94</f>
        <v>0</v>
      </c>
      <c r="H564" s="16">
        <f>TRUNC(G564*D564,1)</f>
        <v>0</v>
      </c>
      <c r="I564" s="15">
        <f>'단가대비표(총체)'!V94</f>
        <v>0</v>
      </c>
      <c r="J564" s="16">
        <f>TRUNC(I564*D564,1)</f>
        <v>0</v>
      </c>
      <c r="K564" s="15">
        <f t="shared" ref="K564:L566" si="122">TRUNC(E564+G564+I564,1)</f>
        <v>0</v>
      </c>
      <c r="L564" s="16">
        <f t="shared" si="122"/>
        <v>0</v>
      </c>
      <c r="M564" s="9" t="s">
        <v>52</v>
      </c>
      <c r="N564" s="2" t="s">
        <v>447</v>
      </c>
      <c r="O564" s="2" t="s">
        <v>1667</v>
      </c>
      <c r="P564" s="2" t="s">
        <v>61</v>
      </c>
      <c r="Q564" s="2" t="s">
        <v>61</v>
      </c>
      <c r="R564" s="2" t="s">
        <v>60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2" t="s">
        <v>52</v>
      </c>
      <c r="AW564" s="2" t="s">
        <v>1668</v>
      </c>
      <c r="AX564" s="2" t="s">
        <v>52</v>
      </c>
      <c r="AY564" s="2" t="s">
        <v>52</v>
      </c>
    </row>
    <row r="565" spans="1:51" ht="30" customHeight="1" x14ac:dyDescent="0.3">
      <c r="A565" s="9" t="s">
        <v>1598</v>
      </c>
      <c r="B565" s="9" t="s">
        <v>822</v>
      </c>
      <c r="C565" s="9" t="s">
        <v>823</v>
      </c>
      <c r="D565" s="10">
        <v>8.6999999999999994E-2</v>
      </c>
      <c r="E565" s="15">
        <f>'단가대비표(총체)'!O205</f>
        <v>0</v>
      </c>
      <c r="F565" s="16">
        <f>TRUNC(E565*D565,1)</f>
        <v>0</v>
      </c>
      <c r="G565" s="15">
        <f>'단가대비표(총체)'!P205</f>
        <v>0</v>
      </c>
      <c r="H565" s="16">
        <f>TRUNC(G565*D565,1)</f>
        <v>0</v>
      </c>
      <c r="I565" s="15">
        <f>'단가대비표(총체)'!V205</f>
        <v>0</v>
      </c>
      <c r="J565" s="16">
        <f>TRUNC(I565*D565,1)</f>
        <v>0</v>
      </c>
      <c r="K565" s="15">
        <f t="shared" si="122"/>
        <v>0</v>
      </c>
      <c r="L565" s="16">
        <f t="shared" si="122"/>
        <v>0</v>
      </c>
      <c r="M565" s="9" t="s">
        <v>52</v>
      </c>
      <c r="N565" s="2" t="s">
        <v>447</v>
      </c>
      <c r="O565" s="2" t="s">
        <v>1599</v>
      </c>
      <c r="P565" s="2" t="s">
        <v>61</v>
      </c>
      <c r="Q565" s="2" t="s">
        <v>61</v>
      </c>
      <c r="R565" s="2" t="s">
        <v>60</v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2" t="s">
        <v>52</v>
      </c>
      <c r="AW565" s="2" t="s">
        <v>1669</v>
      </c>
      <c r="AX565" s="2" t="s">
        <v>52</v>
      </c>
      <c r="AY565" s="2" t="s">
        <v>52</v>
      </c>
    </row>
    <row r="566" spans="1:51" ht="30" customHeight="1" x14ac:dyDescent="0.3">
      <c r="A566" s="9" t="s">
        <v>821</v>
      </c>
      <c r="B566" s="9" t="s">
        <v>822</v>
      </c>
      <c r="C566" s="9" t="s">
        <v>823</v>
      </c>
      <c r="D566" s="10">
        <v>1.7000000000000001E-2</v>
      </c>
      <c r="E566" s="15">
        <f>'단가대비표(총체)'!O180</f>
        <v>0</v>
      </c>
      <c r="F566" s="16">
        <f>TRUNC(E566*D566,1)</f>
        <v>0</v>
      </c>
      <c r="G566" s="15">
        <f>'단가대비표(총체)'!P180</f>
        <v>0</v>
      </c>
      <c r="H566" s="16">
        <f>TRUNC(G566*D566,1)</f>
        <v>0</v>
      </c>
      <c r="I566" s="15">
        <f>'단가대비표(총체)'!V180</f>
        <v>0</v>
      </c>
      <c r="J566" s="16">
        <f>TRUNC(I566*D566,1)</f>
        <v>0</v>
      </c>
      <c r="K566" s="15">
        <f t="shared" si="122"/>
        <v>0</v>
      </c>
      <c r="L566" s="16">
        <f t="shared" si="122"/>
        <v>0</v>
      </c>
      <c r="M566" s="9" t="s">
        <v>52</v>
      </c>
      <c r="N566" s="2" t="s">
        <v>447</v>
      </c>
      <c r="O566" s="2" t="s">
        <v>824</v>
      </c>
      <c r="P566" s="2" t="s">
        <v>61</v>
      </c>
      <c r="Q566" s="2" t="s">
        <v>61</v>
      </c>
      <c r="R566" s="2" t="s">
        <v>60</v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2" t="s">
        <v>52</v>
      </c>
      <c r="AW566" s="2" t="s">
        <v>1670</v>
      </c>
      <c r="AX566" s="2" t="s">
        <v>52</v>
      </c>
      <c r="AY566" s="2" t="s">
        <v>52</v>
      </c>
    </row>
    <row r="567" spans="1:51" ht="30" customHeight="1" x14ac:dyDescent="0.3">
      <c r="A567" s="9" t="s">
        <v>811</v>
      </c>
      <c r="B567" s="9" t="s">
        <v>52</v>
      </c>
      <c r="C567" s="9" t="s">
        <v>52</v>
      </c>
      <c r="D567" s="10"/>
      <c r="E567" s="15"/>
      <c r="F567" s="16">
        <f>TRUNC(SUMIF(N564:N566, N563, F564:F566),0)</f>
        <v>0</v>
      </c>
      <c r="G567" s="15"/>
      <c r="H567" s="16">
        <f>TRUNC(SUMIF(N564:N566, N563, H564:H566),0)</f>
        <v>0</v>
      </c>
      <c r="I567" s="15"/>
      <c r="J567" s="16">
        <f>TRUNC(SUMIF(N564:N566, N563, J564:J566),0)</f>
        <v>0</v>
      </c>
      <c r="K567" s="15"/>
      <c r="L567" s="16">
        <f>F567+H567+J567</f>
        <v>0</v>
      </c>
      <c r="M567" s="9" t="s">
        <v>52</v>
      </c>
      <c r="N567" s="2" t="s">
        <v>94</v>
      </c>
      <c r="O567" s="2" t="s">
        <v>94</v>
      </c>
      <c r="P567" s="2" t="s">
        <v>52</v>
      </c>
      <c r="Q567" s="2" t="s">
        <v>52</v>
      </c>
      <c r="R567" s="2" t="s">
        <v>52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2" t="s">
        <v>52</v>
      </c>
      <c r="AW567" s="2" t="s">
        <v>52</v>
      </c>
      <c r="AX567" s="2" t="s">
        <v>52</v>
      </c>
      <c r="AY567" s="2" t="s">
        <v>52</v>
      </c>
    </row>
    <row r="568" spans="1:51" ht="30" customHeight="1" x14ac:dyDescent="0.3">
      <c r="A568" s="10"/>
      <c r="B568" s="10"/>
      <c r="C568" s="10"/>
      <c r="D568" s="10"/>
      <c r="E568" s="15"/>
      <c r="F568" s="16"/>
      <c r="G568" s="15"/>
      <c r="H568" s="16"/>
      <c r="I568" s="15"/>
      <c r="J568" s="16"/>
      <c r="K568" s="15"/>
      <c r="L568" s="16"/>
      <c r="M568" s="10"/>
    </row>
    <row r="569" spans="1:51" ht="30" customHeight="1" x14ac:dyDescent="0.3">
      <c r="A569" s="44" t="s">
        <v>1671</v>
      </c>
      <c r="B569" s="44"/>
      <c r="C569" s="44"/>
      <c r="D569" s="44"/>
      <c r="E569" s="45"/>
      <c r="F569" s="46"/>
      <c r="G569" s="45"/>
      <c r="H569" s="46"/>
      <c r="I569" s="45"/>
      <c r="J569" s="46"/>
      <c r="K569" s="45"/>
      <c r="L569" s="46"/>
      <c r="M569" s="44"/>
      <c r="N569" s="1" t="s">
        <v>451</v>
      </c>
    </row>
    <row r="570" spans="1:51" ht="30" customHeight="1" x14ac:dyDescent="0.3">
      <c r="A570" s="9" t="s">
        <v>1673</v>
      </c>
      <c r="B570" s="9" t="s">
        <v>1674</v>
      </c>
      <c r="C570" s="9" t="s">
        <v>427</v>
      </c>
      <c r="D570" s="10">
        <v>1</v>
      </c>
      <c r="E570" s="15">
        <f>'단가대비표(총체)'!O89</f>
        <v>0</v>
      </c>
      <c r="F570" s="16">
        <f>TRUNC(E570*D570,1)</f>
        <v>0</v>
      </c>
      <c r="G570" s="15">
        <f>'단가대비표(총체)'!P89</f>
        <v>0</v>
      </c>
      <c r="H570" s="16">
        <f>TRUNC(G570*D570,1)</f>
        <v>0</v>
      </c>
      <c r="I570" s="15">
        <f>'단가대비표(총체)'!V89</f>
        <v>0</v>
      </c>
      <c r="J570" s="16">
        <f>TRUNC(I570*D570,1)</f>
        <v>0</v>
      </c>
      <c r="K570" s="15">
        <f>TRUNC(E570+G570+I570,1)</f>
        <v>0</v>
      </c>
      <c r="L570" s="16">
        <f>TRUNC(F570+H570+J570,1)</f>
        <v>0</v>
      </c>
      <c r="M570" s="9" t="s">
        <v>52</v>
      </c>
      <c r="N570" s="2" t="s">
        <v>451</v>
      </c>
      <c r="O570" s="2" t="s">
        <v>1675</v>
      </c>
      <c r="P570" s="2" t="s">
        <v>61</v>
      </c>
      <c r="Q570" s="2" t="s">
        <v>61</v>
      </c>
      <c r="R570" s="2" t="s">
        <v>60</v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2" t="s">
        <v>52</v>
      </c>
      <c r="AW570" s="2" t="s">
        <v>1676</v>
      </c>
      <c r="AX570" s="2" t="s">
        <v>52</v>
      </c>
      <c r="AY570" s="2" t="s">
        <v>52</v>
      </c>
    </row>
    <row r="571" spans="1:51" ht="30" customHeight="1" x14ac:dyDescent="0.3">
      <c r="A571" s="9" t="s">
        <v>1598</v>
      </c>
      <c r="B571" s="9" t="s">
        <v>822</v>
      </c>
      <c r="C571" s="9" t="s">
        <v>823</v>
      </c>
      <c r="D571" s="10">
        <v>9.9000000000000005E-2</v>
      </c>
      <c r="E571" s="15">
        <f>'단가대비표(총체)'!O205</f>
        <v>0</v>
      </c>
      <c r="F571" s="16">
        <f>TRUNC(E571*D571,1)</f>
        <v>0</v>
      </c>
      <c r="G571" s="15">
        <f>'단가대비표(총체)'!P205</f>
        <v>0</v>
      </c>
      <c r="H571" s="16">
        <f>TRUNC(G571*D571,1)</f>
        <v>0</v>
      </c>
      <c r="I571" s="15">
        <f>'단가대비표(총체)'!V205</f>
        <v>0</v>
      </c>
      <c r="J571" s="16">
        <f>TRUNC(I571*D571,1)</f>
        <v>0</v>
      </c>
      <c r="K571" s="15">
        <f>TRUNC(E571+G571+I571,1)</f>
        <v>0</v>
      </c>
      <c r="L571" s="16">
        <f>TRUNC(F571+H571+J571,1)</f>
        <v>0</v>
      </c>
      <c r="M571" s="9" t="s">
        <v>52</v>
      </c>
      <c r="N571" s="2" t="s">
        <v>451</v>
      </c>
      <c r="O571" s="2" t="s">
        <v>1599</v>
      </c>
      <c r="P571" s="2" t="s">
        <v>61</v>
      </c>
      <c r="Q571" s="2" t="s">
        <v>61</v>
      </c>
      <c r="R571" s="2" t="s">
        <v>60</v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2" t="s">
        <v>52</v>
      </c>
      <c r="AW571" s="2" t="s">
        <v>1677</v>
      </c>
      <c r="AX571" s="2" t="s">
        <v>52</v>
      </c>
      <c r="AY571" s="2" t="s">
        <v>52</v>
      </c>
    </row>
    <row r="572" spans="1:51" ht="30" customHeight="1" x14ac:dyDescent="0.3">
      <c r="A572" s="9" t="s">
        <v>811</v>
      </c>
      <c r="B572" s="9" t="s">
        <v>52</v>
      </c>
      <c r="C572" s="9" t="s">
        <v>52</v>
      </c>
      <c r="D572" s="10"/>
      <c r="E572" s="15"/>
      <c r="F572" s="16">
        <f>TRUNC(SUMIF(N570:N571, N569, F570:F571),0)</f>
        <v>0</v>
      </c>
      <c r="G572" s="15"/>
      <c r="H572" s="16">
        <f>TRUNC(SUMIF(N570:N571, N569, H570:H571),0)</f>
        <v>0</v>
      </c>
      <c r="I572" s="15"/>
      <c r="J572" s="16">
        <f>TRUNC(SUMIF(N570:N571, N569, J570:J571),0)</f>
        <v>0</v>
      </c>
      <c r="K572" s="15"/>
      <c r="L572" s="16">
        <f>F572+H572+J572</f>
        <v>0</v>
      </c>
      <c r="M572" s="9" t="s">
        <v>52</v>
      </c>
      <c r="N572" s="2" t="s">
        <v>94</v>
      </c>
      <c r="O572" s="2" t="s">
        <v>94</v>
      </c>
      <c r="P572" s="2" t="s">
        <v>52</v>
      </c>
      <c r="Q572" s="2" t="s">
        <v>52</v>
      </c>
      <c r="R572" s="2" t="s">
        <v>52</v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2" t="s">
        <v>52</v>
      </c>
      <c r="AW572" s="2" t="s">
        <v>52</v>
      </c>
      <c r="AX572" s="2" t="s">
        <v>52</v>
      </c>
      <c r="AY572" s="2" t="s">
        <v>52</v>
      </c>
    </row>
    <row r="573" spans="1:51" ht="30" customHeight="1" x14ac:dyDescent="0.3">
      <c r="A573" s="10"/>
      <c r="B573" s="10"/>
      <c r="C573" s="10"/>
      <c r="D573" s="10"/>
      <c r="E573" s="15"/>
      <c r="F573" s="16"/>
      <c r="G573" s="15"/>
      <c r="H573" s="16"/>
      <c r="I573" s="15"/>
      <c r="J573" s="16"/>
      <c r="K573" s="15"/>
      <c r="L573" s="16"/>
      <c r="M573" s="10"/>
    </row>
    <row r="574" spans="1:51" ht="30" customHeight="1" x14ac:dyDescent="0.3">
      <c r="A574" s="44" t="s">
        <v>1678</v>
      </c>
      <c r="B574" s="44"/>
      <c r="C574" s="44"/>
      <c r="D574" s="44"/>
      <c r="E574" s="45"/>
      <c r="F574" s="46"/>
      <c r="G574" s="45"/>
      <c r="H574" s="46"/>
      <c r="I574" s="45"/>
      <c r="J574" s="46"/>
      <c r="K574" s="45"/>
      <c r="L574" s="46"/>
      <c r="M574" s="44"/>
      <c r="N574" s="1" t="s">
        <v>455</v>
      </c>
    </row>
    <row r="575" spans="1:51" ht="30" customHeight="1" x14ac:dyDescent="0.3">
      <c r="A575" s="9" t="s">
        <v>1680</v>
      </c>
      <c r="B575" s="9" t="s">
        <v>454</v>
      </c>
      <c r="C575" s="9" t="s">
        <v>427</v>
      </c>
      <c r="D575" s="10">
        <v>1</v>
      </c>
      <c r="E575" s="15">
        <f>'단가대비표(총체)'!O95</f>
        <v>0</v>
      </c>
      <c r="F575" s="16">
        <f>TRUNC(E575*D575,1)</f>
        <v>0</v>
      </c>
      <c r="G575" s="15">
        <f>'단가대비표(총체)'!P95</f>
        <v>0</v>
      </c>
      <c r="H575" s="16">
        <f>TRUNC(G575*D575,1)</f>
        <v>0</v>
      </c>
      <c r="I575" s="15">
        <f>'단가대비표(총체)'!V95</f>
        <v>0</v>
      </c>
      <c r="J575" s="16">
        <f>TRUNC(I575*D575,1)</f>
        <v>0</v>
      </c>
      <c r="K575" s="15">
        <f>TRUNC(E575+G575+I575,1)</f>
        <v>0</v>
      </c>
      <c r="L575" s="16">
        <f>TRUNC(F575+H575+J575,1)</f>
        <v>0</v>
      </c>
      <c r="M575" s="9" t="s">
        <v>52</v>
      </c>
      <c r="N575" s="2" t="s">
        <v>455</v>
      </c>
      <c r="O575" s="2" t="s">
        <v>1681</v>
      </c>
      <c r="P575" s="2" t="s">
        <v>61</v>
      </c>
      <c r="Q575" s="2" t="s">
        <v>61</v>
      </c>
      <c r="R575" s="2" t="s">
        <v>60</v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2" t="s">
        <v>52</v>
      </c>
      <c r="AW575" s="2" t="s">
        <v>1682</v>
      </c>
      <c r="AX575" s="2" t="s">
        <v>52</v>
      </c>
      <c r="AY575" s="2" t="s">
        <v>52</v>
      </c>
    </row>
    <row r="576" spans="1:51" ht="30" customHeight="1" x14ac:dyDescent="0.3">
      <c r="A576" s="9" t="s">
        <v>1598</v>
      </c>
      <c r="B576" s="9" t="s">
        <v>822</v>
      </c>
      <c r="C576" s="9" t="s">
        <v>823</v>
      </c>
      <c r="D576" s="10">
        <v>7.0999999999999994E-2</v>
      </c>
      <c r="E576" s="15">
        <f>'단가대비표(총체)'!O205</f>
        <v>0</v>
      </c>
      <c r="F576" s="16">
        <f>TRUNC(E576*D576,1)</f>
        <v>0</v>
      </c>
      <c r="G576" s="15">
        <f>'단가대비표(총체)'!P205</f>
        <v>0</v>
      </c>
      <c r="H576" s="16">
        <f>TRUNC(G576*D576,1)</f>
        <v>0</v>
      </c>
      <c r="I576" s="15">
        <f>'단가대비표(총체)'!V205</f>
        <v>0</v>
      </c>
      <c r="J576" s="16">
        <f>TRUNC(I576*D576,1)</f>
        <v>0</v>
      </c>
      <c r="K576" s="15">
        <f>TRUNC(E576+G576+I576,1)</f>
        <v>0</v>
      </c>
      <c r="L576" s="16">
        <f>TRUNC(F576+H576+J576,1)</f>
        <v>0</v>
      </c>
      <c r="M576" s="9" t="s">
        <v>52</v>
      </c>
      <c r="N576" s="2" t="s">
        <v>455</v>
      </c>
      <c r="O576" s="2" t="s">
        <v>1599</v>
      </c>
      <c r="P576" s="2" t="s">
        <v>61</v>
      </c>
      <c r="Q576" s="2" t="s">
        <v>61</v>
      </c>
      <c r="R576" s="2" t="s">
        <v>60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2" t="s">
        <v>52</v>
      </c>
      <c r="AW576" s="2" t="s">
        <v>1683</v>
      </c>
      <c r="AX576" s="2" t="s">
        <v>52</v>
      </c>
      <c r="AY576" s="2" t="s">
        <v>52</v>
      </c>
    </row>
    <row r="577" spans="1:51" ht="30" customHeight="1" x14ac:dyDescent="0.3">
      <c r="A577" s="9" t="s">
        <v>811</v>
      </c>
      <c r="B577" s="9" t="s">
        <v>52</v>
      </c>
      <c r="C577" s="9" t="s">
        <v>52</v>
      </c>
      <c r="D577" s="10"/>
      <c r="E577" s="15"/>
      <c r="F577" s="16">
        <f>TRUNC(SUMIF(N575:N576, N574, F575:F576),0)</f>
        <v>0</v>
      </c>
      <c r="G577" s="15"/>
      <c r="H577" s="16">
        <f>TRUNC(SUMIF(N575:N576, N574, H575:H576),0)</f>
        <v>0</v>
      </c>
      <c r="I577" s="15"/>
      <c r="J577" s="16">
        <f>TRUNC(SUMIF(N575:N576, N574, J575:J576),0)</f>
        <v>0</v>
      </c>
      <c r="K577" s="15"/>
      <c r="L577" s="16">
        <f>F577+H577+J577</f>
        <v>0</v>
      </c>
      <c r="M577" s="9" t="s">
        <v>52</v>
      </c>
      <c r="N577" s="2" t="s">
        <v>94</v>
      </c>
      <c r="O577" s="2" t="s">
        <v>94</v>
      </c>
      <c r="P577" s="2" t="s">
        <v>52</v>
      </c>
      <c r="Q577" s="2" t="s">
        <v>52</v>
      </c>
      <c r="R577" s="2" t="s">
        <v>52</v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2" t="s">
        <v>52</v>
      </c>
      <c r="AW577" s="2" t="s">
        <v>52</v>
      </c>
      <c r="AX577" s="2" t="s">
        <v>52</v>
      </c>
      <c r="AY577" s="2" t="s">
        <v>52</v>
      </c>
    </row>
    <row r="578" spans="1:51" ht="30" customHeight="1" x14ac:dyDescent="0.3">
      <c r="A578" s="10"/>
      <c r="B578" s="10"/>
      <c r="C578" s="10"/>
      <c r="D578" s="10"/>
      <c r="E578" s="15"/>
      <c r="F578" s="16"/>
      <c r="G578" s="15"/>
      <c r="H578" s="16"/>
      <c r="I578" s="15"/>
      <c r="J578" s="16"/>
      <c r="K578" s="15"/>
      <c r="L578" s="16"/>
      <c r="M578" s="10"/>
    </row>
    <row r="579" spans="1:51" ht="30" customHeight="1" x14ac:dyDescent="0.3">
      <c r="A579" s="44" t="s">
        <v>1684</v>
      </c>
      <c r="B579" s="44"/>
      <c r="C579" s="44"/>
      <c r="D579" s="44"/>
      <c r="E579" s="45"/>
      <c r="F579" s="46"/>
      <c r="G579" s="45"/>
      <c r="H579" s="46"/>
      <c r="I579" s="45"/>
      <c r="J579" s="46"/>
      <c r="K579" s="45"/>
      <c r="L579" s="46"/>
      <c r="M579" s="44"/>
      <c r="N579" s="1" t="s">
        <v>459</v>
      </c>
    </row>
    <row r="580" spans="1:51" ht="30" customHeight="1" x14ac:dyDescent="0.3">
      <c r="A580" s="9" t="s">
        <v>1686</v>
      </c>
      <c r="B580" s="9" t="s">
        <v>458</v>
      </c>
      <c r="C580" s="9" t="s">
        <v>427</v>
      </c>
      <c r="D580" s="10">
        <v>1</v>
      </c>
      <c r="E580" s="15">
        <f>'단가대비표(총체)'!O172</f>
        <v>0</v>
      </c>
      <c r="F580" s="16">
        <f>TRUNC(E580*D580,1)</f>
        <v>0</v>
      </c>
      <c r="G580" s="15">
        <f>'단가대비표(총체)'!P172</f>
        <v>0</v>
      </c>
      <c r="H580" s="16">
        <f>TRUNC(G580*D580,1)</f>
        <v>0</v>
      </c>
      <c r="I580" s="15">
        <f>'단가대비표(총체)'!V172</f>
        <v>0</v>
      </c>
      <c r="J580" s="16">
        <f>TRUNC(I580*D580,1)</f>
        <v>0</v>
      </c>
      <c r="K580" s="15">
        <f t="shared" ref="K580:L582" si="123">TRUNC(E580+G580+I580,1)</f>
        <v>0</v>
      </c>
      <c r="L580" s="16">
        <f t="shared" si="123"/>
        <v>0</v>
      </c>
      <c r="M580" s="9" t="s">
        <v>52</v>
      </c>
      <c r="N580" s="2" t="s">
        <v>459</v>
      </c>
      <c r="O580" s="2" t="s">
        <v>1687</v>
      </c>
      <c r="P580" s="2" t="s">
        <v>61</v>
      </c>
      <c r="Q580" s="2" t="s">
        <v>61</v>
      </c>
      <c r="R580" s="2" t="s">
        <v>60</v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2" t="s">
        <v>52</v>
      </c>
      <c r="AW580" s="2" t="s">
        <v>1688</v>
      </c>
      <c r="AX580" s="2" t="s">
        <v>52</v>
      </c>
      <c r="AY580" s="2" t="s">
        <v>52</v>
      </c>
    </row>
    <row r="581" spans="1:51" ht="30" customHeight="1" x14ac:dyDescent="0.3">
      <c r="A581" s="9" t="s">
        <v>1689</v>
      </c>
      <c r="B581" s="9" t="s">
        <v>822</v>
      </c>
      <c r="C581" s="9" t="s">
        <v>823</v>
      </c>
      <c r="D581" s="10">
        <v>0.151</v>
      </c>
      <c r="E581" s="15">
        <f>'단가대비표(총체)'!O203</f>
        <v>0</v>
      </c>
      <c r="F581" s="16">
        <f>TRUNC(E581*D581,1)</f>
        <v>0</v>
      </c>
      <c r="G581" s="15">
        <f>'단가대비표(총체)'!P203</f>
        <v>0</v>
      </c>
      <c r="H581" s="16">
        <f>TRUNC(G581*D581,1)</f>
        <v>0</v>
      </c>
      <c r="I581" s="15">
        <f>'단가대비표(총체)'!V203</f>
        <v>0</v>
      </c>
      <c r="J581" s="16">
        <f>TRUNC(I581*D581,1)</f>
        <v>0</v>
      </c>
      <c r="K581" s="15">
        <f t="shared" si="123"/>
        <v>0</v>
      </c>
      <c r="L581" s="16">
        <f t="shared" si="123"/>
        <v>0</v>
      </c>
      <c r="M581" s="9" t="s">
        <v>52</v>
      </c>
      <c r="N581" s="2" t="s">
        <v>459</v>
      </c>
      <c r="O581" s="2" t="s">
        <v>1690</v>
      </c>
      <c r="P581" s="2" t="s">
        <v>61</v>
      </c>
      <c r="Q581" s="2" t="s">
        <v>61</v>
      </c>
      <c r="R581" s="2" t="s">
        <v>60</v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2" t="s">
        <v>52</v>
      </c>
      <c r="AW581" s="2" t="s">
        <v>1691</v>
      </c>
      <c r="AX581" s="2" t="s">
        <v>52</v>
      </c>
      <c r="AY581" s="2" t="s">
        <v>52</v>
      </c>
    </row>
    <row r="582" spans="1:51" ht="30" customHeight="1" x14ac:dyDescent="0.3">
      <c r="A582" s="9" t="s">
        <v>821</v>
      </c>
      <c r="B582" s="9" t="s">
        <v>822</v>
      </c>
      <c r="C582" s="9" t="s">
        <v>823</v>
      </c>
      <c r="D582" s="10">
        <v>5.0999999999999997E-2</v>
      </c>
      <c r="E582" s="15">
        <f>'단가대비표(총체)'!O180</f>
        <v>0</v>
      </c>
      <c r="F582" s="16">
        <f>TRUNC(E582*D582,1)</f>
        <v>0</v>
      </c>
      <c r="G582" s="15">
        <f>'단가대비표(총체)'!P180</f>
        <v>0</v>
      </c>
      <c r="H582" s="16">
        <f>TRUNC(G582*D582,1)</f>
        <v>0</v>
      </c>
      <c r="I582" s="15">
        <f>'단가대비표(총체)'!V180</f>
        <v>0</v>
      </c>
      <c r="J582" s="16">
        <f>TRUNC(I582*D582,1)</f>
        <v>0</v>
      </c>
      <c r="K582" s="15">
        <f t="shared" si="123"/>
        <v>0</v>
      </c>
      <c r="L582" s="16">
        <f t="shared" si="123"/>
        <v>0</v>
      </c>
      <c r="M582" s="9" t="s">
        <v>52</v>
      </c>
      <c r="N582" s="2" t="s">
        <v>459</v>
      </c>
      <c r="O582" s="2" t="s">
        <v>824</v>
      </c>
      <c r="P582" s="2" t="s">
        <v>61</v>
      </c>
      <c r="Q582" s="2" t="s">
        <v>61</v>
      </c>
      <c r="R582" s="2" t="s">
        <v>60</v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2" t="s">
        <v>52</v>
      </c>
      <c r="AW582" s="2" t="s">
        <v>1692</v>
      </c>
      <c r="AX582" s="2" t="s">
        <v>52</v>
      </c>
      <c r="AY582" s="2" t="s">
        <v>52</v>
      </c>
    </row>
    <row r="583" spans="1:51" ht="30" customHeight="1" x14ac:dyDescent="0.3">
      <c r="A583" s="9" t="s">
        <v>811</v>
      </c>
      <c r="B583" s="9" t="s">
        <v>52</v>
      </c>
      <c r="C583" s="9" t="s">
        <v>52</v>
      </c>
      <c r="D583" s="10"/>
      <c r="E583" s="15"/>
      <c r="F583" s="16">
        <f>TRUNC(SUMIF(N580:N582, N579, F580:F582),0)</f>
        <v>0</v>
      </c>
      <c r="G583" s="15"/>
      <c r="H583" s="16">
        <f>TRUNC(SUMIF(N580:N582, N579, H580:H582),0)</f>
        <v>0</v>
      </c>
      <c r="I583" s="15"/>
      <c r="J583" s="16">
        <f>TRUNC(SUMIF(N580:N582, N579, J580:J582),0)</f>
        <v>0</v>
      </c>
      <c r="K583" s="15"/>
      <c r="L583" s="16">
        <f>F583+H583+J583</f>
        <v>0</v>
      </c>
      <c r="M583" s="9" t="s">
        <v>52</v>
      </c>
      <c r="N583" s="2" t="s">
        <v>94</v>
      </c>
      <c r="O583" s="2" t="s">
        <v>94</v>
      </c>
      <c r="P583" s="2" t="s">
        <v>52</v>
      </c>
      <c r="Q583" s="2" t="s">
        <v>52</v>
      </c>
      <c r="R583" s="2" t="s">
        <v>52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2" t="s">
        <v>52</v>
      </c>
      <c r="AW583" s="2" t="s">
        <v>52</v>
      </c>
      <c r="AX583" s="2" t="s">
        <v>52</v>
      </c>
      <c r="AY583" s="2" t="s">
        <v>52</v>
      </c>
    </row>
    <row r="584" spans="1:51" ht="30" customHeight="1" x14ac:dyDescent="0.3">
      <c r="A584" s="10"/>
      <c r="B584" s="10"/>
      <c r="C584" s="10"/>
      <c r="D584" s="10"/>
      <c r="E584" s="15"/>
      <c r="F584" s="16"/>
      <c r="G584" s="15"/>
      <c r="H584" s="16"/>
      <c r="I584" s="15"/>
      <c r="J584" s="16"/>
      <c r="K584" s="15"/>
      <c r="L584" s="16"/>
      <c r="M584" s="10"/>
    </row>
    <row r="585" spans="1:51" ht="30" customHeight="1" x14ac:dyDescent="0.3">
      <c r="A585" s="44" t="s">
        <v>1693</v>
      </c>
      <c r="B585" s="44"/>
      <c r="C585" s="44"/>
      <c r="D585" s="44"/>
      <c r="E585" s="45"/>
      <c r="F585" s="46"/>
      <c r="G585" s="45"/>
      <c r="H585" s="46"/>
      <c r="I585" s="45"/>
      <c r="J585" s="46"/>
      <c r="K585" s="45"/>
      <c r="L585" s="46"/>
      <c r="M585" s="44"/>
      <c r="N585" s="1" t="s">
        <v>462</v>
      </c>
    </row>
    <row r="586" spans="1:51" ht="30" customHeight="1" x14ac:dyDescent="0.3">
      <c r="A586" s="9" t="s">
        <v>1686</v>
      </c>
      <c r="B586" s="9" t="s">
        <v>458</v>
      </c>
      <c r="C586" s="9" t="s">
        <v>427</v>
      </c>
      <c r="D586" s="10">
        <v>1</v>
      </c>
      <c r="E586" s="15">
        <f>'단가대비표(총체)'!O172</f>
        <v>0</v>
      </c>
      <c r="F586" s="16">
        <f>TRUNC(E586*D586,1)</f>
        <v>0</v>
      </c>
      <c r="G586" s="15">
        <f>'단가대비표(총체)'!P172</f>
        <v>0</v>
      </c>
      <c r="H586" s="16">
        <f>TRUNC(G586*D586,1)</f>
        <v>0</v>
      </c>
      <c r="I586" s="15">
        <f>'단가대비표(총체)'!V172</f>
        <v>0</v>
      </c>
      <c r="J586" s="16">
        <f>TRUNC(I586*D586,1)</f>
        <v>0</v>
      </c>
      <c r="K586" s="15">
        <f t="shared" ref="K586:L588" si="124">TRUNC(E586+G586+I586,1)</f>
        <v>0</v>
      </c>
      <c r="L586" s="16">
        <f t="shared" si="124"/>
        <v>0</v>
      </c>
      <c r="M586" s="9" t="s">
        <v>52</v>
      </c>
      <c r="N586" s="2" t="s">
        <v>462</v>
      </c>
      <c r="O586" s="2" t="s">
        <v>1687</v>
      </c>
      <c r="P586" s="2" t="s">
        <v>61</v>
      </c>
      <c r="Q586" s="2" t="s">
        <v>61</v>
      </c>
      <c r="R586" s="2" t="s">
        <v>60</v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2" t="s">
        <v>52</v>
      </c>
      <c r="AW586" s="2" t="s">
        <v>1695</v>
      </c>
      <c r="AX586" s="2" t="s">
        <v>52</v>
      </c>
      <c r="AY586" s="2" t="s">
        <v>52</v>
      </c>
    </row>
    <row r="587" spans="1:51" ht="30" customHeight="1" x14ac:dyDescent="0.3">
      <c r="A587" s="9" t="s">
        <v>1689</v>
      </c>
      <c r="B587" s="9" t="s">
        <v>822</v>
      </c>
      <c r="C587" s="9" t="s">
        <v>823</v>
      </c>
      <c r="D587" s="10">
        <v>0.151</v>
      </c>
      <c r="E587" s="15">
        <f>'단가대비표(총체)'!O203</f>
        <v>0</v>
      </c>
      <c r="F587" s="16">
        <f>TRUNC(E587*D587,1)</f>
        <v>0</v>
      </c>
      <c r="G587" s="15">
        <f>'단가대비표(총체)'!P203</f>
        <v>0</v>
      </c>
      <c r="H587" s="16">
        <f>TRUNC(G587*D587,1)</f>
        <v>0</v>
      </c>
      <c r="I587" s="15">
        <f>'단가대비표(총체)'!V203</f>
        <v>0</v>
      </c>
      <c r="J587" s="16">
        <f>TRUNC(I587*D587,1)</f>
        <v>0</v>
      </c>
      <c r="K587" s="15">
        <f t="shared" si="124"/>
        <v>0</v>
      </c>
      <c r="L587" s="16">
        <f t="shared" si="124"/>
        <v>0</v>
      </c>
      <c r="M587" s="9" t="s">
        <v>52</v>
      </c>
      <c r="N587" s="2" t="s">
        <v>462</v>
      </c>
      <c r="O587" s="2" t="s">
        <v>1690</v>
      </c>
      <c r="P587" s="2" t="s">
        <v>61</v>
      </c>
      <c r="Q587" s="2" t="s">
        <v>61</v>
      </c>
      <c r="R587" s="2" t="s">
        <v>60</v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2" t="s">
        <v>52</v>
      </c>
      <c r="AW587" s="2" t="s">
        <v>1696</v>
      </c>
      <c r="AX587" s="2" t="s">
        <v>52</v>
      </c>
      <c r="AY587" s="2" t="s">
        <v>52</v>
      </c>
    </row>
    <row r="588" spans="1:51" ht="30" customHeight="1" x14ac:dyDescent="0.3">
      <c r="A588" s="9" t="s">
        <v>821</v>
      </c>
      <c r="B588" s="9" t="s">
        <v>822</v>
      </c>
      <c r="C588" s="9" t="s">
        <v>823</v>
      </c>
      <c r="D588" s="10">
        <v>5.0999999999999997E-2</v>
      </c>
      <c r="E588" s="15">
        <f>'단가대비표(총체)'!O180</f>
        <v>0</v>
      </c>
      <c r="F588" s="16">
        <f>TRUNC(E588*D588,1)</f>
        <v>0</v>
      </c>
      <c r="G588" s="15">
        <f>'단가대비표(총체)'!P180</f>
        <v>0</v>
      </c>
      <c r="H588" s="16">
        <f>TRUNC(G588*D588,1)</f>
        <v>0</v>
      </c>
      <c r="I588" s="15">
        <f>'단가대비표(총체)'!V180</f>
        <v>0</v>
      </c>
      <c r="J588" s="16">
        <f>TRUNC(I588*D588,1)</f>
        <v>0</v>
      </c>
      <c r="K588" s="15">
        <f t="shared" si="124"/>
        <v>0</v>
      </c>
      <c r="L588" s="16">
        <f t="shared" si="124"/>
        <v>0</v>
      </c>
      <c r="M588" s="9" t="s">
        <v>52</v>
      </c>
      <c r="N588" s="2" t="s">
        <v>462</v>
      </c>
      <c r="O588" s="2" t="s">
        <v>824</v>
      </c>
      <c r="P588" s="2" t="s">
        <v>61</v>
      </c>
      <c r="Q588" s="2" t="s">
        <v>61</v>
      </c>
      <c r="R588" s="2" t="s">
        <v>60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2" t="s">
        <v>52</v>
      </c>
      <c r="AW588" s="2" t="s">
        <v>1697</v>
      </c>
      <c r="AX588" s="2" t="s">
        <v>52</v>
      </c>
      <c r="AY588" s="2" t="s">
        <v>52</v>
      </c>
    </row>
    <row r="589" spans="1:51" ht="30" customHeight="1" x14ac:dyDescent="0.3">
      <c r="A589" s="9" t="s">
        <v>811</v>
      </c>
      <c r="B589" s="9" t="s">
        <v>52</v>
      </c>
      <c r="C589" s="9" t="s">
        <v>52</v>
      </c>
      <c r="D589" s="10"/>
      <c r="E589" s="15"/>
      <c r="F589" s="16">
        <f>TRUNC(SUMIF(N586:N588, N585, F586:F588),0)</f>
        <v>0</v>
      </c>
      <c r="G589" s="15"/>
      <c r="H589" s="16">
        <f>TRUNC(SUMIF(N586:N588, N585, H586:H588),0)</f>
        <v>0</v>
      </c>
      <c r="I589" s="15"/>
      <c r="J589" s="16">
        <f>TRUNC(SUMIF(N586:N588, N585, J586:J588),0)</f>
        <v>0</v>
      </c>
      <c r="K589" s="15"/>
      <c r="L589" s="16">
        <f>F589+H589+J589</f>
        <v>0</v>
      </c>
      <c r="M589" s="9" t="s">
        <v>52</v>
      </c>
      <c r="N589" s="2" t="s">
        <v>94</v>
      </c>
      <c r="O589" s="2" t="s">
        <v>94</v>
      </c>
      <c r="P589" s="2" t="s">
        <v>52</v>
      </c>
      <c r="Q589" s="2" t="s">
        <v>52</v>
      </c>
      <c r="R589" s="2" t="s">
        <v>52</v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2" t="s">
        <v>52</v>
      </c>
      <c r="AW589" s="2" t="s">
        <v>52</v>
      </c>
      <c r="AX589" s="2" t="s">
        <v>52</v>
      </c>
      <c r="AY589" s="2" t="s">
        <v>52</v>
      </c>
    </row>
    <row r="590" spans="1:51" ht="30" customHeight="1" x14ac:dyDescent="0.3">
      <c r="A590" s="10"/>
      <c r="B590" s="10"/>
      <c r="C590" s="10"/>
      <c r="D590" s="10"/>
      <c r="E590" s="15"/>
      <c r="F590" s="16"/>
      <c r="G590" s="15"/>
      <c r="H590" s="16"/>
      <c r="I590" s="15"/>
      <c r="J590" s="16"/>
      <c r="K590" s="15"/>
      <c r="L590" s="16"/>
      <c r="M590" s="10"/>
    </row>
    <row r="591" spans="1:51" ht="30" customHeight="1" x14ac:dyDescent="0.3">
      <c r="A591" s="44" t="s">
        <v>1698</v>
      </c>
      <c r="B591" s="44"/>
      <c r="C591" s="44"/>
      <c r="D591" s="44"/>
      <c r="E591" s="45"/>
      <c r="F591" s="46"/>
      <c r="G591" s="45"/>
      <c r="H591" s="46"/>
      <c r="I591" s="45"/>
      <c r="J591" s="46"/>
      <c r="K591" s="45"/>
      <c r="L591" s="46"/>
      <c r="M591" s="44"/>
      <c r="N591" s="1" t="s">
        <v>466</v>
      </c>
    </row>
    <row r="592" spans="1:51" ht="30" customHeight="1" x14ac:dyDescent="0.3">
      <c r="A592" s="9" t="s">
        <v>1700</v>
      </c>
      <c r="B592" s="9" t="s">
        <v>1701</v>
      </c>
      <c r="C592" s="9" t="s">
        <v>73</v>
      </c>
      <c r="D592" s="10">
        <v>1</v>
      </c>
      <c r="E592" s="15">
        <f>'단가대비표(총체)'!O174</f>
        <v>0</v>
      </c>
      <c r="F592" s="16">
        <f>TRUNC(E592*D592,1)</f>
        <v>0</v>
      </c>
      <c r="G592" s="15">
        <f>'단가대비표(총체)'!P174</f>
        <v>0</v>
      </c>
      <c r="H592" s="16">
        <f>TRUNC(G592*D592,1)</f>
        <v>0</v>
      </c>
      <c r="I592" s="15">
        <f>'단가대비표(총체)'!V174</f>
        <v>0</v>
      </c>
      <c r="J592" s="16">
        <f>TRUNC(I592*D592,1)</f>
        <v>0</v>
      </c>
      <c r="K592" s="15">
        <f t="shared" ref="K592:L594" si="125">TRUNC(E592+G592+I592,1)</f>
        <v>0</v>
      </c>
      <c r="L592" s="16">
        <f t="shared" si="125"/>
        <v>0</v>
      </c>
      <c r="M592" s="9" t="s">
        <v>52</v>
      </c>
      <c r="N592" s="2" t="s">
        <v>466</v>
      </c>
      <c r="O592" s="2" t="s">
        <v>1702</v>
      </c>
      <c r="P592" s="2" t="s">
        <v>61</v>
      </c>
      <c r="Q592" s="2" t="s">
        <v>61</v>
      </c>
      <c r="R592" s="2" t="s">
        <v>60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2" t="s">
        <v>52</v>
      </c>
      <c r="AW592" s="2" t="s">
        <v>1703</v>
      </c>
      <c r="AX592" s="2" t="s">
        <v>52</v>
      </c>
      <c r="AY592" s="2" t="s">
        <v>52</v>
      </c>
    </row>
    <row r="593" spans="1:51" ht="30" customHeight="1" x14ac:dyDescent="0.3">
      <c r="A593" s="9" t="s">
        <v>1704</v>
      </c>
      <c r="B593" s="9" t="s">
        <v>822</v>
      </c>
      <c r="C593" s="9" t="s">
        <v>823</v>
      </c>
      <c r="D593" s="10">
        <v>2</v>
      </c>
      <c r="E593" s="15">
        <f>'단가대비표(총체)'!O204</f>
        <v>0</v>
      </c>
      <c r="F593" s="16">
        <f>TRUNC(E593*D593,1)</f>
        <v>0</v>
      </c>
      <c r="G593" s="15">
        <f>'단가대비표(총체)'!P204</f>
        <v>0</v>
      </c>
      <c r="H593" s="16">
        <f>TRUNC(G593*D593,1)</f>
        <v>0</v>
      </c>
      <c r="I593" s="15">
        <f>'단가대비표(총체)'!V204</f>
        <v>0</v>
      </c>
      <c r="J593" s="16">
        <f>TRUNC(I593*D593,1)</f>
        <v>0</v>
      </c>
      <c r="K593" s="15">
        <f t="shared" si="125"/>
        <v>0</v>
      </c>
      <c r="L593" s="16">
        <f t="shared" si="125"/>
        <v>0</v>
      </c>
      <c r="M593" s="9" t="s">
        <v>52</v>
      </c>
      <c r="N593" s="2" t="s">
        <v>466</v>
      </c>
      <c r="O593" s="2" t="s">
        <v>1705</v>
      </c>
      <c r="P593" s="2" t="s">
        <v>61</v>
      </c>
      <c r="Q593" s="2" t="s">
        <v>61</v>
      </c>
      <c r="R593" s="2" t="s">
        <v>60</v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2" t="s">
        <v>52</v>
      </c>
      <c r="AW593" s="2" t="s">
        <v>1706</v>
      </c>
      <c r="AX593" s="2" t="s">
        <v>52</v>
      </c>
      <c r="AY593" s="2" t="s">
        <v>52</v>
      </c>
    </row>
    <row r="594" spans="1:51" ht="30" customHeight="1" x14ac:dyDescent="0.3">
      <c r="A594" s="9" t="s">
        <v>865</v>
      </c>
      <c r="B594" s="9" t="s">
        <v>822</v>
      </c>
      <c r="C594" s="9" t="s">
        <v>823</v>
      </c>
      <c r="D594" s="10">
        <v>0.3</v>
      </c>
      <c r="E594" s="15">
        <f>'단가대비표(총체)'!O182</f>
        <v>0</v>
      </c>
      <c r="F594" s="16">
        <f>TRUNC(E594*D594,1)</f>
        <v>0</v>
      </c>
      <c r="G594" s="15">
        <f>'단가대비표(총체)'!P182</f>
        <v>0</v>
      </c>
      <c r="H594" s="16">
        <f>TRUNC(G594*D594,1)</f>
        <v>0</v>
      </c>
      <c r="I594" s="15">
        <f>'단가대비표(총체)'!V182</f>
        <v>0</v>
      </c>
      <c r="J594" s="16">
        <f>TRUNC(I594*D594,1)</f>
        <v>0</v>
      </c>
      <c r="K594" s="15">
        <f t="shared" si="125"/>
        <v>0</v>
      </c>
      <c r="L594" s="16">
        <f t="shared" si="125"/>
        <v>0</v>
      </c>
      <c r="M594" s="9" t="s">
        <v>52</v>
      </c>
      <c r="N594" s="2" t="s">
        <v>466</v>
      </c>
      <c r="O594" s="2" t="s">
        <v>866</v>
      </c>
      <c r="P594" s="2" t="s">
        <v>61</v>
      </c>
      <c r="Q594" s="2" t="s">
        <v>61</v>
      </c>
      <c r="R594" s="2" t="s">
        <v>60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2" t="s">
        <v>52</v>
      </c>
      <c r="AW594" s="2" t="s">
        <v>1707</v>
      </c>
      <c r="AX594" s="2" t="s">
        <v>52</v>
      </c>
      <c r="AY594" s="2" t="s">
        <v>52</v>
      </c>
    </row>
    <row r="595" spans="1:51" ht="30" customHeight="1" x14ac:dyDescent="0.3">
      <c r="A595" s="9" t="s">
        <v>811</v>
      </c>
      <c r="B595" s="9" t="s">
        <v>52</v>
      </c>
      <c r="C595" s="9" t="s">
        <v>52</v>
      </c>
      <c r="D595" s="10"/>
      <c r="E595" s="15"/>
      <c r="F595" s="16">
        <f>TRUNC(SUMIF(N592:N594, N591, F592:F594),0)</f>
        <v>0</v>
      </c>
      <c r="G595" s="15"/>
      <c r="H595" s="16">
        <f>TRUNC(SUMIF(N592:N594, N591, H592:H594),0)</f>
        <v>0</v>
      </c>
      <c r="I595" s="15"/>
      <c r="J595" s="16">
        <f>TRUNC(SUMIF(N592:N594, N591, J592:J594),0)</f>
        <v>0</v>
      </c>
      <c r="K595" s="15"/>
      <c r="L595" s="16">
        <f>F595+H595+J595</f>
        <v>0</v>
      </c>
      <c r="M595" s="9" t="s">
        <v>52</v>
      </c>
      <c r="N595" s="2" t="s">
        <v>94</v>
      </c>
      <c r="O595" s="2" t="s">
        <v>94</v>
      </c>
      <c r="P595" s="2" t="s">
        <v>52</v>
      </c>
      <c r="Q595" s="2" t="s">
        <v>52</v>
      </c>
      <c r="R595" s="2" t="s">
        <v>52</v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2" t="s">
        <v>52</v>
      </c>
      <c r="AW595" s="2" t="s">
        <v>52</v>
      </c>
      <c r="AX595" s="2" t="s">
        <v>52</v>
      </c>
      <c r="AY595" s="2" t="s">
        <v>52</v>
      </c>
    </row>
    <row r="596" spans="1:51" ht="30" customHeight="1" x14ac:dyDescent="0.3">
      <c r="A596" s="10"/>
      <c r="B596" s="10"/>
      <c r="C596" s="10"/>
      <c r="D596" s="10"/>
      <c r="E596" s="15"/>
      <c r="F596" s="16"/>
      <c r="G596" s="15"/>
      <c r="H596" s="16"/>
      <c r="I596" s="15"/>
      <c r="J596" s="16"/>
      <c r="K596" s="15"/>
      <c r="L596" s="16"/>
      <c r="M596" s="10"/>
    </row>
    <row r="597" spans="1:51" ht="30" customHeight="1" x14ac:dyDescent="0.3">
      <c r="A597" s="44" t="s">
        <v>1708</v>
      </c>
      <c r="B597" s="44"/>
      <c r="C597" s="44"/>
      <c r="D597" s="44"/>
      <c r="E597" s="45"/>
      <c r="F597" s="46"/>
      <c r="G597" s="45"/>
      <c r="H597" s="46"/>
      <c r="I597" s="45"/>
      <c r="J597" s="46"/>
      <c r="K597" s="45"/>
      <c r="L597" s="46"/>
      <c r="M597" s="44"/>
      <c r="N597" s="1" t="s">
        <v>470</v>
      </c>
    </row>
    <row r="598" spans="1:51" ht="30" customHeight="1" x14ac:dyDescent="0.3">
      <c r="A598" s="9" t="s">
        <v>1710</v>
      </c>
      <c r="B598" s="9" t="s">
        <v>1711</v>
      </c>
      <c r="C598" s="9" t="s">
        <v>73</v>
      </c>
      <c r="D598" s="10">
        <v>1</v>
      </c>
      <c r="E598" s="15">
        <f>'단가대비표(총체)'!O173</f>
        <v>0</v>
      </c>
      <c r="F598" s="16">
        <f>TRUNC(E598*D598,1)</f>
        <v>0</v>
      </c>
      <c r="G598" s="15">
        <f>'단가대비표(총체)'!P173</f>
        <v>0</v>
      </c>
      <c r="H598" s="16">
        <f>TRUNC(G598*D598,1)</f>
        <v>0</v>
      </c>
      <c r="I598" s="15">
        <f>'단가대비표(총체)'!V173</f>
        <v>0</v>
      </c>
      <c r="J598" s="16">
        <f>TRUNC(I598*D598,1)</f>
        <v>0</v>
      </c>
      <c r="K598" s="15">
        <f t="shared" ref="K598:L601" si="126">TRUNC(E598+G598+I598,1)</f>
        <v>0</v>
      </c>
      <c r="L598" s="16">
        <f t="shared" si="126"/>
        <v>0</v>
      </c>
      <c r="M598" s="9" t="s">
        <v>52</v>
      </c>
      <c r="N598" s="2" t="s">
        <v>470</v>
      </c>
      <c r="O598" s="2" t="s">
        <v>1712</v>
      </c>
      <c r="P598" s="2" t="s">
        <v>61</v>
      </c>
      <c r="Q598" s="2" t="s">
        <v>61</v>
      </c>
      <c r="R598" s="2" t="s">
        <v>60</v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2" t="s">
        <v>52</v>
      </c>
      <c r="AW598" s="2" t="s">
        <v>1713</v>
      </c>
      <c r="AX598" s="2" t="s">
        <v>52</v>
      </c>
      <c r="AY598" s="2" t="s">
        <v>52</v>
      </c>
    </row>
    <row r="599" spans="1:51" ht="30" customHeight="1" x14ac:dyDescent="0.3">
      <c r="A599" s="9" t="s">
        <v>1714</v>
      </c>
      <c r="B599" s="9" t="s">
        <v>822</v>
      </c>
      <c r="C599" s="9" t="s">
        <v>823</v>
      </c>
      <c r="D599" s="10">
        <v>0.76600000000000001</v>
      </c>
      <c r="E599" s="15">
        <f>'단가대비표(총체)'!O209</f>
        <v>0</v>
      </c>
      <c r="F599" s="16">
        <f>TRUNC(E599*D599,1)</f>
        <v>0</v>
      </c>
      <c r="G599" s="15">
        <f>'단가대비표(총체)'!P209</f>
        <v>0</v>
      </c>
      <c r="H599" s="16">
        <f>TRUNC(G599*D599,1)</f>
        <v>0</v>
      </c>
      <c r="I599" s="15">
        <f>'단가대비표(총체)'!V209</f>
        <v>0</v>
      </c>
      <c r="J599" s="16">
        <f>TRUNC(I599*D599,1)</f>
        <v>0</v>
      </c>
      <c r="K599" s="15">
        <f t="shared" si="126"/>
        <v>0</v>
      </c>
      <c r="L599" s="16">
        <f t="shared" si="126"/>
        <v>0</v>
      </c>
      <c r="M599" s="9" t="s">
        <v>52</v>
      </c>
      <c r="N599" s="2" t="s">
        <v>470</v>
      </c>
      <c r="O599" s="2" t="s">
        <v>1715</v>
      </c>
      <c r="P599" s="2" t="s">
        <v>61</v>
      </c>
      <c r="Q599" s="2" t="s">
        <v>61</v>
      </c>
      <c r="R599" s="2" t="s">
        <v>60</v>
      </c>
      <c r="S599" s="3"/>
      <c r="T599" s="3"/>
      <c r="U599" s="3"/>
      <c r="V599" s="3">
        <v>1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2" t="s">
        <v>52</v>
      </c>
      <c r="AW599" s="2" t="s">
        <v>1716</v>
      </c>
      <c r="AX599" s="2" t="s">
        <v>52</v>
      </c>
      <c r="AY599" s="2" t="s">
        <v>52</v>
      </c>
    </row>
    <row r="600" spans="1:51" ht="30" customHeight="1" x14ac:dyDescent="0.3">
      <c r="A600" s="9" t="s">
        <v>821</v>
      </c>
      <c r="B600" s="9" t="s">
        <v>822</v>
      </c>
      <c r="C600" s="9" t="s">
        <v>823</v>
      </c>
      <c r="D600" s="10">
        <v>0.254</v>
      </c>
      <c r="E600" s="15">
        <f>'단가대비표(총체)'!O180</f>
        <v>0</v>
      </c>
      <c r="F600" s="16">
        <f>TRUNC(E600*D600,1)</f>
        <v>0</v>
      </c>
      <c r="G600" s="15">
        <f>'단가대비표(총체)'!P180</f>
        <v>0</v>
      </c>
      <c r="H600" s="16">
        <f>TRUNC(G600*D600,1)</f>
        <v>0</v>
      </c>
      <c r="I600" s="15">
        <f>'단가대비표(총체)'!V180</f>
        <v>0</v>
      </c>
      <c r="J600" s="16">
        <f>TRUNC(I600*D600,1)</f>
        <v>0</v>
      </c>
      <c r="K600" s="15">
        <f t="shared" si="126"/>
        <v>0</v>
      </c>
      <c r="L600" s="16">
        <f t="shared" si="126"/>
        <v>0</v>
      </c>
      <c r="M600" s="9" t="s">
        <v>52</v>
      </c>
      <c r="N600" s="2" t="s">
        <v>470</v>
      </c>
      <c r="O600" s="2" t="s">
        <v>824</v>
      </c>
      <c r="P600" s="2" t="s">
        <v>61</v>
      </c>
      <c r="Q600" s="2" t="s">
        <v>61</v>
      </c>
      <c r="R600" s="2" t="s">
        <v>60</v>
      </c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2" t="s">
        <v>52</v>
      </c>
      <c r="AW600" s="2" t="s">
        <v>1717</v>
      </c>
      <c r="AX600" s="2" t="s">
        <v>52</v>
      </c>
      <c r="AY600" s="2" t="s">
        <v>52</v>
      </c>
    </row>
    <row r="601" spans="1:51" ht="30" customHeight="1" x14ac:dyDescent="0.3">
      <c r="A601" s="9" t="s">
        <v>874</v>
      </c>
      <c r="B601" s="9" t="s">
        <v>875</v>
      </c>
      <c r="C601" s="9" t="s">
        <v>307</v>
      </c>
      <c r="D601" s="10">
        <v>1</v>
      </c>
      <c r="E601" s="15">
        <f>TRUNC(SUMIF(V598:V601, RIGHTB(O601, 1), H598:H601)*U601, 2)</f>
        <v>0</v>
      </c>
      <c r="F601" s="16">
        <f>TRUNC(E601*D601,1)</f>
        <v>0</v>
      </c>
      <c r="G601" s="15">
        <v>0</v>
      </c>
      <c r="H601" s="16">
        <f>TRUNC(G601*D601,1)</f>
        <v>0</v>
      </c>
      <c r="I601" s="15">
        <v>0</v>
      </c>
      <c r="J601" s="16">
        <f>TRUNC(I601*D601,1)</f>
        <v>0</v>
      </c>
      <c r="K601" s="15">
        <f t="shared" si="126"/>
        <v>0</v>
      </c>
      <c r="L601" s="16">
        <f t="shared" si="126"/>
        <v>0</v>
      </c>
      <c r="M601" s="9" t="s">
        <v>52</v>
      </c>
      <c r="N601" s="2" t="s">
        <v>470</v>
      </c>
      <c r="O601" s="2" t="s">
        <v>809</v>
      </c>
      <c r="P601" s="2" t="s">
        <v>61</v>
      </c>
      <c r="Q601" s="2" t="s">
        <v>61</v>
      </c>
      <c r="R601" s="2" t="s">
        <v>61</v>
      </c>
      <c r="S601" s="3">
        <v>1</v>
      </c>
      <c r="T601" s="3">
        <v>0</v>
      </c>
      <c r="U601" s="3">
        <v>0.03</v>
      </c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2" t="s">
        <v>52</v>
      </c>
      <c r="AW601" s="2" t="s">
        <v>1718</v>
      </c>
      <c r="AX601" s="2" t="s">
        <v>52</v>
      </c>
      <c r="AY601" s="2" t="s">
        <v>52</v>
      </c>
    </row>
    <row r="602" spans="1:51" ht="30" customHeight="1" x14ac:dyDescent="0.3">
      <c r="A602" s="9" t="s">
        <v>811</v>
      </c>
      <c r="B602" s="9" t="s">
        <v>52</v>
      </c>
      <c r="C602" s="9" t="s">
        <v>52</v>
      </c>
      <c r="D602" s="10"/>
      <c r="E602" s="15"/>
      <c r="F602" s="16">
        <f>TRUNC(SUMIF(N598:N601, N597, F598:F601),0)</f>
        <v>0</v>
      </c>
      <c r="G602" s="15"/>
      <c r="H602" s="16">
        <f>TRUNC(SUMIF(N598:N601, N597, H598:H601),0)</f>
        <v>0</v>
      </c>
      <c r="I602" s="15"/>
      <c r="J602" s="16">
        <f>TRUNC(SUMIF(N598:N601, N597, J598:J601),0)</f>
        <v>0</v>
      </c>
      <c r="K602" s="15"/>
      <c r="L602" s="16">
        <f>F602+H602+J602</f>
        <v>0</v>
      </c>
      <c r="M602" s="9" t="s">
        <v>52</v>
      </c>
      <c r="N602" s="2" t="s">
        <v>94</v>
      </c>
      <c r="O602" s="2" t="s">
        <v>94</v>
      </c>
      <c r="P602" s="2" t="s">
        <v>52</v>
      </c>
      <c r="Q602" s="2" t="s">
        <v>52</v>
      </c>
      <c r="R602" s="2" t="s">
        <v>52</v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2" t="s">
        <v>52</v>
      </c>
      <c r="AW602" s="2" t="s">
        <v>52</v>
      </c>
      <c r="AX602" s="2" t="s">
        <v>52</v>
      </c>
      <c r="AY602" s="2" t="s">
        <v>52</v>
      </c>
    </row>
    <row r="603" spans="1:51" ht="30" customHeight="1" x14ac:dyDescent="0.3">
      <c r="A603" s="10"/>
      <c r="B603" s="10"/>
      <c r="C603" s="10"/>
      <c r="D603" s="10"/>
      <c r="E603" s="15"/>
      <c r="F603" s="16"/>
      <c r="G603" s="15"/>
      <c r="H603" s="16"/>
      <c r="I603" s="15"/>
      <c r="J603" s="16"/>
      <c r="K603" s="15"/>
      <c r="L603" s="16"/>
      <c r="M603" s="10"/>
    </row>
    <row r="604" spans="1:51" ht="30" customHeight="1" x14ac:dyDescent="0.3">
      <c r="A604" s="44" t="s">
        <v>1719</v>
      </c>
      <c r="B604" s="44"/>
      <c r="C604" s="44"/>
      <c r="D604" s="44"/>
      <c r="E604" s="45"/>
      <c r="F604" s="46"/>
      <c r="G604" s="45"/>
      <c r="H604" s="46"/>
      <c r="I604" s="45"/>
      <c r="J604" s="46"/>
      <c r="K604" s="45"/>
      <c r="L604" s="46"/>
      <c r="M604" s="44"/>
      <c r="N604" s="1" t="s">
        <v>474</v>
      </c>
    </row>
    <row r="605" spans="1:51" ht="30" customHeight="1" x14ac:dyDescent="0.3">
      <c r="A605" s="9" t="s">
        <v>1721</v>
      </c>
      <c r="B605" s="9" t="s">
        <v>1722</v>
      </c>
      <c r="C605" s="9" t="s">
        <v>427</v>
      </c>
      <c r="D605" s="10">
        <v>1</v>
      </c>
      <c r="E605" s="15">
        <f>'단가대비표(총체)'!O139</f>
        <v>0</v>
      </c>
      <c r="F605" s="16">
        <f>TRUNC(E605*D605,1)</f>
        <v>0</v>
      </c>
      <c r="G605" s="15">
        <f>'단가대비표(총체)'!P139</f>
        <v>0</v>
      </c>
      <c r="H605" s="16">
        <f>TRUNC(G605*D605,1)</f>
        <v>0</v>
      </c>
      <c r="I605" s="15">
        <f>'단가대비표(총체)'!V139</f>
        <v>0</v>
      </c>
      <c r="J605" s="16">
        <f>TRUNC(I605*D605,1)</f>
        <v>0</v>
      </c>
      <c r="K605" s="15">
        <f t="shared" ref="K605:L607" si="127">TRUNC(E605+G605+I605,1)</f>
        <v>0</v>
      </c>
      <c r="L605" s="16">
        <f t="shared" si="127"/>
        <v>0</v>
      </c>
      <c r="M605" s="9" t="s">
        <v>52</v>
      </c>
      <c r="N605" s="2" t="s">
        <v>474</v>
      </c>
      <c r="O605" s="2" t="s">
        <v>1723</v>
      </c>
      <c r="P605" s="2" t="s">
        <v>61</v>
      </c>
      <c r="Q605" s="2" t="s">
        <v>61</v>
      </c>
      <c r="R605" s="2" t="s">
        <v>60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2" t="s">
        <v>52</v>
      </c>
      <c r="AW605" s="2" t="s">
        <v>1724</v>
      </c>
      <c r="AX605" s="2" t="s">
        <v>52</v>
      </c>
      <c r="AY605" s="2" t="s">
        <v>52</v>
      </c>
    </row>
    <row r="606" spans="1:51" ht="30" customHeight="1" x14ac:dyDescent="0.3">
      <c r="A606" s="9" t="s">
        <v>1689</v>
      </c>
      <c r="B606" s="9" t="s">
        <v>822</v>
      </c>
      <c r="C606" s="9" t="s">
        <v>823</v>
      </c>
      <c r="D606" s="10">
        <v>7.3999999999999996E-2</v>
      </c>
      <c r="E606" s="15">
        <f>'단가대비표(총체)'!O203</f>
        <v>0</v>
      </c>
      <c r="F606" s="16">
        <f>TRUNC(E606*D606,1)</f>
        <v>0</v>
      </c>
      <c r="G606" s="15">
        <f>'단가대비표(총체)'!P203</f>
        <v>0</v>
      </c>
      <c r="H606" s="16">
        <f>TRUNC(G606*D606,1)</f>
        <v>0</v>
      </c>
      <c r="I606" s="15">
        <f>'단가대비표(총체)'!V203</f>
        <v>0</v>
      </c>
      <c r="J606" s="16">
        <f>TRUNC(I606*D606,1)</f>
        <v>0</v>
      </c>
      <c r="K606" s="15">
        <f t="shared" si="127"/>
        <v>0</v>
      </c>
      <c r="L606" s="16">
        <f t="shared" si="127"/>
        <v>0</v>
      </c>
      <c r="M606" s="9" t="s">
        <v>52</v>
      </c>
      <c r="N606" s="2" t="s">
        <v>474</v>
      </c>
      <c r="O606" s="2" t="s">
        <v>1690</v>
      </c>
      <c r="P606" s="2" t="s">
        <v>61</v>
      </c>
      <c r="Q606" s="2" t="s">
        <v>61</v>
      </c>
      <c r="R606" s="2" t="s">
        <v>60</v>
      </c>
      <c r="S606" s="3"/>
      <c r="T606" s="3"/>
      <c r="U606" s="3"/>
      <c r="V606" s="3">
        <v>1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2" t="s">
        <v>52</v>
      </c>
      <c r="AW606" s="2" t="s">
        <v>1725</v>
      </c>
      <c r="AX606" s="2" t="s">
        <v>52</v>
      </c>
      <c r="AY606" s="2" t="s">
        <v>52</v>
      </c>
    </row>
    <row r="607" spans="1:51" ht="30" customHeight="1" x14ac:dyDescent="0.3">
      <c r="A607" s="9" t="s">
        <v>874</v>
      </c>
      <c r="B607" s="9" t="s">
        <v>891</v>
      </c>
      <c r="C607" s="9" t="s">
        <v>307</v>
      </c>
      <c r="D607" s="10">
        <v>1</v>
      </c>
      <c r="E607" s="15">
        <f>TRUNC(SUMIF(V605:V607, RIGHTB(O607, 1), H605:H607)*U607, 2)</f>
        <v>0</v>
      </c>
      <c r="F607" s="16">
        <f>TRUNC(E607*D607,1)</f>
        <v>0</v>
      </c>
      <c r="G607" s="15">
        <v>0</v>
      </c>
      <c r="H607" s="16">
        <f>TRUNC(G607*D607,1)</f>
        <v>0</v>
      </c>
      <c r="I607" s="15">
        <v>0</v>
      </c>
      <c r="J607" s="16">
        <f>TRUNC(I607*D607,1)</f>
        <v>0</v>
      </c>
      <c r="K607" s="15">
        <f t="shared" si="127"/>
        <v>0</v>
      </c>
      <c r="L607" s="16">
        <f t="shared" si="127"/>
        <v>0</v>
      </c>
      <c r="M607" s="9" t="s">
        <v>52</v>
      </c>
      <c r="N607" s="2" t="s">
        <v>474</v>
      </c>
      <c r="O607" s="2" t="s">
        <v>809</v>
      </c>
      <c r="P607" s="2" t="s">
        <v>61</v>
      </c>
      <c r="Q607" s="2" t="s">
        <v>61</v>
      </c>
      <c r="R607" s="2" t="s">
        <v>61</v>
      </c>
      <c r="S607" s="3">
        <v>1</v>
      </c>
      <c r="T607" s="3">
        <v>0</v>
      </c>
      <c r="U607" s="3">
        <v>0.02</v>
      </c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2" t="s">
        <v>52</v>
      </c>
      <c r="AW607" s="2" t="s">
        <v>1726</v>
      </c>
      <c r="AX607" s="2" t="s">
        <v>52</v>
      </c>
      <c r="AY607" s="2" t="s">
        <v>52</v>
      </c>
    </row>
    <row r="608" spans="1:51" ht="30" customHeight="1" x14ac:dyDescent="0.3">
      <c r="A608" s="9" t="s">
        <v>811</v>
      </c>
      <c r="B608" s="9" t="s">
        <v>52</v>
      </c>
      <c r="C608" s="9" t="s">
        <v>52</v>
      </c>
      <c r="D608" s="10"/>
      <c r="E608" s="15"/>
      <c r="F608" s="16">
        <f>TRUNC(SUMIF(N605:N607, N604, F605:F607),0)</f>
        <v>0</v>
      </c>
      <c r="G608" s="15"/>
      <c r="H608" s="16">
        <f>TRUNC(SUMIF(N605:N607, N604, H605:H607),0)</f>
        <v>0</v>
      </c>
      <c r="I608" s="15"/>
      <c r="J608" s="16">
        <f>TRUNC(SUMIF(N605:N607, N604, J605:J607),0)</f>
        <v>0</v>
      </c>
      <c r="K608" s="15"/>
      <c r="L608" s="16">
        <f>F608+H608+J608</f>
        <v>0</v>
      </c>
      <c r="M608" s="9" t="s">
        <v>52</v>
      </c>
      <c r="N608" s="2" t="s">
        <v>94</v>
      </c>
      <c r="O608" s="2" t="s">
        <v>94</v>
      </c>
      <c r="P608" s="2" t="s">
        <v>52</v>
      </c>
      <c r="Q608" s="2" t="s">
        <v>52</v>
      </c>
      <c r="R608" s="2" t="s">
        <v>52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2" t="s">
        <v>52</v>
      </c>
      <c r="AW608" s="2" t="s">
        <v>52</v>
      </c>
      <c r="AX608" s="2" t="s">
        <v>52</v>
      </c>
      <c r="AY608" s="2" t="s">
        <v>52</v>
      </c>
    </row>
    <row r="609" spans="1:51" ht="30" customHeight="1" x14ac:dyDescent="0.3">
      <c r="A609" s="10"/>
      <c r="B609" s="10"/>
      <c r="C609" s="10"/>
      <c r="D609" s="10"/>
      <c r="E609" s="15"/>
      <c r="F609" s="16"/>
      <c r="G609" s="15"/>
      <c r="H609" s="16"/>
      <c r="I609" s="15"/>
      <c r="J609" s="16"/>
      <c r="K609" s="15"/>
      <c r="L609" s="16"/>
      <c r="M609" s="10"/>
    </row>
    <row r="610" spans="1:51" ht="30" customHeight="1" x14ac:dyDescent="0.3">
      <c r="A610" s="44" t="s">
        <v>1727</v>
      </c>
      <c r="B610" s="44"/>
      <c r="C610" s="44"/>
      <c r="D610" s="44"/>
      <c r="E610" s="45"/>
      <c r="F610" s="46"/>
      <c r="G610" s="45"/>
      <c r="H610" s="46"/>
      <c r="I610" s="45"/>
      <c r="J610" s="46"/>
      <c r="K610" s="45"/>
      <c r="L610" s="46"/>
      <c r="M610" s="44"/>
      <c r="N610" s="1" t="s">
        <v>477</v>
      </c>
    </row>
    <row r="611" spans="1:51" ht="30" customHeight="1" x14ac:dyDescent="0.3">
      <c r="A611" s="9" t="s">
        <v>1721</v>
      </c>
      <c r="B611" s="9" t="s">
        <v>1729</v>
      </c>
      <c r="C611" s="9" t="s">
        <v>427</v>
      </c>
      <c r="D611" s="10">
        <v>1</v>
      </c>
      <c r="E611" s="15">
        <f>'단가대비표(총체)'!O138</f>
        <v>0</v>
      </c>
      <c r="F611" s="16">
        <f>TRUNC(E611*D611,1)</f>
        <v>0</v>
      </c>
      <c r="G611" s="15">
        <f>'단가대비표(총체)'!P138</f>
        <v>0</v>
      </c>
      <c r="H611" s="16">
        <f>TRUNC(G611*D611,1)</f>
        <v>0</v>
      </c>
      <c r="I611" s="15">
        <f>'단가대비표(총체)'!V138</f>
        <v>0</v>
      </c>
      <c r="J611" s="16">
        <f>TRUNC(I611*D611,1)</f>
        <v>0</v>
      </c>
      <c r="K611" s="15">
        <f t="shared" ref="K611:L613" si="128">TRUNC(E611+G611+I611,1)</f>
        <v>0</v>
      </c>
      <c r="L611" s="16">
        <f t="shared" si="128"/>
        <v>0</v>
      </c>
      <c r="M611" s="9" t="s">
        <v>52</v>
      </c>
      <c r="N611" s="2" t="s">
        <v>477</v>
      </c>
      <c r="O611" s="2" t="s">
        <v>1730</v>
      </c>
      <c r="P611" s="2" t="s">
        <v>61</v>
      </c>
      <c r="Q611" s="2" t="s">
        <v>61</v>
      </c>
      <c r="R611" s="2" t="s">
        <v>60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2" t="s">
        <v>52</v>
      </c>
      <c r="AW611" s="2" t="s">
        <v>1731</v>
      </c>
      <c r="AX611" s="2" t="s">
        <v>52</v>
      </c>
      <c r="AY611" s="2" t="s">
        <v>52</v>
      </c>
    </row>
    <row r="612" spans="1:51" ht="30" customHeight="1" x14ac:dyDescent="0.3">
      <c r="A612" s="9" t="s">
        <v>1689</v>
      </c>
      <c r="B612" s="9" t="s">
        <v>822</v>
      </c>
      <c r="C612" s="9" t="s">
        <v>823</v>
      </c>
      <c r="D612" s="10">
        <v>0.05</v>
      </c>
      <c r="E612" s="15">
        <f>'단가대비표(총체)'!O203</f>
        <v>0</v>
      </c>
      <c r="F612" s="16">
        <f>TRUNC(E612*D612,1)</f>
        <v>0</v>
      </c>
      <c r="G612" s="15">
        <f>'단가대비표(총체)'!P203</f>
        <v>0</v>
      </c>
      <c r="H612" s="16">
        <f>TRUNC(G612*D612,1)</f>
        <v>0</v>
      </c>
      <c r="I612" s="15">
        <f>'단가대비표(총체)'!V203</f>
        <v>0</v>
      </c>
      <c r="J612" s="16">
        <f>TRUNC(I612*D612,1)</f>
        <v>0</v>
      </c>
      <c r="K612" s="15">
        <f t="shared" si="128"/>
        <v>0</v>
      </c>
      <c r="L612" s="16">
        <f t="shared" si="128"/>
        <v>0</v>
      </c>
      <c r="M612" s="9" t="s">
        <v>52</v>
      </c>
      <c r="N612" s="2" t="s">
        <v>477</v>
      </c>
      <c r="O612" s="2" t="s">
        <v>1690</v>
      </c>
      <c r="P612" s="2" t="s">
        <v>61</v>
      </c>
      <c r="Q612" s="2" t="s">
        <v>61</v>
      </c>
      <c r="R612" s="2" t="s">
        <v>60</v>
      </c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2" t="s">
        <v>52</v>
      </c>
      <c r="AW612" s="2" t="s">
        <v>1732</v>
      </c>
      <c r="AX612" s="2" t="s">
        <v>52</v>
      </c>
      <c r="AY612" s="2" t="s">
        <v>52</v>
      </c>
    </row>
    <row r="613" spans="1:51" ht="30" customHeight="1" x14ac:dyDescent="0.3">
      <c r="A613" s="9" t="s">
        <v>874</v>
      </c>
      <c r="B613" s="9" t="s">
        <v>891</v>
      </c>
      <c r="C613" s="9" t="s">
        <v>307</v>
      </c>
      <c r="D613" s="10">
        <v>1</v>
      </c>
      <c r="E613" s="15">
        <f>TRUNC(SUMIF(V611:V613, RIGHTB(O613, 1), H611:H613)*U613, 2)</f>
        <v>0</v>
      </c>
      <c r="F613" s="16">
        <f>TRUNC(E613*D613,1)</f>
        <v>0</v>
      </c>
      <c r="G613" s="15">
        <v>0</v>
      </c>
      <c r="H613" s="16">
        <f>TRUNC(G613*D613,1)</f>
        <v>0</v>
      </c>
      <c r="I613" s="15">
        <v>0</v>
      </c>
      <c r="J613" s="16">
        <f>TRUNC(I613*D613,1)</f>
        <v>0</v>
      </c>
      <c r="K613" s="15">
        <f t="shared" si="128"/>
        <v>0</v>
      </c>
      <c r="L613" s="16">
        <f t="shared" si="128"/>
        <v>0</v>
      </c>
      <c r="M613" s="9" t="s">
        <v>52</v>
      </c>
      <c r="N613" s="2" t="s">
        <v>477</v>
      </c>
      <c r="O613" s="2" t="s">
        <v>809</v>
      </c>
      <c r="P613" s="2" t="s">
        <v>61</v>
      </c>
      <c r="Q613" s="2" t="s">
        <v>61</v>
      </c>
      <c r="R613" s="2" t="s">
        <v>61</v>
      </c>
      <c r="S613" s="3">
        <v>1</v>
      </c>
      <c r="T613" s="3">
        <v>0</v>
      </c>
      <c r="U613" s="3">
        <v>0.02</v>
      </c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2" t="s">
        <v>52</v>
      </c>
      <c r="AW613" s="2" t="s">
        <v>1733</v>
      </c>
      <c r="AX613" s="2" t="s">
        <v>52</v>
      </c>
      <c r="AY613" s="2" t="s">
        <v>52</v>
      </c>
    </row>
    <row r="614" spans="1:51" ht="30" customHeight="1" x14ac:dyDescent="0.3">
      <c r="A614" s="9" t="s">
        <v>811</v>
      </c>
      <c r="B614" s="9" t="s">
        <v>52</v>
      </c>
      <c r="C614" s="9" t="s">
        <v>52</v>
      </c>
      <c r="D614" s="10"/>
      <c r="E614" s="15"/>
      <c r="F614" s="16">
        <f>TRUNC(SUMIF(N611:N613, N610, F611:F613),0)</f>
        <v>0</v>
      </c>
      <c r="G614" s="15"/>
      <c r="H614" s="16">
        <f>TRUNC(SUMIF(N611:N613, N610, H611:H613),0)</f>
        <v>0</v>
      </c>
      <c r="I614" s="15"/>
      <c r="J614" s="16">
        <f>TRUNC(SUMIF(N611:N613, N610, J611:J613),0)</f>
        <v>0</v>
      </c>
      <c r="K614" s="15"/>
      <c r="L614" s="16">
        <f>F614+H614+J614</f>
        <v>0</v>
      </c>
      <c r="M614" s="9" t="s">
        <v>52</v>
      </c>
      <c r="N614" s="2" t="s">
        <v>94</v>
      </c>
      <c r="O614" s="2" t="s">
        <v>94</v>
      </c>
      <c r="P614" s="2" t="s">
        <v>52</v>
      </c>
      <c r="Q614" s="2" t="s">
        <v>52</v>
      </c>
      <c r="R614" s="2" t="s">
        <v>52</v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2" t="s">
        <v>52</v>
      </c>
      <c r="AW614" s="2" t="s">
        <v>52</v>
      </c>
      <c r="AX614" s="2" t="s">
        <v>52</v>
      </c>
      <c r="AY614" s="2" t="s">
        <v>52</v>
      </c>
    </row>
    <row r="615" spans="1:51" ht="30" customHeight="1" x14ac:dyDescent="0.3">
      <c r="A615" s="10"/>
      <c r="B615" s="10"/>
      <c r="C615" s="10"/>
      <c r="D615" s="10"/>
      <c r="E615" s="15"/>
      <c r="F615" s="16"/>
      <c r="G615" s="15"/>
      <c r="H615" s="16"/>
      <c r="I615" s="15"/>
      <c r="J615" s="16"/>
      <c r="K615" s="15"/>
      <c r="L615" s="16"/>
      <c r="M615" s="10"/>
    </row>
    <row r="616" spans="1:51" ht="30" customHeight="1" x14ac:dyDescent="0.3">
      <c r="A616" s="44" t="s">
        <v>1734</v>
      </c>
      <c r="B616" s="44"/>
      <c r="C616" s="44"/>
      <c r="D616" s="44"/>
      <c r="E616" s="45"/>
      <c r="F616" s="46"/>
      <c r="G616" s="45"/>
      <c r="H616" s="46"/>
      <c r="I616" s="45"/>
      <c r="J616" s="46"/>
      <c r="K616" s="45"/>
      <c r="L616" s="46"/>
      <c r="M616" s="44"/>
      <c r="N616" s="1" t="s">
        <v>481</v>
      </c>
    </row>
    <row r="617" spans="1:51" ht="30" customHeight="1" x14ac:dyDescent="0.3">
      <c r="A617" s="9" t="s">
        <v>1736</v>
      </c>
      <c r="B617" s="9" t="s">
        <v>1737</v>
      </c>
      <c r="C617" s="9" t="s">
        <v>82</v>
      </c>
      <c r="D617" s="10">
        <v>1.1000000000000001</v>
      </c>
      <c r="E617" s="15">
        <f>'단가대비표(총체)'!O144</f>
        <v>0</v>
      </c>
      <c r="F617" s="16">
        <f>TRUNC(E617*D617,1)</f>
        <v>0</v>
      </c>
      <c r="G617" s="15">
        <f>'단가대비표(총체)'!P144</f>
        <v>0</v>
      </c>
      <c r="H617" s="16">
        <f>TRUNC(G617*D617,1)</f>
        <v>0</v>
      </c>
      <c r="I617" s="15">
        <f>'단가대비표(총체)'!V144</f>
        <v>0</v>
      </c>
      <c r="J617" s="16">
        <f>TRUNC(I617*D617,1)</f>
        <v>0</v>
      </c>
      <c r="K617" s="15">
        <f t="shared" ref="K617:L620" si="129">TRUNC(E617+G617+I617,1)</f>
        <v>0</v>
      </c>
      <c r="L617" s="16">
        <f t="shared" si="129"/>
        <v>0</v>
      </c>
      <c r="M617" s="9" t="s">
        <v>52</v>
      </c>
      <c r="N617" s="2" t="s">
        <v>481</v>
      </c>
      <c r="O617" s="2" t="s">
        <v>1738</v>
      </c>
      <c r="P617" s="2" t="s">
        <v>61</v>
      </c>
      <c r="Q617" s="2" t="s">
        <v>61</v>
      </c>
      <c r="R617" s="2" t="s">
        <v>60</v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2" t="s">
        <v>52</v>
      </c>
      <c r="AW617" s="2" t="s">
        <v>1739</v>
      </c>
      <c r="AX617" s="2" t="s">
        <v>52</v>
      </c>
      <c r="AY617" s="2" t="s">
        <v>52</v>
      </c>
    </row>
    <row r="618" spans="1:51" ht="30" customHeight="1" x14ac:dyDescent="0.3">
      <c r="A618" s="9" t="s">
        <v>1689</v>
      </c>
      <c r="B618" s="9" t="s">
        <v>822</v>
      </c>
      <c r="C618" s="9" t="s">
        <v>823</v>
      </c>
      <c r="D618" s="10">
        <v>5.8999999999999997E-2</v>
      </c>
      <c r="E618" s="15">
        <f>'단가대비표(총체)'!O203</f>
        <v>0</v>
      </c>
      <c r="F618" s="16">
        <f>TRUNC(E618*D618,1)</f>
        <v>0</v>
      </c>
      <c r="G618" s="15">
        <f>'단가대비표(총체)'!P203</f>
        <v>0</v>
      </c>
      <c r="H618" s="16">
        <f>TRUNC(G618*D618,1)</f>
        <v>0</v>
      </c>
      <c r="I618" s="15">
        <f>'단가대비표(총체)'!V203</f>
        <v>0</v>
      </c>
      <c r="J618" s="16">
        <f>TRUNC(I618*D618,1)</f>
        <v>0</v>
      </c>
      <c r="K618" s="15">
        <f t="shared" si="129"/>
        <v>0</v>
      </c>
      <c r="L618" s="16">
        <f t="shared" si="129"/>
        <v>0</v>
      </c>
      <c r="M618" s="9" t="s">
        <v>52</v>
      </c>
      <c r="N618" s="2" t="s">
        <v>481</v>
      </c>
      <c r="O618" s="2" t="s">
        <v>1690</v>
      </c>
      <c r="P618" s="2" t="s">
        <v>61</v>
      </c>
      <c r="Q618" s="2" t="s">
        <v>61</v>
      </c>
      <c r="R618" s="2" t="s">
        <v>60</v>
      </c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2" t="s">
        <v>52</v>
      </c>
      <c r="AW618" s="2" t="s">
        <v>1740</v>
      </c>
      <c r="AX618" s="2" t="s">
        <v>52</v>
      </c>
      <c r="AY618" s="2" t="s">
        <v>52</v>
      </c>
    </row>
    <row r="619" spans="1:51" ht="30" customHeight="1" x14ac:dyDescent="0.3">
      <c r="A619" s="9" t="s">
        <v>821</v>
      </c>
      <c r="B619" s="9" t="s">
        <v>822</v>
      </c>
      <c r="C619" s="9" t="s">
        <v>823</v>
      </c>
      <c r="D619" s="10">
        <v>2.5000000000000001E-2</v>
      </c>
      <c r="E619" s="15">
        <f>'단가대비표(총체)'!O180</f>
        <v>0</v>
      </c>
      <c r="F619" s="16">
        <f>TRUNC(E619*D619,1)</f>
        <v>0</v>
      </c>
      <c r="G619" s="15">
        <f>'단가대비표(총체)'!P180</f>
        <v>0</v>
      </c>
      <c r="H619" s="16">
        <f>TRUNC(G619*D619,1)</f>
        <v>0</v>
      </c>
      <c r="I619" s="15">
        <f>'단가대비표(총체)'!V180</f>
        <v>0</v>
      </c>
      <c r="J619" s="16">
        <f>TRUNC(I619*D619,1)</f>
        <v>0</v>
      </c>
      <c r="K619" s="15">
        <f t="shared" si="129"/>
        <v>0</v>
      </c>
      <c r="L619" s="16">
        <f t="shared" si="129"/>
        <v>0</v>
      </c>
      <c r="M619" s="9" t="s">
        <v>52</v>
      </c>
      <c r="N619" s="2" t="s">
        <v>481</v>
      </c>
      <c r="O619" s="2" t="s">
        <v>824</v>
      </c>
      <c r="P619" s="2" t="s">
        <v>61</v>
      </c>
      <c r="Q619" s="2" t="s">
        <v>61</v>
      </c>
      <c r="R619" s="2" t="s">
        <v>60</v>
      </c>
      <c r="S619" s="3"/>
      <c r="T619" s="3"/>
      <c r="U619" s="3"/>
      <c r="V619" s="3">
        <v>1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2" t="s">
        <v>52</v>
      </c>
      <c r="AW619" s="2" t="s">
        <v>1741</v>
      </c>
      <c r="AX619" s="2" t="s">
        <v>52</v>
      </c>
      <c r="AY619" s="2" t="s">
        <v>52</v>
      </c>
    </row>
    <row r="620" spans="1:51" ht="30" customHeight="1" x14ac:dyDescent="0.3">
      <c r="A620" s="9" t="s">
        <v>874</v>
      </c>
      <c r="B620" s="9" t="s">
        <v>891</v>
      </c>
      <c r="C620" s="9" t="s">
        <v>307</v>
      </c>
      <c r="D620" s="10">
        <v>1</v>
      </c>
      <c r="E620" s="15">
        <f>TRUNC(SUMIF(V617:V620, RIGHTB(O620, 1), H617:H620)*U620, 2)</f>
        <v>0</v>
      </c>
      <c r="F620" s="16">
        <f>TRUNC(E620*D620,1)</f>
        <v>0</v>
      </c>
      <c r="G620" s="15">
        <v>0</v>
      </c>
      <c r="H620" s="16">
        <f>TRUNC(G620*D620,1)</f>
        <v>0</v>
      </c>
      <c r="I620" s="15">
        <v>0</v>
      </c>
      <c r="J620" s="16">
        <f>TRUNC(I620*D620,1)</f>
        <v>0</v>
      </c>
      <c r="K620" s="15">
        <f t="shared" si="129"/>
        <v>0</v>
      </c>
      <c r="L620" s="16">
        <f t="shared" si="129"/>
        <v>0</v>
      </c>
      <c r="M620" s="9" t="s">
        <v>52</v>
      </c>
      <c r="N620" s="2" t="s">
        <v>481</v>
      </c>
      <c r="O620" s="2" t="s">
        <v>809</v>
      </c>
      <c r="P620" s="2" t="s">
        <v>61</v>
      </c>
      <c r="Q620" s="2" t="s">
        <v>61</v>
      </c>
      <c r="R620" s="2" t="s">
        <v>61</v>
      </c>
      <c r="S620" s="3">
        <v>1</v>
      </c>
      <c r="T620" s="3">
        <v>0</v>
      </c>
      <c r="U620" s="3">
        <v>0.02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2" t="s">
        <v>52</v>
      </c>
      <c r="AW620" s="2" t="s">
        <v>1742</v>
      </c>
      <c r="AX620" s="2" t="s">
        <v>52</v>
      </c>
      <c r="AY620" s="2" t="s">
        <v>52</v>
      </c>
    </row>
    <row r="621" spans="1:51" ht="30" customHeight="1" x14ac:dyDescent="0.3">
      <c r="A621" s="9" t="s">
        <v>811</v>
      </c>
      <c r="B621" s="9" t="s">
        <v>52</v>
      </c>
      <c r="C621" s="9" t="s">
        <v>52</v>
      </c>
      <c r="D621" s="10"/>
      <c r="E621" s="15"/>
      <c r="F621" s="16">
        <f>TRUNC(SUMIF(N617:N620, N616, F617:F620),0)</f>
        <v>0</v>
      </c>
      <c r="G621" s="15"/>
      <c r="H621" s="16">
        <f>TRUNC(SUMIF(N617:N620, N616, H617:H620),0)</f>
        <v>0</v>
      </c>
      <c r="I621" s="15"/>
      <c r="J621" s="16">
        <f>TRUNC(SUMIF(N617:N620, N616, J617:J620),0)</f>
        <v>0</v>
      </c>
      <c r="K621" s="15"/>
      <c r="L621" s="16">
        <f>F621+H621+J621</f>
        <v>0</v>
      </c>
      <c r="M621" s="9" t="s">
        <v>52</v>
      </c>
      <c r="N621" s="2" t="s">
        <v>94</v>
      </c>
      <c r="O621" s="2" t="s">
        <v>94</v>
      </c>
      <c r="P621" s="2" t="s">
        <v>52</v>
      </c>
      <c r="Q621" s="2" t="s">
        <v>52</v>
      </c>
      <c r="R621" s="2" t="s">
        <v>52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2" t="s">
        <v>52</v>
      </c>
      <c r="AW621" s="2" t="s">
        <v>52</v>
      </c>
      <c r="AX621" s="2" t="s">
        <v>52</v>
      </c>
      <c r="AY621" s="2" t="s">
        <v>52</v>
      </c>
    </row>
    <row r="622" spans="1:51" ht="30" customHeight="1" x14ac:dyDescent="0.3">
      <c r="A622" s="10"/>
      <c r="B622" s="10"/>
      <c r="C622" s="10"/>
      <c r="D622" s="10"/>
      <c r="E622" s="15"/>
      <c r="F622" s="16"/>
      <c r="G622" s="15"/>
      <c r="H622" s="16"/>
      <c r="I622" s="15"/>
      <c r="J622" s="16"/>
      <c r="K622" s="15"/>
      <c r="L622" s="16"/>
      <c r="M622" s="10"/>
    </row>
    <row r="623" spans="1:51" ht="30" customHeight="1" x14ac:dyDescent="0.3">
      <c r="A623" s="44" t="s">
        <v>1743</v>
      </c>
      <c r="B623" s="44"/>
      <c r="C623" s="44"/>
      <c r="D623" s="44"/>
      <c r="E623" s="45"/>
      <c r="F623" s="46"/>
      <c r="G623" s="45"/>
      <c r="H623" s="46"/>
      <c r="I623" s="45"/>
      <c r="J623" s="46"/>
      <c r="K623" s="45"/>
      <c r="L623" s="46"/>
      <c r="M623" s="44"/>
      <c r="N623" s="1" t="s">
        <v>484</v>
      </c>
    </row>
    <row r="624" spans="1:51" ht="30" customHeight="1" x14ac:dyDescent="0.3">
      <c r="A624" s="9" t="s">
        <v>1736</v>
      </c>
      <c r="B624" s="9" t="s">
        <v>1745</v>
      </c>
      <c r="C624" s="9" t="s">
        <v>82</v>
      </c>
      <c r="D624" s="10">
        <v>1.1000000000000001</v>
      </c>
      <c r="E624" s="15">
        <f>'단가대비표(총체)'!O143</f>
        <v>0</v>
      </c>
      <c r="F624" s="16">
        <f>TRUNC(E624*D624,1)</f>
        <v>0</v>
      </c>
      <c r="G624" s="15">
        <f>'단가대비표(총체)'!P143</f>
        <v>0</v>
      </c>
      <c r="H624" s="16">
        <f>TRUNC(G624*D624,1)</f>
        <v>0</v>
      </c>
      <c r="I624" s="15">
        <f>'단가대비표(총체)'!V143</f>
        <v>0</v>
      </c>
      <c r="J624" s="16">
        <f>TRUNC(I624*D624,1)</f>
        <v>0</v>
      </c>
      <c r="K624" s="15">
        <f t="shared" ref="K624:L627" si="130">TRUNC(E624+G624+I624,1)</f>
        <v>0</v>
      </c>
      <c r="L624" s="16">
        <f t="shared" si="130"/>
        <v>0</v>
      </c>
      <c r="M624" s="9" t="s">
        <v>52</v>
      </c>
      <c r="N624" s="2" t="s">
        <v>484</v>
      </c>
      <c r="O624" s="2" t="s">
        <v>1746</v>
      </c>
      <c r="P624" s="2" t="s">
        <v>61</v>
      </c>
      <c r="Q624" s="2" t="s">
        <v>61</v>
      </c>
      <c r="R624" s="2" t="s">
        <v>60</v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2" t="s">
        <v>52</v>
      </c>
      <c r="AW624" s="2" t="s">
        <v>1747</v>
      </c>
      <c r="AX624" s="2" t="s">
        <v>52</v>
      </c>
      <c r="AY624" s="2" t="s">
        <v>52</v>
      </c>
    </row>
    <row r="625" spans="1:51" ht="30" customHeight="1" x14ac:dyDescent="0.3">
      <c r="A625" s="9" t="s">
        <v>1689</v>
      </c>
      <c r="B625" s="9" t="s">
        <v>822</v>
      </c>
      <c r="C625" s="9" t="s">
        <v>823</v>
      </c>
      <c r="D625" s="10">
        <v>4.8000000000000001E-2</v>
      </c>
      <c r="E625" s="15">
        <f>'단가대비표(총체)'!O203</f>
        <v>0</v>
      </c>
      <c r="F625" s="16">
        <f>TRUNC(E625*D625,1)</f>
        <v>0</v>
      </c>
      <c r="G625" s="15">
        <f>'단가대비표(총체)'!P203</f>
        <v>0</v>
      </c>
      <c r="H625" s="16">
        <f>TRUNC(G625*D625,1)</f>
        <v>0</v>
      </c>
      <c r="I625" s="15">
        <f>'단가대비표(총체)'!V203</f>
        <v>0</v>
      </c>
      <c r="J625" s="16">
        <f>TRUNC(I625*D625,1)</f>
        <v>0</v>
      </c>
      <c r="K625" s="15">
        <f t="shared" si="130"/>
        <v>0</v>
      </c>
      <c r="L625" s="16">
        <f t="shared" si="130"/>
        <v>0</v>
      </c>
      <c r="M625" s="9" t="s">
        <v>52</v>
      </c>
      <c r="N625" s="2" t="s">
        <v>484</v>
      </c>
      <c r="O625" s="2" t="s">
        <v>1690</v>
      </c>
      <c r="P625" s="2" t="s">
        <v>61</v>
      </c>
      <c r="Q625" s="2" t="s">
        <v>61</v>
      </c>
      <c r="R625" s="2" t="s">
        <v>60</v>
      </c>
      <c r="S625" s="3"/>
      <c r="T625" s="3"/>
      <c r="U625" s="3"/>
      <c r="V625" s="3">
        <v>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2" t="s">
        <v>52</v>
      </c>
      <c r="AW625" s="2" t="s">
        <v>1748</v>
      </c>
      <c r="AX625" s="2" t="s">
        <v>52</v>
      </c>
      <c r="AY625" s="2" t="s">
        <v>52</v>
      </c>
    </row>
    <row r="626" spans="1:51" ht="30" customHeight="1" x14ac:dyDescent="0.3">
      <c r="A626" s="9" t="s">
        <v>821</v>
      </c>
      <c r="B626" s="9" t="s">
        <v>822</v>
      </c>
      <c r="C626" s="9" t="s">
        <v>823</v>
      </c>
      <c r="D626" s="10">
        <v>2.1999999999999999E-2</v>
      </c>
      <c r="E626" s="15">
        <f>'단가대비표(총체)'!O180</f>
        <v>0</v>
      </c>
      <c r="F626" s="16">
        <f>TRUNC(E626*D626,1)</f>
        <v>0</v>
      </c>
      <c r="G626" s="15">
        <f>'단가대비표(총체)'!P180</f>
        <v>0</v>
      </c>
      <c r="H626" s="16">
        <f>TRUNC(G626*D626,1)</f>
        <v>0</v>
      </c>
      <c r="I626" s="15">
        <f>'단가대비표(총체)'!V180</f>
        <v>0</v>
      </c>
      <c r="J626" s="16">
        <f>TRUNC(I626*D626,1)</f>
        <v>0</v>
      </c>
      <c r="K626" s="15">
        <f t="shared" si="130"/>
        <v>0</v>
      </c>
      <c r="L626" s="16">
        <f t="shared" si="130"/>
        <v>0</v>
      </c>
      <c r="M626" s="9" t="s">
        <v>52</v>
      </c>
      <c r="N626" s="2" t="s">
        <v>484</v>
      </c>
      <c r="O626" s="2" t="s">
        <v>824</v>
      </c>
      <c r="P626" s="2" t="s">
        <v>61</v>
      </c>
      <c r="Q626" s="2" t="s">
        <v>61</v>
      </c>
      <c r="R626" s="2" t="s">
        <v>60</v>
      </c>
      <c r="S626" s="3"/>
      <c r="T626" s="3"/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2" t="s">
        <v>52</v>
      </c>
      <c r="AW626" s="2" t="s">
        <v>1749</v>
      </c>
      <c r="AX626" s="2" t="s">
        <v>52</v>
      </c>
      <c r="AY626" s="2" t="s">
        <v>52</v>
      </c>
    </row>
    <row r="627" spans="1:51" ht="30" customHeight="1" x14ac:dyDescent="0.3">
      <c r="A627" s="9" t="s">
        <v>874</v>
      </c>
      <c r="B627" s="9" t="s">
        <v>891</v>
      </c>
      <c r="C627" s="9" t="s">
        <v>307</v>
      </c>
      <c r="D627" s="10">
        <v>1</v>
      </c>
      <c r="E627" s="15">
        <f>TRUNC(SUMIF(V624:V627, RIGHTB(O627, 1), H624:H627)*U627, 2)</f>
        <v>0</v>
      </c>
      <c r="F627" s="16">
        <f>TRUNC(E627*D627,1)</f>
        <v>0</v>
      </c>
      <c r="G627" s="15">
        <v>0</v>
      </c>
      <c r="H627" s="16">
        <f>TRUNC(G627*D627,1)</f>
        <v>0</v>
      </c>
      <c r="I627" s="15">
        <v>0</v>
      </c>
      <c r="J627" s="16">
        <f>TRUNC(I627*D627,1)</f>
        <v>0</v>
      </c>
      <c r="K627" s="15">
        <f t="shared" si="130"/>
        <v>0</v>
      </c>
      <c r="L627" s="16">
        <f t="shared" si="130"/>
        <v>0</v>
      </c>
      <c r="M627" s="9" t="s">
        <v>52</v>
      </c>
      <c r="N627" s="2" t="s">
        <v>484</v>
      </c>
      <c r="O627" s="2" t="s">
        <v>809</v>
      </c>
      <c r="P627" s="2" t="s">
        <v>61</v>
      </c>
      <c r="Q627" s="2" t="s">
        <v>61</v>
      </c>
      <c r="R627" s="2" t="s">
        <v>61</v>
      </c>
      <c r="S627" s="3">
        <v>1</v>
      </c>
      <c r="T627" s="3">
        <v>0</v>
      </c>
      <c r="U627" s="3">
        <v>0.02</v>
      </c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2" t="s">
        <v>52</v>
      </c>
      <c r="AW627" s="2" t="s">
        <v>1750</v>
      </c>
      <c r="AX627" s="2" t="s">
        <v>52</v>
      </c>
      <c r="AY627" s="2" t="s">
        <v>52</v>
      </c>
    </row>
    <row r="628" spans="1:51" ht="30" customHeight="1" x14ac:dyDescent="0.3">
      <c r="A628" s="9" t="s">
        <v>811</v>
      </c>
      <c r="B628" s="9" t="s">
        <v>52</v>
      </c>
      <c r="C628" s="9" t="s">
        <v>52</v>
      </c>
      <c r="D628" s="10"/>
      <c r="E628" s="15"/>
      <c r="F628" s="16">
        <f>TRUNC(SUMIF(N624:N627, N623, F624:F627),0)</f>
        <v>0</v>
      </c>
      <c r="G628" s="15"/>
      <c r="H628" s="16">
        <f>TRUNC(SUMIF(N624:N627, N623, H624:H627),0)</f>
        <v>0</v>
      </c>
      <c r="I628" s="15"/>
      <c r="J628" s="16">
        <f>TRUNC(SUMIF(N624:N627, N623, J624:J627),0)</f>
        <v>0</v>
      </c>
      <c r="K628" s="15"/>
      <c r="L628" s="16">
        <f>F628+H628+J628</f>
        <v>0</v>
      </c>
      <c r="M628" s="9" t="s">
        <v>52</v>
      </c>
      <c r="N628" s="2" t="s">
        <v>94</v>
      </c>
      <c r="O628" s="2" t="s">
        <v>94</v>
      </c>
      <c r="P628" s="2" t="s">
        <v>52</v>
      </c>
      <c r="Q628" s="2" t="s">
        <v>52</v>
      </c>
      <c r="R628" s="2" t="s">
        <v>52</v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2" t="s">
        <v>52</v>
      </c>
      <c r="AW628" s="2" t="s">
        <v>52</v>
      </c>
      <c r="AX628" s="2" t="s">
        <v>52</v>
      </c>
      <c r="AY628" s="2" t="s">
        <v>52</v>
      </c>
    </row>
    <row r="629" spans="1:51" ht="30" customHeight="1" x14ac:dyDescent="0.3">
      <c r="A629" s="10"/>
      <c r="B629" s="10"/>
      <c r="C629" s="10"/>
      <c r="D629" s="10"/>
      <c r="E629" s="15"/>
      <c r="F629" s="16"/>
      <c r="G629" s="15"/>
      <c r="H629" s="16"/>
      <c r="I629" s="15"/>
      <c r="J629" s="16"/>
      <c r="K629" s="15"/>
      <c r="L629" s="16"/>
      <c r="M629" s="10"/>
    </row>
    <row r="630" spans="1:51" ht="30" customHeight="1" x14ac:dyDescent="0.3">
      <c r="A630" s="44" t="s">
        <v>1751</v>
      </c>
      <c r="B630" s="44"/>
      <c r="C630" s="44"/>
      <c r="D630" s="44"/>
      <c r="E630" s="45"/>
      <c r="F630" s="46"/>
      <c r="G630" s="45"/>
      <c r="H630" s="46"/>
      <c r="I630" s="45"/>
      <c r="J630" s="46"/>
      <c r="K630" s="45"/>
      <c r="L630" s="46"/>
      <c r="M630" s="44"/>
      <c r="N630" s="1" t="s">
        <v>487</v>
      </c>
    </row>
    <row r="631" spans="1:51" ht="30" customHeight="1" x14ac:dyDescent="0.3">
      <c r="A631" s="9" t="s">
        <v>1736</v>
      </c>
      <c r="B631" s="9" t="s">
        <v>1753</v>
      </c>
      <c r="C631" s="9" t="s">
        <v>82</v>
      </c>
      <c r="D631" s="10">
        <v>1.1000000000000001</v>
      </c>
      <c r="E631" s="15">
        <f>'단가대비표(총체)'!O142</f>
        <v>0</v>
      </c>
      <c r="F631" s="16">
        <f>TRUNC(E631*D631,1)</f>
        <v>0</v>
      </c>
      <c r="G631" s="15">
        <f>'단가대비표(총체)'!P142</f>
        <v>0</v>
      </c>
      <c r="H631" s="16">
        <f>TRUNC(G631*D631,1)</f>
        <v>0</v>
      </c>
      <c r="I631" s="15">
        <f>'단가대비표(총체)'!V142</f>
        <v>0</v>
      </c>
      <c r="J631" s="16">
        <f>TRUNC(I631*D631,1)</f>
        <v>0</v>
      </c>
      <c r="K631" s="15">
        <f t="shared" ref="K631:L634" si="131">TRUNC(E631+G631+I631,1)</f>
        <v>0</v>
      </c>
      <c r="L631" s="16">
        <f t="shared" si="131"/>
        <v>0</v>
      </c>
      <c r="M631" s="9" t="s">
        <v>52</v>
      </c>
      <c r="N631" s="2" t="s">
        <v>487</v>
      </c>
      <c r="O631" s="2" t="s">
        <v>1754</v>
      </c>
      <c r="P631" s="2" t="s">
        <v>61</v>
      </c>
      <c r="Q631" s="2" t="s">
        <v>61</v>
      </c>
      <c r="R631" s="2" t="s">
        <v>60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2" t="s">
        <v>52</v>
      </c>
      <c r="AW631" s="2" t="s">
        <v>1755</v>
      </c>
      <c r="AX631" s="2" t="s">
        <v>52</v>
      </c>
      <c r="AY631" s="2" t="s">
        <v>52</v>
      </c>
    </row>
    <row r="632" spans="1:51" ht="30" customHeight="1" x14ac:dyDescent="0.3">
      <c r="A632" s="9" t="s">
        <v>1689</v>
      </c>
      <c r="B632" s="9" t="s">
        <v>822</v>
      </c>
      <c r="C632" s="9" t="s">
        <v>823</v>
      </c>
      <c r="D632" s="10">
        <v>3.3000000000000002E-2</v>
      </c>
      <c r="E632" s="15">
        <f>'단가대비표(총체)'!O203</f>
        <v>0</v>
      </c>
      <c r="F632" s="16">
        <f>TRUNC(E632*D632,1)</f>
        <v>0</v>
      </c>
      <c r="G632" s="15">
        <f>'단가대비표(총체)'!P203</f>
        <v>0</v>
      </c>
      <c r="H632" s="16">
        <f>TRUNC(G632*D632,1)</f>
        <v>0</v>
      </c>
      <c r="I632" s="15">
        <f>'단가대비표(총체)'!V203</f>
        <v>0</v>
      </c>
      <c r="J632" s="16">
        <f>TRUNC(I632*D632,1)</f>
        <v>0</v>
      </c>
      <c r="K632" s="15">
        <f t="shared" si="131"/>
        <v>0</v>
      </c>
      <c r="L632" s="16">
        <f t="shared" si="131"/>
        <v>0</v>
      </c>
      <c r="M632" s="9" t="s">
        <v>52</v>
      </c>
      <c r="N632" s="2" t="s">
        <v>487</v>
      </c>
      <c r="O632" s="2" t="s">
        <v>1690</v>
      </c>
      <c r="P632" s="2" t="s">
        <v>61</v>
      </c>
      <c r="Q632" s="2" t="s">
        <v>61</v>
      </c>
      <c r="R632" s="2" t="s">
        <v>60</v>
      </c>
      <c r="S632" s="3"/>
      <c r="T632" s="3"/>
      <c r="U632" s="3"/>
      <c r="V632" s="3">
        <v>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2" t="s">
        <v>52</v>
      </c>
      <c r="AW632" s="2" t="s">
        <v>1756</v>
      </c>
      <c r="AX632" s="2" t="s">
        <v>52</v>
      </c>
      <c r="AY632" s="2" t="s">
        <v>52</v>
      </c>
    </row>
    <row r="633" spans="1:51" ht="30" customHeight="1" x14ac:dyDescent="0.3">
      <c r="A633" s="9" t="s">
        <v>821</v>
      </c>
      <c r="B633" s="9" t="s">
        <v>822</v>
      </c>
      <c r="C633" s="9" t="s">
        <v>823</v>
      </c>
      <c r="D633" s="10">
        <v>1.7000000000000001E-2</v>
      </c>
      <c r="E633" s="15">
        <f>'단가대비표(총체)'!O180</f>
        <v>0</v>
      </c>
      <c r="F633" s="16">
        <f>TRUNC(E633*D633,1)</f>
        <v>0</v>
      </c>
      <c r="G633" s="15">
        <f>'단가대비표(총체)'!P180</f>
        <v>0</v>
      </c>
      <c r="H633" s="16">
        <f>TRUNC(G633*D633,1)</f>
        <v>0</v>
      </c>
      <c r="I633" s="15">
        <f>'단가대비표(총체)'!V180</f>
        <v>0</v>
      </c>
      <c r="J633" s="16">
        <f>TRUNC(I633*D633,1)</f>
        <v>0</v>
      </c>
      <c r="K633" s="15">
        <f t="shared" si="131"/>
        <v>0</v>
      </c>
      <c r="L633" s="16">
        <f t="shared" si="131"/>
        <v>0</v>
      </c>
      <c r="M633" s="9" t="s">
        <v>52</v>
      </c>
      <c r="N633" s="2" t="s">
        <v>487</v>
      </c>
      <c r="O633" s="2" t="s">
        <v>824</v>
      </c>
      <c r="P633" s="2" t="s">
        <v>61</v>
      </c>
      <c r="Q633" s="2" t="s">
        <v>61</v>
      </c>
      <c r="R633" s="2" t="s">
        <v>60</v>
      </c>
      <c r="S633" s="3"/>
      <c r="T633" s="3"/>
      <c r="U633" s="3"/>
      <c r="V633" s="3">
        <v>1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2" t="s">
        <v>52</v>
      </c>
      <c r="AW633" s="2" t="s">
        <v>1757</v>
      </c>
      <c r="AX633" s="2" t="s">
        <v>52</v>
      </c>
      <c r="AY633" s="2" t="s">
        <v>52</v>
      </c>
    </row>
    <row r="634" spans="1:51" ht="30" customHeight="1" x14ac:dyDescent="0.3">
      <c r="A634" s="9" t="s">
        <v>874</v>
      </c>
      <c r="B634" s="9" t="s">
        <v>891</v>
      </c>
      <c r="C634" s="9" t="s">
        <v>307</v>
      </c>
      <c r="D634" s="10">
        <v>1</v>
      </c>
      <c r="E634" s="15">
        <f>TRUNC(SUMIF(V631:V634, RIGHTB(O634, 1), H631:H634)*U634, 2)</f>
        <v>0</v>
      </c>
      <c r="F634" s="16">
        <f>TRUNC(E634*D634,1)</f>
        <v>0</v>
      </c>
      <c r="G634" s="15">
        <v>0</v>
      </c>
      <c r="H634" s="16">
        <f>TRUNC(G634*D634,1)</f>
        <v>0</v>
      </c>
      <c r="I634" s="15">
        <v>0</v>
      </c>
      <c r="J634" s="16">
        <f>TRUNC(I634*D634,1)</f>
        <v>0</v>
      </c>
      <c r="K634" s="15">
        <f t="shared" si="131"/>
        <v>0</v>
      </c>
      <c r="L634" s="16">
        <f t="shared" si="131"/>
        <v>0</v>
      </c>
      <c r="M634" s="9" t="s">
        <v>52</v>
      </c>
      <c r="N634" s="2" t="s">
        <v>487</v>
      </c>
      <c r="O634" s="2" t="s">
        <v>809</v>
      </c>
      <c r="P634" s="2" t="s">
        <v>61</v>
      </c>
      <c r="Q634" s="2" t="s">
        <v>61</v>
      </c>
      <c r="R634" s="2" t="s">
        <v>61</v>
      </c>
      <c r="S634" s="3">
        <v>1</v>
      </c>
      <c r="T634" s="3">
        <v>0</v>
      </c>
      <c r="U634" s="3">
        <v>0.02</v>
      </c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2" t="s">
        <v>52</v>
      </c>
      <c r="AW634" s="2" t="s">
        <v>1758</v>
      </c>
      <c r="AX634" s="2" t="s">
        <v>52</v>
      </c>
      <c r="AY634" s="2" t="s">
        <v>52</v>
      </c>
    </row>
    <row r="635" spans="1:51" ht="30" customHeight="1" x14ac:dyDescent="0.3">
      <c r="A635" s="9" t="s">
        <v>811</v>
      </c>
      <c r="B635" s="9" t="s">
        <v>52</v>
      </c>
      <c r="C635" s="9" t="s">
        <v>52</v>
      </c>
      <c r="D635" s="10"/>
      <c r="E635" s="15"/>
      <c r="F635" s="16">
        <f>TRUNC(SUMIF(N631:N634, N630, F631:F634),0)</f>
        <v>0</v>
      </c>
      <c r="G635" s="15"/>
      <c r="H635" s="16">
        <f>TRUNC(SUMIF(N631:N634, N630, H631:H634),0)</f>
        <v>0</v>
      </c>
      <c r="I635" s="15"/>
      <c r="J635" s="16">
        <f>TRUNC(SUMIF(N631:N634, N630, J631:J634),0)</f>
        <v>0</v>
      </c>
      <c r="K635" s="15"/>
      <c r="L635" s="16">
        <f>F635+H635+J635</f>
        <v>0</v>
      </c>
      <c r="M635" s="9" t="s">
        <v>52</v>
      </c>
      <c r="N635" s="2" t="s">
        <v>94</v>
      </c>
      <c r="O635" s="2" t="s">
        <v>94</v>
      </c>
      <c r="P635" s="2" t="s">
        <v>52</v>
      </c>
      <c r="Q635" s="2" t="s">
        <v>52</v>
      </c>
      <c r="R635" s="2" t="s">
        <v>52</v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2" t="s">
        <v>52</v>
      </c>
      <c r="AW635" s="2" t="s">
        <v>52</v>
      </c>
      <c r="AX635" s="2" t="s">
        <v>52</v>
      </c>
      <c r="AY635" s="2" t="s">
        <v>52</v>
      </c>
    </row>
    <row r="636" spans="1:51" ht="30" customHeight="1" x14ac:dyDescent="0.3">
      <c r="A636" s="10"/>
      <c r="B636" s="10"/>
      <c r="C636" s="10"/>
      <c r="D636" s="10"/>
      <c r="E636" s="15"/>
      <c r="F636" s="16"/>
      <c r="G636" s="15"/>
      <c r="H636" s="16"/>
      <c r="I636" s="15"/>
      <c r="J636" s="16"/>
      <c r="K636" s="15"/>
      <c r="L636" s="16"/>
      <c r="M636" s="10"/>
    </row>
    <row r="637" spans="1:51" ht="30" customHeight="1" x14ac:dyDescent="0.3">
      <c r="A637" s="44" t="s">
        <v>1759</v>
      </c>
      <c r="B637" s="44"/>
      <c r="C637" s="44"/>
      <c r="D637" s="44"/>
      <c r="E637" s="45"/>
      <c r="F637" s="46"/>
      <c r="G637" s="45"/>
      <c r="H637" s="46"/>
      <c r="I637" s="45"/>
      <c r="J637" s="46"/>
      <c r="K637" s="45"/>
      <c r="L637" s="46"/>
      <c r="M637" s="44"/>
      <c r="N637" s="1" t="s">
        <v>490</v>
      </c>
    </row>
    <row r="638" spans="1:51" ht="30" customHeight="1" x14ac:dyDescent="0.3">
      <c r="A638" s="9" t="s">
        <v>1736</v>
      </c>
      <c r="B638" s="9" t="s">
        <v>1761</v>
      </c>
      <c r="C638" s="9" t="s">
        <v>82</v>
      </c>
      <c r="D638" s="10">
        <v>1.1000000000000001</v>
      </c>
      <c r="E638" s="15">
        <f>'단가대비표(총체)'!O141</f>
        <v>0</v>
      </c>
      <c r="F638" s="16">
        <f>TRUNC(E638*D638,1)</f>
        <v>0</v>
      </c>
      <c r="G638" s="15">
        <f>'단가대비표(총체)'!P141</f>
        <v>0</v>
      </c>
      <c r="H638" s="16">
        <f>TRUNC(G638*D638,1)</f>
        <v>0</v>
      </c>
      <c r="I638" s="15">
        <f>'단가대비표(총체)'!V141</f>
        <v>0</v>
      </c>
      <c r="J638" s="16">
        <f>TRUNC(I638*D638,1)</f>
        <v>0</v>
      </c>
      <c r="K638" s="15">
        <f t="shared" ref="K638:L641" si="132">TRUNC(E638+G638+I638,1)</f>
        <v>0</v>
      </c>
      <c r="L638" s="16">
        <f t="shared" si="132"/>
        <v>0</v>
      </c>
      <c r="M638" s="9" t="s">
        <v>52</v>
      </c>
      <c r="N638" s="2" t="s">
        <v>490</v>
      </c>
      <c r="O638" s="2" t="s">
        <v>1762</v>
      </c>
      <c r="P638" s="2" t="s">
        <v>61</v>
      </c>
      <c r="Q638" s="2" t="s">
        <v>61</v>
      </c>
      <c r="R638" s="2" t="s">
        <v>60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2" t="s">
        <v>52</v>
      </c>
      <c r="AW638" s="2" t="s">
        <v>1763</v>
      </c>
      <c r="AX638" s="2" t="s">
        <v>52</v>
      </c>
      <c r="AY638" s="2" t="s">
        <v>52</v>
      </c>
    </row>
    <row r="639" spans="1:51" ht="30" customHeight="1" x14ac:dyDescent="0.3">
      <c r="A639" s="9" t="s">
        <v>1689</v>
      </c>
      <c r="B639" s="9" t="s">
        <v>822</v>
      </c>
      <c r="C639" s="9" t="s">
        <v>823</v>
      </c>
      <c r="D639" s="10">
        <v>2.8000000000000001E-2</v>
      </c>
      <c r="E639" s="15">
        <f>'단가대비표(총체)'!O203</f>
        <v>0</v>
      </c>
      <c r="F639" s="16">
        <f>TRUNC(E639*D639,1)</f>
        <v>0</v>
      </c>
      <c r="G639" s="15">
        <f>'단가대비표(총체)'!P203</f>
        <v>0</v>
      </c>
      <c r="H639" s="16">
        <f>TRUNC(G639*D639,1)</f>
        <v>0</v>
      </c>
      <c r="I639" s="15">
        <f>'단가대비표(총체)'!V203</f>
        <v>0</v>
      </c>
      <c r="J639" s="16">
        <f>TRUNC(I639*D639,1)</f>
        <v>0</v>
      </c>
      <c r="K639" s="15">
        <f t="shared" si="132"/>
        <v>0</v>
      </c>
      <c r="L639" s="16">
        <f t="shared" si="132"/>
        <v>0</v>
      </c>
      <c r="M639" s="9" t="s">
        <v>52</v>
      </c>
      <c r="N639" s="2" t="s">
        <v>490</v>
      </c>
      <c r="O639" s="2" t="s">
        <v>1690</v>
      </c>
      <c r="P639" s="2" t="s">
        <v>61</v>
      </c>
      <c r="Q639" s="2" t="s">
        <v>61</v>
      </c>
      <c r="R639" s="2" t="s">
        <v>60</v>
      </c>
      <c r="S639" s="3"/>
      <c r="T639" s="3"/>
      <c r="U639" s="3"/>
      <c r="V639" s="3">
        <v>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2" t="s">
        <v>52</v>
      </c>
      <c r="AW639" s="2" t="s">
        <v>1764</v>
      </c>
      <c r="AX639" s="2" t="s">
        <v>52</v>
      </c>
      <c r="AY639" s="2" t="s">
        <v>52</v>
      </c>
    </row>
    <row r="640" spans="1:51" ht="30" customHeight="1" x14ac:dyDescent="0.3">
      <c r="A640" s="9" t="s">
        <v>821</v>
      </c>
      <c r="B640" s="9" t="s">
        <v>822</v>
      </c>
      <c r="C640" s="9" t="s">
        <v>823</v>
      </c>
      <c r="D640" s="10">
        <v>1.4999999999999999E-2</v>
      </c>
      <c r="E640" s="15">
        <f>'단가대비표(총체)'!O180</f>
        <v>0</v>
      </c>
      <c r="F640" s="16">
        <f>TRUNC(E640*D640,1)</f>
        <v>0</v>
      </c>
      <c r="G640" s="15">
        <f>'단가대비표(총체)'!P180</f>
        <v>0</v>
      </c>
      <c r="H640" s="16">
        <f>TRUNC(G640*D640,1)</f>
        <v>0</v>
      </c>
      <c r="I640" s="15">
        <f>'단가대비표(총체)'!V180</f>
        <v>0</v>
      </c>
      <c r="J640" s="16">
        <f>TRUNC(I640*D640,1)</f>
        <v>0</v>
      </c>
      <c r="K640" s="15">
        <f t="shared" si="132"/>
        <v>0</v>
      </c>
      <c r="L640" s="16">
        <f t="shared" si="132"/>
        <v>0</v>
      </c>
      <c r="M640" s="9" t="s">
        <v>52</v>
      </c>
      <c r="N640" s="2" t="s">
        <v>490</v>
      </c>
      <c r="O640" s="2" t="s">
        <v>824</v>
      </c>
      <c r="P640" s="2" t="s">
        <v>61</v>
      </c>
      <c r="Q640" s="2" t="s">
        <v>61</v>
      </c>
      <c r="R640" s="2" t="s">
        <v>60</v>
      </c>
      <c r="S640" s="3"/>
      <c r="T640" s="3"/>
      <c r="U640" s="3"/>
      <c r="V640" s="3">
        <v>1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2" t="s">
        <v>52</v>
      </c>
      <c r="AW640" s="2" t="s">
        <v>1765</v>
      </c>
      <c r="AX640" s="2" t="s">
        <v>52</v>
      </c>
      <c r="AY640" s="2" t="s">
        <v>52</v>
      </c>
    </row>
    <row r="641" spans="1:51" ht="30" customHeight="1" x14ac:dyDescent="0.3">
      <c r="A641" s="9" t="s">
        <v>874</v>
      </c>
      <c r="B641" s="9" t="s">
        <v>891</v>
      </c>
      <c r="C641" s="9" t="s">
        <v>307</v>
      </c>
      <c r="D641" s="10">
        <v>1</v>
      </c>
      <c r="E641" s="15">
        <f>TRUNC(SUMIF(V638:V641, RIGHTB(O641, 1), H638:H641)*U641, 2)</f>
        <v>0</v>
      </c>
      <c r="F641" s="16">
        <f>TRUNC(E641*D641,1)</f>
        <v>0</v>
      </c>
      <c r="G641" s="15">
        <v>0</v>
      </c>
      <c r="H641" s="16">
        <f>TRUNC(G641*D641,1)</f>
        <v>0</v>
      </c>
      <c r="I641" s="15">
        <v>0</v>
      </c>
      <c r="J641" s="16">
        <f>TRUNC(I641*D641,1)</f>
        <v>0</v>
      </c>
      <c r="K641" s="15">
        <f t="shared" si="132"/>
        <v>0</v>
      </c>
      <c r="L641" s="16">
        <f t="shared" si="132"/>
        <v>0</v>
      </c>
      <c r="M641" s="9" t="s">
        <v>52</v>
      </c>
      <c r="N641" s="2" t="s">
        <v>490</v>
      </c>
      <c r="O641" s="2" t="s">
        <v>809</v>
      </c>
      <c r="P641" s="2" t="s">
        <v>61</v>
      </c>
      <c r="Q641" s="2" t="s">
        <v>61</v>
      </c>
      <c r="R641" s="2" t="s">
        <v>61</v>
      </c>
      <c r="S641" s="3">
        <v>1</v>
      </c>
      <c r="T641" s="3">
        <v>0</v>
      </c>
      <c r="U641" s="3">
        <v>0.02</v>
      </c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2" t="s">
        <v>52</v>
      </c>
      <c r="AW641" s="2" t="s">
        <v>1766</v>
      </c>
      <c r="AX641" s="2" t="s">
        <v>52</v>
      </c>
      <c r="AY641" s="2" t="s">
        <v>52</v>
      </c>
    </row>
    <row r="642" spans="1:51" ht="30" customHeight="1" x14ac:dyDescent="0.3">
      <c r="A642" s="9" t="s">
        <v>811</v>
      </c>
      <c r="B642" s="9" t="s">
        <v>52</v>
      </c>
      <c r="C642" s="9" t="s">
        <v>52</v>
      </c>
      <c r="D642" s="10"/>
      <c r="E642" s="15"/>
      <c r="F642" s="16">
        <f>TRUNC(SUMIF(N638:N641, N637, F638:F641),0)</f>
        <v>0</v>
      </c>
      <c r="G642" s="15"/>
      <c r="H642" s="16">
        <f>TRUNC(SUMIF(N638:N641, N637, H638:H641),0)</f>
        <v>0</v>
      </c>
      <c r="I642" s="15"/>
      <c r="J642" s="16">
        <f>TRUNC(SUMIF(N638:N641, N637, J638:J641),0)</f>
        <v>0</v>
      </c>
      <c r="K642" s="15"/>
      <c r="L642" s="16">
        <f>F642+H642+J642</f>
        <v>0</v>
      </c>
      <c r="M642" s="9" t="s">
        <v>52</v>
      </c>
      <c r="N642" s="2" t="s">
        <v>94</v>
      </c>
      <c r="O642" s="2" t="s">
        <v>94</v>
      </c>
      <c r="P642" s="2" t="s">
        <v>52</v>
      </c>
      <c r="Q642" s="2" t="s">
        <v>52</v>
      </c>
      <c r="R642" s="2" t="s">
        <v>52</v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2" t="s">
        <v>52</v>
      </c>
      <c r="AW642" s="2" t="s">
        <v>52</v>
      </c>
      <c r="AX642" s="2" t="s">
        <v>52</v>
      </c>
      <c r="AY642" s="2" t="s">
        <v>52</v>
      </c>
    </row>
    <row r="643" spans="1:51" ht="30" customHeight="1" x14ac:dyDescent="0.3">
      <c r="A643" s="10"/>
      <c r="B643" s="10"/>
      <c r="C643" s="10"/>
      <c r="D643" s="10"/>
      <c r="E643" s="15"/>
      <c r="F643" s="16"/>
      <c r="G643" s="15"/>
      <c r="H643" s="16"/>
      <c r="I643" s="15"/>
      <c r="J643" s="16"/>
      <c r="K643" s="15"/>
      <c r="L643" s="16"/>
      <c r="M643" s="10"/>
    </row>
    <row r="644" spans="1:51" ht="30" customHeight="1" x14ac:dyDescent="0.3">
      <c r="A644" s="44" t="s">
        <v>1767</v>
      </c>
      <c r="B644" s="44"/>
      <c r="C644" s="44"/>
      <c r="D644" s="44"/>
      <c r="E644" s="45"/>
      <c r="F644" s="46"/>
      <c r="G644" s="45"/>
      <c r="H644" s="46"/>
      <c r="I644" s="45"/>
      <c r="J644" s="46"/>
      <c r="K644" s="45"/>
      <c r="L644" s="46"/>
      <c r="M644" s="44"/>
      <c r="N644" s="1" t="s">
        <v>494</v>
      </c>
    </row>
    <row r="645" spans="1:51" ht="30" customHeight="1" x14ac:dyDescent="0.3">
      <c r="A645" s="9" t="s">
        <v>1769</v>
      </c>
      <c r="B645" s="9" t="s">
        <v>1770</v>
      </c>
      <c r="C645" s="9" t="s">
        <v>82</v>
      </c>
      <c r="D645" s="10">
        <v>1.05</v>
      </c>
      <c r="E645" s="15">
        <f>'단가대비표(총체)'!O137</f>
        <v>0</v>
      </c>
      <c r="F645" s="16">
        <f t="shared" ref="F645:F650" si="133">TRUNC(E645*D645,1)</f>
        <v>0</v>
      </c>
      <c r="G645" s="15">
        <f>'단가대비표(총체)'!P137</f>
        <v>0</v>
      </c>
      <c r="H645" s="16">
        <f t="shared" ref="H645:H650" si="134">TRUNC(G645*D645,1)</f>
        <v>0</v>
      </c>
      <c r="I645" s="15">
        <f>'단가대비표(총체)'!V137</f>
        <v>0</v>
      </c>
      <c r="J645" s="16">
        <f t="shared" ref="J645:J650" si="135">TRUNC(I645*D645,1)</f>
        <v>0</v>
      </c>
      <c r="K645" s="15">
        <f t="shared" ref="K645:L650" si="136">TRUNC(E645+G645+I645,1)</f>
        <v>0</v>
      </c>
      <c r="L645" s="16">
        <f t="shared" si="136"/>
        <v>0</v>
      </c>
      <c r="M645" s="9" t="s">
        <v>52</v>
      </c>
      <c r="N645" s="2" t="s">
        <v>494</v>
      </c>
      <c r="O645" s="2" t="s">
        <v>1771</v>
      </c>
      <c r="P645" s="2" t="s">
        <v>61</v>
      </c>
      <c r="Q645" s="2" t="s">
        <v>61</v>
      </c>
      <c r="R645" s="2" t="s">
        <v>60</v>
      </c>
      <c r="S645" s="3"/>
      <c r="T645" s="3"/>
      <c r="U645" s="3"/>
      <c r="V645" s="3">
        <v>1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2" t="s">
        <v>52</v>
      </c>
      <c r="AW645" s="2" t="s">
        <v>1772</v>
      </c>
      <c r="AX645" s="2" t="s">
        <v>52</v>
      </c>
      <c r="AY645" s="2" t="s">
        <v>52</v>
      </c>
    </row>
    <row r="646" spans="1:51" ht="30" customHeight="1" x14ac:dyDescent="0.3">
      <c r="A646" s="9" t="s">
        <v>983</v>
      </c>
      <c r="B646" s="9" t="s">
        <v>1773</v>
      </c>
      <c r="C646" s="9" t="s">
        <v>307</v>
      </c>
      <c r="D646" s="10">
        <v>1</v>
      </c>
      <c r="E646" s="15">
        <f>TRUNC(SUMIF(V645:V650, RIGHTB(O646, 1), F645:F650)*U646, 2)</f>
        <v>0</v>
      </c>
      <c r="F646" s="16">
        <f t="shared" si="133"/>
        <v>0</v>
      </c>
      <c r="G646" s="15">
        <v>0</v>
      </c>
      <c r="H646" s="16">
        <f t="shared" si="134"/>
        <v>0</v>
      </c>
      <c r="I646" s="15">
        <v>0</v>
      </c>
      <c r="J646" s="16">
        <f t="shared" si="135"/>
        <v>0</v>
      </c>
      <c r="K646" s="15">
        <f t="shared" si="136"/>
        <v>0</v>
      </c>
      <c r="L646" s="16">
        <f t="shared" si="136"/>
        <v>0</v>
      </c>
      <c r="M646" s="9" t="s">
        <v>52</v>
      </c>
      <c r="N646" s="2" t="s">
        <v>494</v>
      </c>
      <c r="O646" s="2" t="s">
        <v>809</v>
      </c>
      <c r="P646" s="2" t="s">
        <v>61</v>
      </c>
      <c r="Q646" s="2" t="s">
        <v>61</v>
      </c>
      <c r="R646" s="2" t="s">
        <v>61</v>
      </c>
      <c r="S646" s="3">
        <v>0</v>
      </c>
      <c r="T646" s="3">
        <v>0</v>
      </c>
      <c r="U646" s="3">
        <v>0.03</v>
      </c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2" t="s">
        <v>52</v>
      </c>
      <c r="AW646" s="2" t="s">
        <v>1774</v>
      </c>
      <c r="AX646" s="2" t="s">
        <v>52</v>
      </c>
      <c r="AY646" s="2" t="s">
        <v>52</v>
      </c>
    </row>
    <row r="647" spans="1:51" ht="30" customHeight="1" x14ac:dyDescent="0.3">
      <c r="A647" s="9" t="s">
        <v>1775</v>
      </c>
      <c r="B647" s="9" t="s">
        <v>1776</v>
      </c>
      <c r="C647" s="9" t="s">
        <v>68</v>
      </c>
      <c r="D647" s="10">
        <v>0.4</v>
      </c>
      <c r="E647" s="15">
        <f>'단가대비표(총체)'!O114</f>
        <v>0</v>
      </c>
      <c r="F647" s="16">
        <f t="shared" si="133"/>
        <v>0</v>
      </c>
      <c r="G647" s="15">
        <f>'단가대비표(총체)'!P114</f>
        <v>0</v>
      </c>
      <c r="H647" s="16">
        <f t="shared" si="134"/>
        <v>0</v>
      </c>
      <c r="I647" s="15">
        <f>'단가대비표(총체)'!V114</f>
        <v>0</v>
      </c>
      <c r="J647" s="16">
        <f t="shared" si="135"/>
        <v>0</v>
      </c>
      <c r="K647" s="15">
        <f t="shared" si="136"/>
        <v>0</v>
      </c>
      <c r="L647" s="16">
        <f t="shared" si="136"/>
        <v>0</v>
      </c>
      <c r="M647" s="9" t="s">
        <v>52</v>
      </c>
      <c r="N647" s="2" t="s">
        <v>494</v>
      </c>
      <c r="O647" s="2" t="s">
        <v>1777</v>
      </c>
      <c r="P647" s="2" t="s">
        <v>61</v>
      </c>
      <c r="Q647" s="2" t="s">
        <v>61</v>
      </c>
      <c r="R647" s="2" t="s">
        <v>60</v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2" t="s">
        <v>52</v>
      </c>
      <c r="AW647" s="2" t="s">
        <v>1778</v>
      </c>
      <c r="AX647" s="2" t="s">
        <v>52</v>
      </c>
      <c r="AY647" s="2" t="s">
        <v>52</v>
      </c>
    </row>
    <row r="648" spans="1:51" ht="30" customHeight="1" x14ac:dyDescent="0.3">
      <c r="A648" s="9" t="s">
        <v>1779</v>
      </c>
      <c r="B648" s="9" t="s">
        <v>1780</v>
      </c>
      <c r="C648" s="9" t="s">
        <v>82</v>
      </c>
      <c r="D648" s="10">
        <v>0.35</v>
      </c>
      <c r="E648" s="15">
        <f>'단가대비표(총체)'!O115</f>
        <v>0</v>
      </c>
      <c r="F648" s="16">
        <f t="shared" si="133"/>
        <v>0</v>
      </c>
      <c r="G648" s="15">
        <f>'단가대비표(총체)'!P115</f>
        <v>0</v>
      </c>
      <c r="H648" s="16">
        <f t="shared" si="134"/>
        <v>0</v>
      </c>
      <c r="I648" s="15">
        <f>'단가대비표(총체)'!V115</f>
        <v>0</v>
      </c>
      <c r="J648" s="16">
        <f t="shared" si="135"/>
        <v>0</v>
      </c>
      <c r="K648" s="15">
        <f t="shared" si="136"/>
        <v>0</v>
      </c>
      <c r="L648" s="16">
        <f t="shared" si="136"/>
        <v>0</v>
      </c>
      <c r="M648" s="9" t="s">
        <v>52</v>
      </c>
      <c r="N648" s="2" t="s">
        <v>494</v>
      </c>
      <c r="O648" s="2" t="s">
        <v>1781</v>
      </c>
      <c r="P648" s="2" t="s">
        <v>61</v>
      </c>
      <c r="Q648" s="2" t="s">
        <v>61</v>
      </c>
      <c r="R648" s="2" t="s">
        <v>60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2" t="s">
        <v>52</v>
      </c>
      <c r="AW648" s="2" t="s">
        <v>1782</v>
      </c>
      <c r="AX648" s="2" t="s">
        <v>52</v>
      </c>
      <c r="AY648" s="2" t="s">
        <v>52</v>
      </c>
    </row>
    <row r="649" spans="1:51" ht="30" customHeight="1" x14ac:dyDescent="0.3">
      <c r="A649" s="9" t="s">
        <v>1783</v>
      </c>
      <c r="B649" s="9" t="s">
        <v>822</v>
      </c>
      <c r="C649" s="9" t="s">
        <v>823</v>
      </c>
      <c r="D649" s="10">
        <v>3.5999999999999997E-2</v>
      </c>
      <c r="E649" s="15">
        <f>'단가대비표(총체)'!O207</f>
        <v>0</v>
      </c>
      <c r="F649" s="16">
        <f t="shared" si="133"/>
        <v>0</v>
      </c>
      <c r="G649" s="15">
        <f>'단가대비표(총체)'!P207</f>
        <v>0</v>
      </c>
      <c r="H649" s="16">
        <f t="shared" si="134"/>
        <v>0</v>
      </c>
      <c r="I649" s="15">
        <f>'단가대비표(총체)'!V207</f>
        <v>0</v>
      </c>
      <c r="J649" s="16">
        <f t="shared" si="135"/>
        <v>0</v>
      </c>
      <c r="K649" s="15">
        <f t="shared" si="136"/>
        <v>0</v>
      </c>
      <c r="L649" s="16">
        <f t="shared" si="136"/>
        <v>0</v>
      </c>
      <c r="M649" s="9" t="s">
        <v>52</v>
      </c>
      <c r="N649" s="2" t="s">
        <v>494</v>
      </c>
      <c r="O649" s="2" t="s">
        <v>1784</v>
      </c>
      <c r="P649" s="2" t="s">
        <v>61</v>
      </c>
      <c r="Q649" s="2" t="s">
        <v>61</v>
      </c>
      <c r="R649" s="2" t="s">
        <v>60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2" t="s">
        <v>52</v>
      </c>
      <c r="AW649" s="2" t="s">
        <v>1785</v>
      </c>
      <c r="AX649" s="2" t="s">
        <v>52</v>
      </c>
      <c r="AY649" s="2" t="s">
        <v>52</v>
      </c>
    </row>
    <row r="650" spans="1:51" ht="30" customHeight="1" x14ac:dyDescent="0.3">
      <c r="A650" s="9" t="s">
        <v>821</v>
      </c>
      <c r="B650" s="9" t="s">
        <v>822</v>
      </c>
      <c r="C650" s="9" t="s">
        <v>823</v>
      </c>
      <c r="D650" s="10">
        <v>3.0000000000000001E-3</v>
      </c>
      <c r="E650" s="15">
        <f>'단가대비표(총체)'!O180</f>
        <v>0</v>
      </c>
      <c r="F650" s="16">
        <f t="shared" si="133"/>
        <v>0</v>
      </c>
      <c r="G650" s="15">
        <f>'단가대비표(총체)'!P180</f>
        <v>0</v>
      </c>
      <c r="H650" s="16">
        <f t="shared" si="134"/>
        <v>0</v>
      </c>
      <c r="I650" s="15">
        <f>'단가대비표(총체)'!V180</f>
        <v>0</v>
      </c>
      <c r="J650" s="16">
        <f t="shared" si="135"/>
        <v>0</v>
      </c>
      <c r="K650" s="15">
        <f t="shared" si="136"/>
        <v>0</v>
      </c>
      <c r="L650" s="16">
        <f t="shared" si="136"/>
        <v>0</v>
      </c>
      <c r="M650" s="9" t="s">
        <v>52</v>
      </c>
      <c r="N650" s="2" t="s">
        <v>494</v>
      </c>
      <c r="O650" s="2" t="s">
        <v>824</v>
      </c>
      <c r="P650" s="2" t="s">
        <v>61</v>
      </c>
      <c r="Q650" s="2" t="s">
        <v>61</v>
      </c>
      <c r="R650" s="2" t="s">
        <v>60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2" t="s">
        <v>52</v>
      </c>
      <c r="AW650" s="2" t="s">
        <v>1786</v>
      </c>
      <c r="AX650" s="2" t="s">
        <v>52</v>
      </c>
      <c r="AY650" s="2" t="s">
        <v>52</v>
      </c>
    </row>
    <row r="651" spans="1:51" ht="30" customHeight="1" x14ac:dyDescent="0.3">
      <c r="A651" s="9" t="s">
        <v>811</v>
      </c>
      <c r="B651" s="9" t="s">
        <v>52</v>
      </c>
      <c r="C651" s="9" t="s">
        <v>52</v>
      </c>
      <c r="D651" s="10"/>
      <c r="E651" s="15"/>
      <c r="F651" s="16">
        <f>TRUNC(SUMIF(N645:N650, N644, F645:F650),0)</f>
        <v>0</v>
      </c>
      <c r="G651" s="15"/>
      <c r="H651" s="16">
        <f>TRUNC(SUMIF(N645:N650, N644, H645:H650),0)</f>
        <v>0</v>
      </c>
      <c r="I651" s="15"/>
      <c r="J651" s="16">
        <f>TRUNC(SUMIF(N645:N650, N644, J645:J650),0)</f>
        <v>0</v>
      </c>
      <c r="K651" s="15"/>
      <c r="L651" s="16">
        <f>F651+H651+J651</f>
        <v>0</v>
      </c>
      <c r="M651" s="9" t="s">
        <v>52</v>
      </c>
      <c r="N651" s="2" t="s">
        <v>94</v>
      </c>
      <c r="O651" s="2" t="s">
        <v>94</v>
      </c>
      <c r="P651" s="2" t="s">
        <v>52</v>
      </c>
      <c r="Q651" s="2" t="s">
        <v>52</v>
      </c>
      <c r="R651" s="2" t="s">
        <v>52</v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2" t="s">
        <v>52</v>
      </c>
      <c r="AW651" s="2" t="s">
        <v>52</v>
      </c>
      <c r="AX651" s="2" t="s">
        <v>52</v>
      </c>
      <c r="AY651" s="2" t="s">
        <v>52</v>
      </c>
    </row>
    <row r="652" spans="1:51" ht="30" customHeight="1" x14ac:dyDescent="0.3">
      <c r="A652" s="10"/>
      <c r="B652" s="10"/>
      <c r="C652" s="10"/>
      <c r="D652" s="10"/>
      <c r="E652" s="15"/>
      <c r="F652" s="16"/>
      <c r="G652" s="15"/>
      <c r="H652" s="16"/>
      <c r="I652" s="15"/>
      <c r="J652" s="16"/>
      <c r="K652" s="15"/>
      <c r="L652" s="16"/>
      <c r="M652" s="10"/>
    </row>
    <row r="653" spans="1:51" ht="30" customHeight="1" x14ac:dyDescent="0.3">
      <c r="A653" s="44" t="s">
        <v>1787</v>
      </c>
      <c r="B653" s="44"/>
      <c r="C653" s="44"/>
      <c r="D653" s="44"/>
      <c r="E653" s="45"/>
      <c r="F653" s="46"/>
      <c r="G653" s="45"/>
      <c r="H653" s="46"/>
      <c r="I653" s="45"/>
      <c r="J653" s="46"/>
      <c r="K653" s="45"/>
      <c r="L653" s="46"/>
      <c r="M653" s="44"/>
      <c r="N653" s="1" t="s">
        <v>497</v>
      </c>
    </row>
    <row r="654" spans="1:51" ht="30" customHeight="1" x14ac:dyDescent="0.3">
      <c r="A654" s="9" t="s">
        <v>1769</v>
      </c>
      <c r="B654" s="9" t="s">
        <v>1789</v>
      </c>
      <c r="C654" s="9" t="s">
        <v>82</v>
      </c>
      <c r="D654" s="10">
        <v>1.05</v>
      </c>
      <c r="E654" s="15">
        <f>'단가대비표(총체)'!O136</f>
        <v>0</v>
      </c>
      <c r="F654" s="16">
        <f t="shared" ref="F654:F659" si="137">TRUNC(E654*D654,1)</f>
        <v>0</v>
      </c>
      <c r="G654" s="15">
        <f>'단가대비표(총체)'!P136</f>
        <v>0</v>
      </c>
      <c r="H654" s="16">
        <f t="shared" ref="H654:H659" si="138">TRUNC(G654*D654,1)</f>
        <v>0</v>
      </c>
      <c r="I654" s="15">
        <f>'단가대비표(총체)'!V136</f>
        <v>0</v>
      </c>
      <c r="J654" s="16">
        <f t="shared" ref="J654:J659" si="139">TRUNC(I654*D654,1)</f>
        <v>0</v>
      </c>
      <c r="K654" s="15">
        <f t="shared" ref="K654:L659" si="140">TRUNC(E654+G654+I654,1)</f>
        <v>0</v>
      </c>
      <c r="L654" s="16">
        <f t="shared" si="140"/>
        <v>0</v>
      </c>
      <c r="M654" s="9" t="s">
        <v>52</v>
      </c>
      <c r="N654" s="2" t="s">
        <v>497</v>
      </c>
      <c r="O654" s="2" t="s">
        <v>1790</v>
      </c>
      <c r="P654" s="2" t="s">
        <v>61</v>
      </c>
      <c r="Q654" s="2" t="s">
        <v>61</v>
      </c>
      <c r="R654" s="2" t="s">
        <v>60</v>
      </c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2" t="s">
        <v>52</v>
      </c>
      <c r="AW654" s="2" t="s">
        <v>1791</v>
      </c>
      <c r="AX654" s="2" t="s">
        <v>52</v>
      </c>
      <c r="AY654" s="2" t="s">
        <v>52</v>
      </c>
    </row>
    <row r="655" spans="1:51" ht="30" customHeight="1" x14ac:dyDescent="0.3">
      <c r="A655" s="9" t="s">
        <v>983</v>
      </c>
      <c r="B655" s="9" t="s">
        <v>1773</v>
      </c>
      <c r="C655" s="9" t="s">
        <v>307</v>
      </c>
      <c r="D655" s="10">
        <v>1</v>
      </c>
      <c r="E655" s="15">
        <f>TRUNC(SUMIF(V654:V659, RIGHTB(O655, 1), F654:F659)*U655, 2)</f>
        <v>0</v>
      </c>
      <c r="F655" s="16">
        <f t="shared" si="137"/>
        <v>0</v>
      </c>
      <c r="G655" s="15">
        <v>0</v>
      </c>
      <c r="H655" s="16">
        <f t="shared" si="138"/>
        <v>0</v>
      </c>
      <c r="I655" s="15">
        <v>0</v>
      </c>
      <c r="J655" s="16">
        <f t="shared" si="139"/>
        <v>0</v>
      </c>
      <c r="K655" s="15">
        <f t="shared" si="140"/>
        <v>0</v>
      </c>
      <c r="L655" s="16">
        <f t="shared" si="140"/>
        <v>0</v>
      </c>
      <c r="M655" s="9" t="s">
        <v>52</v>
      </c>
      <c r="N655" s="2" t="s">
        <v>497</v>
      </c>
      <c r="O655" s="2" t="s">
        <v>809</v>
      </c>
      <c r="P655" s="2" t="s">
        <v>61</v>
      </c>
      <c r="Q655" s="2" t="s">
        <v>61</v>
      </c>
      <c r="R655" s="2" t="s">
        <v>61</v>
      </c>
      <c r="S655" s="3">
        <v>0</v>
      </c>
      <c r="T655" s="3">
        <v>0</v>
      </c>
      <c r="U655" s="3">
        <v>0.03</v>
      </c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2" t="s">
        <v>52</v>
      </c>
      <c r="AW655" s="2" t="s">
        <v>1792</v>
      </c>
      <c r="AX655" s="2" t="s">
        <v>52</v>
      </c>
      <c r="AY655" s="2" t="s">
        <v>52</v>
      </c>
    </row>
    <row r="656" spans="1:51" ht="30" customHeight="1" x14ac:dyDescent="0.3">
      <c r="A656" s="9" t="s">
        <v>1775</v>
      </c>
      <c r="B656" s="9" t="s">
        <v>1776</v>
      </c>
      <c r="C656" s="9" t="s">
        <v>68</v>
      </c>
      <c r="D656" s="10">
        <v>0.36</v>
      </c>
      <c r="E656" s="15">
        <f>'단가대비표(총체)'!O114</f>
        <v>0</v>
      </c>
      <c r="F656" s="16">
        <f t="shared" si="137"/>
        <v>0</v>
      </c>
      <c r="G656" s="15">
        <f>'단가대비표(총체)'!P114</f>
        <v>0</v>
      </c>
      <c r="H656" s="16">
        <f t="shared" si="138"/>
        <v>0</v>
      </c>
      <c r="I656" s="15">
        <f>'단가대비표(총체)'!V114</f>
        <v>0</v>
      </c>
      <c r="J656" s="16">
        <f t="shared" si="139"/>
        <v>0</v>
      </c>
      <c r="K656" s="15">
        <f t="shared" si="140"/>
        <v>0</v>
      </c>
      <c r="L656" s="16">
        <f t="shared" si="140"/>
        <v>0</v>
      </c>
      <c r="M656" s="9" t="s">
        <v>52</v>
      </c>
      <c r="N656" s="2" t="s">
        <v>497</v>
      </c>
      <c r="O656" s="2" t="s">
        <v>1777</v>
      </c>
      <c r="P656" s="2" t="s">
        <v>61</v>
      </c>
      <c r="Q656" s="2" t="s">
        <v>61</v>
      </c>
      <c r="R656" s="2" t="s">
        <v>60</v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2" t="s">
        <v>52</v>
      </c>
      <c r="AW656" s="2" t="s">
        <v>1793</v>
      </c>
      <c r="AX656" s="2" t="s">
        <v>52</v>
      </c>
      <c r="AY656" s="2" t="s">
        <v>52</v>
      </c>
    </row>
    <row r="657" spans="1:51" ht="30" customHeight="1" x14ac:dyDescent="0.3">
      <c r="A657" s="9" t="s">
        <v>1779</v>
      </c>
      <c r="B657" s="9" t="s">
        <v>1780</v>
      </c>
      <c r="C657" s="9" t="s">
        <v>82</v>
      </c>
      <c r="D657" s="10">
        <v>0.32</v>
      </c>
      <c r="E657" s="15">
        <f>'단가대비표(총체)'!O115</f>
        <v>0</v>
      </c>
      <c r="F657" s="16">
        <f t="shared" si="137"/>
        <v>0</v>
      </c>
      <c r="G657" s="15">
        <f>'단가대비표(총체)'!P115</f>
        <v>0</v>
      </c>
      <c r="H657" s="16">
        <f t="shared" si="138"/>
        <v>0</v>
      </c>
      <c r="I657" s="15">
        <f>'단가대비표(총체)'!V115</f>
        <v>0</v>
      </c>
      <c r="J657" s="16">
        <f t="shared" si="139"/>
        <v>0</v>
      </c>
      <c r="K657" s="15">
        <f t="shared" si="140"/>
        <v>0</v>
      </c>
      <c r="L657" s="16">
        <f t="shared" si="140"/>
        <v>0</v>
      </c>
      <c r="M657" s="9" t="s">
        <v>52</v>
      </c>
      <c r="N657" s="2" t="s">
        <v>497</v>
      </c>
      <c r="O657" s="2" t="s">
        <v>1781</v>
      </c>
      <c r="P657" s="2" t="s">
        <v>61</v>
      </c>
      <c r="Q657" s="2" t="s">
        <v>61</v>
      </c>
      <c r="R657" s="2" t="s">
        <v>60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2" t="s">
        <v>52</v>
      </c>
      <c r="AW657" s="2" t="s">
        <v>1794</v>
      </c>
      <c r="AX657" s="2" t="s">
        <v>52</v>
      </c>
      <c r="AY657" s="2" t="s">
        <v>52</v>
      </c>
    </row>
    <row r="658" spans="1:51" ht="30" customHeight="1" x14ac:dyDescent="0.3">
      <c r="A658" s="9" t="s">
        <v>1783</v>
      </c>
      <c r="B658" s="9" t="s">
        <v>822</v>
      </c>
      <c r="C658" s="9" t="s">
        <v>823</v>
      </c>
      <c r="D658" s="10">
        <v>3.1E-2</v>
      </c>
      <c r="E658" s="15">
        <f>'단가대비표(총체)'!O207</f>
        <v>0</v>
      </c>
      <c r="F658" s="16">
        <f t="shared" si="137"/>
        <v>0</v>
      </c>
      <c r="G658" s="15">
        <f>'단가대비표(총체)'!P207</f>
        <v>0</v>
      </c>
      <c r="H658" s="16">
        <f t="shared" si="138"/>
        <v>0</v>
      </c>
      <c r="I658" s="15">
        <f>'단가대비표(총체)'!V207</f>
        <v>0</v>
      </c>
      <c r="J658" s="16">
        <f t="shared" si="139"/>
        <v>0</v>
      </c>
      <c r="K658" s="15">
        <f t="shared" si="140"/>
        <v>0</v>
      </c>
      <c r="L658" s="16">
        <f t="shared" si="140"/>
        <v>0</v>
      </c>
      <c r="M658" s="9" t="s">
        <v>52</v>
      </c>
      <c r="N658" s="2" t="s">
        <v>497</v>
      </c>
      <c r="O658" s="2" t="s">
        <v>1784</v>
      </c>
      <c r="P658" s="2" t="s">
        <v>61</v>
      </c>
      <c r="Q658" s="2" t="s">
        <v>61</v>
      </c>
      <c r="R658" s="2" t="s">
        <v>60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2" t="s">
        <v>52</v>
      </c>
      <c r="AW658" s="2" t="s">
        <v>1795</v>
      </c>
      <c r="AX658" s="2" t="s">
        <v>52</v>
      </c>
      <c r="AY658" s="2" t="s">
        <v>52</v>
      </c>
    </row>
    <row r="659" spans="1:51" ht="30" customHeight="1" x14ac:dyDescent="0.3">
      <c r="A659" s="9" t="s">
        <v>821</v>
      </c>
      <c r="B659" s="9" t="s">
        <v>822</v>
      </c>
      <c r="C659" s="9" t="s">
        <v>823</v>
      </c>
      <c r="D659" s="10">
        <v>2E-3</v>
      </c>
      <c r="E659" s="15">
        <f>'단가대비표(총체)'!O180</f>
        <v>0</v>
      </c>
      <c r="F659" s="16">
        <f t="shared" si="137"/>
        <v>0</v>
      </c>
      <c r="G659" s="15">
        <f>'단가대비표(총체)'!P180</f>
        <v>0</v>
      </c>
      <c r="H659" s="16">
        <f t="shared" si="138"/>
        <v>0</v>
      </c>
      <c r="I659" s="15">
        <f>'단가대비표(총체)'!V180</f>
        <v>0</v>
      </c>
      <c r="J659" s="16">
        <f t="shared" si="139"/>
        <v>0</v>
      </c>
      <c r="K659" s="15">
        <f t="shared" si="140"/>
        <v>0</v>
      </c>
      <c r="L659" s="16">
        <f t="shared" si="140"/>
        <v>0</v>
      </c>
      <c r="M659" s="9" t="s">
        <v>52</v>
      </c>
      <c r="N659" s="2" t="s">
        <v>497</v>
      </c>
      <c r="O659" s="2" t="s">
        <v>824</v>
      </c>
      <c r="P659" s="2" t="s">
        <v>61</v>
      </c>
      <c r="Q659" s="2" t="s">
        <v>61</v>
      </c>
      <c r="R659" s="2" t="s">
        <v>60</v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2" t="s">
        <v>52</v>
      </c>
      <c r="AW659" s="2" t="s">
        <v>1796</v>
      </c>
      <c r="AX659" s="2" t="s">
        <v>52</v>
      </c>
      <c r="AY659" s="2" t="s">
        <v>52</v>
      </c>
    </row>
    <row r="660" spans="1:51" ht="30" customHeight="1" x14ac:dyDescent="0.3">
      <c r="A660" s="9" t="s">
        <v>811</v>
      </c>
      <c r="B660" s="9" t="s">
        <v>52</v>
      </c>
      <c r="C660" s="9" t="s">
        <v>52</v>
      </c>
      <c r="D660" s="10"/>
      <c r="E660" s="15"/>
      <c r="F660" s="16">
        <f>TRUNC(SUMIF(N654:N659, N653, F654:F659),0)</f>
        <v>0</v>
      </c>
      <c r="G660" s="15"/>
      <c r="H660" s="16">
        <f>TRUNC(SUMIF(N654:N659, N653, H654:H659),0)</f>
        <v>0</v>
      </c>
      <c r="I660" s="15"/>
      <c r="J660" s="16">
        <f>TRUNC(SUMIF(N654:N659, N653, J654:J659),0)</f>
        <v>0</v>
      </c>
      <c r="K660" s="15"/>
      <c r="L660" s="16">
        <f>F660+H660+J660</f>
        <v>0</v>
      </c>
      <c r="M660" s="9" t="s">
        <v>52</v>
      </c>
      <c r="N660" s="2" t="s">
        <v>94</v>
      </c>
      <c r="O660" s="2" t="s">
        <v>94</v>
      </c>
      <c r="P660" s="2" t="s">
        <v>52</v>
      </c>
      <c r="Q660" s="2" t="s">
        <v>52</v>
      </c>
      <c r="R660" s="2" t="s">
        <v>52</v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2" t="s">
        <v>52</v>
      </c>
      <c r="AW660" s="2" t="s">
        <v>52</v>
      </c>
      <c r="AX660" s="2" t="s">
        <v>52</v>
      </c>
      <c r="AY660" s="2" t="s">
        <v>52</v>
      </c>
    </row>
    <row r="661" spans="1:51" ht="30" customHeight="1" x14ac:dyDescent="0.3">
      <c r="A661" s="10"/>
      <c r="B661" s="10"/>
      <c r="C661" s="10"/>
      <c r="D661" s="10"/>
      <c r="E661" s="15"/>
      <c r="F661" s="16"/>
      <c r="G661" s="15"/>
      <c r="H661" s="16"/>
      <c r="I661" s="15"/>
      <c r="J661" s="16"/>
      <c r="K661" s="15"/>
      <c r="L661" s="16"/>
      <c r="M661" s="10"/>
    </row>
    <row r="662" spans="1:51" ht="30" customHeight="1" x14ac:dyDescent="0.3">
      <c r="A662" s="44" t="s">
        <v>1797</v>
      </c>
      <c r="B662" s="44"/>
      <c r="C662" s="44"/>
      <c r="D662" s="44"/>
      <c r="E662" s="45"/>
      <c r="F662" s="46"/>
      <c r="G662" s="45"/>
      <c r="H662" s="46"/>
      <c r="I662" s="45"/>
      <c r="J662" s="46"/>
      <c r="K662" s="45"/>
      <c r="L662" s="46"/>
      <c r="M662" s="44"/>
      <c r="N662" s="1" t="s">
        <v>500</v>
      </c>
    </row>
    <row r="663" spans="1:51" ht="30" customHeight="1" x14ac:dyDescent="0.3">
      <c r="A663" s="9" t="s">
        <v>1769</v>
      </c>
      <c r="B663" s="9" t="s">
        <v>1799</v>
      </c>
      <c r="C663" s="9" t="s">
        <v>82</v>
      </c>
      <c r="D663" s="10">
        <v>1.05</v>
      </c>
      <c r="E663" s="15">
        <f>'단가대비표(총체)'!O135</f>
        <v>0</v>
      </c>
      <c r="F663" s="16">
        <f t="shared" ref="F663:F668" si="141">TRUNC(E663*D663,1)</f>
        <v>0</v>
      </c>
      <c r="G663" s="15">
        <f>'단가대비표(총체)'!P135</f>
        <v>0</v>
      </c>
      <c r="H663" s="16">
        <f t="shared" ref="H663:H668" si="142">TRUNC(G663*D663,1)</f>
        <v>0</v>
      </c>
      <c r="I663" s="15">
        <f>'단가대비표(총체)'!V135</f>
        <v>0</v>
      </c>
      <c r="J663" s="16">
        <f t="shared" ref="J663:J668" si="143">TRUNC(I663*D663,1)</f>
        <v>0</v>
      </c>
      <c r="K663" s="15">
        <f t="shared" ref="K663:L668" si="144">TRUNC(E663+G663+I663,1)</f>
        <v>0</v>
      </c>
      <c r="L663" s="16">
        <f t="shared" si="144"/>
        <v>0</v>
      </c>
      <c r="M663" s="9" t="s">
        <v>52</v>
      </c>
      <c r="N663" s="2" t="s">
        <v>500</v>
      </c>
      <c r="O663" s="2" t="s">
        <v>1800</v>
      </c>
      <c r="P663" s="2" t="s">
        <v>61</v>
      </c>
      <c r="Q663" s="2" t="s">
        <v>61</v>
      </c>
      <c r="R663" s="2" t="s">
        <v>60</v>
      </c>
      <c r="S663" s="3"/>
      <c r="T663" s="3"/>
      <c r="U663" s="3"/>
      <c r="V663" s="3">
        <v>1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2" t="s">
        <v>52</v>
      </c>
      <c r="AW663" s="2" t="s">
        <v>1801</v>
      </c>
      <c r="AX663" s="2" t="s">
        <v>52</v>
      </c>
      <c r="AY663" s="2" t="s">
        <v>52</v>
      </c>
    </row>
    <row r="664" spans="1:51" ht="30" customHeight="1" x14ac:dyDescent="0.3">
      <c r="A664" s="9" t="s">
        <v>983</v>
      </c>
      <c r="B664" s="9" t="s">
        <v>1773</v>
      </c>
      <c r="C664" s="9" t="s">
        <v>307</v>
      </c>
      <c r="D664" s="10">
        <v>1</v>
      </c>
      <c r="E664" s="15">
        <f>TRUNC(SUMIF(V663:V668, RIGHTB(O664, 1), F663:F668)*U664, 2)</f>
        <v>0</v>
      </c>
      <c r="F664" s="16">
        <f t="shared" si="141"/>
        <v>0</v>
      </c>
      <c r="G664" s="15">
        <v>0</v>
      </c>
      <c r="H664" s="16">
        <f t="shared" si="142"/>
        <v>0</v>
      </c>
      <c r="I664" s="15">
        <v>0</v>
      </c>
      <c r="J664" s="16">
        <f t="shared" si="143"/>
        <v>0</v>
      </c>
      <c r="K664" s="15">
        <f t="shared" si="144"/>
        <v>0</v>
      </c>
      <c r="L664" s="16">
        <f t="shared" si="144"/>
        <v>0</v>
      </c>
      <c r="M664" s="9" t="s">
        <v>52</v>
      </c>
      <c r="N664" s="2" t="s">
        <v>500</v>
      </c>
      <c r="O664" s="2" t="s">
        <v>809</v>
      </c>
      <c r="P664" s="2" t="s">
        <v>61</v>
      </c>
      <c r="Q664" s="2" t="s">
        <v>61</v>
      </c>
      <c r="R664" s="2" t="s">
        <v>61</v>
      </c>
      <c r="S664" s="3">
        <v>0</v>
      </c>
      <c r="T664" s="3">
        <v>0</v>
      </c>
      <c r="U664" s="3">
        <v>0.03</v>
      </c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2" t="s">
        <v>52</v>
      </c>
      <c r="AW664" s="2" t="s">
        <v>1802</v>
      </c>
      <c r="AX664" s="2" t="s">
        <v>52</v>
      </c>
      <c r="AY664" s="2" t="s">
        <v>52</v>
      </c>
    </row>
    <row r="665" spans="1:51" ht="30" customHeight="1" x14ac:dyDescent="0.3">
      <c r="A665" s="9" t="s">
        <v>1775</v>
      </c>
      <c r="B665" s="9" t="s">
        <v>1776</v>
      </c>
      <c r="C665" s="9" t="s">
        <v>68</v>
      </c>
      <c r="D665" s="10">
        <v>0.33</v>
      </c>
      <c r="E665" s="15">
        <f>'단가대비표(총체)'!O114</f>
        <v>0</v>
      </c>
      <c r="F665" s="16">
        <f t="shared" si="141"/>
        <v>0</v>
      </c>
      <c r="G665" s="15">
        <f>'단가대비표(총체)'!P114</f>
        <v>0</v>
      </c>
      <c r="H665" s="16">
        <f t="shared" si="142"/>
        <v>0</v>
      </c>
      <c r="I665" s="15">
        <f>'단가대비표(총체)'!V114</f>
        <v>0</v>
      </c>
      <c r="J665" s="16">
        <f t="shared" si="143"/>
        <v>0</v>
      </c>
      <c r="K665" s="15">
        <f t="shared" si="144"/>
        <v>0</v>
      </c>
      <c r="L665" s="16">
        <f t="shared" si="144"/>
        <v>0</v>
      </c>
      <c r="M665" s="9" t="s">
        <v>52</v>
      </c>
      <c r="N665" s="2" t="s">
        <v>500</v>
      </c>
      <c r="O665" s="2" t="s">
        <v>1777</v>
      </c>
      <c r="P665" s="2" t="s">
        <v>61</v>
      </c>
      <c r="Q665" s="2" t="s">
        <v>61</v>
      </c>
      <c r="R665" s="2" t="s">
        <v>60</v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2" t="s">
        <v>52</v>
      </c>
      <c r="AW665" s="2" t="s">
        <v>1803</v>
      </c>
      <c r="AX665" s="2" t="s">
        <v>52</v>
      </c>
      <c r="AY665" s="2" t="s">
        <v>52</v>
      </c>
    </row>
    <row r="666" spans="1:51" ht="30" customHeight="1" x14ac:dyDescent="0.3">
      <c r="A666" s="9" t="s">
        <v>1779</v>
      </c>
      <c r="B666" s="9" t="s">
        <v>1780</v>
      </c>
      <c r="C666" s="9" t="s">
        <v>82</v>
      </c>
      <c r="D666" s="10">
        <v>0.28999999999999998</v>
      </c>
      <c r="E666" s="15">
        <f>'단가대비표(총체)'!O115</f>
        <v>0</v>
      </c>
      <c r="F666" s="16">
        <f t="shared" si="141"/>
        <v>0</v>
      </c>
      <c r="G666" s="15">
        <f>'단가대비표(총체)'!P115</f>
        <v>0</v>
      </c>
      <c r="H666" s="16">
        <f t="shared" si="142"/>
        <v>0</v>
      </c>
      <c r="I666" s="15">
        <f>'단가대비표(총체)'!V115</f>
        <v>0</v>
      </c>
      <c r="J666" s="16">
        <f t="shared" si="143"/>
        <v>0</v>
      </c>
      <c r="K666" s="15">
        <f t="shared" si="144"/>
        <v>0</v>
      </c>
      <c r="L666" s="16">
        <f t="shared" si="144"/>
        <v>0</v>
      </c>
      <c r="M666" s="9" t="s">
        <v>52</v>
      </c>
      <c r="N666" s="2" t="s">
        <v>500</v>
      </c>
      <c r="O666" s="2" t="s">
        <v>1781</v>
      </c>
      <c r="P666" s="2" t="s">
        <v>61</v>
      </c>
      <c r="Q666" s="2" t="s">
        <v>61</v>
      </c>
      <c r="R666" s="2" t="s">
        <v>60</v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2" t="s">
        <v>52</v>
      </c>
      <c r="AW666" s="2" t="s">
        <v>1804</v>
      </c>
      <c r="AX666" s="2" t="s">
        <v>52</v>
      </c>
      <c r="AY666" s="2" t="s">
        <v>52</v>
      </c>
    </row>
    <row r="667" spans="1:51" ht="30" customHeight="1" x14ac:dyDescent="0.3">
      <c r="A667" s="9" t="s">
        <v>1783</v>
      </c>
      <c r="B667" s="9" t="s">
        <v>822</v>
      </c>
      <c r="C667" s="9" t="s">
        <v>823</v>
      </c>
      <c r="D667" s="10">
        <v>2.8000000000000001E-2</v>
      </c>
      <c r="E667" s="15">
        <f>'단가대비표(총체)'!O207</f>
        <v>0</v>
      </c>
      <c r="F667" s="16">
        <f t="shared" si="141"/>
        <v>0</v>
      </c>
      <c r="G667" s="15">
        <f>'단가대비표(총체)'!P207</f>
        <v>0</v>
      </c>
      <c r="H667" s="16">
        <f t="shared" si="142"/>
        <v>0</v>
      </c>
      <c r="I667" s="15">
        <f>'단가대비표(총체)'!V207</f>
        <v>0</v>
      </c>
      <c r="J667" s="16">
        <f t="shared" si="143"/>
        <v>0</v>
      </c>
      <c r="K667" s="15">
        <f t="shared" si="144"/>
        <v>0</v>
      </c>
      <c r="L667" s="16">
        <f t="shared" si="144"/>
        <v>0</v>
      </c>
      <c r="M667" s="9" t="s">
        <v>52</v>
      </c>
      <c r="N667" s="2" t="s">
        <v>500</v>
      </c>
      <c r="O667" s="2" t="s">
        <v>1784</v>
      </c>
      <c r="P667" s="2" t="s">
        <v>61</v>
      </c>
      <c r="Q667" s="2" t="s">
        <v>61</v>
      </c>
      <c r="R667" s="2" t="s">
        <v>60</v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2" t="s">
        <v>52</v>
      </c>
      <c r="AW667" s="2" t="s">
        <v>1805</v>
      </c>
      <c r="AX667" s="2" t="s">
        <v>52</v>
      </c>
      <c r="AY667" s="2" t="s">
        <v>52</v>
      </c>
    </row>
    <row r="668" spans="1:51" ht="30" customHeight="1" x14ac:dyDescent="0.3">
      <c r="A668" s="9" t="s">
        <v>821</v>
      </c>
      <c r="B668" s="9" t="s">
        <v>822</v>
      </c>
      <c r="C668" s="9" t="s">
        <v>823</v>
      </c>
      <c r="D668" s="10">
        <v>2E-3</v>
      </c>
      <c r="E668" s="15">
        <f>'단가대비표(총체)'!O180</f>
        <v>0</v>
      </c>
      <c r="F668" s="16">
        <f t="shared" si="141"/>
        <v>0</v>
      </c>
      <c r="G668" s="15">
        <f>'단가대비표(총체)'!P180</f>
        <v>0</v>
      </c>
      <c r="H668" s="16">
        <f t="shared" si="142"/>
        <v>0</v>
      </c>
      <c r="I668" s="15">
        <f>'단가대비표(총체)'!V180</f>
        <v>0</v>
      </c>
      <c r="J668" s="16">
        <f t="shared" si="143"/>
        <v>0</v>
      </c>
      <c r="K668" s="15">
        <f t="shared" si="144"/>
        <v>0</v>
      </c>
      <c r="L668" s="16">
        <f t="shared" si="144"/>
        <v>0</v>
      </c>
      <c r="M668" s="9" t="s">
        <v>52</v>
      </c>
      <c r="N668" s="2" t="s">
        <v>500</v>
      </c>
      <c r="O668" s="2" t="s">
        <v>824</v>
      </c>
      <c r="P668" s="2" t="s">
        <v>61</v>
      </c>
      <c r="Q668" s="2" t="s">
        <v>61</v>
      </c>
      <c r="R668" s="2" t="s">
        <v>60</v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2" t="s">
        <v>52</v>
      </c>
      <c r="AW668" s="2" t="s">
        <v>1806</v>
      </c>
      <c r="AX668" s="2" t="s">
        <v>52</v>
      </c>
      <c r="AY668" s="2" t="s">
        <v>52</v>
      </c>
    </row>
    <row r="669" spans="1:51" ht="30" customHeight="1" x14ac:dyDescent="0.3">
      <c r="A669" s="9" t="s">
        <v>811</v>
      </c>
      <c r="B669" s="9" t="s">
        <v>52</v>
      </c>
      <c r="C669" s="9" t="s">
        <v>52</v>
      </c>
      <c r="D669" s="10"/>
      <c r="E669" s="15"/>
      <c r="F669" s="16">
        <f>TRUNC(SUMIF(N663:N668, N662, F663:F668),0)</f>
        <v>0</v>
      </c>
      <c r="G669" s="15"/>
      <c r="H669" s="16">
        <f>TRUNC(SUMIF(N663:N668, N662, H663:H668),0)</f>
        <v>0</v>
      </c>
      <c r="I669" s="15"/>
      <c r="J669" s="16">
        <f>TRUNC(SUMIF(N663:N668, N662, J663:J668),0)</f>
        <v>0</v>
      </c>
      <c r="K669" s="15"/>
      <c r="L669" s="16">
        <f>F669+H669+J669</f>
        <v>0</v>
      </c>
      <c r="M669" s="9" t="s">
        <v>52</v>
      </c>
      <c r="N669" s="2" t="s">
        <v>94</v>
      </c>
      <c r="O669" s="2" t="s">
        <v>94</v>
      </c>
      <c r="P669" s="2" t="s">
        <v>52</v>
      </c>
      <c r="Q669" s="2" t="s">
        <v>52</v>
      </c>
      <c r="R669" s="2" t="s">
        <v>52</v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2" t="s">
        <v>52</v>
      </c>
      <c r="AW669" s="2" t="s">
        <v>52</v>
      </c>
      <c r="AX669" s="2" t="s">
        <v>52</v>
      </c>
      <c r="AY669" s="2" t="s">
        <v>52</v>
      </c>
    </row>
    <row r="670" spans="1:51" ht="30" customHeight="1" x14ac:dyDescent="0.3">
      <c r="A670" s="10"/>
      <c r="B670" s="10"/>
      <c r="C670" s="10"/>
      <c r="D670" s="10"/>
      <c r="E670" s="15"/>
      <c r="F670" s="16"/>
      <c r="G670" s="15"/>
      <c r="H670" s="16"/>
      <c r="I670" s="15"/>
      <c r="J670" s="16"/>
      <c r="K670" s="15"/>
      <c r="L670" s="16"/>
      <c r="M670" s="10"/>
    </row>
    <row r="671" spans="1:51" ht="30" customHeight="1" x14ac:dyDescent="0.3">
      <c r="A671" s="44" t="s">
        <v>1807</v>
      </c>
      <c r="B671" s="44"/>
      <c r="C671" s="44"/>
      <c r="D671" s="44"/>
      <c r="E671" s="45"/>
      <c r="F671" s="46"/>
      <c r="G671" s="45"/>
      <c r="H671" s="46"/>
      <c r="I671" s="45"/>
      <c r="J671" s="46"/>
      <c r="K671" s="45"/>
      <c r="L671" s="46"/>
      <c r="M671" s="44"/>
      <c r="N671" s="1" t="s">
        <v>503</v>
      </c>
    </row>
    <row r="672" spans="1:51" ht="30" customHeight="1" x14ac:dyDescent="0.3">
      <c r="A672" s="9" t="s">
        <v>1769</v>
      </c>
      <c r="B672" s="9" t="s">
        <v>1809</v>
      </c>
      <c r="C672" s="9" t="s">
        <v>82</v>
      </c>
      <c r="D672" s="10">
        <v>1.05</v>
      </c>
      <c r="E672" s="15">
        <f>'단가대비표(총체)'!O134</f>
        <v>0</v>
      </c>
      <c r="F672" s="16">
        <f t="shared" ref="F672:F677" si="145">TRUNC(E672*D672,1)</f>
        <v>0</v>
      </c>
      <c r="G672" s="15">
        <f>'단가대비표(총체)'!P134</f>
        <v>0</v>
      </c>
      <c r="H672" s="16">
        <f t="shared" ref="H672:H677" si="146">TRUNC(G672*D672,1)</f>
        <v>0</v>
      </c>
      <c r="I672" s="15">
        <f>'단가대비표(총체)'!V134</f>
        <v>0</v>
      </c>
      <c r="J672" s="16">
        <f t="shared" ref="J672:J677" si="147">TRUNC(I672*D672,1)</f>
        <v>0</v>
      </c>
      <c r="K672" s="15">
        <f t="shared" ref="K672:L677" si="148">TRUNC(E672+G672+I672,1)</f>
        <v>0</v>
      </c>
      <c r="L672" s="16">
        <f t="shared" si="148"/>
        <v>0</v>
      </c>
      <c r="M672" s="9" t="s">
        <v>52</v>
      </c>
      <c r="N672" s="2" t="s">
        <v>503</v>
      </c>
      <c r="O672" s="2" t="s">
        <v>1810</v>
      </c>
      <c r="P672" s="2" t="s">
        <v>61</v>
      </c>
      <c r="Q672" s="2" t="s">
        <v>61</v>
      </c>
      <c r="R672" s="2" t="s">
        <v>60</v>
      </c>
      <c r="S672" s="3"/>
      <c r="T672" s="3"/>
      <c r="U672" s="3"/>
      <c r="V672" s="3">
        <v>1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2" t="s">
        <v>52</v>
      </c>
      <c r="AW672" s="2" t="s">
        <v>1811</v>
      </c>
      <c r="AX672" s="2" t="s">
        <v>52</v>
      </c>
      <c r="AY672" s="2" t="s">
        <v>52</v>
      </c>
    </row>
    <row r="673" spans="1:51" ht="30" customHeight="1" x14ac:dyDescent="0.3">
      <c r="A673" s="9" t="s">
        <v>983</v>
      </c>
      <c r="B673" s="9" t="s">
        <v>1773</v>
      </c>
      <c r="C673" s="9" t="s">
        <v>307</v>
      </c>
      <c r="D673" s="10">
        <v>1</v>
      </c>
      <c r="E673" s="15">
        <f>TRUNC(SUMIF(V672:V677, RIGHTB(O673, 1), F672:F677)*U673, 2)</f>
        <v>0</v>
      </c>
      <c r="F673" s="16">
        <f t="shared" si="145"/>
        <v>0</v>
      </c>
      <c r="G673" s="15">
        <v>0</v>
      </c>
      <c r="H673" s="16">
        <f t="shared" si="146"/>
        <v>0</v>
      </c>
      <c r="I673" s="15">
        <v>0</v>
      </c>
      <c r="J673" s="16">
        <f t="shared" si="147"/>
        <v>0</v>
      </c>
      <c r="K673" s="15">
        <f t="shared" si="148"/>
        <v>0</v>
      </c>
      <c r="L673" s="16">
        <f t="shared" si="148"/>
        <v>0</v>
      </c>
      <c r="M673" s="9" t="s">
        <v>52</v>
      </c>
      <c r="N673" s="2" t="s">
        <v>503</v>
      </c>
      <c r="O673" s="2" t="s">
        <v>809</v>
      </c>
      <c r="P673" s="2" t="s">
        <v>61</v>
      </c>
      <c r="Q673" s="2" t="s">
        <v>61</v>
      </c>
      <c r="R673" s="2" t="s">
        <v>61</v>
      </c>
      <c r="S673" s="3">
        <v>0</v>
      </c>
      <c r="T673" s="3">
        <v>0</v>
      </c>
      <c r="U673" s="3">
        <v>0.03</v>
      </c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2" t="s">
        <v>52</v>
      </c>
      <c r="AW673" s="2" t="s">
        <v>1812</v>
      </c>
      <c r="AX673" s="2" t="s">
        <v>52</v>
      </c>
      <c r="AY673" s="2" t="s">
        <v>52</v>
      </c>
    </row>
    <row r="674" spans="1:51" ht="30" customHeight="1" x14ac:dyDescent="0.3">
      <c r="A674" s="9" t="s">
        <v>1775</v>
      </c>
      <c r="B674" s="9" t="s">
        <v>1776</v>
      </c>
      <c r="C674" s="9" t="s">
        <v>68</v>
      </c>
      <c r="D674" s="10">
        <v>0.31</v>
      </c>
      <c r="E674" s="15">
        <f>'단가대비표(총체)'!O114</f>
        <v>0</v>
      </c>
      <c r="F674" s="16">
        <f t="shared" si="145"/>
        <v>0</v>
      </c>
      <c r="G674" s="15">
        <f>'단가대비표(총체)'!P114</f>
        <v>0</v>
      </c>
      <c r="H674" s="16">
        <f t="shared" si="146"/>
        <v>0</v>
      </c>
      <c r="I674" s="15">
        <f>'단가대비표(총체)'!V114</f>
        <v>0</v>
      </c>
      <c r="J674" s="16">
        <f t="shared" si="147"/>
        <v>0</v>
      </c>
      <c r="K674" s="15">
        <f t="shared" si="148"/>
        <v>0</v>
      </c>
      <c r="L674" s="16">
        <f t="shared" si="148"/>
        <v>0</v>
      </c>
      <c r="M674" s="9" t="s">
        <v>52</v>
      </c>
      <c r="N674" s="2" t="s">
        <v>503</v>
      </c>
      <c r="O674" s="2" t="s">
        <v>1777</v>
      </c>
      <c r="P674" s="2" t="s">
        <v>61</v>
      </c>
      <c r="Q674" s="2" t="s">
        <v>61</v>
      </c>
      <c r="R674" s="2" t="s">
        <v>60</v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2" t="s">
        <v>52</v>
      </c>
      <c r="AW674" s="2" t="s">
        <v>1813</v>
      </c>
      <c r="AX674" s="2" t="s">
        <v>52</v>
      </c>
      <c r="AY674" s="2" t="s">
        <v>52</v>
      </c>
    </row>
    <row r="675" spans="1:51" ht="30" customHeight="1" x14ac:dyDescent="0.3">
      <c r="A675" s="9" t="s">
        <v>1779</v>
      </c>
      <c r="B675" s="9" t="s">
        <v>1780</v>
      </c>
      <c r="C675" s="9" t="s">
        <v>82</v>
      </c>
      <c r="D675" s="10">
        <v>0.27</v>
      </c>
      <c r="E675" s="15">
        <f>'단가대비표(총체)'!O115</f>
        <v>0</v>
      </c>
      <c r="F675" s="16">
        <f t="shared" si="145"/>
        <v>0</v>
      </c>
      <c r="G675" s="15">
        <f>'단가대비표(총체)'!P115</f>
        <v>0</v>
      </c>
      <c r="H675" s="16">
        <f t="shared" si="146"/>
        <v>0</v>
      </c>
      <c r="I675" s="15">
        <f>'단가대비표(총체)'!V115</f>
        <v>0</v>
      </c>
      <c r="J675" s="16">
        <f t="shared" si="147"/>
        <v>0</v>
      </c>
      <c r="K675" s="15">
        <f t="shared" si="148"/>
        <v>0</v>
      </c>
      <c r="L675" s="16">
        <f t="shared" si="148"/>
        <v>0</v>
      </c>
      <c r="M675" s="9" t="s">
        <v>52</v>
      </c>
      <c r="N675" s="2" t="s">
        <v>503</v>
      </c>
      <c r="O675" s="2" t="s">
        <v>1781</v>
      </c>
      <c r="P675" s="2" t="s">
        <v>61</v>
      </c>
      <c r="Q675" s="2" t="s">
        <v>61</v>
      </c>
      <c r="R675" s="2" t="s">
        <v>60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2" t="s">
        <v>52</v>
      </c>
      <c r="AW675" s="2" t="s">
        <v>1814</v>
      </c>
      <c r="AX675" s="2" t="s">
        <v>52</v>
      </c>
      <c r="AY675" s="2" t="s">
        <v>52</v>
      </c>
    </row>
    <row r="676" spans="1:51" ht="30" customHeight="1" x14ac:dyDescent="0.3">
      <c r="A676" s="9" t="s">
        <v>1783</v>
      </c>
      <c r="B676" s="9" t="s">
        <v>822</v>
      </c>
      <c r="C676" s="9" t="s">
        <v>823</v>
      </c>
      <c r="D676" s="10">
        <v>2.4E-2</v>
      </c>
      <c r="E676" s="15">
        <f>'단가대비표(총체)'!O207</f>
        <v>0</v>
      </c>
      <c r="F676" s="16">
        <f t="shared" si="145"/>
        <v>0</v>
      </c>
      <c r="G676" s="15">
        <f>'단가대비표(총체)'!P207</f>
        <v>0</v>
      </c>
      <c r="H676" s="16">
        <f t="shared" si="146"/>
        <v>0</v>
      </c>
      <c r="I676" s="15">
        <f>'단가대비표(총체)'!V207</f>
        <v>0</v>
      </c>
      <c r="J676" s="16">
        <f t="shared" si="147"/>
        <v>0</v>
      </c>
      <c r="K676" s="15">
        <f t="shared" si="148"/>
        <v>0</v>
      </c>
      <c r="L676" s="16">
        <f t="shared" si="148"/>
        <v>0</v>
      </c>
      <c r="M676" s="9" t="s">
        <v>52</v>
      </c>
      <c r="N676" s="2" t="s">
        <v>503</v>
      </c>
      <c r="O676" s="2" t="s">
        <v>1784</v>
      </c>
      <c r="P676" s="2" t="s">
        <v>61</v>
      </c>
      <c r="Q676" s="2" t="s">
        <v>61</v>
      </c>
      <c r="R676" s="2" t="s">
        <v>60</v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2" t="s">
        <v>52</v>
      </c>
      <c r="AW676" s="2" t="s">
        <v>1815</v>
      </c>
      <c r="AX676" s="2" t="s">
        <v>52</v>
      </c>
      <c r="AY676" s="2" t="s">
        <v>52</v>
      </c>
    </row>
    <row r="677" spans="1:51" ht="30" customHeight="1" x14ac:dyDescent="0.3">
      <c r="A677" s="9" t="s">
        <v>821</v>
      </c>
      <c r="B677" s="9" t="s">
        <v>822</v>
      </c>
      <c r="C677" s="9" t="s">
        <v>823</v>
      </c>
      <c r="D677" s="10">
        <v>2E-3</v>
      </c>
      <c r="E677" s="15">
        <f>'단가대비표(총체)'!O180</f>
        <v>0</v>
      </c>
      <c r="F677" s="16">
        <f t="shared" si="145"/>
        <v>0</v>
      </c>
      <c r="G677" s="15">
        <f>'단가대비표(총체)'!P180</f>
        <v>0</v>
      </c>
      <c r="H677" s="16">
        <f t="shared" si="146"/>
        <v>0</v>
      </c>
      <c r="I677" s="15">
        <f>'단가대비표(총체)'!V180</f>
        <v>0</v>
      </c>
      <c r="J677" s="16">
        <f t="shared" si="147"/>
        <v>0</v>
      </c>
      <c r="K677" s="15">
        <f t="shared" si="148"/>
        <v>0</v>
      </c>
      <c r="L677" s="16">
        <f t="shared" si="148"/>
        <v>0</v>
      </c>
      <c r="M677" s="9" t="s">
        <v>52</v>
      </c>
      <c r="N677" s="2" t="s">
        <v>503</v>
      </c>
      <c r="O677" s="2" t="s">
        <v>824</v>
      </c>
      <c r="P677" s="2" t="s">
        <v>61</v>
      </c>
      <c r="Q677" s="2" t="s">
        <v>61</v>
      </c>
      <c r="R677" s="2" t="s">
        <v>60</v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2" t="s">
        <v>52</v>
      </c>
      <c r="AW677" s="2" t="s">
        <v>1816</v>
      </c>
      <c r="AX677" s="2" t="s">
        <v>52</v>
      </c>
      <c r="AY677" s="2" t="s">
        <v>52</v>
      </c>
    </row>
    <row r="678" spans="1:51" ht="30" customHeight="1" x14ac:dyDescent="0.3">
      <c r="A678" s="9" t="s">
        <v>811</v>
      </c>
      <c r="B678" s="9" t="s">
        <v>52</v>
      </c>
      <c r="C678" s="9" t="s">
        <v>52</v>
      </c>
      <c r="D678" s="10"/>
      <c r="E678" s="15"/>
      <c r="F678" s="16">
        <f>TRUNC(SUMIF(N672:N677, N671, F672:F677),0)</f>
        <v>0</v>
      </c>
      <c r="G678" s="15"/>
      <c r="H678" s="16">
        <f>TRUNC(SUMIF(N672:N677, N671, H672:H677),0)</f>
        <v>0</v>
      </c>
      <c r="I678" s="15"/>
      <c r="J678" s="16">
        <f>TRUNC(SUMIF(N672:N677, N671, J672:J677),0)</f>
        <v>0</v>
      </c>
      <c r="K678" s="15"/>
      <c r="L678" s="16">
        <f>F678+H678+J678</f>
        <v>0</v>
      </c>
      <c r="M678" s="9" t="s">
        <v>52</v>
      </c>
      <c r="N678" s="2" t="s">
        <v>94</v>
      </c>
      <c r="O678" s="2" t="s">
        <v>94</v>
      </c>
      <c r="P678" s="2" t="s">
        <v>52</v>
      </c>
      <c r="Q678" s="2" t="s">
        <v>52</v>
      </c>
      <c r="R678" s="2" t="s">
        <v>52</v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2" t="s">
        <v>52</v>
      </c>
      <c r="AW678" s="2" t="s">
        <v>52</v>
      </c>
      <c r="AX678" s="2" t="s">
        <v>52</v>
      </c>
      <c r="AY678" s="2" t="s">
        <v>52</v>
      </c>
    </row>
    <row r="679" spans="1:51" ht="30" customHeight="1" x14ac:dyDescent="0.3">
      <c r="A679" s="10"/>
      <c r="B679" s="10"/>
      <c r="C679" s="10"/>
      <c r="D679" s="10"/>
      <c r="E679" s="15"/>
      <c r="F679" s="16"/>
      <c r="G679" s="15"/>
      <c r="H679" s="16"/>
      <c r="I679" s="15"/>
      <c r="J679" s="16"/>
      <c r="K679" s="15"/>
      <c r="L679" s="16"/>
      <c r="M679" s="10"/>
    </row>
    <row r="680" spans="1:51" ht="30" customHeight="1" x14ac:dyDescent="0.3">
      <c r="A680" s="44" t="s">
        <v>1817</v>
      </c>
      <c r="B680" s="44"/>
      <c r="C680" s="44"/>
      <c r="D680" s="44"/>
      <c r="E680" s="45"/>
      <c r="F680" s="46"/>
      <c r="G680" s="45"/>
      <c r="H680" s="46"/>
      <c r="I680" s="45"/>
      <c r="J680" s="46"/>
      <c r="K680" s="45"/>
      <c r="L680" s="46"/>
      <c r="M680" s="44"/>
      <c r="N680" s="1" t="s">
        <v>543</v>
      </c>
    </row>
    <row r="681" spans="1:51" ht="30" customHeight="1" x14ac:dyDescent="0.3">
      <c r="A681" s="9" t="s">
        <v>1819</v>
      </c>
      <c r="B681" s="9" t="s">
        <v>1820</v>
      </c>
      <c r="C681" s="9" t="s">
        <v>1021</v>
      </c>
      <c r="D681" s="10">
        <v>2.7E-2</v>
      </c>
      <c r="E681" s="15">
        <f>'단가대비표(총체)'!O24</f>
        <v>0</v>
      </c>
      <c r="F681" s="16">
        <f>TRUNC(E681*D681,1)</f>
        <v>0</v>
      </c>
      <c r="G681" s="15">
        <f>'단가대비표(총체)'!P24</f>
        <v>0</v>
      </c>
      <c r="H681" s="16">
        <f>TRUNC(G681*D681,1)</f>
        <v>0</v>
      </c>
      <c r="I681" s="15">
        <f>'단가대비표(총체)'!V24</f>
        <v>0</v>
      </c>
      <c r="J681" s="16">
        <f>TRUNC(I681*D681,1)</f>
        <v>0</v>
      </c>
      <c r="K681" s="15">
        <f t="shared" ref="K681:L684" si="149">TRUNC(E681+G681+I681,1)</f>
        <v>0</v>
      </c>
      <c r="L681" s="16">
        <f t="shared" si="149"/>
        <v>0</v>
      </c>
      <c r="M681" s="9" t="s">
        <v>52</v>
      </c>
      <c r="N681" s="2" t="s">
        <v>543</v>
      </c>
      <c r="O681" s="2" t="s">
        <v>1821</v>
      </c>
      <c r="P681" s="2" t="s">
        <v>61</v>
      </c>
      <c r="Q681" s="2" t="s">
        <v>61</v>
      </c>
      <c r="R681" s="2" t="s">
        <v>60</v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2" t="s">
        <v>52</v>
      </c>
      <c r="AW681" s="2" t="s">
        <v>1822</v>
      </c>
      <c r="AX681" s="2" t="s">
        <v>52</v>
      </c>
      <c r="AY681" s="2" t="s">
        <v>52</v>
      </c>
    </row>
    <row r="682" spans="1:51" ht="30" customHeight="1" x14ac:dyDescent="0.3">
      <c r="A682" s="9" t="s">
        <v>1823</v>
      </c>
      <c r="B682" s="9" t="s">
        <v>1824</v>
      </c>
      <c r="C682" s="9" t="s">
        <v>923</v>
      </c>
      <c r="D682" s="10">
        <v>150</v>
      </c>
      <c r="E682" s="15">
        <f>'단가대비표(총체)'!O17</f>
        <v>0</v>
      </c>
      <c r="F682" s="16">
        <f>TRUNC(E682*D682,1)</f>
        <v>0</v>
      </c>
      <c r="G682" s="15">
        <f>'단가대비표(총체)'!P17</f>
        <v>0</v>
      </c>
      <c r="H682" s="16">
        <f>TRUNC(G682*D682,1)</f>
        <v>0</v>
      </c>
      <c r="I682" s="15">
        <f>'단가대비표(총체)'!V17</f>
        <v>0</v>
      </c>
      <c r="J682" s="16">
        <f>TRUNC(I682*D682,1)</f>
        <v>0</v>
      </c>
      <c r="K682" s="15">
        <f t="shared" si="149"/>
        <v>0</v>
      </c>
      <c r="L682" s="16">
        <f t="shared" si="149"/>
        <v>0</v>
      </c>
      <c r="M682" s="9" t="s">
        <v>52</v>
      </c>
      <c r="N682" s="2" t="s">
        <v>543</v>
      </c>
      <c r="O682" s="2" t="s">
        <v>1825</v>
      </c>
      <c r="P682" s="2" t="s">
        <v>61</v>
      </c>
      <c r="Q682" s="2" t="s">
        <v>61</v>
      </c>
      <c r="R682" s="2" t="s">
        <v>60</v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2" t="s">
        <v>52</v>
      </c>
      <c r="AW682" s="2" t="s">
        <v>1826</v>
      </c>
      <c r="AX682" s="2" t="s">
        <v>52</v>
      </c>
      <c r="AY682" s="2" t="s">
        <v>52</v>
      </c>
    </row>
    <row r="683" spans="1:51" ht="30" customHeight="1" x14ac:dyDescent="0.3">
      <c r="A683" s="9" t="s">
        <v>1405</v>
      </c>
      <c r="B683" s="9" t="s">
        <v>822</v>
      </c>
      <c r="C683" s="9" t="s">
        <v>823</v>
      </c>
      <c r="D683" s="10">
        <v>7.6999999999999999E-2</v>
      </c>
      <c r="E683" s="15">
        <f>'단가대비표(총체)'!O184</f>
        <v>0</v>
      </c>
      <c r="F683" s="16">
        <f>TRUNC(E683*D683,1)</f>
        <v>0</v>
      </c>
      <c r="G683" s="15">
        <f>'단가대비표(총체)'!P184</f>
        <v>0</v>
      </c>
      <c r="H683" s="16">
        <f>TRUNC(G683*D683,1)</f>
        <v>0</v>
      </c>
      <c r="I683" s="15">
        <f>'단가대비표(총체)'!V184</f>
        <v>0</v>
      </c>
      <c r="J683" s="16">
        <f>TRUNC(I683*D683,1)</f>
        <v>0</v>
      </c>
      <c r="K683" s="15">
        <f t="shared" si="149"/>
        <v>0</v>
      </c>
      <c r="L683" s="16">
        <f t="shared" si="149"/>
        <v>0</v>
      </c>
      <c r="M683" s="9" t="s">
        <v>52</v>
      </c>
      <c r="N683" s="2" t="s">
        <v>543</v>
      </c>
      <c r="O683" s="2" t="s">
        <v>1406</v>
      </c>
      <c r="P683" s="2" t="s">
        <v>61</v>
      </c>
      <c r="Q683" s="2" t="s">
        <v>61</v>
      </c>
      <c r="R683" s="2" t="s">
        <v>60</v>
      </c>
      <c r="S683" s="3"/>
      <c r="T683" s="3"/>
      <c r="U683" s="3"/>
      <c r="V683" s="3">
        <v>1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2" t="s">
        <v>52</v>
      </c>
      <c r="AW683" s="2" t="s">
        <v>1827</v>
      </c>
      <c r="AX683" s="2" t="s">
        <v>52</v>
      </c>
      <c r="AY683" s="2" t="s">
        <v>52</v>
      </c>
    </row>
    <row r="684" spans="1:51" ht="30" customHeight="1" x14ac:dyDescent="0.3">
      <c r="A684" s="9" t="s">
        <v>874</v>
      </c>
      <c r="B684" s="9" t="s">
        <v>1828</v>
      </c>
      <c r="C684" s="9" t="s">
        <v>307</v>
      </c>
      <c r="D684" s="10">
        <v>1</v>
      </c>
      <c r="E684" s="15">
        <f>TRUNC(SUMIF(V681:V684, RIGHTB(O684, 1), H681:H684)*U684, 2)</f>
        <v>0</v>
      </c>
      <c r="F684" s="16">
        <f>TRUNC(E684*D684,1)</f>
        <v>0</v>
      </c>
      <c r="G684" s="15">
        <v>0</v>
      </c>
      <c r="H684" s="16">
        <f>TRUNC(G684*D684,1)</f>
        <v>0</v>
      </c>
      <c r="I684" s="15">
        <v>0</v>
      </c>
      <c r="J684" s="16">
        <f>TRUNC(I684*D684,1)</f>
        <v>0</v>
      </c>
      <c r="K684" s="15">
        <f t="shared" si="149"/>
        <v>0</v>
      </c>
      <c r="L684" s="16">
        <f t="shared" si="149"/>
        <v>0</v>
      </c>
      <c r="M684" s="9" t="s">
        <v>52</v>
      </c>
      <c r="N684" s="2" t="s">
        <v>543</v>
      </c>
      <c r="O684" s="2" t="s">
        <v>809</v>
      </c>
      <c r="P684" s="2" t="s">
        <v>61</v>
      </c>
      <c r="Q684" s="2" t="s">
        <v>61</v>
      </c>
      <c r="R684" s="2" t="s">
        <v>61</v>
      </c>
      <c r="S684" s="3">
        <v>1</v>
      </c>
      <c r="T684" s="3">
        <v>0</v>
      </c>
      <c r="U684" s="3">
        <v>0.04</v>
      </c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2" t="s">
        <v>52</v>
      </c>
      <c r="AW684" s="2" t="s">
        <v>1829</v>
      </c>
      <c r="AX684" s="2" t="s">
        <v>52</v>
      </c>
      <c r="AY684" s="2" t="s">
        <v>52</v>
      </c>
    </row>
    <row r="685" spans="1:51" ht="30" customHeight="1" x14ac:dyDescent="0.3">
      <c r="A685" s="9" t="s">
        <v>811</v>
      </c>
      <c r="B685" s="9" t="s">
        <v>52</v>
      </c>
      <c r="C685" s="9" t="s">
        <v>52</v>
      </c>
      <c r="D685" s="10"/>
      <c r="E685" s="15"/>
      <c r="F685" s="16">
        <f>TRUNC(SUMIF(N681:N684, N680, F681:F684),0)</f>
        <v>0</v>
      </c>
      <c r="G685" s="15"/>
      <c r="H685" s="16">
        <f>TRUNC(SUMIF(N681:N684, N680, H681:H684),0)</f>
        <v>0</v>
      </c>
      <c r="I685" s="15"/>
      <c r="J685" s="16">
        <f>TRUNC(SUMIF(N681:N684, N680, J681:J684),0)</f>
        <v>0</v>
      </c>
      <c r="K685" s="15"/>
      <c r="L685" s="16">
        <f>F685+H685+J685</f>
        <v>0</v>
      </c>
      <c r="M685" s="9" t="s">
        <v>52</v>
      </c>
      <c r="N685" s="2" t="s">
        <v>94</v>
      </c>
      <c r="O685" s="2" t="s">
        <v>94</v>
      </c>
      <c r="P685" s="2" t="s">
        <v>52</v>
      </c>
      <c r="Q685" s="2" t="s">
        <v>52</v>
      </c>
      <c r="R685" s="2" t="s">
        <v>52</v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2" t="s">
        <v>52</v>
      </c>
      <c r="AW685" s="2" t="s">
        <v>52</v>
      </c>
      <c r="AX685" s="2" t="s">
        <v>52</v>
      </c>
      <c r="AY685" s="2" t="s">
        <v>52</v>
      </c>
    </row>
    <row r="686" spans="1:51" ht="30" customHeight="1" x14ac:dyDescent="0.3">
      <c r="A686" s="10"/>
      <c r="B686" s="10"/>
      <c r="C686" s="10"/>
      <c r="D686" s="10"/>
      <c r="E686" s="15"/>
      <c r="F686" s="16"/>
      <c r="G686" s="15"/>
      <c r="H686" s="16"/>
      <c r="I686" s="15"/>
      <c r="J686" s="16"/>
      <c r="K686" s="15"/>
      <c r="L686" s="16"/>
      <c r="M686" s="10"/>
    </row>
    <row r="687" spans="1:51" ht="30" customHeight="1" x14ac:dyDescent="0.3">
      <c r="A687" s="44" t="s">
        <v>1830</v>
      </c>
      <c r="B687" s="44"/>
      <c r="C687" s="44"/>
      <c r="D687" s="44"/>
      <c r="E687" s="45"/>
      <c r="F687" s="46"/>
      <c r="G687" s="45"/>
      <c r="H687" s="46"/>
      <c r="I687" s="45"/>
      <c r="J687" s="46"/>
      <c r="K687" s="45"/>
      <c r="L687" s="46"/>
      <c r="M687" s="44"/>
      <c r="N687" s="1" t="s">
        <v>545</v>
      </c>
    </row>
    <row r="688" spans="1:51" ht="30" customHeight="1" x14ac:dyDescent="0.3">
      <c r="A688" s="9" t="s">
        <v>1819</v>
      </c>
      <c r="B688" s="9" t="s">
        <v>1820</v>
      </c>
      <c r="C688" s="9" t="s">
        <v>1021</v>
      </c>
      <c r="D688" s="10">
        <v>0.02</v>
      </c>
      <c r="E688" s="15">
        <f>'단가대비표(총체)'!O24</f>
        <v>0</v>
      </c>
      <c r="F688" s="16">
        <f>TRUNC(E688*D688,1)</f>
        <v>0</v>
      </c>
      <c r="G688" s="15">
        <f>'단가대비표(총체)'!P24</f>
        <v>0</v>
      </c>
      <c r="H688" s="16">
        <f>TRUNC(G688*D688,1)</f>
        <v>0</v>
      </c>
      <c r="I688" s="15">
        <f>'단가대비표(총체)'!V24</f>
        <v>0</v>
      </c>
      <c r="J688" s="16">
        <f>TRUNC(I688*D688,1)</f>
        <v>0</v>
      </c>
      <c r="K688" s="15">
        <f t="shared" ref="K688:L691" si="150">TRUNC(E688+G688+I688,1)</f>
        <v>0</v>
      </c>
      <c r="L688" s="16">
        <f t="shared" si="150"/>
        <v>0</v>
      </c>
      <c r="M688" s="9" t="s">
        <v>52</v>
      </c>
      <c r="N688" s="2" t="s">
        <v>545</v>
      </c>
      <c r="O688" s="2" t="s">
        <v>1821</v>
      </c>
      <c r="P688" s="2" t="s">
        <v>61</v>
      </c>
      <c r="Q688" s="2" t="s">
        <v>61</v>
      </c>
      <c r="R688" s="2" t="s">
        <v>60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2" t="s">
        <v>52</v>
      </c>
      <c r="AW688" s="2" t="s">
        <v>1832</v>
      </c>
      <c r="AX688" s="2" t="s">
        <v>52</v>
      </c>
      <c r="AY688" s="2" t="s">
        <v>52</v>
      </c>
    </row>
    <row r="689" spans="1:51" ht="30" customHeight="1" x14ac:dyDescent="0.3">
      <c r="A689" s="9" t="s">
        <v>1823</v>
      </c>
      <c r="B689" s="9" t="s">
        <v>1824</v>
      </c>
      <c r="C689" s="9" t="s">
        <v>923</v>
      </c>
      <c r="D689" s="10">
        <v>129</v>
      </c>
      <c r="E689" s="15">
        <f>'단가대비표(총체)'!O17</f>
        <v>0</v>
      </c>
      <c r="F689" s="16">
        <f>TRUNC(E689*D689,1)</f>
        <v>0</v>
      </c>
      <c r="G689" s="15">
        <f>'단가대비표(총체)'!P17</f>
        <v>0</v>
      </c>
      <c r="H689" s="16">
        <f>TRUNC(G689*D689,1)</f>
        <v>0</v>
      </c>
      <c r="I689" s="15">
        <f>'단가대비표(총체)'!V17</f>
        <v>0</v>
      </c>
      <c r="J689" s="16">
        <f>TRUNC(I689*D689,1)</f>
        <v>0</v>
      </c>
      <c r="K689" s="15">
        <f t="shared" si="150"/>
        <v>0</v>
      </c>
      <c r="L689" s="16">
        <f t="shared" si="150"/>
        <v>0</v>
      </c>
      <c r="M689" s="9" t="s">
        <v>52</v>
      </c>
      <c r="N689" s="2" t="s">
        <v>545</v>
      </c>
      <c r="O689" s="2" t="s">
        <v>1825</v>
      </c>
      <c r="P689" s="2" t="s">
        <v>61</v>
      </c>
      <c r="Q689" s="2" t="s">
        <v>61</v>
      </c>
      <c r="R689" s="2" t="s">
        <v>60</v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2" t="s">
        <v>52</v>
      </c>
      <c r="AW689" s="2" t="s">
        <v>1833</v>
      </c>
      <c r="AX689" s="2" t="s">
        <v>52</v>
      </c>
      <c r="AY689" s="2" t="s">
        <v>52</v>
      </c>
    </row>
    <row r="690" spans="1:51" ht="30" customHeight="1" x14ac:dyDescent="0.3">
      <c r="A690" s="9" t="s">
        <v>1405</v>
      </c>
      <c r="B690" s="9" t="s">
        <v>822</v>
      </c>
      <c r="C690" s="9" t="s">
        <v>823</v>
      </c>
      <c r="D690" s="10">
        <v>6.6000000000000003E-2</v>
      </c>
      <c r="E690" s="15">
        <f>'단가대비표(총체)'!O184</f>
        <v>0</v>
      </c>
      <c r="F690" s="16">
        <f>TRUNC(E690*D690,1)</f>
        <v>0</v>
      </c>
      <c r="G690" s="15">
        <f>'단가대비표(총체)'!P184</f>
        <v>0</v>
      </c>
      <c r="H690" s="16">
        <f>TRUNC(G690*D690,1)</f>
        <v>0</v>
      </c>
      <c r="I690" s="15">
        <f>'단가대비표(총체)'!V184</f>
        <v>0</v>
      </c>
      <c r="J690" s="16">
        <f>TRUNC(I690*D690,1)</f>
        <v>0</v>
      </c>
      <c r="K690" s="15">
        <f t="shared" si="150"/>
        <v>0</v>
      </c>
      <c r="L690" s="16">
        <f t="shared" si="150"/>
        <v>0</v>
      </c>
      <c r="M690" s="9" t="s">
        <v>52</v>
      </c>
      <c r="N690" s="2" t="s">
        <v>545</v>
      </c>
      <c r="O690" s="2" t="s">
        <v>1406</v>
      </c>
      <c r="P690" s="2" t="s">
        <v>61</v>
      </c>
      <c r="Q690" s="2" t="s">
        <v>61</v>
      </c>
      <c r="R690" s="2" t="s">
        <v>60</v>
      </c>
      <c r="S690" s="3"/>
      <c r="T690" s="3"/>
      <c r="U690" s="3"/>
      <c r="V690" s="3">
        <v>1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2" t="s">
        <v>52</v>
      </c>
      <c r="AW690" s="2" t="s">
        <v>1834</v>
      </c>
      <c r="AX690" s="2" t="s">
        <v>52</v>
      </c>
      <c r="AY690" s="2" t="s">
        <v>52</v>
      </c>
    </row>
    <row r="691" spans="1:51" ht="30" customHeight="1" x14ac:dyDescent="0.3">
      <c r="A691" s="9" t="s">
        <v>874</v>
      </c>
      <c r="B691" s="9" t="s">
        <v>1828</v>
      </c>
      <c r="C691" s="9" t="s">
        <v>307</v>
      </c>
      <c r="D691" s="10">
        <v>1</v>
      </c>
      <c r="E691" s="15">
        <f>TRUNC(SUMIF(V688:V691, RIGHTB(O691, 1), H688:H691)*U691, 2)</f>
        <v>0</v>
      </c>
      <c r="F691" s="16">
        <f>TRUNC(E691*D691,1)</f>
        <v>0</v>
      </c>
      <c r="G691" s="15">
        <v>0</v>
      </c>
      <c r="H691" s="16">
        <f>TRUNC(G691*D691,1)</f>
        <v>0</v>
      </c>
      <c r="I691" s="15">
        <v>0</v>
      </c>
      <c r="J691" s="16">
        <f>TRUNC(I691*D691,1)</f>
        <v>0</v>
      </c>
      <c r="K691" s="15">
        <f t="shared" si="150"/>
        <v>0</v>
      </c>
      <c r="L691" s="16">
        <f t="shared" si="150"/>
        <v>0</v>
      </c>
      <c r="M691" s="9" t="s">
        <v>52</v>
      </c>
      <c r="N691" s="2" t="s">
        <v>545</v>
      </c>
      <c r="O691" s="2" t="s">
        <v>809</v>
      </c>
      <c r="P691" s="2" t="s">
        <v>61</v>
      </c>
      <c r="Q691" s="2" t="s">
        <v>61</v>
      </c>
      <c r="R691" s="2" t="s">
        <v>61</v>
      </c>
      <c r="S691" s="3">
        <v>1</v>
      </c>
      <c r="T691" s="3">
        <v>0</v>
      </c>
      <c r="U691" s="3">
        <v>0.04</v>
      </c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2" t="s">
        <v>52</v>
      </c>
      <c r="AW691" s="2" t="s">
        <v>1835</v>
      </c>
      <c r="AX691" s="2" t="s">
        <v>52</v>
      </c>
      <c r="AY691" s="2" t="s">
        <v>52</v>
      </c>
    </row>
    <row r="692" spans="1:51" ht="30" customHeight="1" x14ac:dyDescent="0.3">
      <c r="A692" s="9" t="s">
        <v>811</v>
      </c>
      <c r="B692" s="9" t="s">
        <v>52</v>
      </c>
      <c r="C692" s="9" t="s">
        <v>52</v>
      </c>
      <c r="D692" s="10"/>
      <c r="E692" s="15"/>
      <c r="F692" s="16">
        <f>TRUNC(SUMIF(N688:N691, N687, F688:F691),0)</f>
        <v>0</v>
      </c>
      <c r="G692" s="15"/>
      <c r="H692" s="16">
        <f>TRUNC(SUMIF(N688:N691, N687, H688:H691),0)</f>
        <v>0</v>
      </c>
      <c r="I692" s="15"/>
      <c r="J692" s="16">
        <f>TRUNC(SUMIF(N688:N691, N687, J688:J691),0)</f>
        <v>0</v>
      </c>
      <c r="K692" s="15"/>
      <c r="L692" s="16">
        <f>F692+H692+J692</f>
        <v>0</v>
      </c>
      <c r="M692" s="9" t="s">
        <v>52</v>
      </c>
      <c r="N692" s="2" t="s">
        <v>94</v>
      </c>
      <c r="O692" s="2" t="s">
        <v>94</v>
      </c>
      <c r="P692" s="2" t="s">
        <v>52</v>
      </c>
      <c r="Q692" s="2" t="s">
        <v>52</v>
      </c>
      <c r="R692" s="2" t="s">
        <v>52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2" t="s">
        <v>52</v>
      </c>
      <c r="AW692" s="2" t="s">
        <v>52</v>
      </c>
      <c r="AX692" s="2" t="s">
        <v>52</v>
      </c>
      <c r="AY692" s="2" t="s">
        <v>52</v>
      </c>
    </row>
    <row r="693" spans="1:51" ht="30" customHeight="1" x14ac:dyDescent="0.3">
      <c r="A693" s="10"/>
      <c r="B693" s="10"/>
      <c r="C693" s="10"/>
      <c r="D693" s="10"/>
      <c r="E693" s="15"/>
      <c r="F693" s="16"/>
      <c r="G693" s="15"/>
      <c r="H693" s="16"/>
      <c r="I693" s="15"/>
      <c r="J693" s="16"/>
      <c r="K693" s="15"/>
      <c r="L693" s="16"/>
      <c r="M693" s="10"/>
    </row>
    <row r="694" spans="1:51" ht="30" customHeight="1" x14ac:dyDescent="0.3">
      <c r="A694" s="44" t="s">
        <v>1836</v>
      </c>
      <c r="B694" s="44"/>
      <c r="C694" s="44"/>
      <c r="D694" s="44"/>
      <c r="E694" s="45"/>
      <c r="F694" s="46"/>
      <c r="G694" s="45"/>
      <c r="H694" s="46"/>
      <c r="I694" s="45"/>
      <c r="J694" s="46"/>
      <c r="K694" s="45"/>
      <c r="L694" s="46"/>
      <c r="M694" s="44"/>
      <c r="N694" s="1" t="s">
        <v>548</v>
      </c>
    </row>
    <row r="695" spans="1:51" ht="30" customHeight="1" x14ac:dyDescent="0.3">
      <c r="A695" s="9" t="s">
        <v>1819</v>
      </c>
      <c r="B695" s="9" t="s">
        <v>1820</v>
      </c>
      <c r="C695" s="9" t="s">
        <v>1021</v>
      </c>
      <c r="D695" s="10">
        <v>1.2999999999999999E-2</v>
      </c>
      <c r="E695" s="15">
        <f>'단가대비표(총체)'!O24</f>
        <v>0</v>
      </c>
      <c r="F695" s="16">
        <f>TRUNC(E695*D695,1)</f>
        <v>0</v>
      </c>
      <c r="G695" s="15">
        <f>'단가대비표(총체)'!P24</f>
        <v>0</v>
      </c>
      <c r="H695" s="16">
        <f>TRUNC(G695*D695,1)</f>
        <v>0</v>
      </c>
      <c r="I695" s="15">
        <f>'단가대비표(총체)'!V24</f>
        <v>0</v>
      </c>
      <c r="J695" s="16">
        <f>TRUNC(I695*D695,1)</f>
        <v>0</v>
      </c>
      <c r="K695" s="15">
        <f t="shared" ref="K695:L698" si="151">TRUNC(E695+G695+I695,1)</f>
        <v>0</v>
      </c>
      <c r="L695" s="16">
        <f t="shared" si="151"/>
        <v>0</v>
      </c>
      <c r="M695" s="9" t="s">
        <v>52</v>
      </c>
      <c r="N695" s="2" t="s">
        <v>548</v>
      </c>
      <c r="O695" s="2" t="s">
        <v>1821</v>
      </c>
      <c r="P695" s="2" t="s">
        <v>61</v>
      </c>
      <c r="Q695" s="2" t="s">
        <v>61</v>
      </c>
      <c r="R695" s="2" t="s">
        <v>60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2" t="s">
        <v>52</v>
      </c>
      <c r="AW695" s="2" t="s">
        <v>1838</v>
      </c>
      <c r="AX695" s="2" t="s">
        <v>52</v>
      </c>
      <c r="AY695" s="2" t="s">
        <v>52</v>
      </c>
    </row>
    <row r="696" spans="1:51" ht="30" customHeight="1" x14ac:dyDescent="0.3">
      <c r="A696" s="9" t="s">
        <v>1823</v>
      </c>
      <c r="B696" s="9" t="s">
        <v>1824</v>
      </c>
      <c r="C696" s="9" t="s">
        <v>923</v>
      </c>
      <c r="D696" s="10">
        <v>95</v>
      </c>
      <c r="E696" s="15">
        <f>'단가대비표(총체)'!O17</f>
        <v>0</v>
      </c>
      <c r="F696" s="16">
        <f>TRUNC(E696*D696,1)</f>
        <v>0</v>
      </c>
      <c r="G696" s="15">
        <f>'단가대비표(총체)'!P17</f>
        <v>0</v>
      </c>
      <c r="H696" s="16">
        <f>TRUNC(G696*D696,1)</f>
        <v>0</v>
      </c>
      <c r="I696" s="15">
        <f>'단가대비표(총체)'!V17</f>
        <v>0</v>
      </c>
      <c r="J696" s="16">
        <f>TRUNC(I696*D696,1)</f>
        <v>0</v>
      </c>
      <c r="K696" s="15">
        <f t="shared" si="151"/>
        <v>0</v>
      </c>
      <c r="L696" s="16">
        <f t="shared" si="151"/>
        <v>0</v>
      </c>
      <c r="M696" s="9" t="s">
        <v>52</v>
      </c>
      <c r="N696" s="2" t="s">
        <v>548</v>
      </c>
      <c r="O696" s="2" t="s">
        <v>1825</v>
      </c>
      <c r="P696" s="2" t="s">
        <v>61</v>
      </c>
      <c r="Q696" s="2" t="s">
        <v>61</v>
      </c>
      <c r="R696" s="2" t="s">
        <v>60</v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2" t="s">
        <v>52</v>
      </c>
      <c r="AW696" s="2" t="s">
        <v>1839</v>
      </c>
      <c r="AX696" s="2" t="s">
        <v>52</v>
      </c>
      <c r="AY696" s="2" t="s">
        <v>52</v>
      </c>
    </row>
    <row r="697" spans="1:51" ht="30" customHeight="1" x14ac:dyDescent="0.3">
      <c r="A697" s="9" t="s">
        <v>1405</v>
      </c>
      <c r="B697" s="9" t="s">
        <v>822</v>
      </c>
      <c r="C697" s="9" t="s">
        <v>823</v>
      </c>
      <c r="D697" s="10">
        <v>5.7000000000000002E-2</v>
      </c>
      <c r="E697" s="15">
        <f>'단가대비표(총체)'!O184</f>
        <v>0</v>
      </c>
      <c r="F697" s="16">
        <f>TRUNC(E697*D697,1)</f>
        <v>0</v>
      </c>
      <c r="G697" s="15">
        <f>'단가대비표(총체)'!P184</f>
        <v>0</v>
      </c>
      <c r="H697" s="16">
        <f>TRUNC(G697*D697,1)</f>
        <v>0</v>
      </c>
      <c r="I697" s="15">
        <f>'단가대비표(총체)'!V184</f>
        <v>0</v>
      </c>
      <c r="J697" s="16">
        <f>TRUNC(I697*D697,1)</f>
        <v>0</v>
      </c>
      <c r="K697" s="15">
        <f t="shared" si="151"/>
        <v>0</v>
      </c>
      <c r="L697" s="16">
        <f t="shared" si="151"/>
        <v>0</v>
      </c>
      <c r="M697" s="9" t="s">
        <v>52</v>
      </c>
      <c r="N697" s="2" t="s">
        <v>548</v>
      </c>
      <c r="O697" s="2" t="s">
        <v>1406</v>
      </c>
      <c r="P697" s="2" t="s">
        <v>61</v>
      </c>
      <c r="Q697" s="2" t="s">
        <v>61</v>
      </c>
      <c r="R697" s="2" t="s">
        <v>60</v>
      </c>
      <c r="S697" s="3"/>
      <c r="T697" s="3"/>
      <c r="U697" s="3"/>
      <c r="V697" s="3">
        <v>1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2" t="s">
        <v>52</v>
      </c>
      <c r="AW697" s="2" t="s">
        <v>1840</v>
      </c>
      <c r="AX697" s="2" t="s">
        <v>52</v>
      </c>
      <c r="AY697" s="2" t="s">
        <v>52</v>
      </c>
    </row>
    <row r="698" spans="1:51" ht="30" customHeight="1" x14ac:dyDescent="0.3">
      <c r="A698" s="9" t="s">
        <v>874</v>
      </c>
      <c r="B698" s="9" t="s">
        <v>1828</v>
      </c>
      <c r="C698" s="9" t="s">
        <v>307</v>
      </c>
      <c r="D698" s="10">
        <v>1</v>
      </c>
      <c r="E698" s="15">
        <f>TRUNC(SUMIF(V695:V698, RIGHTB(O698, 1), H695:H698)*U698, 2)</f>
        <v>0</v>
      </c>
      <c r="F698" s="16">
        <f>TRUNC(E698*D698,1)</f>
        <v>0</v>
      </c>
      <c r="G698" s="15">
        <v>0</v>
      </c>
      <c r="H698" s="16">
        <f>TRUNC(G698*D698,1)</f>
        <v>0</v>
      </c>
      <c r="I698" s="15">
        <v>0</v>
      </c>
      <c r="J698" s="16">
        <f>TRUNC(I698*D698,1)</f>
        <v>0</v>
      </c>
      <c r="K698" s="15">
        <f t="shared" si="151"/>
        <v>0</v>
      </c>
      <c r="L698" s="16">
        <f t="shared" si="151"/>
        <v>0</v>
      </c>
      <c r="M698" s="9" t="s">
        <v>52</v>
      </c>
      <c r="N698" s="2" t="s">
        <v>548</v>
      </c>
      <c r="O698" s="2" t="s">
        <v>809</v>
      </c>
      <c r="P698" s="2" t="s">
        <v>61</v>
      </c>
      <c r="Q698" s="2" t="s">
        <v>61</v>
      </c>
      <c r="R698" s="2" t="s">
        <v>61</v>
      </c>
      <c r="S698" s="3">
        <v>1</v>
      </c>
      <c r="T698" s="3">
        <v>0</v>
      </c>
      <c r="U698" s="3">
        <v>0.04</v>
      </c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2" t="s">
        <v>52</v>
      </c>
      <c r="AW698" s="2" t="s">
        <v>1841</v>
      </c>
      <c r="AX698" s="2" t="s">
        <v>52</v>
      </c>
      <c r="AY698" s="2" t="s">
        <v>52</v>
      </c>
    </row>
    <row r="699" spans="1:51" ht="30" customHeight="1" x14ac:dyDescent="0.3">
      <c r="A699" s="9" t="s">
        <v>811</v>
      </c>
      <c r="B699" s="9" t="s">
        <v>52</v>
      </c>
      <c r="C699" s="9" t="s">
        <v>52</v>
      </c>
      <c r="D699" s="10"/>
      <c r="E699" s="15"/>
      <c r="F699" s="16">
        <f>TRUNC(SUMIF(N695:N698, N694, F695:F698),0)</f>
        <v>0</v>
      </c>
      <c r="G699" s="15"/>
      <c r="H699" s="16">
        <f>TRUNC(SUMIF(N695:N698, N694, H695:H698),0)</f>
        <v>0</v>
      </c>
      <c r="I699" s="15"/>
      <c r="J699" s="16">
        <f>TRUNC(SUMIF(N695:N698, N694, J695:J698),0)</f>
        <v>0</v>
      </c>
      <c r="K699" s="15"/>
      <c r="L699" s="16">
        <f>F699+H699+J699</f>
        <v>0</v>
      </c>
      <c r="M699" s="9" t="s">
        <v>52</v>
      </c>
      <c r="N699" s="2" t="s">
        <v>94</v>
      </c>
      <c r="O699" s="2" t="s">
        <v>94</v>
      </c>
      <c r="P699" s="2" t="s">
        <v>52</v>
      </c>
      <c r="Q699" s="2" t="s">
        <v>52</v>
      </c>
      <c r="R699" s="2" t="s">
        <v>52</v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2" t="s">
        <v>52</v>
      </c>
      <c r="AW699" s="2" t="s">
        <v>52</v>
      </c>
      <c r="AX699" s="2" t="s">
        <v>52</v>
      </c>
      <c r="AY699" s="2" t="s">
        <v>52</v>
      </c>
    </row>
    <row r="700" spans="1:51" ht="30" customHeight="1" x14ac:dyDescent="0.3">
      <c r="A700" s="10"/>
      <c r="B700" s="10"/>
      <c r="C700" s="10"/>
      <c r="D700" s="10"/>
      <c r="E700" s="15"/>
      <c r="F700" s="16"/>
      <c r="G700" s="15"/>
      <c r="H700" s="16"/>
      <c r="I700" s="15"/>
      <c r="J700" s="16"/>
      <c r="K700" s="15"/>
      <c r="L700" s="16"/>
      <c r="M700" s="10"/>
    </row>
    <row r="701" spans="1:51" ht="30" customHeight="1" x14ac:dyDescent="0.3">
      <c r="A701" s="44" t="s">
        <v>1842</v>
      </c>
      <c r="B701" s="44"/>
      <c r="C701" s="44"/>
      <c r="D701" s="44"/>
      <c r="E701" s="45"/>
      <c r="F701" s="46"/>
      <c r="G701" s="45"/>
      <c r="H701" s="46"/>
      <c r="I701" s="45"/>
      <c r="J701" s="46"/>
      <c r="K701" s="45"/>
      <c r="L701" s="46"/>
      <c r="M701" s="44"/>
      <c r="N701" s="1" t="s">
        <v>551</v>
      </c>
    </row>
    <row r="702" spans="1:51" ht="30" customHeight="1" x14ac:dyDescent="0.3">
      <c r="A702" s="9" t="s">
        <v>1819</v>
      </c>
      <c r="B702" s="9" t="s">
        <v>1820</v>
      </c>
      <c r="C702" s="9" t="s">
        <v>1021</v>
      </c>
      <c r="D702" s="10">
        <v>7.0000000000000001E-3</v>
      </c>
      <c r="E702" s="15">
        <f>'단가대비표(총체)'!O24</f>
        <v>0</v>
      </c>
      <c r="F702" s="16">
        <f>TRUNC(E702*D702,1)</f>
        <v>0</v>
      </c>
      <c r="G702" s="15">
        <f>'단가대비표(총체)'!P24</f>
        <v>0</v>
      </c>
      <c r="H702" s="16">
        <f>TRUNC(G702*D702,1)</f>
        <v>0</v>
      </c>
      <c r="I702" s="15">
        <f>'단가대비표(총체)'!V24</f>
        <v>0</v>
      </c>
      <c r="J702" s="16">
        <f>TRUNC(I702*D702,1)</f>
        <v>0</v>
      </c>
      <c r="K702" s="15">
        <f t="shared" ref="K702:L705" si="152">TRUNC(E702+G702+I702,1)</f>
        <v>0</v>
      </c>
      <c r="L702" s="16">
        <f t="shared" si="152"/>
        <v>0</v>
      </c>
      <c r="M702" s="9" t="s">
        <v>52</v>
      </c>
      <c r="N702" s="2" t="s">
        <v>551</v>
      </c>
      <c r="O702" s="2" t="s">
        <v>1821</v>
      </c>
      <c r="P702" s="2" t="s">
        <v>61</v>
      </c>
      <c r="Q702" s="2" t="s">
        <v>61</v>
      </c>
      <c r="R702" s="2" t="s">
        <v>60</v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2" t="s">
        <v>52</v>
      </c>
      <c r="AW702" s="2" t="s">
        <v>1844</v>
      </c>
      <c r="AX702" s="2" t="s">
        <v>52</v>
      </c>
      <c r="AY702" s="2" t="s">
        <v>52</v>
      </c>
    </row>
    <row r="703" spans="1:51" ht="30" customHeight="1" x14ac:dyDescent="0.3">
      <c r="A703" s="9" t="s">
        <v>1823</v>
      </c>
      <c r="B703" s="9" t="s">
        <v>1824</v>
      </c>
      <c r="C703" s="9" t="s">
        <v>923</v>
      </c>
      <c r="D703" s="10">
        <v>64</v>
      </c>
      <c r="E703" s="15">
        <f>'단가대비표(총체)'!O17</f>
        <v>0</v>
      </c>
      <c r="F703" s="16">
        <f>TRUNC(E703*D703,1)</f>
        <v>0</v>
      </c>
      <c r="G703" s="15">
        <f>'단가대비표(총체)'!P17</f>
        <v>0</v>
      </c>
      <c r="H703" s="16">
        <f>TRUNC(G703*D703,1)</f>
        <v>0</v>
      </c>
      <c r="I703" s="15">
        <f>'단가대비표(총체)'!V17</f>
        <v>0</v>
      </c>
      <c r="J703" s="16">
        <f>TRUNC(I703*D703,1)</f>
        <v>0</v>
      </c>
      <c r="K703" s="15">
        <f t="shared" si="152"/>
        <v>0</v>
      </c>
      <c r="L703" s="16">
        <f t="shared" si="152"/>
        <v>0</v>
      </c>
      <c r="M703" s="9" t="s">
        <v>52</v>
      </c>
      <c r="N703" s="2" t="s">
        <v>551</v>
      </c>
      <c r="O703" s="2" t="s">
        <v>1825</v>
      </c>
      <c r="P703" s="2" t="s">
        <v>61</v>
      </c>
      <c r="Q703" s="2" t="s">
        <v>61</v>
      </c>
      <c r="R703" s="2" t="s">
        <v>60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2" t="s">
        <v>52</v>
      </c>
      <c r="AW703" s="2" t="s">
        <v>1845</v>
      </c>
      <c r="AX703" s="2" t="s">
        <v>52</v>
      </c>
      <c r="AY703" s="2" t="s">
        <v>52</v>
      </c>
    </row>
    <row r="704" spans="1:51" ht="30" customHeight="1" x14ac:dyDescent="0.3">
      <c r="A704" s="9" t="s">
        <v>1405</v>
      </c>
      <c r="B704" s="9" t="s">
        <v>822</v>
      </c>
      <c r="C704" s="9" t="s">
        <v>823</v>
      </c>
      <c r="D704" s="10">
        <v>0.05</v>
      </c>
      <c r="E704" s="15">
        <f>'단가대비표(총체)'!O184</f>
        <v>0</v>
      </c>
      <c r="F704" s="16">
        <f>TRUNC(E704*D704,1)</f>
        <v>0</v>
      </c>
      <c r="G704" s="15">
        <f>'단가대비표(총체)'!P184</f>
        <v>0</v>
      </c>
      <c r="H704" s="16">
        <f>TRUNC(G704*D704,1)</f>
        <v>0</v>
      </c>
      <c r="I704" s="15">
        <f>'단가대비표(총체)'!V184</f>
        <v>0</v>
      </c>
      <c r="J704" s="16">
        <f>TRUNC(I704*D704,1)</f>
        <v>0</v>
      </c>
      <c r="K704" s="15">
        <f t="shared" si="152"/>
        <v>0</v>
      </c>
      <c r="L704" s="16">
        <f t="shared" si="152"/>
        <v>0</v>
      </c>
      <c r="M704" s="9" t="s">
        <v>52</v>
      </c>
      <c r="N704" s="2" t="s">
        <v>551</v>
      </c>
      <c r="O704" s="2" t="s">
        <v>1406</v>
      </c>
      <c r="P704" s="2" t="s">
        <v>61</v>
      </c>
      <c r="Q704" s="2" t="s">
        <v>61</v>
      </c>
      <c r="R704" s="2" t="s">
        <v>60</v>
      </c>
      <c r="S704" s="3"/>
      <c r="T704" s="3"/>
      <c r="U704" s="3"/>
      <c r="V704" s="3">
        <v>1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2" t="s">
        <v>52</v>
      </c>
      <c r="AW704" s="2" t="s">
        <v>1846</v>
      </c>
      <c r="AX704" s="2" t="s">
        <v>52</v>
      </c>
      <c r="AY704" s="2" t="s">
        <v>52</v>
      </c>
    </row>
    <row r="705" spans="1:51" ht="30" customHeight="1" x14ac:dyDescent="0.3">
      <c r="A705" s="9" t="s">
        <v>874</v>
      </c>
      <c r="B705" s="9" t="s">
        <v>1828</v>
      </c>
      <c r="C705" s="9" t="s">
        <v>307</v>
      </c>
      <c r="D705" s="10">
        <v>1</v>
      </c>
      <c r="E705" s="15">
        <f>TRUNC(SUMIF(V702:V705, RIGHTB(O705, 1), H702:H705)*U705, 2)</f>
        <v>0</v>
      </c>
      <c r="F705" s="16">
        <f>TRUNC(E705*D705,1)</f>
        <v>0</v>
      </c>
      <c r="G705" s="15">
        <v>0</v>
      </c>
      <c r="H705" s="16">
        <f>TRUNC(G705*D705,1)</f>
        <v>0</v>
      </c>
      <c r="I705" s="15">
        <v>0</v>
      </c>
      <c r="J705" s="16">
        <f>TRUNC(I705*D705,1)</f>
        <v>0</v>
      </c>
      <c r="K705" s="15">
        <f t="shared" si="152"/>
        <v>0</v>
      </c>
      <c r="L705" s="16">
        <f t="shared" si="152"/>
        <v>0</v>
      </c>
      <c r="M705" s="9" t="s">
        <v>52</v>
      </c>
      <c r="N705" s="2" t="s">
        <v>551</v>
      </c>
      <c r="O705" s="2" t="s">
        <v>809</v>
      </c>
      <c r="P705" s="2" t="s">
        <v>61</v>
      </c>
      <c r="Q705" s="2" t="s">
        <v>61</v>
      </c>
      <c r="R705" s="2" t="s">
        <v>61</v>
      </c>
      <c r="S705" s="3">
        <v>1</v>
      </c>
      <c r="T705" s="3">
        <v>0</v>
      </c>
      <c r="U705" s="3">
        <v>0.04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2" t="s">
        <v>52</v>
      </c>
      <c r="AW705" s="2" t="s">
        <v>1847</v>
      </c>
      <c r="AX705" s="2" t="s">
        <v>52</v>
      </c>
      <c r="AY705" s="2" t="s">
        <v>52</v>
      </c>
    </row>
    <row r="706" spans="1:51" ht="30" customHeight="1" x14ac:dyDescent="0.3">
      <c r="A706" s="9" t="s">
        <v>811</v>
      </c>
      <c r="B706" s="9" t="s">
        <v>52</v>
      </c>
      <c r="C706" s="9" t="s">
        <v>52</v>
      </c>
      <c r="D706" s="10"/>
      <c r="E706" s="15"/>
      <c r="F706" s="16">
        <f>TRUNC(SUMIF(N702:N705, N701, F702:F705),0)</f>
        <v>0</v>
      </c>
      <c r="G706" s="15"/>
      <c r="H706" s="16">
        <f>TRUNC(SUMIF(N702:N705, N701, H702:H705),0)</f>
        <v>0</v>
      </c>
      <c r="I706" s="15"/>
      <c r="J706" s="16">
        <f>TRUNC(SUMIF(N702:N705, N701, J702:J705),0)</f>
        <v>0</v>
      </c>
      <c r="K706" s="15"/>
      <c r="L706" s="16">
        <f>F706+H706+J706</f>
        <v>0</v>
      </c>
      <c r="M706" s="9" t="s">
        <v>52</v>
      </c>
      <c r="N706" s="2" t="s">
        <v>94</v>
      </c>
      <c r="O706" s="2" t="s">
        <v>94</v>
      </c>
      <c r="P706" s="2" t="s">
        <v>52</v>
      </c>
      <c r="Q706" s="2" t="s">
        <v>52</v>
      </c>
      <c r="R706" s="2" t="s">
        <v>52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2" t="s">
        <v>52</v>
      </c>
      <c r="AW706" s="2" t="s">
        <v>52</v>
      </c>
      <c r="AX706" s="2" t="s">
        <v>52</v>
      </c>
      <c r="AY706" s="2" t="s">
        <v>52</v>
      </c>
    </row>
    <row r="707" spans="1:51" ht="30" customHeight="1" x14ac:dyDescent="0.3">
      <c r="A707" s="10"/>
      <c r="B707" s="10"/>
      <c r="C707" s="10"/>
      <c r="D707" s="10"/>
      <c r="E707" s="15"/>
      <c r="F707" s="16"/>
      <c r="G707" s="15"/>
      <c r="H707" s="16"/>
      <c r="I707" s="15"/>
      <c r="J707" s="16"/>
      <c r="K707" s="15"/>
      <c r="L707" s="16"/>
      <c r="M707" s="10"/>
    </row>
    <row r="708" spans="1:51" ht="30" customHeight="1" x14ac:dyDescent="0.3">
      <c r="A708" s="44" t="s">
        <v>1848</v>
      </c>
      <c r="B708" s="44"/>
      <c r="C708" s="44"/>
      <c r="D708" s="44"/>
      <c r="E708" s="45"/>
      <c r="F708" s="46"/>
      <c r="G708" s="45"/>
      <c r="H708" s="46"/>
      <c r="I708" s="45"/>
      <c r="J708" s="46"/>
      <c r="K708" s="45"/>
      <c r="L708" s="46"/>
      <c r="M708" s="44"/>
      <c r="N708" s="1" t="s">
        <v>555</v>
      </c>
    </row>
    <row r="709" spans="1:51" ht="30" customHeight="1" x14ac:dyDescent="0.3">
      <c r="A709" s="9" t="s">
        <v>1850</v>
      </c>
      <c r="B709" s="9" t="s">
        <v>1851</v>
      </c>
      <c r="C709" s="9" t="s">
        <v>82</v>
      </c>
      <c r="D709" s="10">
        <v>1.05</v>
      </c>
      <c r="E709" s="15">
        <f>'단가대비표(총체)'!O148</f>
        <v>0</v>
      </c>
      <c r="F709" s="16">
        <f>TRUNC(E709*D709,1)</f>
        <v>0</v>
      </c>
      <c r="G709" s="15">
        <f>'단가대비표(총체)'!P148</f>
        <v>0</v>
      </c>
      <c r="H709" s="16">
        <f>TRUNC(G709*D709,1)</f>
        <v>0</v>
      </c>
      <c r="I709" s="15">
        <f>'단가대비표(총체)'!V148</f>
        <v>0</v>
      </c>
      <c r="J709" s="16">
        <f>TRUNC(I709*D709,1)</f>
        <v>0</v>
      </c>
      <c r="K709" s="15">
        <f t="shared" ref="K709:L711" si="153">TRUNC(E709+G709+I709,1)</f>
        <v>0</v>
      </c>
      <c r="L709" s="16">
        <f t="shared" si="153"/>
        <v>0</v>
      </c>
      <c r="M709" s="9" t="s">
        <v>52</v>
      </c>
      <c r="N709" s="2" t="s">
        <v>555</v>
      </c>
      <c r="O709" s="2" t="s">
        <v>1852</v>
      </c>
      <c r="P709" s="2" t="s">
        <v>61</v>
      </c>
      <c r="Q709" s="2" t="s">
        <v>61</v>
      </c>
      <c r="R709" s="2" t="s">
        <v>60</v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2" t="s">
        <v>52</v>
      </c>
      <c r="AW709" s="2" t="s">
        <v>1853</v>
      </c>
      <c r="AX709" s="2" t="s">
        <v>52</v>
      </c>
      <c r="AY709" s="2" t="s">
        <v>52</v>
      </c>
    </row>
    <row r="710" spans="1:51" ht="30" customHeight="1" x14ac:dyDescent="0.3">
      <c r="A710" s="9" t="s">
        <v>1689</v>
      </c>
      <c r="B710" s="9" t="s">
        <v>822</v>
      </c>
      <c r="C710" s="9" t="s">
        <v>823</v>
      </c>
      <c r="D710" s="10">
        <v>6.4000000000000001E-2</v>
      </c>
      <c r="E710" s="15">
        <f>'단가대비표(총체)'!O203</f>
        <v>0</v>
      </c>
      <c r="F710" s="16">
        <f>TRUNC(E710*D710,1)</f>
        <v>0</v>
      </c>
      <c r="G710" s="15">
        <f>'단가대비표(총체)'!P203</f>
        <v>0</v>
      </c>
      <c r="H710" s="16">
        <f>TRUNC(G710*D710,1)</f>
        <v>0</v>
      </c>
      <c r="I710" s="15">
        <f>'단가대비표(총체)'!V203</f>
        <v>0</v>
      </c>
      <c r="J710" s="16">
        <f>TRUNC(I710*D710,1)</f>
        <v>0</v>
      </c>
      <c r="K710" s="15">
        <f t="shared" si="153"/>
        <v>0</v>
      </c>
      <c r="L710" s="16">
        <f t="shared" si="153"/>
        <v>0</v>
      </c>
      <c r="M710" s="9" t="s">
        <v>52</v>
      </c>
      <c r="N710" s="2" t="s">
        <v>555</v>
      </c>
      <c r="O710" s="2" t="s">
        <v>1690</v>
      </c>
      <c r="P710" s="2" t="s">
        <v>61</v>
      </c>
      <c r="Q710" s="2" t="s">
        <v>61</v>
      </c>
      <c r="R710" s="2" t="s">
        <v>60</v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2" t="s">
        <v>52</v>
      </c>
      <c r="AW710" s="2" t="s">
        <v>1854</v>
      </c>
      <c r="AX710" s="2" t="s">
        <v>52</v>
      </c>
      <c r="AY710" s="2" t="s">
        <v>52</v>
      </c>
    </row>
    <row r="711" spans="1:51" ht="30" customHeight="1" x14ac:dyDescent="0.3">
      <c r="A711" s="9" t="s">
        <v>821</v>
      </c>
      <c r="B711" s="9" t="s">
        <v>822</v>
      </c>
      <c r="C711" s="9" t="s">
        <v>823</v>
      </c>
      <c r="D711" s="10">
        <v>3.4000000000000002E-2</v>
      </c>
      <c r="E711" s="15">
        <f>'단가대비표(총체)'!O180</f>
        <v>0</v>
      </c>
      <c r="F711" s="16">
        <f>TRUNC(E711*D711,1)</f>
        <v>0</v>
      </c>
      <c r="G711" s="15">
        <f>'단가대비표(총체)'!P180</f>
        <v>0</v>
      </c>
      <c r="H711" s="16">
        <f>TRUNC(G711*D711,1)</f>
        <v>0</v>
      </c>
      <c r="I711" s="15">
        <f>'단가대비표(총체)'!V180</f>
        <v>0</v>
      </c>
      <c r="J711" s="16">
        <f>TRUNC(I711*D711,1)</f>
        <v>0</v>
      </c>
      <c r="K711" s="15">
        <f t="shared" si="153"/>
        <v>0</v>
      </c>
      <c r="L711" s="16">
        <f t="shared" si="153"/>
        <v>0</v>
      </c>
      <c r="M711" s="9" t="s">
        <v>52</v>
      </c>
      <c r="N711" s="2" t="s">
        <v>555</v>
      </c>
      <c r="O711" s="2" t="s">
        <v>824</v>
      </c>
      <c r="P711" s="2" t="s">
        <v>61</v>
      </c>
      <c r="Q711" s="2" t="s">
        <v>61</v>
      </c>
      <c r="R711" s="2" t="s">
        <v>60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2" t="s">
        <v>52</v>
      </c>
      <c r="AW711" s="2" t="s">
        <v>1855</v>
      </c>
      <c r="AX711" s="2" t="s">
        <v>52</v>
      </c>
      <c r="AY711" s="2" t="s">
        <v>52</v>
      </c>
    </row>
    <row r="712" spans="1:51" ht="30" customHeight="1" x14ac:dyDescent="0.3">
      <c r="A712" s="9" t="s">
        <v>811</v>
      </c>
      <c r="B712" s="9" t="s">
        <v>52</v>
      </c>
      <c r="C712" s="9" t="s">
        <v>52</v>
      </c>
      <c r="D712" s="10"/>
      <c r="E712" s="15"/>
      <c r="F712" s="16">
        <f>TRUNC(SUMIF(N709:N711, N708, F709:F711),0)</f>
        <v>0</v>
      </c>
      <c r="G712" s="15"/>
      <c r="H712" s="16">
        <f>TRUNC(SUMIF(N709:N711, N708, H709:H711),0)</f>
        <v>0</v>
      </c>
      <c r="I712" s="15"/>
      <c r="J712" s="16">
        <f>TRUNC(SUMIF(N709:N711, N708, J709:J711),0)</f>
        <v>0</v>
      </c>
      <c r="K712" s="15"/>
      <c r="L712" s="16">
        <f>F712+H712+J712</f>
        <v>0</v>
      </c>
      <c r="M712" s="9" t="s">
        <v>52</v>
      </c>
      <c r="N712" s="2" t="s">
        <v>94</v>
      </c>
      <c r="O712" s="2" t="s">
        <v>94</v>
      </c>
      <c r="P712" s="2" t="s">
        <v>52</v>
      </c>
      <c r="Q712" s="2" t="s">
        <v>52</v>
      </c>
      <c r="R712" s="2" t="s">
        <v>52</v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2" t="s">
        <v>52</v>
      </c>
      <c r="AW712" s="2" t="s">
        <v>52</v>
      </c>
      <c r="AX712" s="2" t="s">
        <v>52</v>
      </c>
      <c r="AY712" s="2" t="s">
        <v>52</v>
      </c>
    </row>
    <row r="713" spans="1:51" ht="30" customHeight="1" x14ac:dyDescent="0.3">
      <c r="A713" s="10"/>
      <c r="B713" s="10"/>
      <c r="C713" s="10"/>
      <c r="D713" s="10"/>
      <c r="E713" s="15"/>
      <c r="F713" s="16"/>
      <c r="G713" s="15"/>
      <c r="H713" s="16"/>
      <c r="I713" s="15"/>
      <c r="J713" s="16"/>
      <c r="K713" s="15"/>
      <c r="L713" s="16"/>
      <c r="M713" s="10"/>
    </row>
    <row r="714" spans="1:51" ht="30" customHeight="1" x14ac:dyDescent="0.3">
      <c r="A714" s="44" t="s">
        <v>1856</v>
      </c>
      <c r="B714" s="44"/>
      <c r="C714" s="44"/>
      <c r="D714" s="44"/>
      <c r="E714" s="45"/>
      <c r="F714" s="46"/>
      <c r="G714" s="45"/>
      <c r="H714" s="46"/>
      <c r="I714" s="45"/>
      <c r="J714" s="46"/>
      <c r="K714" s="45"/>
      <c r="L714" s="46"/>
      <c r="M714" s="44"/>
      <c r="N714" s="1" t="s">
        <v>558</v>
      </c>
    </row>
    <row r="715" spans="1:51" ht="30" customHeight="1" x14ac:dyDescent="0.3">
      <c r="A715" s="9" t="s">
        <v>1850</v>
      </c>
      <c r="B715" s="9" t="s">
        <v>1858</v>
      </c>
      <c r="C715" s="9" t="s">
        <v>82</v>
      </c>
      <c r="D715" s="10">
        <v>1.05</v>
      </c>
      <c r="E715" s="15">
        <f>'단가대비표(총체)'!O147</f>
        <v>0</v>
      </c>
      <c r="F715" s="16">
        <f>TRUNC(E715*D715,1)</f>
        <v>0</v>
      </c>
      <c r="G715" s="15">
        <f>'단가대비표(총체)'!P147</f>
        <v>0</v>
      </c>
      <c r="H715" s="16">
        <f>TRUNC(G715*D715,1)</f>
        <v>0</v>
      </c>
      <c r="I715" s="15">
        <f>'단가대비표(총체)'!V147</f>
        <v>0</v>
      </c>
      <c r="J715" s="16">
        <f>TRUNC(I715*D715,1)</f>
        <v>0</v>
      </c>
      <c r="K715" s="15">
        <f t="shared" ref="K715:L717" si="154">TRUNC(E715+G715+I715,1)</f>
        <v>0</v>
      </c>
      <c r="L715" s="16">
        <f t="shared" si="154"/>
        <v>0</v>
      </c>
      <c r="M715" s="9" t="s">
        <v>52</v>
      </c>
      <c r="N715" s="2" t="s">
        <v>558</v>
      </c>
      <c r="O715" s="2" t="s">
        <v>1859</v>
      </c>
      <c r="P715" s="2" t="s">
        <v>61</v>
      </c>
      <c r="Q715" s="2" t="s">
        <v>61</v>
      </c>
      <c r="R715" s="2" t="s">
        <v>60</v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2" t="s">
        <v>52</v>
      </c>
      <c r="AW715" s="2" t="s">
        <v>1860</v>
      </c>
      <c r="AX715" s="2" t="s">
        <v>52</v>
      </c>
      <c r="AY715" s="2" t="s">
        <v>52</v>
      </c>
    </row>
    <row r="716" spans="1:51" ht="30" customHeight="1" x14ac:dyDescent="0.3">
      <c r="A716" s="9" t="s">
        <v>1689</v>
      </c>
      <c r="B716" s="9" t="s">
        <v>822</v>
      </c>
      <c r="C716" s="9" t="s">
        <v>823</v>
      </c>
      <c r="D716" s="10">
        <v>4.9000000000000002E-2</v>
      </c>
      <c r="E716" s="15">
        <f>'단가대비표(총체)'!O203</f>
        <v>0</v>
      </c>
      <c r="F716" s="16">
        <f>TRUNC(E716*D716,1)</f>
        <v>0</v>
      </c>
      <c r="G716" s="15">
        <f>'단가대비표(총체)'!P203</f>
        <v>0</v>
      </c>
      <c r="H716" s="16">
        <f>TRUNC(G716*D716,1)</f>
        <v>0</v>
      </c>
      <c r="I716" s="15">
        <f>'단가대비표(총체)'!V203</f>
        <v>0</v>
      </c>
      <c r="J716" s="16">
        <f>TRUNC(I716*D716,1)</f>
        <v>0</v>
      </c>
      <c r="K716" s="15">
        <f t="shared" si="154"/>
        <v>0</v>
      </c>
      <c r="L716" s="16">
        <f t="shared" si="154"/>
        <v>0</v>
      </c>
      <c r="M716" s="9" t="s">
        <v>52</v>
      </c>
      <c r="N716" s="2" t="s">
        <v>558</v>
      </c>
      <c r="O716" s="2" t="s">
        <v>1690</v>
      </c>
      <c r="P716" s="2" t="s">
        <v>61</v>
      </c>
      <c r="Q716" s="2" t="s">
        <v>61</v>
      </c>
      <c r="R716" s="2" t="s">
        <v>60</v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2" t="s">
        <v>52</v>
      </c>
      <c r="AW716" s="2" t="s">
        <v>1861</v>
      </c>
      <c r="AX716" s="2" t="s">
        <v>52</v>
      </c>
      <c r="AY716" s="2" t="s">
        <v>52</v>
      </c>
    </row>
    <row r="717" spans="1:51" ht="30" customHeight="1" x14ac:dyDescent="0.3">
      <c r="A717" s="9" t="s">
        <v>821</v>
      </c>
      <c r="B717" s="9" t="s">
        <v>822</v>
      </c>
      <c r="C717" s="9" t="s">
        <v>823</v>
      </c>
      <c r="D717" s="10">
        <v>2.5999999999999999E-2</v>
      </c>
      <c r="E717" s="15">
        <f>'단가대비표(총체)'!O180</f>
        <v>0</v>
      </c>
      <c r="F717" s="16">
        <f>TRUNC(E717*D717,1)</f>
        <v>0</v>
      </c>
      <c r="G717" s="15">
        <f>'단가대비표(총체)'!P180</f>
        <v>0</v>
      </c>
      <c r="H717" s="16">
        <f>TRUNC(G717*D717,1)</f>
        <v>0</v>
      </c>
      <c r="I717" s="15">
        <f>'단가대비표(총체)'!V180</f>
        <v>0</v>
      </c>
      <c r="J717" s="16">
        <f>TRUNC(I717*D717,1)</f>
        <v>0</v>
      </c>
      <c r="K717" s="15">
        <f t="shared" si="154"/>
        <v>0</v>
      </c>
      <c r="L717" s="16">
        <f t="shared" si="154"/>
        <v>0</v>
      </c>
      <c r="M717" s="9" t="s">
        <v>52</v>
      </c>
      <c r="N717" s="2" t="s">
        <v>558</v>
      </c>
      <c r="O717" s="2" t="s">
        <v>824</v>
      </c>
      <c r="P717" s="2" t="s">
        <v>61</v>
      </c>
      <c r="Q717" s="2" t="s">
        <v>61</v>
      </c>
      <c r="R717" s="2" t="s">
        <v>60</v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2" t="s">
        <v>52</v>
      </c>
      <c r="AW717" s="2" t="s">
        <v>1862</v>
      </c>
      <c r="AX717" s="2" t="s">
        <v>52</v>
      </c>
      <c r="AY717" s="2" t="s">
        <v>52</v>
      </c>
    </row>
    <row r="718" spans="1:51" ht="30" customHeight="1" x14ac:dyDescent="0.3">
      <c r="A718" s="9" t="s">
        <v>811</v>
      </c>
      <c r="B718" s="9" t="s">
        <v>52</v>
      </c>
      <c r="C718" s="9" t="s">
        <v>52</v>
      </c>
      <c r="D718" s="10"/>
      <c r="E718" s="15"/>
      <c r="F718" s="16">
        <f>TRUNC(SUMIF(N715:N717, N714, F715:F717),0)</f>
        <v>0</v>
      </c>
      <c r="G718" s="15"/>
      <c r="H718" s="16">
        <f>TRUNC(SUMIF(N715:N717, N714, H715:H717),0)</f>
        <v>0</v>
      </c>
      <c r="I718" s="15"/>
      <c r="J718" s="16">
        <f>TRUNC(SUMIF(N715:N717, N714, J715:J717),0)</f>
        <v>0</v>
      </c>
      <c r="K718" s="15"/>
      <c r="L718" s="16">
        <f>F718+H718+J718</f>
        <v>0</v>
      </c>
      <c r="M718" s="9" t="s">
        <v>52</v>
      </c>
      <c r="N718" s="2" t="s">
        <v>94</v>
      </c>
      <c r="O718" s="2" t="s">
        <v>94</v>
      </c>
      <c r="P718" s="2" t="s">
        <v>52</v>
      </c>
      <c r="Q718" s="2" t="s">
        <v>52</v>
      </c>
      <c r="R718" s="2" t="s">
        <v>52</v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2" t="s">
        <v>52</v>
      </c>
      <c r="AW718" s="2" t="s">
        <v>52</v>
      </c>
      <c r="AX718" s="2" t="s">
        <v>52</v>
      </c>
      <c r="AY718" s="2" t="s">
        <v>52</v>
      </c>
    </row>
    <row r="719" spans="1:51" ht="30" customHeight="1" x14ac:dyDescent="0.3">
      <c r="A719" s="10"/>
      <c r="B719" s="10"/>
      <c r="C719" s="10"/>
      <c r="D719" s="10"/>
      <c r="E719" s="15"/>
      <c r="F719" s="16"/>
      <c r="G719" s="15"/>
      <c r="H719" s="16"/>
      <c r="I719" s="15"/>
      <c r="J719" s="16"/>
      <c r="K719" s="15"/>
      <c r="L719" s="16"/>
      <c r="M719" s="10"/>
    </row>
    <row r="720" spans="1:51" ht="30" customHeight="1" x14ac:dyDescent="0.3">
      <c r="A720" s="44" t="s">
        <v>1863</v>
      </c>
      <c r="B720" s="44"/>
      <c r="C720" s="44"/>
      <c r="D720" s="44"/>
      <c r="E720" s="45"/>
      <c r="F720" s="46"/>
      <c r="G720" s="45"/>
      <c r="H720" s="46"/>
      <c r="I720" s="45"/>
      <c r="J720" s="46"/>
      <c r="K720" s="45"/>
      <c r="L720" s="46"/>
      <c r="M720" s="44"/>
      <c r="N720" s="1" t="s">
        <v>561</v>
      </c>
    </row>
    <row r="721" spans="1:51" ht="30" customHeight="1" x14ac:dyDescent="0.3">
      <c r="A721" s="9" t="s">
        <v>1850</v>
      </c>
      <c r="B721" s="9" t="s">
        <v>1865</v>
      </c>
      <c r="C721" s="9" t="s">
        <v>82</v>
      </c>
      <c r="D721" s="10">
        <v>1.05</v>
      </c>
      <c r="E721" s="15">
        <f>'단가대비표(총체)'!O146</f>
        <v>0</v>
      </c>
      <c r="F721" s="16">
        <f>TRUNC(E721*D721,1)</f>
        <v>0</v>
      </c>
      <c r="G721" s="15">
        <f>'단가대비표(총체)'!P146</f>
        <v>0</v>
      </c>
      <c r="H721" s="16">
        <f>TRUNC(G721*D721,1)</f>
        <v>0</v>
      </c>
      <c r="I721" s="15">
        <f>'단가대비표(총체)'!V146</f>
        <v>0</v>
      </c>
      <c r="J721" s="16">
        <f>TRUNC(I721*D721,1)</f>
        <v>0</v>
      </c>
      <c r="K721" s="15">
        <f t="shared" ref="K721:L723" si="155">TRUNC(E721+G721+I721,1)</f>
        <v>0</v>
      </c>
      <c r="L721" s="16">
        <f t="shared" si="155"/>
        <v>0</v>
      </c>
      <c r="M721" s="9" t="s">
        <v>52</v>
      </c>
      <c r="N721" s="2" t="s">
        <v>561</v>
      </c>
      <c r="O721" s="2" t="s">
        <v>1866</v>
      </c>
      <c r="P721" s="2" t="s">
        <v>61</v>
      </c>
      <c r="Q721" s="2" t="s">
        <v>61</v>
      </c>
      <c r="R721" s="2" t="s">
        <v>60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2" t="s">
        <v>52</v>
      </c>
      <c r="AW721" s="2" t="s">
        <v>1867</v>
      </c>
      <c r="AX721" s="2" t="s">
        <v>52</v>
      </c>
      <c r="AY721" s="2" t="s">
        <v>52</v>
      </c>
    </row>
    <row r="722" spans="1:51" ht="30" customHeight="1" x14ac:dyDescent="0.3">
      <c r="A722" s="9" t="s">
        <v>1689</v>
      </c>
      <c r="B722" s="9" t="s">
        <v>822</v>
      </c>
      <c r="C722" s="9" t="s">
        <v>823</v>
      </c>
      <c r="D722" s="10">
        <v>3.4000000000000002E-2</v>
      </c>
      <c r="E722" s="15">
        <f>'단가대비표(총체)'!O203</f>
        <v>0</v>
      </c>
      <c r="F722" s="16">
        <f>TRUNC(E722*D722,1)</f>
        <v>0</v>
      </c>
      <c r="G722" s="15">
        <f>'단가대비표(총체)'!P203</f>
        <v>0</v>
      </c>
      <c r="H722" s="16">
        <f>TRUNC(G722*D722,1)</f>
        <v>0</v>
      </c>
      <c r="I722" s="15">
        <f>'단가대비표(총체)'!V203</f>
        <v>0</v>
      </c>
      <c r="J722" s="16">
        <f>TRUNC(I722*D722,1)</f>
        <v>0</v>
      </c>
      <c r="K722" s="15">
        <f t="shared" si="155"/>
        <v>0</v>
      </c>
      <c r="L722" s="16">
        <f t="shared" si="155"/>
        <v>0</v>
      </c>
      <c r="M722" s="9" t="s">
        <v>52</v>
      </c>
      <c r="N722" s="2" t="s">
        <v>561</v>
      </c>
      <c r="O722" s="2" t="s">
        <v>1690</v>
      </c>
      <c r="P722" s="2" t="s">
        <v>61</v>
      </c>
      <c r="Q722" s="2" t="s">
        <v>61</v>
      </c>
      <c r="R722" s="2" t="s">
        <v>60</v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2" t="s">
        <v>52</v>
      </c>
      <c r="AW722" s="2" t="s">
        <v>1868</v>
      </c>
      <c r="AX722" s="2" t="s">
        <v>52</v>
      </c>
      <c r="AY722" s="2" t="s">
        <v>52</v>
      </c>
    </row>
    <row r="723" spans="1:51" ht="30" customHeight="1" x14ac:dyDescent="0.3">
      <c r="A723" s="9" t="s">
        <v>821</v>
      </c>
      <c r="B723" s="9" t="s">
        <v>822</v>
      </c>
      <c r="C723" s="9" t="s">
        <v>823</v>
      </c>
      <c r="D723" s="10">
        <v>1.7999999999999999E-2</v>
      </c>
      <c r="E723" s="15">
        <f>'단가대비표(총체)'!O180</f>
        <v>0</v>
      </c>
      <c r="F723" s="16">
        <f>TRUNC(E723*D723,1)</f>
        <v>0</v>
      </c>
      <c r="G723" s="15">
        <f>'단가대비표(총체)'!P180</f>
        <v>0</v>
      </c>
      <c r="H723" s="16">
        <f>TRUNC(G723*D723,1)</f>
        <v>0</v>
      </c>
      <c r="I723" s="15">
        <f>'단가대비표(총체)'!V180</f>
        <v>0</v>
      </c>
      <c r="J723" s="16">
        <f>TRUNC(I723*D723,1)</f>
        <v>0</v>
      </c>
      <c r="K723" s="15">
        <f t="shared" si="155"/>
        <v>0</v>
      </c>
      <c r="L723" s="16">
        <f t="shared" si="155"/>
        <v>0</v>
      </c>
      <c r="M723" s="9" t="s">
        <v>52</v>
      </c>
      <c r="N723" s="2" t="s">
        <v>561</v>
      </c>
      <c r="O723" s="2" t="s">
        <v>824</v>
      </c>
      <c r="P723" s="2" t="s">
        <v>61</v>
      </c>
      <c r="Q723" s="2" t="s">
        <v>61</v>
      </c>
      <c r="R723" s="2" t="s">
        <v>60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2" t="s">
        <v>52</v>
      </c>
      <c r="AW723" s="2" t="s">
        <v>1869</v>
      </c>
      <c r="AX723" s="2" t="s">
        <v>52</v>
      </c>
      <c r="AY723" s="2" t="s">
        <v>52</v>
      </c>
    </row>
    <row r="724" spans="1:51" ht="30" customHeight="1" x14ac:dyDescent="0.3">
      <c r="A724" s="9" t="s">
        <v>811</v>
      </c>
      <c r="B724" s="9" t="s">
        <v>52</v>
      </c>
      <c r="C724" s="9" t="s">
        <v>52</v>
      </c>
      <c r="D724" s="10"/>
      <c r="E724" s="15"/>
      <c r="F724" s="16">
        <f>TRUNC(SUMIF(N721:N723, N720, F721:F723),0)</f>
        <v>0</v>
      </c>
      <c r="G724" s="15"/>
      <c r="H724" s="16">
        <f>TRUNC(SUMIF(N721:N723, N720, H721:H723),0)</f>
        <v>0</v>
      </c>
      <c r="I724" s="15"/>
      <c r="J724" s="16">
        <f>TRUNC(SUMIF(N721:N723, N720, J721:J723),0)</f>
        <v>0</v>
      </c>
      <c r="K724" s="15"/>
      <c r="L724" s="16">
        <f>F724+H724+J724</f>
        <v>0</v>
      </c>
      <c r="M724" s="9" t="s">
        <v>52</v>
      </c>
      <c r="N724" s="2" t="s">
        <v>94</v>
      </c>
      <c r="O724" s="2" t="s">
        <v>94</v>
      </c>
      <c r="P724" s="2" t="s">
        <v>52</v>
      </c>
      <c r="Q724" s="2" t="s">
        <v>52</v>
      </c>
      <c r="R724" s="2" t="s">
        <v>52</v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2" t="s">
        <v>52</v>
      </c>
      <c r="AW724" s="2" t="s">
        <v>52</v>
      </c>
      <c r="AX724" s="2" t="s">
        <v>52</v>
      </c>
      <c r="AY724" s="2" t="s">
        <v>52</v>
      </c>
    </row>
    <row r="725" spans="1:51" ht="30" customHeight="1" x14ac:dyDescent="0.3">
      <c r="A725" s="10"/>
      <c r="B725" s="10"/>
      <c r="C725" s="10"/>
      <c r="D725" s="10"/>
      <c r="E725" s="15"/>
      <c r="F725" s="16"/>
      <c r="G725" s="15"/>
      <c r="H725" s="16"/>
      <c r="I725" s="15"/>
      <c r="J725" s="16"/>
      <c r="K725" s="15"/>
      <c r="L725" s="16"/>
      <c r="M725" s="10"/>
    </row>
    <row r="726" spans="1:51" ht="30" customHeight="1" x14ac:dyDescent="0.3">
      <c r="A726" s="44" t="s">
        <v>1870</v>
      </c>
      <c r="B726" s="44"/>
      <c r="C726" s="44"/>
      <c r="D726" s="44"/>
      <c r="E726" s="45"/>
      <c r="F726" s="46"/>
      <c r="G726" s="45"/>
      <c r="H726" s="46"/>
      <c r="I726" s="45"/>
      <c r="J726" s="46"/>
      <c r="K726" s="45"/>
      <c r="L726" s="46"/>
      <c r="M726" s="44"/>
      <c r="N726" s="1" t="s">
        <v>596</v>
      </c>
    </row>
    <row r="727" spans="1:51" ht="30" customHeight="1" x14ac:dyDescent="0.3">
      <c r="A727" s="9" t="s">
        <v>1872</v>
      </c>
      <c r="B727" s="9" t="s">
        <v>822</v>
      </c>
      <c r="C727" s="9" t="s">
        <v>823</v>
      </c>
      <c r="D727" s="10">
        <v>0.28699999999999998</v>
      </c>
      <c r="E727" s="15">
        <f>'단가대비표(총체)'!O185</f>
        <v>0</v>
      </c>
      <c r="F727" s="16">
        <f>TRUNC(E727*D727,1)</f>
        <v>0</v>
      </c>
      <c r="G727" s="15">
        <f>'단가대비표(총체)'!P185</f>
        <v>0</v>
      </c>
      <c r="H727" s="16">
        <f>TRUNC(G727*D727,1)</f>
        <v>0</v>
      </c>
      <c r="I727" s="15">
        <f>'단가대비표(총체)'!V185</f>
        <v>0</v>
      </c>
      <c r="J727" s="16">
        <f>TRUNC(I727*D727,1)</f>
        <v>0</v>
      </c>
      <c r="K727" s="15">
        <f t="shared" ref="K727:L729" si="156">TRUNC(E727+G727+I727,1)</f>
        <v>0</v>
      </c>
      <c r="L727" s="16">
        <f t="shared" si="156"/>
        <v>0</v>
      </c>
      <c r="M727" s="9" t="s">
        <v>52</v>
      </c>
      <c r="N727" s="2" t="s">
        <v>596</v>
      </c>
      <c r="O727" s="2" t="s">
        <v>1873</v>
      </c>
      <c r="P727" s="2" t="s">
        <v>61</v>
      </c>
      <c r="Q727" s="2" t="s">
        <v>61</v>
      </c>
      <c r="R727" s="2" t="s">
        <v>60</v>
      </c>
      <c r="S727" s="3"/>
      <c r="T727" s="3"/>
      <c r="U727" s="3"/>
      <c r="V727" s="3">
        <v>1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2" t="s">
        <v>52</v>
      </c>
      <c r="AW727" s="2" t="s">
        <v>1874</v>
      </c>
      <c r="AX727" s="2" t="s">
        <v>52</v>
      </c>
      <c r="AY727" s="2" t="s">
        <v>52</v>
      </c>
    </row>
    <row r="728" spans="1:51" ht="30" customHeight="1" x14ac:dyDescent="0.3">
      <c r="A728" s="9" t="s">
        <v>821</v>
      </c>
      <c r="B728" s="9" t="s">
        <v>822</v>
      </c>
      <c r="C728" s="9" t="s">
        <v>823</v>
      </c>
      <c r="D728" s="10">
        <v>0.28699999999999998</v>
      </c>
      <c r="E728" s="15">
        <f>'단가대비표(총체)'!O180</f>
        <v>0</v>
      </c>
      <c r="F728" s="16">
        <f>TRUNC(E728*D728,1)</f>
        <v>0</v>
      </c>
      <c r="G728" s="15">
        <f>'단가대비표(총체)'!P180</f>
        <v>0</v>
      </c>
      <c r="H728" s="16">
        <f>TRUNC(G728*D728,1)</f>
        <v>0</v>
      </c>
      <c r="I728" s="15">
        <f>'단가대비표(총체)'!V180</f>
        <v>0</v>
      </c>
      <c r="J728" s="16">
        <f>TRUNC(I728*D728,1)</f>
        <v>0</v>
      </c>
      <c r="K728" s="15">
        <f t="shared" si="156"/>
        <v>0</v>
      </c>
      <c r="L728" s="16">
        <f t="shared" si="156"/>
        <v>0</v>
      </c>
      <c r="M728" s="9" t="s">
        <v>52</v>
      </c>
      <c r="N728" s="2" t="s">
        <v>596</v>
      </c>
      <c r="O728" s="2" t="s">
        <v>824</v>
      </c>
      <c r="P728" s="2" t="s">
        <v>61</v>
      </c>
      <c r="Q728" s="2" t="s">
        <v>61</v>
      </c>
      <c r="R728" s="2" t="s">
        <v>60</v>
      </c>
      <c r="S728" s="3"/>
      <c r="T728" s="3"/>
      <c r="U728" s="3"/>
      <c r="V728" s="3">
        <v>1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2" t="s">
        <v>52</v>
      </c>
      <c r="AW728" s="2" t="s">
        <v>1875</v>
      </c>
      <c r="AX728" s="2" t="s">
        <v>52</v>
      </c>
      <c r="AY728" s="2" t="s">
        <v>52</v>
      </c>
    </row>
    <row r="729" spans="1:51" ht="30" customHeight="1" x14ac:dyDescent="0.3">
      <c r="A729" s="9" t="s">
        <v>874</v>
      </c>
      <c r="B729" s="9" t="s">
        <v>891</v>
      </c>
      <c r="C729" s="9" t="s">
        <v>307</v>
      </c>
      <c r="D729" s="10">
        <v>1</v>
      </c>
      <c r="E729" s="15">
        <f>TRUNC(SUMIF(V727:V729, RIGHTB(O729, 1), H727:H729)*U729, 2)</f>
        <v>0</v>
      </c>
      <c r="F729" s="16">
        <f>TRUNC(E729*D729,1)</f>
        <v>0</v>
      </c>
      <c r="G729" s="15">
        <v>0</v>
      </c>
      <c r="H729" s="16">
        <f>TRUNC(G729*D729,1)</f>
        <v>0</v>
      </c>
      <c r="I729" s="15">
        <v>0</v>
      </c>
      <c r="J729" s="16">
        <f>TRUNC(I729*D729,1)</f>
        <v>0</v>
      </c>
      <c r="K729" s="15">
        <f t="shared" si="156"/>
        <v>0</v>
      </c>
      <c r="L729" s="16">
        <f t="shared" si="156"/>
        <v>0</v>
      </c>
      <c r="M729" s="9" t="s">
        <v>52</v>
      </c>
      <c r="N729" s="2" t="s">
        <v>596</v>
      </c>
      <c r="O729" s="2" t="s">
        <v>809</v>
      </c>
      <c r="P729" s="2" t="s">
        <v>61</v>
      </c>
      <c r="Q729" s="2" t="s">
        <v>61</v>
      </c>
      <c r="R729" s="2" t="s">
        <v>61</v>
      </c>
      <c r="S729" s="3">
        <v>1</v>
      </c>
      <c r="T729" s="3">
        <v>0</v>
      </c>
      <c r="U729" s="3">
        <v>0.02</v>
      </c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2" t="s">
        <v>52</v>
      </c>
      <c r="AW729" s="2" t="s">
        <v>1876</v>
      </c>
      <c r="AX729" s="2" t="s">
        <v>52</v>
      </c>
      <c r="AY729" s="2" t="s">
        <v>52</v>
      </c>
    </row>
    <row r="730" spans="1:51" ht="30" customHeight="1" x14ac:dyDescent="0.3">
      <c r="A730" s="9" t="s">
        <v>811</v>
      </c>
      <c r="B730" s="9" t="s">
        <v>52</v>
      </c>
      <c r="C730" s="9" t="s">
        <v>52</v>
      </c>
      <c r="D730" s="10"/>
      <c r="E730" s="15"/>
      <c r="F730" s="16">
        <f>TRUNC(SUMIF(N727:N729, N726, F727:F729),0)</f>
        <v>0</v>
      </c>
      <c r="G730" s="15"/>
      <c r="H730" s="16">
        <f>TRUNC(SUMIF(N727:N729, N726, H727:H729),0)</f>
        <v>0</v>
      </c>
      <c r="I730" s="15"/>
      <c r="J730" s="16">
        <f>TRUNC(SUMIF(N727:N729, N726, J727:J729),0)</f>
        <v>0</v>
      </c>
      <c r="K730" s="15"/>
      <c r="L730" s="16">
        <f>F730+H730+J730</f>
        <v>0</v>
      </c>
      <c r="M730" s="9" t="s">
        <v>52</v>
      </c>
      <c r="N730" s="2" t="s">
        <v>94</v>
      </c>
      <c r="O730" s="2" t="s">
        <v>94</v>
      </c>
      <c r="P730" s="2" t="s">
        <v>52</v>
      </c>
      <c r="Q730" s="2" t="s">
        <v>52</v>
      </c>
      <c r="R730" s="2" t="s">
        <v>52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2" t="s">
        <v>52</v>
      </c>
      <c r="AW730" s="2" t="s">
        <v>52</v>
      </c>
      <c r="AX730" s="2" t="s">
        <v>52</v>
      </c>
      <c r="AY730" s="2" t="s">
        <v>52</v>
      </c>
    </row>
    <row r="731" spans="1:51" ht="30" customHeight="1" x14ac:dyDescent="0.3">
      <c r="A731" s="10"/>
      <c r="B731" s="10"/>
      <c r="C731" s="10"/>
      <c r="D731" s="10"/>
      <c r="E731" s="15"/>
      <c r="F731" s="16"/>
      <c r="G731" s="15"/>
      <c r="H731" s="16"/>
      <c r="I731" s="15"/>
      <c r="J731" s="16"/>
      <c r="K731" s="15"/>
      <c r="L731" s="16"/>
      <c r="M731" s="10"/>
    </row>
    <row r="732" spans="1:51" ht="30" customHeight="1" x14ac:dyDescent="0.3">
      <c r="A732" s="44" t="s">
        <v>1877</v>
      </c>
      <c r="B732" s="44"/>
      <c r="C732" s="44"/>
      <c r="D732" s="44"/>
      <c r="E732" s="45"/>
      <c r="F732" s="46"/>
      <c r="G732" s="45"/>
      <c r="H732" s="46"/>
      <c r="I732" s="45"/>
      <c r="J732" s="46"/>
      <c r="K732" s="45"/>
      <c r="L732" s="46"/>
      <c r="M732" s="44"/>
      <c r="N732" s="1" t="s">
        <v>599</v>
      </c>
    </row>
    <row r="733" spans="1:51" ht="30" customHeight="1" x14ac:dyDescent="0.3">
      <c r="A733" s="9" t="s">
        <v>1872</v>
      </c>
      <c r="B733" s="9" t="s">
        <v>822</v>
      </c>
      <c r="C733" s="9" t="s">
        <v>823</v>
      </c>
      <c r="D733" s="10">
        <v>0.248</v>
      </c>
      <c r="E733" s="15">
        <f>'단가대비표(총체)'!O185</f>
        <v>0</v>
      </c>
      <c r="F733" s="16">
        <f>TRUNC(E733*D733,1)</f>
        <v>0</v>
      </c>
      <c r="G733" s="15">
        <f>'단가대비표(총체)'!P185</f>
        <v>0</v>
      </c>
      <c r="H733" s="16">
        <f>TRUNC(G733*D733,1)</f>
        <v>0</v>
      </c>
      <c r="I733" s="15">
        <f>'단가대비표(총체)'!V185</f>
        <v>0</v>
      </c>
      <c r="J733" s="16">
        <f>TRUNC(I733*D733,1)</f>
        <v>0</v>
      </c>
      <c r="K733" s="15">
        <f t="shared" ref="K733:L735" si="157">TRUNC(E733+G733+I733,1)</f>
        <v>0</v>
      </c>
      <c r="L733" s="16">
        <f t="shared" si="157"/>
        <v>0</v>
      </c>
      <c r="M733" s="9" t="s">
        <v>52</v>
      </c>
      <c r="N733" s="2" t="s">
        <v>599</v>
      </c>
      <c r="O733" s="2" t="s">
        <v>1873</v>
      </c>
      <c r="P733" s="2" t="s">
        <v>61</v>
      </c>
      <c r="Q733" s="2" t="s">
        <v>61</v>
      </c>
      <c r="R733" s="2" t="s">
        <v>60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2" t="s">
        <v>52</v>
      </c>
      <c r="AW733" s="2" t="s">
        <v>1879</v>
      </c>
      <c r="AX733" s="2" t="s">
        <v>52</v>
      </c>
      <c r="AY733" s="2" t="s">
        <v>52</v>
      </c>
    </row>
    <row r="734" spans="1:51" ht="30" customHeight="1" x14ac:dyDescent="0.3">
      <c r="A734" s="9" t="s">
        <v>821</v>
      </c>
      <c r="B734" s="9" t="s">
        <v>822</v>
      </c>
      <c r="C734" s="9" t="s">
        <v>823</v>
      </c>
      <c r="D734" s="10">
        <v>0.248</v>
      </c>
      <c r="E734" s="15">
        <f>'단가대비표(총체)'!O180</f>
        <v>0</v>
      </c>
      <c r="F734" s="16">
        <f>TRUNC(E734*D734,1)</f>
        <v>0</v>
      </c>
      <c r="G734" s="15">
        <f>'단가대비표(총체)'!P180</f>
        <v>0</v>
      </c>
      <c r="H734" s="16">
        <f>TRUNC(G734*D734,1)</f>
        <v>0</v>
      </c>
      <c r="I734" s="15">
        <f>'단가대비표(총체)'!V180</f>
        <v>0</v>
      </c>
      <c r="J734" s="16">
        <f>TRUNC(I734*D734,1)</f>
        <v>0</v>
      </c>
      <c r="K734" s="15">
        <f t="shared" si="157"/>
        <v>0</v>
      </c>
      <c r="L734" s="16">
        <f t="shared" si="157"/>
        <v>0</v>
      </c>
      <c r="M734" s="9" t="s">
        <v>52</v>
      </c>
      <c r="N734" s="2" t="s">
        <v>599</v>
      </c>
      <c r="O734" s="2" t="s">
        <v>824</v>
      </c>
      <c r="P734" s="2" t="s">
        <v>61</v>
      </c>
      <c r="Q734" s="2" t="s">
        <v>61</v>
      </c>
      <c r="R734" s="2" t="s">
        <v>60</v>
      </c>
      <c r="S734" s="3"/>
      <c r="T734" s="3"/>
      <c r="U734" s="3"/>
      <c r="V734" s="3">
        <v>1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2" t="s">
        <v>52</v>
      </c>
      <c r="AW734" s="2" t="s">
        <v>1880</v>
      </c>
      <c r="AX734" s="2" t="s">
        <v>52</v>
      </c>
      <c r="AY734" s="2" t="s">
        <v>52</v>
      </c>
    </row>
    <row r="735" spans="1:51" ht="30" customHeight="1" x14ac:dyDescent="0.3">
      <c r="A735" s="9" t="s">
        <v>874</v>
      </c>
      <c r="B735" s="9" t="s">
        <v>891</v>
      </c>
      <c r="C735" s="9" t="s">
        <v>307</v>
      </c>
      <c r="D735" s="10">
        <v>1</v>
      </c>
      <c r="E735" s="15">
        <f>TRUNC(SUMIF(V733:V735, RIGHTB(O735, 1), H733:H735)*U735, 2)</f>
        <v>0</v>
      </c>
      <c r="F735" s="16">
        <f>TRUNC(E735*D735,1)</f>
        <v>0</v>
      </c>
      <c r="G735" s="15">
        <v>0</v>
      </c>
      <c r="H735" s="16">
        <f>TRUNC(G735*D735,1)</f>
        <v>0</v>
      </c>
      <c r="I735" s="15">
        <v>0</v>
      </c>
      <c r="J735" s="16">
        <f>TRUNC(I735*D735,1)</f>
        <v>0</v>
      </c>
      <c r="K735" s="15">
        <f t="shared" si="157"/>
        <v>0</v>
      </c>
      <c r="L735" s="16">
        <f t="shared" si="157"/>
        <v>0</v>
      </c>
      <c r="M735" s="9" t="s">
        <v>52</v>
      </c>
      <c r="N735" s="2" t="s">
        <v>599</v>
      </c>
      <c r="O735" s="2" t="s">
        <v>809</v>
      </c>
      <c r="P735" s="2" t="s">
        <v>61</v>
      </c>
      <c r="Q735" s="2" t="s">
        <v>61</v>
      </c>
      <c r="R735" s="2" t="s">
        <v>61</v>
      </c>
      <c r="S735" s="3">
        <v>1</v>
      </c>
      <c r="T735" s="3">
        <v>0</v>
      </c>
      <c r="U735" s="3">
        <v>0.02</v>
      </c>
      <c r="V735" s="3">
        <v>1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2" t="s">
        <v>52</v>
      </c>
      <c r="AW735" s="2" t="s">
        <v>1881</v>
      </c>
      <c r="AX735" s="2" t="s">
        <v>52</v>
      </c>
      <c r="AY735" s="2" t="s">
        <v>52</v>
      </c>
    </row>
    <row r="736" spans="1:51" ht="30" customHeight="1" x14ac:dyDescent="0.3">
      <c r="A736" s="9" t="s">
        <v>811</v>
      </c>
      <c r="B736" s="9" t="s">
        <v>52</v>
      </c>
      <c r="C736" s="9" t="s">
        <v>52</v>
      </c>
      <c r="D736" s="10"/>
      <c r="E736" s="15"/>
      <c r="F736" s="16">
        <f>TRUNC(SUMIF(N733:N735, N732, F733:F735),0)</f>
        <v>0</v>
      </c>
      <c r="G736" s="15"/>
      <c r="H736" s="16">
        <f>TRUNC(SUMIF(N733:N735, N732, H733:H735),0)</f>
        <v>0</v>
      </c>
      <c r="I736" s="15"/>
      <c r="J736" s="16">
        <f>TRUNC(SUMIF(N733:N735, N732, J733:J735),0)</f>
        <v>0</v>
      </c>
      <c r="K736" s="15"/>
      <c r="L736" s="16">
        <f>F736+H736+J736</f>
        <v>0</v>
      </c>
      <c r="M736" s="9" t="s">
        <v>52</v>
      </c>
      <c r="N736" s="2" t="s">
        <v>94</v>
      </c>
      <c r="O736" s="2" t="s">
        <v>94</v>
      </c>
      <c r="P736" s="2" t="s">
        <v>52</v>
      </c>
      <c r="Q736" s="2" t="s">
        <v>52</v>
      </c>
      <c r="R736" s="2" t="s">
        <v>52</v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2" t="s">
        <v>52</v>
      </c>
      <c r="AW736" s="2" t="s">
        <v>52</v>
      </c>
      <c r="AX736" s="2" t="s">
        <v>52</v>
      </c>
      <c r="AY736" s="2" t="s">
        <v>52</v>
      </c>
    </row>
    <row r="737" spans="1:51" ht="30" customHeight="1" x14ac:dyDescent="0.3">
      <c r="A737" s="10"/>
      <c r="B737" s="10"/>
      <c r="C737" s="10"/>
      <c r="D737" s="10"/>
      <c r="E737" s="15"/>
      <c r="F737" s="16"/>
      <c r="G737" s="15"/>
      <c r="H737" s="16"/>
      <c r="I737" s="15"/>
      <c r="J737" s="16"/>
      <c r="K737" s="15"/>
      <c r="L737" s="16"/>
      <c r="M737" s="10"/>
    </row>
    <row r="738" spans="1:51" ht="30" customHeight="1" x14ac:dyDescent="0.3">
      <c r="A738" s="44" t="s">
        <v>1882</v>
      </c>
      <c r="B738" s="44"/>
      <c r="C738" s="44"/>
      <c r="D738" s="44"/>
      <c r="E738" s="45"/>
      <c r="F738" s="46"/>
      <c r="G738" s="45"/>
      <c r="H738" s="46"/>
      <c r="I738" s="45"/>
      <c r="J738" s="46"/>
      <c r="K738" s="45"/>
      <c r="L738" s="46"/>
      <c r="M738" s="44"/>
      <c r="N738" s="1" t="s">
        <v>602</v>
      </c>
    </row>
    <row r="739" spans="1:51" ht="30" customHeight="1" x14ac:dyDescent="0.3">
      <c r="A739" s="9" t="s">
        <v>1872</v>
      </c>
      <c r="B739" s="9" t="s">
        <v>822</v>
      </c>
      <c r="C739" s="9" t="s">
        <v>823</v>
      </c>
      <c r="D739" s="10">
        <v>0.20799999999999999</v>
      </c>
      <c r="E739" s="15">
        <f>'단가대비표(총체)'!O185</f>
        <v>0</v>
      </c>
      <c r="F739" s="16">
        <f>TRUNC(E739*D739,1)</f>
        <v>0</v>
      </c>
      <c r="G739" s="15">
        <f>'단가대비표(총체)'!P185</f>
        <v>0</v>
      </c>
      <c r="H739" s="16">
        <f>TRUNC(G739*D739,1)</f>
        <v>0</v>
      </c>
      <c r="I739" s="15">
        <f>'단가대비표(총체)'!V185</f>
        <v>0</v>
      </c>
      <c r="J739" s="16">
        <f>TRUNC(I739*D739,1)</f>
        <v>0</v>
      </c>
      <c r="K739" s="15">
        <f t="shared" ref="K739:L741" si="158">TRUNC(E739+G739+I739,1)</f>
        <v>0</v>
      </c>
      <c r="L739" s="16">
        <f t="shared" si="158"/>
        <v>0</v>
      </c>
      <c r="M739" s="9" t="s">
        <v>52</v>
      </c>
      <c r="N739" s="2" t="s">
        <v>602</v>
      </c>
      <c r="O739" s="2" t="s">
        <v>1873</v>
      </c>
      <c r="P739" s="2" t="s">
        <v>61</v>
      </c>
      <c r="Q739" s="2" t="s">
        <v>61</v>
      </c>
      <c r="R739" s="2" t="s">
        <v>60</v>
      </c>
      <c r="S739" s="3"/>
      <c r="T739" s="3"/>
      <c r="U739" s="3"/>
      <c r="V739" s="3">
        <v>1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2" t="s">
        <v>52</v>
      </c>
      <c r="AW739" s="2" t="s">
        <v>1884</v>
      </c>
      <c r="AX739" s="2" t="s">
        <v>52</v>
      </c>
      <c r="AY739" s="2" t="s">
        <v>52</v>
      </c>
    </row>
    <row r="740" spans="1:51" ht="30" customHeight="1" x14ac:dyDescent="0.3">
      <c r="A740" s="9" t="s">
        <v>821</v>
      </c>
      <c r="B740" s="9" t="s">
        <v>822</v>
      </c>
      <c r="C740" s="9" t="s">
        <v>823</v>
      </c>
      <c r="D740" s="10">
        <v>0.20799999999999999</v>
      </c>
      <c r="E740" s="15">
        <f>'단가대비표(총체)'!O180</f>
        <v>0</v>
      </c>
      <c r="F740" s="16">
        <f>TRUNC(E740*D740,1)</f>
        <v>0</v>
      </c>
      <c r="G740" s="15">
        <f>'단가대비표(총체)'!P180</f>
        <v>0</v>
      </c>
      <c r="H740" s="16">
        <f>TRUNC(G740*D740,1)</f>
        <v>0</v>
      </c>
      <c r="I740" s="15">
        <f>'단가대비표(총체)'!V180</f>
        <v>0</v>
      </c>
      <c r="J740" s="16">
        <f>TRUNC(I740*D740,1)</f>
        <v>0</v>
      </c>
      <c r="K740" s="15">
        <f t="shared" si="158"/>
        <v>0</v>
      </c>
      <c r="L740" s="16">
        <f t="shared" si="158"/>
        <v>0</v>
      </c>
      <c r="M740" s="9" t="s">
        <v>52</v>
      </c>
      <c r="N740" s="2" t="s">
        <v>602</v>
      </c>
      <c r="O740" s="2" t="s">
        <v>824</v>
      </c>
      <c r="P740" s="2" t="s">
        <v>61</v>
      </c>
      <c r="Q740" s="2" t="s">
        <v>61</v>
      </c>
      <c r="R740" s="2" t="s">
        <v>60</v>
      </c>
      <c r="S740" s="3"/>
      <c r="T740" s="3"/>
      <c r="U740" s="3"/>
      <c r="V740" s="3">
        <v>1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2" t="s">
        <v>52</v>
      </c>
      <c r="AW740" s="2" t="s">
        <v>1885</v>
      </c>
      <c r="AX740" s="2" t="s">
        <v>52</v>
      </c>
      <c r="AY740" s="2" t="s">
        <v>52</v>
      </c>
    </row>
    <row r="741" spans="1:51" ht="30" customHeight="1" x14ac:dyDescent="0.3">
      <c r="A741" s="9" t="s">
        <v>874</v>
      </c>
      <c r="B741" s="9" t="s">
        <v>891</v>
      </c>
      <c r="C741" s="9" t="s">
        <v>307</v>
      </c>
      <c r="D741" s="10">
        <v>1</v>
      </c>
      <c r="E741" s="15">
        <f>TRUNC(SUMIF(V739:V741, RIGHTB(O741, 1), H739:H741)*U741, 2)</f>
        <v>0</v>
      </c>
      <c r="F741" s="16">
        <f>TRUNC(E741*D741,1)</f>
        <v>0</v>
      </c>
      <c r="G741" s="15">
        <v>0</v>
      </c>
      <c r="H741" s="16">
        <f>TRUNC(G741*D741,1)</f>
        <v>0</v>
      </c>
      <c r="I741" s="15">
        <v>0</v>
      </c>
      <c r="J741" s="16">
        <f>TRUNC(I741*D741,1)</f>
        <v>0</v>
      </c>
      <c r="K741" s="15">
        <f t="shared" si="158"/>
        <v>0</v>
      </c>
      <c r="L741" s="16">
        <f t="shared" si="158"/>
        <v>0</v>
      </c>
      <c r="M741" s="9" t="s">
        <v>52</v>
      </c>
      <c r="N741" s="2" t="s">
        <v>602</v>
      </c>
      <c r="O741" s="2" t="s">
        <v>809</v>
      </c>
      <c r="P741" s="2" t="s">
        <v>61</v>
      </c>
      <c r="Q741" s="2" t="s">
        <v>61</v>
      </c>
      <c r="R741" s="2" t="s">
        <v>61</v>
      </c>
      <c r="S741" s="3">
        <v>1</v>
      </c>
      <c r="T741" s="3">
        <v>0</v>
      </c>
      <c r="U741" s="3">
        <v>0.02</v>
      </c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2" t="s">
        <v>52</v>
      </c>
      <c r="AW741" s="2" t="s">
        <v>1886</v>
      </c>
      <c r="AX741" s="2" t="s">
        <v>52</v>
      </c>
      <c r="AY741" s="2" t="s">
        <v>52</v>
      </c>
    </row>
    <row r="742" spans="1:51" ht="30" customHeight="1" x14ac:dyDescent="0.3">
      <c r="A742" s="9" t="s">
        <v>811</v>
      </c>
      <c r="B742" s="9" t="s">
        <v>52</v>
      </c>
      <c r="C742" s="9" t="s">
        <v>52</v>
      </c>
      <c r="D742" s="10"/>
      <c r="E742" s="15"/>
      <c r="F742" s="16">
        <f>TRUNC(SUMIF(N739:N741, N738, F739:F741),0)</f>
        <v>0</v>
      </c>
      <c r="G742" s="15"/>
      <c r="H742" s="16">
        <f>TRUNC(SUMIF(N739:N741, N738, H739:H741),0)</f>
        <v>0</v>
      </c>
      <c r="I742" s="15"/>
      <c r="J742" s="16">
        <f>TRUNC(SUMIF(N739:N741, N738, J739:J741),0)</f>
        <v>0</v>
      </c>
      <c r="K742" s="15"/>
      <c r="L742" s="16">
        <f>F742+H742+J742</f>
        <v>0</v>
      </c>
      <c r="M742" s="9" t="s">
        <v>52</v>
      </c>
      <c r="N742" s="2" t="s">
        <v>94</v>
      </c>
      <c r="O742" s="2" t="s">
        <v>94</v>
      </c>
      <c r="P742" s="2" t="s">
        <v>52</v>
      </c>
      <c r="Q742" s="2" t="s">
        <v>52</v>
      </c>
      <c r="R742" s="2" t="s">
        <v>52</v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2" t="s">
        <v>52</v>
      </c>
      <c r="AW742" s="2" t="s">
        <v>52</v>
      </c>
      <c r="AX742" s="2" t="s">
        <v>52</v>
      </c>
      <c r="AY742" s="2" t="s">
        <v>52</v>
      </c>
    </row>
    <row r="743" spans="1:51" ht="30" customHeight="1" x14ac:dyDescent="0.3">
      <c r="A743" s="10"/>
      <c r="B743" s="10"/>
      <c r="C743" s="10"/>
      <c r="D743" s="10"/>
      <c r="E743" s="15"/>
      <c r="F743" s="16"/>
      <c r="G743" s="15"/>
      <c r="H743" s="16"/>
      <c r="I743" s="15"/>
      <c r="J743" s="16"/>
      <c r="K743" s="15"/>
      <c r="L743" s="16"/>
      <c r="M743" s="10"/>
    </row>
    <row r="744" spans="1:51" ht="30" customHeight="1" x14ac:dyDescent="0.3">
      <c r="A744" s="44" t="s">
        <v>1887</v>
      </c>
      <c r="B744" s="44"/>
      <c r="C744" s="44"/>
      <c r="D744" s="44"/>
      <c r="E744" s="45"/>
      <c r="F744" s="46"/>
      <c r="G744" s="45"/>
      <c r="H744" s="46"/>
      <c r="I744" s="45"/>
      <c r="J744" s="46"/>
      <c r="K744" s="45"/>
      <c r="L744" s="46"/>
      <c r="M744" s="44"/>
      <c r="N744" s="1" t="s">
        <v>606</v>
      </c>
    </row>
    <row r="745" spans="1:51" ht="30" customHeight="1" x14ac:dyDescent="0.3">
      <c r="A745" s="9" t="s">
        <v>1889</v>
      </c>
      <c r="B745" s="9" t="s">
        <v>605</v>
      </c>
      <c r="C745" s="9" t="s">
        <v>73</v>
      </c>
      <c r="D745" s="10">
        <v>1</v>
      </c>
      <c r="E745" s="15">
        <f>'단가대비표(총체)'!O131</f>
        <v>0</v>
      </c>
      <c r="F745" s="16">
        <f>TRUNC(E745*D745,1)</f>
        <v>0</v>
      </c>
      <c r="G745" s="15">
        <f>'단가대비표(총체)'!P131</f>
        <v>0</v>
      </c>
      <c r="H745" s="16">
        <f>TRUNC(G745*D745,1)</f>
        <v>0</v>
      </c>
      <c r="I745" s="15">
        <f>'단가대비표(총체)'!V131</f>
        <v>0</v>
      </c>
      <c r="J745" s="16">
        <f>TRUNC(I745*D745,1)</f>
        <v>0</v>
      </c>
      <c r="K745" s="15">
        <f t="shared" ref="K745:L747" si="159">TRUNC(E745+G745+I745,1)</f>
        <v>0</v>
      </c>
      <c r="L745" s="16">
        <f t="shared" si="159"/>
        <v>0</v>
      </c>
      <c r="M745" s="9" t="s">
        <v>52</v>
      </c>
      <c r="N745" s="2" t="s">
        <v>606</v>
      </c>
      <c r="O745" s="2" t="s">
        <v>1890</v>
      </c>
      <c r="P745" s="2" t="s">
        <v>61</v>
      </c>
      <c r="Q745" s="2" t="s">
        <v>61</v>
      </c>
      <c r="R745" s="2" t="s">
        <v>60</v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2" t="s">
        <v>52</v>
      </c>
      <c r="AW745" s="2" t="s">
        <v>1891</v>
      </c>
      <c r="AX745" s="2" t="s">
        <v>52</v>
      </c>
      <c r="AY745" s="2" t="s">
        <v>52</v>
      </c>
    </row>
    <row r="746" spans="1:51" ht="30" customHeight="1" x14ac:dyDescent="0.3">
      <c r="A746" s="9" t="s">
        <v>1714</v>
      </c>
      <c r="B746" s="9" t="s">
        <v>822</v>
      </c>
      <c r="C746" s="9" t="s">
        <v>823</v>
      </c>
      <c r="D746" s="10">
        <v>0.111</v>
      </c>
      <c r="E746" s="15">
        <f>'단가대비표(총체)'!O209</f>
        <v>0</v>
      </c>
      <c r="F746" s="16">
        <f>TRUNC(E746*D746,1)</f>
        <v>0</v>
      </c>
      <c r="G746" s="15">
        <f>'단가대비표(총체)'!P209</f>
        <v>0</v>
      </c>
      <c r="H746" s="16">
        <f>TRUNC(G746*D746,1)</f>
        <v>0</v>
      </c>
      <c r="I746" s="15">
        <f>'단가대비표(총체)'!V209</f>
        <v>0</v>
      </c>
      <c r="J746" s="16">
        <f>TRUNC(I746*D746,1)</f>
        <v>0</v>
      </c>
      <c r="K746" s="15">
        <f t="shared" si="159"/>
        <v>0</v>
      </c>
      <c r="L746" s="16">
        <f t="shared" si="159"/>
        <v>0</v>
      </c>
      <c r="M746" s="9" t="s">
        <v>52</v>
      </c>
      <c r="N746" s="2" t="s">
        <v>606</v>
      </c>
      <c r="O746" s="2" t="s">
        <v>1715</v>
      </c>
      <c r="P746" s="2" t="s">
        <v>61</v>
      </c>
      <c r="Q746" s="2" t="s">
        <v>61</v>
      </c>
      <c r="R746" s="2" t="s">
        <v>60</v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2" t="s">
        <v>52</v>
      </c>
      <c r="AW746" s="2" t="s">
        <v>1892</v>
      </c>
      <c r="AX746" s="2" t="s">
        <v>52</v>
      </c>
      <c r="AY746" s="2" t="s">
        <v>52</v>
      </c>
    </row>
    <row r="747" spans="1:51" ht="30" customHeight="1" x14ac:dyDescent="0.3">
      <c r="A747" s="9" t="s">
        <v>821</v>
      </c>
      <c r="B747" s="9" t="s">
        <v>822</v>
      </c>
      <c r="C747" s="9" t="s">
        <v>823</v>
      </c>
      <c r="D747" s="10">
        <v>5.6000000000000001E-2</v>
      </c>
      <c r="E747" s="15">
        <f>'단가대비표(총체)'!O180</f>
        <v>0</v>
      </c>
      <c r="F747" s="16">
        <f>TRUNC(E747*D747,1)</f>
        <v>0</v>
      </c>
      <c r="G747" s="15">
        <f>'단가대비표(총체)'!P180</f>
        <v>0</v>
      </c>
      <c r="H747" s="16">
        <f>TRUNC(G747*D747,1)</f>
        <v>0</v>
      </c>
      <c r="I747" s="15">
        <f>'단가대비표(총체)'!V180</f>
        <v>0</v>
      </c>
      <c r="J747" s="16">
        <f>TRUNC(I747*D747,1)</f>
        <v>0</v>
      </c>
      <c r="K747" s="15">
        <f t="shared" si="159"/>
        <v>0</v>
      </c>
      <c r="L747" s="16">
        <f t="shared" si="159"/>
        <v>0</v>
      </c>
      <c r="M747" s="9" t="s">
        <v>52</v>
      </c>
      <c r="N747" s="2" t="s">
        <v>606</v>
      </c>
      <c r="O747" s="2" t="s">
        <v>824</v>
      </c>
      <c r="P747" s="2" t="s">
        <v>61</v>
      </c>
      <c r="Q747" s="2" t="s">
        <v>61</v>
      </c>
      <c r="R747" s="2" t="s">
        <v>60</v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2" t="s">
        <v>52</v>
      </c>
      <c r="AW747" s="2" t="s">
        <v>1893</v>
      </c>
      <c r="AX747" s="2" t="s">
        <v>52</v>
      </c>
      <c r="AY747" s="2" t="s">
        <v>52</v>
      </c>
    </row>
    <row r="748" spans="1:51" ht="30" customHeight="1" x14ac:dyDescent="0.3">
      <c r="A748" s="9" t="s">
        <v>811</v>
      </c>
      <c r="B748" s="9" t="s">
        <v>52</v>
      </c>
      <c r="C748" s="9" t="s">
        <v>52</v>
      </c>
      <c r="D748" s="10"/>
      <c r="E748" s="15"/>
      <c r="F748" s="16">
        <f>TRUNC(SUMIF(N745:N747, N744, F745:F747),0)</f>
        <v>0</v>
      </c>
      <c r="G748" s="15"/>
      <c r="H748" s="16">
        <f>TRUNC(SUMIF(N745:N747, N744, H745:H747),0)</f>
        <v>0</v>
      </c>
      <c r="I748" s="15"/>
      <c r="J748" s="16">
        <f>TRUNC(SUMIF(N745:N747, N744, J745:J747),0)</f>
        <v>0</v>
      </c>
      <c r="K748" s="15"/>
      <c r="L748" s="16">
        <f>F748+H748+J748</f>
        <v>0</v>
      </c>
      <c r="M748" s="9" t="s">
        <v>52</v>
      </c>
      <c r="N748" s="2" t="s">
        <v>94</v>
      </c>
      <c r="O748" s="2" t="s">
        <v>94</v>
      </c>
      <c r="P748" s="2" t="s">
        <v>52</v>
      </c>
      <c r="Q748" s="2" t="s">
        <v>52</v>
      </c>
      <c r="R748" s="2" t="s">
        <v>52</v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2" t="s">
        <v>52</v>
      </c>
      <c r="AW748" s="2" t="s">
        <v>52</v>
      </c>
      <c r="AX748" s="2" t="s">
        <v>52</v>
      </c>
      <c r="AY748" s="2" t="s">
        <v>52</v>
      </c>
    </row>
    <row r="749" spans="1:51" ht="30" customHeight="1" x14ac:dyDescent="0.3">
      <c r="A749" s="10"/>
      <c r="B749" s="10"/>
      <c r="C749" s="10"/>
      <c r="D749" s="10"/>
      <c r="E749" s="15"/>
      <c r="F749" s="16"/>
      <c r="G749" s="15"/>
      <c r="H749" s="16"/>
      <c r="I749" s="15"/>
      <c r="J749" s="16"/>
      <c r="K749" s="15"/>
      <c r="L749" s="16"/>
      <c r="M749" s="10"/>
    </row>
    <row r="750" spans="1:51" ht="30" customHeight="1" x14ac:dyDescent="0.3">
      <c r="A750" s="44" t="s">
        <v>1894</v>
      </c>
      <c r="B750" s="44"/>
      <c r="C750" s="44"/>
      <c r="D750" s="44"/>
      <c r="E750" s="45"/>
      <c r="F750" s="46"/>
      <c r="G750" s="45"/>
      <c r="H750" s="46"/>
      <c r="I750" s="45"/>
      <c r="J750" s="46"/>
      <c r="K750" s="45"/>
      <c r="L750" s="46"/>
      <c r="M750" s="44"/>
      <c r="N750" s="1" t="s">
        <v>610</v>
      </c>
    </row>
    <row r="751" spans="1:51" ht="30" customHeight="1" x14ac:dyDescent="0.3">
      <c r="A751" s="9" t="s">
        <v>1896</v>
      </c>
      <c r="B751" s="9" t="s">
        <v>1897</v>
      </c>
      <c r="C751" s="9" t="s">
        <v>82</v>
      </c>
      <c r="D751" s="10">
        <v>1.05</v>
      </c>
      <c r="E751" s="15">
        <f>'단가대비표(총체)'!O145</f>
        <v>0</v>
      </c>
      <c r="F751" s="16">
        <f>TRUNC(E751*D751,1)</f>
        <v>0</v>
      </c>
      <c r="G751" s="15">
        <f>'단가대비표(총체)'!P145</f>
        <v>0</v>
      </c>
      <c r="H751" s="16">
        <f>TRUNC(G751*D751,1)</f>
        <v>0</v>
      </c>
      <c r="I751" s="15">
        <f>'단가대비표(총체)'!V145</f>
        <v>0</v>
      </c>
      <c r="J751" s="16">
        <f>TRUNC(I751*D751,1)</f>
        <v>0</v>
      </c>
      <c r="K751" s="15">
        <f t="shared" ref="K751:L754" si="160">TRUNC(E751+G751+I751,1)</f>
        <v>0</v>
      </c>
      <c r="L751" s="16">
        <f t="shared" si="160"/>
        <v>0</v>
      </c>
      <c r="M751" s="9" t="s">
        <v>52</v>
      </c>
      <c r="N751" s="2" t="s">
        <v>610</v>
      </c>
      <c r="O751" s="2" t="s">
        <v>1898</v>
      </c>
      <c r="P751" s="2" t="s">
        <v>61</v>
      </c>
      <c r="Q751" s="2" t="s">
        <v>61</v>
      </c>
      <c r="R751" s="2" t="s">
        <v>60</v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2" t="s">
        <v>52</v>
      </c>
      <c r="AW751" s="2" t="s">
        <v>1899</v>
      </c>
      <c r="AX751" s="2" t="s">
        <v>52</v>
      </c>
      <c r="AY751" s="2" t="s">
        <v>52</v>
      </c>
    </row>
    <row r="752" spans="1:51" ht="30" customHeight="1" x14ac:dyDescent="0.3">
      <c r="A752" s="9" t="s">
        <v>1689</v>
      </c>
      <c r="B752" s="9" t="s">
        <v>822</v>
      </c>
      <c r="C752" s="9" t="s">
        <v>823</v>
      </c>
      <c r="D752" s="10">
        <v>0.14699999999999999</v>
      </c>
      <c r="E752" s="15">
        <f>'단가대비표(총체)'!O203</f>
        <v>0</v>
      </c>
      <c r="F752" s="16">
        <f>TRUNC(E752*D752,1)</f>
        <v>0</v>
      </c>
      <c r="G752" s="15">
        <f>'단가대비표(총체)'!P203</f>
        <v>0</v>
      </c>
      <c r="H752" s="16">
        <f>TRUNC(G752*D752,1)</f>
        <v>0</v>
      </c>
      <c r="I752" s="15">
        <f>'단가대비표(총체)'!V203</f>
        <v>0</v>
      </c>
      <c r="J752" s="16">
        <f>TRUNC(I752*D752,1)</f>
        <v>0</v>
      </c>
      <c r="K752" s="15">
        <f t="shared" si="160"/>
        <v>0</v>
      </c>
      <c r="L752" s="16">
        <f t="shared" si="160"/>
        <v>0</v>
      </c>
      <c r="M752" s="9" t="s">
        <v>52</v>
      </c>
      <c r="N752" s="2" t="s">
        <v>610</v>
      </c>
      <c r="O752" s="2" t="s">
        <v>1690</v>
      </c>
      <c r="P752" s="2" t="s">
        <v>61</v>
      </c>
      <c r="Q752" s="2" t="s">
        <v>61</v>
      </c>
      <c r="R752" s="2" t="s">
        <v>60</v>
      </c>
      <c r="S752" s="3"/>
      <c r="T752" s="3"/>
      <c r="U752" s="3"/>
      <c r="V752" s="3">
        <v>1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2" t="s">
        <v>52</v>
      </c>
      <c r="AW752" s="2" t="s">
        <v>1900</v>
      </c>
      <c r="AX752" s="2" t="s">
        <v>52</v>
      </c>
      <c r="AY752" s="2" t="s">
        <v>52</v>
      </c>
    </row>
    <row r="753" spans="1:51" ht="30" customHeight="1" x14ac:dyDescent="0.3">
      <c r="A753" s="9" t="s">
        <v>821</v>
      </c>
      <c r="B753" s="9" t="s">
        <v>822</v>
      </c>
      <c r="C753" s="9" t="s">
        <v>823</v>
      </c>
      <c r="D753" s="10">
        <v>7.3999999999999996E-2</v>
      </c>
      <c r="E753" s="15">
        <f>'단가대비표(총체)'!O180</f>
        <v>0</v>
      </c>
      <c r="F753" s="16">
        <f>TRUNC(E753*D753,1)</f>
        <v>0</v>
      </c>
      <c r="G753" s="15">
        <f>'단가대비표(총체)'!P180</f>
        <v>0</v>
      </c>
      <c r="H753" s="16">
        <f>TRUNC(G753*D753,1)</f>
        <v>0</v>
      </c>
      <c r="I753" s="15">
        <f>'단가대비표(총체)'!V180</f>
        <v>0</v>
      </c>
      <c r="J753" s="16">
        <f>TRUNC(I753*D753,1)</f>
        <v>0</v>
      </c>
      <c r="K753" s="15">
        <f t="shared" si="160"/>
        <v>0</v>
      </c>
      <c r="L753" s="16">
        <f t="shared" si="160"/>
        <v>0</v>
      </c>
      <c r="M753" s="9" t="s">
        <v>52</v>
      </c>
      <c r="N753" s="2" t="s">
        <v>610</v>
      </c>
      <c r="O753" s="2" t="s">
        <v>824</v>
      </c>
      <c r="P753" s="2" t="s">
        <v>61</v>
      </c>
      <c r="Q753" s="2" t="s">
        <v>61</v>
      </c>
      <c r="R753" s="2" t="s">
        <v>60</v>
      </c>
      <c r="S753" s="3"/>
      <c r="T753" s="3"/>
      <c r="U753" s="3"/>
      <c r="V753" s="3">
        <v>1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2" t="s">
        <v>52</v>
      </c>
      <c r="AW753" s="2" t="s">
        <v>1901</v>
      </c>
      <c r="AX753" s="2" t="s">
        <v>52</v>
      </c>
      <c r="AY753" s="2" t="s">
        <v>52</v>
      </c>
    </row>
    <row r="754" spans="1:51" ht="30" customHeight="1" x14ac:dyDescent="0.3">
      <c r="A754" s="9" t="s">
        <v>874</v>
      </c>
      <c r="B754" s="9" t="s">
        <v>891</v>
      </c>
      <c r="C754" s="9" t="s">
        <v>307</v>
      </c>
      <c r="D754" s="10">
        <v>1</v>
      </c>
      <c r="E754" s="15">
        <f>TRUNC(SUMIF(V751:V754, RIGHTB(O754, 1), H751:H754)*U754, 2)</f>
        <v>0</v>
      </c>
      <c r="F754" s="16">
        <f>TRUNC(E754*D754,1)</f>
        <v>0</v>
      </c>
      <c r="G754" s="15">
        <v>0</v>
      </c>
      <c r="H754" s="16">
        <f>TRUNC(G754*D754,1)</f>
        <v>0</v>
      </c>
      <c r="I754" s="15">
        <v>0</v>
      </c>
      <c r="J754" s="16">
        <f>TRUNC(I754*D754,1)</f>
        <v>0</v>
      </c>
      <c r="K754" s="15">
        <f t="shared" si="160"/>
        <v>0</v>
      </c>
      <c r="L754" s="16">
        <f t="shared" si="160"/>
        <v>0</v>
      </c>
      <c r="M754" s="9" t="s">
        <v>52</v>
      </c>
      <c r="N754" s="2" t="s">
        <v>610</v>
      </c>
      <c r="O754" s="2" t="s">
        <v>809</v>
      </c>
      <c r="P754" s="2" t="s">
        <v>61</v>
      </c>
      <c r="Q754" s="2" t="s">
        <v>61</v>
      </c>
      <c r="R754" s="2" t="s">
        <v>61</v>
      </c>
      <c r="S754" s="3">
        <v>1</v>
      </c>
      <c r="T754" s="3">
        <v>0</v>
      </c>
      <c r="U754" s="3">
        <v>0.02</v>
      </c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2" t="s">
        <v>52</v>
      </c>
      <c r="AW754" s="2" t="s">
        <v>1902</v>
      </c>
      <c r="AX754" s="2" t="s">
        <v>52</v>
      </c>
      <c r="AY754" s="2" t="s">
        <v>52</v>
      </c>
    </row>
    <row r="755" spans="1:51" ht="30" customHeight="1" x14ac:dyDescent="0.3">
      <c r="A755" s="9" t="s">
        <v>811</v>
      </c>
      <c r="B755" s="9" t="s">
        <v>52</v>
      </c>
      <c r="C755" s="9" t="s">
        <v>52</v>
      </c>
      <c r="D755" s="10"/>
      <c r="E755" s="15"/>
      <c r="F755" s="16">
        <f>TRUNC(SUMIF(N751:N754, N750, F751:F754),0)</f>
        <v>0</v>
      </c>
      <c r="G755" s="15"/>
      <c r="H755" s="16">
        <f>TRUNC(SUMIF(N751:N754, N750, H751:H754),0)</f>
        <v>0</v>
      </c>
      <c r="I755" s="15"/>
      <c r="J755" s="16">
        <f>TRUNC(SUMIF(N751:N754, N750, J751:J754),0)</f>
        <v>0</v>
      </c>
      <c r="K755" s="15"/>
      <c r="L755" s="16">
        <f>F755+H755+J755</f>
        <v>0</v>
      </c>
      <c r="M755" s="9" t="s">
        <v>52</v>
      </c>
      <c r="N755" s="2" t="s">
        <v>94</v>
      </c>
      <c r="O755" s="2" t="s">
        <v>94</v>
      </c>
      <c r="P755" s="2" t="s">
        <v>52</v>
      </c>
      <c r="Q755" s="2" t="s">
        <v>52</v>
      </c>
      <c r="R755" s="2" t="s">
        <v>52</v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2" t="s">
        <v>52</v>
      </c>
      <c r="AW755" s="2" t="s">
        <v>52</v>
      </c>
      <c r="AX755" s="2" t="s">
        <v>52</v>
      </c>
      <c r="AY755" s="2" t="s">
        <v>52</v>
      </c>
    </row>
    <row r="756" spans="1:51" ht="30" customHeight="1" x14ac:dyDescent="0.3">
      <c r="A756" s="10"/>
      <c r="B756" s="10"/>
      <c r="C756" s="10"/>
      <c r="D756" s="10"/>
      <c r="E756" s="15"/>
      <c r="F756" s="16"/>
      <c r="G756" s="15"/>
      <c r="H756" s="16"/>
      <c r="I756" s="15"/>
      <c r="J756" s="16"/>
      <c r="K756" s="15"/>
      <c r="L756" s="16"/>
      <c r="M756" s="10"/>
    </row>
    <row r="757" spans="1:51" ht="30" customHeight="1" x14ac:dyDescent="0.3">
      <c r="A757" s="44" t="s">
        <v>1903</v>
      </c>
      <c r="B757" s="44"/>
      <c r="C757" s="44"/>
      <c r="D757" s="44"/>
      <c r="E757" s="45"/>
      <c r="F757" s="46"/>
      <c r="G757" s="45"/>
      <c r="H757" s="46"/>
      <c r="I757" s="45"/>
      <c r="J757" s="46"/>
      <c r="K757" s="45"/>
      <c r="L757" s="46"/>
      <c r="M757" s="44"/>
      <c r="N757" s="1" t="s">
        <v>613</v>
      </c>
    </row>
    <row r="758" spans="1:51" ht="30" customHeight="1" x14ac:dyDescent="0.3">
      <c r="A758" s="9" t="s">
        <v>1905</v>
      </c>
      <c r="B758" s="9" t="s">
        <v>1906</v>
      </c>
      <c r="C758" s="9" t="s">
        <v>82</v>
      </c>
      <c r="D758" s="10">
        <v>1.05</v>
      </c>
      <c r="E758" s="15">
        <f>'단가대비표(총체)'!O140</f>
        <v>0</v>
      </c>
      <c r="F758" s="16">
        <f>TRUNC(E758*D758,1)</f>
        <v>0</v>
      </c>
      <c r="G758" s="15">
        <f>'단가대비표(총체)'!P140</f>
        <v>0</v>
      </c>
      <c r="H758" s="16">
        <f>TRUNC(G758*D758,1)</f>
        <v>0</v>
      </c>
      <c r="I758" s="15">
        <f>'단가대비표(총체)'!V140</f>
        <v>0</v>
      </c>
      <c r="J758" s="16">
        <f>TRUNC(I758*D758,1)</f>
        <v>0</v>
      </c>
      <c r="K758" s="15">
        <f>TRUNC(E758+G758+I758,1)</f>
        <v>0</v>
      </c>
      <c r="L758" s="16">
        <f>TRUNC(F758+H758+J758,1)</f>
        <v>0</v>
      </c>
      <c r="M758" s="9" t="s">
        <v>52</v>
      </c>
      <c r="N758" s="2" t="s">
        <v>613</v>
      </c>
      <c r="O758" s="2" t="s">
        <v>1907</v>
      </c>
      <c r="P758" s="2" t="s">
        <v>61</v>
      </c>
      <c r="Q758" s="2" t="s">
        <v>61</v>
      </c>
      <c r="R758" s="2" t="s">
        <v>60</v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2" t="s">
        <v>52</v>
      </c>
      <c r="AW758" s="2" t="s">
        <v>1908</v>
      </c>
      <c r="AX758" s="2" t="s">
        <v>52</v>
      </c>
      <c r="AY758" s="2" t="s">
        <v>52</v>
      </c>
    </row>
    <row r="759" spans="1:51" ht="30" customHeight="1" x14ac:dyDescent="0.3">
      <c r="A759" s="9" t="s">
        <v>1909</v>
      </c>
      <c r="B759" s="9" t="s">
        <v>822</v>
      </c>
      <c r="C759" s="9" t="s">
        <v>823</v>
      </c>
      <c r="D759" s="10">
        <v>0.05</v>
      </c>
      <c r="E759" s="15">
        <f>'단가대비표(총체)'!O206</f>
        <v>0</v>
      </c>
      <c r="F759" s="16">
        <f>TRUNC(E759*D759,1)</f>
        <v>0</v>
      </c>
      <c r="G759" s="15">
        <f>'단가대비표(총체)'!P206</f>
        <v>0</v>
      </c>
      <c r="H759" s="16">
        <f>TRUNC(G759*D759,1)</f>
        <v>0</v>
      </c>
      <c r="I759" s="15">
        <f>'단가대비표(총체)'!V206</f>
        <v>0</v>
      </c>
      <c r="J759" s="16">
        <f>TRUNC(I759*D759,1)</f>
        <v>0</v>
      </c>
      <c r="K759" s="15">
        <f>TRUNC(E759+G759+I759,1)</f>
        <v>0</v>
      </c>
      <c r="L759" s="16">
        <f>TRUNC(F759+H759+J759,1)</f>
        <v>0</v>
      </c>
      <c r="M759" s="9" t="s">
        <v>52</v>
      </c>
      <c r="N759" s="2" t="s">
        <v>613</v>
      </c>
      <c r="O759" s="2" t="s">
        <v>1910</v>
      </c>
      <c r="P759" s="2" t="s">
        <v>61</v>
      </c>
      <c r="Q759" s="2" t="s">
        <v>61</v>
      </c>
      <c r="R759" s="2" t="s">
        <v>60</v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2" t="s">
        <v>52</v>
      </c>
      <c r="AW759" s="2" t="s">
        <v>1911</v>
      </c>
      <c r="AX759" s="2" t="s">
        <v>52</v>
      </c>
      <c r="AY759" s="2" t="s">
        <v>52</v>
      </c>
    </row>
    <row r="760" spans="1:51" ht="30" customHeight="1" x14ac:dyDescent="0.3">
      <c r="A760" s="9" t="s">
        <v>811</v>
      </c>
      <c r="B760" s="9" t="s">
        <v>52</v>
      </c>
      <c r="C760" s="9" t="s">
        <v>52</v>
      </c>
      <c r="D760" s="10"/>
      <c r="E760" s="15"/>
      <c r="F760" s="16">
        <f>TRUNC(SUMIF(N758:N759, N757, F758:F759),0)</f>
        <v>0</v>
      </c>
      <c r="G760" s="15"/>
      <c r="H760" s="16">
        <f>TRUNC(SUMIF(N758:N759, N757, H758:H759),0)</f>
        <v>0</v>
      </c>
      <c r="I760" s="15"/>
      <c r="J760" s="16">
        <f>TRUNC(SUMIF(N758:N759, N757, J758:J759),0)</f>
        <v>0</v>
      </c>
      <c r="K760" s="15"/>
      <c r="L760" s="16">
        <f>F760+H760+J760</f>
        <v>0</v>
      </c>
      <c r="M760" s="9" t="s">
        <v>52</v>
      </c>
      <c r="N760" s="2" t="s">
        <v>94</v>
      </c>
      <c r="O760" s="2" t="s">
        <v>94</v>
      </c>
      <c r="P760" s="2" t="s">
        <v>52</v>
      </c>
      <c r="Q760" s="2" t="s">
        <v>52</v>
      </c>
      <c r="R760" s="2" t="s">
        <v>52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2" t="s">
        <v>52</v>
      </c>
      <c r="AW760" s="2" t="s">
        <v>52</v>
      </c>
      <c r="AX760" s="2" t="s">
        <v>52</v>
      </c>
      <c r="AY760" s="2" t="s">
        <v>52</v>
      </c>
    </row>
    <row r="761" spans="1:51" ht="30" customHeight="1" x14ac:dyDescent="0.3">
      <c r="A761" s="10"/>
      <c r="B761" s="10"/>
      <c r="C761" s="10"/>
      <c r="D761" s="10"/>
      <c r="E761" s="15"/>
      <c r="F761" s="16"/>
      <c r="G761" s="15"/>
      <c r="H761" s="16"/>
      <c r="I761" s="15"/>
      <c r="J761" s="16"/>
      <c r="K761" s="15"/>
      <c r="L761" s="16"/>
      <c r="M761" s="10"/>
    </row>
    <row r="762" spans="1:51" ht="30" customHeight="1" x14ac:dyDescent="0.3">
      <c r="A762" s="44" t="s">
        <v>1912</v>
      </c>
      <c r="B762" s="44"/>
      <c r="C762" s="44"/>
      <c r="D762" s="44"/>
      <c r="E762" s="45"/>
      <c r="F762" s="46"/>
      <c r="G762" s="45"/>
      <c r="H762" s="46"/>
      <c r="I762" s="45"/>
      <c r="J762" s="46"/>
      <c r="K762" s="45"/>
      <c r="L762" s="46"/>
      <c r="M762" s="44"/>
      <c r="N762" s="1" t="s">
        <v>633</v>
      </c>
    </row>
    <row r="763" spans="1:51" ht="30" customHeight="1" x14ac:dyDescent="0.3">
      <c r="A763" s="9" t="s">
        <v>1914</v>
      </c>
      <c r="B763" s="9" t="s">
        <v>1915</v>
      </c>
      <c r="C763" s="9" t="s">
        <v>68</v>
      </c>
      <c r="D763" s="10">
        <v>1</v>
      </c>
      <c r="E763" s="15">
        <f>'단가대비표(총체)'!O41</f>
        <v>0</v>
      </c>
      <c r="F763" s="16">
        <f>TRUNC(E763*D763,1)</f>
        <v>0</v>
      </c>
      <c r="G763" s="15">
        <f>'단가대비표(총체)'!P41</f>
        <v>0</v>
      </c>
      <c r="H763" s="16">
        <f>TRUNC(G763*D763,1)</f>
        <v>0</v>
      </c>
      <c r="I763" s="15">
        <f>'단가대비표(총체)'!V41</f>
        <v>0</v>
      </c>
      <c r="J763" s="16">
        <f>TRUNC(I763*D763,1)</f>
        <v>0</v>
      </c>
      <c r="K763" s="15">
        <f t="shared" ref="K763:L767" si="161">TRUNC(E763+G763+I763,1)</f>
        <v>0</v>
      </c>
      <c r="L763" s="16">
        <f t="shared" si="161"/>
        <v>0</v>
      </c>
      <c r="M763" s="9" t="s">
        <v>52</v>
      </c>
      <c r="N763" s="2" t="s">
        <v>633</v>
      </c>
      <c r="O763" s="2" t="s">
        <v>1916</v>
      </c>
      <c r="P763" s="2" t="s">
        <v>61</v>
      </c>
      <c r="Q763" s="2" t="s">
        <v>61</v>
      </c>
      <c r="R763" s="2" t="s">
        <v>60</v>
      </c>
      <c r="S763" s="3"/>
      <c r="T763" s="3"/>
      <c r="U763" s="3"/>
      <c r="V763" s="3">
        <v>1</v>
      </c>
      <c r="W763" s="3">
        <v>2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2" t="s">
        <v>52</v>
      </c>
      <c r="AW763" s="2" t="s">
        <v>1917</v>
      </c>
      <c r="AX763" s="2" t="s">
        <v>52</v>
      </c>
      <c r="AY763" s="2" t="s">
        <v>52</v>
      </c>
    </row>
    <row r="764" spans="1:51" ht="30" customHeight="1" x14ac:dyDescent="0.3">
      <c r="A764" s="9" t="s">
        <v>983</v>
      </c>
      <c r="B764" s="9" t="s">
        <v>1918</v>
      </c>
      <c r="C764" s="9" t="s">
        <v>307</v>
      </c>
      <c r="D764" s="10">
        <v>1</v>
      </c>
      <c r="E764" s="15">
        <f>TRUNC(SUMIF(V763:V767, RIGHTB(O764, 1), F763:F767)*U764, 2)</f>
        <v>0</v>
      </c>
      <c r="F764" s="16">
        <f>TRUNC(E764*D764,1)</f>
        <v>0</v>
      </c>
      <c r="G764" s="15">
        <v>0</v>
      </c>
      <c r="H764" s="16">
        <f>TRUNC(G764*D764,1)</f>
        <v>0</v>
      </c>
      <c r="I764" s="15">
        <v>0</v>
      </c>
      <c r="J764" s="16">
        <f>TRUNC(I764*D764,1)</f>
        <v>0</v>
      </c>
      <c r="K764" s="15">
        <f t="shared" si="161"/>
        <v>0</v>
      </c>
      <c r="L764" s="16">
        <f t="shared" si="161"/>
        <v>0</v>
      </c>
      <c r="M764" s="9" t="s">
        <v>52</v>
      </c>
      <c r="N764" s="2" t="s">
        <v>633</v>
      </c>
      <c r="O764" s="2" t="s">
        <v>809</v>
      </c>
      <c r="P764" s="2" t="s">
        <v>61</v>
      </c>
      <c r="Q764" s="2" t="s">
        <v>61</v>
      </c>
      <c r="R764" s="2" t="s">
        <v>61</v>
      </c>
      <c r="S764" s="3">
        <v>0</v>
      </c>
      <c r="T764" s="3">
        <v>0</v>
      </c>
      <c r="U764" s="3">
        <v>0.05</v>
      </c>
      <c r="V764" s="3"/>
      <c r="W764" s="3">
        <v>2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2" t="s">
        <v>52</v>
      </c>
      <c r="AW764" s="2" t="s">
        <v>1919</v>
      </c>
      <c r="AX764" s="2" t="s">
        <v>52</v>
      </c>
      <c r="AY764" s="2" t="s">
        <v>52</v>
      </c>
    </row>
    <row r="765" spans="1:51" ht="30" customHeight="1" x14ac:dyDescent="0.3">
      <c r="A765" s="9" t="s">
        <v>1060</v>
      </c>
      <c r="B765" s="9" t="s">
        <v>822</v>
      </c>
      <c r="C765" s="9" t="s">
        <v>823</v>
      </c>
      <c r="D765" s="10">
        <v>0.124</v>
      </c>
      <c r="E765" s="15">
        <f>'단가대비표(총체)'!O195</f>
        <v>0</v>
      </c>
      <c r="F765" s="16">
        <f>TRUNC(E765*D765,1)</f>
        <v>0</v>
      </c>
      <c r="G765" s="15">
        <f>'단가대비표(총체)'!P195</f>
        <v>0</v>
      </c>
      <c r="H765" s="16">
        <f>TRUNC(G765*D765,1)</f>
        <v>0</v>
      </c>
      <c r="I765" s="15">
        <f>'단가대비표(총체)'!V195</f>
        <v>0</v>
      </c>
      <c r="J765" s="16">
        <f>TRUNC(I765*D765,1)</f>
        <v>0</v>
      </c>
      <c r="K765" s="15">
        <f t="shared" si="161"/>
        <v>0</v>
      </c>
      <c r="L765" s="16">
        <f t="shared" si="161"/>
        <v>0</v>
      </c>
      <c r="M765" s="9" t="s">
        <v>52</v>
      </c>
      <c r="N765" s="2" t="s">
        <v>633</v>
      </c>
      <c r="O765" s="2" t="s">
        <v>1061</v>
      </c>
      <c r="P765" s="2" t="s">
        <v>61</v>
      </c>
      <c r="Q765" s="2" t="s">
        <v>61</v>
      </c>
      <c r="R765" s="2" t="s">
        <v>60</v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2" t="s">
        <v>52</v>
      </c>
      <c r="AW765" s="2" t="s">
        <v>1920</v>
      </c>
      <c r="AX765" s="2" t="s">
        <v>52</v>
      </c>
      <c r="AY765" s="2" t="s">
        <v>52</v>
      </c>
    </row>
    <row r="766" spans="1:51" ht="30" customHeight="1" x14ac:dyDescent="0.3">
      <c r="A766" s="9" t="s">
        <v>821</v>
      </c>
      <c r="B766" s="9" t="s">
        <v>822</v>
      </c>
      <c r="C766" s="9" t="s">
        <v>823</v>
      </c>
      <c r="D766" s="10">
        <v>2.3E-2</v>
      </c>
      <c r="E766" s="15">
        <f>'단가대비표(총체)'!O180</f>
        <v>0</v>
      </c>
      <c r="F766" s="16">
        <f>TRUNC(E766*D766,1)</f>
        <v>0</v>
      </c>
      <c r="G766" s="15">
        <f>'단가대비표(총체)'!P180</f>
        <v>0</v>
      </c>
      <c r="H766" s="16">
        <f>TRUNC(G766*D766,1)</f>
        <v>0</v>
      </c>
      <c r="I766" s="15">
        <f>'단가대비표(총체)'!V180</f>
        <v>0</v>
      </c>
      <c r="J766" s="16">
        <f>TRUNC(I766*D766,1)</f>
        <v>0</v>
      </c>
      <c r="K766" s="15">
        <f t="shared" si="161"/>
        <v>0</v>
      </c>
      <c r="L766" s="16">
        <f t="shared" si="161"/>
        <v>0</v>
      </c>
      <c r="M766" s="9" t="s">
        <v>52</v>
      </c>
      <c r="N766" s="2" t="s">
        <v>633</v>
      </c>
      <c r="O766" s="2" t="s">
        <v>824</v>
      </c>
      <c r="P766" s="2" t="s">
        <v>61</v>
      </c>
      <c r="Q766" s="2" t="s">
        <v>61</v>
      </c>
      <c r="R766" s="2" t="s">
        <v>60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2" t="s">
        <v>52</v>
      </c>
      <c r="AW766" s="2" t="s">
        <v>1921</v>
      </c>
      <c r="AX766" s="2" t="s">
        <v>52</v>
      </c>
      <c r="AY766" s="2" t="s">
        <v>52</v>
      </c>
    </row>
    <row r="767" spans="1:51" ht="30" customHeight="1" x14ac:dyDescent="0.3">
      <c r="A767" s="9" t="s">
        <v>874</v>
      </c>
      <c r="B767" s="9" t="s">
        <v>891</v>
      </c>
      <c r="C767" s="9" t="s">
        <v>307</v>
      </c>
      <c r="D767" s="10">
        <v>1</v>
      </c>
      <c r="E767" s="15">
        <v>0</v>
      </c>
      <c r="F767" s="16">
        <f>TRUNC(E767*D767,1)</f>
        <v>0</v>
      </c>
      <c r="G767" s="15">
        <v>0</v>
      </c>
      <c r="H767" s="16">
        <f>TRUNC(G767*D767,1)</f>
        <v>0</v>
      </c>
      <c r="I767" s="15">
        <f>TRUNC(SUMIF(W763:W767, RIGHTB(O767, 1), H763:H767)*U767, 2)</f>
        <v>0</v>
      </c>
      <c r="J767" s="16">
        <f>TRUNC(I767*D767,1)</f>
        <v>0</v>
      </c>
      <c r="K767" s="15">
        <f t="shared" si="161"/>
        <v>0</v>
      </c>
      <c r="L767" s="16">
        <f t="shared" si="161"/>
        <v>0</v>
      </c>
      <c r="M767" s="9" t="s">
        <v>52</v>
      </c>
      <c r="N767" s="2" t="s">
        <v>633</v>
      </c>
      <c r="O767" s="2" t="s">
        <v>877</v>
      </c>
      <c r="P767" s="2" t="s">
        <v>61</v>
      </c>
      <c r="Q767" s="2" t="s">
        <v>61</v>
      </c>
      <c r="R767" s="2" t="s">
        <v>61</v>
      </c>
      <c r="S767" s="3">
        <v>1</v>
      </c>
      <c r="T767" s="3">
        <v>2</v>
      </c>
      <c r="U767" s="3">
        <v>0.02</v>
      </c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2" t="s">
        <v>52</v>
      </c>
      <c r="AW767" s="2" t="s">
        <v>1922</v>
      </c>
      <c r="AX767" s="2" t="s">
        <v>52</v>
      </c>
      <c r="AY767" s="2" t="s">
        <v>52</v>
      </c>
    </row>
    <row r="768" spans="1:51" ht="30" customHeight="1" x14ac:dyDescent="0.3">
      <c r="A768" s="9" t="s">
        <v>811</v>
      </c>
      <c r="B768" s="9" t="s">
        <v>52</v>
      </c>
      <c r="C768" s="9" t="s">
        <v>52</v>
      </c>
      <c r="D768" s="10"/>
      <c r="E768" s="15"/>
      <c r="F768" s="16">
        <f>TRUNC(SUMIF(N763:N767, N762, F763:F767),0)</f>
        <v>0</v>
      </c>
      <c r="G768" s="15"/>
      <c r="H768" s="16">
        <f>TRUNC(SUMIF(N763:N767, N762, H763:H767),0)</f>
        <v>0</v>
      </c>
      <c r="I768" s="15"/>
      <c r="J768" s="16">
        <f>TRUNC(SUMIF(N763:N767, N762, J763:J767),0)</f>
        <v>0</v>
      </c>
      <c r="K768" s="15"/>
      <c r="L768" s="16">
        <f>F768+H768+J768</f>
        <v>0</v>
      </c>
      <c r="M768" s="9" t="s">
        <v>52</v>
      </c>
      <c r="N768" s="2" t="s">
        <v>94</v>
      </c>
      <c r="O768" s="2" t="s">
        <v>94</v>
      </c>
      <c r="P768" s="2" t="s">
        <v>52</v>
      </c>
      <c r="Q768" s="2" t="s">
        <v>52</v>
      </c>
      <c r="R768" s="2" t="s">
        <v>52</v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2" t="s">
        <v>52</v>
      </c>
      <c r="AW768" s="2" t="s">
        <v>52</v>
      </c>
      <c r="AX768" s="2" t="s">
        <v>52</v>
      </c>
      <c r="AY768" s="2" t="s">
        <v>52</v>
      </c>
    </row>
    <row r="769" spans="1:51" ht="30" customHeight="1" x14ac:dyDescent="0.3">
      <c r="A769" s="10"/>
      <c r="B769" s="10"/>
      <c r="C769" s="10"/>
      <c r="D769" s="10"/>
      <c r="E769" s="15"/>
      <c r="F769" s="16"/>
      <c r="G769" s="15"/>
      <c r="H769" s="16"/>
      <c r="I769" s="15"/>
      <c r="J769" s="16"/>
      <c r="K769" s="15"/>
      <c r="L769" s="16"/>
      <c r="M769" s="10"/>
    </row>
    <row r="770" spans="1:51" ht="30" customHeight="1" x14ac:dyDescent="0.3">
      <c r="A770" s="44" t="s">
        <v>1923</v>
      </c>
      <c r="B770" s="44"/>
      <c r="C770" s="44"/>
      <c r="D770" s="44"/>
      <c r="E770" s="45"/>
      <c r="F770" s="46"/>
      <c r="G770" s="45"/>
      <c r="H770" s="46"/>
      <c r="I770" s="45"/>
      <c r="J770" s="46"/>
      <c r="K770" s="45"/>
      <c r="L770" s="46"/>
      <c r="M770" s="44"/>
      <c r="N770" s="1" t="s">
        <v>638</v>
      </c>
    </row>
    <row r="771" spans="1:51" ht="30" customHeight="1" x14ac:dyDescent="0.3">
      <c r="A771" s="9" t="s">
        <v>1872</v>
      </c>
      <c r="B771" s="9" t="s">
        <v>822</v>
      </c>
      <c r="C771" s="9" t="s">
        <v>823</v>
      </c>
      <c r="D771" s="10">
        <v>0.92</v>
      </c>
      <c r="E771" s="15">
        <f>'단가대비표(총체)'!O185</f>
        <v>0</v>
      </c>
      <c r="F771" s="16">
        <f>TRUNC(E771*D771,1)</f>
        <v>0</v>
      </c>
      <c r="G771" s="15">
        <f>'단가대비표(총체)'!P185</f>
        <v>0</v>
      </c>
      <c r="H771" s="16">
        <f>TRUNC(G771*D771,1)</f>
        <v>0</v>
      </c>
      <c r="I771" s="15">
        <f>'단가대비표(총체)'!V185</f>
        <v>0</v>
      </c>
      <c r="J771" s="16">
        <f>TRUNC(I771*D771,1)</f>
        <v>0</v>
      </c>
      <c r="K771" s="15">
        <f t="shared" ref="K771:L774" si="162">TRUNC(E771+G771+I771,1)</f>
        <v>0</v>
      </c>
      <c r="L771" s="16">
        <f t="shared" si="162"/>
        <v>0</v>
      </c>
      <c r="M771" s="9" t="s">
        <v>52</v>
      </c>
      <c r="N771" s="2" t="s">
        <v>638</v>
      </c>
      <c r="O771" s="2" t="s">
        <v>1873</v>
      </c>
      <c r="P771" s="2" t="s">
        <v>61</v>
      </c>
      <c r="Q771" s="2" t="s">
        <v>61</v>
      </c>
      <c r="R771" s="2" t="s">
        <v>60</v>
      </c>
      <c r="S771" s="3"/>
      <c r="T771" s="3"/>
      <c r="U771" s="3"/>
      <c r="V771" s="3">
        <v>1</v>
      </c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2" t="s">
        <v>52</v>
      </c>
      <c r="AW771" s="2" t="s">
        <v>1925</v>
      </c>
      <c r="AX771" s="2" t="s">
        <v>52</v>
      </c>
      <c r="AY771" s="2" t="s">
        <v>52</v>
      </c>
    </row>
    <row r="772" spans="1:51" ht="30" customHeight="1" x14ac:dyDescent="0.3">
      <c r="A772" s="9" t="s">
        <v>821</v>
      </c>
      <c r="B772" s="9" t="s">
        <v>822</v>
      </c>
      <c r="C772" s="9" t="s">
        <v>823</v>
      </c>
      <c r="D772" s="10">
        <v>0.39</v>
      </c>
      <c r="E772" s="15">
        <f>'단가대비표(총체)'!O180</f>
        <v>0</v>
      </c>
      <c r="F772" s="16">
        <f>TRUNC(E772*D772,1)</f>
        <v>0</v>
      </c>
      <c r="G772" s="15">
        <f>'단가대비표(총체)'!P180</f>
        <v>0</v>
      </c>
      <c r="H772" s="16">
        <f>TRUNC(G772*D772,1)</f>
        <v>0</v>
      </c>
      <c r="I772" s="15">
        <f>'단가대비표(총체)'!V180</f>
        <v>0</v>
      </c>
      <c r="J772" s="16">
        <f>TRUNC(I772*D772,1)</f>
        <v>0</v>
      </c>
      <c r="K772" s="15">
        <f t="shared" si="162"/>
        <v>0</v>
      </c>
      <c r="L772" s="16">
        <f t="shared" si="162"/>
        <v>0</v>
      </c>
      <c r="M772" s="9" t="s">
        <v>52</v>
      </c>
      <c r="N772" s="2" t="s">
        <v>638</v>
      </c>
      <c r="O772" s="2" t="s">
        <v>824</v>
      </c>
      <c r="P772" s="2" t="s">
        <v>61</v>
      </c>
      <c r="Q772" s="2" t="s">
        <v>61</v>
      </c>
      <c r="R772" s="2" t="s">
        <v>60</v>
      </c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2" t="s">
        <v>52</v>
      </c>
      <c r="AW772" s="2" t="s">
        <v>1926</v>
      </c>
      <c r="AX772" s="2" t="s">
        <v>52</v>
      </c>
      <c r="AY772" s="2" t="s">
        <v>52</v>
      </c>
    </row>
    <row r="773" spans="1:51" ht="30" customHeight="1" x14ac:dyDescent="0.3">
      <c r="A773" s="9" t="s">
        <v>1927</v>
      </c>
      <c r="B773" s="9" t="s">
        <v>1928</v>
      </c>
      <c r="C773" s="9" t="s">
        <v>1929</v>
      </c>
      <c r="D773" s="10">
        <v>4.4000000000000004</v>
      </c>
      <c r="E773" s="15">
        <f>'일위대가목록(총체)'!E184</f>
        <v>0</v>
      </c>
      <c r="F773" s="16">
        <f>TRUNC(E773*D773,1)</f>
        <v>0</v>
      </c>
      <c r="G773" s="15">
        <f>'일위대가목록(총체)'!F184</f>
        <v>0</v>
      </c>
      <c r="H773" s="16">
        <f>TRUNC(G773*D773,1)</f>
        <v>0</v>
      </c>
      <c r="I773" s="15">
        <f>'일위대가목록(총체)'!G184</f>
        <v>0</v>
      </c>
      <c r="J773" s="16">
        <f>TRUNC(I773*D773,1)</f>
        <v>0</v>
      </c>
      <c r="K773" s="15">
        <f t="shared" si="162"/>
        <v>0</v>
      </c>
      <c r="L773" s="16">
        <f t="shared" si="162"/>
        <v>0</v>
      </c>
      <c r="M773" s="9" t="s">
        <v>52</v>
      </c>
      <c r="N773" s="2" t="s">
        <v>638</v>
      </c>
      <c r="O773" s="2" t="s">
        <v>1930</v>
      </c>
      <c r="P773" s="2" t="s">
        <v>60</v>
      </c>
      <c r="Q773" s="2" t="s">
        <v>61</v>
      </c>
      <c r="R773" s="2" t="s">
        <v>61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2" t="s">
        <v>52</v>
      </c>
      <c r="AW773" s="2" t="s">
        <v>1931</v>
      </c>
      <c r="AX773" s="2" t="s">
        <v>52</v>
      </c>
      <c r="AY773" s="2" t="s">
        <v>52</v>
      </c>
    </row>
    <row r="774" spans="1:51" ht="30" customHeight="1" x14ac:dyDescent="0.3">
      <c r="A774" s="9" t="s">
        <v>983</v>
      </c>
      <c r="B774" s="9" t="s">
        <v>1124</v>
      </c>
      <c r="C774" s="9" t="s">
        <v>307</v>
      </c>
      <c r="D774" s="10">
        <v>1</v>
      </c>
      <c r="E774" s="15">
        <f>TRUNC(SUMIF(V771:V774, RIGHTB(O774, 1), H771:H774)*U774, 2)</f>
        <v>0</v>
      </c>
      <c r="F774" s="16">
        <f>TRUNC(E774*D774,1)</f>
        <v>0</v>
      </c>
      <c r="G774" s="15">
        <v>0</v>
      </c>
      <c r="H774" s="16">
        <f>TRUNC(G774*D774,1)</f>
        <v>0</v>
      </c>
      <c r="I774" s="15">
        <v>0</v>
      </c>
      <c r="J774" s="16">
        <f>TRUNC(I774*D774,1)</f>
        <v>0</v>
      </c>
      <c r="K774" s="15">
        <f t="shared" si="162"/>
        <v>0</v>
      </c>
      <c r="L774" s="16">
        <f t="shared" si="162"/>
        <v>0</v>
      </c>
      <c r="M774" s="9" t="s">
        <v>52</v>
      </c>
      <c r="N774" s="2" t="s">
        <v>638</v>
      </c>
      <c r="O774" s="2" t="s">
        <v>809</v>
      </c>
      <c r="P774" s="2" t="s">
        <v>61</v>
      </c>
      <c r="Q774" s="2" t="s">
        <v>61</v>
      </c>
      <c r="R774" s="2" t="s">
        <v>61</v>
      </c>
      <c r="S774" s="3">
        <v>1</v>
      </c>
      <c r="T774" s="3">
        <v>0</v>
      </c>
      <c r="U774" s="3">
        <v>0.01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2" t="s">
        <v>52</v>
      </c>
      <c r="AW774" s="2" t="s">
        <v>1932</v>
      </c>
      <c r="AX774" s="2" t="s">
        <v>52</v>
      </c>
      <c r="AY774" s="2" t="s">
        <v>52</v>
      </c>
    </row>
    <row r="775" spans="1:51" ht="30" customHeight="1" x14ac:dyDescent="0.3">
      <c r="A775" s="9" t="s">
        <v>811</v>
      </c>
      <c r="B775" s="9" t="s">
        <v>52</v>
      </c>
      <c r="C775" s="9" t="s">
        <v>52</v>
      </c>
      <c r="D775" s="10"/>
      <c r="E775" s="15"/>
      <c r="F775" s="16">
        <f>TRUNC(SUMIF(N771:N774, N770, F771:F774),0)</f>
        <v>0</v>
      </c>
      <c r="G775" s="15"/>
      <c r="H775" s="16">
        <f>TRUNC(SUMIF(N771:N774, N770, H771:H774),0)</f>
        <v>0</v>
      </c>
      <c r="I775" s="15"/>
      <c r="J775" s="16">
        <f>TRUNC(SUMIF(N771:N774, N770, J771:J774),0)</f>
        <v>0</v>
      </c>
      <c r="K775" s="15"/>
      <c r="L775" s="16">
        <f>F775+H775+J775</f>
        <v>0</v>
      </c>
      <c r="M775" s="9" t="s">
        <v>52</v>
      </c>
      <c r="N775" s="2" t="s">
        <v>94</v>
      </c>
      <c r="O775" s="2" t="s">
        <v>94</v>
      </c>
      <c r="P775" s="2" t="s">
        <v>52</v>
      </c>
      <c r="Q775" s="2" t="s">
        <v>52</v>
      </c>
      <c r="R775" s="2" t="s">
        <v>52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2" t="s">
        <v>52</v>
      </c>
      <c r="AW775" s="2" t="s">
        <v>52</v>
      </c>
      <c r="AX775" s="2" t="s">
        <v>52</v>
      </c>
      <c r="AY775" s="2" t="s">
        <v>52</v>
      </c>
    </row>
    <row r="776" spans="1:51" ht="30" customHeight="1" x14ac:dyDescent="0.3">
      <c r="A776" s="10"/>
      <c r="B776" s="10"/>
      <c r="C776" s="10"/>
      <c r="D776" s="10"/>
      <c r="E776" s="15"/>
      <c r="F776" s="16"/>
      <c r="G776" s="15"/>
      <c r="H776" s="16"/>
      <c r="I776" s="15"/>
      <c r="J776" s="16"/>
      <c r="K776" s="15"/>
      <c r="L776" s="16"/>
      <c r="M776" s="10"/>
    </row>
    <row r="777" spans="1:51" ht="30" customHeight="1" x14ac:dyDescent="0.3">
      <c r="A777" s="44" t="s">
        <v>1933</v>
      </c>
      <c r="B777" s="44"/>
      <c r="C777" s="44"/>
      <c r="D777" s="44"/>
      <c r="E777" s="45"/>
      <c r="F777" s="46"/>
      <c r="G777" s="45"/>
      <c r="H777" s="46"/>
      <c r="I777" s="45"/>
      <c r="J777" s="46"/>
      <c r="K777" s="45"/>
      <c r="L777" s="46"/>
      <c r="M777" s="44"/>
      <c r="N777" s="1" t="s">
        <v>642</v>
      </c>
    </row>
    <row r="778" spans="1:51" ht="30" customHeight="1" x14ac:dyDescent="0.3">
      <c r="A778" s="9" t="s">
        <v>1060</v>
      </c>
      <c r="B778" s="9" t="s">
        <v>822</v>
      </c>
      <c r="C778" s="9" t="s">
        <v>823</v>
      </c>
      <c r="D778" s="10">
        <v>1.2999999999999999E-2</v>
      </c>
      <c r="E778" s="15">
        <f>'단가대비표(총체)'!O195</f>
        <v>0</v>
      </c>
      <c r="F778" s="16">
        <f>TRUNC(E778*D778,1)</f>
        <v>0</v>
      </c>
      <c r="G778" s="15">
        <f>'단가대비표(총체)'!P195</f>
        <v>0</v>
      </c>
      <c r="H778" s="16">
        <f>TRUNC(G778*D778,1)</f>
        <v>0</v>
      </c>
      <c r="I778" s="15">
        <f>'단가대비표(총체)'!V195</f>
        <v>0</v>
      </c>
      <c r="J778" s="16">
        <f>TRUNC(I778*D778,1)</f>
        <v>0</v>
      </c>
      <c r="K778" s="15">
        <f>TRUNC(E778+G778+I778,1)</f>
        <v>0</v>
      </c>
      <c r="L778" s="16">
        <f>TRUNC(F778+H778+J778,1)</f>
        <v>0</v>
      </c>
      <c r="M778" s="9" t="s">
        <v>52</v>
      </c>
      <c r="N778" s="2" t="s">
        <v>642</v>
      </c>
      <c r="O778" s="2" t="s">
        <v>1061</v>
      </c>
      <c r="P778" s="2" t="s">
        <v>61</v>
      </c>
      <c r="Q778" s="2" t="s">
        <v>61</v>
      </c>
      <c r="R778" s="2" t="s">
        <v>60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2" t="s">
        <v>52</v>
      </c>
      <c r="AW778" s="2" t="s">
        <v>1935</v>
      </c>
      <c r="AX778" s="2" t="s">
        <v>52</v>
      </c>
      <c r="AY778" s="2" t="s">
        <v>52</v>
      </c>
    </row>
    <row r="779" spans="1:51" ht="30" customHeight="1" x14ac:dyDescent="0.3">
      <c r="A779" s="9" t="s">
        <v>821</v>
      </c>
      <c r="B779" s="9" t="s">
        <v>822</v>
      </c>
      <c r="C779" s="9" t="s">
        <v>823</v>
      </c>
      <c r="D779" s="10">
        <v>0.01</v>
      </c>
      <c r="E779" s="15">
        <f>'단가대비표(총체)'!O180</f>
        <v>0</v>
      </c>
      <c r="F779" s="16">
        <f>TRUNC(E779*D779,1)</f>
        <v>0</v>
      </c>
      <c r="G779" s="15">
        <f>'단가대비표(총체)'!P180</f>
        <v>0</v>
      </c>
      <c r="H779" s="16">
        <f>TRUNC(G779*D779,1)</f>
        <v>0</v>
      </c>
      <c r="I779" s="15">
        <f>'단가대비표(총체)'!V180</f>
        <v>0</v>
      </c>
      <c r="J779" s="16">
        <f>TRUNC(I779*D779,1)</f>
        <v>0</v>
      </c>
      <c r="K779" s="15">
        <f>TRUNC(E779+G779+I779,1)</f>
        <v>0</v>
      </c>
      <c r="L779" s="16">
        <f>TRUNC(F779+H779+J779,1)</f>
        <v>0</v>
      </c>
      <c r="M779" s="9" t="s">
        <v>52</v>
      </c>
      <c r="N779" s="2" t="s">
        <v>642</v>
      </c>
      <c r="O779" s="2" t="s">
        <v>824</v>
      </c>
      <c r="P779" s="2" t="s">
        <v>61</v>
      </c>
      <c r="Q779" s="2" t="s">
        <v>61</v>
      </c>
      <c r="R779" s="2" t="s">
        <v>60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2" t="s">
        <v>52</v>
      </c>
      <c r="AW779" s="2" t="s">
        <v>1936</v>
      </c>
      <c r="AX779" s="2" t="s">
        <v>52</v>
      </c>
      <c r="AY779" s="2" t="s">
        <v>52</v>
      </c>
    </row>
    <row r="780" spans="1:51" ht="30" customHeight="1" x14ac:dyDescent="0.3">
      <c r="A780" s="9" t="s">
        <v>811</v>
      </c>
      <c r="B780" s="9" t="s">
        <v>52</v>
      </c>
      <c r="C780" s="9" t="s">
        <v>52</v>
      </c>
      <c r="D780" s="10"/>
      <c r="E780" s="15"/>
      <c r="F780" s="16">
        <f>TRUNC(SUMIF(N778:N779, N777, F778:F779),0)</f>
        <v>0</v>
      </c>
      <c r="G780" s="15"/>
      <c r="H780" s="16">
        <f>TRUNC(SUMIF(N778:N779, N777, H778:H779),0)</f>
        <v>0</v>
      </c>
      <c r="I780" s="15"/>
      <c r="J780" s="16">
        <f>TRUNC(SUMIF(N778:N779, N777, J778:J779),0)</f>
        <v>0</v>
      </c>
      <c r="K780" s="15"/>
      <c r="L780" s="16">
        <f>F780+H780+J780</f>
        <v>0</v>
      </c>
      <c r="M780" s="9" t="s">
        <v>52</v>
      </c>
      <c r="N780" s="2" t="s">
        <v>94</v>
      </c>
      <c r="O780" s="2" t="s">
        <v>94</v>
      </c>
      <c r="P780" s="2" t="s">
        <v>52</v>
      </c>
      <c r="Q780" s="2" t="s">
        <v>52</v>
      </c>
      <c r="R780" s="2" t="s">
        <v>52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2" t="s">
        <v>52</v>
      </c>
      <c r="AW780" s="2" t="s">
        <v>52</v>
      </c>
      <c r="AX780" s="2" t="s">
        <v>52</v>
      </c>
      <c r="AY780" s="2" t="s">
        <v>52</v>
      </c>
    </row>
    <row r="781" spans="1:51" ht="30" customHeight="1" x14ac:dyDescent="0.3">
      <c r="A781" s="10"/>
      <c r="B781" s="10"/>
      <c r="C781" s="10"/>
      <c r="D781" s="10"/>
      <c r="E781" s="15"/>
      <c r="F781" s="16"/>
      <c r="G781" s="15"/>
      <c r="H781" s="16"/>
      <c r="I781" s="15"/>
      <c r="J781" s="16"/>
      <c r="K781" s="15"/>
      <c r="L781" s="16"/>
      <c r="M781" s="10"/>
    </row>
    <row r="782" spans="1:51" ht="30" customHeight="1" x14ac:dyDescent="0.3">
      <c r="A782" s="44" t="s">
        <v>1937</v>
      </c>
      <c r="B782" s="44"/>
      <c r="C782" s="44"/>
      <c r="D782" s="44"/>
      <c r="E782" s="45"/>
      <c r="F782" s="46"/>
      <c r="G782" s="45"/>
      <c r="H782" s="46"/>
      <c r="I782" s="45"/>
      <c r="J782" s="46"/>
      <c r="K782" s="45"/>
      <c r="L782" s="46"/>
      <c r="M782" s="44"/>
      <c r="N782" s="1" t="s">
        <v>657</v>
      </c>
    </row>
    <row r="783" spans="1:51" ht="30" customHeight="1" x14ac:dyDescent="0.3">
      <c r="A783" s="9" t="s">
        <v>1060</v>
      </c>
      <c r="B783" s="9" t="s">
        <v>822</v>
      </c>
      <c r="C783" s="9" t="s">
        <v>823</v>
      </c>
      <c r="D783" s="10">
        <v>6.0000000000000001E-3</v>
      </c>
      <c r="E783" s="15">
        <f>'단가대비표(총체)'!O195</f>
        <v>0</v>
      </c>
      <c r="F783" s="16">
        <f>TRUNC(E783*D783,1)</f>
        <v>0</v>
      </c>
      <c r="G783" s="15">
        <f>'단가대비표(총체)'!P195</f>
        <v>0</v>
      </c>
      <c r="H783" s="16">
        <f>TRUNC(G783*D783,1)</f>
        <v>0</v>
      </c>
      <c r="I783" s="15">
        <f>'단가대비표(총체)'!V195</f>
        <v>0</v>
      </c>
      <c r="J783" s="16">
        <f>TRUNC(I783*D783,1)</f>
        <v>0</v>
      </c>
      <c r="K783" s="15">
        <f>TRUNC(E783+G783+I783,1)</f>
        <v>0</v>
      </c>
      <c r="L783" s="16">
        <f>TRUNC(F783+H783+J783,1)</f>
        <v>0</v>
      </c>
      <c r="M783" s="9" t="s">
        <v>52</v>
      </c>
      <c r="N783" s="2" t="s">
        <v>657</v>
      </c>
      <c r="O783" s="2" t="s">
        <v>1061</v>
      </c>
      <c r="P783" s="2" t="s">
        <v>61</v>
      </c>
      <c r="Q783" s="2" t="s">
        <v>61</v>
      </c>
      <c r="R783" s="2" t="s">
        <v>60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2" t="s">
        <v>52</v>
      </c>
      <c r="AW783" s="2" t="s">
        <v>1939</v>
      </c>
      <c r="AX783" s="2" t="s">
        <v>52</v>
      </c>
      <c r="AY783" s="2" t="s">
        <v>52</v>
      </c>
    </row>
    <row r="784" spans="1:51" ht="30" customHeight="1" x14ac:dyDescent="0.3">
      <c r="A784" s="9" t="s">
        <v>821</v>
      </c>
      <c r="B784" s="9" t="s">
        <v>822</v>
      </c>
      <c r="C784" s="9" t="s">
        <v>823</v>
      </c>
      <c r="D784" s="10">
        <v>4.0000000000000001E-3</v>
      </c>
      <c r="E784" s="15">
        <f>'단가대비표(총체)'!O180</f>
        <v>0</v>
      </c>
      <c r="F784" s="16">
        <f>TRUNC(E784*D784,1)</f>
        <v>0</v>
      </c>
      <c r="G784" s="15">
        <f>'단가대비표(총체)'!P180</f>
        <v>0</v>
      </c>
      <c r="H784" s="16">
        <f>TRUNC(G784*D784,1)</f>
        <v>0</v>
      </c>
      <c r="I784" s="15">
        <f>'단가대비표(총체)'!V180</f>
        <v>0</v>
      </c>
      <c r="J784" s="16">
        <f>TRUNC(I784*D784,1)</f>
        <v>0</v>
      </c>
      <c r="K784" s="15">
        <f>TRUNC(E784+G784+I784,1)</f>
        <v>0</v>
      </c>
      <c r="L784" s="16">
        <f>TRUNC(F784+H784+J784,1)</f>
        <v>0</v>
      </c>
      <c r="M784" s="9" t="s">
        <v>52</v>
      </c>
      <c r="N784" s="2" t="s">
        <v>657</v>
      </c>
      <c r="O784" s="2" t="s">
        <v>824</v>
      </c>
      <c r="P784" s="2" t="s">
        <v>61</v>
      </c>
      <c r="Q784" s="2" t="s">
        <v>61</v>
      </c>
      <c r="R784" s="2" t="s">
        <v>60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2" t="s">
        <v>52</v>
      </c>
      <c r="AW784" s="2" t="s">
        <v>1940</v>
      </c>
      <c r="AX784" s="2" t="s">
        <v>52</v>
      </c>
      <c r="AY784" s="2" t="s">
        <v>52</v>
      </c>
    </row>
    <row r="785" spans="1:51" ht="30" customHeight="1" x14ac:dyDescent="0.3">
      <c r="A785" s="9" t="s">
        <v>811</v>
      </c>
      <c r="B785" s="9" t="s">
        <v>52</v>
      </c>
      <c r="C785" s="9" t="s">
        <v>52</v>
      </c>
      <c r="D785" s="10"/>
      <c r="E785" s="15"/>
      <c r="F785" s="16">
        <f>TRUNC(SUMIF(N783:N784, N782, F783:F784),0)</f>
        <v>0</v>
      </c>
      <c r="G785" s="15"/>
      <c r="H785" s="16">
        <f>TRUNC(SUMIF(N783:N784, N782, H783:H784),0)</f>
        <v>0</v>
      </c>
      <c r="I785" s="15"/>
      <c r="J785" s="16">
        <f>TRUNC(SUMIF(N783:N784, N782, J783:J784),0)</f>
        <v>0</v>
      </c>
      <c r="K785" s="15"/>
      <c r="L785" s="16">
        <f>F785+H785+J785</f>
        <v>0</v>
      </c>
      <c r="M785" s="9" t="s">
        <v>52</v>
      </c>
      <c r="N785" s="2" t="s">
        <v>94</v>
      </c>
      <c r="O785" s="2" t="s">
        <v>94</v>
      </c>
      <c r="P785" s="2" t="s">
        <v>52</v>
      </c>
      <c r="Q785" s="2" t="s">
        <v>52</v>
      </c>
      <c r="R785" s="2" t="s">
        <v>52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2" t="s">
        <v>52</v>
      </c>
      <c r="AW785" s="2" t="s">
        <v>52</v>
      </c>
      <c r="AX785" s="2" t="s">
        <v>52</v>
      </c>
      <c r="AY785" s="2" t="s">
        <v>52</v>
      </c>
    </row>
    <row r="786" spans="1:51" ht="30" customHeight="1" x14ac:dyDescent="0.3">
      <c r="A786" s="10"/>
      <c r="B786" s="10"/>
      <c r="C786" s="10"/>
      <c r="D786" s="10"/>
      <c r="E786" s="15"/>
      <c r="F786" s="16"/>
      <c r="G786" s="15"/>
      <c r="H786" s="16"/>
      <c r="I786" s="15"/>
      <c r="J786" s="16"/>
      <c r="K786" s="15"/>
      <c r="L786" s="16"/>
      <c r="M786" s="10"/>
    </row>
    <row r="787" spans="1:51" ht="30" customHeight="1" x14ac:dyDescent="0.3">
      <c r="A787" s="44" t="s">
        <v>1941</v>
      </c>
      <c r="B787" s="44"/>
      <c r="C787" s="44"/>
      <c r="D787" s="44"/>
      <c r="E787" s="45"/>
      <c r="F787" s="46"/>
      <c r="G787" s="45"/>
      <c r="H787" s="46"/>
      <c r="I787" s="45"/>
      <c r="J787" s="46"/>
      <c r="K787" s="45"/>
      <c r="L787" s="46"/>
      <c r="M787" s="44"/>
      <c r="N787" s="1" t="s">
        <v>660</v>
      </c>
    </row>
    <row r="788" spans="1:51" ht="30" customHeight="1" x14ac:dyDescent="0.3">
      <c r="A788" s="9" t="s">
        <v>1060</v>
      </c>
      <c r="B788" s="9" t="s">
        <v>822</v>
      </c>
      <c r="C788" s="9" t="s">
        <v>823</v>
      </c>
      <c r="D788" s="10">
        <v>1.4E-2</v>
      </c>
      <c r="E788" s="15">
        <f>'단가대비표(총체)'!O195</f>
        <v>0</v>
      </c>
      <c r="F788" s="16">
        <f>TRUNC(E788*D788,1)</f>
        <v>0</v>
      </c>
      <c r="G788" s="15">
        <f>'단가대비표(총체)'!P195</f>
        <v>0</v>
      </c>
      <c r="H788" s="16">
        <f>TRUNC(G788*D788,1)</f>
        <v>0</v>
      </c>
      <c r="I788" s="15">
        <f>'단가대비표(총체)'!V195</f>
        <v>0</v>
      </c>
      <c r="J788" s="16">
        <f>TRUNC(I788*D788,1)</f>
        <v>0</v>
      </c>
      <c r="K788" s="15">
        <f t="shared" ref="K788:L790" si="163">TRUNC(E788+G788+I788,1)</f>
        <v>0</v>
      </c>
      <c r="L788" s="16">
        <f t="shared" si="163"/>
        <v>0</v>
      </c>
      <c r="M788" s="9" t="s">
        <v>52</v>
      </c>
      <c r="N788" s="2" t="s">
        <v>660</v>
      </c>
      <c r="O788" s="2" t="s">
        <v>1061</v>
      </c>
      <c r="P788" s="2" t="s">
        <v>61</v>
      </c>
      <c r="Q788" s="2" t="s">
        <v>61</v>
      </c>
      <c r="R788" s="2" t="s">
        <v>60</v>
      </c>
      <c r="S788" s="3"/>
      <c r="T788" s="3"/>
      <c r="U788" s="3"/>
      <c r="V788" s="3">
        <v>1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2" t="s">
        <v>52</v>
      </c>
      <c r="AW788" s="2" t="s">
        <v>1943</v>
      </c>
      <c r="AX788" s="2" t="s">
        <v>52</v>
      </c>
      <c r="AY788" s="2" t="s">
        <v>52</v>
      </c>
    </row>
    <row r="789" spans="1:51" ht="30" customHeight="1" x14ac:dyDescent="0.3">
      <c r="A789" s="9" t="s">
        <v>821</v>
      </c>
      <c r="B789" s="9" t="s">
        <v>822</v>
      </c>
      <c r="C789" s="9" t="s">
        <v>823</v>
      </c>
      <c r="D789" s="10">
        <v>7.0000000000000001E-3</v>
      </c>
      <c r="E789" s="15">
        <f>'단가대비표(총체)'!O180</f>
        <v>0</v>
      </c>
      <c r="F789" s="16">
        <f>TRUNC(E789*D789,1)</f>
        <v>0</v>
      </c>
      <c r="G789" s="15">
        <f>'단가대비표(총체)'!P180</f>
        <v>0</v>
      </c>
      <c r="H789" s="16">
        <f>TRUNC(G789*D789,1)</f>
        <v>0</v>
      </c>
      <c r="I789" s="15">
        <f>'단가대비표(총체)'!V180</f>
        <v>0</v>
      </c>
      <c r="J789" s="16">
        <f>TRUNC(I789*D789,1)</f>
        <v>0</v>
      </c>
      <c r="K789" s="15">
        <f t="shared" si="163"/>
        <v>0</v>
      </c>
      <c r="L789" s="16">
        <f t="shared" si="163"/>
        <v>0</v>
      </c>
      <c r="M789" s="9" t="s">
        <v>52</v>
      </c>
      <c r="N789" s="2" t="s">
        <v>660</v>
      </c>
      <c r="O789" s="2" t="s">
        <v>824</v>
      </c>
      <c r="P789" s="2" t="s">
        <v>61</v>
      </c>
      <c r="Q789" s="2" t="s">
        <v>61</v>
      </c>
      <c r="R789" s="2" t="s">
        <v>60</v>
      </c>
      <c r="S789" s="3"/>
      <c r="T789" s="3"/>
      <c r="U789" s="3"/>
      <c r="V789" s="3">
        <v>1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2" t="s">
        <v>52</v>
      </c>
      <c r="AW789" s="2" t="s">
        <v>1944</v>
      </c>
      <c r="AX789" s="2" t="s">
        <v>52</v>
      </c>
      <c r="AY789" s="2" t="s">
        <v>52</v>
      </c>
    </row>
    <row r="790" spans="1:51" ht="30" customHeight="1" x14ac:dyDescent="0.3">
      <c r="A790" s="9" t="s">
        <v>874</v>
      </c>
      <c r="B790" s="9" t="s">
        <v>1590</v>
      </c>
      <c r="C790" s="9" t="s">
        <v>307</v>
      </c>
      <c r="D790" s="10">
        <v>1</v>
      </c>
      <c r="E790" s="15">
        <f>TRUNC(SUMIF(V788:V790, RIGHTB(O790, 1), H788:H790)*U790, 2)</f>
        <v>0</v>
      </c>
      <c r="F790" s="16">
        <f>TRUNC(E790*D790,1)</f>
        <v>0</v>
      </c>
      <c r="G790" s="15">
        <v>0</v>
      </c>
      <c r="H790" s="16">
        <f>TRUNC(G790*D790,1)</f>
        <v>0</v>
      </c>
      <c r="I790" s="15">
        <v>0</v>
      </c>
      <c r="J790" s="16">
        <f>TRUNC(I790*D790,1)</f>
        <v>0</v>
      </c>
      <c r="K790" s="15">
        <f t="shared" si="163"/>
        <v>0</v>
      </c>
      <c r="L790" s="16">
        <f t="shared" si="163"/>
        <v>0</v>
      </c>
      <c r="M790" s="9" t="s">
        <v>52</v>
      </c>
      <c r="N790" s="2" t="s">
        <v>660</v>
      </c>
      <c r="O790" s="2" t="s">
        <v>809</v>
      </c>
      <c r="P790" s="2" t="s">
        <v>61</v>
      </c>
      <c r="Q790" s="2" t="s">
        <v>61</v>
      </c>
      <c r="R790" s="2" t="s">
        <v>61</v>
      </c>
      <c r="S790" s="3">
        <v>1</v>
      </c>
      <c r="T790" s="3">
        <v>0</v>
      </c>
      <c r="U790" s="3">
        <v>0.05</v>
      </c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2" t="s">
        <v>52</v>
      </c>
      <c r="AW790" s="2" t="s">
        <v>1945</v>
      </c>
      <c r="AX790" s="2" t="s">
        <v>52</v>
      </c>
      <c r="AY790" s="2" t="s">
        <v>52</v>
      </c>
    </row>
    <row r="791" spans="1:51" ht="30" customHeight="1" x14ac:dyDescent="0.3">
      <c r="A791" s="9" t="s">
        <v>811</v>
      </c>
      <c r="B791" s="9" t="s">
        <v>52</v>
      </c>
      <c r="C791" s="9" t="s">
        <v>52</v>
      </c>
      <c r="D791" s="10"/>
      <c r="E791" s="15"/>
      <c r="F791" s="16">
        <f>TRUNC(SUMIF(N788:N790, N787, F788:F790),0)</f>
        <v>0</v>
      </c>
      <c r="G791" s="15"/>
      <c r="H791" s="16">
        <f>TRUNC(SUMIF(N788:N790, N787, H788:H790),0)</f>
        <v>0</v>
      </c>
      <c r="I791" s="15"/>
      <c r="J791" s="16">
        <f>TRUNC(SUMIF(N788:N790, N787, J788:J790),0)</f>
        <v>0</v>
      </c>
      <c r="K791" s="15"/>
      <c r="L791" s="16">
        <f>F791+H791+J791</f>
        <v>0</v>
      </c>
      <c r="M791" s="9" t="s">
        <v>52</v>
      </c>
      <c r="N791" s="2" t="s">
        <v>94</v>
      </c>
      <c r="O791" s="2" t="s">
        <v>94</v>
      </c>
      <c r="P791" s="2" t="s">
        <v>52</v>
      </c>
      <c r="Q791" s="2" t="s">
        <v>52</v>
      </c>
      <c r="R791" s="2" t="s">
        <v>52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2" t="s">
        <v>52</v>
      </c>
      <c r="AW791" s="2" t="s">
        <v>52</v>
      </c>
      <c r="AX791" s="2" t="s">
        <v>52</v>
      </c>
      <c r="AY791" s="2" t="s">
        <v>52</v>
      </c>
    </row>
    <row r="792" spans="1:51" ht="30" customHeight="1" x14ac:dyDescent="0.3">
      <c r="A792" s="10"/>
      <c r="B792" s="10"/>
      <c r="C792" s="10"/>
      <c r="D792" s="10"/>
      <c r="E792" s="15"/>
      <c r="F792" s="16"/>
      <c r="G792" s="15"/>
      <c r="H792" s="16"/>
      <c r="I792" s="15"/>
      <c r="J792" s="16"/>
      <c r="K792" s="15"/>
      <c r="L792" s="16"/>
      <c r="M792" s="10"/>
    </row>
    <row r="793" spans="1:51" ht="30" customHeight="1" x14ac:dyDescent="0.3">
      <c r="A793" s="44" t="s">
        <v>1946</v>
      </c>
      <c r="B793" s="44"/>
      <c r="C793" s="44"/>
      <c r="D793" s="44"/>
      <c r="E793" s="45"/>
      <c r="F793" s="46"/>
      <c r="G793" s="45"/>
      <c r="H793" s="46"/>
      <c r="I793" s="45"/>
      <c r="J793" s="46"/>
      <c r="K793" s="45"/>
      <c r="L793" s="46"/>
      <c r="M793" s="44"/>
      <c r="N793" s="1" t="s">
        <v>663</v>
      </c>
    </row>
    <row r="794" spans="1:51" ht="30" customHeight="1" x14ac:dyDescent="0.3">
      <c r="A794" s="9" t="s">
        <v>1060</v>
      </c>
      <c r="B794" s="9" t="s">
        <v>822</v>
      </c>
      <c r="C794" s="9" t="s">
        <v>823</v>
      </c>
      <c r="D794" s="10">
        <v>1.6E-2</v>
      </c>
      <c r="E794" s="15">
        <f>'단가대비표(총체)'!O195</f>
        <v>0</v>
      </c>
      <c r="F794" s="16">
        <f>TRUNC(E794*D794,1)</f>
        <v>0</v>
      </c>
      <c r="G794" s="15">
        <f>'단가대비표(총체)'!P195</f>
        <v>0</v>
      </c>
      <c r="H794" s="16">
        <f>TRUNC(G794*D794,1)</f>
        <v>0</v>
      </c>
      <c r="I794" s="15">
        <f>'단가대비표(총체)'!V195</f>
        <v>0</v>
      </c>
      <c r="J794" s="16">
        <f>TRUNC(I794*D794,1)</f>
        <v>0</v>
      </c>
      <c r="K794" s="15">
        <f t="shared" ref="K794:L796" si="164">TRUNC(E794+G794+I794,1)</f>
        <v>0</v>
      </c>
      <c r="L794" s="16">
        <f t="shared" si="164"/>
        <v>0</v>
      </c>
      <c r="M794" s="9" t="s">
        <v>52</v>
      </c>
      <c r="N794" s="2" t="s">
        <v>663</v>
      </c>
      <c r="O794" s="2" t="s">
        <v>1061</v>
      </c>
      <c r="P794" s="2" t="s">
        <v>61</v>
      </c>
      <c r="Q794" s="2" t="s">
        <v>61</v>
      </c>
      <c r="R794" s="2" t="s">
        <v>60</v>
      </c>
      <c r="S794" s="3"/>
      <c r="T794" s="3"/>
      <c r="U794" s="3"/>
      <c r="V794" s="3">
        <v>1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2" t="s">
        <v>52</v>
      </c>
      <c r="AW794" s="2" t="s">
        <v>1948</v>
      </c>
      <c r="AX794" s="2" t="s">
        <v>52</v>
      </c>
      <c r="AY794" s="2" t="s">
        <v>52</v>
      </c>
    </row>
    <row r="795" spans="1:51" ht="30" customHeight="1" x14ac:dyDescent="0.3">
      <c r="A795" s="9" t="s">
        <v>821</v>
      </c>
      <c r="B795" s="9" t="s">
        <v>822</v>
      </c>
      <c r="C795" s="9" t="s">
        <v>823</v>
      </c>
      <c r="D795" s="10">
        <v>1.0999999999999999E-2</v>
      </c>
      <c r="E795" s="15">
        <f>'단가대비표(총체)'!O180</f>
        <v>0</v>
      </c>
      <c r="F795" s="16">
        <f>TRUNC(E795*D795,1)</f>
        <v>0</v>
      </c>
      <c r="G795" s="15">
        <f>'단가대비표(총체)'!P180</f>
        <v>0</v>
      </c>
      <c r="H795" s="16">
        <f>TRUNC(G795*D795,1)</f>
        <v>0</v>
      </c>
      <c r="I795" s="15">
        <f>'단가대비표(총체)'!V180</f>
        <v>0</v>
      </c>
      <c r="J795" s="16">
        <f>TRUNC(I795*D795,1)</f>
        <v>0</v>
      </c>
      <c r="K795" s="15">
        <f t="shared" si="164"/>
        <v>0</v>
      </c>
      <c r="L795" s="16">
        <f t="shared" si="164"/>
        <v>0</v>
      </c>
      <c r="M795" s="9" t="s">
        <v>52</v>
      </c>
      <c r="N795" s="2" t="s">
        <v>663</v>
      </c>
      <c r="O795" s="2" t="s">
        <v>824</v>
      </c>
      <c r="P795" s="2" t="s">
        <v>61</v>
      </c>
      <c r="Q795" s="2" t="s">
        <v>61</v>
      </c>
      <c r="R795" s="2" t="s">
        <v>60</v>
      </c>
      <c r="S795" s="3"/>
      <c r="T795" s="3"/>
      <c r="U795" s="3"/>
      <c r="V795" s="3">
        <v>1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2" t="s">
        <v>52</v>
      </c>
      <c r="AW795" s="2" t="s">
        <v>1949</v>
      </c>
      <c r="AX795" s="2" t="s">
        <v>52</v>
      </c>
      <c r="AY795" s="2" t="s">
        <v>52</v>
      </c>
    </row>
    <row r="796" spans="1:51" ht="30" customHeight="1" x14ac:dyDescent="0.3">
      <c r="A796" s="9" t="s">
        <v>874</v>
      </c>
      <c r="B796" s="9" t="s">
        <v>891</v>
      </c>
      <c r="C796" s="9" t="s">
        <v>307</v>
      </c>
      <c r="D796" s="10">
        <v>1</v>
      </c>
      <c r="E796" s="15">
        <v>0</v>
      </c>
      <c r="F796" s="16">
        <f>TRUNC(E796*D796,1)</f>
        <v>0</v>
      </c>
      <c r="G796" s="15">
        <v>0</v>
      </c>
      <c r="H796" s="16">
        <f>TRUNC(G796*D796,1)</f>
        <v>0</v>
      </c>
      <c r="I796" s="15">
        <f>TRUNC(SUMIF(V794:V796, RIGHTB(O796, 1), H794:H796)*U796, 2)</f>
        <v>0</v>
      </c>
      <c r="J796" s="16">
        <f>TRUNC(I796*D796,1)</f>
        <v>0</v>
      </c>
      <c r="K796" s="15">
        <f t="shared" si="164"/>
        <v>0</v>
      </c>
      <c r="L796" s="16">
        <f t="shared" si="164"/>
        <v>0</v>
      </c>
      <c r="M796" s="9" t="s">
        <v>52</v>
      </c>
      <c r="N796" s="2" t="s">
        <v>663</v>
      </c>
      <c r="O796" s="2" t="s">
        <v>809</v>
      </c>
      <c r="P796" s="2" t="s">
        <v>61</v>
      </c>
      <c r="Q796" s="2" t="s">
        <v>61</v>
      </c>
      <c r="R796" s="2" t="s">
        <v>61</v>
      </c>
      <c r="S796" s="3">
        <v>1</v>
      </c>
      <c r="T796" s="3">
        <v>2</v>
      </c>
      <c r="U796" s="3">
        <v>0.02</v>
      </c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2" t="s">
        <v>52</v>
      </c>
      <c r="AW796" s="2" t="s">
        <v>1950</v>
      </c>
      <c r="AX796" s="2" t="s">
        <v>52</v>
      </c>
      <c r="AY796" s="2" t="s">
        <v>52</v>
      </c>
    </row>
    <row r="797" spans="1:51" ht="30" customHeight="1" x14ac:dyDescent="0.3">
      <c r="A797" s="9" t="s">
        <v>811</v>
      </c>
      <c r="B797" s="9" t="s">
        <v>52</v>
      </c>
      <c r="C797" s="9" t="s">
        <v>52</v>
      </c>
      <c r="D797" s="10"/>
      <c r="E797" s="15"/>
      <c r="F797" s="16">
        <f>TRUNC(SUMIF(N794:N796, N793, F794:F796),0)</f>
        <v>0</v>
      </c>
      <c r="G797" s="15"/>
      <c r="H797" s="16">
        <f>TRUNC(SUMIF(N794:N796, N793, H794:H796),0)</f>
        <v>0</v>
      </c>
      <c r="I797" s="15"/>
      <c r="J797" s="16">
        <f>TRUNC(SUMIF(N794:N796, N793, J794:J796),0)</f>
        <v>0</v>
      </c>
      <c r="K797" s="15"/>
      <c r="L797" s="16">
        <f>F797+H797+J797</f>
        <v>0</v>
      </c>
      <c r="M797" s="9" t="s">
        <v>52</v>
      </c>
      <c r="N797" s="2" t="s">
        <v>94</v>
      </c>
      <c r="O797" s="2" t="s">
        <v>94</v>
      </c>
      <c r="P797" s="2" t="s">
        <v>52</v>
      </c>
      <c r="Q797" s="2" t="s">
        <v>52</v>
      </c>
      <c r="R797" s="2" t="s">
        <v>52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2" t="s">
        <v>52</v>
      </c>
      <c r="AW797" s="2" t="s">
        <v>52</v>
      </c>
      <c r="AX797" s="2" t="s">
        <v>52</v>
      </c>
      <c r="AY797" s="2" t="s">
        <v>52</v>
      </c>
    </row>
    <row r="798" spans="1:51" ht="30" customHeight="1" x14ac:dyDescent="0.3">
      <c r="A798" s="10"/>
      <c r="B798" s="10"/>
      <c r="C798" s="10"/>
      <c r="D798" s="10"/>
      <c r="E798" s="15"/>
      <c r="F798" s="16"/>
      <c r="G798" s="15"/>
      <c r="H798" s="16"/>
      <c r="I798" s="15"/>
      <c r="J798" s="16"/>
      <c r="K798" s="15"/>
      <c r="L798" s="16"/>
      <c r="M798" s="10"/>
    </row>
    <row r="799" spans="1:51" ht="30" customHeight="1" x14ac:dyDescent="0.3">
      <c r="A799" s="44" t="s">
        <v>1951</v>
      </c>
      <c r="B799" s="44"/>
      <c r="C799" s="44"/>
      <c r="D799" s="44"/>
      <c r="E799" s="45"/>
      <c r="F799" s="46"/>
      <c r="G799" s="45"/>
      <c r="H799" s="46"/>
      <c r="I799" s="45"/>
      <c r="J799" s="46"/>
      <c r="K799" s="45"/>
      <c r="L799" s="46"/>
      <c r="M799" s="44"/>
      <c r="N799" s="1" t="s">
        <v>666</v>
      </c>
    </row>
    <row r="800" spans="1:51" ht="30" customHeight="1" x14ac:dyDescent="0.3">
      <c r="A800" s="9" t="s">
        <v>1060</v>
      </c>
      <c r="B800" s="9" t="s">
        <v>822</v>
      </c>
      <c r="C800" s="9" t="s">
        <v>823</v>
      </c>
      <c r="D800" s="10">
        <v>1.4E-2</v>
      </c>
      <c r="E800" s="15">
        <f>'단가대비표(총체)'!O195</f>
        <v>0</v>
      </c>
      <c r="F800" s="16">
        <f>TRUNC(E800*D800,1)</f>
        <v>0</v>
      </c>
      <c r="G800" s="15">
        <f>'단가대비표(총체)'!P195</f>
        <v>0</v>
      </c>
      <c r="H800" s="16">
        <f>TRUNC(G800*D800,1)</f>
        <v>0</v>
      </c>
      <c r="I800" s="15">
        <f>'단가대비표(총체)'!V195</f>
        <v>0</v>
      </c>
      <c r="J800" s="16">
        <f>TRUNC(I800*D800,1)</f>
        <v>0</v>
      </c>
      <c r="K800" s="15">
        <f t="shared" ref="K800:L802" si="165">TRUNC(E800+G800+I800,1)</f>
        <v>0</v>
      </c>
      <c r="L800" s="16">
        <f t="shared" si="165"/>
        <v>0</v>
      </c>
      <c r="M800" s="9" t="s">
        <v>52</v>
      </c>
      <c r="N800" s="2" t="s">
        <v>666</v>
      </c>
      <c r="O800" s="2" t="s">
        <v>1061</v>
      </c>
      <c r="P800" s="2" t="s">
        <v>61</v>
      </c>
      <c r="Q800" s="2" t="s">
        <v>61</v>
      </c>
      <c r="R800" s="2" t="s">
        <v>60</v>
      </c>
      <c r="S800" s="3"/>
      <c r="T800" s="3"/>
      <c r="U800" s="3"/>
      <c r="V800" s="3">
        <v>1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2" t="s">
        <v>52</v>
      </c>
      <c r="AW800" s="2" t="s">
        <v>1953</v>
      </c>
      <c r="AX800" s="2" t="s">
        <v>52</v>
      </c>
      <c r="AY800" s="2" t="s">
        <v>52</v>
      </c>
    </row>
    <row r="801" spans="1:51" ht="30" customHeight="1" x14ac:dyDescent="0.3">
      <c r="A801" s="9" t="s">
        <v>821</v>
      </c>
      <c r="B801" s="9" t="s">
        <v>822</v>
      </c>
      <c r="C801" s="9" t="s">
        <v>823</v>
      </c>
      <c r="D801" s="10">
        <v>0.01</v>
      </c>
      <c r="E801" s="15">
        <f>'단가대비표(총체)'!O180</f>
        <v>0</v>
      </c>
      <c r="F801" s="16">
        <f>TRUNC(E801*D801,1)</f>
        <v>0</v>
      </c>
      <c r="G801" s="15">
        <f>'단가대비표(총체)'!P180</f>
        <v>0</v>
      </c>
      <c r="H801" s="16">
        <f>TRUNC(G801*D801,1)</f>
        <v>0</v>
      </c>
      <c r="I801" s="15">
        <f>'단가대비표(총체)'!V180</f>
        <v>0</v>
      </c>
      <c r="J801" s="16">
        <f>TRUNC(I801*D801,1)</f>
        <v>0</v>
      </c>
      <c r="K801" s="15">
        <f t="shared" si="165"/>
        <v>0</v>
      </c>
      <c r="L801" s="16">
        <f t="shared" si="165"/>
        <v>0</v>
      </c>
      <c r="M801" s="9" t="s">
        <v>52</v>
      </c>
      <c r="N801" s="2" t="s">
        <v>666</v>
      </c>
      <c r="O801" s="2" t="s">
        <v>824</v>
      </c>
      <c r="P801" s="2" t="s">
        <v>61</v>
      </c>
      <c r="Q801" s="2" t="s">
        <v>61</v>
      </c>
      <c r="R801" s="2" t="s">
        <v>60</v>
      </c>
      <c r="S801" s="3"/>
      <c r="T801" s="3"/>
      <c r="U801" s="3"/>
      <c r="V801" s="3">
        <v>1</v>
      </c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2" t="s">
        <v>52</v>
      </c>
      <c r="AW801" s="2" t="s">
        <v>1954</v>
      </c>
      <c r="AX801" s="2" t="s">
        <v>52</v>
      </c>
      <c r="AY801" s="2" t="s">
        <v>52</v>
      </c>
    </row>
    <row r="802" spans="1:51" ht="30" customHeight="1" x14ac:dyDescent="0.3">
      <c r="A802" s="9" t="s">
        <v>874</v>
      </c>
      <c r="B802" s="9" t="s">
        <v>891</v>
      </c>
      <c r="C802" s="9" t="s">
        <v>307</v>
      </c>
      <c r="D802" s="10">
        <v>1</v>
      </c>
      <c r="E802" s="15">
        <v>0</v>
      </c>
      <c r="F802" s="16">
        <f>TRUNC(E802*D802,1)</f>
        <v>0</v>
      </c>
      <c r="G802" s="15">
        <v>0</v>
      </c>
      <c r="H802" s="16">
        <f>TRUNC(G802*D802,1)</f>
        <v>0</v>
      </c>
      <c r="I802" s="15">
        <f>TRUNC(SUMIF(V800:V802, RIGHTB(O802, 1), H800:H802)*U802, 2)</f>
        <v>0</v>
      </c>
      <c r="J802" s="16">
        <f>TRUNC(I802*D802,1)</f>
        <v>0</v>
      </c>
      <c r="K802" s="15">
        <f t="shared" si="165"/>
        <v>0</v>
      </c>
      <c r="L802" s="16">
        <f t="shared" si="165"/>
        <v>0</v>
      </c>
      <c r="M802" s="9" t="s">
        <v>52</v>
      </c>
      <c r="N802" s="2" t="s">
        <v>666</v>
      </c>
      <c r="O802" s="2" t="s">
        <v>809</v>
      </c>
      <c r="P802" s="2" t="s">
        <v>61</v>
      </c>
      <c r="Q802" s="2" t="s">
        <v>61</v>
      </c>
      <c r="R802" s="2" t="s">
        <v>61</v>
      </c>
      <c r="S802" s="3">
        <v>1</v>
      </c>
      <c r="T802" s="3">
        <v>2</v>
      </c>
      <c r="U802" s="3">
        <v>0.02</v>
      </c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2" t="s">
        <v>52</v>
      </c>
      <c r="AW802" s="2" t="s">
        <v>1955</v>
      </c>
      <c r="AX802" s="2" t="s">
        <v>52</v>
      </c>
      <c r="AY802" s="2" t="s">
        <v>52</v>
      </c>
    </row>
    <row r="803" spans="1:51" ht="30" customHeight="1" x14ac:dyDescent="0.3">
      <c r="A803" s="9" t="s">
        <v>811</v>
      </c>
      <c r="B803" s="9" t="s">
        <v>52</v>
      </c>
      <c r="C803" s="9" t="s">
        <v>52</v>
      </c>
      <c r="D803" s="10"/>
      <c r="E803" s="15"/>
      <c r="F803" s="16">
        <f>TRUNC(SUMIF(N800:N802, N799, F800:F802),0)</f>
        <v>0</v>
      </c>
      <c r="G803" s="15"/>
      <c r="H803" s="16">
        <f>TRUNC(SUMIF(N800:N802, N799, H800:H802),0)</f>
        <v>0</v>
      </c>
      <c r="I803" s="15"/>
      <c r="J803" s="16">
        <f>TRUNC(SUMIF(N800:N802, N799, J800:J802),0)</f>
        <v>0</v>
      </c>
      <c r="K803" s="15"/>
      <c r="L803" s="16">
        <f>F803+H803+J803</f>
        <v>0</v>
      </c>
      <c r="M803" s="9" t="s">
        <v>52</v>
      </c>
      <c r="N803" s="2" t="s">
        <v>94</v>
      </c>
      <c r="O803" s="2" t="s">
        <v>94</v>
      </c>
      <c r="P803" s="2" t="s">
        <v>52</v>
      </c>
      <c r="Q803" s="2" t="s">
        <v>52</v>
      </c>
      <c r="R803" s="2" t="s">
        <v>52</v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2" t="s">
        <v>52</v>
      </c>
      <c r="AW803" s="2" t="s">
        <v>52</v>
      </c>
      <c r="AX803" s="2" t="s">
        <v>52</v>
      </c>
      <c r="AY803" s="2" t="s">
        <v>52</v>
      </c>
    </row>
    <row r="804" spans="1:51" ht="30" customHeight="1" x14ac:dyDescent="0.3">
      <c r="A804" s="10"/>
      <c r="B804" s="10"/>
      <c r="C804" s="10"/>
      <c r="D804" s="10"/>
      <c r="E804" s="15"/>
      <c r="F804" s="16"/>
      <c r="G804" s="15"/>
      <c r="H804" s="16"/>
      <c r="I804" s="15"/>
      <c r="J804" s="16"/>
      <c r="K804" s="15"/>
      <c r="L804" s="16"/>
      <c r="M804" s="10"/>
    </row>
    <row r="805" spans="1:51" ht="30" customHeight="1" x14ac:dyDescent="0.3">
      <c r="A805" s="44" t="s">
        <v>1956</v>
      </c>
      <c r="B805" s="44"/>
      <c r="C805" s="44"/>
      <c r="D805" s="44"/>
      <c r="E805" s="45"/>
      <c r="F805" s="46"/>
      <c r="G805" s="45"/>
      <c r="H805" s="46"/>
      <c r="I805" s="45"/>
      <c r="J805" s="46"/>
      <c r="K805" s="45"/>
      <c r="L805" s="46"/>
      <c r="M805" s="44"/>
      <c r="N805" s="1" t="s">
        <v>669</v>
      </c>
    </row>
    <row r="806" spans="1:51" ht="30" customHeight="1" x14ac:dyDescent="0.3">
      <c r="A806" s="9" t="s">
        <v>1060</v>
      </c>
      <c r="B806" s="9" t="s">
        <v>822</v>
      </c>
      <c r="C806" s="9" t="s">
        <v>823</v>
      </c>
      <c r="D806" s="10">
        <v>1.7999999999999999E-2</v>
      </c>
      <c r="E806" s="15">
        <f>'단가대비표(총체)'!O195</f>
        <v>0</v>
      </c>
      <c r="F806" s="16">
        <f>TRUNC(E806*D806,1)</f>
        <v>0</v>
      </c>
      <c r="G806" s="15">
        <f>'단가대비표(총체)'!P195</f>
        <v>0</v>
      </c>
      <c r="H806" s="16">
        <f>TRUNC(G806*D806,1)</f>
        <v>0</v>
      </c>
      <c r="I806" s="15">
        <f>'단가대비표(총체)'!V195</f>
        <v>0</v>
      </c>
      <c r="J806" s="16">
        <f>TRUNC(I806*D806,1)</f>
        <v>0</v>
      </c>
      <c r="K806" s="15">
        <f t="shared" ref="K806:L808" si="166">TRUNC(E806+G806+I806,1)</f>
        <v>0</v>
      </c>
      <c r="L806" s="16">
        <f t="shared" si="166"/>
        <v>0</v>
      </c>
      <c r="M806" s="9" t="s">
        <v>52</v>
      </c>
      <c r="N806" s="2" t="s">
        <v>669</v>
      </c>
      <c r="O806" s="2" t="s">
        <v>1061</v>
      </c>
      <c r="P806" s="2" t="s">
        <v>61</v>
      </c>
      <c r="Q806" s="2" t="s">
        <v>61</v>
      </c>
      <c r="R806" s="2" t="s">
        <v>60</v>
      </c>
      <c r="S806" s="3"/>
      <c r="T806" s="3"/>
      <c r="U806" s="3"/>
      <c r="V806" s="3">
        <v>1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2" t="s">
        <v>52</v>
      </c>
      <c r="AW806" s="2" t="s">
        <v>1958</v>
      </c>
      <c r="AX806" s="2" t="s">
        <v>52</v>
      </c>
      <c r="AY806" s="2" t="s">
        <v>52</v>
      </c>
    </row>
    <row r="807" spans="1:51" ht="30" customHeight="1" x14ac:dyDescent="0.3">
      <c r="A807" s="9" t="s">
        <v>821</v>
      </c>
      <c r="B807" s="9" t="s">
        <v>822</v>
      </c>
      <c r="C807" s="9" t="s">
        <v>823</v>
      </c>
      <c r="D807" s="10">
        <v>1.2E-2</v>
      </c>
      <c r="E807" s="15">
        <f>'단가대비표(총체)'!O180</f>
        <v>0</v>
      </c>
      <c r="F807" s="16">
        <f>TRUNC(E807*D807,1)</f>
        <v>0</v>
      </c>
      <c r="G807" s="15">
        <f>'단가대비표(총체)'!P180</f>
        <v>0</v>
      </c>
      <c r="H807" s="16">
        <f>TRUNC(G807*D807,1)</f>
        <v>0</v>
      </c>
      <c r="I807" s="15">
        <f>'단가대비표(총체)'!V180</f>
        <v>0</v>
      </c>
      <c r="J807" s="16">
        <f>TRUNC(I807*D807,1)</f>
        <v>0</v>
      </c>
      <c r="K807" s="15">
        <f t="shared" si="166"/>
        <v>0</v>
      </c>
      <c r="L807" s="16">
        <f t="shared" si="166"/>
        <v>0</v>
      </c>
      <c r="M807" s="9" t="s">
        <v>52</v>
      </c>
      <c r="N807" s="2" t="s">
        <v>669</v>
      </c>
      <c r="O807" s="2" t="s">
        <v>824</v>
      </c>
      <c r="P807" s="2" t="s">
        <v>61</v>
      </c>
      <c r="Q807" s="2" t="s">
        <v>61</v>
      </c>
      <c r="R807" s="2" t="s">
        <v>60</v>
      </c>
      <c r="S807" s="3"/>
      <c r="T807" s="3"/>
      <c r="U807" s="3"/>
      <c r="V807" s="3">
        <v>1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2" t="s">
        <v>52</v>
      </c>
      <c r="AW807" s="2" t="s">
        <v>1959</v>
      </c>
      <c r="AX807" s="2" t="s">
        <v>52</v>
      </c>
      <c r="AY807" s="2" t="s">
        <v>52</v>
      </c>
    </row>
    <row r="808" spans="1:51" ht="30" customHeight="1" x14ac:dyDescent="0.3">
      <c r="A808" s="9" t="s">
        <v>874</v>
      </c>
      <c r="B808" s="9" t="s">
        <v>891</v>
      </c>
      <c r="C808" s="9" t="s">
        <v>307</v>
      </c>
      <c r="D808" s="10">
        <v>1</v>
      </c>
      <c r="E808" s="15">
        <v>0</v>
      </c>
      <c r="F808" s="16">
        <f>TRUNC(E808*D808,1)</f>
        <v>0</v>
      </c>
      <c r="G808" s="15">
        <v>0</v>
      </c>
      <c r="H808" s="16">
        <f>TRUNC(G808*D808,1)</f>
        <v>0</v>
      </c>
      <c r="I808" s="15">
        <f>TRUNC(SUMIF(V806:V808, RIGHTB(O808, 1), H806:H808)*U808, 2)</f>
        <v>0</v>
      </c>
      <c r="J808" s="16">
        <f>TRUNC(I808*D808,1)</f>
        <v>0</v>
      </c>
      <c r="K808" s="15">
        <f t="shared" si="166"/>
        <v>0</v>
      </c>
      <c r="L808" s="16">
        <f t="shared" si="166"/>
        <v>0</v>
      </c>
      <c r="M808" s="9" t="s">
        <v>52</v>
      </c>
      <c r="N808" s="2" t="s">
        <v>669</v>
      </c>
      <c r="O808" s="2" t="s">
        <v>809</v>
      </c>
      <c r="P808" s="2" t="s">
        <v>61</v>
      </c>
      <c r="Q808" s="2" t="s">
        <v>61</v>
      </c>
      <c r="R808" s="2" t="s">
        <v>61</v>
      </c>
      <c r="S808" s="3">
        <v>1</v>
      </c>
      <c r="T808" s="3">
        <v>2</v>
      </c>
      <c r="U808" s="3">
        <v>0.02</v>
      </c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2" t="s">
        <v>52</v>
      </c>
      <c r="AW808" s="2" t="s">
        <v>1960</v>
      </c>
      <c r="AX808" s="2" t="s">
        <v>52</v>
      </c>
      <c r="AY808" s="2" t="s">
        <v>52</v>
      </c>
    </row>
    <row r="809" spans="1:51" ht="30" customHeight="1" x14ac:dyDescent="0.3">
      <c r="A809" s="9" t="s">
        <v>811</v>
      </c>
      <c r="B809" s="9" t="s">
        <v>52</v>
      </c>
      <c r="C809" s="9" t="s">
        <v>52</v>
      </c>
      <c r="D809" s="10"/>
      <c r="E809" s="15"/>
      <c r="F809" s="16">
        <f>TRUNC(SUMIF(N806:N808, N805, F806:F808),0)</f>
        <v>0</v>
      </c>
      <c r="G809" s="15"/>
      <c r="H809" s="16">
        <f>TRUNC(SUMIF(N806:N808, N805, H806:H808),0)</f>
        <v>0</v>
      </c>
      <c r="I809" s="15"/>
      <c r="J809" s="16">
        <f>TRUNC(SUMIF(N806:N808, N805, J806:J808),0)</f>
        <v>0</v>
      </c>
      <c r="K809" s="15"/>
      <c r="L809" s="16">
        <f>F809+H809+J809</f>
        <v>0</v>
      </c>
      <c r="M809" s="9" t="s">
        <v>52</v>
      </c>
      <c r="N809" s="2" t="s">
        <v>94</v>
      </c>
      <c r="O809" s="2" t="s">
        <v>94</v>
      </c>
      <c r="P809" s="2" t="s">
        <v>52</v>
      </c>
      <c r="Q809" s="2" t="s">
        <v>52</v>
      </c>
      <c r="R809" s="2" t="s">
        <v>52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2" t="s">
        <v>52</v>
      </c>
      <c r="AW809" s="2" t="s">
        <v>52</v>
      </c>
      <c r="AX809" s="2" t="s">
        <v>52</v>
      </c>
      <c r="AY809" s="2" t="s">
        <v>52</v>
      </c>
    </row>
    <row r="810" spans="1:51" ht="30" customHeight="1" x14ac:dyDescent="0.3">
      <c r="A810" s="10"/>
      <c r="B810" s="10"/>
      <c r="C810" s="10"/>
      <c r="D810" s="10"/>
      <c r="E810" s="15"/>
      <c r="F810" s="16"/>
      <c r="G810" s="15"/>
      <c r="H810" s="16"/>
      <c r="I810" s="15"/>
      <c r="J810" s="16"/>
      <c r="K810" s="15"/>
      <c r="L810" s="16"/>
      <c r="M810" s="10"/>
    </row>
    <row r="811" spans="1:51" ht="30" customHeight="1" x14ac:dyDescent="0.3">
      <c r="A811" s="44" t="s">
        <v>1961</v>
      </c>
      <c r="B811" s="44"/>
      <c r="C811" s="44"/>
      <c r="D811" s="44"/>
      <c r="E811" s="45"/>
      <c r="F811" s="46"/>
      <c r="G811" s="45"/>
      <c r="H811" s="46"/>
      <c r="I811" s="45"/>
      <c r="J811" s="46"/>
      <c r="K811" s="45"/>
      <c r="L811" s="46"/>
      <c r="M811" s="44"/>
      <c r="N811" s="1" t="s">
        <v>672</v>
      </c>
    </row>
    <row r="812" spans="1:51" ht="30" customHeight="1" x14ac:dyDescent="0.3">
      <c r="A812" s="9" t="s">
        <v>1060</v>
      </c>
      <c r="B812" s="9" t="s">
        <v>822</v>
      </c>
      <c r="C812" s="9" t="s">
        <v>823</v>
      </c>
      <c r="D812" s="10">
        <v>1.6E-2</v>
      </c>
      <c r="E812" s="15">
        <f>'단가대비표(총체)'!O195</f>
        <v>0</v>
      </c>
      <c r="F812" s="16">
        <f>TRUNC(E812*D812,1)</f>
        <v>0</v>
      </c>
      <c r="G812" s="15">
        <f>'단가대비표(총체)'!P195</f>
        <v>0</v>
      </c>
      <c r="H812" s="16">
        <f>TRUNC(G812*D812,1)</f>
        <v>0</v>
      </c>
      <c r="I812" s="15">
        <f>'단가대비표(총체)'!V195</f>
        <v>0</v>
      </c>
      <c r="J812" s="16">
        <f>TRUNC(I812*D812,1)</f>
        <v>0</v>
      </c>
      <c r="K812" s="15">
        <f>TRUNC(E812+G812+I812,1)</f>
        <v>0</v>
      </c>
      <c r="L812" s="16">
        <f>TRUNC(F812+H812+J812,1)</f>
        <v>0</v>
      </c>
      <c r="M812" s="9" t="s">
        <v>52</v>
      </c>
      <c r="N812" s="2" t="s">
        <v>672</v>
      </c>
      <c r="O812" s="2" t="s">
        <v>1061</v>
      </c>
      <c r="P812" s="2" t="s">
        <v>61</v>
      </c>
      <c r="Q812" s="2" t="s">
        <v>61</v>
      </c>
      <c r="R812" s="2" t="s">
        <v>60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2" t="s">
        <v>52</v>
      </c>
      <c r="AW812" s="2" t="s">
        <v>1963</v>
      </c>
      <c r="AX812" s="2" t="s">
        <v>52</v>
      </c>
      <c r="AY812" s="2" t="s">
        <v>52</v>
      </c>
    </row>
    <row r="813" spans="1:51" ht="30" customHeight="1" x14ac:dyDescent="0.3">
      <c r="A813" s="9" t="s">
        <v>821</v>
      </c>
      <c r="B813" s="9" t="s">
        <v>822</v>
      </c>
      <c r="C813" s="9" t="s">
        <v>823</v>
      </c>
      <c r="D813" s="10">
        <v>1.0999999999999999E-2</v>
      </c>
      <c r="E813" s="15">
        <f>'단가대비표(총체)'!O180</f>
        <v>0</v>
      </c>
      <c r="F813" s="16">
        <f>TRUNC(E813*D813,1)</f>
        <v>0</v>
      </c>
      <c r="G813" s="15">
        <f>'단가대비표(총체)'!P180</f>
        <v>0</v>
      </c>
      <c r="H813" s="16">
        <f>TRUNC(G813*D813,1)</f>
        <v>0</v>
      </c>
      <c r="I813" s="15">
        <f>'단가대비표(총체)'!V180</f>
        <v>0</v>
      </c>
      <c r="J813" s="16">
        <f>TRUNC(I813*D813,1)</f>
        <v>0</v>
      </c>
      <c r="K813" s="15">
        <f>TRUNC(E813+G813+I813,1)</f>
        <v>0</v>
      </c>
      <c r="L813" s="16">
        <f>TRUNC(F813+H813+J813,1)</f>
        <v>0</v>
      </c>
      <c r="M813" s="9" t="s">
        <v>52</v>
      </c>
      <c r="N813" s="2" t="s">
        <v>672</v>
      </c>
      <c r="O813" s="2" t="s">
        <v>824</v>
      </c>
      <c r="P813" s="2" t="s">
        <v>61</v>
      </c>
      <c r="Q813" s="2" t="s">
        <v>61</v>
      </c>
      <c r="R813" s="2" t="s">
        <v>60</v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2" t="s">
        <v>52</v>
      </c>
      <c r="AW813" s="2" t="s">
        <v>1964</v>
      </c>
      <c r="AX813" s="2" t="s">
        <v>52</v>
      </c>
      <c r="AY813" s="2" t="s">
        <v>52</v>
      </c>
    </row>
    <row r="814" spans="1:51" ht="30" customHeight="1" x14ac:dyDescent="0.3">
      <c r="A814" s="9" t="s">
        <v>811</v>
      </c>
      <c r="B814" s="9" t="s">
        <v>52</v>
      </c>
      <c r="C814" s="9" t="s">
        <v>52</v>
      </c>
      <c r="D814" s="10"/>
      <c r="E814" s="15"/>
      <c r="F814" s="16">
        <f>TRUNC(SUMIF(N812:N813, N811, F812:F813),0)</f>
        <v>0</v>
      </c>
      <c r="G814" s="15"/>
      <c r="H814" s="16">
        <f>TRUNC(SUMIF(N812:N813, N811, H812:H813),0)</f>
        <v>0</v>
      </c>
      <c r="I814" s="15"/>
      <c r="J814" s="16">
        <f>TRUNC(SUMIF(N812:N813, N811, J812:J813),0)</f>
        <v>0</v>
      </c>
      <c r="K814" s="15"/>
      <c r="L814" s="16">
        <f>F814+H814+J814</f>
        <v>0</v>
      </c>
      <c r="M814" s="9" t="s">
        <v>52</v>
      </c>
      <c r="N814" s="2" t="s">
        <v>94</v>
      </c>
      <c r="O814" s="2" t="s">
        <v>94</v>
      </c>
      <c r="P814" s="2" t="s">
        <v>52</v>
      </c>
      <c r="Q814" s="2" t="s">
        <v>52</v>
      </c>
      <c r="R814" s="2" t="s">
        <v>52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2" t="s">
        <v>52</v>
      </c>
      <c r="AW814" s="2" t="s">
        <v>52</v>
      </c>
      <c r="AX814" s="2" t="s">
        <v>52</v>
      </c>
      <c r="AY814" s="2" t="s">
        <v>52</v>
      </c>
    </row>
    <row r="815" spans="1:51" ht="30" customHeight="1" x14ac:dyDescent="0.3">
      <c r="A815" s="10"/>
      <c r="B815" s="10"/>
      <c r="C815" s="10"/>
      <c r="D815" s="10"/>
      <c r="E815" s="15"/>
      <c r="F815" s="16"/>
      <c r="G815" s="15"/>
      <c r="H815" s="16"/>
      <c r="I815" s="15"/>
      <c r="J815" s="16"/>
      <c r="K815" s="15"/>
      <c r="L815" s="16"/>
      <c r="M815" s="10"/>
    </row>
    <row r="816" spans="1:51" ht="30" customHeight="1" x14ac:dyDescent="0.3">
      <c r="A816" s="44" t="s">
        <v>1965</v>
      </c>
      <c r="B816" s="44"/>
      <c r="C816" s="44"/>
      <c r="D816" s="44"/>
      <c r="E816" s="45"/>
      <c r="F816" s="46"/>
      <c r="G816" s="45"/>
      <c r="H816" s="46"/>
      <c r="I816" s="45"/>
      <c r="J816" s="46"/>
      <c r="K816" s="45"/>
      <c r="L816" s="46"/>
      <c r="M816" s="44"/>
      <c r="N816" s="1" t="s">
        <v>675</v>
      </c>
    </row>
    <row r="817" spans="1:51" ht="30" customHeight="1" x14ac:dyDescent="0.3">
      <c r="A817" s="9" t="s">
        <v>1060</v>
      </c>
      <c r="B817" s="9" t="s">
        <v>822</v>
      </c>
      <c r="C817" s="9" t="s">
        <v>823</v>
      </c>
      <c r="D817" s="10">
        <v>1.6E-2</v>
      </c>
      <c r="E817" s="15">
        <f>'단가대비표(총체)'!O195</f>
        <v>0</v>
      </c>
      <c r="F817" s="16">
        <f>TRUNC(E817*D817,1)</f>
        <v>0</v>
      </c>
      <c r="G817" s="15">
        <f>'단가대비표(총체)'!P195</f>
        <v>0</v>
      </c>
      <c r="H817" s="16">
        <f>TRUNC(G817*D817,1)</f>
        <v>0</v>
      </c>
      <c r="I817" s="15">
        <f>'단가대비표(총체)'!V195</f>
        <v>0</v>
      </c>
      <c r="J817" s="16">
        <f>TRUNC(I817*D817,1)</f>
        <v>0</v>
      </c>
      <c r="K817" s="15">
        <f t="shared" ref="K817:L819" si="167">TRUNC(E817+G817+I817,1)</f>
        <v>0</v>
      </c>
      <c r="L817" s="16">
        <f t="shared" si="167"/>
        <v>0</v>
      </c>
      <c r="M817" s="9" t="s">
        <v>52</v>
      </c>
      <c r="N817" s="2" t="s">
        <v>675</v>
      </c>
      <c r="O817" s="2" t="s">
        <v>1061</v>
      </c>
      <c r="P817" s="2" t="s">
        <v>61</v>
      </c>
      <c r="Q817" s="2" t="s">
        <v>61</v>
      </c>
      <c r="R817" s="2" t="s">
        <v>60</v>
      </c>
      <c r="S817" s="3"/>
      <c r="T817" s="3"/>
      <c r="U817" s="3"/>
      <c r="V817" s="3">
        <v>1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2" t="s">
        <v>52</v>
      </c>
      <c r="AW817" s="2" t="s">
        <v>1967</v>
      </c>
      <c r="AX817" s="2" t="s">
        <v>52</v>
      </c>
      <c r="AY817" s="2" t="s">
        <v>52</v>
      </c>
    </row>
    <row r="818" spans="1:51" ht="30" customHeight="1" x14ac:dyDescent="0.3">
      <c r="A818" s="9" t="s">
        <v>821</v>
      </c>
      <c r="B818" s="9" t="s">
        <v>822</v>
      </c>
      <c r="C818" s="9" t="s">
        <v>823</v>
      </c>
      <c r="D818" s="10">
        <v>1.2E-2</v>
      </c>
      <c r="E818" s="15">
        <f>'단가대비표(총체)'!O180</f>
        <v>0</v>
      </c>
      <c r="F818" s="16">
        <f>TRUNC(E818*D818,1)</f>
        <v>0</v>
      </c>
      <c r="G818" s="15">
        <f>'단가대비표(총체)'!P180</f>
        <v>0</v>
      </c>
      <c r="H818" s="16">
        <f>TRUNC(G818*D818,1)</f>
        <v>0</v>
      </c>
      <c r="I818" s="15">
        <f>'단가대비표(총체)'!V180</f>
        <v>0</v>
      </c>
      <c r="J818" s="16">
        <f>TRUNC(I818*D818,1)</f>
        <v>0</v>
      </c>
      <c r="K818" s="15">
        <f t="shared" si="167"/>
        <v>0</v>
      </c>
      <c r="L818" s="16">
        <f t="shared" si="167"/>
        <v>0</v>
      </c>
      <c r="M818" s="9" t="s">
        <v>52</v>
      </c>
      <c r="N818" s="2" t="s">
        <v>675</v>
      </c>
      <c r="O818" s="2" t="s">
        <v>824</v>
      </c>
      <c r="P818" s="2" t="s">
        <v>61</v>
      </c>
      <c r="Q818" s="2" t="s">
        <v>61</v>
      </c>
      <c r="R818" s="2" t="s">
        <v>60</v>
      </c>
      <c r="S818" s="3"/>
      <c r="T818" s="3"/>
      <c r="U818" s="3"/>
      <c r="V818" s="3">
        <v>1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2" t="s">
        <v>52</v>
      </c>
      <c r="AW818" s="2" t="s">
        <v>1968</v>
      </c>
      <c r="AX818" s="2" t="s">
        <v>52</v>
      </c>
      <c r="AY818" s="2" t="s">
        <v>52</v>
      </c>
    </row>
    <row r="819" spans="1:51" ht="30" customHeight="1" x14ac:dyDescent="0.3">
      <c r="A819" s="9" t="s">
        <v>874</v>
      </c>
      <c r="B819" s="9" t="s">
        <v>891</v>
      </c>
      <c r="C819" s="9" t="s">
        <v>307</v>
      </c>
      <c r="D819" s="10">
        <v>1</v>
      </c>
      <c r="E819" s="15">
        <v>0</v>
      </c>
      <c r="F819" s="16">
        <f>TRUNC(E819*D819,1)</f>
        <v>0</v>
      </c>
      <c r="G819" s="15">
        <v>0</v>
      </c>
      <c r="H819" s="16">
        <f>TRUNC(G819*D819,1)</f>
        <v>0</v>
      </c>
      <c r="I819" s="15">
        <f>TRUNC(SUMIF(V817:V819, RIGHTB(O819, 1), H817:H819)*U819, 2)</f>
        <v>0</v>
      </c>
      <c r="J819" s="16">
        <f>TRUNC(I819*D819,1)</f>
        <v>0</v>
      </c>
      <c r="K819" s="15">
        <f t="shared" si="167"/>
        <v>0</v>
      </c>
      <c r="L819" s="16">
        <f t="shared" si="167"/>
        <v>0</v>
      </c>
      <c r="M819" s="9" t="s">
        <v>52</v>
      </c>
      <c r="N819" s="2" t="s">
        <v>675</v>
      </c>
      <c r="O819" s="2" t="s">
        <v>809</v>
      </c>
      <c r="P819" s="2" t="s">
        <v>61</v>
      </c>
      <c r="Q819" s="2" t="s">
        <v>61</v>
      </c>
      <c r="R819" s="2" t="s">
        <v>61</v>
      </c>
      <c r="S819" s="3">
        <v>1</v>
      </c>
      <c r="T819" s="3">
        <v>2</v>
      </c>
      <c r="U819" s="3">
        <v>0.02</v>
      </c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2" t="s">
        <v>52</v>
      </c>
      <c r="AW819" s="2" t="s">
        <v>1969</v>
      </c>
      <c r="AX819" s="2" t="s">
        <v>52</v>
      </c>
      <c r="AY819" s="2" t="s">
        <v>52</v>
      </c>
    </row>
    <row r="820" spans="1:51" ht="30" customHeight="1" x14ac:dyDescent="0.3">
      <c r="A820" s="9" t="s">
        <v>811</v>
      </c>
      <c r="B820" s="9" t="s">
        <v>52</v>
      </c>
      <c r="C820" s="9" t="s">
        <v>52</v>
      </c>
      <c r="D820" s="10"/>
      <c r="E820" s="15"/>
      <c r="F820" s="16">
        <f>TRUNC(SUMIF(N817:N819, N816, F817:F819),0)</f>
        <v>0</v>
      </c>
      <c r="G820" s="15"/>
      <c r="H820" s="16">
        <f>TRUNC(SUMIF(N817:N819, N816, H817:H819),0)</f>
        <v>0</v>
      </c>
      <c r="I820" s="15"/>
      <c r="J820" s="16">
        <f>TRUNC(SUMIF(N817:N819, N816, J817:J819),0)</f>
        <v>0</v>
      </c>
      <c r="K820" s="15"/>
      <c r="L820" s="16">
        <f>F820+H820+J820</f>
        <v>0</v>
      </c>
      <c r="M820" s="9" t="s">
        <v>52</v>
      </c>
      <c r="N820" s="2" t="s">
        <v>94</v>
      </c>
      <c r="O820" s="2" t="s">
        <v>94</v>
      </c>
      <c r="P820" s="2" t="s">
        <v>52</v>
      </c>
      <c r="Q820" s="2" t="s">
        <v>52</v>
      </c>
      <c r="R820" s="2" t="s">
        <v>52</v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2" t="s">
        <v>52</v>
      </c>
      <c r="AW820" s="2" t="s">
        <v>52</v>
      </c>
      <c r="AX820" s="2" t="s">
        <v>52</v>
      </c>
      <c r="AY820" s="2" t="s">
        <v>52</v>
      </c>
    </row>
    <row r="821" spans="1:51" ht="30" customHeight="1" x14ac:dyDescent="0.3">
      <c r="A821" s="10"/>
      <c r="B821" s="10"/>
      <c r="C821" s="10"/>
      <c r="D821" s="10"/>
      <c r="E821" s="15"/>
      <c r="F821" s="16"/>
      <c r="G821" s="15"/>
      <c r="H821" s="16"/>
      <c r="I821" s="15"/>
      <c r="J821" s="16"/>
      <c r="K821" s="15"/>
      <c r="L821" s="16"/>
      <c r="M821" s="10"/>
    </row>
    <row r="822" spans="1:51" ht="30" customHeight="1" x14ac:dyDescent="0.3">
      <c r="A822" s="44" t="s">
        <v>1970</v>
      </c>
      <c r="B822" s="44"/>
      <c r="C822" s="44"/>
      <c r="D822" s="44"/>
      <c r="E822" s="45"/>
      <c r="F822" s="46"/>
      <c r="G822" s="45"/>
      <c r="H822" s="46"/>
      <c r="I822" s="45"/>
      <c r="J822" s="46"/>
      <c r="K822" s="45"/>
      <c r="L822" s="46"/>
      <c r="M822" s="44"/>
      <c r="N822" s="1" t="s">
        <v>678</v>
      </c>
    </row>
    <row r="823" spans="1:51" ht="30" customHeight="1" x14ac:dyDescent="0.3">
      <c r="A823" s="9" t="s">
        <v>1254</v>
      </c>
      <c r="B823" s="9" t="s">
        <v>822</v>
      </c>
      <c r="C823" s="9" t="s">
        <v>823</v>
      </c>
      <c r="D823" s="10">
        <v>8.0000000000000002E-3</v>
      </c>
      <c r="E823" s="15">
        <f>'단가대비표(총체)'!O200</f>
        <v>0</v>
      </c>
      <c r="F823" s="16">
        <f>TRUNC(E823*D823,1)</f>
        <v>0</v>
      </c>
      <c r="G823" s="15">
        <f>'단가대비표(총체)'!P200</f>
        <v>0</v>
      </c>
      <c r="H823" s="16">
        <f>TRUNC(G823*D823,1)</f>
        <v>0</v>
      </c>
      <c r="I823" s="15">
        <f>'단가대비표(총체)'!V200</f>
        <v>0</v>
      </c>
      <c r="J823" s="16">
        <f>TRUNC(I823*D823,1)</f>
        <v>0</v>
      </c>
      <c r="K823" s="15">
        <f>TRUNC(E823+G823+I823,1)</f>
        <v>0</v>
      </c>
      <c r="L823" s="16">
        <f>TRUNC(F823+H823+J823,1)</f>
        <v>0</v>
      </c>
      <c r="M823" s="9" t="s">
        <v>52</v>
      </c>
      <c r="N823" s="2" t="s">
        <v>678</v>
      </c>
      <c r="O823" s="2" t="s">
        <v>1255</v>
      </c>
      <c r="P823" s="2" t="s">
        <v>61</v>
      </c>
      <c r="Q823" s="2" t="s">
        <v>61</v>
      </c>
      <c r="R823" s="2" t="s">
        <v>60</v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2" t="s">
        <v>52</v>
      </c>
      <c r="AW823" s="2" t="s">
        <v>1972</v>
      </c>
      <c r="AX823" s="2" t="s">
        <v>52</v>
      </c>
      <c r="AY823" s="2" t="s">
        <v>52</v>
      </c>
    </row>
    <row r="824" spans="1:51" ht="30" customHeight="1" x14ac:dyDescent="0.3">
      <c r="A824" s="9" t="s">
        <v>821</v>
      </c>
      <c r="B824" s="9" t="s">
        <v>822</v>
      </c>
      <c r="C824" s="9" t="s">
        <v>823</v>
      </c>
      <c r="D824" s="10">
        <v>5.0000000000000001E-3</v>
      </c>
      <c r="E824" s="15">
        <f>'단가대비표(총체)'!O180</f>
        <v>0</v>
      </c>
      <c r="F824" s="16">
        <f>TRUNC(E824*D824,1)</f>
        <v>0</v>
      </c>
      <c r="G824" s="15">
        <f>'단가대비표(총체)'!P180</f>
        <v>0</v>
      </c>
      <c r="H824" s="16">
        <f>TRUNC(G824*D824,1)</f>
        <v>0</v>
      </c>
      <c r="I824" s="15">
        <f>'단가대비표(총체)'!V180</f>
        <v>0</v>
      </c>
      <c r="J824" s="16">
        <f>TRUNC(I824*D824,1)</f>
        <v>0</v>
      </c>
      <c r="K824" s="15">
        <f>TRUNC(E824+G824+I824,1)</f>
        <v>0</v>
      </c>
      <c r="L824" s="16">
        <f>TRUNC(F824+H824+J824,1)</f>
        <v>0</v>
      </c>
      <c r="M824" s="9" t="s">
        <v>52</v>
      </c>
      <c r="N824" s="2" t="s">
        <v>678</v>
      </c>
      <c r="O824" s="2" t="s">
        <v>824</v>
      </c>
      <c r="P824" s="2" t="s">
        <v>61</v>
      </c>
      <c r="Q824" s="2" t="s">
        <v>61</v>
      </c>
      <c r="R824" s="2" t="s">
        <v>60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2" t="s">
        <v>52</v>
      </c>
      <c r="AW824" s="2" t="s">
        <v>1973</v>
      </c>
      <c r="AX824" s="2" t="s">
        <v>52</v>
      </c>
      <c r="AY824" s="2" t="s">
        <v>52</v>
      </c>
    </row>
    <row r="825" spans="1:51" ht="30" customHeight="1" x14ac:dyDescent="0.3">
      <c r="A825" s="9" t="s">
        <v>811</v>
      </c>
      <c r="B825" s="9" t="s">
        <v>52</v>
      </c>
      <c r="C825" s="9" t="s">
        <v>52</v>
      </c>
      <c r="D825" s="10"/>
      <c r="E825" s="15"/>
      <c r="F825" s="16">
        <f>TRUNC(SUMIF(N823:N824, N822, F823:F824),0)</f>
        <v>0</v>
      </c>
      <c r="G825" s="15"/>
      <c r="H825" s="16">
        <f>TRUNC(SUMIF(N823:N824, N822, H823:H824),0)</f>
        <v>0</v>
      </c>
      <c r="I825" s="15"/>
      <c r="J825" s="16">
        <f>TRUNC(SUMIF(N823:N824, N822, J823:J824),0)</f>
        <v>0</v>
      </c>
      <c r="K825" s="15"/>
      <c r="L825" s="16">
        <f>F825+H825+J825</f>
        <v>0</v>
      </c>
      <c r="M825" s="9" t="s">
        <v>52</v>
      </c>
      <c r="N825" s="2" t="s">
        <v>94</v>
      </c>
      <c r="O825" s="2" t="s">
        <v>94</v>
      </c>
      <c r="P825" s="2" t="s">
        <v>52</v>
      </c>
      <c r="Q825" s="2" t="s">
        <v>52</v>
      </c>
      <c r="R825" s="2" t="s">
        <v>52</v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2" t="s">
        <v>52</v>
      </c>
      <c r="AW825" s="2" t="s">
        <v>52</v>
      </c>
      <c r="AX825" s="2" t="s">
        <v>52</v>
      </c>
      <c r="AY825" s="2" t="s">
        <v>52</v>
      </c>
    </row>
    <row r="826" spans="1:51" ht="30" customHeight="1" x14ac:dyDescent="0.3">
      <c r="A826" s="10"/>
      <c r="B826" s="10"/>
      <c r="C826" s="10"/>
      <c r="D826" s="10"/>
      <c r="E826" s="15"/>
      <c r="F826" s="16"/>
      <c r="G826" s="15"/>
      <c r="H826" s="16"/>
      <c r="I826" s="15"/>
      <c r="J826" s="16"/>
      <c r="K826" s="15"/>
      <c r="L826" s="16"/>
      <c r="M826" s="10"/>
    </row>
    <row r="827" spans="1:51" ht="30" customHeight="1" x14ac:dyDescent="0.3">
      <c r="A827" s="44" t="s">
        <v>1974</v>
      </c>
      <c r="B827" s="44"/>
      <c r="C827" s="44"/>
      <c r="D827" s="44"/>
      <c r="E827" s="45"/>
      <c r="F827" s="46"/>
      <c r="G827" s="45"/>
      <c r="H827" s="46"/>
      <c r="I827" s="45"/>
      <c r="J827" s="46"/>
      <c r="K827" s="45"/>
      <c r="L827" s="46"/>
      <c r="M827" s="44"/>
      <c r="N827" s="1" t="s">
        <v>680</v>
      </c>
    </row>
    <row r="828" spans="1:51" ht="30" customHeight="1" x14ac:dyDescent="0.3">
      <c r="A828" s="9" t="s">
        <v>1254</v>
      </c>
      <c r="B828" s="9" t="s">
        <v>822</v>
      </c>
      <c r="C828" s="9" t="s">
        <v>823</v>
      </c>
      <c r="D828" s="10">
        <v>0.01</v>
      </c>
      <c r="E828" s="15">
        <f>'단가대비표(총체)'!O200</f>
        <v>0</v>
      </c>
      <c r="F828" s="16">
        <f>TRUNC(E828*D828,1)</f>
        <v>0</v>
      </c>
      <c r="G828" s="15">
        <f>'단가대비표(총체)'!P200</f>
        <v>0</v>
      </c>
      <c r="H828" s="16">
        <f>TRUNC(G828*D828,1)</f>
        <v>0</v>
      </c>
      <c r="I828" s="15">
        <f>'단가대비표(총체)'!V200</f>
        <v>0</v>
      </c>
      <c r="J828" s="16">
        <f>TRUNC(I828*D828,1)</f>
        <v>0</v>
      </c>
      <c r="K828" s="15">
        <f>TRUNC(E828+G828+I828,1)</f>
        <v>0</v>
      </c>
      <c r="L828" s="16">
        <f>TRUNC(F828+H828+J828,1)</f>
        <v>0</v>
      </c>
      <c r="M828" s="9" t="s">
        <v>52</v>
      </c>
      <c r="N828" s="2" t="s">
        <v>680</v>
      </c>
      <c r="O828" s="2" t="s">
        <v>1255</v>
      </c>
      <c r="P828" s="2" t="s">
        <v>61</v>
      </c>
      <c r="Q828" s="2" t="s">
        <v>61</v>
      </c>
      <c r="R828" s="2" t="s">
        <v>60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2" t="s">
        <v>52</v>
      </c>
      <c r="AW828" s="2" t="s">
        <v>1976</v>
      </c>
      <c r="AX828" s="2" t="s">
        <v>52</v>
      </c>
      <c r="AY828" s="2" t="s">
        <v>52</v>
      </c>
    </row>
    <row r="829" spans="1:51" ht="30" customHeight="1" x14ac:dyDescent="0.3">
      <c r="A829" s="9" t="s">
        <v>821</v>
      </c>
      <c r="B829" s="9" t="s">
        <v>822</v>
      </c>
      <c r="C829" s="9" t="s">
        <v>823</v>
      </c>
      <c r="D829" s="10">
        <v>7.0000000000000001E-3</v>
      </c>
      <c r="E829" s="15">
        <f>'단가대비표(총체)'!O180</f>
        <v>0</v>
      </c>
      <c r="F829" s="16">
        <f>TRUNC(E829*D829,1)</f>
        <v>0</v>
      </c>
      <c r="G829" s="15">
        <f>'단가대비표(총체)'!P180</f>
        <v>0</v>
      </c>
      <c r="H829" s="16">
        <f>TRUNC(G829*D829,1)</f>
        <v>0</v>
      </c>
      <c r="I829" s="15">
        <f>'단가대비표(총체)'!V180</f>
        <v>0</v>
      </c>
      <c r="J829" s="16">
        <f>TRUNC(I829*D829,1)</f>
        <v>0</v>
      </c>
      <c r="K829" s="15">
        <f>TRUNC(E829+G829+I829,1)</f>
        <v>0</v>
      </c>
      <c r="L829" s="16">
        <f>TRUNC(F829+H829+J829,1)</f>
        <v>0</v>
      </c>
      <c r="M829" s="9" t="s">
        <v>52</v>
      </c>
      <c r="N829" s="2" t="s">
        <v>680</v>
      </c>
      <c r="O829" s="2" t="s">
        <v>824</v>
      </c>
      <c r="P829" s="2" t="s">
        <v>61</v>
      </c>
      <c r="Q829" s="2" t="s">
        <v>61</v>
      </c>
      <c r="R829" s="2" t="s">
        <v>60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2" t="s">
        <v>52</v>
      </c>
      <c r="AW829" s="2" t="s">
        <v>1977</v>
      </c>
      <c r="AX829" s="2" t="s">
        <v>52</v>
      </c>
      <c r="AY829" s="2" t="s">
        <v>52</v>
      </c>
    </row>
    <row r="830" spans="1:51" ht="30" customHeight="1" x14ac:dyDescent="0.3">
      <c r="A830" s="9" t="s">
        <v>811</v>
      </c>
      <c r="B830" s="9" t="s">
        <v>52</v>
      </c>
      <c r="C830" s="9" t="s">
        <v>52</v>
      </c>
      <c r="D830" s="10"/>
      <c r="E830" s="15"/>
      <c r="F830" s="16">
        <f>TRUNC(SUMIF(N828:N829, N827, F828:F829),0)</f>
        <v>0</v>
      </c>
      <c r="G830" s="15"/>
      <c r="H830" s="16">
        <f>TRUNC(SUMIF(N828:N829, N827, H828:H829),0)</f>
        <v>0</v>
      </c>
      <c r="I830" s="15"/>
      <c r="J830" s="16">
        <f>TRUNC(SUMIF(N828:N829, N827, J828:J829),0)</f>
        <v>0</v>
      </c>
      <c r="K830" s="15"/>
      <c r="L830" s="16">
        <f>F830+H830+J830</f>
        <v>0</v>
      </c>
      <c r="M830" s="9" t="s">
        <v>52</v>
      </c>
      <c r="N830" s="2" t="s">
        <v>94</v>
      </c>
      <c r="O830" s="2" t="s">
        <v>94</v>
      </c>
      <c r="P830" s="2" t="s">
        <v>52</v>
      </c>
      <c r="Q830" s="2" t="s">
        <v>52</v>
      </c>
      <c r="R830" s="2" t="s">
        <v>52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2" t="s">
        <v>52</v>
      </c>
      <c r="AW830" s="2" t="s">
        <v>52</v>
      </c>
      <c r="AX830" s="2" t="s">
        <v>52</v>
      </c>
      <c r="AY830" s="2" t="s">
        <v>52</v>
      </c>
    </row>
    <row r="831" spans="1:51" ht="30" customHeight="1" x14ac:dyDescent="0.3">
      <c r="A831" s="10"/>
      <c r="B831" s="10"/>
      <c r="C831" s="10"/>
      <c r="D831" s="10"/>
      <c r="E831" s="15"/>
      <c r="F831" s="16"/>
      <c r="G831" s="15"/>
      <c r="H831" s="16"/>
      <c r="I831" s="15"/>
      <c r="J831" s="16"/>
      <c r="K831" s="15"/>
      <c r="L831" s="16"/>
      <c r="M831" s="10"/>
    </row>
    <row r="832" spans="1:51" ht="30" customHeight="1" x14ac:dyDescent="0.3">
      <c r="A832" s="44" t="s">
        <v>1978</v>
      </c>
      <c r="B832" s="44"/>
      <c r="C832" s="44"/>
      <c r="D832" s="44"/>
      <c r="E832" s="45"/>
      <c r="F832" s="46"/>
      <c r="G832" s="45"/>
      <c r="H832" s="46"/>
      <c r="I832" s="45"/>
      <c r="J832" s="46"/>
      <c r="K832" s="45"/>
      <c r="L832" s="46"/>
      <c r="M832" s="44"/>
      <c r="N832" s="1" t="s">
        <v>684</v>
      </c>
    </row>
    <row r="833" spans="1:51" ht="30" customHeight="1" x14ac:dyDescent="0.3">
      <c r="A833" s="9" t="s">
        <v>1980</v>
      </c>
      <c r="B833" s="9" t="s">
        <v>822</v>
      </c>
      <c r="C833" s="9" t="s">
        <v>823</v>
      </c>
      <c r="D833" s="10">
        <v>0.38</v>
      </c>
      <c r="E833" s="15">
        <f>'단가대비표(총체)'!O186</f>
        <v>0</v>
      </c>
      <c r="F833" s="16">
        <f>TRUNC(E833*D833,1)</f>
        <v>0</v>
      </c>
      <c r="G833" s="15">
        <f>'단가대비표(총체)'!P186</f>
        <v>0</v>
      </c>
      <c r="H833" s="16">
        <f>TRUNC(G833*D833,1)</f>
        <v>0</v>
      </c>
      <c r="I833" s="15">
        <f>'단가대비표(총체)'!V186</f>
        <v>0</v>
      </c>
      <c r="J833" s="16">
        <f>TRUNC(I833*D833,1)</f>
        <v>0</v>
      </c>
      <c r="K833" s="15">
        <f t="shared" ref="K833:L835" si="168">TRUNC(E833+G833+I833,1)</f>
        <v>0</v>
      </c>
      <c r="L833" s="16">
        <f t="shared" si="168"/>
        <v>0</v>
      </c>
      <c r="M833" s="9" t="s">
        <v>52</v>
      </c>
      <c r="N833" s="2" t="s">
        <v>684</v>
      </c>
      <c r="O833" s="2" t="s">
        <v>1981</v>
      </c>
      <c r="P833" s="2" t="s">
        <v>61</v>
      </c>
      <c r="Q833" s="2" t="s">
        <v>61</v>
      </c>
      <c r="R833" s="2" t="s">
        <v>60</v>
      </c>
      <c r="S833" s="3"/>
      <c r="T833" s="3"/>
      <c r="U833" s="3"/>
      <c r="V833" s="3">
        <v>1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2" t="s">
        <v>52</v>
      </c>
      <c r="AW833" s="2" t="s">
        <v>1982</v>
      </c>
      <c r="AX833" s="2" t="s">
        <v>52</v>
      </c>
      <c r="AY833" s="2" t="s">
        <v>52</v>
      </c>
    </row>
    <row r="834" spans="1:51" ht="30" customHeight="1" x14ac:dyDescent="0.3">
      <c r="A834" s="9" t="s">
        <v>821</v>
      </c>
      <c r="B834" s="9" t="s">
        <v>822</v>
      </c>
      <c r="C834" s="9" t="s">
        <v>823</v>
      </c>
      <c r="D834" s="10">
        <v>0.252</v>
      </c>
      <c r="E834" s="15">
        <f>'단가대비표(총체)'!O180</f>
        <v>0</v>
      </c>
      <c r="F834" s="16">
        <f>TRUNC(E834*D834,1)</f>
        <v>0</v>
      </c>
      <c r="G834" s="15">
        <f>'단가대비표(총체)'!P180</f>
        <v>0</v>
      </c>
      <c r="H834" s="16">
        <f>TRUNC(G834*D834,1)</f>
        <v>0</v>
      </c>
      <c r="I834" s="15">
        <f>'단가대비표(총체)'!V180</f>
        <v>0</v>
      </c>
      <c r="J834" s="16">
        <f>TRUNC(I834*D834,1)</f>
        <v>0</v>
      </c>
      <c r="K834" s="15">
        <f t="shared" si="168"/>
        <v>0</v>
      </c>
      <c r="L834" s="16">
        <f t="shared" si="168"/>
        <v>0</v>
      </c>
      <c r="M834" s="9" t="s">
        <v>52</v>
      </c>
      <c r="N834" s="2" t="s">
        <v>684</v>
      </c>
      <c r="O834" s="2" t="s">
        <v>824</v>
      </c>
      <c r="P834" s="2" t="s">
        <v>61</v>
      </c>
      <c r="Q834" s="2" t="s">
        <v>61</v>
      </c>
      <c r="R834" s="2" t="s">
        <v>60</v>
      </c>
      <c r="S834" s="3"/>
      <c r="T834" s="3"/>
      <c r="U834" s="3"/>
      <c r="V834" s="3">
        <v>1</v>
      </c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2" t="s">
        <v>52</v>
      </c>
      <c r="AW834" s="2" t="s">
        <v>1983</v>
      </c>
      <c r="AX834" s="2" t="s">
        <v>52</v>
      </c>
      <c r="AY834" s="2" t="s">
        <v>52</v>
      </c>
    </row>
    <row r="835" spans="1:51" ht="30" customHeight="1" x14ac:dyDescent="0.3">
      <c r="A835" s="9" t="s">
        <v>874</v>
      </c>
      <c r="B835" s="9" t="s">
        <v>891</v>
      </c>
      <c r="C835" s="9" t="s">
        <v>307</v>
      </c>
      <c r="D835" s="10">
        <v>1</v>
      </c>
      <c r="E835" s="15">
        <v>0</v>
      </c>
      <c r="F835" s="16">
        <f>TRUNC(E835*D835,1)</f>
        <v>0</v>
      </c>
      <c r="G835" s="15">
        <v>0</v>
      </c>
      <c r="H835" s="16">
        <f>TRUNC(G835*D835,1)</f>
        <v>0</v>
      </c>
      <c r="I835" s="15">
        <f>TRUNC(SUMIF(V833:V835, RIGHTB(O835, 1), H833:H835)*U835, 2)</f>
        <v>0</v>
      </c>
      <c r="J835" s="16">
        <f>TRUNC(I835*D835,1)</f>
        <v>0</v>
      </c>
      <c r="K835" s="15">
        <f t="shared" si="168"/>
        <v>0</v>
      </c>
      <c r="L835" s="16">
        <f t="shared" si="168"/>
        <v>0</v>
      </c>
      <c r="M835" s="9" t="s">
        <v>52</v>
      </c>
      <c r="N835" s="2" t="s">
        <v>684</v>
      </c>
      <c r="O835" s="2" t="s">
        <v>809</v>
      </c>
      <c r="P835" s="2" t="s">
        <v>61</v>
      </c>
      <c r="Q835" s="2" t="s">
        <v>61</v>
      </c>
      <c r="R835" s="2" t="s">
        <v>61</v>
      </c>
      <c r="S835" s="3">
        <v>1</v>
      </c>
      <c r="T835" s="3">
        <v>2</v>
      </c>
      <c r="U835" s="3">
        <v>0.02</v>
      </c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2" t="s">
        <v>52</v>
      </c>
      <c r="AW835" s="2" t="s">
        <v>1984</v>
      </c>
      <c r="AX835" s="2" t="s">
        <v>52</v>
      </c>
      <c r="AY835" s="2" t="s">
        <v>52</v>
      </c>
    </row>
    <row r="836" spans="1:51" ht="30" customHeight="1" x14ac:dyDescent="0.3">
      <c r="A836" s="9" t="s">
        <v>811</v>
      </c>
      <c r="B836" s="9" t="s">
        <v>52</v>
      </c>
      <c r="C836" s="9" t="s">
        <v>52</v>
      </c>
      <c r="D836" s="10"/>
      <c r="E836" s="15"/>
      <c r="F836" s="16">
        <f>TRUNC(SUMIF(N833:N835, N832, F833:F835),0)</f>
        <v>0</v>
      </c>
      <c r="G836" s="15"/>
      <c r="H836" s="16">
        <f>TRUNC(SUMIF(N833:N835, N832, H833:H835),0)</f>
        <v>0</v>
      </c>
      <c r="I836" s="15"/>
      <c r="J836" s="16">
        <f>TRUNC(SUMIF(N833:N835, N832, J833:J835),0)</f>
        <v>0</v>
      </c>
      <c r="K836" s="15"/>
      <c r="L836" s="16">
        <f>F836+H836+J836</f>
        <v>0</v>
      </c>
      <c r="M836" s="9" t="s">
        <v>52</v>
      </c>
      <c r="N836" s="2" t="s">
        <v>94</v>
      </c>
      <c r="O836" s="2" t="s">
        <v>94</v>
      </c>
      <c r="P836" s="2" t="s">
        <v>52</v>
      </c>
      <c r="Q836" s="2" t="s">
        <v>52</v>
      </c>
      <c r="R836" s="2" t="s">
        <v>52</v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2" t="s">
        <v>52</v>
      </c>
      <c r="AW836" s="2" t="s">
        <v>52</v>
      </c>
      <c r="AX836" s="2" t="s">
        <v>52</v>
      </c>
      <c r="AY836" s="2" t="s">
        <v>52</v>
      </c>
    </row>
    <row r="837" spans="1:51" ht="30" customHeight="1" x14ac:dyDescent="0.3">
      <c r="A837" s="10"/>
      <c r="B837" s="10"/>
      <c r="C837" s="10"/>
      <c r="D837" s="10"/>
      <c r="E837" s="15"/>
      <c r="F837" s="16"/>
      <c r="G837" s="15"/>
      <c r="H837" s="16"/>
      <c r="I837" s="15"/>
      <c r="J837" s="16"/>
      <c r="K837" s="15"/>
      <c r="L837" s="16"/>
      <c r="M837" s="10"/>
    </row>
    <row r="838" spans="1:51" ht="30" customHeight="1" x14ac:dyDescent="0.3">
      <c r="A838" s="44" t="s">
        <v>1985</v>
      </c>
      <c r="B838" s="44"/>
      <c r="C838" s="44"/>
      <c r="D838" s="44"/>
      <c r="E838" s="45"/>
      <c r="F838" s="46"/>
      <c r="G838" s="45"/>
      <c r="H838" s="46"/>
      <c r="I838" s="45"/>
      <c r="J838" s="46"/>
      <c r="K838" s="45"/>
      <c r="L838" s="46"/>
      <c r="M838" s="44"/>
      <c r="N838" s="1" t="s">
        <v>688</v>
      </c>
    </row>
    <row r="839" spans="1:51" ht="30" customHeight="1" x14ac:dyDescent="0.3">
      <c r="A839" s="9" t="s">
        <v>1987</v>
      </c>
      <c r="B839" s="9" t="s">
        <v>822</v>
      </c>
      <c r="C839" s="9" t="s">
        <v>823</v>
      </c>
      <c r="D839" s="10">
        <v>3.6999999999999998E-2</v>
      </c>
      <c r="E839" s="15">
        <f>'단가대비표(총체)'!O193</f>
        <v>0</v>
      </c>
      <c r="F839" s="16">
        <f>TRUNC(E839*D839,1)</f>
        <v>0</v>
      </c>
      <c r="G839" s="15">
        <f>'단가대비표(총체)'!P193</f>
        <v>0</v>
      </c>
      <c r="H839" s="16">
        <f>TRUNC(G839*D839,1)</f>
        <v>0</v>
      </c>
      <c r="I839" s="15">
        <f>'단가대비표(총체)'!V193</f>
        <v>0</v>
      </c>
      <c r="J839" s="16">
        <f>TRUNC(I839*D839,1)</f>
        <v>0</v>
      </c>
      <c r="K839" s="15">
        <f t="shared" ref="K839:L841" si="169">TRUNC(E839+G839+I839,1)</f>
        <v>0</v>
      </c>
      <c r="L839" s="16">
        <f t="shared" si="169"/>
        <v>0</v>
      </c>
      <c r="M839" s="9" t="s">
        <v>52</v>
      </c>
      <c r="N839" s="2" t="s">
        <v>688</v>
      </c>
      <c r="O839" s="2" t="s">
        <v>1988</v>
      </c>
      <c r="P839" s="2" t="s">
        <v>61</v>
      </c>
      <c r="Q839" s="2" t="s">
        <v>61</v>
      </c>
      <c r="R839" s="2" t="s">
        <v>60</v>
      </c>
      <c r="S839" s="3"/>
      <c r="T839" s="3"/>
      <c r="U839" s="3"/>
      <c r="V839" s="3">
        <v>1</v>
      </c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2" t="s">
        <v>52</v>
      </c>
      <c r="AW839" s="2" t="s">
        <v>1989</v>
      </c>
      <c r="AX839" s="2" t="s">
        <v>52</v>
      </c>
      <c r="AY839" s="2" t="s">
        <v>52</v>
      </c>
    </row>
    <row r="840" spans="1:51" ht="30" customHeight="1" x14ac:dyDescent="0.3">
      <c r="A840" s="9" t="s">
        <v>821</v>
      </c>
      <c r="B840" s="9" t="s">
        <v>822</v>
      </c>
      <c r="C840" s="9" t="s">
        <v>823</v>
      </c>
      <c r="D840" s="10">
        <v>2.4E-2</v>
      </c>
      <c r="E840" s="15">
        <f>'단가대비표(총체)'!O180</f>
        <v>0</v>
      </c>
      <c r="F840" s="16">
        <f>TRUNC(E840*D840,1)</f>
        <v>0</v>
      </c>
      <c r="G840" s="15">
        <f>'단가대비표(총체)'!P180</f>
        <v>0</v>
      </c>
      <c r="H840" s="16">
        <f>TRUNC(G840*D840,1)</f>
        <v>0</v>
      </c>
      <c r="I840" s="15">
        <f>'단가대비표(총체)'!V180</f>
        <v>0</v>
      </c>
      <c r="J840" s="16">
        <f>TRUNC(I840*D840,1)</f>
        <v>0</v>
      </c>
      <c r="K840" s="15">
        <f t="shared" si="169"/>
        <v>0</v>
      </c>
      <c r="L840" s="16">
        <f t="shared" si="169"/>
        <v>0</v>
      </c>
      <c r="M840" s="9" t="s">
        <v>52</v>
      </c>
      <c r="N840" s="2" t="s">
        <v>688</v>
      </c>
      <c r="O840" s="2" t="s">
        <v>824</v>
      </c>
      <c r="P840" s="2" t="s">
        <v>61</v>
      </c>
      <c r="Q840" s="2" t="s">
        <v>61</v>
      </c>
      <c r="R840" s="2" t="s">
        <v>60</v>
      </c>
      <c r="S840" s="3"/>
      <c r="T840" s="3"/>
      <c r="U840" s="3"/>
      <c r="V840" s="3">
        <v>1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2" t="s">
        <v>52</v>
      </c>
      <c r="AW840" s="2" t="s">
        <v>1990</v>
      </c>
      <c r="AX840" s="2" t="s">
        <v>52</v>
      </c>
      <c r="AY840" s="2" t="s">
        <v>52</v>
      </c>
    </row>
    <row r="841" spans="1:51" ht="30" customHeight="1" x14ac:dyDescent="0.3">
      <c r="A841" s="9" t="s">
        <v>874</v>
      </c>
      <c r="B841" s="9" t="s">
        <v>1991</v>
      </c>
      <c r="C841" s="9" t="s">
        <v>307</v>
      </c>
      <c r="D841" s="10">
        <v>1</v>
      </c>
      <c r="E841" s="15">
        <v>0</v>
      </c>
      <c r="F841" s="16">
        <f>TRUNC(E841*D841,1)</f>
        <v>0</v>
      </c>
      <c r="G841" s="15">
        <v>0</v>
      </c>
      <c r="H841" s="16">
        <f>TRUNC(G841*D841,1)</f>
        <v>0</v>
      </c>
      <c r="I841" s="15">
        <f>TRUNC(SUMIF(V839:V841, RIGHTB(O841, 1), H839:H841)*U841, 2)</f>
        <v>0</v>
      </c>
      <c r="J841" s="16">
        <f>TRUNC(I841*D841,1)</f>
        <v>0</v>
      </c>
      <c r="K841" s="15">
        <f t="shared" si="169"/>
        <v>0</v>
      </c>
      <c r="L841" s="16">
        <f t="shared" si="169"/>
        <v>0</v>
      </c>
      <c r="M841" s="9" t="s">
        <v>52</v>
      </c>
      <c r="N841" s="2" t="s">
        <v>688</v>
      </c>
      <c r="O841" s="2" t="s">
        <v>809</v>
      </c>
      <c r="P841" s="2" t="s">
        <v>61</v>
      </c>
      <c r="Q841" s="2" t="s">
        <v>61</v>
      </c>
      <c r="R841" s="2" t="s">
        <v>61</v>
      </c>
      <c r="S841" s="3">
        <v>1</v>
      </c>
      <c r="T841" s="3">
        <v>2</v>
      </c>
      <c r="U841" s="3">
        <v>0.06</v>
      </c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2" t="s">
        <v>52</v>
      </c>
      <c r="AW841" s="2" t="s">
        <v>1992</v>
      </c>
      <c r="AX841" s="2" t="s">
        <v>52</v>
      </c>
      <c r="AY841" s="2" t="s">
        <v>52</v>
      </c>
    </row>
    <row r="842" spans="1:51" ht="30" customHeight="1" x14ac:dyDescent="0.3">
      <c r="A842" s="9" t="s">
        <v>811</v>
      </c>
      <c r="B842" s="9" t="s">
        <v>52</v>
      </c>
      <c r="C842" s="9" t="s">
        <v>52</v>
      </c>
      <c r="D842" s="10"/>
      <c r="E842" s="15"/>
      <c r="F842" s="16">
        <f>TRUNC(SUMIF(N839:N841, N838, F839:F841),0)</f>
        <v>0</v>
      </c>
      <c r="G842" s="15"/>
      <c r="H842" s="16">
        <f>TRUNC(SUMIF(N839:N841, N838, H839:H841),0)</f>
        <v>0</v>
      </c>
      <c r="I842" s="15"/>
      <c r="J842" s="16">
        <f>TRUNC(SUMIF(N839:N841, N838, J839:J841),0)</f>
        <v>0</v>
      </c>
      <c r="K842" s="15"/>
      <c r="L842" s="16">
        <f>F842+H842+J842</f>
        <v>0</v>
      </c>
      <c r="M842" s="9" t="s">
        <v>52</v>
      </c>
      <c r="N842" s="2" t="s">
        <v>94</v>
      </c>
      <c r="O842" s="2" t="s">
        <v>94</v>
      </c>
      <c r="P842" s="2" t="s">
        <v>52</v>
      </c>
      <c r="Q842" s="2" t="s">
        <v>52</v>
      </c>
      <c r="R842" s="2" t="s">
        <v>52</v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2" t="s">
        <v>52</v>
      </c>
      <c r="AW842" s="2" t="s">
        <v>52</v>
      </c>
      <c r="AX842" s="2" t="s">
        <v>52</v>
      </c>
      <c r="AY842" s="2" t="s">
        <v>52</v>
      </c>
    </row>
    <row r="843" spans="1:51" ht="30" customHeight="1" x14ac:dyDescent="0.3">
      <c r="A843" s="10"/>
      <c r="B843" s="10"/>
      <c r="C843" s="10"/>
      <c r="D843" s="10"/>
      <c r="E843" s="15"/>
      <c r="F843" s="16"/>
      <c r="G843" s="15"/>
      <c r="H843" s="16"/>
      <c r="I843" s="15"/>
      <c r="J843" s="16"/>
      <c r="K843" s="15"/>
      <c r="L843" s="16"/>
      <c r="M843" s="10"/>
    </row>
    <row r="844" spans="1:51" ht="30" customHeight="1" x14ac:dyDescent="0.3">
      <c r="A844" s="44" t="s">
        <v>1993</v>
      </c>
      <c r="B844" s="44"/>
      <c r="C844" s="44"/>
      <c r="D844" s="44"/>
      <c r="E844" s="45"/>
      <c r="F844" s="46"/>
      <c r="G844" s="45"/>
      <c r="H844" s="46"/>
      <c r="I844" s="45"/>
      <c r="J844" s="46"/>
      <c r="K844" s="45"/>
      <c r="L844" s="46"/>
      <c r="M844" s="44"/>
      <c r="N844" s="1" t="s">
        <v>691</v>
      </c>
    </row>
    <row r="845" spans="1:51" ht="30" customHeight="1" x14ac:dyDescent="0.3">
      <c r="A845" s="9" t="s">
        <v>1987</v>
      </c>
      <c r="B845" s="9" t="s">
        <v>822</v>
      </c>
      <c r="C845" s="9" t="s">
        <v>823</v>
      </c>
      <c r="D845" s="10">
        <v>4.1000000000000002E-2</v>
      </c>
      <c r="E845" s="15">
        <f>'단가대비표(총체)'!O193</f>
        <v>0</v>
      </c>
      <c r="F845" s="16">
        <f>TRUNC(E845*D845,1)</f>
        <v>0</v>
      </c>
      <c r="G845" s="15">
        <f>'단가대비표(총체)'!P193</f>
        <v>0</v>
      </c>
      <c r="H845" s="16">
        <f>TRUNC(G845*D845,1)</f>
        <v>0</v>
      </c>
      <c r="I845" s="15">
        <f>'단가대비표(총체)'!V193</f>
        <v>0</v>
      </c>
      <c r="J845" s="16">
        <f>TRUNC(I845*D845,1)</f>
        <v>0</v>
      </c>
      <c r="K845" s="15">
        <f t="shared" ref="K845:L847" si="170">TRUNC(E845+G845+I845,1)</f>
        <v>0</v>
      </c>
      <c r="L845" s="16">
        <f t="shared" si="170"/>
        <v>0</v>
      </c>
      <c r="M845" s="9" t="s">
        <v>52</v>
      </c>
      <c r="N845" s="2" t="s">
        <v>691</v>
      </c>
      <c r="O845" s="2" t="s">
        <v>1988</v>
      </c>
      <c r="P845" s="2" t="s">
        <v>61</v>
      </c>
      <c r="Q845" s="2" t="s">
        <v>61</v>
      </c>
      <c r="R845" s="2" t="s">
        <v>60</v>
      </c>
      <c r="S845" s="3"/>
      <c r="T845" s="3"/>
      <c r="U845" s="3"/>
      <c r="V845" s="3">
        <v>1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2" t="s">
        <v>52</v>
      </c>
      <c r="AW845" s="2" t="s">
        <v>1995</v>
      </c>
      <c r="AX845" s="2" t="s">
        <v>52</v>
      </c>
      <c r="AY845" s="2" t="s">
        <v>52</v>
      </c>
    </row>
    <row r="846" spans="1:51" ht="30" customHeight="1" x14ac:dyDescent="0.3">
      <c r="A846" s="9" t="s">
        <v>821</v>
      </c>
      <c r="B846" s="9" t="s">
        <v>822</v>
      </c>
      <c r="C846" s="9" t="s">
        <v>823</v>
      </c>
      <c r="D846" s="10">
        <v>2.7E-2</v>
      </c>
      <c r="E846" s="15">
        <f>'단가대비표(총체)'!O180</f>
        <v>0</v>
      </c>
      <c r="F846" s="16">
        <f>TRUNC(E846*D846,1)</f>
        <v>0</v>
      </c>
      <c r="G846" s="15">
        <f>'단가대비표(총체)'!P180</f>
        <v>0</v>
      </c>
      <c r="H846" s="16">
        <f>TRUNC(G846*D846,1)</f>
        <v>0</v>
      </c>
      <c r="I846" s="15">
        <f>'단가대비표(총체)'!V180</f>
        <v>0</v>
      </c>
      <c r="J846" s="16">
        <f>TRUNC(I846*D846,1)</f>
        <v>0</v>
      </c>
      <c r="K846" s="15">
        <f t="shared" si="170"/>
        <v>0</v>
      </c>
      <c r="L846" s="16">
        <f t="shared" si="170"/>
        <v>0</v>
      </c>
      <c r="M846" s="9" t="s">
        <v>52</v>
      </c>
      <c r="N846" s="2" t="s">
        <v>691</v>
      </c>
      <c r="O846" s="2" t="s">
        <v>824</v>
      </c>
      <c r="P846" s="2" t="s">
        <v>61</v>
      </c>
      <c r="Q846" s="2" t="s">
        <v>61</v>
      </c>
      <c r="R846" s="2" t="s">
        <v>60</v>
      </c>
      <c r="S846" s="3"/>
      <c r="T846" s="3"/>
      <c r="U846" s="3"/>
      <c r="V846" s="3">
        <v>1</v>
      </c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2" t="s">
        <v>52</v>
      </c>
      <c r="AW846" s="2" t="s">
        <v>1996</v>
      </c>
      <c r="AX846" s="2" t="s">
        <v>52</v>
      </c>
      <c r="AY846" s="2" t="s">
        <v>52</v>
      </c>
    </row>
    <row r="847" spans="1:51" ht="30" customHeight="1" x14ac:dyDescent="0.3">
      <c r="A847" s="9" t="s">
        <v>874</v>
      </c>
      <c r="B847" s="9" t="s">
        <v>1991</v>
      </c>
      <c r="C847" s="9" t="s">
        <v>307</v>
      </c>
      <c r="D847" s="10">
        <v>1</v>
      </c>
      <c r="E847" s="15">
        <v>0</v>
      </c>
      <c r="F847" s="16">
        <f>TRUNC(E847*D847,1)</f>
        <v>0</v>
      </c>
      <c r="G847" s="15">
        <v>0</v>
      </c>
      <c r="H847" s="16">
        <f>TRUNC(G847*D847,1)</f>
        <v>0</v>
      </c>
      <c r="I847" s="15">
        <f>TRUNC(SUMIF(V845:V847, RIGHTB(O847, 1), H845:H847)*U847, 2)</f>
        <v>0</v>
      </c>
      <c r="J847" s="16">
        <f>TRUNC(I847*D847,1)</f>
        <v>0</v>
      </c>
      <c r="K847" s="15">
        <f t="shared" si="170"/>
        <v>0</v>
      </c>
      <c r="L847" s="16">
        <f t="shared" si="170"/>
        <v>0</v>
      </c>
      <c r="M847" s="9" t="s">
        <v>52</v>
      </c>
      <c r="N847" s="2" t="s">
        <v>691</v>
      </c>
      <c r="O847" s="2" t="s">
        <v>809</v>
      </c>
      <c r="P847" s="2" t="s">
        <v>61</v>
      </c>
      <c r="Q847" s="2" t="s">
        <v>61</v>
      </c>
      <c r="R847" s="2" t="s">
        <v>61</v>
      </c>
      <c r="S847" s="3">
        <v>1</v>
      </c>
      <c r="T847" s="3">
        <v>2</v>
      </c>
      <c r="U847" s="3">
        <v>0.06</v>
      </c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2" t="s">
        <v>52</v>
      </c>
      <c r="AW847" s="2" t="s">
        <v>1997</v>
      </c>
      <c r="AX847" s="2" t="s">
        <v>52</v>
      </c>
      <c r="AY847" s="2" t="s">
        <v>52</v>
      </c>
    </row>
    <row r="848" spans="1:51" ht="30" customHeight="1" x14ac:dyDescent="0.3">
      <c r="A848" s="9" t="s">
        <v>811</v>
      </c>
      <c r="B848" s="9" t="s">
        <v>52</v>
      </c>
      <c r="C848" s="9" t="s">
        <v>52</v>
      </c>
      <c r="D848" s="10"/>
      <c r="E848" s="15"/>
      <c r="F848" s="16">
        <f>TRUNC(SUMIF(N845:N847, N844, F845:F847),0)</f>
        <v>0</v>
      </c>
      <c r="G848" s="15"/>
      <c r="H848" s="16">
        <f>TRUNC(SUMIF(N845:N847, N844, H845:H847),0)</f>
        <v>0</v>
      </c>
      <c r="I848" s="15"/>
      <c r="J848" s="16">
        <f>TRUNC(SUMIF(N845:N847, N844, J845:J847),0)</f>
        <v>0</v>
      </c>
      <c r="K848" s="15"/>
      <c r="L848" s="16">
        <f>F848+H848+J848</f>
        <v>0</v>
      </c>
      <c r="M848" s="9" t="s">
        <v>52</v>
      </c>
      <c r="N848" s="2" t="s">
        <v>94</v>
      </c>
      <c r="O848" s="2" t="s">
        <v>94</v>
      </c>
      <c r="P848" s="2" t="s">
        <v>52</v>
      </c>
      <c r="Q848" s="2" t="s">
        <v>52</v>
      </c>
      <c r="R848" s="2" t="s">
        <v>52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2" t="s">
        <v>52</v>
      </c>
      <c r="AW848" s="2" t="s">
        <v>52</v>
      </c>
      <c r="AX848" s="2" t="s">
        <v>52</v>
      </c>
      <c r="AY848" s="2" t="s">
        <v>52</v>
      </c>
    </row>
    <row r="849" spans="1:51" ht="30" customHeight="1" x14ac:dyDescent="0.3">
      <c r="A849" s="10"/>
      <c r="B849" s="10"/>
      <c r="C849" s="10"/>
      <c r="D849" s="10"/>
      <c r="E849" s="15"/>
      <c r="F849" s="16"/>
      <c r="G849" s="15"/>
      <c r="H849" s="16"/>
      <c r="I849" s="15"/>
      <c r="J849" s="16"/>
      <c r="K849" s="15"/>
      <c r="L849" s="16"/>
      <c r="M849" s="10"/>
    </row>
    <row r="850" spans="1:51" ht="30" customHeight="1" x14ac:dyDescent="0.3">
      <c r="A850" s="44" t="s">
        <v>1998</v>
      </c>
      <c r="B850" s="44"/>
      <c r="C850" s="44"/>
      <c r="D850" s="44"/>
      <c r="E850" s="45"/>
      <c r="F850" s="46"/>
      <c r="G850" s="45"/>
      <c r="H850" s="46"/>
      <c r="I850" s="45"/>
      <c r="J850" s="46"/>
      <c r="K850" s="45"/>
      <c r="L850" s="46"/>
      <c r="M850" s="44"/>
      <c r="N850" s="1" t="s">
        <v>694</v>
      </c>
    </row>
    <row r="851" spans="1:51" ht="30" customHeight="1" x14ac:dyDescent="0.3">
      <c r="A851" s="9" t="s">
        <v>1071</v>
      </c>
      <c r="B851" s="9" t="s">
        <v>822</v>
      </c>
      <c r="C851" s="9" t="s">
        <v>823</v>
      </c>
      <c r="D851" s="10">
        <v>0.12</v>
      </c>
      <c r="E851" s="15">
        <f>'단가대비표(총체)'!O188</f>
        <v>0</v>
      </c>
      <c r="F851" s="16">
        <f>TRUNC(E851*D851,1)</f>
        <v>0</v>
      </c>
      <c r="G851" s="15">
        <f>'단가대비표(총체)'!P188</f>
        <v>0</v>
      </c>
      <c r="H851" s="16">
        <f>TRUNC(G851*D851,1)</f>
        <v>0</v>
      </c>
      <c r="I851" s="15">
        <f>'단가대비표(총체)'!V188</f>
        <v>0</v>
      </c>
      <c r="J851" s="16">
        <f>TRUNC(I851*D851,1)</f>
        <v>0</v>
      </c>
      <c r="K851" s="15">
        <f>TRUNC(E851+G851+I851,1)</f>
        <v>0</v>
      </c>
      <c r="L851" s="16">
        <f>TRUNC(F851+H851+J851,1)</f>
        <v>0</v>
      </c>
      <c r="M851" s="9" t="s">
        <v>52</v>
      </c>
      <c r="N851" s="2" t="s">
        <v>694</v>
      </c>
      <c r="O851" s="2" t="s">
        <v>1072</v>
      </c>
      <c r="P851" s="2" t="s">
        <v>61</v>
      </c>
      <c r="Q851" s="2" t="s">
        <v>61</v>
      </c>
      <c r="R851" s="2" t="s">
        <v>60</v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2" t="s">
        <v>52</v>
      </c>
      <c r="AW851" s="2" t="s">
        <v>2000</v>
      </c>
      <c r="AX851" s="2" t="s">
        <v>52</v>
      </c>
      <c r="AY851" s="2" t="s">
        <v>52</v>
      </c>
    </row>
    <row r="852" spans="1:51" ht="30" customHeight="1" x14ac:dyDescent="0.3">
      <c r="A852" s="9" t="s">
        <v>821</v>
      </c>
      <c r="B852" s="9" t="s">
        <v>822</v>
      </c>
      <c r="C852" s="9" t="s">
        <v>823</v>
      </c>
      <c r="D852" s="10">
        <v>0.1</v>
      </c>
      <c r="E852" s="15">
        <f>'단가대비표(총체)'!O180</f>
        <v>0</v>
      </c>
      <c r="F852" s="16">
        <f>TRUNC(E852*D852,1)</f>
        <v>0</v>
      </c>
      <c r="G852" s="15">
        <f>'단가대비표(총체)'!P180</f>
        <v>0</v>
      </c>
      <c r="H852" s="16">
        <f>TRUNC(G852*D852,1)</f>
        <v>0</v>
      </c>
      <c r="I852" s="15">
        <f>'단가대비표(총체)'!V180</f>
        <v>0</v>
      </c>
      <c r="J852" s="16">
        <f>TRUNC(I852*D852,1)</f>
        <v>0</v>
      </c>
      <c r="K852" s="15">
        <f>TRUNC(E852+G852+I852,1)</f>
        <v>0</v>
      </c>
      <c r="L852" s="16">
        <f>TRUNC(F852+H852+J852,1)</f>
        <v>0</v>
      </c>
      <c r="M852" s="9" t="s">
        <v>52</v>
      </c>
      <c r="N852" s="2" t="s">
        <v>694</v>
      </c>
      <c r="O852" s="2" t="s">
        <v>824</v>
      </c>
      <c r="P852" s="2" t="s">
        <v>61</v>
      </c>
      <c r="Q852" s="2" t="s">
        <v>61</v>
      </c>
      <c r="R852" s="2" t="s">
        <v>60</v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2" t="s">
        <v>52</v>
      </c>
      <c r="AW852" s="2" t="s">
        <v>2001</v>
      </c>
      <c r="AX852" s="2" t="s">
        <v>52</v>
      </c>
      <c r="AY852" s="2" t="s">
        <v>52</v>
      </c>
    </row>
    <row r="853" spans="1:51" ht="30" customHeight="1" x14ac:dyDescent="0.3">
      <c r="A853" s="9" t="s">
        <v>811</v>
      </c>
      <c r="B853" s="9" t="s">
        <v>52</v>
      </c>
      <c r="C853" s="9" t="s">
        <v>52</v>
      </c>
      <c r="D853" s="10"/>
      <c r="E853" s="15"/>
      <c r="F853" s="16">
        <f>TRUNC(SUMIF(N851:N852, N850, F851:F852),0)</f>
        <v>0</v>
      </c>
      <c r="G853" s="15"/>
      <c r="H853" s="16">
        <f>TRUNC(SUMIF(N851:N852, N850, H851:H852),0)</f>
        <v>0</v>
      </c>
      <c r="I853" s="15"/>
      <c r="J853" s="16">
        <f>TRUNC(SUMIF(N851:N852, N850, J851:J852),0)</f>
        <v>0</v>
      </c>
      <c r="K853" s="15"/>
      <c r="L853" s="16">
        <f>F853+H853+J853</f>
        <v>0</v>
      </c>
      <c r="M853" s="9" t="s">
        <v>52</v>
      </c>
      <c r="N853" s="2" t="s">
        <v>94</v>
      </c>
      <c r="O853" s="2" t="s">
        <v>94</v>
      </c>
      <c r="P853" s="2" t="s">
        <v>52</v>
      </c>
      <c r="Q853" s="2" t="s">
        <v>52</v>
      </c>
      <c r="R853" s="2" t="s">
        <v>52</v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2" t="s">
        <v>52</v>
      </c>
      <c r="AW853" s="2" t="s">
        <v>52</v>
      </c>
      <c r="AX853" s="2" t="s">
        <v>52</v>
      </c>
      <c r="AY853" s="2" t="s">
        <v>52</v>
      </c>
    </row>
    <row r="854" spans="1:51" ht="30" customHeight="1" x14ac:dyDescent="0.3">
      <c r="A854" s="10"/>
      <c r="B854" s="10"/>
      <c r="C854" s="10"/>
      <c r="D854" s="10"/>
      <c r="E854" s="15"/>
      <c r="F854" s="16"/>
      <c r="G854" s="15"/>
      <c r="H854" s="16"/>
      <c r="I854" s="15"/>
      <c r="J854" s="16"/>
      <c r="K854" s="15"/>
      <c r="L854" s="16"/>
      <c r="M854" s="10"/>
    </row>
    <row r="855" spans="1:51" ht="30" customHeight="1" x14ac:dyDescent="0.3">
      <c r="A855" s="44" t="s">
        <v>2002</v>
      </c>
      <c r="B855" s="44"/>
      <c r="C855" s="44"/>
      <c r="D855" s="44"/>
      <c r="E855" s="45"/>
      <c r="F855" s="46"/>
      <c r="G855" s="45"/>
      <c r="H855" s="46"/>
      <c r="I855" s="45"/>
      <c r="J855" s="46"/>
      <c r="K855" s="45"/>
      <c r="L855" s="46"/>
      <c r="M855" s="44"/>
      <c r="N855" s="1" t="s">
        <v>698</v>
      </c>
    </row>
    <row r="856" spans="1:51" ht="30" customHeight="1" x14ac:dyDescent="0.3">
      <c r="A856" s="9" t="s">
        <v>1071</v>
      </c>
      <c r="B856" s="9" t="s">
        <v>822</v>
      </c>
      <c r="C856" s="9" t="s">
        <v>823</v>
      </c>
      <c r="D856" s="10">
        <v>9.5000000000000001E-2</v>
      </c>
      <c r="E856" s="15">
        <f>'단가대비표(총체)'!O188</f>
        <v>0</v>
      </c>
      <c r="F856" s="16">
        <f>TRUNC(E856*D856,1)</f>
        <v>0</v>
      </c>
      <c r="G856" s="15">
        <f>'단가대비표(총체)'!P188</f>
        <v>0</v>
      </c>
      <c r="H856" s="16">
        <f>TRUNC(G856*D856,1)</f>
        <v>0</v>
      </c>
      <c r="I856" s="15">
        <f>'단가대비표(총체)'!V188</f>
        <v>0</v>
      </c>
      <c r="J856" s="16">
        <f>TRUNC(I856*D856,1)</f>
        <v>0</v>
      </c>
      <c r="K856" s="15">
        <f t="shared" ref="K856:L858" si="171">TRUNC(E856+G856+I856,1)</f>
        <v>0</v>
      </c>
      <c r="L856" s="16">
        <f t="shared" si="171"/>
        <v>0</v>
      </c>
      <c r="M856" s="9" t="s">
        <v>52</v>
      </c>
      <c r="N856" s="2" t="s">
        <v>698</v>
      </c>
      <c r="O856" s="2" t="s">
        <v>1072</v>
      </c>
      <c r="P856" s="2" t="s">
        <v>61</v>
      </c>
      <c r="Q856" s="2" t="s">
        <v>61</v>
      </c>
      <c r="R856" s="2" t="s">
        <v>60</v>
      </c>
      <c r="S856" s="3"/>
      <c r="T856" s="3"/>
      <c r="U856" s="3"/>
      <c r="V856" s="3">
        <v>1</v>
      </c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2" t="s">
        <v>52</v>
      </c>
      <c r="AW856" s="2" t="s">
        <v>2004</v>
      </c>
      <c r="AX856" s="2" t="s">
        <v>52</v>
      </c>
      <c r="AY856" s="2" t="s">
        <v>52</v>
      </c>
    </row>
    <row r="857" spans="1:51" ht="30" customHeight="1" x14ac:dyDescent="0.3">
      <c r="A857" s="9" t="s">
        <v>821</v>
      </c>
      <c r="B857" s="9" t="s">
        <v>822</v>
      </c>
      <c r="C857" s="9" t="s">
        <v>823</v>
      </c>
      <c r="D857" s="10">
        <v>4.8000000000000001E-2</v>
      </c>
      <c r="E857" s="15">
        <f>'단가대비표(총체)'!O180</f>
        <v>0</v>
      </c>
      <c r="F857" s="16">
        <f>TRUNC(E857*D857,1)</f>
        <v>0</v>
      </c>
      <c r="G857" s="15">
        <f>'단가대비표(총체)'!P180</f>
        <v>0</v>
      </c>
      <c r="H857" s="16">
        <f>TRUNC(G857*D857,1)</f>
        <v>0</v>
      </c>
      <c r="I857" s="15">
        <f>'단가대비표(총체)'!V180</f>
        <v>0</v>
      </c>
      <c r="J857" s="16">
        <f>TRUNC(I857*D857,1)</f>
        <v>0</v>
      </c>
      <c r="K857" s="15">
        <f t="shared" si="171"/>
        <v>0</v>
      </c>
      <c r="L857" s="16">
        <f t="shared" si="171"/>
        <v>0</v>
      </c>
      <c r="M857" s="9" t="s">
        <v>52</v>
      </c>
      <c r="N857" s="2" t="s">
        <v>698</v>
      </c>
      <c r="O857" s="2" t="s">
        <v>824</v>
      </c>
      <c r="P857" s="2" t="s">
        <v>61</v>
      </c>
      <c r="Q857" s="2" t="s">
        <v>61</v>
      </c>
      <c r="R857" s="2" t="s">
        <v>60</v>
      </c>
      <c r="S857" s="3"/>
      <c r="T857" s="3"/>
      <c r="U857" s="3"/>
      <c r="V857" s="3">
        <v>1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2" t="s">
        <v>52</v>
      </c>
      <c r="AW857" s="2" t="s">
        <v>2005</v>
      </c>
      <c r="AX857" s="2" t="s">
        <v>52</v>
      </c>
      <c r="AY857" s="2" t="s">
        <v>52</v>
      </c>
    </row>
    <row r="858" spans="1:51" ht="30" customHeight="1" x14ac:dyDescent="0.3">
      <c r="A858" s="9" t="s">
        <v>2006</v>
      </c>
      <c r="B858" s="9" t="s">
        <v>1590</v>
      </c>
      <c r="C858" s="9" t="s">
        <v>307</v>
      </c>
      <c r="D858" s="10">
        <v>1</v>
      </c>
      <c r="E858" s="15">
        <f>TRUNC(SUMIF(V856:V858, RIGHTB(O858, 1), H856:H858)*U858, 2)</f>
        <v>0</v>
      </c>
      <c r="F858" s="16">
        <f>TRUNC(E858*D858,1)</f>
        <v>0</v>
      </c>
      <c r="G858" s="15">
        <v>0</v>
      </c>
      <c r="H858" s="16">
        <f>TRUNC(G858*D858,1)</f>
        <v>0</v>
      </c>
      <c r="I858" s="15">
        <v>0</v>
      </c>
      <c r="J858" s="16">
        <f>TRUNC(I858*D858,1)</f>
        <v>0</v>
      </c>
      <c r="K858" s="15">
        <f t="shared" si="171"/>
        <v>0</v>
      </c>
      <c r="L858" s="16">
        <f t="shared" si="171"/>
        <v>0</v>
      </c>
      <c r="M858" s="9" t="s">
        <v>52</v>
      </c>
      <c r="N858" s="2" t="s">
        <v>698</v>
      </c>
      <c r="O858" s="2" t="s">
        <v>809</v>
      </c>
      <c r="P858" s="2" t="s">
        <v>61</v>
      </c>
      <c r="Q858" s="2" t="s">
        <v>61</v>
      </c>
      <c r="R858" s="2" t="s">
        <v>61</v>
      </c>
      <c r="S858" s="3">
        <v>1</v>
      </c>
      <c r="T858" s="3">
        <v>0</v>
      </c>
      <c r="U858" s="3">
        <v>0.05</v>
      </c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2" t="s">
        <v>52</v>
      </c>
      <c r="AW858" s="2" t="s">
        <v>2007</v>
      </c>
      <c r="AX858" s="2" t="s">
        <v>52</v>
      </c>
      <c r="AY858" s="2" t="s">
        <v>52</v>
      </c>
    </row>
    <row r="859" spans="1:51" ht="30" customHeight="1" x14ac:dyDescent="0.3">
      <c r="A859" s="9" t="s">
        <v>811</v>
      </c>
      <c r="B859" s="9" t="s">
        <v>52</v>
      </c>
      <c r="C859" s="9" t="s">
        <v>52</v>
      </c>
      <c r="D859" s="10"/>
      <c r="E859" s="15"/>
      <c r="F859" s="16">
        <f>TRUNC(SUMIF(N856:N858, N855, F856:F858),0)</f>
        <v>0</v>
      </c>
      <c r="G859" s="15"/>
      <c r="H859" s="16">
        <f>TRUNC(SUMIF(N856:N858, N855, H856:H858),0)</f>
        <v>0</v>
      </c>
      <c r="I859" s="15"/>
      <c r="J859" s="16">
        <f>TRUNC(SUMIF(N856:N858, N855, J856:J858),0)</f>
        <v>0</v>
      </c>
      <c r="K859" s="15"/>
      <c r="L859" s="16">
        <f>F859+H859+J859</f>
        <v>0</v>
      </c>
      <c r="M859" s="9" t="s">
        <v>52</v>
      </c>
      <c r="N859" s="2" t="s">
        <v>94</v>
      </c>
      <c r="O859" s="2" t="s">
        <v>94</v>
      </c>
      <c r="P859" s="2" t="s">
        <v>52</v>
      </c>
      <c r="Q859" s="2" t="s">
        <v>52</v>
      </c>
      <c r="R859" s="2" t="s">
        <v>52</v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2" t="s">
        <v>52</v>
      </c>
      <c r="AW859" s="2" t="s">
        <v>52</v>
      </c>
      <c r="AX859" s="2" t="s">
        <v>52</v>
      </c>
      <c r="AY859" s="2" t="s">
        <v>52</v>
      </c>
    </row>
    <row r="860" spans="1:51" ht="30" customHeight="1" x14ac:dyDescent="0.3">
      <c r="A860" s="10"/>
      <c r="B860" s="10"/>
      <c r="C860" s="10"/>
      <c r="D860" s="10"/>
      <c r="E860" s="15"/>
      <c r="F860" s="16"/>
      <c r="G860" s="15"/>
      <c r="H860" s="16"/>
      <c r="I860" s="15"/>
      <c r="J860" s="16"/>
      <c r="K860" s="15"/>
      <c r="L860" s="16"/>
      <c r="M860" s="10"/>
    </row>
    <row r="861" spans="1:51" ht="30" customHeight="1" x14ac:dyDescent="0.3">
      <c r="A861" s="44" t="s">
        <v>2008</v>
      </c>
      <c r="B861" s="44"/>
      <c r="C861" s="44"/>
      <c r="D861" s="44"/>
      <c r="E861" s="45"/>
      <c r="F861" s="46"/>
      <c r="G861" s="45"/>
      <c r="H861" s="46"/>
      <c r="I861" s="45"/>
      <c r="J861" s="46"/>
      <c r="K861" s="45"/>
      <c r="L861" s="46"/>
      <c r="M861" s="44"/>
      <c r="N861" s="1" t="s">
        <v>701</v>
      </c>
    </row>
    <row r="862" spans="1:51" ht="30" customHeight="1" x14ac:dyDescent="0.3">
      <c r="A862" s="9" t="s">
        <v>1071</v>
      </c>
      <c r="B862" s="9" t="s">
        <v>822</v>
      </c>
      <c r="C862" s="9" t="s">
        <v>823</v>
      </c>
      <c r="D862" s="10">
        <v>9.9000000000000005E-2</v>
      </c>
      <c r="E862" s="15">
        <f>'단가대비표(총체)'!O188</f>
        <v>0</v>
      </c>
      <c r="F862" s="16">
        <f>TRUNC(E862*D862,1)</f>
        <v>0</v>
      </c>
      <c r="G862" s="15">
        <f>'단가대비표(총체)'!P188</f>
        <v>0</v>
      </c>
      <c r="H862" s="16">
        <f>TRUNC(G862*D862,1)</f>
        <v>0</v>
      </c>
      <c r="I862" s="15">
        <f>'단가대비표(총체)'!V188</f>
        <v>0</v>
      </c>
      <c r="J862" s="16">
        <f>TRUNC(I862*D862,1)</f>
        <v>0</v>
      </c>
      <c r="K862" s="15">
        <f t="shared" ref="K862:L864" si="172">TRUNC(E862+G862+I862,1)</f>
        <v>0</v>
      </c>
      <c r="L862" s="16">
        <f t="shared" si="172"/>
        <v>0</v>
      </c>
      <c r="M862" s="9" t="s">
        <v>52</v>
      </c>
      <c r="N862" s="2" t="s">
        <v>701</v>
      </c>
      <c r="O862" s="2" t="s">
        <v>1072</v>
      </c>
      <c r="P862" s="2" t="s">
        <v>61</v>
      </c>
      <c r="Q862" s="2" t="s">
        <v>61</v>
      </c>
      <c r="R862" s="2" t="s">
        <v>60</v>
      </c>
      <c r="S862" s="3"/>
      <c r="T862" s="3"/>
      <c r="U862" s="3"/>
      <c r="V862" s="3">
        <v>1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2" t="s">
        <v>52</v>
      </c>
      <c r="AW862" s="2" t="s">
        <v>2010</v>
      </c>
      <c r="AX862" s="2" t="s">
        <v>52</v>
      </c>
      <c r="AY862" s="2" t="s">
        <v>52</v>
      </c>
    </row>
    <row r="863" spans="1:51" ht="30" customHeight="1" x14ac:dyDescent="0.3">
      <c r="A863" s="9" t="s">
        <v>821</v>
      </c>
      <c r="B863" s="9" t="s">
        <v>822</v>
      </c>
      <c r="C863" s="9" t="s">
        <v>823</v>
      </c>
      <c r="D863" s="10">
        <v>0.05</v>
      </c>
      <c r="E863" s="15">
        <f>'단가대비표(총체)'!O180</f>
        <v>0</v>
      </c>
      <c r="F863" s="16">
        <f>TRUNC(E863*D863,1)</f>
        <v>0</v>
      </c>
      <c r="G863" s="15">
        <f>'단가대비표(총체)'!P180</f>
        <v>0</v>
      </c>
      <c r="H863" s="16">
        <f>TRUNC(G863*D863,1)</f>
        <v>0</v>
      </c>
      <c r="I863" s="15">
        <f>'단가대비표(총체)'!V180</f>
        <v>0</v>
      </c>
      <c r="J863" s="16">
        <f>TRUNC(I863*D863,1)</f>
        <v>0</v>
      </c>
      <c r="K863" s="15">
        <f t="shared" si="172"/>
        <v>0</v>
      </c>
      <c r="L863" s="16">
        <f t="shared" si="172"/>
        <v>0</v>
      </c>
      <c r="M863" s="9" t="s">
        <v>52</v>
      </c>
      <c r="N863" s="2" t="s">
        <v>701</v>
      </c>
      <c r="O863" s="2" t="s">
        <v>824</v>
      </c>
      <c r="P863" s="2" t="s">
        <v>61</v>
      </c>
      <c r="Q863" s="2" t="s">
        <v>61</v>
      </c>
      <c r="R863" s="2" t="s">
        <v>60</v>
      </c>
      <c r="S863" s="3"/>
      <c r="T863" s="3"/>
      <c r="U863" s="3"/>
      <c r="V863" s="3">
        <v>1</v>
      </c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2" t="s">
        <v>52</v>
      </c>
      <c r="AW863" s="2" t="s">
        <v>2011</v>
      </c>
      <c r="AX863" s="2" t="s">
        <v>52</v>
      </c>
      <c r="AY863" s="2" t="s">
        <v>52</v>
      </c>
    </row>
    <row r="864" spans="1:51" ht="30" customHeight="1" x14ac:dyDescent="0.3">
      <c r="A864" s="9" t="s">
        <v>2006</v>
      </c>
      <c r="B864" s="9" t="s">
        <v>1590</v>
      </c>
      <c r="C864" s="9" t="s">
        <v>307</v>
      </c>
      <c r="D864" s="10">
        <v>1</v>
      </c>
      <c r="E864" s="15">
        <f>TRUNC(SUMIF(V862:V864, RIGHTB(O864, 1), H862:H864)*U864, 2)</f>
        <v>0</v>
      </c>
      <c r="F864" s="16">
        <f>TRUNC(E864*D864,1)</f>
        <v>0</v>
      </c>
      <c r="G864" s="15">
        <v>0</v>
      </c>
      <c r="H864" s="16">
        <f>TRUNC(G864*D864,1)</f>
        <v>0</v>
      </c>
      <c r="I864" s="15">
        <v>0</v>
      </c>
      <c r="J864" s="16">
        <f>TRUNC(I864*D864,1)</f>
        <v>0</v>
      </c>
      <c r="K864" s="15">
        <f t="shared" si="172"/>
        <v>0</v>
      </c>
      <c r="L864" s="16">
        <f t="shared" si="172"/>
        <v>0</v>
      </c>
      <c r="M864" s="9" t="s">
        <v>52</v>
      </c>
      <c r="N864" s="2" t="s">
        <v>701</v>
      </c>
      <c r="O864" s="2" t="s">
        <v>809</v>
      </c>
      <c r="P864" s="2" t="s">
        <v>61</v>
      </c>
      <c r="Q864" s="2" t="s">
        <v>61</v>
      </c>
      <c r="R864" s="2" t="s">
        <v>61</v>
      </c>
      <c r="S864" s="3">
        <v>1</v>
      </c>
      <c r="T864" s="3">
        <v>0</v>
      </c>
      <c r="U864" s="3">
        <v>0.05</v>
      </c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2" t="s">
        <v>52</v>
      </c>
      <c r="AW864" s="2" t="s">
        <v>2012</v>
      </c>
      <c r="AX864" s="2" t="s">
        <v>52</v>
      </c>
      <c r="AY864" s="2" t="s">
        <v>52</v>
      </c>
    </row>
    <row r="865" spans="1:51" ht="30" customHeight="1" x14ac:dyDescent="0.3">
      <c r="A865" s="9" t="s">
        <v>811</v>
      </c>
      <c r="B865" s="9" t="s">
        <v>52</v>
      </c>
      <c r="C865" s="9" t="s">
        <v>52</v>
      </c>
      <c r="D865" s="10"/>
      <c r="E865" s="15"/>
      <c r="F865" s="16">
        <f>TRUNC(SUMIF(N862:N864, N861, F862:F864),0)</f>
        <v>0</v>
      </c>
      <c r="G865" s="15"/>
      <c r="H865" s="16">
        <f>TRUNC(SUMIF(N862:N864, N861, H862:H864),0)</f>
        <v>0</v>
      </c>
      <c r="I865" s="15"/>
      <c r="J865" s="16">
        <f>TRUNC(SUMIF(N862:N864, N861, J862:J864),0)</f>
        <v>0</v>
      </c>
      <c r="K865" s="15"/>
      <c r="L865" s="16">
        <f>F865+H865+J865</f>
        <v>0</v>
      </c>
      <c r="M865" s="9" t="s">
        <v>52</v>
      </c>
      <c r="N865" s="2" t="s">
        <v>94</v>
      </c>
      <c r="O865" s="2" t="s">
        <v>94</v>
      </c>
      <c r="P865" s="2" t="s">
        <v>52</v>
      </c>
      <c r="Q865" s="2" t="s">
        <v>52</v>
      </c>
      <c r="R865" s="2" t="s">
        <v>52</v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2" t="s">
        <v>52</v>
      </c>
      <c r="AW865" s="2" t="s">
        <v>52</v>
      </c>
      <c r="AX865" s="2" t="s">
        <v>52</v>
      </c>
      <c r="AY865" s="2" t="s">
        <v>52</v>
      </c>
    </row>
    <row r="866" spans="1:51" ht="30" customHeight="1" x14ac:dyDescent="0.3">
      <c r="A866" s="10"/>
      <c r="B866" s="10"/>
      <c r="C866" s="10"/>
      <c r="D866" s="10"/>
      <c r="E866" s="15"/>
      <c r="F866" s="16"/>
      <c r="G866" s="15"/>
      <c r="H866" s="16"/>
      <c r="I866" s="15"/>
      <c r="J866" s="16"/>
      <c r="K866" s="15"/>
      <c r="L866" s="16"/>
      <c r="M866" s="10"/>
    </row>
    <row r="867" spans="1:51" ht="30" customHeight="1" x14ac:dyDescent="0.3">
      <c r="A867" s="44" t="s">
        <v>2013</v>
      </c>
      <c r="B867" s="44"/>
      <c r="C867" s="44"/>
      <c r="D867" s="44"/>
      <c r="E867" s="45"/>
      <c r="F867" s="46"/>
      <c r="G867" s="45"/>
      <c r="H867" s="46"/>
      <c r="I867" s="45"/>
      <c r="J867" s="46"/>
      <c r="K867" s="45"/>
      <c r="L867" s="46"/>
      <c r="M867" s="44"/>
      <c r="N867" s="1" t="s">
        <v>704</v>
      </c>
    </row>
    <row r="868" spans="1:51" ht="30" customHeight="1" x14ac:dyDescent="0.3">
      <c r="A868" s="9" t="s">
        <v>2015</v>
      </c>
      <c r="B868" s="9" t="s">
        <v>822</v>
      </c>
      <c r="C868" s="9" t="s">
        <v>823</v>
      </c>
      <c r="D868" s="10">
        <v>9.5000000000000001E-2</v>
      </c>
      <c r="E868" s="15">
        <f>'단가대비표(총체)'!O189</f>
        <v>0</v>
      </c>
      <c r="F868" s="16">
        <f>TRUNC(E868*D868,1)</f>
        <v>0</v>
      </c>
      <c r="G868" s="15">
        <f>'단가대비표(총체)'!P189</f>
        <v>0</v>
      </c>
      <c r="H868" s="16">
        <f>TRUNC(G868*D868,1)</f>
        <v>0</v>
      </c>
      <c r="I868" s="15">
        <f>'단가대비표(총체)'!V189</f>
        <v>0</v>
      </c>
      <c r="J868" s="16">
        <f>TRUNC(I868*D868,1)</f>
        <v>0</v>
      </c>
      <c r="K868" s="15">
        <f t="shared" ref="K868:L870" si="173">TRUNC(E868+G868+I868,1)</f>
        <v>0</v>
      </c>
      <c r="L868" s="16">
        <f t="shared" si="173"/>
        <v>0</v>
      </c>
      <c r="M868" s="9" t="s">
        <v>52</v>
      </c>
      <c r="N868" s="2" t="s">
        <v>704</v>
      </c>
      <c r="O868" s="2" t="s">
        <v>2016</v>
      </c>
      <c r="P868" s="2" t="s">
        <v>61</v>
      </c>
      <c r="Q868" s="2" t="s">
        <v>61</v>
      </c>
      <c r="R868" s="2" t="s">
        <v>60</v>
      </c>
      <c r="S868" s="3"/>
      <c r="T868" s="3"/>
      <c r="U868" s="3"/>
      <c r="V868" s="3">
        <v>1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2" t="s">
        <v>52</v>
      </c>
      <c r="AW868" s="2" t="s">
        <v>2017</v>
      </c>
      <c r="AX868" s="2" t="s">
        <v>52</v>
      </c>
      <c r="AY868" s="2" t="s">
        <v>52</v>
      </c>
    </row>
    <row r="869" spans="1:51" ht="30" customHeight="1" x14ac:dyDescent="0.3">
      <c r="A869" s="9" t="s">
        <v>821</v>
      </c>
      <c r="B869" s="9" t="s">
        <v>822</v>
      </c>
      <c r="C869" s="9" t="s">
        <v>823</v>
      </c>
      <c r="D869" s="10">
        <v>4.8000000000000001E-2</v>
      </c>
      <c r="E869" s="15">
        <f>'단가대비표(총체)'!O180</f>
        <v>0</v>
      </c>
      <c r="F869" s="16">
        <f>TRUNC(E869*D869,1)</f>
        <v>0</v>
      </c>
      <c r="G869" s="15">
        <f>'단가대비표(총체)'!P180</f>
        <v>0</v>
      </c>
      <c r="H869" s="16">
        <f>TRUNC(G869*D869,1)</f>
        <v>0</v>
      </c>
      <c r="I869" s="15">
        <f>'단가대비표(총체)'!V180</f>
        <v>0</v>
      </c>
      <c r="J869" s="16">
        <f>TRUNC(I869*D869,1)</f>
        <v>0</v>
      </c>
      <c r="K869" s="15">
        <f t="shared" si="173"/>
        <v>0</v>
      </c>
      <c r="L869" s="16">
        <f t="shared" si="173"/>
        <v>0</v>
      </c>
      <c r="M869" s="9" t="s">
        <v>52</v>
      </c>
      <c r="N869" s="2" t="s">
        <v>704</v>
      </c>
      <c r="O869" s="2" t="s">
        <v>824</v>
      </c>
      <c r="P869" s="2" t="s">
        <v>61</v>
      </c>
      <c r="Q869" s="2" t="s">
        <v>61</v>
      </c>
      <c r="R869" s="2" t="s">
        <v>60</v>
      </c>
      <c r="S869" s="3"/>
      <c r="T869" s="3"/>
      <c r="U869" s="3"/>
      <c r="V869" s="3">
        <v>1</v>
      </c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2" t="s">
        <v>52</v>
      </c>
      <c r="AW869" s="2" t="s">
        <v>2018</v>
      </c>
      <c r="AX869" s="2" t="s">
        <v>52</v>
      </c>
      <c r="AY869" s="2" t="s">
        <v>52</v>
      </c>
    </row>
    <row r="870" spans="1:51" ht="30" customHeight="1" x14ac:dyDescent="0.3">
      <c r="A870" s="9" t="s">
        <v>2006</v>
      </c>
      <c r="B870" s="9" t="s">
        <v>1590</v>
      </c>
      <c r="C870" s="9" t="s">
        <v>307</v>
      </c>
      <c r="D870" s="10">
        <v>1</v>
      </c>
      <c r="E870" s="15">
        <f>TRUNC(SUMIF(V868:V870, RIGHTB(O870, 1), H868:H870)*U870, 2)</f>
        <v>0</v>
      </c>
      <c r="F870" s="16">
        <f>TRUNC(E870*D870,1)</f>
        <v>0</v>
      </c>
      <c r="G870" s="15">
        <v>0</v>
      </c>
      <c r="H870" s="16">
        <f>TRUNC(G870*D870,1)</f>
        <v>0</v>
      </c>
      <c r="I870" s="15">
        <v>0</v>
      </c>
      <c r="J870" s="16">
        <f>TRUNC(I870*D870,1)</f>
        <v>0</v>
      </c>
      <c r="K870" s="15">
        <f t="shared" si="173"/>
        <v>0</v>
      </c>
      <c r="L870" s="16">
        <f t="shared" si="173"/>
        <v>0</v>
      </c>
      <c r="M870" s="9" t="s">
        <v>52</v>
      </c>
      <c r="N870" s="2" t="s">
        <v>704</v>
      </c>
      <c r="O870" s="2" t="s">
        <v>809</v>
      </c>
      <c r="P870" s="2" t="s">
        <v>61</v>
      </c>
      <c r="Q870" s="2" t="s">
        <v>61</v>
      </c>
      <c r="R870" s="2" t="s">
        <v>61</v>
      </c>
      <c r="S870" s="3">
        <v>1</v>
      </c>
      <c r="T870" s="3">
        <v>0</v>
      </c>
      <c r="U870" s="3">
        <v>0.05</v>
      </c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2" t="s">
        <v>52</v>
      </c>
      <c r="AW870" s="2" t="s">
        <v>2019</v>
      </c>
      <c r="AX870" s="2" t="s">
        <v>52</v>
      </c>
      <c r="AY870" s="2" t="s">
        <v>52</v>
      </c>
    </row>
    <row r="871" spans="1:51" ht="30" customHeight="1" x14ac:dyDescent="0.3">
      <c r="A871" s="9" t="s">
        <v>811</v>
      </c>
      <c r="B871" s="9" t="s">
        <v>52</v>
      </c>
      <c r="C871" s="9" t="s">
        <v>52</v>
      </c>
      <c r="D871" s="10"/>
      <c r="E871" s="15"/>
      <c r="F871" s="16">
        <f>TRUNC(SUMIF(N868:N870, N867, F868:F870),0)</f>
        <v>0</v>
      </c>
      <c r="G871" s="15"/>
      <c r="H871" s="16">
        <f>TRUNC(SUMIF(N868:N870, N867, H868:H870),0)</f>
        <v>0</v>
      </c>
      <c r="I871" s="15"/>
      <c r="J871" s="16">
        <f>TRUNC(SUMIF(N868:N870, N867, J868:J870),0)</f>
        <v>0</v>
      </c>
      <c r="K871" s="15"/>
      <c r="L871" s="16">
        <f>F871+H871+J871</f>
        <v>0</v>
      </c>
      <c r="M871" s="9" t="s">
        <v>52</v>
      </c>
      <c r="N871" s="2" t="s">
        <v>94</v>
      </c>
      <c r="O871" s="2" t="s">
        <v>94</v>
      </c>
      <c r="P871" s="2" t="s">
        <v>52</v>
      </c>
      <c r="Q871" s="2" t="s">
        <v>52</v>
      </c>
      <c r="R871" s="2" t="s">
        <v>52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2" t="s">
        <v>52</v>
      </c>
      <c r="AW871" s="2" t="s">
        <v>52</v>
      </c>
      <c r="AX871" s="2" t="s">
        <v>52</v>
      </c>
      <c r="AY871" s="2" t="s">
        <v>52</v>
      </c>
    </row>
    <row r="872" spans="1:51" ht="30" customHeight="1" x14ac:dyDescent="0.3">
      <c r="A872" s="10"/>
      <c r="B872" s="10"/>
      <c r="C872" s="10"/>
      <c r="D872" s="10"/>
      <c r="E872" s="15"/>
      <c r="F872" s="16"/>
      <c r="G872" s="15"/>
      <c r="H872" s="16"/>
      <c r="I872" s="15"/>
      <c r="J872" s="16"/>
      <c r="K872" s="15"/>
      <c r="L872" s="16"/>
      <c r="M872" s="10"/>
    </row>
    <row r="873" spans="1:51" ht="30" customHeight="1" x14ac:dyDescent="0.3">
      <c r="A873" s="44" t="s">
        <v>2020</v>
      </c>
      <c r="B873" s="44"/>
      <c r="C873" s="44"/>
      <c r="D873" s="44"/>
      <c r="E873" s="45"/>
      <c r="F873" s="46"/>
      <c r="G873" s="45"/>
      <c r="H873" s="46"/>
      <c r="I873" s="45"/>
      <c r="J873" s="46"/>
      <c r="K873" s="45"/>
      <c r="L873" s="46"/>
      <c r="M873" s="44"/>
      <c r="N873" s="1" t="s">
        <v>707</v>
      </c>
    </row>
    <row r="874" spans="1:51" ht="30" customHeight="1" x14ac:dyDescent="0.3">
      <c r="A874" s="9" t="s">
        <v>2015</v>
      </c>
      <c r="B874" s="9" t="s">
        <v>822</v>
      </c>
      <c r="C874" s="9" t="s">
        <v>823</v>
      </c>
      <c r="D874" s="10">
        <v>9.9000000000000005E-2</v>
      </c>
      <c r="E874" s="15">
        <f>'단가대비표(총체)'!O189</f>
        <v>0</v>
      </c>
      <c r="F874" s="16">
        <f>TRUNC(E874*D874,1)</f>
        <v>0</v>
      </c>
      <c r="G874" s="15">
        <f>'단가대비표(총체)'!P189</f>
        <v>0</v>
      </c>
      <c r="H874" s="16">
        <f>TRUNC(G874*D874,1)</f>
        <v>0</v>
      </c>
      <c r="I874" s="15">
        <f>'단가대비표(총체)'!V189</f>
        <v>0</v>
      </c>
      <c r="J874" s="16">
        <f>TRUNC(I874*D874,1)</f>
        <v>0</v>
      </c>
      <c r="K874" s="15">
        <f t="shared" ref="K874:L876" si="174">TRUNC(E874+G874+I874,1)</f>
        <v>0</v>
      </c>
      <c r="L874" s="16">
        <f t="shared" si="174"/>
        <v>0</v>
      </c>
      <c r="M874" s="9" t="s">
        <v>52</v>
      </c>
      <c r="N874" s="2" t="s">
        <v>707</v>
      </c>
      <c r="O874" s="2" t="s">
        <v>2016</v>
      </c>
      <c r="P874" s="2" t="s">
        <v>61</v>
      </c>
      <c r="Q874" s="2" t="s">
        <v>61</v>
      </c>
      <c r="R874" s="2" t="s">
        <v>60</v>
      </c>
      <c r="S874" s="3"/>
      <c r="T874" s="3"/>
      <c r="U874" s="3"/>
      <c r="V874" s="3">
        <v>1</v>
      </c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2" t="s">
        <v>52</v>
      </c>
      <c r="AW874" s="2" t="s">
        <v>2022</v>
      </c>
      <c r="AX874" s="2" t="s">
        <v>52</v>
      </c>
      <c r="AY874" s="2" t="s">
        <v>52</v>
      </c>
    </row>
    <row r="875" spans="1:51" ht="30" customHeight="1" x14ac:dyDescent="0.3">
      <c r="A875" s="9" t="s">
        <v>821</v>
      </c>
      <c r="B875" s="9" t="s">
        <v>822</v>
      </c>
      <c r="C875" s="9" t="s">
        <v>823</v>
      </c>
      <c r="D875" s="10">
        <v>0.05</v>
      </c>
      <c r="E875" s="15">
        <f>'단가대비표(총체)'!O180</f>
        <v>0</v>
      </c>
      <c r="F875" s="16">
        <f>TRUNC(E875*D875,1)</f>
        <v>0</v>
      </c>
      <c r="G875" s="15">
        <f>'단가대비표(총체)'!P180</f>
        <v>0</v>
      </c>
      <c r="H875" s="16">
        <f>TRUNC(G875*D875,1)</f>
        <v>0</v>
      </c>
      <c r="I875" s="15">
        <f>'단가대비표(총체)'!V180</f>
        <v>0</v>
      </c>
      <c r="J875" s="16">
        <f>TRUNC(I875*D875,1)</f>
        <v>0</v>
      </c>
      <c r="K875" s="15">
        <f t="shared" si="174"/>
        <v>0</v>
      </c>
      <c r="L875" s="16">
        <f t="shared" si="174"/>
        <v>0</v>
      </c>
      <c r="M875" s="9" t="s">
        <v>52</v>
      </c>
      <c r="N875" s="2" t="s">
        <v>707</v>
      </c>
      <c r="O875" s="2" t="s">
        <v>824</v>
      </c>
      <c r="P875" s="2" t="s">
        <v>61</v>
      </c>
      <c r="Q875" s="2" t="s">
        <v>61</v>
      </c>
      <c r="R875" s="2" t="s">
        <v>60</v>
      </c>
      <c r="S875" s="3"/>
      <c r="T875" s="3"/>
      <c r="U875" s="3"/>
      <c r="V875" s="3">
        <v>1</v>
      </c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2" t="s">
        <v>52</v>
      </c>
      <c r="AW875" s="2" t="s">
        <v>2023</v>
      </c>
      <c r="AX875" s="2" t="s">
        <v>52</v>
      </c>
      <c r="AY875" s="2" t="s">
        <v>52</v>
      </c>
    </row>
    <row r="876" spans="1:51" ht="30" customHeight="1" x14ac:dyDescent="0.3">
      <c r="A876" s="9" t="s">
        <v>2006</v>
      </c>
      <c r="B876" s="9" t="s">
        <v>1590</v>
      </c>
      <c r="C876" s="9" t="s">
        <v>307</v>
      </c>
      <c r="D876" s="10">
        <v>1</v>
      </c>
      <c r="E876" s="15">
        <f>TRUNC(SUMIF(V874:V876, RIGHTB(O876, 1), H874:H876)*U876, 2)</f>
        <v>0</v>
      </c>
      <c r="F876" s="16">
        <f>TRUNC(E876*D876,1)</f>
        <v>0</v>
      </c>
      <c r="G876" s="15">
        <v>0</v>
      </c>
      <c r="H876" s="16">
        <f>TRUNC(G876*D876,1)</f>
        <v>0</v>
      </c>
      <c r="I876" s="15">
        <v>0</v>
      </c>
      <c r="J876" s="16">
        <f>TRUNC(I876*D876,1)</f>
        <v>0</v>
      </c>
      <c r="K876" s="15">
        <f t="shared" si="174"/>
        <v>0</v>
      </c>
      <c r="L876" s="16">
        <f t="shared" si="174"/>
        <v>0</v>
      </c>
      <c r="M876" s="9" t="s">
        <v>52</v>
      </c>
      <c r="N876" s="2" t="s">
        <v>707</v>
      </c>
      <c r="O876" s="2" t="s">
        <v>809</v>
      </c>
      <c r="P876" s="2" t="s">
        <v>61</v>
      </c>
      <c r="Q876" s="2" t="s">
        <v>61</v>
      </c>
      <c r="R876" s="2" t="s">
        <v>61</v>
      </c>
      <c r="S876" s="3">
        <v>1</v>
      </c>
      <c r="T876" s="3">
        <v>0</v>
      </c>
      <c r="U876" s="3">
        <v>0.05</v>
      </c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2" t="s">
        <v>52</v>
      </c>
      <c r="AW876" s="2" t="s">
        <v>2024</v>
      </c>
      <c r="AX876" s="2" t="s">
        <v>52</v>
      </c>
      <c r="AY876" s="2" t="s">
        <v>52</v>
      </c>
    </row>
    <row r="877" spans="1:51" ht="30" customHeight="1" x14ac:dyDescent="0.3">
      <c r="A877" s="9" t="s">
        <v>811</v>
      </c>
      <c r="B877" s="9" t="s">
        <v>52</v>
      </c>
      <c r="C877" s="9" t="s">
        <v>52</v>
      </c>
      <c r="D877" s="10"/>
      <c r="E877" s="15"/>
      <c r="F877" s="16">
        <f>TRUNC(SUMIF(N874:N876, N873, F874:F876),0)</f>
        <v>0</v>
      </c>
      <c r="G877" s="15"/>
      <c r="H877" s="16">
        <f>TRUNC(SUMIF(N874:N876, N873, H874:H876),0)</f>
        <v>0</v>
      </c>
      <c r="I877" s="15"/>
      <c r="J877" s="16">
        <f>TRUNC(SUMIF(N874:N876, N873, J874:J876),0)</f>
        <v>0</v>
      </c>
      <c r="K877" s="15"/>
      <c r="L877" s="16">
        <f>F877+H877+J877</f>
        <v>0</v>
      </c>
      <c r="M877" s="9" t="s">
        <v>52</v>
      </c>
      <c r="N877" s="2" t="s">
        <v>94</v>
      </c>
      <c r="O877" s="2" t="s">
        <v>94</v>
      </c>
      <c r="P877" s="2" t="s">
        <v>52</v>
      </c>
      <c r="Q877" s="2" t="s">
        <v>52</v>
      </c>
      <c r="R877" s="2" t="s">
        <v>52</v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2" t="s">
        <v>52</v>
      </c>
      <c r="AW877" s="2" t="s">
        <v>52</v>
      </c>
      <c r="AX877" s="2" t="s">
        <v>52</v>
      </c>
      <c r="AY877" s="2" t="s">
        <v>52</v>
      </c>
    </row>
    <row r="878" spans="1:51" ht="30" customHeight="1" x14ac:dyDescent="0.3">
      <c r="A878" s="10"/>
      <c r="B878" s="10"/>
      <c r="C878" s="10"/>
      <c r="D878" s="10"/>
      <c r="E878" s="15"/>
      <c r="F878" s="16"/>
      <c r="G878" s="15"/>
      <c r="H878" s="16"/>
      <c r="I878" s="15"/>
      <c r="J878" s="16"/>
      <c r="K878" s="15"/>
      <c r="L878" s="16"/>
      <c r="M878" s="10"/>
    </row>
    <row r="879" spans="1:51" ht="30" customHeight="1" x14ac:dyDescent="0.3">
      <c r="A879" s="44" t="s">
        <v>2025</v>
      </c>
      <c r="B879" s="44"/>
      <c r="C879" s="44"/>
      <c r="D879" s="44"/>
      <c r="E879" s="45"/>
      <c r="F879" s="46"/>
      <c r="G879" s="45"/>
      <c r="H879" s="46"/>
      <c r="I879" s="45"/>
      <c r="J879" s="46"/>
      <c r="K879" s="45"/>
      <c r="L879" s="46"/>
      <c r="M879" s="44"/>
      <c r="N879" s="1" t="s">
        <v>711</v>
      </c>
    </row>
    <row r="880" spans="1:51" ht="30" customHeight="1" x14ac:dyDescent="0.3">
      <c r="A880" s="9" t="s">
        <v>1598</v>
      </c>
      <c r="B880" s="9" t="s">
        <v>822</v>
      </c>
      <c r="C880" s="9" t="s">
        <v>823</v>
      </c>
      <c r="D880" s="10">
        <v>0.11</v>
      </c>
      <c r="E880" s="15">
        <f>'단가대비표(총체)'!O205</f>
        <v>0</v>
      </c>
      <c r="F880" s="16">
        <f>TRUNC(E880*D880,1)</f>
        <v>0</v>
      </c>
      <c r="G880" s="15">
        <f>'단가대비표(총체)'!P205</f>
        <v>0</v>
      </c>
      <c r="H880" s="16">
        <f>TRUNC(G880*D880,1)</f>
        <v>0</v>
      </c>
      <c r="I880" s="15">
        <f>'단가대비표(총체)'!V205</f>
        <v>0</v>
      </c>
      <c r="J880" s="16">
        <f>TRUNC(I880*D880,1)</f>
        <v>0</v>
      </c>
      <c r="K880" s="15">
        <f>TRUNC(E880+G880+I880,1)</f>
        <v>0</v>
      </c>
      <c r="L880" s="16">
        <f>TRUNC(F880+H880+J880,1)</f>
        <v>0</v>
      </c>
      <c r="M880" s="9" t="s">
        <v>52</v>
      </c>
      <c r="N880" s="2" t="s">
        <v>711</v>
      </c>
      <c r="O880" s="2" t="s">
        <v>1599</v>
      </c>
      <c r="P880" s="2" t="s">
        <v>61</v>
      </c>
      <c r="Q880" s="2" t="s">
        <v>61</v>
      </c>
      <c r="R880" s="2" t="s">
        <v>60</v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2" t="s">
        <v>52</v>
      </c>
      <c r="AW880" s="2" t="s">
        <v>2027</v>
      </c>
      <c r="AX880" s="2" t="s">
        <v>52</v>
      </c>
      <c r="AY880" s="2" t="s">
        <v>52</v>
      </c>
    </row>
    <row r="881" spans="1:51" ht="30" customHeight="1" x14ac:dyDescent="0.3">
      <c r="A881" s="9" t="s">
        <v>821</v>
      </c>
      <c r="B881" s="9" t="s">
        <v>822</v>
      </c>
      <c r="C881" s="9" t="s">
        <v>823</v>
      </c>
      <c r="D881" s="10">
        <v>2.5999999999999999E-2</v>
      </c>
      <c r="E881" s="15">
        <f>'단가대비표(총체)'!O180</f>
        <v>0</v>
      </c>
      <c r="F881" s="16">
        <f>TRUNC(E881*D881,1)</f>
        <v>0</v>
      </c>
      <c r="G881" s="15">
        <f>'단가대비표(총체)'!P180</f>
        <v>0</v>
      </c>
      <c r="H881" s="16">
        <f>TRUNC(G881*D881,1)</f>
        <v>0</v>
      </c>
      <c r="I881" s="15">
        <f>'단가대비표(총체)'!V180</f>
        <v>0</v>
      </c>
      <c r="J881" s="16">
        <f>TRUNC(I881*D881,1)</f>
        <v>0</v>
      </c>
      <c r="K881" s="15">
        <f>TRUNC(E881+G881+I881,1)</f>
        <v>0</v>
      </c>
      <c r="L881" s="16">
        <f>TRUNC(F881+H881+J881,1)</f>
        <v>0</v>
      </c>
      <c r="M881" s="9" t="s">
        <v>52</v>
      </c>
      <c r="N881" s="2" t="s">
        <v>711</v>
      </c>
      <c r="O881" s="2" t="s">
        <v>824</v>
      </c>
      <c r="P881" s="2" t="s">
        <v>61</v>
      </c>
      <c r="Q881" s="2" t="s">
        <v>61</v>
      </c>
      <c r="R881" s="2" t="s">
        <v>60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2" t="s">
        <v>52</v>
      </c>
      <c r="AW881" s="2" t="s">
        <v>2028</v>
      </c>
      <c r="AX881" s="2" t="s">
        <v>52</v>
      </c>
      <c r="AY881" s="2" t="s">
        <v>52</v>
      </c>
    </row>
    <row r="882" spans="1:51" ht="30" customHeight="1" x14ac:dyDescent="0.3">
      <c r="A882" s="9" t="s">
        <v>811</v>
      </c>
      <c r="B882" s="9" t="s">
        <v>52</v>
      </c>
      <c r="C882" s="9" t="s">
        <v>52</v>
      </c>
      <c r="D882" s="10"/>
      <c r="E882" s="15"/>
      <c r="F882" s="16">
        <f>TRUNC(SUMIF(N880:N881, N879, F880:F881),0)</f>
        <v>0</v>
      </c>
      <c r="G882" s="15"/>
      <c r="H882" s="16">
        <f>TRUNC(SUMIF(N880:N881, N879, H880:H881),0)</f>
        <v>0</v>
      </c>
      <c r="I882" s="15"/>
      <c r="J882" s="16">
        <f>TRUNC(SUMIF(N880:N881, N879, J880:J881),0)</f>
        <v>0</v>
      </c>
      <c r="K882" s="15"/>
      <c r="L882" s="16">
        <f>F882+H882+J882</f>
        <v>0</v>
      </c>
      <c r="M882" s="9" t="s">
        <v>52</v>
      </c>
      <c r="N882" s="2" t="s">
        <v>94</v>
      </c>
      <c r="O882" s="2" t="s">
        <v>94</v>
      </c>
      <c r="P882" s="2" t="s">
        <v>52</v>
      </c>
      <c r="Q882" s="2" t="s">
        <v>52</v>
      </c>
      <c r="R882" s="2" t="s">
        <v>52</v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2" t="s">
        <v>52</v>
      </c>
      <c r="AW882" s="2" t="s">
        <v>52</v>
      </c>
      <c r="AX882" s="2" t="s">
        <v>52</v>
      </c>
      <c r="AY882" s="2" t="s">
        <v>52</v>
      </c>
    </row>
    <row r="883" spans="1:51" ht="30" customHeight="1" x14ac:dyDescent="0.3">
      <c r="A883" s="10"/>
      <c r="B883" s="10"/>
      <c r="C883" s="10"/>
      <c r="D883" s="10"/>
      <c r="E883" s="15"/>
      <c r="F883" s="16"/>
      <c r="G883" s="15"/>
      <c r="H883" s="16"/>
      <c r="I883" s="15"/>
      <c r="J883" s="16"/>
      <c r="K883" s="15"/>
      <c r="L883" s="16"/>
      <c r="M883" s="10"/>
    </row>
    <row r="884" spans="1:51" ht="30" customHeight="1" x14ac:dyDescent="0.3">
      <c r="A884" s="44" t="s">
        <v>2029</v>
      </c>
      <c r="B884" s="44"/>
      <c r="C884" s="44"/>
      <c r="D884" s="44"/>
      <c r="E884" s="45"/>
      <c r="F884" s="46"/>
      <c r="G884" s="45"/>
      <c r="H884" s="46"/>
      <c r="I884" s="45"/>
      <c r="J884" s="46"/>
      <c r="K884" s="45"/>
      <c r="L884" s="46"/>
      <c r="M884" s="44"/>
      <c r="N884" s="1" t="s">
        <v>715</v>
      </c>
    </row>
    <row r="885" spans="1:51" ht="30" customHeight="1" x14ac:dyDescent="0.3">
      <c r="A885" s="9" t="s">
        <v>1598</v>
      </c>
      <c r="B885" s="9" t="s">
        <v>822</v>
      </c>
      <c r="C885" s="9" t="s">
        <v>823</v>
      </c>
      <c r="D885" s="10">
        <v>0.27800000000000002</v>
      </c>
      <c r="E885" s="15">
        <f>'단가대비표(총체)'!O205</f>
        <v>0</v>
      </c>
      <c r="F885" s="16">
        <f>TRUNC(E885*D885,1)</f>
        <v>0</v>
      </c>
      <c r="G885" s="15">
        <f>'단가대비표(총체)'!P205</f>
        <v>0</v>
      </c>
      <c r="H885" s="16">
        <f>TRUNC(G885*D885,1)</f>
        <v>0</v>
      </c>
      <c r="I885" s="15">
        <f>'단가대비표(총체)'!V205</f>
        <v>0</v>
      </c>
      <c r="J885" s="16">
        <f>TRUNC(I885*D885,1)</f>
        <v>0</v>
      </c>
      <c r="K885" s="15">
        <f>TRUNC(E885+G885+I885,1)</f>
        <v>0</v>
      </c>
      <c r="L885" s="16">
        <f>TRUNC(F885+H885+J885,1)</f>
        <v>0</v>
      </c>
      <c r="M885" s="9" t="s">
        <v>52</v>
      </c>
      <c r="N885" s="2" t="s">
        <v>715</v>
      </c>
      <c r="O885" s="2" t="s">
        <v>1599</v>
      </c>
      <c r="P885" s="2" t="s">
        <v>61</v>
      </c>
      <c r="Q885" s="2" t="s">
        <v>61</v>
      </c>
      <c r="R885" s="2" t="s">
        <v>60</v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2" t="s">
        <v>52</v>
      </c>
      <c r="AW885" s="2" t="s">
        <v>2031</v>
      </c>
      <c r="AX885" s="2" t="s">
        <v>52</v>
      </c>
      <c r="AY885" s="2" t="s">
        <v>52</v>
      </c>
    </row>
    <row r="886" spans="1:51" ht="30" customHeight="1" x14ac:dyDescent="0.3">
      <c r="A886" s="9" t="s">
        <v>821</v>
      </c>
      <c r="B886" s="9" t="s">
        <v>822</v>
      </c>
      <c r="C886" s="9" t="s">
        <v>823</v>
      </c>
      <c r="D886" s="10">
        <v>0.08</v>
      </c>
      <c r="E886" s="15">
        <f>'단가대비표(총체)'!O180</f>
        <v>0</v>
      </c>
      <c r="F886" s="16">
        <f>TRUNC(E886*D886,1)</f>
        <v>0</v>
      </c>
      <c r="G886" s="15">
        <f>'단가대비표(총체)'!P180</f>
        <v>0</v>
      </c>
      <c r="H886" s="16">
        <f>TRUNC(G886*D886,1)</f>
        <v>0</v>
      </c>
      <c r="I886" s="15">
        <f>'단가대비표(총체)'!V180</f>
        <v>0</v>
      </c>
      <c r="J886" s="16">
        <f>TRUNC(I886*D886,1)</f>
        <v>0</v>
      </c>
      <c r="K886" s="15">
        <f>TRUNC(E886+G886+I886,1)</f>
        <v>0</v>
      </c>
      <c r="L886" s="16">
        <f>TRUNC(F886+H886+J886,1)</f>
        <v>0</v>
      </c>
      <c r="M886" s="9" t="s">
        <v>52</v>
      </c>
      <c r="N886" s="2" t="s">
        <v>715</v>
      </c>
      <c r="O886" s="2" t="s">
        <v>824</v>
      </c>
      <c r="P886" s="2" t="s">
        <v>61</v>
      </c>
      <c r="Q886" s="2" t="s">
        <v>61</v>
      </c>
      <c r="R886" s="2" t="s">
        <v>60</v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2" t="s">
        <v>52</v>
      </c>
      <c r="AW886" s="2" t="s">
        <v>2032</v>
      </c>
      <c r="AX886" s="2" t="s">
        <v>52</v>
      </c>
      <c r="AY886" s="2" t="s">
        <v>52</v>
      </c>
    </row>
    <row r="887" spans="1:51" ht="30" customHeight="1" x14ac:dyDescent="0.3">
      <c r="A887" s="9" t="s">
        <v>811</v>
      </c>
      <c r="B887" s="9" t="s">
        <v>52</v>
      </c>
      <c r="C887" s="9" t="s">
        <v>52</v>
      </c>
      <c r="D887" s="10"/>
      <c r="E887" s="15"/>
      <c r="F887" s="16">
        <f>TRUNC(SUMIF(N885:N886, N884, F885:F886),0)</f>
        <v>0</v>
      </c>
      <c r="G887" s="15"/>
      <c r="H887" s="16">
        <f>TRUNC(SUMIF(N885:N886, N884, H885:H886),0)</f>
        <v>0</v>
      </c>
      <c r="I887" s="15"/>
      <c r="J887" s="16">
        <f>TRUNC(SUMIF(N885:N886, N884, J885:J886),0)</f>
        <v>0</v>
      </c>
      <c r="K887" s="15"/>
      <c r="L887" s="16">
        <f>F887+H887+J887</f>
        <v>0</v>
      </c>
      <c r="M887" s="9" t="s">
        <v>52</v>
      </c>
      <c r="N887" s="2" t="s">
        <v>94</v>
      </c>
      <c r="O887" s="2" t="s">
        <v>94</v>
      </c>
      <c r="P887" s="2" t="s">
        <v>52</v>
      </c>
      <c r="Q887" s="2" t="s">
        <v>52</v>
      </c>
      <c r="R887" s="2" t="s">
        <v>52</v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2" t="s">
        <v>52</v>
      </c>
      <c r="AW887" s="2" t="s">
        <v>52</v>
      </c>
      <c r="AX887" s="2" t="s">
        <v>52</v>
      </c>
      <c r="AY887" s="2" t="s">
        <v>52</v>
      </c>
    </row>
    <row r="888" spans="1:51" ht="30" customHeight="1" x14ac:dyDescent="0.3">
      <c r="A888" s="10"/>
      <c r="B888" s="10"/>
      <c r="C888" s="10"/>
      <c r="D888" s="10"/>
      <c r="E888" s="15"/>
      <c r="F888" s="16"/>
      <c r="G888" s="15"/>
      <c r="H888" s="16"/>
      <c r="I888" s="15"/>
      <c r="J888" s="16"/>
      <c r="K888" s="15"/>
      <c r="L888" s="16"/>
      <c r="M888" s="10"/>
    </row>
    <row r="889" spans="1:51" ht="30" customHeight="1" x14ac:dyDescent="0.3">
      <c r="A889" s="44" t="s">
        <v>2033</v>
      </c>
      <c r="B889" s="44"/>
      <c r="C889" s="44"/>
      <c r="D889" s="44"/>
      <c r="E889" s="45"/>
      <c r="F889" s="46"/>
      <c r="G889" s="45"/>
      <c r="H889" s="46"/>
      <c r="I889" s="45"/>
      <c r="J889" s="46"/>
      <c r="K889" s="45"/>
      <c r="L889" s="46"/>
      <c r="M889" s="44"/>
      <c r="N889" s="1" t="s">
        <v>719</v>
      </c>
    </row>
    <row r="890" spans="1:51" ht="30" customHeight="1" x14ac:dyDescent="0.3">
      <c r="A890" s="9" t="s">
        <v>1598</v>
      </c>
      <c r="B890" s="9" t="s">
        <v>822</v>
      </c>
      <c r="C890" s="9" t="s">
        <v>823</v>
      </c>
      <c r="D890" s="10">
        <v>0.318</v>
      </c>
      <c r="E890" s="15">
        <f>'단가대비표(총체)'!O205</f>
        <v>0</v>
      </c>
      <c r="F890" s="16">
        <f>TRUNC(E890*D890,1)</f>
        <v>0</v>
      </c>
      <c r="G890" s="15">
        <f>'단가대비표(총체)'!P205</f>
        <v>0</v>
      </c>
      <c r="H890" s="16">
        <f>TRUNC(G890*D890,1)</f>
        <v>0</v>
      </c>
      <c r="I890" s="15">
        <f>'단가대비표(총체)'!V205</f>
        <v>0</v>
      </c>
      <c r="J890" s="16">
        <f>TRUNC(I890*D890,1)</f>
        <v>0</v>
      </c>
      <c r="K890" s="15">
        <f>TRUNC(E890+G890+I890,1)</f>
        <v>0</v>
      </c>
      <c r="L890" s="16">
        <f>TRUNC(F890+H890+J890,1)</f>
        <v>0</v>
      </c>
      <c r="M890" s="9" t="s">
        <v>52</v>
      </c>
      <c r="N890" s="2" t="s">
        <v>719</v>
      </c>
      <c r="O890" s="2" t="s">
        <v>1599</v>
      </c>
      <c r="P890" s="2" t="s">
        <v>61</v>
      </c>
      <c r="Q890" s="2" t="s">
        <v>61</v>
      </c>
      <c r="R890" s="2" t="s">
        <v>60</v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2" t="s">
        <v>52</v>
      </c>
      <c r="AW890" s="2" t="s">
        <v>2035</v>
      </c>
      <c r="AX890" s="2" t="s">
        <v>52</v>
      </c>
      <c r="AY890" s="2" t="s">
        <v>52</v>
      </c>
    </row>
    <row r="891" spans="1:51" ht="30" customHeight="1" x14ac:dyDescent="0.3">
      <c r="A891" s="9" t="s">
        <v>821</v>
      </c>
      <c r="B891" s="9" t="s">
        <v>822</v>
      </c>
      <c r="C891" s="9" t="s">
        <v>823</v>
      </c>
      <c r="D891" s="10">
        <v>9.6000000000000002E-2</v>
      </c>
      <c r="E891" s="15">
        <f>'단가대비표(총체)'!O180</f>
        <v>0</v>
      </c>
      <c r="F891" s="16">
        <f>TRUNC(E891*D891,1)</f>
        <v>0</v>
      </c>
      <c r="G891" s="15">
        <f>'단가대비표(총체)'!P180</f>
        <v>0</v>
      </c>
      <c r="H891" s="16">
        <f>TRUNC(G891*D891,1)</f>
        <v>0</v>
      </c>
      <c r="I891" s="15">
        <f>'단가대비표(총체)'!V180</f>
        <v>0</v>
      </c>
      <c r="J891" s="16">
        <f>TRUNC(I891*D891,1)</f>
        <v>0</v>
      </c>
      <c r="K891" s="15">
        <f>TRUNC(E891+G891+I891,1)</f>
        <v>0</v>
      </c>
      <c r="L891" s="16">
        <f>TRUNC(F891+H891+J891,1)</f>
        <v>0</v>
      </c>
      <c r="M891" s="9" t="s">
        <v>52</v>
      </c>
      <c r="N891" s="2" t="s">
        <v>719</v>
      </c>
      <c r="O891" s="2" t="s">
        <v>824</v>
      </c>
      <c r="P891" s="2" t="s">
        <v>61</v>
      </c>
      <c r="Q891" s="2" t="s">
        <v>61</v>
      </c>
      <c r="R891" s="2" t="s">
        <v>60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2" t="s">
        <v>52</v>
      </c>
      <c r="AW891" s="2" t="s">
        <v>2036</v>
      </c>
      <c r="AX891" s="2" t="s">
        <v>52</v>
      </c>
      <c r="AY891" s="2" t="s">
        <v>52</v>
      </c>
    </row>
    <row r="892" spans="1:51" ht="30" customHeight="1" x14ac:dyDescent="0.3">
      <c r="A892" s="9" t="s">
        <v>811</v>
      </c>
      <c r="B892" s="9" t="s">
        <v>52</v>
      </c>
      <c r="C892" s="9" t="s">
        <v>52</v>
      </c>
      <c r="D892" s="10"/>
      <c r="E892" s="15"/>
      <c r="F892" s="16">
        <f>TRUNC(SUMIF(N890:N891, N889, F890:F891),0)</f>
        <v>0</v>
      </c>
      <c r="G892" s="15"/>
      <c r="H892" s="16">
        <f>TRUNC(SUMIF(N890:N891, N889, H890:H891),0)</f>
        <v>0</v>
      </c>
      <c r="I892" s="15"/>
      <c r="J892" s="16">
        <f>TRUNC(SUMIF(N890:N891, N889, J890:J891),0)</f>
        <v>0</v>
      </c>
      <c r="K892" s="15"/>
      <c r="L892" s="16">
        <f>F892+H892+J892</f>
        <v>0</v>
      </c>
      <c r="M892" s="9" t="s">
        <v>52</v>
      </c>
      <c r="N892" s="2" t="s">
        <v>94</v>
      </c>
      <c r="O892" s="2" t="s">
        <v>94</v>
      </c>
      <c r="P892" s="2" t="s">
        <v>52</v>
      </c>
      <c r="Q892" s="2" t="s">
        <v>52</v>
      </c>
      <c r="R892" s="2" t="s">
        <v>52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2" t="s">
        <v>52</v>
      </c>
      <c r="AW892" s="2" t="s">
        <v>52</v>
      </c>
      <c r="AX892" s="2" t="s">
        <v>52</v>
      </c>
      <c r="AY892" s="2" t="s">
        <v>52</v>
      </c>
    </row>
    <row r="893" spans="1:51" ht="30" customHeight="1" x14ac:dyDescent="0.3">
      <c r="A893" s="10"/>
      <c r="B893" s="10"/>
      <c r="C893" s="10"/>
      <c r="D893" s="10"/>
      <c r="E893" s="15"/>
      <c r="F893" s="16"/>
      <c r="G893" s="15"/>
      <c r="H893" s="16"/>
      <c r="I893" s="15"/>
      <c r="J893" s="16"/>
      <c r="K893" s="15"/>
      <c r="L893" s="16"/>
      <c r="M893" s="10"/>
    </row>
    <row r="894" spans="1:51" ht="30" customHeight="1" x14ac:dyDescent="0.3">
      <c r="A894" s="44" t="s">
        <v>2037</v>
      </c>
      <c r="B894" s="44"/>
      <c r="C894" s="44"/>
      <c r="D894" s="44"/>
      <c r="E894" s="45"/>
      <c r="F894" s="46"/>
      <c r="G894" s="45"/>
      <c r="H894" s="46"/>
      <c r="I894" s="45"/>
      <c r="J894" s="46"/>
      <c r="K894" s="45"/>
      <c r="L894" s="46"/>
      <c r="M894" s="44"/>
      <c r="N894" s="1" t="s">
        <v>805</v>
      </c>
    </row>
    <row r="895" spans="1:51" ht="30" customHeight="1" x14ac:dyDescent="0.3">
      <c r="A895" s="9" t="s">
        <v>865</v>
      </c>
      <c r="B895" s="9" t="s">
        <v>822</v>
      </c>
      <c r="C895" s="9" t="s">
        <v>823</v>
      </c>
      <c r="D895" s="10">
        <v>0.57999999999999996</v>
      </c>
      <c r="E895" s="15">
        <f>'단가대비표(총체)'!O182</f>
        <v>0</v>
      </c>
      <c r="F895" s="16">
        <f>TRUNC(E895*D895,1)</f>
        <v>0</v>
      </c>
      <c r="G895" s="15">
        <f>'단가대비표(총체)'!P182</f>
        <v>0</v>
      </c>
      <c r="H895" s="16">
        <f>TRUNC(G895*D895,1)</f>
        <v>0</v>
      </c>
      <c r="I895" s="15">
        <f>'단가대비표(총체)'!V182</f>
        <v>0</v>
      </c>
      <c r="J895" s="16">
        <f>TRUNC(I895*D895,1)</f>
        <v>0</v>
      </c>
      <c r="K895" s="15">
        <f t="shared" ref="K895:L898" si="175">TRUNC(E895+G895+I895,1)</f>
        <v>0</v>
      </c>
      <c r="L895" s="16">
        <f t="shared" si="175"/>
        <v>0</v>
      </c>
      <c r="M895" s="9" t="s">
        <v>799</v>
      </c>
      <c r="N895" s="2" t="s">
        <v>52</v>
      </c>
      <c r="O895" s="2" t="s">
        <v>866</v>
      </c>
      <c r="P895" s="2" t="s">
        <v>61</v>
      </c>
      <c r="Q895" s="2" t="s">
        <v>61</v>
      </c>
      <c r="R895" s="2" t="s">
        <v>60</v>
      </c>
      <c r="S895" s="3"/>
      <c r="T895" s="3"/>
      <c r="U895" s="3"/>
      <c r="V895" s="3">
        <v>1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2" t="s">
        <v>52</v>
      </c>
      <c r="AW895" s="2" t="s">
        <v>2039</v>
      </c>
      <c r="AX895" s="2" t="s">
        <v>52</v>
      </c>
      <c r="AY895" s="2" t="s">
        <v>802</v>
      </c>
    </row>
    <row r="896" spans="1:51" ht="30" customHeight="1" x14ac:dyDescent="0.3">
      <c r="A896" s="9" t="s">
        <v>1096</v>
      </c>
      <c r="B896" s="9" t="s">
        <v>822</v>
      </c>
      <c r="C896" s="9" t="s">
        <v>823</v>
      </c>
      <c r="D896" s="10">
        <v>0.34</v>
      </c>
      <c r="E896" s="15">
        <f>'단가대비표(총체)'!O181</f>
        <v>0</v>
      </c>
      <c r="F896" s="16">
        <f>TRUNC(E896*D896,1)</f>
        <v>0</v>
      </c>
      <c r="G896" s="15">
        <f>'단가대비표(총체)'!P181</f>
        <v>0</v>
      </c>
      <c r="H896" s="16">
        <f>TRUNC(G896*D896,1)</f>
        <v>0</v>
      </c>
      <c r="I896" s="15">
        <f>'단가대비표(총체)'!V181</f>
        <v>0</v>
      </c>
      <c r="J896" s="16">
        <f>TRUNC(I896*D896,1)</f>
        <v>0</v>
      </c>
      <c r="K896" s="15">
        <f t="shared" si="175"/>
        <v>0</v>
      </c>
      <c r="L896" s="16">
        <f t="shared" si="175"/>
        <v>0</v>
      </c>
      <c r="M896" s="9" t="s">
        <v>799</v>
      </c>
      <c r="N896" s="2" t="s">
        <v>52</v>
      </c>
      <c r="O896" s="2" t="s">
        <v>1097</v>
      </c>
      <c r="P896" s="2" t="s">
        <v>61</v>
      </c>
      <c r="Q896" s="2" t="s">
        <v>61</v>
      </c>
      <c r="R896" s="2" t="s">
        <v>60</v>
      </c>
      <c r="S896" s="3"/>
      <c r="T896" s="3"/>
      <c r="U896" s="3"/>
      <c r="V896" s="3">
        <v>1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2" t="s">
        <v>52</v>
      </c>
      <c r="AW896" s="2" t="s">
        <v>2040</v>
      </c>
      <c r="AX896" s="2" t="s">
        <v>52</v>
      </c>
      <c r="AY896" s="2" t="s">
        <v>802</v>
      </c>
    </row>
    <row r="897" spans="1:51" ht="30" customHeight="1" x14ac:dyDescent="0.3">
      <c r="A897" s="9" t="s">
        <v>2041</v>
      </c>
      <c r="B897" s="9" t="s">
        <v>2042</v>
      </c>
      <c r="C897" s="9" t="s">
        <v>1929</v>
      </c>
      <c r="D897" s="10">
        <v>2</v>
      </c>
      <c r="E897" s="15">
        <f>'일위대가목록(총체)'!E135</f>
        <v>0</v>
      </c>
      <c r="F897" s="16">
        <f>TRUNC(E897*D897,1)</f>
        <v>0</v>
      </c>
      <c r="G897" s="15">
        <f>'일위대가목록(총체)'!F135</f>
        <v>0</v>
      </c>
      <c r="H897" s="16">
        <f>TRUNC(G897*D897,1)</f>
        <v>0</v>
      </c>
      <c r="I897" s="15">
        <f>'일위대가목록(총체)'!G135</f>
        <v>0</v>
      </c>
      <c r="J897" s="16">
        <f>TRUNC(I897*D897,1)</f>
        <v>0</v>
      </c>
      <c r="K897" s="15">
        <f t="shared" si="175"/>
        <v>0</v>
      </c>
      <c r="L897" s="16">
        <f t="shared" si="175"/>
        <v>0</v>
      </c>
      <c r="M897" s="9" t="s">
        <v>799</v>
      </c>
      <c r="N897" s="2" t="s">
        <v>52</v>
      </c>
      <c r="O897" s="2" t="s">
        <v>2043</v>
      </c>
      <c r="P897" s="2" t="s">
        <v>60</v>
      </c>
      <c r="Q897" s="2" t="s">
        <v>61</v>
      </c>
      <c r="R897" s="2" t="s">
        <v>61</v>
      </c>
      <c r="S897" s="3"/>
      <c r="T897" s="3"/>
      <c r="U897" s="3"/>
      <c r="V897" s="3">
        <v>1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2" t="s">
        <v>52</v>
      </c>
      <c r="AW897" s="2" t="s">
        <v>2044</v>
      </c>
      <c r="AX897" s="2" t="s">
        <v>52</v>
      </c>
      <c r="AY897" s="2" t="s">
        <v>802</v>
      </c>
    </row>
    <row r="898" spans="1:51" ht="30" customHeight="1" x14ac:dyDescent="0.3">
      <c r="A898" s="9" t="s">
        <v>807</v>
      </c>
      <c r="B898" s="9" t="s">
        <v>808</v>
      </c>
      <c r="C898" s="9" t="s">
        <v>307</v>
      </c>
      <c r="D898" s="10">
        <v>1</v>
      </c>
      <c r="E898" s="15">
        <v>0</v>
      </c>
      <c r="F898" s="16">
        <f>TRUNC(E898*D898,1)</f>
        <v>0</v>
      </c>
      <c r="G898" s="15">
        <v>0</v>
      </c>
      <c r="H898" s="16">
        <f>TRUNC(G898*D898,1)</f>
        <v>0</v>
      </c>
      <c r="I898" s="15">
        <f>TRUNC(SUMIF(V895:V898, RIGHTB(O898, 1), L895:L898)*U898, 2)</f>
        <v>0</v>
      </c>
      <c r="J898" s="16">
        <f>TRUNC(I898*D898,1)</f>
        <v>0</v>
      </c>
      <c r="K898" s="15">
        <f t="shared" si="175"/>
        <v>0</v>
      </c>
      <c r="L898" s="16">
        <f t="shared" si="175"/>
        <v>0</v>
      </c>
      <c r="M898" s="9" t="s">
        <v>52</v>
      </c>
      <c r="N898" s="2" t="s">
        <v>805</v>
      </c>
      <c r="O898" s="2" t="s">
        <v>809</v>
      </c>
      <c r="P898" s="2" t="s">
        <v>61</v>
      </c>
      <c r="Q898" s="2" t="s">
        <v>61</v>
      </c>
      <c r="R898" s="2" t="s">
        <v>61</v>
      </c>
      <c r="S898" s="3">
        <v>3</v>
      </c>
      <c r="T898" s="3">
        <v>2</v>
      </c>
      <c r="U898" s="3">
        <v>1</v>
      </c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2" t="s">
        <v>52</v>
      </c>
      <c r="AW898" s="2" t="s">
        <v>2045</v>
      </c>
      <c r="AX898" s="2" t="s">
        <v>52</v>
      </c>
      <c r="AY898" s="2" t="s">
        <v>52</v>
      </c>
    </row>
    <row r="899" spans="1:51" ht="30" customHeight="1" x14ac:dyDescent="0.3">
      <c r="A899" s="9" t="s">
        <v>811</v>
      </c>
      <c r="B899" s="9" t="s">
        <v>52</v>
      </c>
      <c r="C899" s="9" t="s">
        <v>52</v>
      </c>
      <c r="D899" s="10"/>
      <c r="E899" s="15"/>
      <c r="F899" s="16">
        <f>TRUNC(SUMIF(N895:N898, N894, F895:F898),0)</f>
        <v>0</v>
      </c>
      <c r="G899" s="15"/>
      <c r="H899" s="16">
        <f>TRUNC(SUMIF(N895:N898, N894, H895:H898),0)</f>
        <v>0</v>
      </c>
      <c r="I899" s="15"/>
      <c r="J899" s="16">
        <f>TRUNC(SUMIF(N895:N898, N894, J895:J898),0)</f>
        <v>0</v>
      </c>
      <c r="K899" s="15"/>
      <c r="L899" s="16">
        <f>F899+H899+J899</f>
        <v>0</v>
      </c>
      <c r="M899" s="9" t="s">
        <v>52</v>
      </c>
      <c r="N899" s="2" t="s">
        <v>94</v>
      </c>
      <c r="O899" s="2" t="s">
        <v>94</v>
      </c>
      <c r="P899" s="2" t="s">
        <v>52</v>
      </c>
      <c r="Q899" s="2" t="s">
        <v>52</v>
      </c>
      <c r="R899" s="2" t="s">
        <v>52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2" t="s">
        <v>52</v>
      </c>
      <c r="AW899" s="2" t="s">
        <v>52</v>
      </c>
      <c r="AX899" s="2" t="s">
        <v>52</v>
      </c>
      <c r="AY899" s="2" t="s">
        <v>52</v>
      </c>
    </row>
    <row r="900" spans="1:51" ht="30" customHeight="1" x14ac:dyDescent="0.3">
      <c r="A900" s="10"/>
      <c r="B900" s="10"/>
      <c r="C900" s="10"/>
      <c r="D900" s="10"/>
      <c r="E900" s="15"/>
      <c r="F900" s="16"/>
      <c r="G900" s="15"/>
      <c r="H900" s="16"/>
      <c r="I900" s="15"/>
      <c r="J900" s="16"/>
      <c r="K900" s="15"/>
      <c r="L900" s="16"/>
      <c r="M900" s="10"/>
    </row>
    <row r="901" spans="1:51" ht="30" customHeight="1" x14ac:dyDescent="0.3">
      <c r="A901" s="44" t="s">
        <v>2046</v>
      </c>
      <c r="B901" s="44"/>
      <c r="C901" s="44"/>
      <c r="D901" s="44"/>
      <c r="E901" s="45"/>
      <c r="F901" s="46"/>
      <c r="G901" s="45"/>
      <c r="H901" s="46"/>
      <c r="I901" s="45"/>
      <c r="J901" s="46"/>
      <c r="K901" s="45"/>
      <c r="L901" s="46"/>
      <c r="M901" s="44"/>
      <c r="N901" s="1" t="s">
        <v>2043</v>
      </c>
    </row>
    <row r="902" spans="1:51" ht="30" customHeight="1" x14ac:dyDescent="0.3">
      <c r="A902" s="9" t="s">
        <v>2041</v>
      </c>
      <c r="B902" s="9" t="s">
        <v>2042</v>
      </c>
      <c r="C902" s="9" t="s">
        <v>73</v>
      </c>
      <c r="D902" s="10">
        <v>0.2298</v>
      </c>
      <c r="E902" s="15">
        <f>'단가대비표(총체)'!O5</f>
        <v>0</v>
      </c>
      <c r="F902" s="16">
        <f>TRUNC(E902*D902,1)</f>
        <v>0</v>
      </c>
      <c r="G902" s="15">
        <f>'단가대비표(총체)'!P5</f>
        <v>0</v>
      </c>
      <c r="H902" s="16">
        <f>TRUNC(G902*D902,1)</f>
        <v>0</v>
      </c>
      <c r="I902" s="15">
        <f>'단가대비표(총체)'!V5</f>
        <v>0</v>
      </c>
      <c r="J902" s="16">
        <f>TRUNC(I902*D902,1)</f>
        <v>0</v>
      </c>
      <c r="K902" s="15">
        <f t="shared" ref="K902:L905" si="176">TRUNC(E902+G902+I902,1)</f>
        <v>0</v>
      </c>
      <c r="L902" s="16">
        <f t="shared" si="176"/>
        <v>0</v>
      </c>
      <c r="M902" s="9" t="s">
        <v>2049</v>
      </c>
      <c r="N902" s="2" t="s">
        <v>2043</v>
      </c>
      <c r="O902" s="2" t="s">
        <v>2050</v>
      </c>
      <c r="P902" s="2" t="s">
        <v>61</v>
      </c>
      <c r="Q902" s="2" t="s">
        <v>61</v>
      </c>
      <c r="R902" s="2" t="s">
        <v>60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2" t="s">
        <v>52</v>
      </c>
      <c r="AW902" s="2" t="s">
        <v>2051</v>
      </c>
      <c r="AX902" s="2" t="s">
        <v>52</v>
      </c>
      <c r="AY902" s="2" t="s">
        <v>52</v>
      </c>
    </row>
    <row r="903" spans="1:51" ht="30" customHeight="1" x14ac:dyDescent="0.3">
      <c r="A903" s="9" t="s">
        <v>2052</v>
      </c>
      <c r="B903" s="9" t="s">
        <v>2053</v>
      </c>
      <c r="C903" s="9" t="s">
        <v>923</v>
      </c>
      <c r="D903" s="10">
        <v>3.8</v>
      </c>
      <c r="E903" s="15">
        <f>'단가대비표(총체)'!O22</f>
        <v>0</v>
      </c>
      <c r="F903" s="16">
        <f>TRUNC(E903*D903,1)</f>
        <v>0</v>
      </c>
      <c r="G903" s="15">
        <f>'단가대비표(총체)'!P22</f>
        <v>0</v>
      </c>
      <c r="H903" s="16">
        <f>TRUNC(G903*D903,1)</f>
        <v>0</v>
      </c>
      <c r="I903" s="15">
        <f>'단가대비표(총체)'!V22</f>
        <v>0</v>
      </c>
      <c r="J903" s="16">
        <f>TRUNC(I903*D903,1)</f>
        <v>0</v>
      </c>
      <c r="K903" s="15">
        <f t="shared" si="176"/>
        <v>0</v>
      </c>
      <c r="L903" s="16">
        <f t="shared" si="176"/>
        <v>0</v>
      </c>
      <c r="M903" s="9" t="s">
        <v>52</v>
      </c>
      <c r="N903" s="2" t="s">
        <v>2043</v>
      </c>
      <c r="O903" s="2" t="s">
        <v>2054</v>
      </c>
      <c r="P903" s="2" t="s">
        <v>61</v>
      </c>
      <c r="Q903" s="2" t="s">
        <v>61</v>
      </c>
      <c r="R903" s="2" t="s">
        <v>60</v>
      </c>
      <c r="S903" s="3"/>
      <c r="T903" s="3"/>
      <c r="U903" s="3"/>
      <c r="V903" s="3">
        <v>1</v>
      </c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2" t="s">
        <v>52</v>
      </c>
      <c r="AW903" s="2" t="s">
        <v>2055</v>
      </c>
      <c r="AX903" s="2" t="s">
        <v>52</v>
      </c>
      <c r="AY903" s="2" t="s">
        <v>52</v>
      </c>
    </row>
    <row r="904" spans="1:51" ht="30" customHeight="1" x14ac:dyDescent="0.3">
      <c r="A904" s="9" t="s">
        <v>983</v>
      </c>
      <c r="B904" s="9" t="s">
        <v>2056</v>
      </c>
      <c r="C904" s="9" t="s">
        <v>307</v>
      </c>
      <c r="D904" s="10">
        <v>1</v>
      </c>
      <c r="E904" s="15">
        <f>TRUNC(SUMIF(V902:V905, RIGHTB(O904, 1), F902:F905)*U904, 2)</f>
        <v>0</v>
      </c>
      <c r="F904" s="16">
        <f>TRUNC(E904*D904,1)</f>
        <v>0</v>
      </c>
      <c r="G904" s="15">
        <v>0</v>
      </c>
      <c r="H904" s="16">
        <f>TRUNC(G904*D904,1)</f>
        <v>0</v>
      </c>
      <c r="I904" s="15">
        <v>0</v>
      </c>
      <c r="J904" s="16">
        <f>TRUNC(I904*D904,1)</f>
        <v>0</v>
      </c>
      <c r="K904" s="15">
        <f t="shared" si="176"/>
        <v>0</v>
      </c>
      <c r="L904" s="16">
        <f t="shared" si="176"/>
        <v>0</v>
      </c>
      <c r="M904" s="9" t="s">
        <v>52</v>
      </c>
      <c r="N904" s="2" t="s">
        <v>2043</v>
      </c>
      <c r="O904" s="2" t="s">
        <v>809</v>
      </c>
      <c r="P904" s="2" t="s">
        <v>61</v>
      </c>
      <c r="Q904" s="2" t="s">
        <v>61</v>
      </c>
      <c r="R904" s="2" t="s">
        <v>61</v>
      </c>
      <c r="S904" s="3">
        <v>0</v>
      </c>
      <c r="T904" s="3">
        <v>0</v>
      </c>
      <c r="U904" s="3">
        <v>0.39</v>
      </c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2" t="s">
        <v>52</v>
      </c>
      <c r="AW904" s="2" t="s">
        <v>2057</v>
      </c>
      <c r="AX904" s="2" t="s">
        <v>52</v>
      </c>
      <c r="AY904" s="2" t="s">
        <v>52</v>
      </c>
    </row>
    <row r="905" spans="1:51" ht="30" customHeight="1" x14ac:dyDescent="0.3">
      <c r="A905" s="9" t="s">
        <v>2058</v>
      </c>
      <c r="B905" s="9" t="s">
        <v>822</v>
      </c>
      <c r="C905" s="9" t="s">
        <v>823</v>
      </c>
      <c r="D905" s="10">
        <v>1</v>
      </c>
      <c r="E905" s="15">
        <f>TRUNC('단가대비표(총체)'!O208*1/8*16/12*25/20, 1)</f>
        <v>0</v>
      </c>
      <c r="F905" s="16">
        <f>TRUNC(E905*D905,1)</f>
        <v>0</v>
      </c>
      <c r="G905" s="15">
        <f>TRUNC('단가대비표(총체)'!P208*1/8*16/12*25/20, 1)</f>
        <v>0</v>
      </c>
      <c r="H905" s="16">
        <f>TRUNC(G905*D905,1)</f>
        <v>0</v>
      </c>
      <c r="I905" s="15">
        <f>TRUNC('단가대비표(총체)'!V208*1/8*16/12*25/20, 1)</f>
        <v>0</v>
      </c>
      <c r="J905" s="16">
        <f>TRUNC(I905*D905,1)</f>
        <v>0</v>
      </c>
      <c r="K905" s="15">
        <f t="shared" si="176"/>
        <v>0</v>
      </c>
      <c r="L905" s="16">
        <f t="shared" si="176"/>
        <v>0</v>
      </c>
      <c r="M905" s="9" t="s">
        <v>52</v>
      </c>
      <c r="N905" s="2" t="s">
        <v>2043</v>
      </c>
      <c r="O905" s="2" t="s">
        <v>2059</v>
      </c>
      <c r="P905" s="2" t="s">
        <v>61</v>
      </c>
      <c r="Q905" s="2" t="s">
        <v>61</v>
      </c>
      <c r="R905" s="2" t="s">
        <v>60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2" t="s">
        <v>52</v>
      </c>
      <c r="AW905" s="2" t="s">
        <v>2060</v>
      </c>
      <c r="AX905" s="2" t="s">
        <v>60</v>
      </c>
      <c r="AY905" s="2" t="s">
        <v>52</v>
      </c>
    </row>
    <row r="906" spans="1:51" ht="30" customHeight="1" x14ac:dyDescent="0.3">
      <c r="A906" s="9" t="s">
        <v>811</v>
      </c>
      <c r="B906" s="9" t="s">
        <v>52</v>
      </c>
      <c r="C906" s="9" t="s">
        <v>52</v>
      </c>
      <c r="D906" s="10"/>
      <c r="E906" s="15"/>
      <c r="F906" s="16">
        <f>TRUNC(SUMIF(N902:N905, N901, F902:F905),0)</f>
        <v>0</v>
      </c>
      <c r="G906" s="15"/>
      <c r="H906" s="16">
        <f>TRUNC(SUMIF(N902:N905, N901, H902:H905),0)</f>
        <v>0</v>
      </c>
      <c r="I906" s="15"/>
      <c r="J906" s="16">
        <f>TRUNC(SUMIF(N902:N905, N901, J902:J905),0)</f>
        <v>0</v>
      </c>
      <c r="K906" s="15"/>
      <c r="L906" s="16">
        <f>F906+H906+J906</f>
        <v>0</v>
      </c>
      <c r="M906" s="9" t="s">
        <v>52</v>
      </c>
      <c r="N906" s="2" t="s">
        <v>94</v>
      </c>
      <c r="O906" s="2" t="s">
        <v>94</v>
      </c>
      <c r="P906" s="2" t="s">
        <v>52</v>
      </c>
      <c r="Q906" s="2" t="s">
        <v>52</v>
      </c>
      <c r="R906" s="2" t="s">
        <v>52</v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2" t="s">
        <v>52</v>
      </c>
      <c r="AW906" s="2" t="s">
        <v>52</v>
      </c>
      <c r="AX906" s="2" t="s">
        <v>52</v>
      </c>
      <c r="AY906" s="2" t="s">
        <v>52</v>
      </c>
    </row>
    <row r="907" spans="1:51" ht="30" customHeight="1" x14ac:dyDescent="0.3">
      <c r="A907" s="10"/>
      <c r="B907" s="10"/>
      <c r="C907" s="10"/>
      <c r="D907" s="10"/>
      <c r="E907" s="15"/>
      <c r="F907" s="16"/>
      <c r="G907" s="15"/>
      <c r="H907" s="16"/>
      <c r="I907" s="15"/>
      <c r="J907" s="16"/>
      <c r="K907" s="15"/>
      <c r="L907" s="16"/>
      <c r="M907" s="10"/>
    </row>
    <row r="908" spans="1:51" ht="30" customHeight="1" x14ac:dyDescent="0.3">
      <c r="A908" s="44" t="s">
        <v>2061</v>
      </c>
      <c r="B908" s="44"/>
      <c r="C908" s="44"/>
      <c r="D908" s="44"/>
      <c r="E908" s="45"/>
      <c r="F908" s="46"/>
      <c r="G908" s="45"/>
      <c r="H908" s="46"/>
      <c r="I908" s="45"/>
      <c r="J908" s="46"/>
      <c r="K908" s="45"/>
      <c r="L908" s="46"/>
      <c r="M908" s="44"/>
      <c r="N908" s="1" t="s">
        <v>861</v>
      </c>
    </row>
    <row r="909" spans="1:51" ht="30" customHeight="1" x14ac:dyDescent="0.3">
      <c r="A909" s="9" t="s">
        <v>865</v>
      </c>
      <c r="B909" s="9" t="s">
        <v>822</v>
      </c>
      <c r="C909" s="9" t="s">
        <v>823</v>
      </c>
      <c r="D909" s="10">
        <v>0.41</v>
      </c>
      <c r="E909" s="15">
        <f>'단가대비표(총체)'!O182</f>
        <v>0</v>
      </c>
      <c r="F909" s="16">
        <f>TRUNC(E909*D909,1)</f>
        <v>0</v>
      </c>
      <c r="G909" s="15">
        <f>'단가대비표(총체)'!P182</f>
        <v>0</v>
      </c>
      <c r="H909" s="16">
        <f>TRUNC(G909*D909,1)</f>
        <v>0</v>
      </c>
      <c r="I909" s="15">
        <f>'단가대비표(총체)'!V182</f>
        <v>0</v>
      </c>
      <c r="J909" s="16">
        <f>TRUNC(I909*D909,1)</f>
        <v>0</v>
      </c>
      <c r="K909" s="15">
        <f>TRUNC(E909+G909+I909,1)</f>
        <v>0</v>
      </c>
      <c r="L909" s="16">
        <f>TRUNC(F909+H909+J909,1)</f>
        <v>0</v>
      </c>
      <c r="M909" s="9" t="s">
        <v>52</v>
      </c>
      <c r="N909" s="2" t="s">
        <v>861</v>
      </c>
      <c r="O909" s="2" t="s">
        <v>866</v>
      </c>
      <c r="P909" s="2" t="s">
        <v>61</v>
      </c>
      <c r="Q909" s="2" t="s">
        <v>61</v>
      </c>
      <c r="R909" s="2" t="s">
        <v>60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2" t="s">
        <v>52</v>
      </c>
      <c r="AW909" s="2" t="s">
        <v>2063</v>
      </c>
      <c r="AX909" s="2" t="s">
        <v>52</v>
      </c>
      <c r="AY909" s="2" t="s">
        <v>52</v>
      </c>
    </row>
    <row r="910" spans="1:51" ht="30" customHeight="1" x14ac:dyDescent="0.3">
      <c r="A910" s="9" t="s">
        <v>821</v>
      </c>
      <c r="B910" s="9" t="s">
        <v>822</v>
      </c>
      <c r="C910" s="9" t="s">
        <v>823</v>
      </c>
      <c r="D910" s="10">
        <v>0.24</v>
      </c>
      <c r="E910" s="15">
        <f>'단가대비표(총체)'!O180</f>
        <v>0</v>
      </c>
      <c r="F910" s="16">
        <f>TRUNC(E910*D910,1)</f>
        <v>0</v>
      </c>
      <c r="G910" s="15">
        <f>'단가대비표(총체)'!P180</f>
        <v>0</v>
      </c>
      <c r="H910" s="16">
        <f>TRUNC(G910*D910,1)</f>
        <v>0</v>
      </c>
      <c r="I910" s="15">
        <f>'단가대비표(총체)'!V180</f>
        <v>0</v>
      </c>
      <c r="J910" s="16">
        <f>TRUNC(I910*D910,1)</f>
        <v>0</v>
      </c>
      <c r="K910" s="15">
        <f>TRUNC(E910+G910+I910,1)</f>
        <v>0</v>
      </c>
      <c r="L910" s="16">
        <f>TRUNC(F910+H910+J910,1)</f>
        <v>0</v>
      </c>
      <c r="M910" s="9" t="s">
        <v>52</v>
      </c>
      <c r="N910" s="2" t="s">
        <v>861</v>
      </c>
      <c r="O910" s="2" t="s">
        <v>824</v>
      </c>
      <c r="P910" s="2" t="s">
        <v>61</v>
      </c>
      <c r="Q910" s="2" t="s">
        <v>61</v>
      </c>
      <c r="R910" s="2" t="s">
        <v>60</v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2" t="s">
        <v>52</v>
      </c>
      <c r="AW910" s="2" t="s">
        <v>2064</v>
      </c>
      <c r="AX910" s="2" t="s">
        <v>52</v>
      </c>
      <c r="AY910" s="2" t="s">
        <v>52</v>
      </c>
    </row>
    <row r="911" spans="1:51" ht="30" customHeight="1" x14ac:dyDescent="0.3">
      <c r="A911" s="9" t="s">
        <v>811</v>
      </c>
      <c r="B911" s="9" t="s">
        <v>52</v>
      </c>
      <c r="C911" s="9" t="s">
        <v>52</v>
      </c>
      <c r="D911" s="10"/>
      <c r="E911" s="15"/>
      <c r="F911" s="16">
        <f>TRUNC(SUMIF(N909:N910, N908, F909:F910),0)</f>
        <v>0</v>
      </c>
      <c r="G911" s="15"/>
      <c r="H911" s="16">
        <f>TRUNC(SUMIF(N909:N910, N908, H909:H910),0)</f>
        <v>0</v>
      </c>
      <c r="I911" s="15"/>
      <c r="J911" s="16">
        <f>TRUNC(SUMIF(N909:N910, N908, J909:J910),0)</f>
        <v>0</v>
      </c>
      <c r="K911" s="15"/>
      <c r="L911" s="16">
        <f>F911+H911+J911</f>
        <v>0</v>
      </c>
      <c r="M911" s="9" t="s">
        <v>52</v>
      </c>
      <c r="N911" s="2" t="s">
        <v>94</v>
      </c>
      <c r="O911" s="2" t="s">
        <v>94</v>
      </c>
      <c r="P911" s="2" t="s">
        <v>52</v>
      </c>
      <c r="Q911" s="2" t="s">
        <v>52</v>
      </c>
      <c r="R911" s="2" t="s">
        <v>52</v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2" t="s">
        <v>52</v>
      </c>
      <c r="AW911" s="2" t="s">
        <v>52</v>
      </c>
      <c r="AX911" s="2" t="s">
        <v>52</v>
      </c>
      <c r="AY911" s="2" t="s">
        <v>52</v>
      </c>
    </row>
    <row r="912" spans="1:51" ht="30" customHeight="1" x14ac:dyDescent="0.3">
      <c r="A912" s="10"/>
      <c r="B912" s="10"/>
      <c r="C912" s="10"/>
      <c r="D912" s="10"/>
      <c r="E912" s="15"/>
      <c r="F912" s="16"/>
      <c r="G912" s="15"/>
      <c r="H912" s="16"/>
      <c r="I912" s="15"/>
      <c r="J912" s="16"/>
      <c r="K912" s="15"/>
      <c r="L912" s="16"/>
      <c r="M912" s="10"/>
    </row>
    <row r="913" spans="1:51" ht="30" customHeight="1" x14ac:dyDescent="0.3">
      <c r="A913" s="44" t="s">
        <v>2065</v>
      </c>
      <c r="B913" s="44"/>
      <c r="C913" s="44"/>
      <c r="D913" s="44"/>
      <c r="E913" s="45"/>
      <c r="F913" s="46"/>
      <c r="G913" s="45"/>
      <c r="H913" s="46"/>
      <c r="I913" s="45"/>
      <c r="J913" s="46"/>
      <c r="K913" s="45"/>
      <c r="L913" s="46"/>
      <c r="M913" s="44"/>
      <c r="N913" s="1" t="s">
        <v>895</v>
      </c>
    </row>
    <row r="914" spans="1:51" ht="30" customHeight="1" x14ac:dyDescent="0.3">
      <c r="A914" s="9" t="s">
        <v>1019</v>
      </c>
      <c r="B914" s="9" t="s">
        <v>1020</v>
      </c>
      <c r="C914" s="9" t="s">
        <v>1021</v>
      </c>
      <c r="D914" s="10">
        <v>510</v>
      </c>
      <c r="E914" s="15">
        <f>'단가대비표(총체)'!O31</f>
        <v>0</v>
      </c>
      <c r="F914" s="16">
        <f>TRUNC(E914*D914,1)</f>
        <v>0</v>
      </c>
      <c r="G914" s="15">
        <f>'단가대비표(총체)'!P31</f>
        <v>0</v>
      </c>
      <c r="H914" s="16">
        <f>TRUNC(G914*D914,1)</f>
        <v>0</v>
      </c>
      <c r="I914" s="15">
        <f>'단가대비표(총체)'!V31</f>
        <v>0</v>
      </c>
      <c r="J914" s="16">
        <f>TRUNC(I914*D914,1)</f>
        <v>0</v>
      </c>
      <c r="K914" s="15">
        <f t="shared" ref="K914:L916" si="177">TRUNC(E914+G914+I914,1)</f>
        <v>0</v>
      </c>
      <c r="L914" s="16">
        <f t="shared" si="177"/>
        <v>0</v>
      </c>
      <c r="M914" s="9" t="s">
        <v>52</v>
      </c>
      <c r="N914" s="2" t="s">
        <v>895</v>
      </c>
      <c r="O914" s="2" t="s">
        <v>1022</v>
      </c>
      <c r="P914" s="2" t="s">
        <v>61</v>
      </c>
      <c r="Q914" s="2" t="s">
        <v>61</v>
      </c>
      <c r="R914" s="2" t="s">
        <v>60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2" t="s">
        <v>52</v>
      </c>
      <c r="AW914" s="2" t="s">
        <v>2067</v>
      </c>
      <c r="AX914" s="2" t="s">
        <v>52</v>
      </c>
      <c r="AY914" s="2" t="s">
        <v>52</v>
      </c>
    </row>
    <row r="915" spans="1:51" ht="30" customHeight="1" x14ac:dyDescent="0.3">
      <c r="A915" s="9" t="s">
        <v>1024</v>
      </c>
      <c r="B915" s="9" t="s">
        <v>1025</v>
      </c>
      <c r="C915" s="9" t="s">
        <v>637</v>
      </c>
      <c r="D915" s="10">
        <v>1.1000000000000001</v>
      </c>
      <c r="E915" s="15">
        <f>'단가대비표(총체)'!O7</f>
        <v>0</v>
      </c>
      <c r="F915" s="16">
        <f>TRUNC(E915*D915,1)</f>
        <v>0</v>
      </c>
      <c r="G915" s="15">
        <f>'단가대비표(총체)'!P7</f>
        <v>0</v>
      </c>
      <c r="H915" s="16">
        <f>TRUNC(G915*D915,1)</f>
        <v>0</v>
      </c>
      <c r="I915" s="15">
        <f>'단가대비표(총체)'!V7</f>
        <v>0</v>
      </c>
      <c r="J915" s="16">
        <f>TRUNC(I915*D915,1)</f>
        <v>0</v>
      </c>
      <c r="K915" s="15">
        <f t="shared" si="177"/>
        <v>0</v>
      </c>
      <c r="L915" s="16">
        <f t="shared" si="177"/>
        <v>0</v>
      </c>
      <c r="M915" s="9" t="s">
        <v>52</v>
      </c>
      <c r="N915" s="2" t="s">
        <v>895</v>
      </c>
      <c r="O915" s="2" t="s">
        <v>1026</v>
      </c>
      <c r="P915" s="2" t="s">
        <v>61</v>
      </c>
      <c r="Q915" s="2" t="s">
        <v>61</v>
      </c>
      <c r="R915" s="2" t="s">
        <v>60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2" t="s">
        <v>52</v>
      </c>
      <c r="AW915" s="2" t="s">
        <v>2068</v>
      </c>
      <c r="AX915" s="2" t="s">
        <v>52</v>
      </c>
      <c r="AY915" s="2" t="s">
        <v>52</v>
      </c>
    </row>
    <row r="916" spans="1:51" ht="30" customHeight="1" x14ac:dyDescent="0.3">
      <c r="A916" s="9" t="s">
        <v>821</v>
      </c>
      <c r="B916" s="9" t="s">
        <v>822</v>
      </c>
      <c r="C916" s="9" t="s">
        <v>823</v>
      </c>
      <c r="D916" s="10">
        <v>0.66</v>
      </c>
      <c r="E916" s="15">
        <f>'단가대비표(총체)'!O180</f>
        <v>0</v>
      </c>
      <c r="F916" s="16">
        <f>TRUNC(E916*D916,1)</f>
        <v>0</v>
      </c>
      <c r="G916" s="15">
        <f>'단가대비표(총체)'!P180</f>
        <v>0</v>
      </c>
      <c r="H916" s="16">
        <f>TRUNC(G916*D916,1)</f>
        <v>0</v>
      </c>
      <c r="I916" s="15">
        <f>'단가대비표(총체)'!V180</f>
        <v>0</v>
      </c>
      <c r="J916" s="16">
        <f>TRUNC(I916*D916,1)</f>
        <v>0</v>
      </c>
      <c r="K916" s="15">
        <f t="shared" si="177"/>
        <v>0</v>
      </c>
      <c r="L916" s="16">
        <f t="shared" si="177"/>
        <v>0</v>
      </c>
      <c r="M916" s="9" t="s">
        <v>52</v>
      </c>
      <c r="N916" s="2" t="s">
        <v>895</v>
      </c>
      <c r="O916" s="2" t="s">
        <v>824</v>
      </c>
      <c r="P916" s="2" t="s">
        <v>61</v>
      </c>
      <c r="Q916" s="2" t="s">
        <v>61</v>
      </c>
      <c r="R916" s="2" t="s">
        <v>60</v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2" t="s">
        <v>52</v>
      </c>
      <c r="AW916" s="2" t="s">
        <v>2069</v>
      </c>
      <c r="AX916" s="2" t="s">
        <v>52</v>
      </c>
      <c r="AY916" s="2" t="s">
        <v>52</v>
      </c>
    </row>
    <row r="917" spans="1:51" ht="30" customHeight="1" x14ac:dyDescent="0.3">
      <c r="A917" s="9" t="s">
        <v>811</v>
      </c>
      <c r="B917" s="9" t="s">
        <v>52</v>
      </c>
      <c r="C917" s="9" t="s">
        <v>52</v>
      </c>
      <c r="D917" s="10"/>
      <c r="E917" s="15"/>
      <c r="F917" s="16">
        <f>TRUNC(SUMIF(N914:N916, N913, F914:F916),0)</f>
        <v>0</v>
      </c>
      <c r="G917" s="15"/>
      <c r="H917" s="16">
        <f>TRUNC(SUMIF(N914:N916, N913, H914:H916),0)</f>
        <v>0</v>
      </c>
      <c r="I917" s="15"/>
      <c r="J917" s="16">
        <f>TRUNC(SUMIF(N914:N916, N913, J914:J916),0)</f>
        <v>0</v>
      </c>
      <c r="K917" s="15"/>
      <c r="L917" s="16">
        <f>F917+H917+J917</f>
        <v>0</v>
      </c>
      <c r="M917" s="9" t="s">
        <v>52</v>
      </c>
      <c r="N917" s="2" t="s">
        <v>94</v>
      </c>
      <c r="O917" s="2" t="s">
        <v>94</v>
      </c>
      <c r="P917" s="2" t="s">
        <v>52</v>
      </c>
      <c r="Q917" s="2" t="s">
        <v>52</v>
      </c>
      <c r="R917" s="2" t="s">
        <v>52</v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2" t="s">
        <v>52</v>
      </c>
      <c r="AW917" s="2" t="s">
        <v>52</v>
      </c>
      <c r="AX917" s="2" t="s">
        <v>52</v>
      </c>
      <c r="AY917" s="2" t="s">
        <v>52</v>
      </c>
    </row>
    <row r="918" spans="1:51" ht="30" customHeight="1" x14ac:dyDescent="0.3">
      <c r="A918" s="10"/>
      <c r="B918" s="10"/>
      <c r="C918" s="10"/>
      <c r="D918" s="10"/>
      <c r="E918" s="15"/>
      <c r="F918" s="16"/>
      <c r="G918" s="15"/>
      <c r="H918" s="16"/>
      <c r="I918" s="15"/>
      <c r="J918" s="16"/>
      <c r="K918" s="15"/>
      <c r="L918" s="16"/>
      <c r="M918" s="10"/>
    </row>
    <row r="919" spans="1:51" ht="30" customHeight="1" x14ac:dyDescent="0.3">
      <c r="A919" s="44" t="s">
        <v>2070</v>
      </c>
      <c r="B919" s="44"/>
      <c r="C919" s="44"/>
      <c r="D919" s="44"/>
      <c r="E919" s="45"/>
      <c r="F919" s="46"/>
      <c r="G919" s="45"/>
      <c r="H919" s="46"/>
      <c r="I919" s="45"/>
      <c r="J919" s="46"/>
      <c r="K919" s="45"/>
      <c r="L919" s="46"/>
      <c r="M919" s="44"/>
      <c r="N919" s="1" t="s">
        <v>904</v>
      </c>
    </row>
    <row r="920" spans="1:51" ht="30" customHeight="1" x14ac:dyDescent="0.3">
      <c r="A920" s="9" t="s">
        <v>931</v>
      </c>
      <c r="B920" s="9" t="s">
        <v>822</v>
      </c>
      <c r="C920" s="9" t="s">
        <v>823</v>
      </c>
      <c r="D920" s="10">
        <v>0.13</v>
      </c>
      <c r="E920" s="15">
        <f>'단가대비표(총체)'!O192</f>
        <v>0</v>
      </c>
      <c r="F920" s="16">
        <f>TRUNC(E920*D920,1)</f>
        <v>0</v>
      </c>
      <c r="G920" s="15">
        <f>'단가대비표(총체)'!P192</f>
        <v>0</v>
      </c>
      <c r="H920" s="16">
        <f>TRUNC(G920*D920,1)</f>
        <v>0</v>
      </c>
      <c r="I920" s="15">
        <f>'단가대비표(총체)'!V192</f>
        <v>0</v>
      </c>
      <c r="J920" s="16">
        <f>TRUNC(I920*D920,1)</f>
        <v>0</v>
      </c>
      <c r="K920" s="15">
        <f t="shared" ref="K920:L922" si="178">TRUNC(E920+G920+I920,1)</f>
        <v>0</v>
      </c>
      <c r="L920" s="16">
        <f t="shared" si="178"/>
        <v>0</v>
      </c>
      <c r="M920" s="9" t="s">
        <v>52</v>
      </c>
      <c r="N920" s="2" t="s">
        <v>904</v>
      </c>
      <c r="O920" s="2" t="s">
        <v>932</v>
      </c>
      <c r="P920" s="2" t="s">
        <v>61</v>
      </c>
      <c r="Q920" s="2" t="s">
        <v>61</v>
      </c>
      <c r="R920" s="2" t="s">
        <v>60</v>
      </c>
      <c r="S920" s="3"/>
      <c r="T920" s="3"/>
      <c r="U920" s="3"/>
      <c r="V920" s="3">
        <v>1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2" t="s">
        <v>52</v>
      </c>
      <c r="AW920" s="2" t="s">
        <v>2072</v>
      </c>
      <c r="AX920" s="2" t="s">
        <v>52</v>
      </c>
      <c r="AY920" s="2" t="s">
        <v>52</v>
      </c>
    </row>
    <row r="921" spans="1:51" ht="30" customHeight="1" x14ac:dyDescent="0.3">
      <c r="A921" s="9" t="s">
        <v>821</v>
      </c>
      <c r="B921" s="9" t="s">
        <v>822</v>
      </c>
      <c r="C921" s="9" t="s">
        <v>823</v>
      </c>
      <c r="D921" s="10">
        <v>0.06</v>
      </c>
      <c r="E921" s="15">
        <f>'단가대비표(총체)'!O180</f>
        <v>0</v>
      </c>
      <c r="F921" s="16">
        <f>TRUNC(E921*D921,1)</f>
        <v>0</v>
      </c>
      <c r="G921" s="15">
        <f>'단가대비표(총체)'!P180</f>
        <v>0</v>
      </c>
      <c r="H921" s="16">
        <f>TRUNC(G921*D921,1)</f>
        <v>0</v>
      </c>
      <c r="I921" s="15">
        <f>'단가대비표(총체)'!V180</f>
        <v>0</v>
      </c>
      <c r="J921" s="16">
        <f>TRUNC(I921*D921,1)</f>
        <v>0</v>
      </c>
      <c r="K921" s="15">
        <f t="shared" si="178"/>
        <v>0</v>
      </c>
      <c r="L921" s="16">
        <f t="shared" si="178"/>
        <v>0</v>
      </c>
      <c r="M921" s="9" t="s">
        <v>52</v>
      </c>
      <c r="N921" s="2" t="s">
        <v>904</v>
      </c>
      <c r="O921" s="2" t="s">
        <v>824</v>
      </c>
      <c r="P921" s="2" t="s">
        <v>61</v>
      </c>
      <c r="Q921" s="2" t="s">
        <v>61</v>
      </c>
      <c r="R921" s="2" t="s">
        <v>60</v>
      </c>
      <c r="S921" s="3"/>
      <c r="T921" s="3"/>
      <c r="U921" s="3"/>
      <c r="V921" s="3">
        <v>1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2" t="s">
        <v>52</v>
      </c>
      <c r="AW921" s="2" t="s">
        <v>2073</v>
      </c>
      <c r="AX921" s="2" t="s">
        <v>52</v>
      </c>
      <c r="AY921" s="2" t="s">
        <v>52</v>
      </c>
    </row>
    <row r="922" spans="1:51" ht="30" customHeight="1" x14ac:dyDescent="0.3">
      <c r="A922" s="9" t="s">
        <v>874</v>
      </c>
      <c r="B922" s="9" t="s">
        <v>891</v>
      </c>
      <c r="C922" s="9" t="s">
        <v>307</v>
      </c>
      <c r="D922" s="10">
        <v>1</v>
      </c>
      <c r="E922" s="15">
        <v>0</v>
      </c>
      <c r="F922" s="16">
        <f>TRUNC(E922*D922,1)</f>
        <v>0</v>
      </c>
      <c r="G922" s="15">
        <v>0</v>
      </c>
      <c r="H922" s="16">
        <f>TRUNC(G922*D922,1)</f>
        <v>0</v>
      </c>
      <c r="I922" s="15">
        <f>TRUNC(SUMIF(V920:V922, RIGHTB(O922, 1), H920:H922)*U922, 2)</f>
        <v>0</v>
      </c>
      <c r="J922" s="16">
        <f>TRUNC(I922*D922,1)</f>
        <v>0</v>
      </c>
      <c r="K922" s="15">
        <f t="shared" si="178"/>
        <v>0</v>
      </c>
      <c r="L922" s="16">
        <f t="shared" si="178"/>
        <v>0</v>
      </c>
      <c r="M922" s="9" t="s">
        <v>52</v>
      </c>
      <c r="N922" s="2" t="s">
        <v>904</v>
      </c>
      <c r="O922" s="2" t="s">
        <v>809</v>
      </c>
      <c r="P922" s="2" t="s">
        <v>61</v>
      </c>
      <c r="Q922" s="2" t="s">
        <v>61</v>
      </c>
      <c r="R922" s="2" t="s">
        <v>61</v>
      </c>
      <c r="S922" s="3">
        <v>1</v>
      </c>
      <c r="T922" s="3">
        <v>2</v>
      </c>
      <c r="U922" s="3">
        <v>0.02</v>
      </c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2" t="s">
        <v>52</v>
      </c>
      <c r="AW922" s="2" t="s">
        <v>2074</v>
      </c>
      <c r="AX922" s="2" t="s">
        <v>52</v>
      </c>
      <c r="AY922" s="2" t="s">
        <v>52</v>
      </c>
    </row>
    <row r="923" spans="1:51" ht="30" customHeight="1" x14ac:dyDescent="0.3">
      <c r="A923" s="9" t="s">
        <v>811</v>
      </c>
      <c r="B923" s="9" t="s">
        <v>52</v>
      </c>
      <c r="C923" s="9" t="s">
        <v>52</v>
      </c>
      <c r="D923" s="10"/>
      <c r="E923" s="15"/>
      <c r="F923" s="16">
        <f>TRUNC(SUMIF(N920:N922, N919, F920:F922),0)</f>
        <v>0</v>
      </c>
      <c r="G923" s="15"/>
      <c r="H923" s="16">
        <f>TRUNC(SUMIF(N920:N922, N919, H920:H922),0)</f>
        <v>0</v>
      </c>
      <c r="I923" s="15"/>
      <c r="J923" s="16">
        <f>TRUNC(SUMIF(N920:N922, N919, J920:J922),0)</f>
        <v>0</v>
      </c>
      <c r="K923" s="15"/>
      <c r="L923" s="16">
        <f>F923+H923+J923</f>
        <v>0</v>
      </c>
      <c r="M923" s="9" t="s">
        <v>52</v>
      </c>
      <c r="N923" s="2" t="s">
        <v>94</v>
      </c>
      <c r="O923" s="2" t="s">
        <v>94</v>
      </c>
      <c r="P923" s="2" t="s">
        <v>52</v>
      </c>
      <c r="Q923" s="2" t="s">
        <v>52</v>
      </c>
      <c r="R923" s="2" t="s">
        <v>52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2" t="s">
        <v>52</v>
      </c>
      <c r="AW923" s="2" t="s">
        <v>52</v>
      </c>
      <c r="AX923" s="2" t="s">
        <v>52</v>
      </c>
      <c r="AY923" s="2" t="s">
        <v>52</v>
      </c>
    </row>
    <row r="924" spans="1:51" ht="30" customHeight="1" x14ac:dyDescent="0.3">
      <c r="A924" s="10"/>
      <c r="B924" s="10"/>
      <c r="C924" s="10"/>
      <c r="D924" s="10"/>
      <c r="E924" s="15"/>
      <c r="F924" s="16"/>
      <c r="G924" s="15"/>
      <c r="H924" s="16"/>
      <c r="I924" s="15"/>
      <c r="J924" s="16"/>
      <c r="K924" s="15"/>
      <c r="L924" s="16"/>
      <c r="M924" s="10"/>
    </row>
    <row r="925" spans="1:51" ht="30" customHeight="1" x14ac:dyDescent="0.3">
      <c r="A925" s="44" t="s">
        <v>2075</v>
      </c>
      <c r="B925" s="44"/>
      <c r="C925" s="44"/>
      <c r="D925" s="44"/>
      <c r="E925" s="45"/>
      <c r="F925" s="46"/>
      <c r="G925" s="45"/>
      <c r="H925" s="46"/>
      <c r="I925" s="45"/>
      <c r="J925" s="46"/>
      <c r="K925" s="45"/>
      <c r="L925" s="46"/>
      <c r="M925" s="44"/>
      <c r="N925" s="1" t="s">
        <v>909</v>
      </c>
    </row>
    <row r="926" spans="1:51" ht="30" customHeight="1" x14ac:dyDescent="0.3">
      <c r="A926" s="9" t="s">
        <v>1019</v>
      </c>
      <c r="B926" s="9" t="s">
        <v>1020</v>
      </c>
      <c r="C926" s="9" t="s">
        <v>1021</v>
      </c>
      <c r="D926" s="10">
        <v>320</v>
      </c>
      <c r="E926" s="15">
        <f>'단가대비표(총체)'!O31</f>
        <v>0</v>
      </c>
      <c r="F926" s="16">
        <f>TRUNC(E926*D926,1)</f>
        <v>0</v>
      </c>
      <c r="G926" s="15">
        <f>'단가대비표(총체)'!P31</f>
        <v>0</v>
      </c>
      <c r="H926" s="16">
        <f>TRUNC(G926*D926,1)</f>
        <v>0</v>
      </c>
      <c r="I926" s="15">
        <f>'단가대비표(총체)'!V31</f>
        <v>0</v>
      </c>
      <c r="J926" s="16">
        <f>TRUNC(I926*D926,1)</f>
        <v>0</v>
      </c>
      <c r="K926" s="15">
        <f t="shared" ref="K926:L928" si="179">TRUNC(E926+G926+I926,1)</f>
        <v>0</v>
      </c>
      <c r="L926" s="16">
        <f t="shared" si="179"/>
        <v>0</v>
      </c>
      <c r="M926" s="9" t="s">
        <v>52</v>
      </c>
      <c r="N926" s="2" t="s">
        <v>909</v>
      </c>
      <c r="O926" s="2" t="s">
        <v>1022</v>
      </c>
      <c r="P926" s="2" t="s">
        <v>61</v>
      </c>
      <c r="Q926" s="2" t="s">
        <v>61</v>
      </c>
      <c r="R926" s="2" t="s">
        <v>60</v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2" t="s">
        <v>52</v>
      </c>
      <c r="AW926" s="2" t="s">
        <v>2077</v>
      </c>
      <c r="AX926" s="2" t="s">
        <v>52</v>
      </c>
      <c r="AY926" s="2" t="s">
        <v>52</v>
      </c>
    </row>
    <row r="927" spans="1:51" ht="30" customHeight="1" x14ac:dyDescent="0.3">
      <c r="A927" s="9" t="s">
        <v>1024</v>
      </c>
      <c r="B927" s="9" t="s">
        <v>1025</v>
      </c>
      <c r="C927" s="9" t="s">
        <v>637</v>
      </c>
      <c r="D927" s="10">
        <v>1.1499999999999999</v>
      </c>
      <c r="E927" s="15">
        <f>'단가대비표(총체)'!O7</f>
        <v>0</v>
      </c>
      <c r="F927" s="16">
        <f>TRUNC(E927*D927,1)</f>
        <v>0</v>
      </c>
      <c r="G927" s="15">
        <f>'단가대비표(총체)'!P7</f>
        <v>0</v>
      </c>
      <c r="H927" s="16">
        <f>TRUNC(G927*D927,1)</f>
        <v>0</v>
      </c>
      <c r="I927" s="15">
        <f>'단가대비표(총체)'!V7</f>
        <v>0</v>
      </c>
      <c r="J927" s="16">
        <f>TRUNC(I927*D927,1)</f>
        <v>0</v>
      </c>
      <c r="K927" s="15">
        <f t="shared" si="179"/>
        <v>0</v>
      </c>
      <c r="L927" s="16">
        <f t="shared" si="179"/>
        <v>0</v>
      </c>
      <c r="M927" s="9" t="s">
        <v>52</v>
      </c>
      <c r="N927" s="2" t="s">
        <v>909</v>
      </c>
      <c r="O927" s="2" t="s">
        <v>1026</v>
      </c>
      <c r="P927" s="2" t="s">
        <v>61</v>
      </c>
      <c r="Q927" s="2" t="s">
        <v>61</v>
      </c>
      <c r="R927" s="2" t="s">
        <v>60</v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2" t="s">
        <v>52</v>
      </c>
      <c r="AW927" s="2" t="s">
        <v>2078</v>
      </c>
      <c r="AX927" s="2" t="s">
        <v>52</v>
      </c>
      <c r="AY927" s="2" t="s">
        <v>52</v>
      </c>
    </row>
    <row r="928" spans="1:51" ht="30" customHeight="1" x14ac:dyDescent="0.3">
      <c r="A928" s="9" t="s">
        <v>821</v>
      </c>
      <c r="B928" s="9" t="s">
        <v>822</v>
      </c>
      <c r="C928" s="9" t="s">
        <v>823</v>
      </c>
      <c r="D928" s="10">
        <v>0.66</v>
      </c>
      <c r="E928" s="15">
        <f>'단가대비표(총체)'!O180</f>
        <v>0</v>
      </c>
      <c r="F928" s="16">
        <f>TRUNC(E928*D928,1)</f>
        <v>0</v>
      </c>
      <c r="G928" s="15">
        <f>'단가대비표(총체)'!P180</f>
        <v>0</v>
      </c>
      <c r="H928" s="16">
        <f>TRUNC(G928*D928,1)</f>
        <v>0</v>
      </c>
      <c r="I928" s="15">
        <f>'단가대비표(총체)'!V180</f>
        <v>0</v>
      </c>
      <c r="J928" s="16">
        <f>TRUNC(I928*D928,1)</f>
        <v>0</v>
      </c>
      <c r="K928" s="15">
        <f t="shared" si="179"/>
        <v>0</v>
      </c>
      <c r="L928" s="16">
        <f t="shared" si="179"/>
        <v>0</v>
      </c>
      <c r="M928" s="9" t="s">
        <v>52</v>
      </c>
      <c r="N928" s="2" t="s">
        <v>909</v>
      </c>
      <c r="O928" s="2" t="s">
        <v>824</v>
      </c>
      <c r="P928" s="2" t="s">
        <v>61</v>
      </c>
      <c r="Q928" s="2" t="s">
        <v>61</v>
      </c>
      <c r="R928" s="2" t="s">
        <v>60</v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2" t="s">
        <v>52</v>
      </c>
      <c r="AW928" s="2" t="s">
        <v>2079</v>
      </c>
      <c r="AX928" s="2" t="s">
        <v>52</v>
      </c>
      <c r="AY928" s="2" t="s">
        <v>52</v>
      </c>
    </row>
    <row r="929" spans="1:51" ht="30" customHeight="1" x14ac:dyDescent="0.3">
      <c r="A929" s="9" t="s">
        <v>811</v>
      </c>
      <c r="B929" s="9" t="s">
        <v>52</v>
      </c>
      <c r="C929" s="9" t="s">
        <v>52</v>
      </c>
      <c r="D929" s="10"/>
      <c r="E929" s="15"/>
      <c r="F929" s="16">
        <f>TRUNC(SUMIF(N926:N928, N925, F926:F928),0)</f>
        <v>0</v>
      </c>
      <c r="G929" s="15"/>
      <c r="H929" s="16">
        <f>TRUNC(SUMIF(N926:N928, N925, H926:H928),0)</f>
        <v>0</v>
      </c>
      <c r="I929" s="15"/>
      <c r="J929" s="16">
        <f>TRUNC(SUMIF(N926:N928, N925, J926:J928),0)</f>
        <v>0</v>
      </c>
      <c r="K929" s="15"/>
      <c r="L929" s="16">
        <f>F929+H929+J929</f>
        <v>0</v>
      </c>
      <c r="M929" s="9" t="s">
        <v>52</v>
      </c>
      <c r="N929" s="2" t="s">
        <v>94</v>
      </c>
      <c r="O929" s="2" t="s">
        <v>94</v>
      </c>
      <c r="P929" s="2" t="s">
        <v>52</v>
      </c>
      <c r="Q929" s="2" t="s">
        <v>52</v>
      </c>
      <c r="R929" s="2" t="s">
        <v>52</v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2" t="s">
        <v>52</v>
      </c>
      <c r="AW929" s="2" t="s">
        <v>52</v>
      </c>
      <c r="AX929" s="2" t="s">
        <v>52</v>
      </c>
      <c r="AY929" s="2" t="s">
        <v>52</v>
      </c>
    </row>
    <row r="930" spans="1:51" ht="30" customHeight="1" x14ac:dyDescent="0.3">
      <c r="A930" s="10"/>
      <c r="B930" s="10"/>
      <c r="C930" s="10"/>
      <c r="D930" s="10"/>
      <c r="E930" s="15"/>
      <c r="F930" s="16"/>
      <c r="G930" s="15"/>
      <c r="H930" s="16"/>
      <c r="I930" s="15"/>
      <c r="J930" s="16"/>
      <c r="K930" s="15"/>
      <c r="L930" s="16"/>
      <c r="M930" s="10"/>
    </row>
    <row r="931" spans="1:51" ht="30" customHeight="1" x14ac:dyDescent="0.3">
      <c r="A931" s="44" t="s">
        <v>2080</v>
      </c>
      <c r="B931" s="44"/>
      <c r="C931" s="44"/>
      <c r="D931" s="44"/>
      <c r="E931" s="45"/>
      <c r="F931" s="46"/>
      <c r="G931" s="45"/>
      <c r="H931" s="46"/>
      <c r="I931" s="45"/>
      <c r="J931" s="46"/>
      <c r="K931" s="45"/>
      <c r="L931" s="46"/>
      <c r="M931" s="44"/>
      <c r="N931" s="1" t="s">
        <v>913</v>
      </c>
    </row>
    <row r="932" spans="1:51" ht="30" customHeight="1" x14ac:dyDescent="0.3">
      <c r="A932" s="9" t="s">
        <v>931</v>
      </c>
      <c r="B932" s="9" t="s">
        <v>822</v>
      </c>
      <c r="C932" s="9" t="s">
        <v>823</v>
      </c>
      <c r="D932" s="10">
        <v>3.5000000000000003E-2</v>
      </c>
      <c r="E932" s="15">
        <f>'단가대비표(총체)'!O192</f>
        <v>0</v>
      </c>
      <c r="F932" s="16">
        <f>TRUNC(E932*D932,1)</f>
        <v>0</v>
      </c>
      <c r="G932" s="15">
        <f>'단가대비표(총체)'!P192</f>
        <v>0</v>
      </c>
      <c r="H932" s="16">
        <f>TRUNC(G932*D932,1)</f>
        <v>0</v>
      </c>
      <c r="I932" s="15">
        <f>'단가대비표(총체)'!V192</f>
        <v>0</v>
      </c>
      <c r="J932" s="16">
        <f>TRUNC(I932*D932,1)</f>
        <v>0</v>
      </c>
      <c r="K932" s="15">
        <f t="shared" ref="K932:L934" si="180">TRUNC(E932+G932+I932,1)</f>
        <v>0</v>
      </c>
      <c r="L932" s="16">
        <f t="shared" si="180"/>
        <v>0</v>
      </c>
      <c r="M932" s="9" t="s">
        <v>52</v>
      </c>
      <c r="N932" s="2" t="s">
        <v>913</v>
      </c>
      <c r="O932" s="2" t="s">
        <v>932</v>
      </c>
      <c r="P932" s="2" t="s">
        <v>61</v>
      </c>
      <c r="Q932" s="2" t="s">
        <v>61</v>
      </c>
      <c r="R932" s="2" t="s">
        <v>60</v>
      </c>
      <c r="S932" s="3"/>
      <c r="T932" s="3"/>
      <c r="U932" s="3"/>
      <c r="V932" s="3">
        <v>1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2" t="s">
        <v>52</v>
      </c>
      <c r="AW932" s="2" t="s">
        <v>2082</v>
      </c>
      <c r="AX932" s="2" t="s">
        <v>52</v>
      </c>
      <c r="AY932" s="2" t="s">
        <v>52</v>
      </c>
    </row>
    <row r="933" spans="1:51" ht="30" customHeight="1" x14ac:dyDescent="0.3">
      <c r="A933" s="9" t="s">
        <v>821</v>
      </c>
      <c r="B933" s="9" t="s">
        <v>822</v>
      </c>
      <c r="C933" s="9" t="s">
        <v>823</v>
      </c>
      <c r="D933" s="10">
        <v>1.2E-2</v>
      </c>
      <c r="E933" s="15">
        <f>'단가대비표(총체)'!O180</f>
        <v>0</v>
      </c>
      <c r="F933" s="16">
        <f>TRUNC(E933*D933,1)</f>
        <v>0</v>
      </c>
      <c r="G933" s="15">
        <f>'단가대비표(총체)'!P180</f>
        <v>0</v>
      </c>
      <c r="H933" s="16">
        <f>TRUNC(G933*D933,1)</f>
        <v>0</v>
      </c>
      <c r="I933" s="15">
        <f>'단가대비표(총체)'!V180</f>
        <v>0</v>
      </c>
      <c r="J933" s="16">
        <f>TRUNC(I933*D933,1)</f>
        <v>0</v>
      </c>
      <c r="K933" s="15">
        <f t="shared" si="180"/>
        <v>0</v>
      </c>
      <c r="L933" s="16">
        <f t="shared" si="180"/>
        <v>0</v>
      </c>
      <c r="M933" s="9" t="s">
        <v>52</v>
      </c>
      <c r="N933" s="2" t="s">
        <v>913</v>
      </c>
      <c r="O933" s="2" t="s">
        <v>824</v>
      </c>
      <c r="P933" s="2" t="s">
        <v>61</v>
      </c>
      <c r="Q933" s="2" t="s">
        <v>61</v>
      </c>
      <c r="R933" s="2" t="s">
        <v>60</v>
      </c>
      <c r="S933" s="3"/>
      <c r="T933" s="3"/>
      <c r="U933" s="3"/>
      <c r="V933" s="3">
        <v>1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2" t="s">
        <v>52</v>
      </c>
      <c r="AW933" s="2" t="s">
        <v>2083</v>
      </c>
      <c r="AX933" s="2" t="s">
        <v>52</v>
      </c>
      <c r="AY933" s="2" t="s">
        <v>52</v>
      </c>
    </row>
    <row r="934" spans="1:51" ht="30" customHeight="1" x14ac:dyDescent="0.3">
      <c r="A934" s="9" t="s">
        <v>874</v>
      </c>
      <c r="B934" s="9" t="s">
        <v>891</v>
      </c>
      <c r="C934" s="9" t="s">
        <v>307</v>
      </c>
      <c r="D934" s="10">
        <v>1</v>
      </c>
      <c r="E934" s="15">
        <v>0</v>
      </c>
      <c r="F934" s="16">
        <f>TRUNC(E934*D934,1)</f>
        <v>0</v>
      </c>
      <c r="G934" s="15">
        <v>0</v>
      </c>
      <c r="H934" s="16">
        <f>TRUNC(G934*D934,1)</f>
        <v>0</v>
      </c>
      <c r="I934" s="15">
        <f>TRUNC(SUMIF(V932:V934, RIGHTB(O934, 1), H932:H934)*U934, 2)</f>
        <v>0</v>
      </c>
      <c r="J934" s="16">
        <f>TRUNC(I934*D934,1)</f>
        <v>0</v>
      </c>
      <c r="K934" s="15">
        <f t="shared" si="180"/>
        <v>0</v>
      </c>
      <c r="L934" s="16">
        <f t="shared" si="180"/>
        <v>0</v>
      </c>
      <c r="M934" s="9" t="s">
        <v>52</v>
      </c>
      <c r="N934" s="2" t="s">
        <v>913</v>
      </c>
      <c r="O934" s="2" t="s">
        <v>809</v>
      </c>
      <c r="P934" s="2" t="s">
        <v>61</v>
      </c>
      <c r="Q934" s="2" t="s">
        <v>61</v>
      </c>
      <c r="R934" s="2" t="s">
        <v>61</v>
      </c>
      <c r="S934" s="3">
        <v>1</v>
      </c>
      <c r="T934" s="3">
        <v>2</v>
      </c>
      <c r="U934" s="3">
        <v>0.02</v>
      </c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2" t="s">
        <v>52</v>
      </c>
      <c r="AW934" s="2" t="s">
        <v>2084</v>
      </c>
      <c r="AX934" s="2" t="s">
        <v>52</v>
      </c>
      <c r="AY934" s="2" t="s">
        <v>52</v>
      </c>
    </row>
    <row r="935" spans="1:51" ht="30" customHeight="1" x14ac:dyDescent="0.3">
      <c r="A935" s="9" t="s">
        <v>811</v>
      </c>
      <c r="B935" s="9" t="s">
        <v>52</v>
      </c>
      <c r="C935" s="9" t="s">
        <v>52</v>
      </c>
      <c r="D935" s="10"/>
      <c r="E935" s="15"/>
      <c r="F935" s="16">
        <f>TRUNC(SUMIF(N932:N934, N931, F932:F934),0)</f>
        <v>0</v>
      </c>
      <c r="G935" s="15"/>
      <c r="H935" s="16">
        <f>TRUNC(SUMIF(N932:N934, N931, H932:H934),0)</f>
        <v>0</v>
      </c>
      <c r="I935" s="15"/>
      <c r="J935" s="16">
        <f>TRUNC(SUMIF(N932:N934, N931, J932:J934),0)</f>
        <v>0</v>
      </c>
      <c r="K935" s="15"/>
      <c r="L935" s="16">
        <f>F935+H935+J935</f>
        <v>0</v>
      </c>
      <c r="M935" s="9" t="s">
        <v>52</v>
      </c>
      <c r="N935" s="2" t="s">
        <v>94</v>
      </c>
      <c r="O935" s="2" t="s">
        <v>94</v>
      </c>
      <c r="P935" s="2" t="s">
        <v>52</v>
      </c>
      <c r="Q935" s="2" t="s">
        <v>52</v>
      </c>
      <c r="R935" s="2" t="s">
        <v>52</v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2" t="s">
        <v>52</v>
      </c>
      <c r="AW935" s="2" t="s">
        <v>52</v>
      </c>
      <c r="AX935" s="2" t="s">
        <v>52</v>
      </c>
      <c r="AY935" s="2" t="s">
        <v>52</v>
      </c>
    </row>
    <row r="936" spans="1:51" ht="30" customHeight="1" x14ac:dyDescent="0.3">
      <c r="A936" s="10"/>
      <c r="B936" s="10"/>
      <c r="C936" s="10"/>
      <c r="D936" s="10"/>
      <c r="E936" s="15"/>
      <c r="F936" s="16"/>
      <c r="G936" s="15"/>
      <c r="H936" s="16"/>
      <c r="I936" s="15"/>
      <c r="J936" s="16"/>
      <c r="K936" s="15"/>
      <c r="L936" s="16"/>
      <c r="M936" s="10"/>
    </row>
    <row r="937" spans="1:51" ht="30" customHeight="1" x14ac:dyDescent="0.3">
      <c r="A937" s="44" t="s">
        <v>2085</v>
      </c>
      <c r="B937" s="44"/>
      <c r="C937" s="44"/>
      <c r="D937" s="44"/>
      <c r="E937" s="45"/>
      <c r="F937" s="46"/>
      <c r="G937" s="45"/>
      <c r="H937" s="46"/>
      <c r="I937" s="45"/>
      <c r="J937" s="46"/>
      <c r="K937" s="45"/>
      <c r="L937" s="46"/>
      <c r="M937" s="44"/>
      <c r="N937" s="1" t="s">
        <v>940</v>
      </c>
    </row>
    <row r="938" spans="1:51" ht="30" customHeight="1" x14ac:dyDescent="0.3">
      <c r="A938" s="9" t="s">
        <v>2087</v>
      </c>
      <c r="B938" s="9" t="s">
        <v>2088</v>
      </c>
      <c r="C938" s="9" t="s">
        <v>1021</v>
      </c>
      <c r="D938" s="10">
        <v>1093</v>
      </c>
      <c r="E938" s="15">
        <f>'단가대비표(총체)'!O32</f>
        <v>0</v>
      </c>
      <c r="F938" s="16">
        <f>TRUNC(E938*D938,1)</f>
        <v>0</v>
      </c>
      <c r="G938" s="15">
        <f>'단가대비표(총체)'!P32</f>
        <v>0</v>
      </c>
      <c r="H938" s="16">
        <f>TRUNC(G938*D938,1)</f>
        <v>0</v>
      </c>
      <c r="I938" s="15">
        <f>'단가대비표(총체)'!V32</f>
        <v>0</v>
      </c>
      <c r="J938" s="16">
        <f>TRUNC(I938*D938,1)</f>
        <v>0</v>
      </c>
      <c r="K938" s="15">
        <f t="shared" ref="K938:L940" si="181">TRUNC(E938+G938+I938,1)</f>
        <v>0</v>
      </c>
      <c r="L938" s="16">
        <f t="shared" si="181"/>
        <v>0</v>
      </c>
      <c r="M938" s="9" t="s">
        <v>52</v>
      </c>
      <c r="N938" s="2" t="s">
        <v>940</v>
      </c>
      <c r="O938" s="2" t="s">
        <v>2089</v>
      </c>
      <c r="P938" s="2" t="s">
        <v>61</v>
      </c>
      <c r="Q938" s="2" t="s">
        <v>61</v>
      </c>
      <c r="R938" s="2" t="s">
        <v>60</v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2" t="s">
        <v>52</v>
      </c>
      <c r="AW938" s="2" t="s">
        <v>2090</v>
      </c>
      <c r="AX938" s="2" t="s">
        <v>52</v>
      </c>
      <c r="AY938" s="2" t="s">
        <v>52</v>
      </c>
    </row>
    <row r="939" spans="1:51" ht="30" customHeight="1" x14ac:dyDescent="0.3">
      <c r="A939" s="9" t="s">
        <v>1024</v>
      </c>
      <c r="B939" s="9" t="s">
        <v>1025</v>
      </c>
      <c r="C939" s="9" t="s">
        <v>637</v>
      </c>
      <c r="D939" s="10">
        <v>0.78</v>
      </c>
      <c r="E939" s="15">
        <f>'단가대비표(총체)'!O7</f>
        <v>0</v>
      </c>
      <c r="F939" s="16">
        <f>TRUNC(E939*D939,1)</f>
        <v>0</v>
      </c>
      <c r="G939" s="15">
        <f>'단가대비표(총체)'!P7</f>
        <v>0</v>
      </c>
      <c r="H939" s="16">
        <f>TRUNC(G939*D939,1)</f>
        <v>0</v>
      </c>
      <c r="I939" s="15">
        <f>'단가대비표(총체)'!V7</f>
        <v>0</v>
      </c>
      <c r="J939" s="16">
        <f>TRUNC(I939*D939,1)</f>
        <v>0</v>
      </c>
      <c r="K939" s="15">
        <f t="shared" si="181"/>
        <v>0</v>
      </c>
      <c r="L939" s="16">
        <f t="shared" si="181"/>
        <v>0</v>
      </c>
      <c r="M939" s="9" t="s">
        <v>52</v>
      </c>
      <c r="N939" s="2" t="s">
        <v>940</v>
      </c>
      <c r="O939" s="2" t="s">
        <v>1026</v>
      </c>
      <c r="P939" s="2" t="s">
        <v>61</v>
      </c>
      <c r="Q939" s="2" t="s">
        <v>61</v>
      </c>
      <c r="R939" s="2" t="s">
        <v>60</v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2" t="s">
        <v>52</v>
      </c>
      <c r="AW939" s="2" t="s">
        <v>2091</v>
      </c>
      <c r="AX939" s="2" t="s">
        <v>52</v>
      </c>
      <c r="AY939" s="2" t="s">
        <v>52</v>
      </c>
    </row>
    <row r="940" spans="1:51" ht="30" customHeight="1" x14ac:dyDescent="0.3">
      <c r="A940" s="9" t="s">
        <v>821</v>
      </c>
      <c r="B940" s="9" t="s">
        <v>822</v>
      </c>
      <c r="C940" s="9" t="s">
        <v>823</v>
      </c>
      <c r="D940" s="10">
        <v>0.66</v>
      </c>
      <c r="E940" s="15">
        <f>'단가대비표(총체)'!O180</f>
        <v>0</v>
      </c>
      <c r="F940" s="16">
        <f>TRUNC(E940*D940,1)</f>
        <v>0</v>
      </c>
      <c r="G940" s="15">
        <f>'단가대비표(총체)'!P180</f>
        <v>0</v>
      </c>
      <c r="H940" s="16">
        <f>TRUNC(G940*D940,1)</f>
        <v>0</v>
      </c>
      <c r="I940" s="15">
        <f>'단가대비표(총체)'!V180</f>
        <v>0</v>
      </c>
      <c r="J940" s="16">
        <f>TRUNC(I940*D940,1)</f>
        <v>0</v>
      </c>
      <c r="K940" s="15">
        <f t="shared" si="181"/>
        <v>0</v>
      </c>
      <c r="L940" s="16">
        <f t="shared" si="181"/>
        <v>0</v>
      </c>
      <c r="M940" s="9" t="s">
        <v>52</v>
      </c>
      <c r="N940" s="2" t="s">
        <v>940</v>
      </c>
      <c r="O940" s="2" t="s">
        <v>824</v>
      </c>
      <c r="P940" s="2" t="s">
        <v>61</v>
      </c>
      <c r="Q940" s="2" t="s">
        <v>61</v>
      </c>
      <c r="R940" s="2" t="s">
        <v>60</v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2" t="s">
        <v>52</v>
      </c>
      <c r="AW940" s="2" t="s">
        <v>2092</v>
      </c>
      <c r="AX940" s="2" t="s">
        <v>52</v>
      </c>
      <c r="AY940" s="2" t="s">
        <v>52</v>
      </c>
    </row>
    <row r="941" spans="1:51" ht="30" customHeight="1" x14ac:dyDescent="0.3">
      <c r="A941" s="9" t="s">
        <v>811</v>
      </c>
      <c r="B941" s="9" t="s">
        <v>52</v>
      </c>
      <c r="C941" s="9" t="s">
        <v>52</v>
      </c>
      <c r="D941" s="10"/>
      <c r="E941" s="15"/>
      <c r="F941" s="16">
        <f>TRUNC(SUMIF(N938:N940, N937, F938:F940),0)</f>
        <v>0</v>
      </c>
      <c r="G941" s="15"/>
      <c r="H941" s="16">
        <f>TRUNC(SUMIF(N938:N940, N937, H938:H940),0)</f>
        <v>0</v>
      </c>
      <c r="I941" s="15"/>
      <c r="J941" s="16">
        <f>TRUNC(SUMIF(N938:N940, N937, J938:J940),0)</f>
        <v>0</v>
      </c>
      <c r="K941" s="15"/>
      <c r="L941" s="16">
        <f>F941+H941+J941</f>
        <v>0</v>
      </c>
      <c r="M941" s="9" t="s">
        <v>52</v>
      </c>
      <c r="N941" s="2" t="s">
        <v>94</v>
      </c>
      <c r="O941" s="2" t="s">
        <v>94</v>
      </c>
      <c r="P941" s="2" t="s">
        <v>52</v>
      </c>
      <c r="Q941" s="2" t="s">
        <v>52</v>
      </c>
      <c r="R941" s="2" t="s">
        <v>52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2" t="s">
        <v>52</v>
      </c>
      <c r="AW941" s="2" t="s">
        <v>52</v>
      </c>
      <c r="AX941" s="2" t="s">
        <v>52</v>
      </c>
      <c r="AY941" s="2" t="s">
        <v>52</v>
      </c>
    </row>
    <row r="942" spans="1:51" ht="30" customHeight="1" x14ac:dyDescent="0.3">
      <c r="A942" s="10"/>
      <c r="B942" s="10"/>
      <c r="C942" s="10"/>
      <c r="D942" s="10"/>
      <c r="E942" s="15"/>
      <c r="F942" s="16"/>
      <c r="G942" s="15"/>
      <c r="H942" s="16"/>
      <c r="I942" s="15"/>
      <c r="J942" s="16"/>
      <c r="K942" s="15"/>
      <c r="L942" s="16"/>
      <c r="M942" s="10"/>
    </row>
    <row r="943" spans="1:51" ht="30" customHeight="1" x14ac:dyDescent="0.3">
      <c r="A943" s="44" t="s">
        <v>2093</v>
      </c>
      <c r="B943" s="44"/>
      <c r="C943" s="44"/>
      <c r="D943" s="44"/>
      <c r="E943" s="45"/>
      <c r="F943" s="46"/>
      <c r="G943" s="45"/>
      <c r="H943" s="46"/>
      <c r="I943" s="45"/>
      <c r="J943" s="46"/>
      <c r="K943" s="45"/>
      <c r="L943" s="46"/>
      <c r="M943" s="44"/>
      <c r="N943" s="1" t="s">
        <v>944</v>
      </c>
    </row>
    <row r="944" spans="1:51" ht="30" customHeight="1" x14ac:dyDescent="0.3">
      <c r="A944" s="9" t="s">
        <v>1987</v>
      </c>
      <c r="B944" s="9" t="s">
        <v>822</v>
      </c>
      <c r="C944" s="9" t="s">
        <v>823</v>
      </c>
      <c r="D944" s="10">
        <v>0.13800000000000001</v>
      </c>
      <c r="E944" s="15">
        <f>'단가대비표(총체)'!O193</f>
        <v>0</v>
      </c>
      <c r="F944" s="16">
        <f>TRUNC(E944*D944,1)</f>
        <v>0</v>
      </c>
      <c r="G944" s="15">
        <f>'단가대비표(총체)'!P193</f>
        <v>0</v>
      </c>
      <c r="H944" s="16">
        <f>TRUNC(G944*D944,1)</f>
        <v>0</v>
      </c>
      <c r="I944" s="15">
        <f>'단가대비표(총체)'!V193</f>
        <v>0</v>
      </c>
      <c r="J944" s="16">
        <f>TRUNC(I944*D944,1)</f>
        <v>0</v>
      </c>
      <c r="K944" s="15">
        <f t="shared" ref="K944:L946" si="182">TRUNC(E944+G944+I944,1)</f>
        <v>0</v>
      </c>
      <c r="L944" s="16">
        <f t="shared" si="182"/>
        <v>0</v>
      </c>
      <c r="M944" s="9" t="s">
        <v>52</v>
      </c>
      <c r="N944" s="2" t="s">
        <v>944</v>
      </c>
      <c r="O944" s="2" t="s">
        <v>1988</v>
      </c>
      <c r="P944" s="2" t="s">
        <v>61</v>
      </c>
      <c r="Q944" s="2" t="s">
        <v>61</v>
      </c>
      <c r="R944" s="2" t="s">
        <v>60</v>
      </c>
      <c r="S944" s="3"/>
      <c r="T944" s="3"/>
      <c r="U944" s="3"/>
      <c r="V944" s="3">
        <v>1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2" t="s">
        <v>52</v>
      </c>
      <c r="AW944" s="2" t="s">
        <v>2095</v>
      </c>
      <c r="AX944" s="2" t="s">
        <v>52</v>
      </c>
      <c r="AY944" s="2" t="s">
        <v>52</v>
      </c>
    </row>
    <row r="945" spans="1:51" ht="30" customHeight="1" x14ac:dyDescent="0.3">
      <c r="A945" s="9" t="s">
        <v>821</v>
      </c>
      <c r="B945" s="9" t="s">
        <v>822</v>
      </c>
      <c r="C945" s="9" t="s">
        <v>823</v>
      </c>
      <c r="D945" s="10">
        <v>5.7000000000000002E-2</v>
      </c>
      <c r="E945" s="15">
        <f>'단가대비표(총체)'!O180</f>
        <v>0</v>
      </c>
      <c r="F945" s="16">
        <f>TRUNC(E945*D945,1)</f>
        <v>0</v>
      </c>
      <c r="G945" s="15">
        <f>'단가대비표(총체)'!P180</f>
        <v>0</v>
      </c>
      <c r="H945" s="16">
        <f>TRUNC(G945*D945,1)</f>
        <v>0</v>
      </c>
      <c r="I945" s="15">
        <f>'단가대비표(총체)'!V180</f>
        <v>0</v>
      </c>
      <c r="J945" s="16">
        <f>TRUNC(I945*D945,1)</f>
        <v>0</v>
      </c>
      <c r="K945" s="15">
        <f t="shared" si="182"/>
        <v>0</v>
      </c>
      <c r="L945" s="16">
        <f t="shared" si="182"/>
        <v>0</v>
      </c>
      <c r="M945" s="9" t="s">
        <v>52</v>
      </c>
      <c r="N945" s="2" t="s">
        <v>944</v>
      </c>
      <c r="O945" s="2" t="s">
        <v>824</v>
      </c>
      <c r="P945" s="2" t="s">
        <v>61</v>
      </c>
      <c r="Q945" s="2" t="s">
        <v>61</v>
      </c>
      <c r="R945" s="2" t="s">
        <v>60</v>
      </c>
      <c r="S945" s="3"/>
      <c r="T945" s="3"/>
      <c r="U945" s="3"/>
      <c r="V945" s="3">
        <v>1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2" t="s">
        <v>52</v>
      </c>
      <c r="AW945" s="2" t="s">
        <v>2096</v>
      </c>
      <c r="AX945" s="2" t="s">
        <v>52</v>
      </c>
      <c r="AY945" s="2" t="s">
        <v>52</v>
      </c>
    </row>
    <row r="946" spans="1:51" ht="30" customHeight="1" x14ac:dyDescent="0.3">
      <c r="A946" s="9" t="s">
        <v>874</v>
      </c>
      <c r="B946" s="9" t="s">
        <v>875</v>
      </c>
      <c r="C946" s="9" t="s">
        <v>307</v>
      </c>
      <c r="D946" s="10">
        <v>1</v>
      </c>
      <c r="E946" s="15">
        <v>0</v>
      </c>
      <c r="F946" s="16">
        <f>TRUNC(E946*D946,1)</f>
        <v>0</v>
      </c>
      <c r="G946" s="15">
        <v>0</v>
      </c>
      <c r="H946" s="16">
        <f>TRUNC(G946*D946,1)</f>
        <v>0</v>
      </c>
      <c r="I946" s="15">
        <f>TRUNC(SUMIF(V944:V946, RIGHTB(O946, 1), H944:H946)*U946, 2)</f>
        <v>0</v>
      </c>
      <c r="J946" s="16">
        <f>TRUNC(I946*D946,1)</f>
        <v>0</v>
      </c>
      <c r="K946" s="15">
        <f t="shared" si="182"/>
        <v>0</v>
      </c>
      <c r="L946" s="16">
        <f t="shared" si="182"/>
        <v>0</v>
      </c>
      <c r="M946" s="9" t="s">
        <v>52</v>
      </c>
      <c r="N946" s="2" t="s">
        <v>944</v>
      </c>
      <c r="O946" s="2" t="s">
        <v>809</v>
      </c>
      <c r="P946" s="2" t="s">
        <v>61</v>
      </c>
      <c r="Q946" s="2" t="s">
        <v>61</v>
      </c>
      <c r="R946" s="2" t="s">
        <v>61</v>
      </c>
      <c r="S946" s="3">
        <v>1</v>
      </c>
      <c r="T946" s="3">
        <v>2</v>
      </c>
      <c r="U946" s="3">
        <v>0.03</v>
      </c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2" t="s">
        <v>52</v>
      </c>
      <c r="AW946" s="2" t="s">
        <v>2097</v>
      </c>
      <c r="AX946" s="2" t="s">
        <v>52</v>
      </c>
      <c r="AY946" s="2" t="s">
        <v>52</v>
      </c>
    </row>
    <row r="947" spans="1:51" ht="30" customHeight="1" x14ac:dyDescent="0.3">
      <c r="A947" s="9" t="s">
        <v>811</v>
      </c>
      <c r="B947" s="9" t="s">
        <v>52</v>
      </c>
      <c r="C947" s="9" t="s">
        <v>52</v>
      </c>
      <c r="D947" s="10"/>
      <c r="E947" s="15"/>
      <c r="F947" s="16">
        <f>TRUNC(SUMIF(N944:N946, N943, F944:F946),0)</f>
        <v>0</v>
      </c>
      <c r="G947" s="15"/>
      <c r="H947" s="16">
        <f>TRUNC(SUMIF(N944:N946, N943, H944:H946),0)</f>
        <v>0</v>
      </c>
      <c r="I947" s="15"/>
      <c r="J947" s="16">
        <f>TRUNC(SUMIF(N944:N946, N943, J944:J946),0)</f>
        <v>0</v>
      </c>
      <c r="K947" s="15"/>
      <c r="L947" s="16">
        <f>F947+H947+J947</f>
        <v>0</v>
      </c>
      <c r="M947" s="9" t="s">
        <v>52</v>
      </c>
      <c r="N947" s="2" t="s">
        <v>94</v>
      </c>
      <c r="O947" s="2" t="s">
        <v>94</v>
      </c>
      <c r="P947" s="2" t="s">
        <v>52</v>
      </c>
      <c r="Q947" s="2" t="s">
        <v>52</v>
      </c>
      <c r="R947" s="2" t="s">
        <v>52</v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2" t="s">
        <v>52</v>
      </c>
      <c r="AW947" s="2" t="s">
        <v>52</v>
      </c>
      <c r="AX947" s="2" t="s">
        <v>52</v>
      </c>
      <c r="AY947" s="2" t="s">
        <v>52</v>
      </c>
    </row>
    <row r="948" spans="1:51" ht="30" customHeight="1" x14ac:dyDescent="0.3">
      <c r="A948" s="10"/>
      <c r="B948" s="10"/>
      <c r="C948" s="10"/>
      <c r="D948" s="10"/>
      <c r="E948" s="15"/>
      <c r="F948" s="16"/>
      <c r="G948" s="15"/>
      <c r="H948" s="16"/>
      <c r="I948" s="15"/>
      <c r="J948" s="16"/>
      <c r="K948" s="15"/>
      <c r="L948" s="16"/>
      <c r="M948" s="10"/>
    </row>
    <row r="949" spans="1:51" ht="30" customHeight="1" x14ac:dyDescent="0.3">
      <c r="A949" s="44" t="s">
        <v>2098</v>
      </c>
      <c r="B949" s="44"/>
      <c r="C949" s="44"/>
      <c r="D949" s="44"/>
      <c r="E949" s="45"/>
      <c r="F949" s="46"/>
      <c r="G949" s="45"/>
      <c r="H949" s="46"/>
      <c r="I949" s="45"/>
      <c r="J949" s="46"/>
      <c r="K949" s="45"/>
      <c r="L949" s="46"/>
      <c r="M949" s="44"/>
      <c r="N949" s="1" t="s">
        <v>947</v>
      </c>
    </row>
    <row r="950" spans="1:51" ht="30" customHeight="1" x14ac:dyDescent="0.3">
      <c r="A950" s="9" t="s">
        <v>2100</v>
      </c>
      <c r="B950" s="9" t="s">
        <v>822</v>
      </c>
      <c r="C950" s="9" t="s">
        <v>823</v>
      </c>
      <c r="D950" s="10">
        <v>1.7000000000000001E-2</v>
      </c>
      <c r="E950" s="15">
        <f>'단가대비표(총체)'!O202</f>
        <v>0</v>
      </c>
      <c r="F950" s="16">
        <f>TRUNC(E950*D950,1)</f>
        <v>0</v>
      </c>
      <c r="G950" s="15">
        <f>'단가대비표(총체)'!P202</f>
        <v>0</v>
      </c>
      <c r="H950" s="16">
        <f>TRUNC(G950*D950,1)</f>
        <v>0</v>
      </c>
      <c r="I950" s="15">
        <f>'단가대비표(총체)'!V202</f>
        <v>0</v>
      </c>
      <c r="J950" s="16">
        <f>TRUNC(I950*D950,1)</f>
        <v>0</v>
      </c>
      <c r="K950" s="15">
        <f>TRUNC(E950+G950+I950,1)</f>
        <v>0</v>
      </c>
      <c r="L950" s="16">
        <f>TRUNC(F950+H950+J950,1)</f>
        <v>0</v>
      </c>
      <c r="M950" s="9" t="s">
        <v>52</v>
      </c>
      <c r="N950" s="2" t="s">
        <v>947</v>
      </c>
      <c r="O950" s="2" t="s">
        <v>2101</v>
      </c>
      <c r="P950" s="2" t="s">
        <v>61</v>
      </c>
      <c r="Q950" s="2" t="s">
        <v>61</v>
      </c>
      <c r="R950" s="2" t="s">
        <v>60</v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2" t="s">
        <v>52</v>
      </c>
      <c r="AW950" s="2" t="s">
        <v>2102</v>
      </c>
      <c r="AX950" s="2" t="s">
        <v>52</v>
      </c>
      <c r="AY950" s="2" t="s">
        <v>52</v>
      </c>
    </row>
    <row r="951" spans="1:51" ht="30" customHeight="1" x14ac:dyDescent="0.3">
      <c r="A951" s="9" t="s">
        <v>811</v>
      </c>
      <c r="B951" s="9" t="s">
        <v>52</v>
      </c>
      <c r="C951" s="9" t="s">
        <v>52</v>
      </c>
      <c r="D951" s="10"/>
      <c r="E951" s="15"/>
      <c r="F951" s="16">
        <f>TRUNC(SUMIF(N950:N950, N949, F950:F950),0)</f>
        <v>0</v>
      </c>
      <c r="G951" s="15"/>
      <c r="H951" s="16">
        <f>TRUNC(SUMIF(N950:N950, N949, H950:H950),0)</f>
        <v>0</v>
      </c>
      <c r="I951" s="15"/>
      <c r="J951" s="16">
        <f>TRUNC(SUMIF(N950:N950, N949, J950:J950),0)</f>
        <v>0</v>
      </c>
      <c r="K951" s="15"/>
      <c r="L951" s="16">
        <f>F951+H951+J951</f>
        <v>0</v>
      </c>
      <c r="M951" s="9" t="s">
        <v>52</v>
      </c>
      <c r="N951" s="2" t="s">
        <v>94</v>
      </c>
      <c r="O951" s="2" t="s">
        <v>94</v>
      </c>
      <c r="P951" s="2" t="s">
        <v>52</v>
      </c>
      <c r="Q951" s="2" t="s">
        <v>52</v>
      </c>
      <c r="R951" s="2" t="s">
        <v>52</v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2" t="s">
        <v>52</v>
      </c>
      <c r="AW951" s="2" t="s">
        <v>52</v>
      </c>
      <c r="AX951" s="2" t="s">
        <v>52</v>
      </c>
      <c r="AY951" s="2" t="s">
        <v>52</v>
      </c>
    </row>
    <row r="952" spans="1:51" ht="30" customHeight="1" x14ac:dyDescent="0.3">
      <c r="A952" s="10"/>
      <c r="B952" s="10"/>
      <c r="C952" s="10"/>
      <c r="D952" s="10"/>
      <c r="E952" s="15"/>
      <c r="F952" s="16"/>
      <c r="G952" s="15"/>
      <c r="H952" s="16"/>
      <c r="I952" s="15"/>
      <c r="J952" s="16"/>
      <c r="K952" s="15"/>
      <c r="L952" s="16"/>
      <c r="M952" s="10"/>
    </row>
    <row r="953" spans="1:51" ht="30" customHeight="1" x14ac:dyDescent="0.3">
      <c r="A953" s="44" t="s">
        <v>2103</v>
      </c>
      <c r="B953" s="44"/>
      <c r="C953" s="44"/>
      <c r="D953" s="44"/>
      <c r="E953" s="45"/>
      <c r="F953" s="46"/>
      <c r="G953" s="45"/>
      <c r="H953" s="46"/>
      <c r="I953" s="45"/>
      <c r="J953" s="46"/>
      <c r="K953" s="45"/>
      <c r="L953" s="46"/>
      <c r="M953" s="44"/>
      <c r="N953" s="1" t="s">
        <v>955</v>
      </c>
    </row>
    <row r="954" spans="1:51" ht="30" customHeight="1" x14ac:dyDescent="0.3">
      <c r="A954" s="9" t="s">
        <v>2105</v>
      </c>
      <c r="B954" s="9" t="s">
        <v>2106</v>
      </c>
      <c r="C954" s="9" t="s">
        <v>1021</v>
      </c>
      <c r="D954" s="10">
        <v>6.8</v>
      </c>
      <c r="E954" s="15">
        <f>'단가대비표(총체)'!O33</f>
        <v>0</v>
      </c>
      <c r="F954" s="16">
        <f>TRUNC(E954*D954,1)</f>
        <v>0</v>
      </c>
      <c r="G954" s="15">
        <f>'단가대비표(총체)'!P33</f>
        <v>0</v>
      </c>
      <c r="H954" s="16">
        <f>TRUNC(G954*D954,1)</f>
        <v>0</v>
      </c>
      <c r="I954" s="15">
        <f>'단가대비표(총체)'!V33</f>
        <v>0</v>
      </c>
      <c r="J954" s="16">
        <f>TRUNC(I954*D954,1)</f>
        <v>0</v>
      </c>
      <c r="K954" s="15">
        <f t="shared" ref="K954:L957" si="183">TRUNC(E954+G954+I954,1)</f>
        <v>0</v>
      </c>
      <c r="L954" s="16">
        <f t="shared" si="183"/>
        <v>0</v>
      </c>
      <c r="M954" s="9" t="s">
        <v>52</v>
      </c>
      <c r="N954" s="2" t="s">
        <v>955</v>
      </c>
      <c r="O954" s="2" t="s">
        <v>2107</v>
      </c>
      <c r="P954" s="2" t="s">
        <v>61</v>
      </c>
      <c r="Q954" s="2" t="s">
        <v>61</v>
      </c>
      <c r="R954" s="2" t="s">
        <v>60</v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2" t="s">
        <v>52</v>
      </c>
      <c r="AW954" s="2" t="s">
        <v>2108</v>
      </c>
      <c r="AX954" s="2" t="s">
        <v>52</v>
      </c>
      <c r="AY954" s="2" t="s">
        <v>52</v>
      </c>
    </row>
    <row r="955" spans="1:51" ht="30" customHeight="1" x14ac:dyDescent="0.3">
      <c r="A955" s="9" t="s">
        <v>2105</v>
      </c>
      <c r="B955" s="9" t="s">
        <v>2109</v>
      </c>
      <c r="C955" s="9" t="s">
        <v>1021</v>
      </c>
      <c r="D955" s="10">
        <v>1.36</v>
      </c>
      <c r="E955" s="15">
        <f>'단가대비표(총체)'!O34</f>
        <v>0</v>
      </c>
      <c r="F955" s="16">
        <f>TRUNC(E955*D955,1)</f>
        <v>0</v>
      </c>
      <c r="G955" s="15">
        <f>'단가대비표(총체)'!P34</f>
        <v>0</v>
      </c>
      <c r="H955" s="16">
        <f>TRUNC(G955*D955,1)</f>
        <v>0</v>
      </c>
      <c r="I955" s="15">
        <f>'단가대비표(총체)'!V34</f>
        <v>0</v>
      </c>
      <c r="J955" s="16">
        <f>TRUNC(I955*D955,1)</f>
        <v>0</v>
      </c>
      <c r="K955" s="15">
        <f t="shared" si="183"/>
        <v>0</v>
      </c>
      <c r="L955" s="16">
        <f t="shared" si="183"/>
        <v>0</v>
      </c>
      <c r="M955" s="9" t="s">
        <v>52</v>
      </c>
      <c r="N955" s="2" t="s">
        <v>955</v>
      </c>
      <c r="O955" s="2" t="s">
        <v>2110</v>
      </c>
      <c r="P955" s="2" t="s">
        <v>61</v>
      </c>
      <c r="Q955" s="2" t="s">
        <v>61</v>
      </c>
      <c r="R955" s="2" t="s">
        <v>60</v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2" t="s">
        <v>52</v>
      </c>
      <c r="AW955" s="2" t="s">
        <v>2111</v>
      </c>
      <c r="AX955" s="2" t="s">
        <v>52</v>
      </c>
      <c r="AY955" s="2" t="s">
        <v>52</v>
      </c>
    </row>
    <row r="956" spans="1:51" ht="30" customHeight="1" x14ac:dyDescent="0.3">
      <c r="A956" s="9" t="s">
        <v>2112</v>
      </c>
      <c r="B956" s="9" t="s">
        <v>2113</v>
      </c>
      <c r="C956" s="9" t="s">
        <v>68</v>
      </c>
      <c r="D956" s="10">
        <v>1</v>
      </c>
      <c r="E956" s="15">
        <f>'일위대가목록(총체)'!E145</f>
        <v>0</v>
      </c>
      <c r="F956" s="16">
        <f>TRUNC(E956*D956,1)</f>
        <v>0</v>
      </c>
      <c r="G956" s="15">
        <f>'일위대가목록(총체)'!F145</f>
        <v>0</v>
      </c>
      <c r="H956" s="16">
        <f>TRUNC(G956*D956,1)</f>
        <v>0</v>
      </c>
      <c r="I956" s="15">
        <f>'일위대가목록(총체)'!G145</f>
        <v>0</v>
      </c>
      <c r="J956" s="16">
        <f>TRUNC(I956*D956,1)</f>
        <v>0</v>
      </c>
      <c r="K956" s="15">
        <f t="shared" si="183"/>
        <v>0</v>
      </c>
      <c r="L956" s="16">
        <f t="shared" si="183"/>
        <v>0</v>
      </c>
      <c r="M956" s="9" t="s">
        <v>52</v>
      </c>
      <c r="N956" s="2" t="s">
        <v>955</v>
      </c>
      <c r="O956" s="2" t="s">
        <v>2114</v>
      </c>
      <c r="P956" s="2" t="s">
        <v>60</v>
      </c>
      <c r="Q956" s="2" t="s">
        <v>61</v>
      </c>
      <c r="R956" s="2" t="s">
        <v>61</v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2" t="s">
        <v>52</v>
      </c>
      <c r="AW956" s="2" t="s">
        <v>2115</v>
      </c>
      <c r="AX956" s="2" t="s">
        <v>52</v>
      </c>
      <c r="AY956" s="2" t="s">
        <v>52</v>
      </c>
    </row>
    <row r="957" spans="1:51" ht="30" customHeight="1" x14ac:dyDescent="0.3">
      <c r="A957" s="9" t="s">
        <v>2116</v>
      </c>
      <c r="B957" s="9" t="s">
        <v>2117</v>
      </c>
      <c r="C957" s="9" t="s">
        <v>68</v>
      </c>
      <c r="D957" s="10">
        <v>1</v>
      </c>
      <c r="E957" s="15">
        <f>'일위대가목록(총체)'!E146</f>
        <v>0</v>
      </c>
      <c r="F957" s="16">
        <f>TRUNC(E957*D957,1)</f>
        <v>0</v>
      </c>
      <c r="G957" s="15">
        <f>'일위대가목록(총체)'!F146</f>
        <v>0</v>
      </c>
      <c r="H957" s="16">
        <f>TRUNC(G957*D957,1)</f>
        <v>0</v>
      </c>
      <c r="I957" s="15">
        <f>'일위대가목록(총체)'!G146</f>
        <v>0</v>
      </c>
      <c r="J957" s="16">
        <f>TRUNC(I957*D957,1)</f>
        <v>0</v>
      </c>
      <c r="K957" s="15">
        <f t="shared" si="183"/>
        <v>0</v>
      </c>
      <c r="L957" s="16">
        <f t="shared" si="183"/>
        <v>0</v>
      </c>
      <c r="M957" s="9" t="s">
        <v>52</v>
      </c>
      <c r="N957" s="2" t="s">
        <v>955</v>
      </c>
      <c r="O957" s="2" t="s">
        <v>2118</v>
      </c>
      <c r="P957" s="2" t="s">
        <v>60</v>
      </c>
      <c r="Q957" s="2" t="s">
        <v>61</v>
      </c>
      <c r="R957" s="2" t="s">
        <v>61</v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2" t="s">
        <v>52</v>
      </c>
      <c r="AW957" s="2" t="s">
        <v>2119</v>
      </c>
      <c r="AX957" s="2" t="s">
        <v>52</v>
      </c>
      <c r="AY957" s="2" t="s">
        <v>52</v>
      </c>
    </row>
    <row r="958" spans="1:51" ht="30" customHeight="1" x14ac:dyDescent="0.3">
      <c r="A958" s="9" t="s">
        <v>811</v>
      </c>
      <c r="B958" s="9" t="s">
        <v>52</v>
      </c>
      <c r="C958" s="9" t="s">
        <v>52</v>
      </c>
      <c r="D958" s="10"/>
      <c r="E958" s="15"/>
      <c r="F958" s="16">
        <f>TRUNC(SUMIF(N954:N957, N953, F954:F957),0)</f>
        <v>0</v>
      </c>
      <c r="G958" s="15"/>
      <c r="H958" s="16">
        <f>TRUNC(SUMIF(N954:N957, N953, H954:H957),0)</f>
        <v>0</v>
      </c>
      <c r="I958" s="15"/>
      <c r="J958" s="16">
        <f>TRUNC(SUMIF(N954:N957, N953, J954:J957),0)</f>
        <v>0</v>
      </c>
      <c r="K958" s="15"/>
      <c r="L958" s="16">
        <f>F958+H958+J958</f>
        <v>0</v>
      </c>
      <c r="M958" s="9" t="s">
        <v>52</v>
      </c>
      <c r="N958" s="2" t="s">
        <v>94</v>
      </c>
      <c r="O958" s="2" t="s">
        <v>94</v>
      </c>
      <c r="P958" s="2" t="s">
        <v>52</v>
      </c>
      <c r="Q958" s="2" t="s">
        <v>52</v>
      </c>
      <c r="R958" s="2" t="s">
        <v>52</v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2" t="s">
        <v>52</v>
      </c>
      <c r="AW958" s="2" t="s">
        <v>52</v>
      </c>
      <c r="AX958" s="2" t="s">
        <v>52</v>
      </c>
      <c r="AY958" s="2" t="s">
        <v>52</v>
      </c>
    </row>
    <row r="959" spans="1:51" ht="30" customHeight="1" x14ac:dyDescent="0.3">
      <c r="A959" s="10"/>
      <c r="B959" s="10"/>
      <c r="C959" s="10"/>
      <c r="D959" s="10"/>
      <c r="E959" s="15"/>
      <c r="F959" s="16"/>
      <c r="G959" s="15"/>
      <c r="H959" s="16"/>
      <c r="I959" s="15"/>
      <c r="J959" s="16"/>
      <c r="K959" s="15"/>
      <c r="L959" s="16"/>
      <c r="M959" s="10"/>
    </row>
    <row r="960" spans="1:51" ht="30" customHeight="1" x14ac:dyDescent="0.3">
      <c r="A960" s="44" t="s">
        <v>2120</v>
      </c>
      <c r="B960" s="44"/>
      <c r="C960" s="44"/>
      <c r="D960" s="44"/>
      <c r="E960" s="45"/>
      <c r="F960" s="46"/>
      <c r="G960" s="45"/>
      <c r="H960" s="46"/>
      <c r="I960" s="45"/>
      <c r="J960" s="46"/>
      <c r="K960" s="45"/>
      <c r="L960" s="46"/>
      <c r="M960" s="44"/>
      <c r="N960" s="1" t="s">
        <v>2114</v>
      </c>
    </row>
    <row r="961" spans="1:51" ht="30" customHeight="1" x14ac:dyDescent="0.3">
      <c r="A961" s="9" t="s">
        <v>1987</v>
      </c>
      <c r="B961" s="9" t="s">
        <v>822</v>
      </c>
      <c r="C961" s="9" t="s">
        <v>823</v>
      </c>
      <c r="D961" s="10">
        <v>0.122</v>
      </c>
      <c r="E961" s="15">
        <f>'단가대비표(총체)'!O193</f>
        <v>0</v>
      </c>
      <c r="F961" s="16">
        <f>TRUNC(E961*D961,1)</f>
        <v>0</v>
      </c>
      <c r="G961" s="15">
        <f>'단가대비표(총체)'!P193</f>
        <v>0</v>
      </c>
      <c r="H961" s="16">
        <f>TRUNC(G961*D961,1)</f>
        <v>0</v>
      </c>
      <c r="I961" s="15">
        <f>'단가대비표(총체)'!V193</f>
        <v>0</v>
      </c>
      <c r="J961" s="16">
        <f>TRUNC(I961*D961,1)</f>
        <v>0</v>
      </c>
      <c r="K961" s="15">
        <f t="shared" ref="K961:L963" si="184">TRUNC(E961+G961+I961,1)</f>
        <v>0</v>
      </c>
      <c r="L961" s="16">
        <f t="shared" si="184"/>
        <v>0</v>
      </c>
      <c r="M961" s="9" t="s">
        <v>52</v>
      </c>
      <c r="N961" s="2" t="s">
        <v>2114</v>
      </c>
      <c r="O961" s="2" t="s">
        <v>1988</v>
      </c>
      <c r="P961" s="2" t="s">
        <v>61</v>
      </c>
      <c r="Q961" s="2" t="s">
        <v>61</v>
      </c>
      <c r="R961" s="2" t="s">
        <v>60</v>
      </c>
      <c r="S961" s="3"/>
      <c r="T961" s="3"/>
      <c r="U961" s="3"/>
      <c r="V961" s="3">
        <v>1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2" t="s">
        <v>52</v>
      </c>
      <c r="AW961" s="2" t="s">
        <v>2122</v>
      </c>
      <c r="AX961" s="2" t="s">
        <v>52</v>
      </c>
      <c r="AY961" s="2" t="s">
        <v>52</v>
      </c>
    </row>
    <row r="962" spans="1:51" ht="30" customHeight="1" x14ac:dyDescent="0.3">
      <c r="A962" s="9" t="s">
        <v>821</v>
      </c>
      <c r="B962" s="9" t="s">
        <v>822</v>
      </c>
      <c r="C962" s="9" t="s">
        <v>823</v>
      </c>
      <c r="D962" s="10">
        <v>3.2000000000000001E-2</v>
      </c>
      <c r="E962" s="15">
        <f>'단가대비표(총체)'!O180</f>
        <v>0</v>
      </c>
      <c r="F962" s="16">
        <f>TRUNC(E962*D962,1)</f>
        <v>0</v>
      </c>
      <c r="G962" s="15">
        <f>'단가대비표(총체)'!P180</f>
        <v>0</v>
      </c>
      <c r="H962" s="16">
        <f>TRUNC(G962*D962,1)</f>
        <v>0</v>
      </c>
      <c r="I962" s="15">
        <f>'단가대비표(총체)'!V180</f>
        <v>0</v>
      </c>
      <c r="J962" s="16">
        <f>TRUNC(I962*D962,1)</f>
        <v>0</v>
      </c>
      <c r="K962" s="15">
        <f t="shared" si="184"/>
        <v>0</v>
      </c>
      <c r="L962" s="16">
        <f t="shared" si="184"/>
        <v>0</v>
      </c>
      <c r="M962" s="9" t="s">
        <v>52</v>
      </c>
      <c r="N962" s="2" t="s">
        <v>2114</v>
      </c>
      <c r="O962" s="2" t="s">
        <v>824</v>
      </c>
      <c r="P962" s="2" t="s">
        <v>61</v>
      </c>
      <c r="Q962" s="2" t="s">
        <v>61</v>
      </c>
      <c r="R962" s="2" t="s">
        <v>60</v>
      </c>
      <c r="S962" s="3"/>
      <c r="T962" s="3"/>
      <c r="U962" s="3"/>
      <c r="V962" s="3">
        <v>1</v>
      </c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2" t="s">
        <v>52</v>
      </c>
      <c r="AW962" s="2" t="s">
        <v>2123</v>
      </c>
      <c r="AX962" s="2" t="s">
        <v>52</v>
      </c>
      <c r="AY962" s="2" t="s">
        <v>52</v>
      </c>
    </row>
    <row r="963" spans="1:51" ht="30" customHeight="1" x14ac:dyDescent="0.3">
      <c r="A963" s="9" t="s">
        <v>874</v>
      </c>
      <c r="B963" s="9" t="s">
        <v>875</v>
      </c>
      <c r="C963" s="9" t="s">
        <v>307</v>
      </c>
      <c r="D963" s="10">
        <v>1</v>
      </c>
      <c r="E963" s="15">
        <v>0</v>
      </c>
      <c r="F963" s="16">
        <f>TRUNC(E963*D963,1)</f>
        <v>0</v>
      </c>
      <c r="G963" s="15">
        <v>0</v>
      </c>
      <c r="H963" s="16">
        <f>TRUNC(G963*D963,1)</f>
        <v>0</v>
      </c>
      <c r="I963" s="15">
        <f>TRUNC(SUMIF(V961:V963, RIGHTB(O963, 1), H961:H963)*U963, 2)</f>
        <v>0</v>
      </c>
      <c r="J963" s="16">
        <f>TRUNC(I963*D963,1)</f>
        <v>0</v>
      </c>
      <c r="K963" s="15">
        <f t="shared" si="184"/>
        <v>0</v>
      </c>
      <c r="L963" s="16">
        <f t="shared" si="184"/>
        <v>0</v>
      </c>
      <c r="M963" s="9" t="s">
        <v>52</v>
      </c>
      <c r="N963" s="2" t="s">
        <v>2114</v>
      </c>
      <c r="O963" s="2" t="s">
        <v>809</v>
      </c>
      <c r="P963" s="2" t="s">
        <v>61</v>
      </c>
      <c r="Q963" s="2" t="s">
        <v>61</v>
      </c>
      <c r="R963" s="2" t="s">
        <v>61</v>
      </c>
      <c r="S963" s="3">
        <v>1</v>
      </c>
      <c r="T963" s="3">
        <v>2</v>
      </c>
      <c r="U963" s="3">
        <v>0.03</v>
      </c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2" t="s">
        <v>52</v>
      </c>
      <c r="AW963" s="2" t="s">
        <v>2124</v>
      </c>
      <c r="AX963" s="2" t="s">
        <v>52</v>
      </c>
      <c r="AY963" s="2" t="s">
        <v>52</v>
      </c>
    </row>
    <row r="964" spans="1:51" ht="30" customHeight="1" x14ac:dyDescent="0.3">
      <c r="A964" s="9" t="s">
        <v>811</v>
      </c>
      <c r="B964" s="9" t="s">
        <v>52</v>
      </c>
      <c r="C964" s="9" t="s">
        <v>52</v>
      </c>
      <c r="D964" s="10"/>
      <c r="E964" s="15"/>
      <c r="F964" s="16">
        <f>TRUNC(SUMIF(N961:N963, N960, F961:F963),0)</f>
        <v>0</v>
      </c>
      <c r="G964" s="15"/>
      <c r="H964" s="16">
        <f>TRUNC(SUMIF(N961:N963, N960, H961:H963),0)</f>
        <v>0</v>
      </c>
      <c r="I964" s="15"/>
      <c r="J964" s="16">
        <f>TRUNC(SUMIF(N961:N963, N960, J961:J963),0)</f>
        <v>0</v>
      </c>
      <c r="K964" s="15"/>
      <c r="L964" s="16">
        <f>F964+H964+J964</f>
        <v>0</v>
      </c>
      <c r="M964" s="9" t="s">
        <v>52</v>
      </c>
      <c r="N964" s="2" t="s">
        <v>94</v>
      </c>
      <c r="O964" s="2" t="s">
        <v>94</v>
      </c>
      <c r="P964" s="2" t="s">
        <v>52</v>
      </c>
      <c r="Q964" s="2" t="s">
        <v>52</v>
      </c>
      <c r="R964" s="2" t="s">
        <v>52</v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2" t="s">
        <v>52</v>
      </c>
      <c r="AW964" s="2" t="s">
        <v>52</v>
      </c>
      <c r="AX964" s="2" t="s">
        <v>52</v>
      </c>
      <c r="AY964" s="2" t="s">
        <v>52</v>
      </c>
    </row>
    <row r="965" spans="1:51" ht="30" customHeight="1" x14ac:dyDescent="0.3">
      <c r="A965" s="10"/>
      <c r="B965" s="10"/>
      <c r="C965" s="10"/>
      <c r="D965" s="10"/>
      <c r="E965" s="15"/>
      <c r="F965" s="16"/>
      <c r="G965" s="15"/>
      <c r="H965" s="16"/>
      <c r="I965" s="15"/>
      <c r="J965" s="16"/>
      <c r="K965" s="15"/>
      <c r="L965" s="16"/>
      <c r="M965" s="10"/>
    </row>
    <row r="966" spans="1:51" ht="30" customHeight="1" x14ac:dyDescent="0.3">
      <c r="A966" s="44" t="s">
        <v>2125</v>
      </c>
      <c r="B966" s="44"/>
      <c r="C966" s="44"/>
      <c r="D966" s="44"/>
      <c r="E966" s="45"/>
      <c r="F966" s="46"/>
      <c r="G966" s="45"/>
      <c r="H966" s="46"/>
      <c r="I966" s="45"/>
      <c r="J966" s="46"/>
      <c r="K966" s="45"/>
      <c r="L966" s="46"/>
      <c r="M966" s="44"/>
      <c r="N966" s="1" t="s">
        <v>2118</v>
      </c>
    </row>
    <row r="967" spans="1:51" ht="30" customHeight="1" x14ac:dyDescent="0.3">
      <c r="A967" s="9" t="s">
        <v>2100</v>
      </c>
      <c r="B967" s="9" t="s">
        <v>822</v>
      </c>
      <c r="C967" s="9" t="s">
        <v>823</v>
      </c>
      <c r="D967" s="10">
        <v>1.6E-2</v>
      </c>
      <c r="E967" s="15">
        <f>'단가대비표(총체)'!O202</f>
        <v>0</v>
      </c>
      <c r="F967" s="16">
        <f>TRUNC(E967*D967,1)</f>
        <v>0</v>
      </c>
      <c r="G967" s="15">
        <f>'단가대비표(총체)'!P202</f>
        <v>0</v>
      </c>
      <c r="H967" s="16">
        <f>TRUNC(G967*D967,1)</f>
        <v>0</v>
      </c>
      <c r="I967" s="15">
        <f>'단가대비표(총체)'!V202</f>
        <v>0</v>
      </c>
      <c r="J967" s="16">
        <f>TRUNC(I967*D967,1)</f>
        <v>0</v>
      </c>
      <c r="K967" s="15">
        <f>TRUNC(E967+G967+I967,1)</f>
        <v>0</v>
      </c>
      <c r="L967" s="16">
        <f>TRUNC(F967+H967+J967,1)</f>
        <v>0</v>
      </c>
      <c r="M967" s="9" t="s">
        <v>52</v>
      </c>
      <c r="N967" s="2" t="s">
        <v>2118</v>
      </c>
      <c r="O967" s="2" t="s">
        <v>2101</v>
      </c>
      <c r="P967" s="2" t="s">
        <v>61</v>
      </c>
      <c r="Q967" s="2" t="s">
        <v>61</v>
      </c>
      <c r="R967" s="2" t="s">
        <v>60</v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2" t="s">
        <v>52</v>
      </c>
      <c r="AW967" s="2" t="s">
        <v>2127</v>
      </c>
      <c r="AX967" s="2" t="s">
        <v>52</v>
      </c>
      <c r="AY967" s="2" t="s">
        <v>52</v>
      </c>
    </row>
    <row r="968" spans="1:51" ht="30" customHeight="1" x14ac:dyDescent="0.3">
      <c r="A968" s="9" t="s">
        <v>811</v>
      </c>
      <c r="B968" s="9" t="s">
        <v>52</v>
      </c>
      <c r="C968" s="9" t="s">
        <v>52</v>
      </c>
      <c r="D968" s="10"/>
      <c r="E968" s="15"/>
      <c r="F968" s="16">
        <f>TRUNC(SUMIF(N967:N967, N966, F967:F967),0)</f>
        <v>0</v>
      </c>
      <c r="G968" s="15"/>
      <c r="H968" s="16">
        <f>TRUNC(SUMIF(N967:N967, N966, H967:H967),0)</f>
        <v>0</v>
      </c>
      <c r="I968" s="15"/>
      <c r="J968" s="16">
        <f>TRUNC(SUMIF(N967:N967, N966, J967:J967),0)</f>
        <v>0</v>
      </c>
      <c r="K968" s="15"/>
      <c r="L968" s="16">
        <f>F968+H968+J968</f>
        <v>0</v>
      </c>
      <c r="M968" s="9" t="s">
        <v>52</v>
      </c>
      <c r="N968" s="2" t="s">
        <v>94</v>
      </c>
      <c r="O968" s="2" t="s">
        <v>94</v>
      </c>
      <c r="P968" s="2" t="s">
        <v>52</v>
      </c>
      <c r="Q968" s="2" t="s">
        <v>52</v>
      </c>
      <c r="R968" s="2" t="s">
        <v>52</v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2" t="s">
        <v>52</v>
      </c>
      <c r="AW968" s="2" t="s">
        <v>52</v>
      </c>
      <c r="AX968" s="2" t="s">
        <v>52</v>
      </c>
      <c r="AY968" s="2" t="s">
        <v>52</v>
      </c>
    </row>
    <row r="969" spans="1:51" ht="30" customHeight="1" x14ac:dyDescent="0.3">
      <c r="A969" s="10"/>
      <c r="B969" s="10"/>
      <c r="C969" s="10"/>
      <c r="D969" s="10"/>
      <c r="E969" s="15"/>
      <c r="F969" s="16"/>
      <c r="G969" s="15"/>
      <c r="H969" s="16"/>
      <c r="I969" s="15"/>
      <c r="J969" s="16"/>
      <c r="K969" s="15"/>
      <c r="L969" s="16"/>
      <c r="M969" s="10"/>
    </row>
    <row r="970" spans="1:51" ht="30" customHeight="1" x14ac:dyDescent="0.3">
      <c r="A970" s="44" t="s">
        <v>2128</v>
      </c>
      <c r="B970" s="44"/>
      <c r="C970" s="44"/>
      <c r="D970" s="44"/>
      <c r="E970" s="45"/>
      <c r="F970" s="46"/>
      <c r="G970" s="45"/>
      <c r="H970" s="46"/>
      <c r="I970" s="45"/>
      <c r="J970" s="46"/>
      <c r="K970" s="45"/>
      <c r="L970" s="46"/>
      <c r="M970" s="44"/>
      <c r="N970" s="1" t="s">
        <v>964</v>
      </c>
    </row>
    <row r="971" spans="1:51" ht="30" customHeight="1" x14ac:dyDescent="0.3">
      <c r="A971" s="9" t="s">
        <v>1019</v>
      </c>
      <c r="B971" s="9" t="s">
        <v>1020</v>
      </c>
      <c r="C971" s="9" t="s">
        <v>1021</v>
      </c>
      <c r="D971" s="10">
        <v>510</v>
      </c>
      <c r="E971" s="15">
        <f>'단가대비표(총체)'!O31</f>
        <v>0</v>
      </c>
      <c r="F971" s="16">
        <f>TRUNC(E971*D971,1)</f>
        <v>0</v>
      </c>
      <c r="G971" s="15">
        <f>'단가대비표(총체)'!P31</f>
        <v>0</v>
      </c>
      <c r="H971" s="16">
        <f>TRUNC(G971*D971,1)</f>
        <v>0</v>
      </c>
      <c r="I971" s="15">
        <f>'단가대비표(총체)'!V31</f>
        <v>0</v>
      </c>
      <c r="J971" s="16">
        <f>TRUNC(I971*D971,1)</f>
        <v>0</v>
      </c>
      <c r="K971" s="15">
        <f t="shared" ref="K971:L973" si="185">TRUNC(E971+G971+I971,1)</f>
        <v>0</v>
      </c>
      <c r="L971" s="16">
        <f t="shared" si="185"/>
        <v>0</v>
      </c>
      <c r="M971" s="9" t="s">
        <v>52</v>
      </c>
      <c r="N971" s="2" t="s">
        <v>964</v>
      </c>
      <c r="O971" s="2" t="s">
        <v>1022</v>
      </c>
      <c r="P971" s="2" t="s">
        <v>61</v>
      </c>
      <c r="Q971" s="2" t="s">
        <v>61</v>
      </c>
      <c r="R971" s="2" t="s">
        <v>60</v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2" t="s">
        <v>52</v>
      </c>
      <c r="AW971" s="2" t="s">
        <v>2130</v>
      </c>
      <c r="AX971" s="2" t="s">
        <v>52</v>
      </c>
      <c r="AY971" s="2" t="s">
        <v>52</v>
      </c>
    </row>
    <row r="972" spans="1:51" ht="30" customHeight="1" x14ac:dyDescent="0.3">
      <c r="A972" s="9" t="s">
        <v>1024</v>
      </c>
      <c r="B972" s="9" t="s">
        <v>1025</v>
      </c>
      <c r="C972" s="9" t="s">
        <v>637</v>
      </c>
      <c r="D972" s="10">
        <v>1.1000000000000001</v>
      </c>
      <c r="E972" s="15">
        <f>'단가대비표(총체)'!O7</f>
        <v>0</v>
      </c>
      <c r="F972" s="16">
        <f>TRUNC(E972*D972,1)</f>
        <v>0</v>
      </c>
      <c r="G972" s="15">
        <f>'단가대비표(총체)'!P7</f>
        <v>0</v>
      </c>
      <c r="H972" s="16">
        <f>TRUNC(G972*D972,1)</f>
        <v>0</v>
      </c>
      <c r="I972" s="15">
        <f>'단가대비표(총체)'!V7</f>
        <v>0</v>
      </c>
      <c r="J972" s="16">
        <f>TRUNC(I972*D972,1)</f>
        <v>0</v>
      </c>
      <c r="K972" s="15">
        <f t="shared" si="185"/>
        <v>0</v>
      </c>
      <c r="L972" s="16">
        <f t="shared" si="185"/>
        <v>0</v>
      </c>
      <c r="M972" s="9" t="s">
        <v>52</v>
      </c>
      <c r="N972" s="2" t="s">
        <v>964</v>
      </c>
      <c r="O972" s="2" t="s">
        <v>1026</v>
      </c>
      <c r="P972" s="2" t="s">
        <v>61</v>
      </c>
      <c r="Q972" s="2" t="s">
        <v>61</v>
      </c>
      <c r="R972" s="2" t="s">
        <v>60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2" t="s">
        <v>52</v>
      </c>
      <c r="AW972" s="2" t="s">
        <v>2131</v>
      </c>
      <c r="AX972" s="2" t="s">
        <v>52</v>
      </c>
      <c r="AY972" s="2" t="s">
        <v>52</v>
      </c>
    </row>
    <row r="973" spans="1:51" ht="30" customHeight="1" x14ac:dyDescent="0.3">
      <c r="A973" s="9" t="s">
        <v>2132</v>
      </c>
      <c r="B973" s="9" t="s">
        <v>2133</v>
      </c>
      <c r="C973" s="9" t="s">
        <v>637</v>
      </c>
      <c r="D973" s="10">
        <v>1</v>
      </c>
      <c r="E973" s="15">
        <f>'일위대가목록(총체)'!E149</f>
        <v>0</v>
      </c>
      <c r="F973" s="16">
        <f>TRUNC(E973*D973,1)</f>
        <v>0</v>
      </c>
      <c r="G973" s="15">
        <f>'일위대가목록(총체)'!F149</f>
        <v>0</v>
      </c>
      <c r="H973" s="16">
        <f>TRUNC(G973*D973,1)</f>
        <v>0</v>
      </c>
      <c r="I973" s="15">
        <f>'일위대가목록(총체)'!G149</f>
        <v>0</v>
      </c>
      <c r="J973" s="16">
        <f>TRUNC(I973*D973,1)</f>
        <v>0</v>
      </c>
      <c r="K973" s="15">
        <f t="shared" si="185"/>
        <v>0</v>
      </c>
      <c r="L973" s="16">
        <f t="shared" si="185"/>
        <v>0</v>
      </c>
      <c r="M973" s="9" t="s">
        <v>52</v>
      </c>
      <c r="N973" s="2" t="s">
        <v>964</v>
      </c>
      <c r="O973" s="2" t="s">
        <v>2134</v>
      </c>
      <c r="P973" s="2" t="s">
        <v>60</v>
      </c>
      <c r="Q973" s="2" t="s">
        <v>61</v>
      </c>
      <c r="R973" s="2" t="s">
        <v>61</v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2" t="s">
        <v>52</v>
      </c>
      <c r="AW973" s="2" t="s">
        <v>2135</v>
      </c>
      <c r="AX973" s="2" t="s">
        <v>52</v>
      </c>
      <c r="AY973" s="2" t="s">
        <v>52</v>
      </c>
    </row>
    <row r="974" spans="1:51" ht="30" customHeight="1" x14ac:dyDescent="0.3">
      <c r="A974" s="9" t="s">
        <v>811</v>
      </c>
      <c r="B974" s="9" t="s">
        <v>52</v>
      </c>
      <c r="C974" s="9" t="s">
        <v>52</v>
      </c>
      <c r="D974" s="10"/>
      <c r="E974" s="15"/>
      <c r="F974" s="16">
        <f>TRUNC(SUMIF(N971:N973, N970, F971:F973),0)</f>
        <v>0</v>
      </c>
      <c r="G974" s="15"/>
      <c r="H974" s="16">
        <f>TRUNC(SUMIF(N971:N973, N970, H971:H973),0)</f>
        <v>0</v>
      </c>
      <c r="I974" s="15"/>
      <c r="J974" s="16">
        <f>TRUNC(SUMIF(N971:N973, N970, J971:J973),0)</f>
        <v>0</v>
      </c>
      <c r="K974" s="15"/>
      <c r="L974" s="16">
        <f>F974+H974+J974</f>
        <v>0</v>
      </c>
      <c r="M974" s="9" t="s">
        <v>52</v>
      </c>
      <c r="N974" s="2" t="s">
        <v>94</v>
      </c>
      <c r="O974" s="2" t="s">
        <v>94</v>
      </c>
      <c r="P974" s="2" t="s">
        <v>52</v>
      </c>
      <c r="Q974" s="2" t="s">
        <v>52</v>
      </c>
      <c r="R974" s="2" t="s">
        <v>52</v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2" t="s">
        <v>52</v>
      </c>
      <c r="AW974" s="2" t="s">
        <v>52</v>
      </c>
      <c r="AX974" s="2" t="s">
        <v>52</v>
      </c>
      <c r="AY974" s="2" t="s">
        <v>52</v>
      </c>
    </row>
    <row r="975" spans="1:51" ht="30" customHeight="1" x14ac:dyDescent="0.3">
      <c r="A975" s="10"/>
      <c r="B975" s="10"/>
      <c r="C975" s="10"/>
      <c r="D975" s="10"/>
      <c r="E975" s="15"/>
      <c r="F975" s="16"/>
      <c r="G975" s="15"/>
      <c r="H975" s="16"/>
      <c r="I975" s="15"/>
      <c r="J975" s="16"/>
      <c r="K975" s="15"/>
      <c r="L975" s="16"/>
      <c r="M975" s="10"/>
    </row>
    <row r="976" spans="1:51" ht="30" customHeight="1" x14ac:dyDescent="0.3">
      <c r="A976" s="44" t="s">
        <v>2136</v>
      </c>
      <c r="B976" s="44"/>
      <c r="C976" s="44"/>
      <c r="D976" s="44"/>
      <c r="E976" s="45"/>
      <c r="F976" s="46"/>
      <c r="G976" s="45"/>
      <c r="H976" s="46"/>
      <c r="I976" s="45"/>
      <c r="J976" s="46"/>
      <c r="K976" s="45"/>
      <c r="L976" s="46"/>
      <c r="M976" s="44"/>
      <c r="N976" s="1" t="s">
        <v>968</v>
      </c>
    </row>
    <row r="977" spans="1:51" ht="30" customHeight="1" x14ac:dyDescent="0.3">
      <c r="A977" s="9" t="s">
        <v>2138</v>
      </c>
      <c r="B977" s="9" t="s">
        <v>822</v>
      </c>
      <c r="C977" s="9" t="s">
        <v>823</v>
      </c>
      <c r="D977" s="10">
        <v>0.31</v>
      </c>
      <c r="E977" s="15">
        <f>'단가대비표(총체)'!O201</f>
        <v>0</v>
      </c>
      <c r="F977" s="16">
        <f>TRUNC(E977*D977,1)</f>
        <v>0</v>
      </c>
      <c r="G977" s="15">
        <f>'단가대비표(총체)'!P201</f>
        <v>0</v>
      </c>
      <c r="H977" s="16">
        <f>TRUNC(G977*D977,1)</f>
        <v>0</v>
      </c>
      <c r="I977" s="15">
        <f>'단가대비표(총체)'!V201</f>
        <v>0</v>
      </c>
      <c r="J977" s="16">
        <f>TRUNC(I977*D977,1)</f>
        <v>0</v>
      </c>
      <c r="K977" s="15">
        <f t="shared" ref="K977:L979" si="186">TRUNC(E977+G977+I977,1)</f>
        <v>0</v>
      </c>
      <c r="L977" s="16">
        <f t="shared" si="186"/>
        <v>0</v>
      </c>
      <c r="M977" s="9" t="s">
        <v>52</v>
      </c>
      <c r="N977" s="2" t="s">
        <v>968</v>
      </c>
      <c r="O977" s="2" t="s">
        <v>2139</v>
      </c>
      <c r="P977" s="2" t="s">
        <v>61</v>
      </c>
      <c r="Q977" s="2" t="s">
        <v>61</v>
      </c>
      <c r="R977" s="2" t="s">
        <v>60</v>
      </c>
      <c r="S977" s="3"/>
      <c r="T977" s="3"/>
      <c r="U977" s="3"/>
      <c r="V977" s="3">
        <v>1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2" t="s">
        <v>52</v>
      </c>
      <c r="AW977" s="2" t="s">
        <v>2140</v>
      </c>
      <c r="AX977" s="2" t="s">
        <v>52</v>
      </c>
      <c r="AY977" s="2" t="s">
        <v>52</v>
      </c>
    </row>
    <row r="978" spans="1:51" ht="30" customHeight="1" x14ac:dyDescent="0.3">
      <c r="A978" s="9" t="s">
        <v>821</v>
      </c>
      <c r="B978" s="9" t="s">
        <v>822</v>
      </c>
      <c r="C978" s="9" t="s">
        <v>823</v>
      </c>
      <c r="D978" s="10">
        <v>0.14000000000000001</v>
      </c>
      <c r="E978" s="15">
        <f>'단가대비표(총체)'!O180</f>
        <v>0</v>
      </c>
      <c r="F978" s="16">
        <f>TRUNC(E978*D978,1)</f>
        <v>0</v>
      </c>
      <c r="G978" s="15">
        <f>'단가대비표(총체)'!P180</f>
        <v>0</v>
      </c>
      <c r="H978" s="16">
        <f>TRUNC(G978*D978,1)</f>
        <v>0</v>
      </c>
      <c r="I978" s="15">
        <f>'단가대비표(총체)'!V180</f>
        <v>0</v>
      </c>
      <c r="J978" s="16">
        <f>TRUNC(I978*D978,1)</f>
        <v>0</v>
      </c>
      <c r="K978" s="15">
        <f t="shared" si="186"/>
        <v>0</v>
      </c>
      <c r="L978" s="16">
        <f t="shared" si="186"/>
        <v>0</v>
      </c>
      <c r="M978" s="9" t="s">
        <v>52</v>
      </c>
      <c r="N978" s="2" t="s">
        <v>968</v>
      </c>
      <c r="O978" s="2" t="s">
        <v>824</v>
      </c>
      <c r="P978" s="2" t="s">
        <v>61</v>
      </c>
      <c r="Q978" s="2" t="s">
        <v>61</v>
      </c>
      <c r="R978" s="2" t="s">
        <v>60</v>
      </c>
      <c r="S978" s="3"/>
      <c r="T978" s="3"/>
      <c r="U978" s="3"/>
      <c r="V978" s="3">
        <v>1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2" t="s">
        <v>52</v>
      </c>
      <c r="AW978" s="2" t="s">
        <v>2141</v>
      </c>
      <c r="AX978" s="2" t="s">
        <v>52</v>
      </c>
      <c r="AY978" s="2" t="s">
        <v>52</v>
      </c>
    </row>
    <row r="979" spans="1:51" ht="30" customHeight="1" x14ac:dyDescent="0.3">
      <c r="A979" s="9" t="s">
        <v>874</v>
      </c>
      <c r="B979" s="9" t="s">
        <v>1124</v>
      </c>
      <c r="C979" s="9" t="s">
        <v>307</v>
      </c>
      <c r="D979" s="10">
        <v>1</v>
      </c>
      <c r="E979" s="15">
        <v>0</v>
      </c>
      <c r="F979" s="16">
        <f>TRUNC(E979*D979,1)</f>
        <v>0</v>
      </c>
      <c r="G979" s="15">
        <v>0</v>
      </c>
      <c r="H979" s="16">
        <f>TRUNC(G979*D979,1)</f>
        <v>0</v>
      </c>
      <c r="I979" s="15">
        <f>TRUNC(SUMIF(V977:V979, RIGHTB(O979, 1), H977:H979)*U979, 2)</f>
        <v>0</v>
      </c>
      <c r="J979" s="16">
        <f>TRUNC(I979*D979,1)</f>
        <v>0</v>
      </c>
      <c r="K979" s="15">
        <f t="shared" si="186"/>
        <v>0</v>
      </c>
      <c r="L979" s="16">
        <f t="shared" si="186"/>
        <v>0</v>
      </c>
      <c r="M979" s="9" t="s">
        <v>52</v>
      </c>
      <c r="N979" s="2" t="s">
        <v>968</v>
      </c>
      <c r="O979" s="2" t="s">
        <v>809</v>
      </c>
      <c r="P979" s="2" t="s">
        <v>61</v>
      </c>
      <c r="Q979" s="2" t="s">
        <v>61</v>
      </c>
      <c r="R979" s="2" t="s">
        <v>61</v>
      </c>
      <c r="S979" s="3">
        <v>1</v>
      </c>
      <c r="T979" s="3">
        <v>2</v>
      </c>
      <c r="U979" s="3">
        <v>0.01</v>
      </c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2" t="s">
        <v>52</v>
      </c>
      <c r="AW979" s="2" t="s">
        <v>2142</v>
      </c>
      <c r="AX979" s="2" t="s">
        <v>52</v>
      </c>
      <c r="AY979" s="2" t="s">
        <v>52</v>
      </c>
    </row>
    <row r="980" spans="1:51" ht="30" customHeight="1" x14ac:dyDescent="0.3">
      <c r="A980" s="9" t="s">
        <v>811</v>
      </c>
      <c r="B980" s="9" t="s">
        <v>52</v>
      </c>
      <c r="C980" s="9" t="s">
        <v>52</v>
      </c>
      <c r="D980" s="10"/>
      <c r="E980" s="15"/>
      <c r="F980" s="16">
        <f>TRUNC(SUMIF(N977:N979, N976, F977:F979),0)</f>
        <v>0</v>
      </c>
      <c r="G980" s="15"/>
      <c r="H980" s="16">
        <f>TRUNC(SUMIF(N977:N979, N976, H977:H979),0)</f>
        <v>0</v>
      </c>
      <c r="I980" s="15"/>
      <c r="J980" s="16">
        <f>TRUNC(SUMIF(N977:N979, N976, J977:J979),0)</f>
        <v>0</v>
      </c>
      <c r="K980" s="15"/>
      <c r="L980" s="16">
        <f>F980+H980+J980</f>
        <v>0</v>
      </c>
      <c r="M980" s="9" t="s">
        <v>52</v>
      </c>
      <c r="N980" s="2" t="s">
        <v>94</v>
      </c>
      <c r="O980" s="2" t="s">
        <v>94</v>
      </c>
      <c r="P980" s="2" t="s">
        <v>52</v>
      </c>
      <c r="Q980" s="2" t="s">
        <v>52</v>
      </c>
      <c r="R980" s="2" t="s">
        <v>52</v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2" t="s">
        <v>52</v>
      </c>
      <c r="AW980" s="2" t="s">
        <v>52</v>
      </c>
      <c r="AX980" s="2" t="s">
        <v>52</v>
      </c>
      <c r="AY980" s="2" t="s">
        <v>52</v>
      </c>
    </row>
    <row r="981" spans="1:51" ht="30" customHeight="1" x14ac:dyDescent="0.3">
      <c r="A981" s="10"/>
      <c r="B981" s="10"/>
      <c r="C981" s="10"/>
      <c r="D981" s="10"/>
      <c r="E981" s="15"/>
      <c r="F981" s="16"/>
      <c r="G981" s="15"/>
      <c r="H981" s="16"/>
      <c r="I981" s="15"/>
      <c r="J981" s="16"/>
      <c r="K981" s="15"/>
      <c r="L981" s="16"/>
      <c r="M981" s="10"/>
    </row>
    <row r="982" spans="1:51" ht="30" customHeight="1" x14ac:dyDescent="0.3">
      <c r="A982" s="44" t="s">
        <v>2143</v>
      </c>
      <c r="B982" s="44"/>
      <c r="C982" s="44"/>
      <c r="D982" s="44"/>
      <c r="E982" s="45"/>
      <c r="F982" s="46"/>
      <c r="G982" s="45"/>
      <c r="H982" s="46"/>
      <c r="I982" s="45"/>
      <c r="J982" s="46"/>
      <c r="K982" s="45"/>
      <c r="L982" s="46"/>
      <c r="M982" s="44"/>
      <c r="N982" s="1" t="s">
        <v>2134</v>
      </c>
    </row>
    <row r="983" spans="1:51" ht="30" customHeight="1" x14ac:dyDescent="0.3">
      <c r="A983" s="9" t="s">
        <v>821</v>
      </c>
      <c r="B983" s="9" t="s">
        <v>822</v>
      </c>
      <c r="C983" s="9" t="s">
        <v>823</v>
      </c>
      <c r="D983" s="10">
        <v>0.66</v>
      </c>
      <c r="E983" s="15">
        <f>'단가대비표(총체)'!O180</f>
        <v>0</v>
      </c>
      <c r="F983" s="16">
        <f>TRUNC(E983*D983,1)</f>
        <v>0</v>
      </c>
      <c r="G983" s="15">
        <f>'단가대비표(총체)'!P180</f>
        <v>0</v>
      </c>
      <c r="H983" s="16">
        <f>TRUNC(G983*D983,1)</f>
        <v>0</v>
      </c>
      <c r="I983" s="15">
        <f>'단가대비표(총체)'!V180</f>
        <v>0</v>
      </c>
      <c r="J983" s="16">
        <f>TRUNC(I983*D983,1)</f>
        <v>0</v>
      </c>
      <c r="K983" s="15">
        <f>TRUNC(E983+G983+I983,1)</f>
        <v>0</v>
      </c>
      <c r="L983" s="16">
        <f>TRUNC(F983+H983+J983,1)</f>
        <v>0</v>
      </c>
      <c r="M983" s="9" t="s">
        <v>52</v>
      </c>
      <c r="N983" s="2" t="s">
        <v>2134</v>
      </c>
      <c r="O983" s="2" t="s">
        <v>824</v>
      </c>
      <c r="P983" s="2" t="s">
        <v>61</v>
      </c>
      <c r="Q983" s="2" t="s">
        <v>61</v>
      </c>
      <c r="R983" s="2" t="s">
        <v>60</v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2" t="s">
        <v>52</v>
      </c>
      <c r="AW983" s="2" t="s">
        <v>2145</v>
      </c>
      <c r="AX983" s="2" t="s">
        <v>52</v>
      </c>
      <c r="AY983" s="2" t="s">
        <v>52</v>
      </c>
    </row>
    <row r="984" spans="1:51" ht="30" customHeight="1" x14ac:dyDescent="0.3">
      <c r="A984" s="9" t="s">
        <v>811</v>
      </c>
      <c r="B984" s="9" t="s">
        <v>52</v>
      </c>
      <c r="C984" s="9" t="s">
        <v>52</v>
      </c>
      <c r="D984" s="10"/>
      <c r="E984" s="15"/>
      <c r="F984" s="16">
        <f>TRUNC(SUMIF(N983:N983, N982, F983:F983),0)</f>
        <v>0</v>
      </c>
      <c r="G984" s="15"/>
      <c r="H984" s="16">
        <f>TRUNC(SUMIF(N983:N983, N982, H983:H983),0)</f>
        <v>0</v>
      </c>
      <c r="I984" s="15"/>
      <c r="J984" s="16">
        <f>TRUNC(SUMIF(N983:N983, N982, J983:J983),0)</f>
        <v>0</v>
      </c>
      <c r="K984" s="15"/>
      <c r="L984" s="16">
        <f>F984+H984+J984</f>
        <v>0</v>
      </c>
      <c r="M984" s="9" t="s">
        <v>52</v>
      </c>
      <c r="N984" s="2" t="s">
        <v>94</v>
      </c>
      <c r="O984" s="2" t="s">
        <v>94</v>
      </c>
      <c r="P984" s="2" t="s">
        <v>52</v>
      </c>
      <c r="Q984" s="2" t="s">
        <v>52</v>
      </c>
      <c r="R984" s="2" t="s">
        <v>52</v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2" t="s">
        <v>52</v>
      </c>
      <c r="AW984" s="2" t="s">
        <v>52</v>
      </c>
      <c r="AX984" s="2" t="s">
        <v>52</v>
      </c>
      <c r="AY984" s="2" t="s">
        <v>52</v>
      </c>
    </row>
    <row r="985" spans="1:51" ht="30" customHeight="1" x14ac:dyDescent="0.3">
      <c r="A985" s="10"/>
      <c r="B985" s="10"/>
      <c r="C985" s="10"/>
      <c r="D985" s="10"/>
      <c r="E985" s="15"/>
      <c r="F985" s="16"/>
      <c r="G985" s="15"/>
      <c r="H985" s="16"/>
      <c r="I985" s="15"/>
      <c r="J985" s="16"/>
      <c r="K985" s="15"/>
      <c r="L985" s="16"/>
      <c r="M985" s="10"/>
    </row>
    <row r="986" spans="1:51" ht="30" customHeight="1" x14ac:dyDescent="0.3">
      <c r="A986" s="44" t="s">
        <v>2146</v>
      </c>
      <c r="B986" s="44"/>
      <c r="C986" s="44"/>
      <c r="D986" s="44"/>
      <c r="E986" s="45"/>
      <c r="F986" s="46"/>
      <c r="G986" s="45"/>
      <c r="H986" s="46"/>
      <c r="I986" s="45"/>
      <c r="J986" s="46"/>
      <c r="K986" s="45"/>
      <c r="L986" s="46"/>
      <c r="M986" s="44"/>
      <c r="N986" s="1" t="s">
        <v>987</v>
      </c>
    </row>
    <row r="987" spans="1:51" ht="30" customHeight="1" x14ac:dyDescent="0.3">
      <c r="A987" s="9" t="s">
        <v>1033</v>
      </c>
      <c r="B987" s="9" t="s">
        <v>822</v>
      </c>
      <c r="C987" s="9" t="s">
        <v>823</v>
      </c>
      <c r="D987" s="10">
        <v>3.5999999999999997E-2</v>
      </c>
      <c r="E987" s="15">
        <f>'단가대비표(총체)'!O191</f>
        <v>0</v>
      </c>
      <c r="F987" s="16">
        <f>TRUNC(E987*D987,1)</f>
        <v>0</v>
      </c>
      <c r="G987" s="15">
        <f>'단가대비표(총체)'!P191</f>
        <v>0</v>
      </c>
      <c r="H987" s="16">
        <f>TRUNC(G987*D987,1)</f>
        <v>0</v>
      </c>
      <c r="I987" s="15">
        <f>'단가대비표(총체)'!V191</f>
        <v>0</v>
      </c>
      <c r="J987" s="16">
        <f>TRUNC(I987*D987,1)</f>
        <v>0</v>
      </c>
      <c r="K987" s="15">
        <f t="shared" ref="K987:L989" si="187">TRUNC(E987+G987+I987,1)</f>
        <v>0</v>
      </c>
      <c r="L987" s="16">
        <f t="shared" si="187"/>
        <v>0</v>
      </c>
      <c r="M987" s="9" t="s">
        <v>52</v>
      </c>
      <c r="N987" s="2" t="s">
        <v>987</v>
      </c>
      <c r="O987" s="2" t="s">
        <v>1034</v>
      </c>
      <c r="P987" s="2" t="s">
        <v>61</v>
      </c>
      <c r="Q987" s="2" t="s">
        <v>61</v>
      </c>
      <c r="R987" s="2" t="s">
        <v>60</v>
      </c>
      <c r="S987" s="3"/>
      <c r="T987" s="3"/>
      <c r="U987" s="3"/>
      <c r="V987" s="3">
        <v>1</v>
      </c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2" t="s">
        <v>52</v>
      </c>
      <c r="AW987" s="2" t="s">
        <v>2148</v>
      </c>
      <c r="AX987" s="2" t="s">
        <v>52</v>
      </c>
      <c r="AY987" s="2" t="s">
        <v>52</v>
      </c>
    </row>
    <row r="988" spans="1:51" ht="30" customHeight="1" x14ac:dyDescent="0.3">
      <c r="A988" s="9" t="s">
        <v>821</v>
      </c>
      <c r="B988" s="9" t="s">
        <v>822</v>
      </c>
      <c r="C988" s="9" t="s">
        <v>823</v>
      </c>
      <c r="D988" s="10">
        <v>1.4999999999999999E-2</v>
      </c>
      <c r="E988" s="15">
        <f>'단가대비표(총체)'!O180</f>
        <v>0</v>
      </c>
      <c r="F988" s="16">
        <f>TRUNC(E988*D988,1)</f>
        <v>0</v>
      </c>
      <c r="G988" s="15">
        <f>'단가대비표(총체)'!P180</f>
        <v>0</v>
      </c>
      <c r="H988" s="16">
        <f>TRUNC(G988*D988,1)</f>
        <v>0</v>
      </c>
      <c r="I988" s="15">
        <f>'단가대비표(총체)'!V180</f>
        <v>0</v>
      </c>
      <c r="J988" s="16">
        <f>TRUNC(I988*D988,1)</f>
        <v>0</v>
      </c>
      <c r="K988" s="15">
        <f t="shared" si="187"/>
        <v>0</v>
      </c>
      <c r="L988" s="16">
        <f t="shared" si="187"/>
        <v>0</v>
      </c>
      <c r="M988" s="9" t="s">
        <v>52</v>
      </c>
      <c r="N988" s="2" t="s">
        <v>987</v>
      </c>
      <c r="O988" s="2" t="s">
        <v>824</v>
      </c>
      <c r="P988" s="2" t="s">
        <v>61</v>
      </c>
      <c r="Q988" s="2" t="s">
        <v>61</v>
      </c>
      <c r="R988" s="2" t="s">
        <v>60</v>
      </c>
      <c r="S988" s="3"/>
      <c r="T988" s="3"/>
      <c r="U988" s="3"/>
      <c r="V988" s="3">
        <v>1</v>
      </c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2" t="s">
        <v>52</v>
      </c>
      <c r="AW988" s="2" t="s">
        <v>2149</v>
      </c>
      <c r="AX988" s="2" t="s">
        <v>52</v>
      </c>
      <c r="AY988" s="2" t="s">
        <v>52</v>
      </c>
    </row>
    <row r="989" spans="1:51" ht="30" customHeight="1" x14ac:dyDescent="0.3">
      <c r="A989" s="9" t="s">
        <v>874</v>
      </c>
      <c r="B989" s="9" t="s">
        <v>1991</v>
      </c>
      <c r="C989" s="9" t="s">
        <v>307</v>
      </c>
      <c r="D989" s="10">
        <v>1</v>
      </c>
      <c r="E989" s="15">
        <v>0</v>
      </c>
      <c r="F989" s="16">
        <f>TRUNC(E989*D989,1)</f>
        <v>0</v>
      </c>
      <c r="G989" s="15">
        <v>0</v>
      </c>
      <c r="H989" s="16">
        <f>TRUNC(G989*D989,1)</f>
        <v>0</v>
      </c>
      <c r="I989" s="15">
        <f>TRUNC(SUMIF(V987:V989, RIGHTB(O989, 1), H987:H989)*U989, 2)</f>
        <v>0</v>
      </c>
      <c r="J989" s="16">
        <f>TRUNC(I989*D989,1)</f>
        <v>0</v>
      </c>
      <c r="K989" s="15">
        <f t="shared" si="187"/>
        <v>0</v>
      </c>
      <c r="L989" s="16">
        <f t="shared" si="187"/>
        <v>0</v>
      </c>
      <c r="M989" s="9" t="s">
        <v>52</v>
      </c>
      <c r="N989" s="2" t="s">
        <v>987</v>
      </c>
      <c r="O989" s="2" t="s">
        <v>809</v>
      </c>
      <c r="P989" s="2" t="s">
        <v>61</v>
      </c>
      <c r="Q989" s="2" t="s">
        <v>61</v>
      </c>
      <c r="R989" s="2" t="s">
        <v>61</v>
      </c>
      <c r="S989" s="3">
        <v>1</v>
      </c>
      <c r="T989" s="3">
        <v>2</v>
      </c>
      <c r="U989" s="3">
        <v>0.06</v>
      </c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2" t="s">
        <v>52</v>
      </c>
      <c r="AW989" s="2" t="s">
        <v>2150</v>
      </c>
      <c r="AX989" s="2" t="s">
        <v>52</v>
      </c>
      <c r="AY989" s="2" t="s">
        <v>52</v>
      </c>
    </row>
    <row r="990" spans="1:51" ht="30" customHeight="1" x14ac:dyDescent="0.3">
      <c r="A990" s="9" t="s">
        <v>811</v>
      </c>
      <c r="B990" s="9" t="s">
        <v>52</v>
      </c>
      <c r="C990" s="9" t="s">
        <v>52</v>
      </c>
      <c r="D990" s="10"/>
      <c r="E990" s="15"/>
      <c r="F990" s="16">
        <f>TRUNC(SUMIF(N987:N989, N986, F987:F989),0)</f>
        <v>0</v>
      </c>
      <c r="G990" s="15"/>
      <c r="H990" s="16">
        <f>TRUNC(SUMIF(N987:N989, N986, H987:H989),0)</f>
        <v>0</v>
      </c>
      <c r="I990" s="15"/>
      <c r="J990" s="16">
        <f>TRUNC(SUMIF(N987:N989, N986, J987:J989),0)</f>
        <v>0</v>
      </c>
      <c r="K990" s="15"/>
      <c r="L990" s="16">
        <f>F990+H990+J990</f>
        <v>0</v>
      </c>
      <c r="M990" s="9" t="s">
        <v>52</v>
      </c>
      <c r="N990" s="2" t="s">
        <v>94</v>
      </c>
      <c r="O990" s="2" t="s">
        <v>94</v>
      </c>
      <c r="P990" s="2" t="s">
        <v>52</v>
      </c>
      <c r="Q990" s="2" t="s">
        <v>52</v>
      </c>
      <c r="R990" s="2" t="s">
        <v>52</v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2" t="s">
        <v>52</v>
      </c>
      <c r="AW990" s="2" t="s">
        <v>52</v>
      </c>
      <c r="AX990" s="2" t="s">
        <v>52</v>
      </c>
      <c r="AY990" s="2" t="s">
        <v>52</v>
      </c>
    </row>
    <row r="991" spans="1:51" ht="30" customHeight="1" x14ac:dyDescent="0.3">
      <c r="A991" s="10"/>
      <c r="B991" s="10"/>
      <c r="C991" s="10"/>
      <c r="D991" s="10"/>
      <c r="E991" s="15"/>
      <c r="F991" s="16"/>
      <c r="G991" s="15"/>
      <c r="H991" s="16"/>
      <c r="I991" s="15"/>
      <c r="J991" s="16"/>
      <c r="K991" s="15"/>
      <c r="L991" s="16"/>
      <c r="M991" s="10"/>
    </row>
    <row r="992" spans="1:51" ht="30" customHeight="1" x14ac:dyDescent="0.3">
      <c r="A992" s="44" t="s">
        <v>2151</v>
      </c>
      <c r="B992" s="44"/>
      <c r="C992" s="44"/>
      <c r="D992" s="44"/>
      <c r="E992" s="45"/>
      <c r="F992" s="46"/>
      <c r="G992" s="45"/>
      <c r="H992" s="46"/>
      <c r="I992" s="45"/>
      <c r="J992" s="46"/>
      <c r="K992" s="45"/>
      <c r="L992" s="46"/>
      <c r="M992" s="44"/>
      <c r="N992" s="1" t="s">
        <v>991</v>
      </c>
    </row>
    <row r="993" spans="1:51" ht="30" customHeight="1" x14ac:dyDescent="0.3">
      <c r="A993" s="9" t="s">
        <v>1033</v>
      </c>
      <c r="B993" s="9" t="s">
        <v>822</v>
      </c>
      <c r="C993" s="9" t="s">
        <v>823</v>
      </c>
      <c r="D993" s="10">
        <v>1.0999999999999999E-2</v>
      </c>
      <c r="E993" s="15">
        <f>'단가대비표(총체)'!O191</f>
        <v>0</v>
      </c>
      <c r="F993" s="16">
        <f>TRUNC(E993*D993,1)</f>
        <v>0</v>
      </c>
      <c r="G993" s="15">
        <f>'단가대비표(총체)'!P191</f>
        <v>0</v>
      </c>
      <c r="H993" s="16">
        <f>TRUNC(G993*D993,1)</f>
        <v>0</v>
      </c>
      <c r="I993" s="15">
        <f>'단가대비표(총체)'!V191</f>
        <v>0</v>
      </c>
      <c r="J993" s="16">
        <f>TRUNC(I993*D993,1)</f>
        <v>0</v>
      </c>
      <c r="K993" s="15">
        <f t="shared" ref="K993:L995" si="188">TRUNC(E993+G993+I993,1)</f>
        <v>0</v>
      </c>
      <c r="L993" s="16">
        <f t="shared" si="188"/>
        <v>0</v>
      </c>
      <c r="M993" s="9" t="s">
        <v>52</v>
      </c>
      <c r="N993" s="2" t="s">
        <v>991</v>
      </c>
      <c r="O993" s="2" t="s">
        <v>1034</v>
      </c>
      <c r="P993" s="2" t="s">
        <v>61</v>
      </c>
      <c r="Q993" s="2" t="s">
        <v>61</v>
      </c>
      <c r="R993" s="2" t="s">
        <v>60</v>
      </c>
      <c r="S993" s="3"/>
      <c r="T993" s="3"/>
      <c r="U993" s="3"/>
      <c r="V993" s="3">
        <v>1</v>
      </c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2" t="s">
        <v>52</v>
      </c>
      <c r="AW993" s="2" t="s">
        <v>2153</v>
      </c>
      <c r="AX993" s="2" t="s">
        <v>52</v>
      </c>
      <c r="AY993" s="2" t="s">
        <v>52</v>
      </c>
    </row>
    <row r="994" spans="1:51" ht="30" customHeight="1" x14ac:dyDescent="0.3">
      <c r="A994" s="9" t="s">
        <v>821</v>
      </c>
      <c r="B994" s="9" t="s">
        <v>822</v>
      </c>
      <c r="C994" s="9" t="s">
        <v>823</v>
      </c>
      <c r="D994" s="10">
        <v>5.0000000000000001E-3</v>
      </c>
      <c r="E994" s="15">
        <f>'단가대비표(총체)'!O180</f>
        <v>0</v>
      </c>
      <c r="F994" s="16">
        <f>TRUNC(E994*D994,1)</f>
        <v>0</v>
      </c>
      <c r="G994" s="15">
        <f>'단가대비표(총체)'!P180</f>
        <v>0</v>
      </c>
      <c r="H994" s="16">
        <f>TRUNC(G994*D994,1)</f>
        <v>0</v>
      </c>
      <c r="I994" s="15">
        <f>'단가대비표(총체)'!V180</f>
        <v>0</v>
      </c>
      <c r="J994" s="16">
        <f>TRUNC(I994*D994,1)</f>
        <v>0</v>
      </c>
      <c r="K994" s="15">
        <f t="shared" si="188"/>
        <v>0</v>
      </c>
      <c r="L994" s="16">
        <f t="shared" si="188"/>
        <v>0</v>
      </c>
      <c r="M994" s="9" t="s">
        <v>52</v>
      </c>
      <c r="N994" s="2" t="s">
        <v>991</v>
      </c>
      <c r="O994" s="2" t="s">
        <v>824</v>
      </c>
      <c r="P994" s="2" t="s">
        <v>61</v>
      </c>
      <c r="Q994" s="2" t="s">
        <v>61</v>
      </c>
      <c r="R994" s="2" t="s">
        <v>60</v>
      </c>
      <c r="S994" s="3"/>
      <c r="T994" s="3"/>
      <c r="U994" s="3"/>
      <c r="V994" s="3">
        <v>1</v>
      </c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2" t="s">
        <v>52</v>
      </c>
      <c r="AW994" s="2" t="s">
        <v>2154</v>
      </c>
      <c r="AX994" s="2" t="s">
        <v>52</v>
      </c>
      <c r="AY994" s="2" t="s">
        <v>52</v>
      </c>
    </row>
    <row r="995" spans="1:51" ht="30" customHeight="1" x14ac:dyDescent="0.3">
      <c r="A995" s="9" t="s">
        <v>874</v>
      </c>
      <c r="B995" s="9" t="s">
        <v>891</v>
      </c>
      <c r="C995" s="9" t="s">
        <v>307</v>
      </c>
      <c r="D995" s="10">
        <v>1</v>
      </c>
      <c r="E995" s="15">
        <v>0</v>
      </c>
      <c r="F995" s="16">
        <f>TRUNC(E995*D995,1)</f>
        <v>0</v>
      </c>
      <c r="G995" s="15">
        <v>0</v>
      </c>
      <c r="H995" s="16">
        <f>TRUNC(G995*D995,1)</f>
        <v>0</v>
      </c>
      <c r="I995" s="15">
        <f>TRUNC(SUMIF(V993:V995, RIGHTB(O995, 1), H993:H995)*U995, 2)</f>
        <v>0</v>
      </c>
      <c r="J995" s="16">
        <f>TRUNC(I995*D995,1)</f>
        <v>0</v>
      </c>
      <c r="K995" s="15">
        <f t="shared" si="188"/>
        <v>0</v>
      </c>
      <c r="L995" s="16">
        <f t="shared" si="188"/>
        <v>0</v>
      </c>
      <c r="M995" s="9" t="s">
        <v>52</v>
      </c>
      <c r="N995" s="2" t="s">
        <v>991</v>
      </c>
      <c r="O995" s="2" t="s">
        <v>809</v>
      </c>
      <c r="P995" s="2" t="s">
        <v>61</v>
      </c>
      <c r="Q995" s="2" t="s">
        <v>61</v>
      </c>
      <c r="R995" s="2" t="s">
        <v>61</v>
      </c>
      <c r="S995" s="3">
        <v>1</v>
      </c>
      <c r="T995" s="3">
        <v>2</v>
      </c>
      <c r="U995" s="3">
        <v>0.02</v>
      </c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2" t="s">
        <v>52</v>
      </c>
      <c r="AW995" s="2" t="s">
        <v>2155</v>
      </c>
      <c r="AX995" s="2" t="s">
        <v>52</v>
      </c>
      <c r="AY995" s="2" t="s">
        <v>52</v>
      </c>
    </row>
    <row r="996" spans="1:51" ht="30" customHeight="1" x14ac:dyDescent="0.3">
      <c r="A996" s="9" t="s">
        <v>811</v>
      </c>
      <c r="B996" s="9" t="s">
        <v>52</v>
      </c>
      <c r="C996" s="9" t="s">
        <v>52</v>
      </c>
      <c r="D996" s="10"/>
      <c r="E996" s="15"/>
      <c r="F996" s="16">
        <f>TRUNC(SUMIF(N993:N995, N992, F993:F995),0)</f>
        <v>0</v>
      </c>
      <c r="G996" s="15"/>
      <c r="H996" s="16">
        <f>TRUNC(SUMIF(N993:N995, N992, H993:H995),0)</f>
        <v>0</v>
      </c>
      <c r="I996" s="15"/>
      <c r="J996" s="16">
        <f>TRUNC(SUMIF(N993:N995, N992, J993:J995),0)</f>
        <v>0</v>
      </c>
      <c r="K996" s="15"/>
      <c r="L996" s="16">
        <f>F996+H996+J996</f>
        <v>0</v>
      </c>
      <c r="M996" s="9" t="s">
        <v>52</v>
      </c>
      <c r="N996" s="2" t="s">
        <v>94</v>
      </c>
      <c r="O996" s="2" t="s">
        <v>94</v>
      </c>
      <c r="P996" s="2" t="s">
        <v>52</v>
      </c>
      <c r="Q996" s="2" t="s">
        <v>52</v>
      </c>
      <c r="R996" s="2" t="s">
        <v>52</v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2" t="s">
        <v>52</v>
      </c>
      <c r="AW996" s="2" t="s">
        <v>52</v>
      </c>
      <c r="AX996" s="2" t="s">
        <v>52</v>
      </c>
      <c r="AY996" s="2" t="s">
        <v>52</v>
      </c>
    </row>
    <row r="997" spans="1:51" ht="30" customHeight="1" x14ac:dyDescent="0.3">
      <c r="A997" s="10"/>
      <c r="B997" s="10"/>
      <c r="C997" s="10"/>
      <c r="D997" s="10"/>
      <c r="E997" s="15"/>
      <c r="F997" s="16"/>
      <c r="G997" s="15"/>
      <c r="H997" s="16"/>
      <c r="I997" s="15"/>
      <c r="J997" s="16"/>
      <c r="K997" s="15"/>
      <c r="L997" s="16"/>
      <c r="M997" s="10"/>
    </row>
    <row r="998" spans="1:51" ht="30" customHeight="1" x14ac:dyDescent="0.3">
      <c r="A998" s="44" t="s">
        <v>2156</v>
      </c>
      <c r="B998" s="44"/>
      <c r="C998" s="44"/>
      <c r="D998" s="44"/>
      <c r="E998" s="45"/>
      <c r="F998" s="46"/>
      <c r="G998" s="45"/>
      <c r="H998" s="46"/>
      <c r="I998" s="45"/>
      <c r="J998" s="46"/>
      <c r="K998" s="45"/>
      <c r="L998" s="46"/>
      <c r="M998" s="44"/>
      <c r="N998" s="1" t="s">
        <v>995</v>
      </c>
    </row>
    <row r="999" spans="1:51" ht="30" customHeight="1" x14ac:dyDescent="0.3">
      <c r="A999" s="9" t="s">
        <v>1033</v>
      </c>
      <c r="B999" s="9" t="s">
        <v>822</v>
      </c>
      <c r="C999" s="9" t="s">
        <v>823</v>
      </c>
      <c r="D999" s="10">
        <v>1.4999999999999999E-2</v>
      </c>
      <c r="E999" s="15">
        <f>'단가대비표(총체)'!O191</f>
        <v>0</v>
      </c>
      <c r="F999" s="16">
        <f>TRUNC(E999*D999,1)</f>
        <v>0</v>
      </c>
      <c r="G999" s="15">
        <f>'단가대비표(총체)'!P191</f>
        <v>0</v>
      </c>
      <c r="H999" s="16">
        <f>TRUNC(G999*D999,1)</f>
        <v>0</v>
      </c>
      <c r="I999" s="15">
        <f>'단가대비표(총체)'!V191</f>
        <v>0</v>
      </c>
      <c r="J999" s="16">
        <f>TRUNC(I999*D999,1)</f>
        <v>0</v>
      </c>
      <c r="K999" s="15">
        <f t="shared" ref="K999:L1001" si="189">TRUNC(E999+G999+I999,1)</f>
        <v>0</v>
      </c>
      <c r="L999" s="16">
        <f t="shared" si="189"/>
        <v>0</v>
      </c>
      <c r="M999" s="9" t="s">
        <v>52</v>
      </c>
      <c r="N999" s="2" t="s">
        <v>995</v>
      </c>
      <c r="O999" s="2" t="s">
        <v>1034</v>
      </c>
      <c r="P999" s="2" t="s">
        <v>61</v>
      </c>
      <c r="Q999" s="2" t="s">
        <v>61</v>
      </c>
      <c r="R999" s="2" t="s">
        <v>60</v>
      </c>
      <c r="S999" s="3"/>
      <c r="T999" s="3"/>
      <c r="U999" s="3"/>
      <c r="V999" s="3">
        <v>1</v>
      </c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2" t="s">
        <v>52</v>
      </c>
      <c r="AW999" s="2" t="s">
        <v>2158</v>
      </c>
      <c r="AX999" s="2" t="s">
        <v>52</v>
      </c>
      <c r="AY999" s="2" t="s">
        <v>52</v>
      </c>
    </row>
    <row r="1000" spans="1:51" ht="30" customHeight="1" x14ac:dyDescent="0.3">
      <c r="A1000" s="9" t="s">
        <v>821</v>
      </c>
      <c r="B1000" s="9" t="s">
        <v>822</v>
      </c>
      <c r="C1000" s="9" t="s">
        <v>823</v>
      </c>
      <c r="D1000" s="10">
        <v>8.9999999999999993E-3</v>
      </c>
      <c r="E1000" s="15">
        <f>'단가대비표(총체)'!O180</f>
        <v>0</v>
      </c>
      <c r="F1000" s="16">
        <f>TRUNC(E1000*D1000,1)</f>
        <v>0</v>
      </c>
      <c r="G1000" s="15">
        <f>'단가대비표(총체)'!P180</f>
        <v>0</v>
      </c>
      <c r="H1000" s="16">
        <f>TRUNC(G1000*D1000,1)</f>
        <v>0</v>
      </c>
      <c r="I1000" s="15">
        <f>'단가대비표(총체)'!V180</f>
        <v>0</v>
      </c>
      <c r="J1000" s="16">
        <f>TRUNC(I1000*D1000,1)</f>
        <v>0</v>
      </c>
      <c r="K1000" s="15">
        <f t="shared" si="189"/>
        <v>0</v>
      </c>
      <c r="L1000" s="16">
        <f t="shared" si="189"/>
        <v>0</v>
      </c>
      <c r="M1000" s="9" t="s">
        <v>52</v>
      </c>
      <c r="N1000" s="2" t="s">
        <v>995</v>
      </c>
      <c r="O1000" s="2" t="s">
        <v>824</v>
      </c>
      <c r="P1000" s="2" t="s">
        <v>61</v>
      </c>
      <c r="Q1000" s="2" t="s">
        <v>61</v>
      </c>
      <c r="R1000" s="2" t="s">
        <v>60</v>
      </c>
      <c r="S1000" s="3"/>
      <c r="T1000" s="3"/>
      <c r="U1000" s="3"/>
      <c r="V1000" s="3">
        <v>1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2" t="s">
        <v>52</v>
      </c>
      <c r="AW1000" s="2" t="s">
        <v>2159</v>
      </c>
      <c r="AX1000" s="2" t="s">
        <v>52</v>
      </c>
      <c r="AY1000" s="2" t="s">
        <v>52</v>
      </c>
    </row>
    <row r="1001" spans="1:51" ht="30" customHeight="1" x14ac:dyDescent="0.3">
      <c r="A1001" s="9" t="s">
        <v>874</v>
      </c>
      <c r="B1001" s="9" t="s">
        <v>891</v>
      </c>
      <c r="C1001" s="9" t="s">
        <v>307</v>
      </c>
      <c r="D1001" s="10">
        <v>1</v>
      </c>
      <c r="E1001" s="15">
        <v>0</v>
      </c>
      <c r="F1001" s="16">
        <f>TRUNC(E1001*D1001,1)</f>
        <v>0</v>
      </c>
      <c r="G1001" s="15">
        <v>0</v>
      </c>
      <c r="H1001" s="16">
        <f>TRUNC(G1001*D1001,1)</f>
        <v>0</v>
      </c>
      <c r="I1001" s="15">
        <f>TRUNC(SUMIF(V999:V1001, RIGHTB(O1001, 1), H999:H1001)*U1001, 2)</f>
        <v>0</v>
      </c>
      <c r="J1001" s="16">
        <f>TRUNC(I1001*D1001,1)</f>
        <v>0</v>
      </c>
      <c r="K1001" s="15">
        <f t="shared" si="189"/>
        <v>0</v>
      </c>
      <c r="L1001" s="16">
        <f t="shared" si="189"/>
        <v>0</v>
      </c>
      <c r="M1001" s="9" t="s">
        <v>52</v>
      </c>
      <c r="N1001" s="2" t="s">
        <v>995</v>
      </c>
      <c r="O1001" s="2" t="s">
        <v>809</v>
      </c>
      <c r="P1001" s="2" t="s">
        <v>61</v>
      </c>
      <c r="Q1001" s="2" t="s">
        <v>61</v>
      </c>
      <c r="R1001" s="2" t="s">
        <v>61</v>
      </c>
      <c r="S1001" s="3">
        <v>1</v>
      </c>
      <c r="T1001" s="3">
        <v>2</v>
      </c>
      <c r="U1001" s="3">
        <v>0.02</v>
      </c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2" t="s">
        <v>52</v>
      </c>
      <c r="AW1001" s="2" t="s">
        <v>2160</v>
      </c>
      <c r="AX1001" s="2" t="s">
        <v>52</v>
      </c>
      <c r="AY1001" s="2" t="s">
        <v>52</v>
      </c>
    </row>
    <row r="1002" spans="1:51" ht="30" customHeight="1" x14ac:dyDescent="0.3">
      <c r="A1002" s="9" t="s">
        <v>811</v>
      </c>
      <c r="B1002" s="9" t="s">
        <v>52</v>
      </c>
      <c r="C1002" s="9" t="s">
        <v>52</v>
      </c>
      <c r="D1002" s="10"/>
      <c r="E1002" s="15"/>
      <c r="F1002" s="16">
        <f>TRUNC(SUMIF(N999:N1001, N998, F999:F1001),0)</f>
        <v>0</v>
      </c>
      <c r="G1002" s="15"/>
      <c r="H1002" s="16">
        <f>TRUNC(SUMIF(N999:N1001, N998, H999:H1001),0)</f>
        <v>0</v>
      </c>
      <c r="I1002" s="15"/>
      <c r="J1002" s="16">
        <f>TRUNC(SUMIF(N999:N1001, N998, J999:J1001),0)</f>
        <v>0</v>
      </c>
      <c r="K1002" s="15"/>
      <c r="L1002" s="16">
        <f>F1002+H1002+J1002</f>
        <v>0</v>
      </c>
      <c r="M1002" s="9" t="s">
        <v>52</v>
      </c>
      <c r="N1002" s="2" t="s">
        <v>94</v>
      </c>
      <c r="O1002" s="2" t="s">
        <v>94</v>
      </c>
      <c r="P1002" s="2" t="s">
        <v>52</v>
      </c>
      <c r="Q1002" s="2" t="s">
        <v>52</v>
      </c>
      <c r="R1002" s="2" t="s">
        <v>52</v>
      </c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2" t="s">
        <v>52</v>
      </c>
      <c r="AW1002" s="2" t="s">
        <v>52</v>
      </c>
      <c r="AX1002" s="2" t="s">
        <v>52</v>
      </c>
      <c r="AY1002" s="2" t="s">
        <v>52</v>
      </c>
    </row>
    <row r="1003" spans="1:51" ht="30" customHeight="1" x14ac:dyDescent="0.3">
      <c r="A1003" s="10"/>
      <c r="B1003" s="10"/>
      <c r="C1003" s="10"/>
      <c r="D1003" s="10"/>
      <c r="E1003" s="15"/>
      <c r="F1003" s="16"/>
      <c r="G1003" s="15"/>
      <c r="H1003" s="16"/>
      <c r="I1003" s="15"/>
      <c r="J1003" s="16"/>
      <c r="K1003" s="15"/>
      <c r="L1003" s="16"/>
      <c r="M1003" s="10"/>
    </row>
    <row r="1004" spans="1:51" ht="30" customHeight="1" x14ac:dyDescent="0.3">
      <c r="A1004" s="44" t="s">
        <v>2161</v>
      </c>
      <c r="B1004" s="44"/>
      <c r="C1004" s="44"/>
      <c r="D1004" s="44"/>
      <c r="E1004" s="45"/>
      <c r="F1004" s="46"/>
      <c r="G1004" s="45"/>
      <c r="H1004" s="46"/>
      <c r="I1004" s="45"/>
      <c r="J1004" s="46"/>
      <c r="K1004" s="45"/>
      <c r="L1004" s="46"/>
      <c r="M1004" s="44"/>
      <c r="N1004" s="1" t="s">
        <v>999</v>
      </c>
    </row>
    <row r="1005" spans="1:51" ht="30" customHeight="1" x14ac:dyDescent="0.3">
      <c r="A1005" s="9" t="s">
        <v>1033</v>
      </c>
      <c r="B1005" s="9" t="s">
        <v>822</v>
      </c>
      <c r="C1005" s="9" t="s">
        <v>823</v>
      </c>
      <c r="D1005" s="10">
        <v>0.01</v>
      </c>
      <c r="E1005" s="15">
        <f>'단가대비표(총체)'!O191</f>
        <v>0</v>
      </c>
      <c r="F1005" s="16">
        <f>TRUNC(E1005*D1005,1)</f>
        <v>0</v>
      </c>
      <c r="G1005" s="15">
        <f>'단가대비표(총체)'!P191</f>
        <v>0</v>
      </c>
      <c r="H1005" s="16">
        <f>TRUNC(G1005*D1005,1)</f>
        <v>0</v>
      </c>
      <c r="I1005" s="15">
        <f>'단가대비표(총체)'!V191</f>
        <v>0</v>
      </c>
      <c r="J1005" s="16">
        <f>TRUNC(I1005*D1005,1)</f>
        <v>0</v>
      </c>
      <c r="K1005" s="15">
        <f>TRUNC(E1005+G1005+I1005,1)</f>
        <v>0</v>
      </c>
      <c r="L1005" s="16">
        <f>TRUNC(F1005+H1005+J1005,1)</f>
        <v>0</v>
      </c>
      <c r="M1005" s="9" t="s">
        <v>52</v>
      </c>
      <c r="N1005" s="2" t="s">
        <v>999</v>
      </c>
      <c r="O1005" s="2" t="s">
        <v>1034</v>
      </c>
      <c r="P1005" s="2" t="s">
        <v>61</v>
      </c>
      <c r="Q1005" s="2" t="s">
        <v>61</v>
      </c>
      <c r="R1005" s="2" t="s">
        <v>60</v>
      </c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2" t="s">
        <v>52</v>
      </c>
      <c r="AW1005" s="2" t="s">
        <v>2163</v>
      </c>
      <c r="AX1005" s="2" t="s">
        <v>52</v>
      </c>
      <c r="AY1005" s="2" t="s">
        <v>52</v>
      </c>
    </row>
    <row r="1006" spans="1:51" ht="30" customHeight="1" x14ac:dyDescent="0.3">
      <c r="A1006" s="9" t="s">
        <v>821</v>
      </c>
      <c r="B1006" s="9" t="s">
        <v>822</v>
      </c>
      <c r="C1006" s="9" t="s">
        <v>823</v>
      </c>
      <c r="D1006" s="10">
        <v>4.0000000000000001E-3</v>
      </c>
      <c r="E1006" s="15">
        <f>'단가대비표(총체)'!O180</f>
        <v>0</v>
      </c>
      <c r="F1006" s="16">
        <f>TRUNC(E1006*D1006,1)</f>
        <v>0</v>
      </c>
      <c r="G1006" s="15">
        <f>'단가대비표(총체)'!P180</f>
        <v>0</v>
      </c>
      <c r="H1006" s="16">
        <f>TRUNC(G1006*D1006,1)</f>
        <v>0</v>
      </c>
      <c r="I1006" s="15">
        <f>'단가대비표(총체)'!V180</f>
        <v>0</v>
      </c>
      <c r="J1006" s="16">
        <f>TRUNC(I1006*D1006,1)</f>
        <v>0</v>
      </c>
      <c r="K1006" s="15">
        <f>TRUNC(E1006+G1006+I1006,1)</f>
        <v>0</v>
      </c>
      <c r="L1006" s="16">
        <f>TRUNC(F1006+H1006+J1006,1)</f>
        <v>0</v>
      </c>
      <c r="M1006" s="9" t="s">
        <v>52</v>
      </c>
      <c r="N1006" s="2" t="s">
        <v>999</v>
      </c>
      <c r="O1006" s="2" t="s">
        <v>824</v>
      </c>
      <c r="P1006" s="2" t="s">
        <v>61</v>
      </c>
      <c r="Q1006" s="2" t="s">
        <v>61</v>
      </c>
      <c r="R1006" s="2" t="s">
        <v>60</v>
      </c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2" t="s">
        <v>52</v>
      </c>
      <c r="AW1006" s="2" t="s">
        <v>2164</v>
      </c>
      <c r="AX1006" s="2" t="s">
        <v>52</v>
      </c>
      <c r="AY1006" s="2" t="s">
        <v>52</v>
      </c>
    </row>
    <row r="1007" spans="1:51" ht="30" customHeight="1" x14ac:dyDescent="0.3">
      <c r="A1007" s="9" t="s">
        <v>811</v>
      </c>
      <c r="B1007" s="9" t="s">
        <v>52</v>
      </c>
      <c r="C1007" s="9" t="s">
        <v>52</v>
      </c>
      <c r="D1007" s="10"/>
      <c r="E1007" s="15"/>
      <c r="F1007" s="16">
        <f>TRUNC(SUMIF(N1005:N1006, N1004, F1005:F1006),0)</f>
        <v>0</v>
      </c>
      <c r="G1007" s="15"/>
      <c r="H1007" s="16">
        <f>TRUNC(SUMIF(N1005:N1006, N1004, H1005:H1006),0)</f>
        <v>0</v>
      </c>
      <c r="I1007" s="15"/>
      <c r="J1007" s="16">
        <f>TRUNC(SUMIF(N1005:N1006, N1004, J1005:J1006),0)</f>
        <v>0</v>
      </c>
      <c r="K1007" s="15"/>
      <c r="L1007" s="16">
        <f>F1007+H1007+J1007</f>
        <v>0</v>
      </c>
      <c r="M1007" s="9" t="s">
        <v>52</v>
      </c>
      <c r="N1007" s="2" t="s">
        <v>94</v>
      </c>
      <c r="O1007" s="2" t="s">
        <v>94</v>
      </c>
      <c r="P1007" s="2" t="s">
        <v>52</v>
      </c>
      <c r="Q1007" s="2" t="s">
        <v>52</v>
      </c>
      <c r="R1007" s="2" t="s">
        <v>52</v>
      </c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2" t="s">
        <v>52</v>
      </c>
      <c r="AW1007" s="2" t="s">
        <v>52</v>
      </c>
      <c r="AX1007" s="2" t="s">
        <v>52</v>
      </c>
      <c r="AY1007" s="2" t="s">
        <v>52</v>
      </c>
    </row>
    <row r="1008" spans="1:51" ht="30" customHeight="1" x14ac:dyDescent="0.3">
      <c r="A1008" s="10"/>
      <c r="B1008" s="10"/>
      <c r="C1008" s="10"/>
      <c r="D1008" s="10"/>
      <c r="E1008" s="15"/>
      <c r="F1008" s="16"/>
      <c r="G1008" s="15"/>
      <c r="H1008" s="16"/>
      <c r="I1008" s="15"/>
      <c r="J1008" s="16"/>
      <c r="K1008" s="15"/>
      <c r="L1008" s="16"/>
      <c r="M1008" s="10"/>
    </row>
    <row r="1009" spans="1:51" ht="30" customHeight="1" x14ac:dyDescent="0.3">
      <c r="A1009" s="44" t="s">
        <v>2165</v>
      </c>
      <c r="B1009" s="44"/>
      <c r="C1009" s="44"/>
      <c r="D1009" s="44"/>
      <c r="E1009" s="45"/>
      <c r="F1009" s="46"/>
      <c r="G1009" s="45"/>
      <c r="H1009" s="46"/>
      <c r="I1009" s="45"/>
      <c r="J1009" s="46"/>
      <c r="K1009" s="45"/>
      <c r="L1009" s="46"/>
      <c r="M1009" s="44"/>
      <c r="N1009" s="1" t="s">
        <v>1008</v>
      </c>
    </row>
    <row r="1010" spans="1:51" ht="30" customHeight="1" x14ac:dyDescent="0.3">
      <c r="A1010" s="9" t="s">
        <v>1033</v>
      </c>
      <c r="B1010" s="9" t="s">
        <v>822</v>
      </c>
      <c r="C1010" s="9" t="s">
        <v>823</v>
      </c>
      <c r="D1010" s="10">
        <v>0.04</v>
      </c>
      <c r="E1010" s="15">
        <f>'단가대비표(총체)'!O191</f>
        <v>0</v>
      </c>
      <c r="F1010" s="16">
        <f>TRUNC(E1010*D1010,1)</f>
        <v>0</v>
      </c>
      <c r="G1010" s="15">
        <f>'단가대비표(총체)'!P191</f>
        <v>0</v>
      </c>
      <c r="H1010" s="16">
        <f>TRUNC(G1010*D1010,1)</f>
        <v>0</v>
      </c>
      <c r="I1010" s="15">
        <f>'단가대비표(총체)'!V191</f>
        <v>0</v>
      </c>
      <c r="J1010" s="16">
        <f>TRUNC(I1010*D1010,1)</f>
        <v>0</v>
      </c>
      <c r="K1010" s="15">
        <f t="shared" ref="K1010:L1012" si="190">TRUNC(E1010+G1010+I1010,1)</f>
        <v>0</v>
      </c>
      <c r="L1010" s="16">
        <f t="shared" si="190"/>
        <v>0</v>
      </c>
      <c r="M1010" s="9" t="s">
        <v>52</v>
      </c>
      <c r="N1010" s="2" t="s">
        <v>1008</v>
      </c>
      <c r="O1010" s="2" t="s">
        <v>1034</v>
      </c>
      <c r="P1010" s="2" t="s">
        <v>61</v>
      </c>
      <c r="Q1010" s="2" t="s">
        <v>61</v>
      </c>
      <c r="R1010" s="2" t="s">
        <v>60</v>
      </c>
      <c r="S1010" s="3"/>
      <c r="T1010" s="3"/>
      <c r="U1010" s="3"/>
      <c r="V1010" s="3">
        <v>1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2" t="s">
        <v>52</v>
      </c>
      <c r="AW1010" s="2" t="s">
        <v>2167</v>
      </c>
      <c r="AX1010" s="2" t="s">
        <v>52</v>
      </c>
      <c r="AY1010" s="2" t="s">
        <v>52</v>
      </c>
    </row>
    <row r="1011" spans="1:51" ht="30" customHeight="1" x14ac:dyDescent="0.3">
      <c r="A1011" s="9" t="s">
        <v>821</v>
      </c>
      <c r="B1011" s="9" t="s">
        <v>822</v>
      </c>
      <c r="C1011" s="9" t="s">
        <v>823</v>
      </c>
      <c r="D1011" s="10">
        <v>1.7000000000000001E-2</v>
      </c>
      <c r="E1011" s="15">
        <f>'단가대비표(총체)'!O180</f>
        <v>0</v>
      </c>
      <c r="F1011" s="16">
        <f>TRUNC(E1011*D1011,1)</f>
        <v>0</v>
      </c>
      <c r="G1011" s="15">
        <f>'단가대비표(총체)'!P180</f>
        <v>0</v>
      </c>
      <c r="H1011" s="16">
        <f>TRUNC(G1011*D1011,1)</f>
        <v>0</v>
      </c>
      <c r="I1011" s="15">
        <f>'단가대비표(총체)'!V180</f>
        <v>0</v>
      </c>
      <c r="J1011" s="16">
        <f>TRUNC(I1011*D1011,1)</f>
        <v>0</v>
      </c>
      <c r="K1011" s="15">
        <f t="shared" si="190"/>
        <v>0</v>
      </c>
      <c r="L1011" s="16">
        <f t="shared" si="190"/>
        <v>0</v>
      </c>
      <c r="M1011" s="9" t="s">
        <v>52</v>
      </c>
      <c r="N1011" s="2" t="s">
        <v>1008</v>
      </c>
      <c r="O1011" s="2" t="s">
        <v>824</v>
      </c>
      <c r="P1011" s="2" t="s">
        <v>61</v>
      </c>
      <c r="Q1011" s="2" t="s">
        <v>61</v>
      </c>
      <c r="R1011" s="2" t="s">
        <v>60</v>
      </c>
      <c r="S1011" s="3"/>
      <c r="T1011" s="3"/>
      <c r="U1011" s="3"/>
      <c r="V1011" s="3">
        <v>1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2" t="s">
        <v>52</v>
      </c>
      <c r="AW1011" s="2" t="s">
        <v>2168</v>
      </c>
      <c r="AX1011" s="2" t="s">
        <v>52</v>
      </c>
      <c r="AY1011" s="2" t="s">
        <v>52</v>
      </c>
    </row>
    <row r="1012" spans="1:51" ht="30" customHeight="1" x14ac:dyDescent="0.3">
      <c r="A1012" s="9" t="s">
        <v>874</v>
      </c>
      <c r="B1012" s="9" t="s">
        <v>1991</v>
      </c>
      <c r="C1012" s="9" t="s">
        <v>307</v>
      </c>
      <c r="D1012" s="10">
        <v>1</v>
      </c>
      <c r="E1012" s="15">
        <v>0</v>
      </c>
      <c r="F1012" s="16">
        <f>TRUNC(E1012*D1012,1)</f>
        <v>0</v>
      </c>
      <c r="G1012" s="15">
        <v>0</v>
      </c>
      <c r="H1012" s="16">
        <f>TRUNC(G1012*D1012,1)</f>
        <v>0</v>
      </c>
      <c r="I1012" s="15">
        <f>TRUNC(SUMIF(V1010:V1012, RIGHTB(O1012, 1), H1010:H1012)*U1012, 2)</f>
        <v>0</v>
      </c>
      <c r="J1012" s="16">
        <f>TRUNC(I1012*D1012,1)</f>
        <v>0</v>
      </c>
      <c r="K1012" s="15">
        <f t="shared" si="190"/>
        <v>0</v>
      </c>
      <c r="L1012" s="16">
        <f t="shared" si="190"/>
        <v>0</v>
      </c>
      <c r="M1012" s="9" t="s">
        <v>52</v>
      </c>
      <c r="N1012" s="2" t="s">
        <v>1008</v>
      </c>
      <c r="O1012" s="2" t="s">
        <v>809</v>
      </c>
      <c r="P1012" s="2" t="s">
        <v>61</v>
      </c>
      <c r="Q1012" s="2" t="s">
        <v>61</v>
      </c>
      <c r="R1012" s="2" t="s">
        <v>61</v>
      </c>
      <c r="S1012" s="3">
        <v>1</v>
      </c>
      <c r="T1012" s="3">
        <v>2</v>
      </c>
      <c r="U1012" s="3">
        <v>0.06</v>
      </c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2" t="s">
        <v>52</v>
      </c>
      <c r="AW1012" s="2" t="s">
        <v>2169</v>
      </c>
      <c r="AX1012" s="2" t="s">
        <v>52</v>
      </c>
      <c r="AY1012" s="2" t="s">
        <v>52</v>
      </c>
    </row>
    <row r="1013" spans="1:51" ht="30" customHeight="1" x14ac:dyDescent="0.3">
      <c r="A1013" s="9" t="s">
        <v>811</v>
      </c>
      <c r="B1013" s="9" t="s">
        <v>52</v>
      </c>
      <c r="C1013" s="9" t="s">
        <v>52</v>
      </c>
      <c r="D1013" s="10"/>
      <c r="E1013" s="15"/>
      <c r="F1013" s="16">
        <f>TRUNC(SUMIF(N1010:N1012, N1009, F1010:F1012),0)</f>
        <v>0</v>
      </c>
      <c r="G1013" s="15"/>
      <c r="H1013" s="16">
        <f>TRUNC(SUMIF(N1010:N1012, N1009, H1010:H1012),0)</f>
        <v>0</v>
      </c>
      <c r="I1013" s="15"/>
      <c r="J1013" s="16">
        <f>TRUNC(SUMIF(N1010:N1012, N1009, J1010:J1012),0)</f>
        <v>0</v>
      </c>
      <c r="K1013" s="15"/>
      <c r="L1013" s="16">
        <f>F1013+H1013+J1013</f>
        <v>0</v>
      </c>
      <c r="M1013" s="9" t="s">
        <v>52</v>
      </c>
      <c r="N1013" s="2" t="s">
        <v>94</v>
      </c>
      <c r="O1013" s="2" t="s">
        <v>94</v>
      </c>
      <c r="P1013" s="2" t="s">
        <v>52</v>
      </c>
      <c r="Q1013" s="2" t="s">
        <v>52</v>
      </c>
      <c r="R1013" s="2" t="s">
        <v>52</v>
      </c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2" t="s">
        <v>52</v>
      </c>
      <c r="AW1013" s="2" t="s">
        <v>52</v>
      </c>
      <c r="AX1013" s="2" t="s">
        <v>52</v>
      </c>
      <c r="AY1013" s="2" t="s">
        <v>52</v>
      </c>
    </row>
    <row r="1014" spans="1:51" ht="30" customHeight="1" x14ac:dyDescent="0.3">
      <c r="A1014" s="10"/>
      <c r="B1014" s="10"/>
      <c r="C1014" s="10"/>
      <c r="D1014" s="10"/>
      <c r="E1014" s="15"/>
      <c r="F1014" s="16"/>
      <c r="G1014" s="15"/>
      <c r="H1014" s="16"/>
      <c r="I1014" s="15"/>
      <c r="J1014" s="16"/>
      <c r="K1014" s="15"/>
      <c r="L1014" s="16"/>
      <c r="M1014" s="10"/>
    </row>
    <row r="1015" spans="1:51" ht="30" customHeight="1" x14ac:dyDescent="0.3">
      <c r="A1015" s="44" t="s">
        <v>2170</v>
      </c>
      <c r="B1015" s="44"/>
      <c r="C1015" s="44"/>
      <c r="D1015" s="44"/>
      <c r="E1015" s="45"/>
      <c r="F1015" s="46"/>
      <c r="G1015" s="45"/>
      <c r="H1015" s="46"/>
      <c r="I1015" s="45"/>
      <c r="J1015" s="46"/>
      <c r="K1015" s="45"/>
      <c r="L1015" s="46"/>
      <c r="M1015" s="44"/>
      <c r="N1015" s="1" t="s">
        <v>1012</v>
      </c>
    </row>
    <row r="1016" spans="1:51" ht="30" customHeight="1" x14ac:dyDescent="0.3">
      <c r="A1016" s="9" t="s">
        <v>1033</v>
      </c>
      <c r="B1016" s="9" t="s">
        <v>822</v>
      </c>
      <c r="C1016" s="9" t="s">
        <v>823</v>
      </c>
      <c r="D1016" s="10">
        <v>0.02</v>
      </c>
      <c r="E1016" s="15">
        <f>'단가대비표(총체)'!O191</f>
        <v>0</v>
      </c>
      <c r="F1016" s="16">
        <f>TRUNC(E1016*D1016,1)</f>
        <v>0</v>
      </c>
      <c r="G1016" s="15">
        <f>'단가대비표(총체)'!P191</f>
        <v>0</v>
      </c>
      <c r="H1016" s="16">
        <f>TRUNC(G1016*D1016,1)</f>
        <v>0</v>
      </c>
      <c r="I1016" s="15">
        <f>'단가대비표(총체)'!V191</f>
        <v>0</v>
      </c>
      <c r="J1016" s="16">
        <f>TRUNC(I1016*D1016,1)</f>
        <v>0</v>
      </c>
      <c r="K1016" s="15">
        <f t="shared" ref="K1016:L1018" si="191">TRUNC(E1016+G1016+I1016,1)</f>
        <v>0</v>
      </c>
      <c r="L1016" s="16">
        <f t="shared" si="191"/>
        <v>0</v>
      </c>
      <c r="M1016" s="9" t="s">
        <v>52</v>
      </c>
      <c r="N1016" s="2" t="s">
        <v>1012</v>
      </c>
      <c r="O1016" s="2" t="s">
        <v>1034</v>
      </c>
      <c r="P1016" s="2" t="s">
        <v>61</v>
      </c>
      <c r="Q1016" s="2" t="s">
        <v>61</v>
      </c>
      <c r="R1016" s="2" t="s">
        <v>60</v>
      </c>
      <c r="S1016" s="3"/>
      <c r="T1016" s="3"/>
      <c r="U1016" s="3"/>
      <c r="V1016" s="3">
        <v>1</v>
      </c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2" t="s">
        <v>52</v>
      </c>
      <c r="AW1016" s="2" t="s">
        <v>2172</v>
      </c>
      <c r="AX1016" s="2" t="s">
        <v>52</v>
      </c>
      <c r="AY1016" s="2" t="s">
        <v>52</v>
      </c>
    </row>
    <row r="1017" spans="1:51" ht="30" customHeight="1" x14ac:dyDescent="0.3">
      <c r="A1017" s="9" t="s">
        <v>821</v>
      </c>
      <c r="B1017" s="9" t="s">
        <v>822</v>
      </c>
      <c r="C1017" s="9" t="s">
        <v>823</v>
      </c>
      <c r="D1017" s="10">
        <v>1.2E-2</v>
      </c>
      <c r="E1017" s="15">
        <f>'단가대비표(총체)'!O180</f>
        <v>0</v>
      </c>
      <c r="F1017" s="16">
        <f>TRUNC(E1017*D1017,1)</f>
        <v>0</v>
      </c>
      <c r="G1017" s="15">
        <f>'단가대비표(총체)'!P180</f>
        <v>0</v>
      </c>
      <c r="H1017" s="16">
        <f>TRUNC(G1017*D1017,1)</f>
        <v>0</v>
      </c>
      <c r="I1017" s="15">
        <f>'단가대비표(총체)'!V180</f>
        <v>0</v>
      </c>
      <c r="J1017" s="16">
        <f>TRUNC(I1017*D1017,1)</f>
        <v>0</v>
      </c>
      <c r="K1017" s="15">
        <f t="shared" si="191"/>
        <v>0</v>
      </c>
      <c r="L1017" s="16">
        <f t="shared" si="191"/>
        <v>0</v>
      </c>
      <c r="M1017" s="9" t="s">
        <v>52</v>
      </c>
      <c r="N1017" s="2" t="s">
        <v>1012</v>
      </c>
      <c r="O1017" s="2" t="s">
        <v>824</v>
      </c>
      <c r="P1017" s="2" t="s">
        <v>61</v>
      </c>
      <c r="Q1017" s="2" t="s">
        <v>61</v>
      </c>
      <c r="R1017" s="2" t="s">
        <v>60</v>
      </c>
      <c r="S1017" s="3"/>
      <c r="T1017" s="3"/>
      <c r="U1017" s="3"/>
      <c r="V1017" s="3">
        <v>1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2" t="s">
        <v>52</v>
      </c>
      <c r="AW1017" s="2" t="s">
        <v>2173</v>
      </c>
      <c r="AX1017" s="2" t="s">
        <v>52</v>
      </c>
      <c r="AY1017" s="2" t="s">
        <v>52</v>
      </c>
    </row>
    <row r="1018" spans="1:51" ht="30" customHeight="1" x14ac:dyDescent="0.3">
      <c r="A1018" s="9" t="s">
        <v>874</v>
      </c>
      <c r="B1018" s="9" t="s">
        <v>891</v>
      </c>
      <c r="C1018" s="9" t="s">
        <v>307</v>
      </c>
      <c r="D1018" s="10">
        <v>1</v>
      </c>
      <c r="E1018" s="15">
        <v>0</v>
      </c>
      <c r="F1018" s="16">
        <f>TRUNC(E1018*D1018,1)</f>
        <v>0</v>
      </c>
      <c r="G1018" s="15">
        <v>0</v>
      </c>
      <c r="H1018" s="16">
        <f>TRUNC(G1018*D1018,1)</f>
        <v>0</v>
      </c>
      <c r="I1018" s="15">
        <f>TRUNC(SUMIF(V1016:V1018, RIGHTB(O1018, 1), H1016:H1018)*U1018, 2)</f>
        <v>0</v>
      </c>
      <c r="J1018" s="16">
        <f>TRUNC(I1018*D1018,1)</f>
        <v>0</v>
      </c>
      <c r="K1018" s="15">
        <f t="shared" si="191"/>
        <v>0</v>
      </c>
      <c r="L1018" s="16">
        <f t="shared" si="191"/>
        <v>0</v>
      </c>
      <c r="M1018" s="9" t="s">
        <v>52</v>
      </c>
      <c r="N1018" s="2" t="s">
        <v>1012</v>
      </c>
      <c r="O1018" s="2" t="s">
        <v>809</v>
      </c>
      <c r="P1018" s="2" t="s">
        <v>61</v>
      </c>
      <c r="Q1018" s="2" t="s">
        <v>61</v>
      </c>
      <c r="R1018" s="2" t="s">
        <v>61</v>
      </c>
      <c r="S1018" s="3">
        <v>1</v>
      </c>
      <c r="T1018" s="3">
        <v>2</v>
      </c>
      <c r="U1018" s="3">
        <v>0.02</v>
      </c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2" t="s">
        <v>52</v>
      </c>
      <c r="AW1018" s="2" t="s">
        <v>2174</v>
      </c>
      <c r="AX1018" s="2" t="s">
        <v>52</v>
      </c>
      <c r="AY1018" s="2" t="s">
        <v>52</v>
      </c>
    </row>
    <row r="1019" spans="1:51" ht="30" customHeight="1" x14ac:dyDescent="0.3">
      <c r="A1019" s="9" t="s">
        <v>811</v>
      </c>
      <c r="B1019" s="9" t="s">
        <v>52</v>
      </c>
      <c r="C1019" s="9" t="s">
        <v>52</v>
      </c>
      <c r="D1019" s="10"/>
      <c r="E1019" s="15"/>
      <c r="F1019" s="16">
        <f>TRUNC(SUMIF(N1016:N1018, N1015, F1016:F1018),0)</f>
        <v>0</v>
      </c>
      <c r="G1019" s="15"/>
      <c r="H1019" s="16">
        <f>TRUNC(SUMIF(N1016:N1018, N1015, H1016:H1018),0)</f>
        <v>0</v>
      </c>
      <c r="I1019" s="15"/>
      <c r="J1019" s="16">
        <f>TRUNC(SUMIF(N1016:N1018, N1015, J1016:J1018),0)</f>
        <v>0</v>
      </c>
      <c r="K1019" s="15"/>
      <c r="L1019" s="16">
        <f>F1019+H1019+J1019</f>
        <v>0</v>
      </c>
      <c r="M1019" s="9" t="s">
        <v>52</v>
      </c>
      <c r="N1019" s="2" t="s">
        <v>94</v>
      </c>
      <c r="O1019" s="2" t="s">
        <v>94</v>
      </c>
      <c r="P1019" s="2" t="s">
        <v>52</v>
      </c>
      <c r="Q1019" s="2" t="s">
        <v>52</v>
      </c>
      <c r="R1019" s="2" t="s">
        <v>52</v>
      </c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2" t="s">
        <v>52</v>
      </c>
      <c r="AW1019" s="2" t="s">
        <v>52</v>
      </c>
      <c r="AX1019" s="2" t="s">
        <v>52</v>
      </c>
      <c r="AY1019" s="2" t="s">
        <v>52</v>
      </c>
    </row>
    <row r="1020" spans="1:51" ht="30" customHeight="1" x14ac:dyDescent="0.3">
      <c r="A1020" s="10"/>
      <c r="B1020" s="10"/>
      <c r="C1020" s="10"/>
      <c r="D1020" s="10"/>
      <c r="E1020" s="15"/>
      <c r="F1020" s="16"/>
      <c r="G1020" s="15"/>
      <c r="H1020" s="16"/>
      <c r="I1020" s="15"/>
      <c r="J1020" s="16"/>
      <c r="K1020" s="15"/>
      <c r="L1020" s="16"/>
      <c r="M1020" s="10"/>
    </row>
    <row r="1021" spans="1:51" ht="30" customHeight="1" x14ac:dyDescent="0.3">
      <c r="A1021" s="44" t="s">
        <v>2175</v>
      </c>
      <c r="B1021" s="44"/>
      <c r="C1021" s="44"/>
      <c r="D1021" s="44"/>
      <c r="E1021" s="45"/>
      <c r="F1021" s="46"/>
      <c r="G1021" s="45"/>
      <c r="H1021" s="46"/>
      <c r="I1021" s="45"/>
      <c r="J1021" s="46"/>
      <c r="K1021" s="45"/>
      <c r="L1021" s="46"/>
      <c r="M1021" s="44"/>
      <c r="N1021" s="1" t="s">
        <v>1015</v>
      </c>
    </row>
    <row r="1022" spans="1:51" ht="30" customHeight="1" x14ac:dyDescent="0.3">
      <c r="A1022" s="9" t="s">
        <v>1033</v>
      </c>
      <c r="B1022" s="9" t="s">
        <v>822</v>
      </c>
      <c r="C1022" s="9" t="s">
        <v>823</v>
      </c>
      <c r="D1022" s="10">
        <v>1.4999999999999999E-2</v>
      </c>
      <c r="E1022" s="15">
        <f>'단가대비표(총체)'!O191</f>
        <v>0</v>
      </c>
      <c r="F1022" s="16">
        <f>TRUNC(E1022*D1022,1)</f>
        <v>0</v>
      </c>
      <c r="G1022" s="15">
        <f>'단가대비표(총체)'!P191</f>
        <v>0</v>
      </c>
      <c r="H1022" s="16">
        <f>TRUNC(G1022*D1022,1)</f>
        <v>0</v>
      </c>
      <c r="I1022" s="15">
        <f>'단가대비표(총체)'!V191</f>
        <v>0</v>
      </c>
      <c r="J1022" s="16">
        <f>TRUNC(I1022*D1022,1)</f>
        <v>0</v>
      </c>
      <c r="K1022" s="15">
        <f>TRUNC(E1022+G1022+I1022,1)</f>
        <v>0</v>
      </c>
      <c r="L1022" s="16">
        <f>TRUNC(F1022+H1022+J1022,1)</f>
        <v>0</v>
      </c>
      <c r="M1022" s="9" t="s">
        <v>52</v>
      </c>
      <c r="N1022" s="2" t="s">
        <v>1015</v>
      </c>
      <c r="O1022" s="2" t="s">
        <v>1034</v>
      </c>
      <c r="P1022" s="2" t="s">
        <v>61</v>
      </c>
      <c r="Q1022" s="2" t="s">
        <v>61</v>
      </c>
      <c r="R1022" s="2" t="s">
        <v>60</v>
      </c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2" t="s">
        <v>52</v>
      </c>
      <c r="AW1022" s="2" t="s">
        <v>2177</v>
      </c>
      <c r="AX1022" s="2" t="s">
        <v>52</v>
      </c>
      <c r="AY1022" s="2" t="s">
        <v>52</v>
      </c>
    </row>
    <row r="1023" spans="1:51" ht="30" customHeight="1" x14ac:dyDescent="0.3">
      <c r="A1023" s="9" t="s">
        <v>821</v>
      </c>
      <c r="B1023" s="9" t="s">
        <v>822</v>
      </c>
      <c r="C1023" s="9" t="s">
        <v>823</v>
      </c>
      <c r="D1023" s="10">
        <v>6.0000000000000001E-3</v>
      </c>
      <c r="E1023" s="15">
        <f>'단가대비표(총체)'!O180</f>
        <v>0</v>
      </c>
      <c r="F1023" s="16">
        <f>TRUNC(E1023*D1023,1)</f>
        <v>0</v>
      </c>
      <c r="G1023" s="15">
        <f>'단가대비표(총체)'!P180</f>
        <v>0</v>
      </c>
      <c r="H1023" s="16">
        <f>TRUNC(G1023*D1023,1)</f>
        <v>0</v>
      </c>
      <c r="I1023" s="15">
        <f>'단가대비표(총체)'!V180</f>
        <v>0</v>
      </c>
      <c r="J1023" s="16">
        <f>TRUNC(I1023*D1023,1)</f>
        <v>0</v>
      </c>
      <c r="K1023" s="15">
        <f>TRUNC(E1023+G1023+I1023,1)</f>
        <v>0</v>
      </c>
      <c r="L1023" s="16">
        <f>TRUNC(F1023+H1023+J1023,1)</f>
        <v>0</v>
      </c>
      <c r="M1023" s="9" t="s">
        <v>52</v>
      </c>
      <c r="N1023" s="2" t="s">
        <v>1015</v>
      </c>
      <c r="O1023" s="2" t="s">
        <v>824</v>
      </c>
      <c r="P1023" s="2" t="s">
        <v>61</v>
      </c>
      <c r="Q1023" s="2" t="s">
        <v>61</v>
      </c>
      <c r="R1023" s="2" t="s">
        <v>60</v>
      </c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2" t="s">
        <v>52</v>
      </c>
      <c r="AW1023" s="2" t="s">
        <v>2178</v>
      </c>
      <c r="AX1023" s="2" t="s">
        <v>52</v>
      </c>
      <c r="AY1023" s="2" t="s">
        <v>52</v>
      </c>
    </row>
    <row r="1024" spans="1:51" ht="30" customHeight="1" x14ac:dyDescent="0.3">
      <c r="A1024" s="9" t="s">
        <v>811</v>
      </c>
      <c r="B1024" s="9" t="s">
        <v>52</v>
      </c>
      <c r="C1024" s="9" t="s">
        <v>52</v>
      </c>
      <c r="D1024" s="10"/>
      <c r="E1024" s="15"/>
      <c r="F1024" s="16">
        <f>TRUNC(SUMIF(N1022:N1023, N1021, F1022:F1023),0)</f>
        <v>0</v>
      </c>
      <c r="G1024" s="15"/>
      <c r="H1024" s="16">
        <f>TRUNC(SUMIF(N1022:N1023, N1021, H1022:H1023),0)</f>
        <v>0</v>
      </c>
      <c r="I1024" s="15"/>
      <c r="J1024" s="16">
        <f>TRUNC(SUMIF(N1022:N1023, N1021, J1022:J1023),0)</f>
        <v>0</v>
      </c>
      <c r="K1024" s="15"/>
      <c r="L1024" s="16">
        <f>F1024+H1024+J1024</f>
        <v>0</v>
      </c>
      <c r="M1024" s="9" t="s">
        <v>52</v>
      </c>
      <c r="N1024" s="2" t="s">
        <v>94</v>
      </c>
      <c r="O1024" s="2" t="s">
        <v>94</v>
      </c>
      <c r="P1024" s="2" t="s">
        <v>52</v>
      </c>
      <c r="Q1024" s="2" t="s">
        <v>52</v>
      </c>
      <c r="R1024" s="2" t="s">
        <v>52</v>
      </c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2" t="s">
        <v>52</v>
      </c>
      <c r="AW1024" s="2" t="s">
        <v>52</v>
      </c>
      <c r="AX1024" s="2" t="s">
        <v>52</v>
      </c>
      <c r="AY1024" s="2" t="s">
        <v>52</v>
      </c>
    </row>
    <row r="1025" spans="1:51" ht="30" customHeight="1" x14ac:dyDescent="0.3">
      <c r="A1025" s="10"/>
      <c r="B1025" s="10"/>
      <c r="C1025" s="10"/>
      <c r="D1025" s="10"/>
      <c r="E1025" s="15"/>
      <c r="F1025" s="16"/>
      <c r="G1025" s="15"/>
      <c r="H1025" s="16"/>
      <c r="I1025" s="15"/>
      <c r="J1025" s="16"/>
      <c r="K1025" s="15"/>
      <c r="L1025" s="16"/>
      <c r="M1025" s="10"/>
    </row>
    <row r="1026" spans="1:51" ht="30" customHeight="1" x14ac:dyDescent="0.3">
      <c r="A1026" s="44" t="s">
        <v>2179</v>
      </c>
      <c r="B1026" s="44"/>
      <c r="C1026" s="44"/>
      <c r="D1026" s="44"/>
      <c r="E1026" s="45"/>
      <c r="F1026" s="46"/>
      <c r="G1026" s="45"/>
      <c r="H1026" s="46"/>
      <c r="I1026" s="45"/>
      <c r="J1026" s="46"/>
      <c r="K1026" s="45"/>
      <c r="L1026" s="46"/>
      <c r="M1026" s="44"/>
      <c r="N1026" s="1" t="s">
        <v>1052</v>
      </c>
    </row>
    <row r="1027" spans="1:51" ht="30" customHeight="1" x14ac:dyDescent="0.3">
      <c r="A1027" s="9" t="s">
        <v>1071</v>
      </c>
      <c r="B1027" s="9" t="s">
        <v>822</v>
      </c>
      <c r="C1027" s="9" t="s">
        <v>823</v>
      </c>
      <c r="D1027" s="10">
        <v>0.05</v>
      </c>
      <c r="E1027" s="15">
        <f>'단가대비표(총체)'!O188</f>
        <v>0</v>
      </c>
      <c r="F1027" s="16">
        <f>TRUNC(E1027*D1027,1)</f>
        <v>0</v>
      </c>
      <c r="G1027" s="15">
        <f>'단가대비표(총체)'!P188</f>
        <v>0</v>
      </c>
      <c r="H1027" s="16">
        <f>TRUNC(G1027*D1027,1)</f>
        <v>0</v>
      </c>
      <c r="I1027" s="15">
        <f>'단가대비표(총체)'!V188</f>
        <v>0</v>
      </c>
      <c r="J1027" s="16">
        <f>TRUNC(I1027*D1027,1)</f>
        <v>0</v>
      </c>
      <c r="K1027" s="15">
        <f t="shared" ref="K1027:L1029" si="192">TRUNC(E1027+G1027+I1027,1)</f>
        <v>0</v>
      </c>
      <c r="L1027" s="16">
        <f t="shared" si="192"/>
        <v>0</v>
      </c>
      <c r="M1027" s="9" t="s">
        <v>52</v>
      </c>
      <c r="N1027" s="2" t="s">
        <v>1052</v>
      </c>
      <c r="O1027" s="2" t="s">
        <v>1072</v>
      </c>
      <c r="P1027" s="2" t="s">
        <v>61</v>
      </c>
      <c r="Q1027" s="2" t="s">
        <v>61</v>
      </c>
      <c r="R1027" s="2" t="s">
        <v>60</v>
      </c>
      <c r="S1027" s="3"/>
      <c r="T1027" s="3"/>
      <c r="U1027" s="3"/>
      <c r="V1027" s="3">
        <v>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2" t="s">
        <v>52</v>
      </c>
      <c r="AW1027" s="2" t="s">
        <v>2181</v>
      </c>
      <c r="AX1027" s="2" t="s">
        <v>52</v>
      </c>
      <c r="AY1027" s="2" t="s">
        <v>52</v>
      </c>
    </row>
    <row r="1028" spans="1:51" ht="30" customHeight="1" x14ac:dyDescent="0.3">
      <c r="A1028" s="9" t="s">
        <v>821</v>
      </c>
      <c r="B1028" s="9" t="s">
        <v>822</v>
      </c>
      <c r="C1028" s="9" t="s">
        <v>823</v>
      </c>
      <c r="D1028" s="10">
        <v>1.9E-2</v>
      </c>
      <c r="E1028" s="15">
        <f>'단가대비표(총체)'!O180</f>
        <v>0</v>
      </c>
      <c r="F1028" s="16">
        <f>TRUNC(E1028*D1028,1)</f>
        <v>0</v>
      </c>
      <c r="G1028" s="15">
        <f>'단가대비표(총체)'!P180</f>
        <v>0</v>
      </c>
      <c r="H1028" s="16">
        <f>TRUNC(G1028*D1028,1)</f>
        <v>0</v>
      </c>
      <c r="I1028" s="15">
        <f>'단가대비표(총체)'!V180</f>
        <v>0</v>
      </c>
      <c r="J1028" s="16">
        <f>TRUNC(I1028*D1028,1)</f>
        <v>0</v>
      </c>
      <c r="K1028" s="15">
        <f t="shared" si="192"/>
        <v>0</v>
      </c>
      <c r="L1028" s="16">
        <f t="shared" si="192"/>
        <v>0</v>
      </c>
      <c r="M1028" s="9" t="s">
        <v>52</v>
      </c>
      <c r="N1028" s="2" t="s">
        <v>1052</v>
      </c>
      <c r="O1028" s="2" t="s">
        <v>824</v>
      </c>
      <c r="P1028" s="2" t="s">
        <v>61</v>
      </c>
      <c r="Q1028" s="2" t="s">
        <v>61</v>
      </c>
      <c r="R1028" s="2" t="s">
        <v>60</v>
      </c>
      <c r="S1028" s="3"/>
      <c r="T1028" s="3"/>
      <c r="U1028" s="3"/>
      <c r="V1028" s="3">
        <v>1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2" t="s">
        <v>52</v>
      </c>
      <c r="AW1028" s="2" t="s">
        <v>2182</v>
      </c>
      <c r="AX1028" s="2" t="s">
        <v>52</v>
      </c>
      <c r="AY1028" s="2" t="s">
        <v>52</v>
      </c>
    </row>
    <row r="1029" spans="1:51" ht="30" customHeight="1" x14ac:dyDescent="0.3">
      <c r="A1029" s="9" t="s">
        <v>874</v>
      </c>
      <c r="B1029" s="9" t="s">
        <v>1828</v>
      </c>
      <c r="C1029" s="9" t="s">
        <v>307</v>
      </c>
      <c r="D1029" s="10">
        <v>1</v>
      </c>
      <c r="E1029" s="15">
        <v>0</v>
      </c>
      <c r="F1029" s="16">
        <f>TRUNC(E1029*D1029,1)</f>
        <v>0</v>
      </c>
      <c r="G1029" s="15">
        <v>0</v>
      </c>
      <c r="H1029" s="16">
        <f>TRUNC(G1029*D1029,1)</f>
        <v>0</v>
      </c>
      <c r="I1029" s="15">
        <f>TRUNC(SUMIF(V1027:V1029, RIGHTB(O1029, 1), H1027:H1029)*U1029, 2)</f>
        <v>0</v>
      </c>
      <c r="J1029" s="16">
        <f>TRUNC(I1029*D1029,1)</f>
        <v>0</v>
      </c>
      <c r="K1029" s="15">
        <f t="shared" si="192"/>
        <v>0</v>
      </c>
      <c r="L1029" s="16">
        <f t="shared" si="192"/>
        <v>0</v>
      </c>
      <c r="M1029" s="9" t="s">
        <v>52</v>
      </c>
      <c r="N1029" s="2" t="s">
        <v>1052</v>
      </c>
      <c r="O1029" s="2" t="s">
        <v>809</v>
      </c>
      <c r="P1029" s="2" t="s">
        <v>61</v>
      </c>
      <c r="Q1029" s="2" t="s">
        <v>61</v>
      </c>
      <c r="R1029" s="2" t="s">
        <v>61</v>
      </c>
      <c r="S1029" s="3">
        <v>1</v>
      </c>
      <c r="T1029" s="3">
        <v>2</v>
      </c>
      <c r="U1029" s="3">
        <v>0.04</v>
      </c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2" t="s">
        <v>52</v>
      </c>
      <c r="AW1029" s="2" t="s">
        <v>2183</v>
      </c>
      <c r="AX1029" s="2" t="s">
        <v>52</v>
      </c>
      <c r="AY1029" s="2" t="s">
        <v>52</v>
      </c>
    </row>
    <row r="1030" spans="1:51" ht="30" customHeight="1" x14ac:dyDescent="0.3">
      <c r="A1030" s="9" t="s">
        <v>811</v>
      </c>
      <c r="B1030" s="9" t="s">
        <v>52</v>
      </c>
      <c r="C1030" s="9" t="s">
        <v>52</v>
      </c>
      <c r="D1030" s="10"/>
      <c r="E1030" s="15"/>
      <c r="F1030" s="16">
        <f>TRUNC(SUMIF(N1027:N1029, N1026, F1027:F1029),0)</f>
        <v>0</v>
      </c>
      <c r="G1030" s="15"/>
      <c r="H1030" s="16">
        <f>TRUNC(SUMIF(N1027:N1029, N1026, H1027:H1029),0)</f>
        <v>0</v>
      </c>
      <c r="I1030" s="15"/>
      <c r="J1030" s="16">
        <f>TRUNC(SUMIF(N1027:N1029, N1026, J1027:J1029),0)</f>
        <v>0</v>
      </c>
      <c r="K1030" s="15"/>
      <c r="L1030" s="16">
        <f>F1030+H1030+J1030</f>
        <v>0</v>
      </c>
      <c r="M1030" s="9" t="s">
        <v>52</v>
      </c>
      <c r="N1030" s="2" t="s">
        <v>94</v>
      </c>
      <c r="O1030" s="2" t="s">
        <v>94</v>
      </c>
      <c r="P1030" s="2" t="s">
        <v>52</v>
      </c>
      <c r="Q1030" s="2" t="s">
        <v>52</v>
      </c>
      <c r="R1030" s="2" t="s">
        <v>52</v>
      </c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2" t="s">
        <v>52</v>
      </c>
      <c r="AW1030" s="2" t="s">
        <v>52</v>
      </c>
      <c r="AX1030" s="2" t="s">
        <v>52</v>
      </c>
      <c r="AY1030" s="2" t="s">
        <v>52</v>
      </c>
    </row>
    <row r="1031" spans="1:51" ht="30" customHeight="1" x14ac:dyDescent="0.3">
      <c r="A1031" s="10"/>
      <c r="B1031" s="10"/>
      <c r="C1031" s="10"/>
      <c r="D1031" s="10"/>
      <c r="E1031" s="15"/>
      <c r="F1031" s="16"/>
      <c r="G1031" s="15"/>
      <c r="H1031" s="16"/>
      <c r="I1031" s="15"/>
      <c r="J1031" s="16"/>
      <c r="K1031" s="15"/>
      <c r="L1031" s="16"/>
      <c r="M1031" s="10"/>
    </row>
    <row r="1032" spans="1:51" ht="30" customHeight="1" x14ac:dyDescent="0.3">
      <c r="A1032" s="44" t="s">
        <v>2184</v>
      </c>
      <c r="B1032" s="44"/>
      <c r="C1032" s="44"/>
      <c r="D1032" s="44"/>
      <c r="E1032" s="45"/>
      <c r="F1032" s="46"/>
      <c r="G1032" s="45"/>
      <c r="H1032" s="46"/>
      <c r="I1032" s="45"/>
      <c r="J1032" s="46"/>
      <c r="K1032" s="45"/>
      <c r="L1032" s="46"/>
      <c r="M1032" s="44"/>
      <c r="N1032" s="1" t="s">
        <v>1170</v>
      </c>
    </row>
    <row r="1033" spans="1:51" ht="30" customHeight="1" x14ac:dyDescent="0.3">
      <c r="A1033" s="9" t="s">
        <v>1060</v>
      </c>
      <c r="B1033" s="9" t="s">
        <v>822</v>
      </c>
      <c r="C1033" s="9" t="s">
        <v>823</v>
      </c>
      <c r="D1033" s="10">
        <v>0.03</v>
      </c>
      <c r="E1033" s="15">
        <f>'단가대비표(총체)'!O195</f>
        <v>0</v>
      </c>
      <c r="F1033" s="16">
        <f>TRUNC(E1033*D1033,1)</f>
        <v>0</v>
      </c>
      <c r="G1033" s="15">
        <f>'단가대비표(총체)'!P195</f>
        <v>0</v>
      </c>
      <c r="H1033" s="16">
        <f>TRUNC(G1033*D1033,1)</f>
        <v>0</v>
      </c>
      <c r="I1033" s="15">
        <f>'단가대비표(총체)'!V195</f>
        <v>0</v>
      </c>
      <c r="J1033" s="16">
        <f>TRUNC(I1033*D1033,1)</f>
        <v>0</v>
      </c>
      <c r="K1033" s="15">
        <f>TRUNC(E1033+G1033+I1033,1)</f>
        <v>0</v>
      </c>
      <c r="L1033" s="16">
        <f>TRUNC(F1033+H1033+J1033,1)</f>
        <v>0</v>
      </c>
      <c r="M1033" s="9" t="s">
        <v>52</v>
      </c>
      <c r="N1033" s="2" t="s">
        <v>1170</v>
      </c>
      <c r="O1033" s="2" t="s">
        <v>1061</v>
      </c>
      <c r="P1033" s="2" t="s">
        <v>61</v>
      </c>
      <c r="Q1033" s="2" t="s">
        <v>61</v>
      </c>
      <c r="R1033" s="2" t="s">
        <v>60</v>
      </c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2" t="s">
        <v>52</v>
      </c>
      <c r="AW1033" s="2" t="s">
        <v>2186</v>
      </c>
      <c r="AX1033" s="2" t="s">
        <v>52</v>
      </c>
      <c r="AY1033" s="2" t="s">
        <v>52</v>
      </c>
    </row>
    <row r="1034" spans="1:51" ht="30" customHeight="1" x14ac:dyDescent="0.3">
      <c r="A1034" s="9" t="s">
        <v>821</v>
      </c>
      <c r="B1034" s="9" t="s">
        <v>822</v>
      </c>
      <c r="C1034" s="9" t="s">
        <v>823</v>
      </c>
      <c r="D1034" s="10">
        <v>4.0000000000000001E-3</v>
      </c>
      <c r="E1034" s="15">
        <f>'단가대비표(총체)'!O180</f>
        <v>0</v>
      </c>
      <c r="F1034" s="16">
        <f>TRUNC(E1034*D1034,1)</f>
        <v>0</v>
      </c>
      <c r="G1034" s="15">
        <f>'단가대비표(총체)'!P180</f>
        <v>0</v>
      </c>
      <c r="H1034" s="16">
        <f>TRUNC(G1034*D1034,1)</f>
        <v>0</v>
      </c>
      <c r="I1034" s="15">
        <f>'단가대비표(총체)'!V180</f>
        <v>0</v>
      </c>
      <c r="J1034" s="16">
        <f>TRUNC(I1034*D1034,1)</f>
        <v>0</v>
      </c>
      <c r="K1034" s="15">
        <f>TRUNC(E1034+G1034+I1034,1)</f>
        <v>0</v>
      </c>
      <c r="L1034" s="16">
        <f>TRUNC(F1034+H1034+J1034,1)</f>
        <v>0</v>
      </c>
      <c r="M1034" s="9" t="s">
        <v>52</v>
      </c>
      <c r="N1034" s="2" t="s">
        <v>1170</v>
      </c>
      <c r="O1034" s="2" t="s">
        <v>824</v>
      </c>
      <c r="P1034" s="2" t="s">
        <v>61</v>
      </c>
      <c r="Q1034" s="2" t="s">
        <v>61</v>
      </c>
      <c r="R1034" s="2" t="s">
        <v>60</v>
      </c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2" t="s">
        <v>52</v>
      </c>
      <c r="AW1034" s="2" t="s">
        <v>2187</v>
      </c>
      <c r="AX1034" s="2" t="s">
        <v>52</v>
      </c>
      <c r="AY1034" s="2" t="s">
        <v>52</v>
      </c>
    </row>
    <row r="1035" spans="1:51" ht="30" customHeight="1" x14ac:dyDescent="0.3">
      <c r="A1035" s="9" t="s">
        <v>811</v>
      </c>
      <c r="B1035" s="9" t="s">
        <v>52</v>
      </c>
      <c r="C1035" s="9" t="s">
        <v>52</v>
      </c>
      <c r="D1035" s="10"/>
      <c r="E1035" s="15"/>
      <c r="F1035" s="16">
        <f>TRUNC(SUMIF(N1033:N1034, N1032, F1033:F1034),0)</f>
        <v>0</v>
      </c>
      <c r="G1035" s="15"/>
      <c r="H1035" s="16">
        <f>TRUNC(SUMIF(N1033:N1034, N1032, H1033:H1034),0)</f>
        <v>0</v>
      </c>
      <c r="I1035" s="15"/>
      <c r="J1035" s="16">
        <f>TRUNC(SUMIF(N1033:N1034, N1032, J1033:J1034),0)</f>
        <v>0</v>
      </c>
      <c r="K1035" s="15"/>
      <c r="L1035" s="16">
        <f>F1035+H1035+J1035</f>
        <v>0</v>
      </c>
      <c r="M1035" s="9" t="s">
        <v>52</v>
      </c>
      <c r="N1035" s="2" t="s">
        <v>94</v>
      </c>
      <c r="O1035" s="2" t="s">
        <v>94</v>
      </c>
      <c r="P1035" s="2" t="s">
        <v>52</v>
      </c>
      <c r="Q1035" s="2" t="s">
        <v>52</v>
      </c>
      <c r="R1035" s="2" t="s">
        <v>52</v>
      </c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2" t="s">
        <v>52</v>
      </c>
      <c r="AW1035" s="2" t="s">
        <v>52</v>
      </c>
      <c r="AX1035" s="2" t="s">
        <v>52</v>
      </c>
      <c r="AY1035" s="2" t="s">
        <v>52</v>
      </c>
    </row>
    <row r="1036" spans="1:51" ht="30" customHeight="1" x14ac:dyDescent="0.3">
      <c r="A1036" s="10"/>
      <c r="B1036" s="10"/>
      <c r="C1036" s="10"/>
      <c r="D1036" s="10"/>
      <c r="E1036" s="15"/>
      <c r="F1036" s="16"/>
      <c r="G1036" s="15"/>
      <c r="H1036" s="16"/>
      <c r="I1036" s="15"/>
      <c r="J1036" s="16"/>
      <c r="K1036" s="15"/>
      <c r="L1036" s="16"/>
      <c r="M1036" s="10"/>
    </row>
    <row r="1037" spans="1:51" ht="30" customHeight="1" x14ac:dyDescent="0.3">
      <c r="A1037" s="44" t="s">
        <v>2188</v>
      </c>
      <c r="B1037" s="44"/>
      <c r="C1037" s="44"/>
      <c r="D1037" s="44"/>
      <c r="E1037" s="45"/>
      <c r="F1037" s="46"/>
      <c r="G1037" s="45"/>
      <c r="H1037" s="46"/>
      <c r="I1037" s="45"/>
      <c r="J1037" s="46"/>
      <c r="K1037" s="45"/>
      <c r="L1037" s="46"/>
      <c r="M1037" s="44"/>
      <c r="N1037" s="1" t="s">
        <v>1176</v>
      </c>
    </row>
    <row r="1038" spans="1:51" ht="30" customHeight="1" x14ac:dyDescent="0.3">
      <c r="A1038" s="9" t="s">
        <v>1060</v>
      </c>
      <c r="B1038" s="9" t="s">
        <v>822</v>
      </c>
      <c r="C1038" s="9" t="s">
        <v>823</v>
      </c>
      <c r="D1038" s="10">
        <v>5.2999999999999999E-2</v>
      </c>
      <c r="E1038" s="15">
        <f>'단가대비표(총체)'!O195</f>
        <v>0</v>
      </c>
      <c r="F1038" s="16">
        <f>TRUNC(E1038*D1038,1)</f>
        <v>0</v>
      </c>
      <c r="G1038" s="15">
        <f>'단가대비표(총체)'!P195</f>
        <v>0</v>
      </c>
      <c r="H1038" s="16">
        <f>TRUNC(G1038*D1038,1)</f>
        <v>0</v>
      </c>
      <c r="I1038" s="15">
        <f>'단가대비표(총체)'!V195</f>
        <v>0</v>
      </c>
      <c r="J1038" s="16">
        <f>TRUNC(I1038*D1038,1)</f>
        <v>0</v>
      </c>
      <c r="K1038" s="15">
        <f t="shared" ref="K1038:L1040" si="193">TRUNC(E1038+G1038+I1038,1)</f>
        <v>0</v>
      </c>
      <c r="L1038" s="16">
        <f t="shared" si="193"/>
        <v>0</v>
      </c>
      <c r="M1038" s="9" t="s">
        <v>52</v>
      </c>
      <c r="N1038" s="2" t="s">
        <v>1176</v>
      </c>
      <c r="O1038" s="2" t="s">
        <v>1061</v>
      </c>
      <c r="P1038" s="2" t="s">
        <v>61</v>
      </c>
      <c r="Q1038" s="2" t="s">
        <v>61</v>
      </c>
      <c r="R1038" s="2" t="s">
        <v>60</v>
      </c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2" t="s">
        <v>52</v>
      </c>
      <c r="AW1038" s="2" t="s">
        <v>2190</v>
      </c>
      <c r="AX1038" s="2" t="s">
        <v>52</v>
      </c>
      <c r="AY1038" s="2" t="s">
        <v>52</v>
      </c>
    </row>
    <row r="1039" spans="1:51" ht="30" customHeight="1" x14ac:dyDescent="0.3">
      <c r="A1039" s="9" t="s">
        <v>821</v>
      </c>
      <c r="B1039" s="9" t="s">
        <v>822</v>
      </c>
      <c r="C1039" s="9" t="s">
        <v>823</v>
      </c>
      <c r="D1039" s="10">
        <v>0.02</v>
      </c>
      <c r="E1039" s="15">
        <f>'단가대비표(총체)'!O180</f>
        <v>0</v>
      </c>
      <c r="F1039" s="16">
        <f>TRUNC(E1039*D1039,1)</f>
        <v>0</v>
      </c>
      <c r="G1039" s="15">
        <f>'단가대비표(총체)'!P180</f>
        <v>0</v>
      </c>
      <c r="H1039" s="16">
        <f>TRUNC(G1039*D1039,1)</f>
        <v>0</v>
      </c>
      <c r="I1039" s="15">
        <f>'단가대비표(총체)'!V180</f>
        <v>0</v>
      </c>
      <c r="J1039" s="16">
        <f>TRUNC(I1039*D1039,1)</f>
        <v>0</v>
      </c>
      <c r="K1039" s="15">
        <f t="shared" si="193"/>
        <v>0</v>
      </c>
      <c r="L1039" s="16">
        <f t="shared" si="193"/>
        <v>0</v>
      </c>
      <c r="M1039" s="9" t="s">
        <v>52</v>
      </c>
      <c r="N1039" s="2" t="s">
        <v>1176</v>
      </c>
      <c r="O1039" s="2" t="s">
        <v>824</v>
      </c>
      <c r="P1039" s="2" t="s">
        <v>61</v>
      </c>
      <c r="Q1039" s="2" t="s">
        <v>61</v>
      </c>
      <c r="R1039" s="2" t="s">
        <v>60</v>
      </c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2" t="s">
        <v>52</v>
      </c>
      <c r="AW1039" s="2" t="s">
        <v>2191</v>
      </c>
      <c r="AX1039" s="2" t="s">
        <v>52</v>
      </c>
      <c r="AY1039" s="2" t="s">
        <v>52</v>
      </c>
    </row>
    <row r="1040" spans="1:51" ht="30" customHeight="1" x14ac:dyDescent="0.3">
      <c r="A1040" s="9" t="s">
        <v>1067</v>
      </c>
      <c r="B1040" s="9" t="s">
        <v>1093</v>
      </c>
      <c r="C1040" s="9" t="s">
        <v>1021</v>
      </c>
      <c r="D1040" s="10">
        <v>0.34499999999999997</v>
      </c>
      <c r="E1040" s="15">
        <f>'단가대비표(총체)'!O118</f>
        <v>0</v>
      </c>
      <c r="F1040" s="16">
        <f>TRUNC(E1040*D1040,1)</f>
        <v>0</v>
      </c>
      <c r="G1040" s="15">
        <f>'단가대비표(총체)'!P118</f>
        <v>0</v>
      </c>
      <c r="H1040" s="16">
        <f>TRUNC(G1040*D1040,1)</f>
        <v>0</v>
      </c>
      <c r="I1040" s="15">
        <f>'단가대비표(총체)'!V118</f>
        <v>0</v>
      </c>
      <c r="J1040" s="16">
        <f>TRUNC(I1040*D1040,1)</f>
        <v>0</v>
      </c>
      <c r="K1040" s="15">
        <f t="shared" si="193"/>
        <v>0</v>
      </c>
      <c r="L1040" s="16">
        <f t="shared" si="193"/>
        <v>0</v>
      </c>
      <c r="M1040" s="9" t="s">
        <v>52</v>
      </c>
      <c r="N1040" s="2" t="s">
        <v>1176</v>
      </c>
      <c r="O1040" s="2" t="s">
        <v>1094</v>
      </c>
      <c r="P1040" s="2" t="s">
        <v>61</v>
      </c>
      <c r="Q1040" s="2" t="s">
        <v>61</v>
      </c>
      <c r="R1040" s="2" t="s">
        <v>60</v>
      </c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2" t="s">
        <v>52</v>
      </c>
      <c r="AW1040" s="2" t="s">
        <v>2192</v>
      </c>
      <c r="AX1040" s="2" t="s">
        <v>52</v>
      </c>
      <c r="AY1040" s="2" t="s">
        <v>52</v>
      </c>
    </row>
    <row r="1041" spans="1:51" ht="30" customHeight="1" x14ac:dyDescent="0.3">
      <c r="A1041" s="9" t="s">
        <v>811</v>
      </c>
      <c r="B1041" s="9" t="s">
        <v>52</v>
      </c>
      <c r="C1041" s="9" t="s">
        <v>52</v>
      </c>
      <c r="D1041" s="10"/>
      <c r="E1041" s="15"/>
      <c r="F1041" s="16">
        <f>TRUNC(SUMIF(N1038:N1040, N1037, F1038:F1040),0)</f>
        <v>0</v>
      </c>
      <c r="G1041" s="15"/>
      <c r="H1041" s="16">
        <f>TRUNC(SUMIF(N1038:N1040, N1037, H1038:H1040),0)</f>
        <v>0</v>
      </c>
      <c r="I1041" s="15"/>
      <c r="J1041" s="16">
        <f>TRUNC(SUMIF(N1038:N1040, N1037, J1038:J1040),0)</f>
        <v>0</v>
      </c>
      <c r="K1041" s="15"/>
      <c r="L1041" s="16">
        <f>F1041+H1041+J1041</f>
        <v>0</v>
      </c>
      <c r="M1041" s="9" t="s">
        <v>52</v>
      </c>
      <c r="N1041" s="2" t="s">
        <v>94</v>
      </c>
      <c r="O1041" s="2" t="s">
        <v>94</v>
      </c>
      <c r="P1041" s="2" t="s">
        <v>52</v>
      </c>
      <c r="Q1041" s="2" t="s">
        <v>52</v>
      </c>
      <c r="R1041" s="2" t="s">
        <v>52</v>
      </c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2" t="s">
        <v>52</v>
      </c>
      <c r="AW1041" s="2" t="s">
        <v>52</v>
      </c>
      <c r="AX1041" s="2" t="s">
        <v>52</v>
      </c>
      <c r="AY1041" s="2" t="s">
        <v>52</v>
      </c>
    </row>
    <row r="1042" spans="1:51" ht="30" customHeight="1" x14ac:dyDescent="0.3">
      <c r="A1042" s="10"/>
      <c r="B1042" s="10"/>
      <c r="C1042" s="10"/>
      <c r="D1042" s="10"/>
      <c r="E1042" s="15"/>
      <c r="F1042" s="16"/>
      <c r="G1042" s="15"/>
      <c r="H1042" s="16"/>
      <c r="I1042" s="15"/>
      <c r="J1042" s="16"/>
      <c r="K1042" s="15"/>
      <c r="L1042" s="16"/>
      <c r="M1042" s="10"/>
    </row>
    <row r="1043" spans="1:51" ht="30" customHeight="1" x14ac:dyDescent="0.3">
      <c r="A1043" s="44" t="s">
        <v>2193</v>
      </c>
      <c r="B1043" s="44"/>
      <c r="C1043" s="44"/>
      <c r="D1043" s="44"/>
      <c r="E1043" s="45"/>
      <c r="F1043" s="46"/>
      <c r="G1043" s="45"/>
      <c r="H1043" s="46"/>
      <c r="I1043" s="45"/>
      <c r="J1043" s="46"/>
      <c r="K1043" s="45"/>
      <c r="L1043" s="46"/>
      <c r="M1043" s="44"/>
      <c r="N1043" s="1" t="s">
        <v>1182</v>
      </c>
    </row>
    <row r="1044" spans="1:51" ht="30" customHeight="1" x14ac:dyDescent="0.3">
      <c r="A1044" s="9" t="s">
        <v>1060</v>
      </c>
      <c r="B1044" s="9" t="s">
        <v>822</v>
      </c>
      <c r="C1044" s="9" t="s">
        <v>823</v>
      </c>
      <c r="D1044" s="10">
        <v>0.02</v>
      </c>
      <c r="E1044" s="15">
        <f>'단가대비표(총체)'!O195</f>
        <v>0</v>
      </c>
      <c r="F1044" s="16">
        <f>TRUNC(E1044*D1044,1)</f>
        <v>0</v>
      </c>
      <c r="G1044" s="15">
        <f>'단가대비표(총체)'!P195</f>
        <v>0</v>
      </c>
      <c r="H1044" s="16">
        <f>TRUNC(G1044*D1044,1)</f>
        <v>0</v>
      </c>
      <c r="I1044" s="15">
        <f>'단가대비표(총체)'!V195</f>
        <v>0</v>
      </c>
      <c r="J1044" s="16">
        <f>TRUNC(I1044*D1044,1)</f>
        <v>0</v>
      </c>
      <c r="K1044" s="15">
        <f t="shared" ref="K1044:L1046" si="194">TRUNC(E1044+G1044+I1044,1)</f>
        <v>0</v>
      </c>
      <c r="L1044" s="16">
        <f t="shared" si="194"/>
        <v>0</v>
      </c>
      <c r="M1044" s="9" t="s">
        <v>52</v>
      </c>
      <c r="N1044" s="2" t="s">
        <v>1182</v>
      </c>
      <c r="O1044" s="2" t="s">
        <v>1061</v>
      </c>
      <c r="P1044" s="2" t="s">
        <v>61</v>
      </c>
      <c r="Q1044" s="2" t="s">
        <v>61</v>
      </c>
      <c r="R1044" s="2" t="s">
        <v>60</v>
      </c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2" t="s">
        <v>52</v>
      </c>
      <c r="AW1044" s="2" t="s">
        <v>2195</v>
      </c>
      <c r="AX1044" s="2" t="s">
        <v>52</v>
      </c>
      <c r="AY1044" s="2" t="s">
        <v>52</v>
      </c>
    </row>
    <row r="1045" spans="1:51" ht="30" customHeight="1" x14ac:dyDescent="0.3">
      <c r="A1045" s="9" t="s">
        <v>821</v>
      </c>
      <c r="B1045" s="9" t="s">
        <v>822</v>
      </c>
      <c r="C1045" s="9" t="s">
        <v>823</v>
      </c>
      <c r="D1045" s="10">
        <v>0.01</v>
      </c>
      <c r="E1045" s="15">
        <f>'단가대비표(총체)'!O180</f>
        <v>0</v>
      </c>
      <c r="F1045" s="16">
        <f>TRUNC(E1045*D1045,1)</f>
        <v>0</v>
      </c>
      <c r="G1045" s="15">
        <f>'단가대비표(총체)'!P180</f>
        <v>0</v>
      </c>
      <c r="H1045" s="16">
        <f>TRUNC(G1045*D1045,1)</f>
        <v>0</v>
      </c>
      <c r="I1045" s="15">
        <f>'단가대비표(총체)'!V180</f>
        <v>0</v>
      </c>
      <c r="J1045" s="16">
        <f>TRUNC(I1045*D1045,1)</f>
        <v>0</v>
      </c>
      <c r="K1045" s="15">
        <f t="shared" si="194"/>
        <v>0</v>
      </c>
      <c r="L1045" s="16">
        <f t="shared" si="194"/>
        <v>0</v>
      </c>
      <c r="M1045" s="9" t="s">
        <v>52</v>
      </c>
      <c r="N1045" s="2" t="s">
        <v>1182</v>
      </c>
      <c r="O1045" s="2" t="s">
        <v>824</v>
      </c>
      <c r="P1045" s="2" t="s">
        <v>61</v>
      </c>
      <c r="Q1045" s="2" t="s">
        <v>61</v>
      </c>
      <c r="R1045" s="2" t="s">
        <v>60</v>
      </c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2" t="s">
        <v>52</v>
      </c>
      <c r="AW1045" s="2" t="s">
        <v>2196</v>
      </c>
      <c r="AX1045" s="2" t="s">
        <v>52</v>
      </c>
      <c r="AY1045" s="2" t="s">
        <v>52</v>
      </c>
    </row>
    <row r="1046" spans="1:51" ht="30" customHeight="1" x14ac:dyDescent="0.3">
      <c r="A1046" s="9" t="s">
        <v>1067</v>
      </c>
      <c r="B1046" s="9" t="s">
        <v>1093</v>
      </c>
      <c r="C1046" s="9" t="s">
        <v>1021</v>
      </c>
      <c r="D1046" s="10">
        <v>0.4</v>
      </c>
      <c r="E1046" s="15">
        <f>'단가대비표(총체)'!O118</f>
        <v>0</v>
      </c>
      <c r="F1046" s="16">
        <f>TRUNC(E1046*D1046,1)</f>
        <v>0</v>
      </c>
      <c r="G1046" s="15">
        <f>'단가대비표(총체)'!P118</f>
        <v>0</v>
      </c>
      <c r="H1046" s="16">
        <f>TRUNC(G1046*D1046,1)</f>
        <v>0</v>
      </c>
      <c r="I1046" s="15">
        <f>'단가대비표(총체)'!V118</f>
        <v>0</v>
      </c>
      <c r="J1046" s="16">
        <f>TRUNC(I1046*D1046,1)</f>
        <v>0</v>
      </c>
      <c r="K1046" s="15">
        <f t="shared" si="194"/>
        <v>0</v>
      </c>
      <c r="L1046" s="16">
        <f t="shared" si="194"/>
        <v>0</v>
      </c>
      <c r="M1046" s="9" t="s">
        <v>52</v>
      </c>
      <c r="N1046" s="2" t="s">
        <v>1182</v>
      </c>
      <c r="O1046" s="2" t="s">
        <v>1094</v>
      </c>
      <c r="P1046" s="2" t="s">
        <v>61</v>
      </c>
      <c r="Q1046" s="2" t="s">
        <v>61</v>
      </c>
      <c r="R1046" s="2" t="s">
        <v>60</v>
      </c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2" t="s">
        <v>52</v>
      </c>
      <c r="AW1046" s="2" t="s">
        <v>2197</v>
      </c>
      <c r="AX1046" s="2" t="s">
        <v>52</v>
      </c>
      <c r="AY1046" s="2" t="s">
        <v>52</v>
      </c>
    </row>
    <row r="1047" spans="1:51" ht="30" customHeight="1" x14ac:dyDescent="0.3">
      <c r="A1047" s="9" t="s">
        <v>811</v>
      </c>
      <c r="B1047" s="9" t="s">
        <v>52</v>
      </c>
      <c r="C1047" s="9" t="s">
        <v>52</v>
      </c>
      <c r="D1047" s="10"/>
      <c r="E1047" s="15"/>
      <c r="F1047" s="16">
        <f>TRUNC(SUMIF(N1044:N1046, N1043, F1044:F1046),0)</f>
        <v>0</v>
      </c>
      <c r="G1047" s="15"/>
      <c r="H1047" s="16">
        <f>TRUNC(SUMIF(N1044:N1046, N1043, H1044:H1046),0)</f>
        <v>0</v>
      </c>
      <c r="I1047" s="15"/>
      <c r="J1047" s="16">
        <f>TRUNC(SUMIF(N1044:N1046, N1043, J1044:J1046),0)</f>
        <v>0</v>
      </c>
      <c r="K1047" s="15"/>
      <c r="L1047" s="16">
        <f>F1047+H1047+J1047</f>
        <v>0</v>
      </c>
      <c r="M1047" s="9" t="s">
        <v>52</v>
      </c>
      <c r="N1047" s="2" t="s">
        <v>94</v>
      </c>
      <c r="O1047" s="2" t="s">
        <v>94</v>
      </c>
      <c r="P1047" s="2" t="s">
        <v>52</v>
      </c>
      <c r="Q1047" s="2" t="s">
        <v>52</v>
      </c>
      <c r="R1047" s="2" t="s">
        <v>52</v>
      </c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2" t="s">
        <v>52</v>
      </c>
      <c r="AW1047" s="2" t="s">
        <v>52</v>
      </c>
      <c r="AX1047" s="2" t="s">
        <v>52</v>
      </c>
      <c r="AY1047" s="2" t="s">
        <v>52</v>
      </c>
    </row>
    <row r="1048" spans="1:51" ht="30" customHeight="1" x14ac:dyDescent="0.3">
      <c r="A1048" s="10"/>
      <c r="B1048" s="10"/>
      <c r="C1048" s="10"/>
      <c r="D1048" s="10"/>
      <c r="E1048" s="15"/>
      <c r="F1048" s="16"/>
      <c r="G1048" s="15"/>
      <c r="H1048" s="16"/>
      <c r="I1048" s="15"/>
      <c r="J1048" s="16"/>
      <c r="K1048" s="15"/>
      <c r="L1048" s="16"/>
      <c r="M1048" s="10"/>
    </row>
    <row r="1049" spans="1:51" ht="30" customHeight="1" x14ac:dyDescent="0.3">
      <c r="A1049" s="44" t="s">
        <v>2198</v>
      </c>
      <c r="B1049" s="44"/>
      <c r="C1049" s="44"/>
      <c r="D1049" s="44"/>
      <c r="E1049" s="45"/>
      <c r="F1049" s="46"/>
      <c r="G1049" s="45"/>
      <c r="H1049" s="46"/>
      <c r="I1049" s="45"/>
      <c r="J1049" s="46"/>
      <c r="K1049" s="45"/>
      <c r="L1049" s="46"/>
      <c r="M1049" s="44"/>
      <c r="N1049" s="1" t="s">
        <v>1252</v>
      </c>
    </row>
    <row r="1050" spans="1:51" ht="30" customHeight="1" x14ac:dyDescent="0.3">
      <c r="A1050" s="9" t="s">
        <v>2200</v>
      </c>
      <c r="B1050" s="9" t="s">
        <v>2201</v>
      </c>
      <c r="C1050" s="9" t="s">
        <v>68</v>
      </c>
      <c r="D1050" s="10">
        <v>0.8</v>
      </c>
      <c r="E1050" s="15">
        <f>'단가대비표(총체)'!O44</f>
        <v>0</v>
      </c>
      <c r="F1050" s="16">
        <f>TRUNC(E1050*D1050,1)</f>
        <v>0</v>
      </c>
      <c r="G1050" s="15">
        <f>'단가대비표(총체)'!P44</f>
        <v>0</v>
      </c>
      <c r="H1050" s="16">
        <f>TRUNC(G1050*D1050,1)</f>
        <v>0</v>
      </c>
      <c r="I1050" s="15">
        <f>'단가대비표(총체)'!V44</f>
        <v>0</v>
      </c>
      <c r="J1050" s="16">
        <f>TRUNC(I1050*D1050,1)</f>
        <v>0</v>
      </c>
      <c r="K1050" s="15">
        <f t="shared" ref="K1050:L1052" si="195">TRUNC(E1050+G1050+I1050,1)</f>
        <v>0</v>
      </c>
      <c r="L1050" s="16">
        <f t="shared" si="195"/>
        <v>0</v>
      </c>
      <c r="M1050" s="9" t="s">
        <v>52</v>
      </c>
      <c r="N1050" s="2" t="s">
        <v>1252</v>
      </c>
      <c r="O1050" s="2" t="s">
        <v>2202</v>
      </c>
      <c r="P1050" s="2" t="s">
        <v>61</v>
      </c>
      <c r="Q1050" s="2" t="s">
        <v>61</v>
      </c>
      <c r="R1050" s="2" t="s">
        <v>60</v>
      </c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2" t="s">
        <v>52</v>
      </c>
      <c r="AW1050" s="2" t="s">
        <v>2203</v>
      </c>
      <c r="AX1050" s="2" t="s">
        <v>52</v>
      </c>
      <c r="AY1050" s="2" t="s">
        <v>52</v>
      </c>
    </row>
    <row r="1051" spans="1:51" ht="30" customHeight="1" x14ac:dyDescent="0.3">
      <c r="A1051" s="9" t="s">
        <v>2204</v>
      </c>
      <c r="B1051" s="9" t="s">
        <v>2205</v>
      </c>
      <c r="C1051" s="9" t="s">
        <v>68</v>
      </c>
      <c r="D1051" s="10">
        <v>1.2</v>
      </c>
      <c r="E1051" s="15">
        <f>'단가대비표(총체)'!O45</f>
        <v>0</v>
      </c>
      <c r="F1051" s="16">
        <f>TRUNC(E1051*D1051,1)</f>
        <v>0</v>
      </c>
      <c r="G1051" s="15">
        <f>'단가대비표(총체)'!P45</f>
        <v>0</v>
      </c>
      <c r="H1051" s="16">
        <f>TRUNC(G1051*D1051,1)</f>
        <v>0</v>
      </c>
      <c r="I1051" s="15">
        <f>'단가대비표(총체)'!V45</f>
        <v>0</v>
      </c>
      <c r="J1051" s="16">
        <f>TRUNC(I1051*D1051,1)</f>
        <v>0</v>
      </c>
      <c r="K1051" s="15">
        <f t="shared" si="195"/>
        <v>0</v>
      </c>
      <c r="L1051" s="16">
        <f t="shared" si="195"/>
        <v>0</v>
      </c>
      <c r="M1051" s="9" t="s">
        <v>52</v>
      </c>
      <c r="N1051" s="2" t="s">
        <v>1252</v>
      </c>
      <c r="O1051" s="2" t="s">
        <v>2206</v>
      </c>
      <c r="P1051" s="2" t="s">
        <v>61</v>
      </c>
      <c r="Q1051" s="2" t="s">
        <v>61</v>
      </c>
      <c r="R1051" s="2" t="s">
        <v>60</v>
      </c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2" t="s">
        <v>52</v>
      </c>
      <c r="AW1051" s="2" t="s">
        <v>2207</v>
      </c>
      <c r="AX1051" s="2" t="s">
        <v>52</v>
      </c>
      <c r="AY1051" s="2" t="s">
        <v>52</v>
      </c>
    </row>
    <row r="1052" spans="1:51" ht="30" customHeight="1" x14ac:dyDescent="0.3">
      <c r="A1052" s="9" t="s">
        <v>1067</v>
      </c>
      <c r="B1052" s="9" t="s">
        <v>2208</v>
      </c>
      <c r="C1052" s="9" t="s">
        <v>1021</v>
      </c>
      <c r="D1052" s="10">
        <v>0.3</v>
      </c>
      <c r="E1052" s="15">
        <f>'단가대비표(총체)'!O116</f>
        <v>0</v>
      </c>
      <c r="F1052" s="16">
        <f>TRUNC(E1052*D1052,1)</f>
        <v>0</v>
      </c>
      <c r="G1052" s="15">
        <f>'단가대비표(총체)'!P116</f>
        <v>0</v>
      </c>
      <c r="H1052" s="16">
        <f>TRUNC(G1052*D1052,1)</f>
        <v>0</v>
      </c>
      <c r="I1052" s="15">
        <f>'단가대비표(총체)'!V116</f>
        <v>0</v>
      </c>
      <c r="J1052" s="16">
        <f>TRUNC(I1052*D1052,1)</f>
        <v>0</v>
      </c>
      <c r="K1052" s="15">
        <f t="shared" si="195"/>
        <v>0</v>
      </c>
      <c r="L1052" s="16">
        <f t="shared" si="195"/>
        <v>0</v>
      </c>
      <c r="M1052" s="9" t="s">
        <v>52</v>
      </c>
      <c r="N1052" s="2" t="s">
        <v>1252</v>
      </c>
      <c r="O1052" s="2" t="s">
        <v>2209</v>
      </c>
      <c r="P1052" s="2" t="s">
        <v>61</v>
      </c>
      <c r="Q1052" s="2" t="s">
        <v>61</v>
      </c>
      <c r="R1052" s="2" t="s">
        <v>60</v>
      </c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2" t="s">
        <v>52</v>
      </c>
      <c r="AW1052" s="2" t="s">
        <v>2210</v>
      </c>
      <c r="AX1052" s="2" t="s">
        <v>52</v>
      </c>
      <c r="AY1052" s="2" t="s">
        <v>52</v>
      </c>
    </row>
    <row r="1053" spans="1:51" ht="30" customHeight="1" x14ac:dyDescent="0.3">
      <c r="A1053" s="9" t="s">
        <v>811</v>
      </c>
      <c r="B1053" s="9" t="s">
        <v>52</v>
      </c>
      <c r="C1053" s="9" t="s">
        <v>52</v>
      </c>
      <c r="D1053" s="10"/>
      <c r="E1053" s="15"/>
      <c r="F1053" s="16">
        <f>TRUNC(SUMIF(N1050:N1052, N1049, F1050:F1052),0)</f>
        <v>0</v>
      </c>
      <c r="G1053" s="15"/>
      <c r="H1053" s="16">
        <f>TRUNC(SUMIF(N1050:N1052, N1049, H1050:H1052),0)</f>
        <v>0</v>
      </c>
      <c r="I1053" s="15"/>
      <c r="J1053" s="16">
        <f>TRUNC(SUMIF(N1050:N1052, N1049, J1050:J1052),0)</f>
        <v>0</v>
      </c>
      <c r="K1053" s="15"/>
      <c r="L1053" s="16">
        <f>F1053+H1053+J1053</f>
        <v>0</v>
      </c>
      <c r="M1053" s="9" t="s">
        <v>52</v>
      </c>
      <c r="N1053" s="2" t="s">
        <v>94</v>
      </c>
      <c r="O1053" s="2" t="s">
        <v>94</v>
      </c>
      <c r="P1053" s="2" t="s">
        <v>52</v>
      </c>
      <c r="Q1053" s="2" t="s">
        <v>52</v>
      </c>
      <c r="R1053" s="2" t="s">
        <v>52</v>
      </c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2" t="s">
        <v>52</v>
      </c>
      <c r="AW1053" s="2" t="s">
        <v>52</v>
      </c>
      <c r="AX1053" s="2" t="s">
        <v>52</v>
      </c>
      <c r="AY1053" s="2" t="s">
        <v>52</v>
      </c>
    </row>
    <row r="1054" spans="1:51" ht="30" customHeight="1" x14ac:dyDescent="0.3">
      <c r="A1054" s="10"/>
      <c r="B1054" s="10"/>
      <c r="C1054" s="10"/>
      <c r="D1054" s="10"/>
      <c r="E1054" s="15"/>
      <c r="F1054" s="16"/>
      <c r="G1054" s="15"/>
      <c r="H1054" s="16"/>
      <c r="I1054" s="15"/>
      <c r="J1054" s="16"/>
      <c r="K1054" s="15"/>
      <c r="L1054" s="16"/>
      <c r="M1054" s="10"/>
    </row>
    <row r="1055" spans="1:51" ht="30" customHeight="1" x14ac:dyDescent="0.3">
      <c r="A1055" s="44" t="s">
        <v>2211</v>
      </c>
      <c r="B1055" s="44"/>
      <c r="C1055" s="44"/>
      <c r="D1055" s="44"/>
      <c r="E1055" s="45"/>
      <c r="F1055" s="46"/>
      <c r="G1055" s="45"/>
      <c r="H1055" s="46"/>
      <c r="I1055" s="45"/>
      <c r="J1055" s="46"/>
      <c r="K1055" s="45"/>
      <c r="L1055" s="46"/>
      <c r="M1055" s="44"/>
      <c r="N1055" s="1" t="s">
        <v>1272</v>
      </c>
    </row>
    <row r="1056" spans="1:51" ht="30" customHeight="1" x14ac:dyDescent="0.3">
      <c r="A1056" s="9" t="s">
        <v>1060</v>
      </c>
      <c r="B1056" s="9" t="s">
        <v>822</v>
      </c>
      <c r="C1056" s="9" t="s">
        <v>823</v>
      </c>
      <c r="D1056" s="10">
        <v>1.2E-2</v>
      </c>
      <c r="E1056" s="15">
        <f>'단가대비표(총체)'!O195</f>
        <v>0</v>
      </c>
      <c r="F1056" s="16">
        <f>TRUNC(E1056*D1056,1)</f>
        <v>0</v>
      </c>
      <c r="G1056" s="15">
        <f>'단가대비표(총체)'!P195</f>
        <v>0</v>
      </c>
      <c r="H1056" s="16">
        <f>TRUNC(G1056*D1056,1)</f>
        <v>0</v>
      </c>
      <c r="I1056" s="15">
        <f>'단가대비표(총체)'!V195</f>
        <v>0</v>
      </c>
      <c r="J1056" s="16">
        <f>TRUNC(I1056*D1056,1)</f>
        <v>0</v>
      </c>
      <c r="K1056" s="15">
        <f t="shared" ref="K1056:L1058" si="196">TRUNC(E1056+G1056+I1056,1)</f>
        <v>0</v>
      </c>
      <c r="L1056" s="16">
        <f t="shared" si="196"/>
        <v>0</v>
      </c>
      <c r="M1056" s="9" t="s">
        <v>52</v>
      </c>
      <c r="N1056" s="2" t="s">
        <v>1272</v>
      </c>
      <c r="O1056" s="2" t="s">
        <v>1061</v>
      </c>
      <c r="P1056" s="2" t="s">
        <v>61</v>
      </c>
      <c r="Q1056" s="2" t="s">
        <v>61</v>
      </c>
      <c r="R1056" s="2" t="s">
        <v>60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2" t="s">
        <v>52</v>
      </c>
      <c r="AW1056" s="2" t="s">
        <v>2213</v>
      </c>
      <c r="AX1056" s="2" t="s">
        <v>52</v>
      </c>
      <c r="AY1056" s="2" t="s">
        <v>52</v>
      </c>
    </row>
    <row r="1057" spans="1:51" ht="30" customHeight="1" x14ac:dyDescent="0.3">
      <c r="A1057" s="9" t="s">
        <v>821</v>
      </c>
      <c r="B1057" s="9" t="s">
        <v>822</v>
      </c>
      <c r="C1057" s="9" t="s">
        <v>823</v>
      </c>
      <c r="D1057" s="10">
        <v>0.01</v>
      </c>
      <c r="E1057" s="15">
        <f>'단가대비표(총체)'!O180</f>
        <v>0</v>
      </c>
      <c r="F1057" s="16">
        <f>TRUNC(E1057*D1057,1)</f>
        <v>0</v>
      </c>
      <c r="G1057" s="15">
        <f>'단가대비표(총체)'!P180</f>
        <v>0</v>
      </c>
      <c r="H1057" s="16">
        <f>TRUNC(G1057*D1057,1)</f>
        <v>0</v>
      </c>
      <c r="I1057" s="15">
        <f>'단가대비표(총체)'!V180</f>
        <v>0</v>
      </c>
      <c r="J1057" s="16">
        <f>TRUNC(I1057*D1057,1)</f>
        <v>0</v>
      </c>
      <c r="K1057" s="15">
        <f t="shared" si="196"/>
        <v>0</v>
      </c>
      <c r="L1057" s="16">
        <f t="shared" si="196"/>
        <v>0</v>
      </c>
      <c r="M1057" s="9" t="s">
        <v>52</v>
      </c>
      <c r="N1057" s="2" t="s">
        <v>1272</v>
      </c>
      <c r="O1057" s="2" t="s">
        <v>824</v>
      </c>
      <c r="P1057" s="2" t="s">
        <v>61</v>
      </c>
      <c r="Q1057" s="2" t="s">
        <v>61</v>
      </c>
      <c r="R1057" s="2" t="s">
        <v>60</v>
      </c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2" t="s">
        <v>52</v>
      </c>
      <c r="AW1057" s="2" t="s">
        <v>2214</v>
      </c>
      <c r="AX1057" s="2" t="s">
        <v>52</v>
      </c>
      <c r="AY1057" s="2" t="s">
        <v>52</v>
      </c>
    </row>
    <row r="1058" spans="1:51" ht="30" customHeight="1" x14ac:dyDescent="0.3">
      <c r="A1058" s="9" t="s">
        <v>1067</v>
      </c>
      <c r="B1058" s="9" t="s">
        <v>1093</v>
      </c>
      <c r="C1058" s="9" t="s">
        <v>1021</v>
      </c>
      <c r="D1058" s="10">
        <v>0.12</v>
      </c>
      <c r="E1058" s="15">
        <f>'단가대비표(총체)'!O118</f>
        <v>0</v>
      </c>
      <c r="F1058" s="16">
        <f>TRUNC(E1058*D1058,1)</f>
        <v>0</v>
      </c>
      <c r="G1058" s="15">
        <f>'단가대비표(총체)'!P118</f>
        <v>0</v>
      </c>
      <c r="H1058" s="16">
        <f>TRUNC(G1058*D1058,1)</f>
        <v>0</v>
      </c>
      <c r="I1058" s="15">
        <f>'단가대비표(총체)'!V118</f>
        <v>0</v>
      </c>
      <c r="J1058" s="16">
        <f>TRUNC(I1058*D1058,1)</f>
        <v>0</v>
      </c>
      <c r="K1058" s="15">
        <f t="shared" si="196"/>
        <v>0</v>
      </c>
      <c r="L1058" s="16">
        <f t="shared" si="196"/>
        <v>0</v>
      </c>
      <c r="M1058" s="9" t="s">
        <v>52</v>
      </c>
      <c r="N1058" s="2" t="s">
        <v>1272</v>
      </c>
      <c r="O1058" s="2" t="s">
        <v>1094</v>
      </c>
      <c r="P1058" s="2" t="s">
        <v>61</v>
      </c>
      <c r="Q1058" s="2" t="s">
        <v>61</v>
      </c>
      <c r="R1058" s="2" t="s">
        <v>60</v>
      </c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2" t="s">
        <v>52</v>
      </c>
      <c r="AW1058" s="2" t="s">
        <v>2215</v>
      </c>
      <c r="AX1058" s="2" t="s">
        <v>52</v>
      </c>
      <c r="AY1058" s="2" t="s">
        <v>52</v>
      </c>
    </row>
    <row r="1059" spans="1:51" ht="30" customHeight="1" x14ac:dyDescent="0.3">
      <c r="A1059" s="9" t="s">
        <v>811</v>
      </c>
      <c r="B1059" s="9" t="s">
        <v>52</v>
      </c>
      <c r="C1059" s="9" t="s">
        <v>52</v>
      </c>
      <c r="D1059" s="10"/>
      <c r="E1059" s="15"/>
      <c r="F1059" s="16">
        <f>TRUNC(SUMIF(N1056:N1058, N1055, F1056:F1058),0)</f>
        <v>0</v>
      </c>
      <c r="G1059" s="15"/>
      <c r="H1059" s="16">
        <f>TRUNC(SUMIF(N1056:N1058, N1055, H1056:H1058),0)</f>
        <v>0</v>
      </c>
      <c r="I1059" s="15"/>
      <c r="J1059" s="16">
        <f>TRUNC(SUMIF(N1056:N1058, N1055, J1056:J1058),0)</f>
        <v>0</v>
      </c>
      <c r="K1059" s="15"/>
      <c r="L1059" s="16">
        <f>F1059+H1059+J1059</f>
        <v>0</v>
      </c>
      <c r="M1059" s="9" t="s">
        <v>52</v>
      </c>
      <c r="N1059" s="2" t="s">
        <v>94</v>
      </c>
      <c r="O1059" s="2" t="s">
        <v>94</v>
      </c>
      <c r="P1059" s="2" t="s">
        <v>52</v>
      </c>
      <c r="Q1059" s="2" t="s">
        <v>52</v>
      </c>
      <c r="R1059" s="2" t="s">
        <v>52</v>
      </c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2" t="s">
        <v>52</v>
      </c>
      <c r="AW1059" s="2" t="s">
        <v>52</v>
      </c>
      <c r="AX1059" s="2" t="s">
        <v>52</v>
      </c>
      <c r="AY1059" s="2" t="s">
        <v>52</v>
      </c>
    </row>
    <row r="1060" spans="1:51" ht="30" customHeight="1" x14ac:dyDescent="0.3">
      <c r="A1060" s="10"/>
      <c r="B1060" s="10"/>
      <c r="C1060" s="10"/>
      <c r="D1060" s="10"/>
      <c r="E1060" s="15"/>
      <c r="F1060" s="16"/>
      <c r="G1060" s="15"/>
      <c r="H1060" s="16"/>
      <c r="I1060" s="15"/>
      <c r="J1060" s="16"/>
      <c r="K1060" s="15"/>
      <c r="L1060" s="16"/>
      <c r="M1060" s="10"/>
    </row>
    <row r="1061" spans="1:51" ht="30" customHeight="1" x14ac:dyDescent="0.3">
      <c r="A1061" s="44" t="s">
        <v>2216</v>
      </c>
      <c r="B1061" s="44"/>
      <c r="C1061" s="44"/>
      <c r="D1061" s="44"/>
      <c r="E1061" s="45"/>
      <c r="F1061" s="46"/>
      <c r="G1061" s="45"/>
      <c r="H1061" s="46"/>
      <c r="I1061" s="45"/>
      <c r="J1061" s="46"/>
      <c r="K1061" s="45"/>
      <c r="L1061" s="46"/>
      <c r="M1061" s="44"/>
      <c r="N1061" s="1" t="s">
        <v>1315</v>
      </c>
    </row>
    <row r="1062" spans="1:51" ht="30" customHeight="1" x14ac:dyDescent="0.3">
      <c r="A1062" s="9" t="s">
        <v>1060</v>
      </c>
      <c r="B1062" s="9" t="s">
        <v>822</v>
      </c>
      <c r="C1062" s="9" t="s">
        <v>823</v>
      </c>
      <c r="D1062" s="10">
        <v>3.5000000000000003E-2</v>
      </c>
      <c r="E1062" s="15">
        <f>'단가대비표(총체)'!O195</f>
        <v>0</v>
      </c>
      <c r="F1062" s="16">
        <f>TRUNC(E1062*D1062,1)</f>
        <v>0</v>
      </c>
      <c r="G1062" s="15">
        <f>'단가대비표(총체)'!P195</f>
        <v>0</v>
      </c>
      <c r="H1062" s="16">
        <f>TRUNC(G1062*D1062,1)</f>
        <v>0</v>
      </c>
      <c r="I1062" s="15">
        <f>'단가대비표(총체)'!V195</f>
        <v>0</v>
      </c>
      <c r="J1062" s="16">
        <f>TRUNC(I1062*D1062,1)</f>
        <v>0</v>
      </c>
      <c r="K1062" s="15">
        <f>TRUNC(E1062+G1062+I1062,1)</f>
        <v>0</v>
      </c>
      <c r="L1062" s="16">
        <f>TRUNC(F1062+H1062+J1062,1)</f>
        <v>0</v>
      </c>
      <c r="M1062" s="9" t="s">
        <v>52</v>
      </c>
      <c r="N1062" s="2" t="s">
        <v>1315</v>
      </c>
      <c r="O1062" s="2" t="s">
        <v>1061</v>
      </c>
      <c r="P1062" s="2" t="s">
        <v>61</v>
      </c>
      <c r="Q1062" s="2" t="s">
        <v>61</v>
      </c>
      <c r="R1062" s="2" t="s">
        <v>60</v>
      </c>
      <c r="S1062" s="3"/>
      <c r="T1062" s="3"/>
      <c r="U1062" s="3"/>
      <c r="V1062" s="3">
        <v>1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2" t="s">
        <v>52</v>
      </c>
      <c r="AW1062" s="2" t="s">
        <v>2218</v>
      </c>
      <c r="AX1062" s="2" t="s">
        <v>52</v>
      </c>
      <c r="AY1062" s="2" t="s">
        <v>52</v>
      </c>
    </row>
    <row r="1063" spans="1:51" ht="30" customHeight="1" x14ac:dyDescent="0.3">
      <c r="A1063" s="9" t="s">
        <v>874</v>
      </c>
      <c r="B1063" s="9" t="s">
        <v>1828</v>
      </c>
      <c r="C1063" s="9" t="s">
        <v>307</v>
      </c>
      <c r="D1063" s="10">
        <v>1</v>
      </c>
      <c r="E1063" s="15">
        <v>0</v>
      </c>
      <c r="F1063" s="16">
        <f>TRUNC(E1063*D1063,1)</f>
        <v>0</v>
      </c>
      <c r="G1063" s="15">
        <v>0</v>
      </c>
      <c r="H1063" s="16">
        <f>TRUNC(G1063*D1063,1)</f>
        <v>0</v>
      </c>
      <c r="I1063" s="15">
        <f>TRUNC(SUMIF(V1062:V1063, RIGHTB(O1063, 1), H1062:H1063)*U1063, 2)</f>
        <v>0</v>
      </c>
      <c r="J1063" s="16">
        <f>TRUNC(I1063*D1063,1)</f>
        <v>0</v>
      </c>
      <c r="K1063" s="15">
        <f>TRUNC(E1063+G1063+I1063,1)</f>
        <v>0</v>
      </c>
      <c r="L1063" s="16">
        <f>TRUNC(F1063+H1063+J1063,1)</f>
        <v>0</v>
      </c>
      <c r="M1063" s="9" t="s">
        <v>52</v>
      </c>
      <c r="N1063" s="2" t="s">
        <v>1315</v>
      </c>
      <c r="O1063" s="2" t="s">
        <v>809</v>
      </c>
      <c r="P1063" s="2" t="s">
        <v>61</v>
      </c>
      <c r="Q1063" s="2" t="s">
        <v>61</v>
      </c>
      <c r="R1063" s="2" t="s">
        <v>61</v>
      </c>
      <c r="S1063" s="3">
        <v>1</v>
      </c>
      <c r="T1063" s="3">
        <v>2</v>
      </c>
      <c r="U1063" s="3">
        <v>0.04</v>
      </c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2" t="s">
        <v>52</v>
      </c>
      <c r="AW1063" s="2" t="s">
        <v>2219</v>
      </c>
      <c r="AX1063" s="2" t="s">
        <v>52</v>
      </c>
      <c r="AY1063" s="2" t="s">
        <v>52</v>
      </c>
    </row>
    <row r="1064" spans="1:51" ht="30" customHeight="1" x14ac:dyDescent="0.3">
      <c r="A1064" s="9" t="s">
        <v>811</v>
      </c>
      <c r="B1064" s="9" t="s">
        <v>52</v>
      </c>
      <c r="C1064" s="9" t="s">
        <v>52</v>
      </c>
      <c r="D1064" s="10"/>
      <c r="E1064" s="15"/>
      <c r="F1064" s="16">
        <f>TRUNC(SUMIF(N1062:N1063, N1061, F1062:F1063),0)</f>
        <v>0</v>
      </c>
      <c r="G1064" s="15"/>
      <c r="H1064" s="16">
        <f>TRUNC(SUMIF(N1062:N1063, N1061, H1062:H1063),0)</f>
        <v>0</v>
      </c>
      <c r="I1064" s="15"/>
      <c r="J1064" s="16">
        <f>TRUNC(SUMIF(N1062:N1063, N1061, J1062:J1063),0)</f>
        <v>0</v>
      </c>
      <c r="K1064" s="15"/>
      <c r="L1064" s="16">
        <f>F1064+H1064+J1064</f>
        <v>0</v>
      </c>
      <c r="M1064" s="9" t="s">
        <v>52</v>
      </c>
      <c r="N1064" s="2" t="s">
        <v>94</v>
      </c>
      <c r="O1064" s="2" t="s">
        <v>94</v>
      </c>
      <c r="P1064" s="2" t="s">
        <v>52</v>
      </c>
      <c r="Q1064" s="2" t="s">
        <v>52</v>
      </c>
      <c r="R1064" s="2" t="s">
        <v>52</v>
      </c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2" t="s">
        <v>52</v>
      </c>
      <c r="AW1064" s="2" t="s">
        <v>52</v>
      </c>
      <c r="AX1064" s="2" t="s">
        <v>52</v>
      </c>
      <c r="AY1064" s="2" t="s">
        <v>52</v>
      </c>
    </row>
    <row r="1065" spans="1:51" ht="30" customHeight="1" x14ac:dyDescent="0.3">
      <c r="A1065" s="10"/>
      <c r="B1065" s="10"/>
      <c r="C1065" s="10"/>
      <c r="D1065" s="10"/>
      <c r="E1065" s="15"/>
      <c r="F1065" s="16"/>
      <c r="G1065" s="15"/>
      <c r="H1065" s="16"/>
      <c r="I1065" s="15"/>
      <c r="J1065" s="16"/>
      <c r="K1065" s="15"/>
      <c r="L1065" s="16"/>
      <c r="M1065" s="10"/>
    </row>
    <row r="1066" spans="1:51" ht="30" customHeight="1" x14ac:dyDescent="0.3">
      <c r="A1066" s="44" t="s">
        <v>2220</v>
      </c>
      <c r="B1066" s="44"/>
      <c r="C1066" s="44"/>
      <c r="D1066" s="44"/>
      <c r="E1066" s="45"/>
      <c r="F1066" s="46"/>
      <c r="G1066" s="45"/>
      <c r="H1066" s="46"/>
      <c r="I1066" s="45"/>
      <c r="J1066" s="46"/>
      <c r="K1066" s="45"/>
      <c r="L1066" s="46"/>
      <c r="M1066" s="44"/>
      <c r="N1066" s="1" t="s">
        <v>1331</v>
      </c>
    </row>
    <row r="1067" spans="1:51" ht="30" customHeight="1" x14ac:dyDescent="0.3">
      <c r="A1067" s="9" t="s">
        <v>931</v>
      </c>
      <c r="B1067" s="9" t="s">
        <v>822</v>
      </c>
      <c r="C1067" s="9" t="s">
        <v>823</v>
      </c>
      <c r="D1067" s="10">
        <v>2.4E-2</v>
      </c>
      <c r="E1067" s="15">
        <f>'단가대비표(총체)'!O192</f>
        <v>0</v>
      </c>
      <c r="F1067" s="16">
        <f>TRUNC(E1067*D1067,1)</f>
        <v>0</v>
      </c>
      <c r="G1067" s="15">
        <f>'단가대비표(총체)'!P192</f>
        <v>0</v>
      </c>
      <c r="H1067" s="16">
        <f>TRUNC(G1067*D1067,1)</f>
        <v>0</v>
      </c>
      <c r="I1067" s="15">
        <f>'단가대비표(총체)'!V192</f>
        <v>0</v>
      </c>
      <c r="J1067" s="16">
        <f>TRUNC(I1067*D1067,1)</f>
        <v>0</v>
      </c>
      <c r="K1067" s="15">
        <f>TRUNC(E1067+G1067+I1067,1)</f>
        <v>0</v>
      </c>
      <c r="L1067" s="16">
        <f>TRUNC(F1067+H1067+J1067,1)</f>
        <v>0</v>
      </c>
      <c r="M1067" s="9" t="s">
        <v>52</v>
      </c>
      <c r="N1067" s="2" t="s">
        <v>1331</v>
      </c>
      <c r="O1067" s="2" t="s">
        <v>932</v>
      </c>
      <c r="P1067" s="2" t="s">
        <v>61</v>
      </c>
      <c r="Q1067" s="2" t="s">
        <v>61</v>
      </c>
      <c r="R1067" s="2" t="s">
        <v>60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2" t="s">
        <v>52</v>
      </c>
      <c r="AW1067" s="2" t="s">
        <v>2222</v>
      </c>
      <c r="AX1067" s="2" t="s">
        <v>52</v>
      </c>
      <c r="AY1067" s="2" t="s">
        <v>52</v>
      </c>
    </row>
    <row r="1068" spans="1:51" ht="30" customHeight="1" x14ac:dyDescent="0.3">
      <c r="A1068" s="9" t="s">
        <v>811</v>
      </c>
      <c r="B1068" s="9" t="s">
        <v>52</v>
      </c>
      <c r="C1068" s="9" t="s">
        <v>52</v>
      </c>
      <c r="D1068" s="10"/>
      <c r="E1068" s="15"/>
      <c r="F1068" s="16">
        <f>TRUNC(SUMIF(N1067:N1067, N1066, F1067:F1067),0)</f>
        <v>0</v>
      </c>
      <c r="G1068" s="15"/>
      <c r="H1068" s="16">
        <f>TRUNC(SUMIF(N1067:N1067, N1066, H1067:H1067),0)</f>
        <v>0</v>
      </c>
      <c r="I1068" s="15"/>
      <c r="J1068" s="16">
        <f>TRUNC(SUMIF(N1067:N1067, N1066, J1067:J1067),0)</f>
        <v>0</v>
      </c>
      <c r="K1068" s="15"/>
      <c r="L1068" s="16">
        <f>F1068+H1068+J1068</f>
        <v>0</v>
      </c>
      <c r="M1068" s="9" t="s">
        <v>52</v>
      </c>
      <c r="N1068" s="2" t="s">
        <v>94</v>
      </c>
      <c r="O1068" s="2" t="s">
        <v>94</v>
      </c>
      <c r="P1068" s="2" t="s">
        <v>52</v>
      </c>
      <c r="Q1068" s="2" t="s">
        <v>52</v>
      </c>
      <c r="R1068" s="2" t="s">
        <v>52</v>
      </c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2" t="s">
        <v>52</v>
      </c>
      <c r="AW1068" s="2" t="s">
        <v>52</v>
      </c>
      <c r="AX1068" s="2" t="s">
        <v>52</v>
      </c>
      <c r="AY1068" s="2" t="s">
        <v>52</v>
      </c>
    </row>
    <row r="1069" spans="1:51" ht="30" customHeight="1" x14ac:dyDescent="0.3">
      <c r="A1069" s="10"/>
      <c r="B1069" s="10"/>
      <c r="C1069" s="10"/>
      <c r="D1069" s="10"/>
      <c r="E1069" s="15"/>
      <c r="F1069" s="16"/>
      <c r="G1069" s="15"/>
      <c r="H1069" s="16"/>
      <c r="I1069" s="15"/>
      <c r="J1069" s="16"/>
      <c r="K1069" s="15"/>
      <c r="L1069" s="16"/>
      <c r="M1069" s="10"/>
    </row>
    <row r="1070" spans="1:51" ht="30" customHeight="1" x14ac:dyDescent="0.3">
      <c r="A1070" s="44" t="s">
        <v>2223</v>
      </c>
      <c r="B1070" s="44"/>
      <c r="C1070" s="44"/>
      <c r="D1070" s="44"/>
      <c r="E1070" s="45"/>
      <c r="F1070" s="46"/>
      <c r="G1070" s="45"/>
      <c r="H1070" s="46"/>
      <c r="I1070" s="45"/>
      <c r="J1070" s="46"/>
      <c r="K1070" s="45"/>
      <c r="L1070" s="46"/>
      <c r="M1070" s="44"/>
      <c r="N1070" s="1" t="s">
        <v>1386</v>
      </c>
    </row>
    <row r="1071" spans="1:51" ht="30" customHeight="1" x14ac:dyDescent="0.3">
      <c r="A1071" s="9" t="s">
        <v>1138</v>
      </c>
      <c r="B1071" s="9" t="s">
        <v>822</v>
      </c>
      <c r="C1071" s="9" t="s">
        <v>823</v>
      </c>
      <c r="D1071" s="10">
        <v>1.609E-2</v>
      </c>
      <c r="E1071" s="15">
        <f>'단가대비표(총체)'!O183</f>
        <v>0</v>
      </c>
      <c r="F1071" s="16">
        <f t="shared" ref="F1071:F1076" si="197">TRUNC(E1071*D1071,1)</f>
        <v>0</v>
      </c>
      <c r="G1071" s="15">
        <f>'단가대비표(총체)'!P183</f>
        <v>0</v>
      </c>
      <c r="H1071" s="16">
        <f t="shared" ref="H1071:H1076" si="198">TRUNC(G1071*D1071,1)</f>
        <v>0</v>
      </c>
      <c r="I1071" s="15">
        <f>'단가대비표(총체)'!V183</f>
        <v>0</v>
      </c>
      <c r="J1071" s="16">
        <f t="shared" ref="J1071:J1076" si="199">TRUNC(I1071*D1071,1)</f>
        <v>0</v>
      </c>
      <c r="K1071" s="15">
        <f t="shared" ref="K1071:L1076" si="200">TRUNC(E1071+G1071+I1071,1)</f>
        <v>0</v>
      </c>
      <c r="L1071" s="16">
        <f t="shared" si="200"/>
        <v>0</v>
      </c>
      <c r="M1071" s="9" t="s">
        <v>52</v>
      </c>
      <c r="N1071" s="2" t="s">
        <v>1386</v>
      </c>
      <c r="O1071" s="2" t="s">
        <v>1139</v>
      </c>
      <c r="P1071" s="2" t="s">
        <v>61</v>
      </c>
      <c r="Q1071" s="2" t="s">
        <v>61</v>
      </c>
      <c r="R1071" s="2" t="s">
        <v>60</v>
      </c>
      <c r="S1071" s="3"/>
      <c r="T1071" s="3"/>
      <c r="U1071" s="3"/>
      <c r="V1071" s="3">
        <v>1</v>
      </c>
      <c r="W1071" s="3">
        <v>2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2" t="s">
        <v>52</v>
      </c>
      <c r="AW1071" s="2" t="s">
        <v>2225</v>
      </c>
      <c r="AX1071" s="2" t="s">
        <v>52</v>
      </c>
      <c r="AY1071" s="2" t="s">
        <v>52</v>
      </c>
    </row>
    <row r="1072" spans="1:51" ht="30" customHeight="1" x14ac:dyDescent="0.3">
      <c r="A1072" s="9" t="s">
        <v>1405</v>
      </c>
      <c r="B1072" s="9" t="s">
        <v>822</v>
      </c>
      <c r="C1072" s="9" t="s">
        <v>823</v>
      </c>
      <c r="D1072" s="10">
        <v>4.3899999999999998E-3</v>
      </c>
      <c r="E1072" s="15">
        <f>'단가대비표(총체)'!O184</f>
        <v>0</v>
      </c>
      <c r="F1072" s="16">
        <f t="shared" si="197"/>
        <v>0</v>
      </c>
      <c r="G1072" s="15">
        <f>'단가대비표(총체)'!P184</f>
        <v>0</v>
      </c>
      <c r="H1072" s="16">
        <f t="shared" si="198"/>
        <v>0</v>
      </c>
      <c r="I1072" s="15">
        <f>'단가대비표(총체)'!V184</f>
        <v>0</v>
      </c>
      <c r="J1072" s="16">
        <f t="shared" si="199"/>
        <v>0</v>
      </c>
      <c r="K1072" s="15">
        <f t="shared" si="200"/>
        <v>0</v>
      </c>
      <c r="L1072" s="16">
        <f t="shared" si="200"/>
        <v>0</v>
      </c>
      <c r="M1072" s="9" t="s">
        <v>52</v>
      </c>
      <c r="N1072" s="2" t="s">
        <v>1386</v>
      </c>
      <c r="O1072" s="2" t="s">
        <v>1406</v>
      </c>
      <c r="P1072" s="2" t="s">
        <v>61</v>
      </c>
      <c r="Q1072" s="2" t="s">
        <v>61</v>
      </c>
      <c r="R1072" s="2" t="s">
        <v>60</v>
      </c>
      <c r="S1072" s="3"/>
      <c r="T1072" s="3"/>
      <c r="U1072" s="3"/>
      <c r="V1072" s="3">
        <v>1</v>
      </c>
      <c r="W1072" s="3">
        <v>2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2" t="s">
        <v>52</v>
      </c>
      <c r="AW1072" s="2" t="s">
        <v>2226</v>
      </c>
      <c r="AX1072" s="2" t="s">
        <v>52</v>
      </c>
      <c r="AY1072" s="2" t="s">
        <v>52</v>
      </c>
    </row>
    <row r="1073" spans="1:51" ht="30" customHeight="1" x14ac:dyDescent="0.3">
      <c r="A1073" s="9" t="s">
        <v>1096</v>
      </c>
      <c r="B1073" s="9" t="s">
        <v>822</v>
      </c>
      <c r="C1073" s="9" t="s">
        <v>823</v>
      </c>
      <c r="D1073" s="10">
        <v>5.8500000000000002E-3</v>
      </c>
      <c r="E1073" s="15">
        <f>'단가대비표(총체)'!O181</f>
        <v>0</v>
      </c>
      <c r="F1073" s="16">
        <f t="shared" si="197"/>
        <v>0</v>
      </c>
      <c r="G1073" s="15">
        <f>'단가대비표(총체)'!P181</f>
        <v>0</v>
      </c>
      <c r="H1073" s="16">
        <f t="shared" si="198"/>
        <v>0</v>
      </c>
      <c r="I1073" s="15">
        <f>'단가대비표(총체)'!V181</f>
        <v>0</v>
      </c>
      <c r="J1073" s="16">
        <f t="shared" si="199"/>
        <v>0</v>
      </c>
      <c r="K1073" s="15">
        <f t="shared" si="200"/>
        <v>0</v>
      </c>
      <c r="L1073" s="16">
        <f t="shared" si="200"/>
        <v>0</v>
      </c>
      <c r="M1073" s="9" t="s">
        <v>52</v>
      </c>
      <c r="N1073" s="2" t="s">
        <v>1386</v>
      </c>
      <c r="O1073" s="2" t="s">
        <v>1097</v>
      </c>
      <c r="P1073" s="2" t="s">
        <v>61</v>
      </c>
      <c r="Q1073" s="2" t="s">
        <v>61</v>
      </c>
      <c r="R1073" s="2" t="s">
        <v>60</v>
      </c>
      <c r="S1073" s="3"/>
      <c r="T1073" s="3"/>
      <c r="U1073" s="3"/>
      <c r="V1073" s="3">
        <v>1</v>
      </c>
      <c r="W1073" s="3">
        <v>2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2" t="s">
        <v>52</v>
      </c>
      <c r="AW1073" s="2" t="s">
        <v>2227</v>
      </c>
      <c r="AX1073" s="2" t="s">
        <v>52</v>
      </c>
      <c r="AY1073" s="2" t="s">
        <v>52</v>
      </c>
    </row>
    <row r="1074" spans="1:51" ht="30" customHeight="1" x14ac:dyDescent="0.3">
      <c r="A1074" s="9" t="s">
        <v>821</v>
      </c>
      <c r="B1074" s="9" t="s">
        <v>822</v>
      </c>
      <c r="C1074" s="9" t="s">
        <v>823</v>
      </c>
      <c r="D1074" s="10">
        <v>2.9299999999999999E-3</v>
      </c>
      <c r="E1074" s="15">
        <f>'단가대비표(총체)'!O180</f>
        <v>0</v>
      </c>
      <c r="F1074" s="16">
        <f t="shared" si="197"/>
        <v>0</v>
      </c>
      <c r="G1074" s="15">
        <f>'단가대비표(총체)'!P180</f>
        <v>0</v>
      </c>
      <c r="H1074" s="16">
        <f t="shared" si="198"/>
        <v>0</v>
      </c>
      <c r="I1074" s="15">
        <f>'단가대비표(총체)'!V180</f>
        <v>0</v>
      </c>
      <c r="J1074" s="16">
        <f t="shared" si="199"/>
        <v>0</v>
      </c>
      <c r="K1074" s="15">
        <f t="shared" si="200"/>
        <v>0</v>
      </c>
      <c r="L1074" s="16">
        <f t="shared" si="200"/>
        <v>0</v>
      </c>
      <c r="M1074" s="9" t="s">
        <v>52</v>
      </c>
      <c r="N1074" s="2" t="s">
        <v>1386</v>
      </c>
      <c r="O1074" s="2" t="s">
        <v>824</v>
      </c>
      <c r="P1074" s="2" t="s">
        <v>61</v>
      </c>
      <c r="Q1074" s="2" t="s">
        <v>61</v>
      </c>
      <c r="R1074" s="2" t="s">
        <v>60</v>
      </c>
      <c r="S1074" s="3"/>
      <c r="T1074" s="3"/>
      <c r="U1074" s="3"/>
      <c r="V1074" s="3">
        <v>1</v>
      </c>
      <c r="W1074" s="3">
        <v>2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2" t="s">
        <v>52</v>
      </c>
      <c r="AW1074" s="2" t="s">
        <v>2228</v>
      </c>
      <c r="AX1074" s="2" t="s">
        <v>52</v>
      </c>
      <c r="AY1074" s="2" t="s">
        <v>52</v>
      </c>
    </row>
    <row r="1075" spans="1:51" ht="30" customHeight="1" x14ac:dyDescent="0.3">
      <c r="A1075" s="9" t="s">
        <v>874</v>
      </c>
      <c r="B1075" s="9" t="s">
        <v>1828</v>
      </c>
      <c r="C1075" s="9" t="s">
        <v>307</v>
      </c>
      <c r="D1075" s="10">
        <v>1</v>
      </c>
      <c r="E1075" s="15">
        <v>0</v>
      </c>
      <c r="F1075" s="16">
        <f t="shared" si="197"/>
        <v>0</v>
      </c>
      <c r="G1075" s="15">
        <v>0</v>
      </c>
      <c r="H1075" s="16">
        <f t="shared" si="198"/>
        <v>0</v>
      </c>
      <c r="I1075" s="15">
        <f>TRUNC(SUMIF(V1071:V1076, RIGHTB(O1075, 1), H1071:H1076)*U1075, 2)</f>
        <v>0</v>
      </c>
      <c r="J1075" s="16">
        <f t="shared" si="199"/>
        <v>0</v>
      </c>
      <c r="K1075" s="15">
        <f t="shared" si="200"/>
        <v>0</v>
      </c>
      <c r="L1075" s="16">
        <f t="shared" si="200"/>
        <v>0</v>
      </c>
      <c r="M1075" s="9" t="s">
        <v>52</v>
      </c>
      <c r="N1075" s="2" t="s">
        <v>1386</v>
      </c>
      <c r="O1075" s="2" t="s">
        <v>809</v>
      </c>
      <c r="P1075" s="2" t="s">
        <v>61</v>
      </c>
      <c r="Q1075" s="2" t="s">
        <v>61</v>
      </c>
      <c r="R1075" s="2" t="s">
        <v>61</v>
      </c>
      <c r="S1075" s="3">
        <v>1</v>
      </c>
      <c r="T1075" s="3">
        <v>2</v>
      </c>
      <c r="U1075" s="3">
        <v>0.04</v>
      </c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2" t="s">
        <v>52</v>
      </c>
      <c r="AW1075" s="2" t="s">
        <v>2229</v>
      </c>
      <c r="AX1075" s="2" t="s">
        <v>52</v>
      </c>
      <c r="AY1075" s="2" t="s">
        <v>52</v>
      </c>
    </row>
    <row r="1076" spans="1:51" ht="30" customHeight="1" x14ac:dyDescent="0.3">
      <c r="A1076" s="9" t="s">
        <v>983</v>
      </c>
      <c r="B1076" s="9" t="s">
        <v>891</v>
      </c>
      <c r="C1076" s="9" t="s">
        <v>307</v>
      </c>
      <c r="D1076" s="10">
        <v>1</v>
      </c>
      <c r="E1076" s="15">
        <f>TRUNC(SUMIF(W1071:W1076, RIGHTB(O1076, 1), H1071:H1076)*U1076, 2)</f>
        <v>0</v>
      </c>
      <c r="F1076" s="16">
        <f t="shared" si="197"/>
        <v>0</v>
      </c>
      <c r="G1076" s="15">
        <v>0</v>
      </c>
      <c r="H1076" s="16">
        <f t="shared" si="198"/>
        <v>0</v>
      </c>
      <c r="I1076" s="15">
        <v>0</v>
      </c>
      <c r="J1076" s="16">
        <f t="shared" si="199"/>
        <v>0</v>
      </c>
      <c r="K1076" s="15">
        <f t="shared" si="200"/>
        <v>0</v>
      </c>
      <c r="L1076" s="16">
        <f t="shared" si="200"/>
        <v>0</v>
      </c>
      <c r="M1076" s="9" t="s">
        <v>52</v>
      </c>
      <c r="N1076" s="2" t="s">
        <v>1386</v>
      </c>
      <c r="O1076" s="2" t="s">
        <v>877</v>
      </c>
      <c r="P1076" s="2" t="s">
        <v>61</v>
      </c>
      <c r="Q1076" s="2" t="s">
        <v>61</v>
      </c>
      <c r="R1076" s="2" t="s">
        <v>61</v>
      </c>
      <c r="S1076" s="3">
        <v>1</v>
      </c>
      <c r="T1076" s="3">
        <v>0</v>
      </c>
      <c r="U1076" s="3">
        <v>0.02</v>
      </c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2" t="s">
        <v>52</v>
      </c>
      <c r="AW1076" s="2" t="s">
        <v>2230</v>
      </c>
      <c r="AX1076" s="2" t="s">
        <v>52</v>
      </c>
      <c r="AY1076" s="2" t="s">
        <v>52</v>
      </c>
    </row>
    <row r="1077" spans="1:51" ht="30" customHeight="1" x14ac:dyDescent="0.3">
      <c r="A1077" s="9" t="s">
        <v>811</v>
      </c>
      <c r="B1077" s="9" t="s">
        <v>52</v>
      </c>
      <c r="C1077" s="9" t="s">
        <v>52</v>
      </c>
      <c r="D1077" s="10"/>
      <c r="E1077" s="15"/>
      <c r="F1077" s="16">
        <f>TRUNC(SUMIF(N1071:N1076, N1070, F1071:F1076),0)</f>
        <v>0</v>
      </c>
      <c r="G1077" s="15"/>
      <c r="H1077" s="16">
        <f>TRUNC(SUMIF(N1071:N1076, N1070, H1071:H1076),0)</f>
        <v>0</v>
      </c>
      <c r="I1077" s="15"/>
      <c r="J1077" s="16">
        <f>TRUNC(SUMIF(N1071:N1076, N1070, J1071:J1076),0)</f>
        <v>0</v>
      </c>
      <c r="K1077" s="15"/>
      <c r="L1077" s="16">
        <f>F1077+H1077+J1077</f>
        <v>0</v>
      </c>
      <c r="M1077" s="9" t="s">
        <v>52</v>
      </c>
      <c r="N1077" s="2" t="s">
        <v>94</v>
      </c>
      <c r="O1077" s="2" t="s">
        <v>94</v>
      </c>
      <c r="P1077" s="2" t="s">
        <v>52</v>
      </c>
      <c r="Q1077" s="2" t="s">
        <v>52</v>
      </c>
      <c r="R1077" s="2" t="s">
        <v>52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2" t="s">
        <v>52</v>
      </c>
      <c r="AW1077" s="2" t="s">
        <v>52</v>
      </c>
      <c r="AX1077" s="2" t="s">
        <v>52</v>
      </c>
      <c r="AY1077" s="2" t="s">
        <v>52</v>
      </c>
    </row>
    <row r="1078" spans="1:51" ht="30" customHeight="1" x14ac:dyDescent="0.3">
      <c r="A1078" s="10"/>
      <c r="B1078" s="10"/>
      <c r="C1078" s="10"/>
      <c r="D1078" s="10"/>
      <c r="E1078" s="15"/>
      <c r="F1078" s="16"/>
      <c r="G1078" s="15"/>
      <c r="H1078" s="16"/>
      <c r="I1078" s="15"/>
      <c r="J1078" s="16"/>
      <c r="K1078" s="15"/>
      <c r="L1078" s="16"/>
      <c r="M1078" s="10"/>
    </row>
    <row r="1079" spans="1:51" ht="30" customHeight="1" x14ac:dyDescent="0.3">
      <c r="A1079" s="44" t="s">
        <v>2231</v>
      </c>
      <c r="B1079" s="44"/>
      <c r="C1079" s="44"/>
      <c r="D1079" s="44"/>
      <c r="E1079" s="45"/>
      <c r="F1079" s="46"/>
      <c r="G1079" s="45"/>
      <c r="H1079" s="46"/>
      <c r="I1079" s="45"/>
      <c r="J1079" s="46"/>
      <c r="K1079" s="45"/>
      <c r="L1079" s="46"/>
      <c r="M1079" s="44"/>
      <c r="N1079" s="1" t="s">
        <v>1389</v>
      </c>
    </row>
    <row r="1080" spans="1:51" ht="30" customHeight="1" x14ac:dyDescent="0.3">
      <c r="A1080" s="9" t="s">
        <v>1138</v>
      </c>
      <c r="B1080" s="9" t="s">
        <v>822</v>
      </c>
      <c r="C1080" s="9" t="s">
        <v>823</v>
      </c>
      <c r="D1080" s="10">
        <v>1.238E-2</v>
      </c>
      <c r="E1080" s="15">
        <f>'단가대비표(총체)'!O183</f>
        <v>0</v>
      </c>
      <c r="F1080" s="16">
        <f t="shared" ref="F1080:F1085" si="201">TRUNC(E1080*D1080,1)</f>
        <v>0</v>
      </c>
      <c r="G1080" s="15">
        <f>'단가대비표(총체)'!P183</f>
        <v>0</v>
      </c>
      <c r="H1080" s="16">
        <f t="shared" ref="H1080:H1085" si="202">TRUNC(G1080*D1080,1)</f>
        <v>0</v>
      </c>
      <c r="I1080" s="15">
        <f>'단가대비표(총체)'!V183</f>
        <v>0</v>
      </c>
      <c r="J1080" s="16">
        <f t="shared" ref="J1080:J1085" si="203">TRUNC(I1080*D1080,1)</f>
        <v>0</v>
      </c>
      <c r="K1080" s="15">
        <f t="shared" ref="K1080:L1085" si="204">TRUNC(E1080+G1080+I1080,1)</f>
        <v>0</v>
      </c>
      <c r="L1080" s="16">
        <f t="shared" si="204"/>
        <v>0</v>
      </c>
      <c r="M1080" s="9" t="s">
        <v>52</v>
      </c>
      <c r="N1080" s="2" t="s">
        <v>1389</v>
      </c>
      <c r="O1080" s="2" t="s">
        <v>1139</v>
      </c>
      <c r="P1080" s="2" t="s">
        <v>61</v>
      </c>
      <c r="Q1080" s="2" t="s">
        <v>61</v>
      </c>
      <c r="R1080" s="2" t="s">
        <v>60</v>
      </c>
      <c r="S1080" s="3"/>
      <c r="T1080" s="3"/>
      <c r="U1080" s="3"/>
      <c r="V1080" s="3">
        <v>1</v>
      </c>
      <c r="W1080" s="3">
        <v>2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2" t="s">
        <v>52</v>
      </c>
      <c r="AW1080" s="2" t="s">
        <v>2233</v>
      </c>
      <c r="AX1080" s="2" t="s">
        <v>52</v>
      </c>
      <c r="AY1080" s="2" t="s">
        <v>52</v>
      </c>
    </row>
    <row r="1081" spans="1:51" ht="30" customHeight="1" x14ac:dyDescent="0.3">
      <c r="A1081" s="9" t="s">
        <v>1405</v>
      </c>
      <c r="B1081" s="9" t="s">
        <v>822</v>
      </c>
      <c r="C1081" s="9" t="s">
        <v>823</v>
      </c>
      <c r="D1081" s="10">
        <v>3.3800000000000002E-3</v>
      </c>
      <c r="E1081" s="15">
        <f>'단가대비표(총체)'!O184</f>
        <v>0</v>
      </c>
      <c r="F1081" s="16">
        <f t="shared" si="201"/>
        <v>0</v>
      </c>
      <c r="G1081" s="15">
        <f>'단가대비표(총체)'!P184</f>
        <v>0</v>
      </c>
      <c r="H1081" s="16">
        <f t="shared" si="202"/>
        <v>0</v>
      </c>
      <c r="I1081" s="15">
        <f>'단가대비표(총체)'!V184</f>
        <v>0</v>
      </c>
      <c r="J1081" s="16">
        <f t="shared" si="203"/>
        <v>0</v>
      </c>
      <c r="K1081" s="15">
        <f t="shared" si="204"/>
        <v>0</v>
      </c>
      <c r="L1081" s="16">
        <f t="shared" si="204"/>
        <v>0</v>
      </c>
      <c r="M1081" s="9" t="s">
        <v>52</v>
      </c>
      <c r="N1081" s="2" t="s">
        <v>1389</v>
      </c>
      <c r="O1081" s="2" t="s">
        <v>1406</v>
      </c>
      <c r="P1081" s="2" t="s">
        <v>61</v>
      </c>
      <c r="Q1081" s="2" t="s">
        <v>61</v>
      </c>
      <c r="R1081" s="2" t="s">
        <v>60</v>
      </c>
      <c r="S1081" s="3"/>
      <c r="T1081" s="3"/>
      <c r="U1081" s="3"/>
      <c r="V1081" s="3">
        <v>1</v>
      </c>
      <c r="W1081" s="3">
        <v>2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2" t="s">
        <v>52</v>
      </c>
      <c r="AW1081" s="2" t="s">
        <v>2234</v>
      </c>
      <c r="AX1081" s="2" t="s">
        <v>52</v>
      </c>
      <c r="AY1081" s="2" t="s">
        <v>52</v>
      </c>
    </row>
    <row r="1082" spans="1:51" ht="30" customHeight="1" x14ac:dyDescent="0.3">
      <c r="A1082" s="9" t="s">
        <v>1096</v>
      </c>
      <c r="B1082" s="9" t="s">
        <v>822</v>
      </c>
      <c r="C1082" s="9" t="s">
        <v>823</v>
      </c>
      <c r="D1082" s="10">
        <v>4.4999999999999997E-3</v>
      </c>
      <c r="E1082" s="15">
        <f>'단가대비표(총체)'!O181</f>
        <v>0</v>
      </c>
      <c r="F1082" s="16">
        <f t="shared" si="201"/>
        <v>0</v>
      </c>
      <c r="G1082" s="15">
        <f>'단가대비표(총체)'!P181</f>
        <v>0</v>
      </c>
      <c r="H1082" s="16">
        <f t="shared" si="202"/>
        <v>0</v>
      </c>
      <c r="I1082" s="15">
        <f>'단가대비표(총체)'!V181</f>
        <v>0</v>
      </c>
      <c r="J1082" s="16">
        <f t="shared" si="203"/>
        <v>0</v>
      </c>
      <c r="K1082" s="15">
        <f t="shared" si="204"/>
        <v>0</v>
      </c>
      <c r="L1082" s="16">
        <f t="shared" si="204"/>
        <v>0</v>
      </c>
      <c r="M1082" s="9" t="s">
        <v>52</v>
      </c>
      <c r="N1082" s="2" t="s">
        <v>1389</v>
      </c>
      <c r="O1082" s="2" t="s">
        <v>1097</v>
      </c>
      <c r="P1082" s="2" t="s">
        <v>61</v>
      </c>
      <c r="Q1082" s="2" t="s">
        <v>61</v>
      </c>
      <c r="R1082" s="2" t="s">
        <v>60</v>
      </c>
      <c r="S1082" s="3"/>
      <c r="T1082" s="3"/>
      <c r="U1082" s="3"/>
      <c r="V1082" s="3">
        <v>1</v>
      </c>
      <c r="W1082" s="3">
        <v>2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2" t="s">
        <v>52</v>
      </c>
      <c r="AW1082" s="2" t="s">
        <v>2235</v>
      </c>
      <c r="AX1082" s="2" t="s">
        <v>52</v>
      </c>
      <c r="AY1082" s="2" t="s">
        <v>52</v>
      </c>
    </row>
    <row r="1083" spans="1:51" ht="30" customHeight="1" x14ac:dyDescent="0.3">
      <c r="A1083" s="9" t="s">
        <v>821</v>
      </c>
      <c r="B1083" s="9" t="s">
        <v>822</v>
      </c>
      <c r="C1083" s="9" t="s">
        <v>823</v>
      </c>
      <c r="D1083" s="10">
        <v>2.2499999999999998E-3</v>
      </c>
      <c r="E1083" s="15">
        <f>'단가대비표(총체)'!O180</f>
        <v>0</v>
      </c>
      <c r="F1083" s="16">
        <f t="shared" si="201"/>
        <v>0</v>
      </c>
      <c r="G1083" s="15">
        <f>'단가대비표(총체)'!P180</f>
        <v>0</v>
      </c>
      <c r="H1083" s="16">
        <f t="shared" si="202"/>
        <v>0</v>
      </c>
      <c r="I1083" s="15">
        <f>'단가대비표(총체)'!V180</f>
        <v>0</v>
      </c>
      <c r="J1083" s="16">
        <f t="shared" si="203"/>
        <v>0</v>
      </c>
      <c r="K1083" s="15">
        <f t="shared" si="204"/>
        <v>0</v>
      </c>
      <c r="L1083" s="16">
        <f t="shared" si="204"/>
        <v>0</v>
      </c>
      <c r="M1083" s="9" t="s">
        <v>52</v>
      </c>
      <c r="N1083" s="2" t="s">
        <v>1389</v>
      </c>
      <c r="O1083" s="2" t="s">
        <v>824</v>
      </c>
      <c r="P1083" s="2" t="s">
        <v>61</v>
      </c>
      <c r="Q1083" s="2" t="s">
        <v>61</v>
      </c>
      <c r="R1083" s="2" t="s">
        <v>60</v>
      </c>
      <c r="S1083" s="3"/>
      <c r="T1083" s="3"/>
      <c r="U1083" s="3"/>
      <c r="V1083" s="3">
        <v>1</v>
      </c>
      <c r="W1083" s="3">
        <v>2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2" t="s">
        <v>52</v>
      </c>
      <c r="AW1083" s="2" t="s">
        <v>2236</v>
      </c>
      <c r="AX1083" s="2" t="s">
        <v>52</v>
      </c>
      <c r="AY1083" s="2" t="s">
        <v>52</v>
      </c>
    </row>
    <row r="1084" spans="1:51" ht="30" customHeight="1" x14ac:dyDescent="0.3">
      <c r="A1084" s="9" t="s">
        <v>874</v>
      </c>
      <c r="B1084" s="9" t="s">
        <v>1590</v>
      </c>
      <c r="C1084" s="9" t="s">
        <v>307</v>
      </c>
      <c r="D1084" s="10">
        <v>1</v>
      </c>
      <c r="E1084" s="15">
        <v>0</v>
      </c>
      <c r="F1084" s="16">
        <f t="shared" si="201"/>
        <v>0</v>
      </c>
      <c r="G1084" s="15">
        <v>0</v>
      </c>
      <c r="H1084" s="16">
        <f t="shared" si="202"/>
        <v>0</v>
      </c>
      <c r="I1084" s="15">
        <f>TRUNC(SUMIF(V1080:V1085, RIGHTB(O1084, 1), H1080:H1085)*U1084, 2)</f>
        <v>0</v>
      </c>
      <c r="J1084" s="16">
        <f t="shared" si="203"/>
        <v>0</v>
      </c>
      <c r="K1084" s="15">
        <f t="shared" si="204"/>
        <v>0</v>
      </c>
      <c r="L1084" s="16">
        <f t="shared" si="204"/>
        <v>0</v>
      </c>
      <c r="M1084" s="9" t="s">
        <v>52</v>
      </c>
      <c r="N1084" s="2" t="s">
        <v>1389</v>
      </c>
      <c r="O1084" s="2" t="s">
        <v>809</v>
      </c>
      <c r="P1084" s="2" t="s">
        <v>61</v>
      </c>
      <c r="Q1084" s="2" t="s">
        <v>61</v>
      </c>
      <c r="R1084" s="2" t="s">
        <v>61</v>
      </c>
      <c r="S1084" s="3">
        <v>1</v>
      </c>
      <c r="T1084" s="3">
        <v>2</v>
      </c>
      <c r="U1084" s="3">
        <v>0.05</v>
      </c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2" t="s">
        <v>52</v>
      </c>
      <c r="AW1084" s="2" t="s">
        <v>2237</v>
      </c>
      <c r="AX1084" s="2" t="s">
        <v>52</v>
      </c>
      <c r="AY1084" s="2" t="s">
        <v>52</v>
      </c>
    </row>
    <row r="1085" spans="1:51" ht="30" customHeight="1" x14ac:dyDescent="0.3">
      <c r="A1085" s="9" t="s">
        <v>983</v>
      </c>
      <c r="B1085" s="9" t="s">
        <v>875</v>
      </c>
      <c r="C1085" s="9" t="s">
        <v>307</v>
      </c>
      <c r="D1085" s="10">
        <v>1</v>
      </c>
      <c r="E1085" s="15">
        <f>TRUNC(SUMIF(W1080:W1085, RIGHTB(O1085, 1), H1080:H1085)*U1085, 2)</f>
        <v>0</v>
      </c>
      <c r="F1085" s="16">
        <f t="shared" si="201"/>
        <v>0</v>
      </c>
      <c r="G1085" s="15">
        <v>0</v>
      </c>
      <c r="H1085" s="16">
        <f t="shared" si="202"/>
        <v>0</v>
      </c>
      <c r="I1085" s="15">
        <v>0</v>
      </c>
      <c r="J1085" s="16">
        <f t="shared" si="203"/>
        <v>0</v>
      </c>
      <c r="K1085" s="15">
        <f t="shared" si="204"/>
        <v>0</v>
      </c>
      <c r="L1085" s="16">
        <f t="shared" si="204"/>
        <v>0</v>
      </c>
      <c r="M1085" s="9" t="s">
        <v>52</v>
      </c>
      <c r="N1085" s="2" t="s">
        <v>1389</v>
      </c>
      <c r="O1085" s="2" t="s">
        <v>877</v>
      </c>
      <c r="P1085" s="2" t="s">
        <v>61</v>
      </c>
      <c r="Q1085" s="2" t="s">
        <v>61</v>
      </c>
      <c r="R1085" s="2" t="s">
        <v>61</v>
      </c>
      <c r="S1085" s="3">
        <v>1</v>
      </c>
      <c r="T1085" s="3">
        <v>0</v>
      </c>
      <c r="U1085" s="3">
        <v>0.03</v>
      </c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2" t="s">
        <v>52</v>
      </c>
      <c r="AW1085" s="2" t="s">
        <v>2238</v>
      </c>
      <c r="AX1085" s="2" t="s">
        <v>52</v>
      </c>
      <c r="AY1085" s="2" t="s">
        <v>52</v>
      </c>
    </row>
    <row r="1086" spans="1:51" ht="30" customHeight="1" x14ac:dyDescent="0.3">
      <c r="A1086" s="9" t="s">
        <v>811</v>
      </c>
      <c r="B1086" s="9" t="s">
        <v>52</v>
      </c>
      <c r="C1086" s="9" t="s">
        <v>52</v>
      </c>
      <c r="D1086" s="10"/>
      <c r="E1086" s="15"/>
      <c r="F1086" s="16">
        <f>TRUNC(SUMIF(N1080:N1085, N1079, F1080:F1085),0)</f>
        <v>0</v>
      </c>
      <c r="G1086" s="15"/>
      <c r="H1086" s="16">
        <f>TRUNC(SUMIF(N1080:N1085, N1079, H1080:H1085),0)</f>
        <v>0</v>
      </c>
      <c r="I1086" s="15"/>
      <c r="J1086" s="16">
        <f>TRUNC(SUMIF(N1080:N1085, N1079, J1080:J1085),0)</f>
        <v>0</v>
      </c>
      <c r="K1086" s="15"/>
      <c r="L1086" s="16">
        <f>F1086+H1086+J1086</f>
        <v>0</v>
      </c>
      <c r="M1086" s="9" t="s">
        <v>52</v>
      </c>
      <c r="N1086" s="2" t="s">
        <v>94</v>
      </c>
      <c r="O1086" s="2" t="s">
        <v>94</v>
      </c>
      <c r="P1086" s="2" t="s">
        <v>52</v>
      </c>
      <c r="Q1086" s="2" t="s">
        <v>52</v>
      </c>
      <c r="R1086" s="2" t="s">
        <v>52</v>
      </c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2" t="s">
        <v>52</v>
      </c>
      <c r="AW1086" s="2" t="s">
        <v>52</v>
      </c>
      <c r="AX1086" s="2" t="s">
        <v>52</v>
      </c>
      <c r="AY1086" s="2" t="s">
        <v>52</v>
      </c>
    </row>
    <row r="1087" spans="1:51" ht="30" customHeight="1" x14ac:dyDescent="0.3">
      <c r="A1087" s="10"/>
      <c r="B1087" s="10"/>
      <c r="C1087" s="10"/>
      <c r="D1087" s="10"/>
      <c r="E1087" s="15"/>
      <c r="F1087" s="16"/>
      <c r="G1087" s="15"/>
      <c r="H1087" s="16"/>
      <c r="I1087" s="15"/>
      <c r="J1087" s="16"/>
      <c r="K1087" s="15"/>
      <c r="L1087" s="16"/>
      <c r="M1087" s="10"/>
    </row>
    <row r="1088" spans="1:51" ht="30" customHeight="1" x14ac:dyDescent="0.3">
      <c r="A1088" s="44" t="s">
        <v>2239</v>
      </c>
      <c r="B1088" s="44"/>
      <c r="C1088" s="44"/>
      <c r="D1088" s="44"/>
      <c r="E1088" s="45"/>
      <c r="F1088" s="46"/>
      <c r="G1088" s="45"/>
      <c r="H1088" s="46"/>
      <c r="I1088" s="45"/>
      <c r="J1088" s="46"/>
      <c r="K1088" s="45"/>
      <c r="L1088" s="46"/>
      <c r="M1088" s="44"/>
      <c r="N1088" s="1" t="s">
        <v>1418</v>
      </c>
    </row>
    <row r="1089" spans="1:51" ht="30" customHeight="1" x14ac:dyDescent="0.3">
      <c r="A1089" s="9" t="s">
        <v>2015</v>
      </c>
      <c r="B1089" s="9" t="s">
        <v>822</v>
      </c>
      <c r="C1089" s="9" t="s">
        <v>823</v>
      </c>
      <c r="D1089" s="10">
        <v>0.313</v>
      </c>
      <c r="E1089" s="15">
        <f>'단가대비표(총체)'!O189</f>
        <v>0</v>
      </c>
      <c r="F1089" s="16">
        <f>TRUNC(E1089*D1089,1)</f>
        <v>0</v>
      </c>
      <c r="G1089" s="15">
        <f>'단가대비표(총체)'!P189</f>
        <v>0</v>
      </c>
      <c r="H1089" s="16">
        <f>TRUNC(G1089*D1089,1)</f>
        <v>0</v>
      </c>
      <c r="I1089" s="15">
        <f>'단가대비표(총체)'!V189</f>
        <v>0</v>
      </c>
      <c r="J1089" s="16">
        <f>TRUNC(I1089*D1089,1)</f>
        <v>0</v>
      </c>
      <c r="K1089" s="15">
        <f t="shared" ref="K1089:L1091" si="205">TRUNC(E1089+G1089+I1089,1)</f>
        <v>0</v>
      </c>
      <c r="L1089" s="16">
        <f t="shared" si="205"/>
        <v>0</v>
      </c>
      <c r="M1089" s="9" t="s">
        <v>52</v>
      </c>
      <c r="N1089" s="2" t="s">
        <v>1418</v>
      </c>
      <c r="O1089" s="2" t="s">
        <v>2016</v>
      </c>
      <c r="P1089" s="2" t="s">
        <v>61</v>
      </c>
      <c r="Q1089" s="2" t="s">
        <v>61</v>
      </c>
      <c r="R1089" s="2" t="s">
        <v>60</v>
      </c>
      <c r="S1089" s="3"/>
      <c r="T1089" s="3"/>
      <c r="U1089" s="3"/>
      <c r="V1089" s="3">
        <v>1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2" t="s">
        <v>52</v>
      </c>
      <c r="AW1089" s="2" t="s">
        <v>2241</v>
      </c>
      <c r="AX1089" s="2" t="s">
        <v>52</v>
      </c>
      <c r="AY1089" s="2" t="s">
        <v>52</v>
      </c>
    </row>
    <row r="1090" spans="1:51" ht="30" customHeight="1" x14ac:dyDescent="0.3">
      <c r="A1090" s="9" t="s">
        <v>821</v>
      </c>
      <c r="B1090" s="9" t="s">
        <v>822</v>
      </c>
      <c r="C1090" s="9" t="s">
        <v>823</v>
      </c>
      <c r="D1090" s="10">
        <v>6.4000000000000001E-2</v>
      </c>
      <c r="E1090" s="15">
        <f>'단가대비표(총체)'!O180</f>
        <v>0</v>
      </c>
      <c r="F1090" s="16">
        <f>TRUNC(E1090*D1090,1)</f>
        <v>0</v>
      </c>
      <c r="G1090" s="15">
        <f>'단가대비표(총체)'!P180</f>
        <v>0</v>
      </c>
      <c r="H1090" s="16">
        <f>TRUNC(G1090*D1090,1)</f>
        <v>0</v>
      </c>
      <c r="I1090" s="15">
        <f>'단가대비표(총체)'!V180</f>
        <v>0</v>
      </c>
      <c r="J1090" s="16">
        <f>TRUNC(I1090*D1090,1)</f>
        <v>0</v>
      </c>
      <c r="K1090" s="15">
        <f t="shared" si="205"/>
        <v>0</v>
      </c>
      <c r="L1090" s="16">
        <f t="shared" si="205"/>
        <v>0</v>
      </c>
      <c r="M1090" s="9" t="s">
        <v>52</v>
      </c>
      <c r="N1090" s="2" t="s">
        <v>1418</v>
      </c>
      <c r="O1090" s="2" t="s">
        <v>824</v>
      </c>
      <c r="P1090" s="2" t="s">
        <v>61</v>
      </c>
      <c r="Q1090" s="2" t="s">
        <v>61</v>
      </c>
      <c r="R1090" s="2" t="s">
        <v>60</v>
      </c>
      <c r="S1090" s="3"/>
      <c r="T1090" s="3"/>
      <c r="U1090" s="3"/>
      <c r="V1090" s="3">
        <v>1</v>
      </c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2" t="s">
        <v>52</v>
      </c>
      <c r="AW1090" s="2" t="s">
        <v>2242</v>
      </c>
      <c r="AX1090" s="2" t="s">
        <v>52</v>
      </c>
      <c r="AY1090" s="2" t="s">
        <v>52</v>
      </c>
    </row>
    <row r="1091" spans="1:51" ht="30" customHeight="1" x14ac:dyDescent="0.3">
      <c r="A1091" s="9" t="s">
        <v>874</v>
      </c>
      <c r="B1091" s="9" t="s">
        <v>875</v>
      </c>
      <c r="C1091" s="9" t="s">
        <v>307</v>
      </c>
      <c r="D1091" s="10">
        <v>1</v>
      </c>
      <c r="E1091" s="15">
        <v>0</v>
      </c>
      <c r="F1091" s="16">
        <f>TRUNC(E1091*D1091,1)</f>
        <v>0</v>
      </c>
      <c r="G1091" s="15">
        <v>0</v>
      </c>
      <c r="H1091" s="16">
        <f>TRUNC(G1091*D1091,1)</f>
        <v>0</v>
      </c>
      <c r="I1091" s="15">
        <f>TRUNC(SUMIF(V1089:V1091, RIGHTB(O1091, 1), H1089:H1091)*U1091, 2)</f>
        <v>0</v>
      </c>
      <c r="J1091" s="16">
        <f>TRUNC(I1091*D1091,1)</f>
        <v>0</v>
      </c>
      <c r="K1091" s="15">
        <f t="shared" si="205"/>
        <v>0</v>
      </c>
      <c r="L1091" s="16">
        <f t="shared" si="205"/>
        <v>0</v>
      </c>
      <c r="M1091" s="9" t="s">
        <v>52</v>
      </c>
      <c r="N1091" s="2" t="s">
        <v>1418</v>
      </c>
      <c r="O1091" s="2" t="s">
        <v>809</v>
      </c>
      <c r="P1091" s="2" t="s">
        <v>61</v>
      </c>
      <c r="Q1091" s="2" t="s">
        <v>61</v>
      </c>
      <c r="R1091" s="2" t="s">
        <v>61</v>
      </c>
      <c r="S1091" s="3">
        <v>1</v>
      </c>
      <c r="T1091" s="3">
        <v>2</v>
      </c>
      <c r="U1091" s="3">
        <v>0.03</v>
      </c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2" t="s">
        <v>52</v>
      </c>
      <c r="AW1091" s="2" t="s">
        <v>2243</v>
      </c>
      <c r="AX1091" s="2" t="s">
        <v>52</v>
      </c>
      <c r="AY1091" s="2" t="s">
        <v>52</v>
      </c>
    </row>
    <row r="1092" spans="1:51" ht="30" customHeight="1" x14ac:dyDescent="0.3">
      <c r="A1092" s="9" t="s">
        <v>811</v>
      </c>
      <c r="B1092" s="9" t="s">
        <v>52</v>
      </c>
      <c r="C1092" s="9" t="s">
        <v>52</v>
      </c>
      <c r="D1092" s="10"/>
      <c r="E1092" s="15"/>
      <c r="F1092" s="16">
        <f>TRUNC(SUMIF(N1089:N1091, N1088, F1089:F1091),0)</f>
        <v>0</v>
      </c>
      <c r="G1092" s="15"/>
      <c r="H1092" s="16">
        <f>TRUNC(SUMIF(N1089:N1091, N1088, H1089:H1091),0)</f>
        <v>0</v>
      </c>
      <c r="I1092" s="15"/>
      <c r="J1092" s="16">
        <f>TRUNC(SUMIF(N1089:N1091, N1088, J1089:J1091),0)</f>
        <v>0</v>
      </c>
      <c r="K1092" s="15"/>
      <c r="L1092" s="16">
        <f>F1092+H1092+J1092</f>
        <v>0</v>
      </c>
      <c r="M1092" s="9" t="s">
        <v>52</v>
      </c>
      <c r="N1092" s="2" t="s">
        <v>94</v>
      </c>
      <c r="O1092" s="2" t="s">
        <v>94</v>
      </c>
      <c r="P1092" s="2" t="s">
        <v>52</v>
      </c>
      <c r="Q1092" s="2" t="s">
        <v>52</v>
      </c>
      <c r="R1092" s="2" t="s">
        <v>52</v>
      </c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2" t="s">
        <v>52</v>
      </c>
      <c r="AW1092" s="2" t="s">
        <v>52</v>
      </c>
      <c r="AX1092" s="2" t="s">
        <v>52</v>
      </c>
      <c r="AY1092" s="2" t="s">
        <v>52</v>
      </c>
    </row>
    <row r="1093" spans="1:51" ht="30" customHeight="1" x14ac:dyDescent="0.3">
      <c r="A1093" s="10"/>
      <c r="B1093" s="10"/>
      <c r="C1093" s="10"/>
      <c r="D1093" s="10"/>
      <c r="E1093" s="15"/>
      <c r="F1093" s="16"/>
      <c r="G1093" s="15"/>
      <c r="H1093" s="16"/>
      <c r="I1093" s="15"/>
      <c r="J1093" s="16"/>
      <c r="K1093" s="15"/>
      <c r="L1093" s="16"/>
      <c r="M1093" s="10"/>
    </row>
    <row r="1094" spans="1:51" ht="30" customHeight="1" x14ac:dyDescent="0.3">
      <c r="A1094" s="44" t="s">
        <v>2244</v>
      </c>
      <c r="B1094" s="44"/>
      <c r="C1094" s="44"/>
      <c r="D1094" s="44"/>
      <c r="E1094" s="45"/>
      <c r="F1094" s="46"/>
      <c r="G1094" s="45"/>
      <c r="H1094" s="46"/>
      <c r="I1094" s="45"/>
      <c r="J1094" s="46"/>
      <c r="K1094" s="45"/>
      <c r="L1094" s="46"/>
      <c r="M1094" s="44"/>
      <c r="N1094" s="1" t="s">
        <v>1429</v>
      </c>
    </row>
    <row r="1095" spans="1:51" ht="30" customHeight="1" x14ac:dyDescent="0.3">
      <c r="A1095" s="9" t="s">
        <v>2015</v>
      </c>
      <c r="B1095" s="9" t="s">
        <v>822</v>
      </c>
      <c r="C1095" s="9" t="s">
        <v>823</v>
      </c>
      <c r="D1095" s="10">
        <v>3.1E-2</v>
      </c>
      <c r="E1095" s="15">
        <f>'단가대비표(총체)'!O189</f>
        <v>0</v>
      </c>
      <c r="F1095" s="16">
        <f>TRUNC(E1095*D1095,1)</f>
        <v>0</v>
      </c>
      <c r="G1095" s="15">
        <f>'단가대비표(총체)'!P189</f>
        <v>0</v>
      </c>
      <c r="H1095" s="16">
        <f>TRUNC(G1095*D1095,1)</f>
        <v>0</v>
      </c>
      <c r="I1095" s="15">
        <f>'단가대비표(총체)'!V189</f>
        <v>0</v>
      </c>
      <c r="J1095" s="16">
        <f>TRUNC(I1095*D1095,1)</f>
        <v>0</v>
      </c>
      <c r="K1095" s="15">
        <f>TRUNC(E1095+G1095+I1095,1)</f>
        <v>0</v>
      </c>
      <c r="L1095" s="16">
        <f>TRUNC(F1095+H1095+J1095,1)</f>
        <v>0</v>
      </c>
      <c r="M1095" s="9" t="s">
        <v>52</v>
      </c>
      <c r="N1095" s="2" t="s">
        <v>1429</v>
      </c>
      <c r="O1095" s="2" t="s">
        <v>2016</v>
      </c>
      <c r="P1095" s="2" t="s">
        <v>61</v>
      </c>
      <c r="Q1095" s="2" t="s">
        <v>61</v>
      </c>
      <c r="R1095" s="2" t="s">
        <v>60</v>
      </c>
      <c r="S1095" s="3"/>
      <c r="T1095" s="3"/>
      <c r="U1095" s="3"/>
      <c r="V1095" s="3">
        <v>1</v>
      </c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2" t="s">
        <v>52</v>
      </c>
      <c r="AW1095" s="2" t="s">
        <v>2246</v>
      </c>
      <c r="AX1095" s="2" t="s">
        <v>52</v>
      </c>
      <c r="AY1095" s="2" t="s">
        <v>52</v>
      </c>
    </row>
    <row r="1096" spans="1:51" ht="30" customHeight="1" x14ac:dyDescent="0.3">
      <c r="A1096" s="9" t="s">
        <v>874</v>
      </c>
      <c r="B1096" s="9" t="s">
        <v>1828</v>
      </c>
      <c r="C1096" s="9" t="s">
        <v>307</v>
      </c>
      <c r="D1096" s="10">
        <v>1</v>
      </c>
      <c r="E1096" s="15">
        <v>0</v>
      </c>
      <c r="F1096" s="16">
        <f>TRUNC(E1096*D1096,1)</f>
        <v>0</v>
      </c>
      <c r="G1096" s="15">
        <v>0</v>
      </c>
      <c r="H1096" s="16">
        <f>TRUNC(G1096*D1096,1)</f>
        <v>0</v>
      </c>
      <c r="I1096" s="15">
        <f>TRUNC(SUMIF(V1095:V1096, RIGHTB(O1096, 1), H1095:H1096)*U1096, 2)</f>
        <v>0</v>
      </c>
      <c r="J1096" s="16">
        <f>TRUNC(I1096*D1096,1)</f>
        <v>0</v>
      </c>
      <c r="K1096" s="15">
        <f>TRUNC(E1096+G1096+I1096,1)</f>
        <v>0</v>
      </c>
      <c r="L1096" s="16">
        <f>TRUNC(F1096+H1096+J1096,1)</f>
        <v>0</v>
      </c>
      <c r="M1096" s="9" t="s">
        <v>52</v>
      </c>
      <c r="N1096" s="2" t="s">
        <v>1429</v>
      </c>
      <c r="O1096" s="2" t="s">
        <v>809</v>
      </c>
      <c r="P1096" s="2" t="s">
        <v>61</v>
      </c>
      <c r="Q1096" s="2" t="s">
        <v>61</v>
      </c>
      <c r="R1096" s="2" t="s">
        <v>61</v>
      </c>
      <c r="S1096" s="3">
        <v>1</v>
      </c>
      <c r="T1096" s="3">
        <v>2</v>
      </c>
      <c r="U1096" s="3">
        <v>0.04</v>
      </c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2" t="s">
        <v>52</v>
      </c>
      <c r="AW1096" s="2" t="s">
        <v>2247</v>
      </c>
      <c r="AX1096" s="2" t="s">
        <v>52</v>
      </c>
      <c r="AY1096" s="2" t="s">
        <v>52</v>
      </c>
    </row>
    <row r="1097" spans="1:51" ht="30" customHeight="1" x14ac:dyDescent="0.3">
      <c r="A1097" s="9" t="s">
        <v>811</v>
      </c>
      <c r="B1097" s="9" t="s">
        <v>52</v>
      </c>
      <c r="C1097" s="9" t="s">
        <v>52</v>
      </c>
      <c r="D1097" s="10"/>
      <c r="E1097" s="15"/>
      <c r="F1097" s="16">
        <f>TRUNC(SUMIF(N1095:N1096, N1094, F1095:F1096),0)</f>
        <v>0</v>
      </c>
      <c r="G1097" s="15"/>
      <c r="H1097" s="16">
        <f>TRUNC(SUMIF(N1095:N1096, N1094, H1095:H1096),0)</f>
        <v>0</v>
      </c>
      <c r="I1097" s="15"/>
      <c r="J1097" s="16">
        <f>TRUNC(SUMIF(N1095:N1096, N1094, J1095:J1096),0)</f>
        <v>0</v>
      </c>
      <c r="K1097" s="15"/>
      <c r="L1097" s="16">
        <f>F1097+H1097+J1097</f>
        <v>0</v>
      </c>
      <c r="M1097" s="9" t="s">
        <v>52</v>
      </c>
      <c r="N1097" s="2" t="s">
        <v>94</v>
      </c>
      <c r="O1097" s="2" t="s">
        <v>94</v>
      </c>
      <c r="P1097" s="2" t="s">
        <v>52</v>
      </c>
      <c r="Q1097" s="2" t="s">
        <v>52</v>
      </c>
      <c r="R1097" s="2" t="s">
        <v>52</v>
      </c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2" t="s">
        <v>52</v>
      </c>
      <c r="AW1097" s="2" t="s">
        <v>52</v>
      </c>
      <c r="AX1097" s="2" t="s">
        <v>52</v>
      </c>
      <c r="AY1097" s="2" t="s">
        <v>52</v>
      </c>
    </row>
    <row r="1098" spans="1:51" ht="30" customHeight="1" x14ac:dyDescent="0.3">
      <c r="A1098" s="10"/>
      <c r="B1098" s="10"/>
      <c r="C1098" s="10"/>
      <c r="D1098" s="10"/>
      <c r="E1098" s="15"/>
      <c r="F1098" s="16"/>
      <c r="G1098" s="15"/>
      <c r="H1098" s="16"/>
      <c r="I1098" s="15"/>
      <c r="J1098" s="16"/>
      <c r="K1098" s="15"/>
      <c r="L1098" s="16"/>
      <c r="M1098" s="10"/>
    </row>
    <row r="1099" spans="1:51" ht="30" customHeight="1" x14ac:dyDescent="0.3">
      <c r="A1099" s="44" t="s">
        <v>2248</v>
      </c>
      <c r="B1099" s="44"/>
      <c r="C1099" s="44"/>
      <c r="D1099" s="44"/>
      <c r="E1099" s="45"/>
      <c r="F1099" s="46"/>
      <c r="G1099" s="45"/>
      <c r="H1099" s="46"/>
      <c r="I1099" s="45"/>
      <c r="J1099" s="46"/>
      <c r="K1099" s="45"/>
      <c r="L1099" s="46"/>
      <c r="M1099" s="44"/>
      <c r="N1099" s="1" t="s">
        <v>1436</v>
      </c>
    </row>
    <row r="1100" spans="1:51" ht="30" customHeight="1" x14ac:dyDescent="0.3">
      <c r="A1100" s="9" t="s">
        <v>931</v>
      </c>
      <c r="B1100" s="9" t="s">
        <v>822</v>
      </c>
      <c r="C1100" s="9" t="s">
        <v>823</v>
      </c>
      <c r="D1100" s="10">
        <v>8.0000000000000002E-3</v>
      </c>
      <c r="E1100" s="15">
        <f>'단가대비표(총체)'!O192</f>
        <v>0</v>
      </c>
      <c r="F1100" s="16">
        <f>TRUNC(E1100*D1100,1)</f>
        <v>0</v>
      </c>
      <c r="G1100" s="15">
        <f>'단가대비표(총체)'!P192</f>
        <v>0</v>
      </c>
      <c r="H1100" s="16">
        <f>TRUNC(G1100*D1100,1)</f>
        <v>0</v>
      </c>
      <c r="I1100" s="15">
        <f>'단가대비표(총체)'!V192</f>
        <v>0</v>
      </c>
      <c r="J1100" s="16">
        <f>TRUNC(I1100*D1100,1)</f>
        <v>0</v>
      </c>
      <c r="K1100" s="15">
        <f>TRUNC(E1100+G1100+I1100,1)</f>
        <v>0</v>
      </c>
      <c r="L1100" s="16">
        <f>TRUNC(F1100+H1100+J1100,1)</f>
        <v>0</v>
      </c>
      <c r="M1100" s="9" t="s">
        <v>52</v>
      </c>
      <c r="N1100" s="2" t="s">
        <v>1436</v>
      </c>
      <c r="O1100" s="2" t="s">
        <v>932</v>
      </c>
      <c r="P1100" s="2" t="s">
        <v>61</v>
      </c>
      <c r="Q1100" s="2" t="s">
        <v>61</v>
      </c>
      <c r="R1100" s="2" t="s">
        <v>60</v>
      </c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2" t="s">
        <v>52</v>
      </c>
      <c r="AW1100" s="2" t="s">
        <v>2250</v>
      </c>
      <c r="AX1100" s="2" t="s">
        <v>52</v>
      </c>
      <c r="AY1100" s="2" t="s">
        <v>52</v>
      </c>
    </row>
    <row r="1101" spans="1:51" ht="30" customHeight="1" x14ac:dyDescent="0.3">
      <c r="A1101" s="9" t="s">
        <v>821</v>
      </c>
      <c r="B1101" s="9" t="s">
        <v>822</v>
      </c>
      <c r="C1101" s="9" t="s">
        <v>823</v>
      </c>
      <c r="D1101" s="10">
        <v>3.0000000000000001E-3</v>
      </c>
      <c r="E1101" s="15">
        <f>'단가대비표(총체)'!O180</f>
        <v>0</v>
      </c>
      <c r="F1101" s="16">
        <f>TRUNC(E1101*D1101,1)</f>
        <v>0</v>
      </c>
      <c r="G1101" s="15">
        <f>'단가대비표(총체)'!P180</f>
        <v>0</v>
      </c>
      <c r="H1101" s="16">
        <f>TRUNC(G1101*D1101,1)</f>
        <v>0</v>
      </c>
      <c r="I1101" s="15">
        <f>'단가대비표(총체)'!V180</f>
        <v>0</v>
      </c>
      <c r="J1101" s="16">
        <f>TRUNC(I1101*D1101,1)</f>
        <v>0</v>
      </c>
      <c r="K1101" s="15">
        <f>TRUNC(E1101+G1101+I1101,1)</f>
        <v>0</v>
      </c>
      <c r="L1101" s="16">
        <f>TRUNC(F1101+H1101+J1101,1)</f>
        <v>0</v>
      </c>
      <c r="M1101" s="9" t="s">
        <v>52</v>
      </c>
      <c r="N1101" s="2" t="s">
        <v>1436</v>
      </c>
      <c r="O1101" s="2" t="s">
        <v>824</v>
      </c>
      <c r="P1101" s="2" t="s">
        <v>61</v>
      </c>
      <c r="Q1101" s="2" t="s">
        <v>61</v>
      </c>
      <c r="R1101" s="2" t="s">
        <v>60</v>
      </c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2" t="s">
        <v>52</v>
      </c>
      <c r="AW1101" s="2" t="s">
        <v>2251</v>
      </c>
      <c r="AX1101" s="2" t="s">
        <v>52</v>
      </c>
      <c r="AY1101" s="2" t="s">
        <v>52</v>
      </c>
    </row>
    <row r="1102" spans="1:51" ht="30" customHeight="1" x14ac:dyDescent="0.3">
      <c r="A1102" s="9" t="s">
        <v>811</v>
      </c>
      <c r="B1102" s="9" t="s">
        <v>52</v>
      </c>
      <c r="C1102" s="9" t="s">
        <v>52</v>
      </c>
      <c r="D1102" s="10"/>
      <c r="E1102" s="15"/>
      <c r="F1102" s="16">
        <f>TRUNC(SUMIF(N1100:N1101, N1099, F1100:F1101),0)</f>
        <v>0</v>
      </c>
      <c r="G1102" s="15"/>
      <c r="H1102" s="16">
        <f>TRUNC(SUMIF(N1100:N1101, N1099, H1100:H1101),0)</f>
        <v>0</v>
      </c>
      <c r="I1102" s="15"/>
      <c r="J1102" s="16">
        <f>TRUNC(SUMIF(N1100:N1101, N1099, J1100:J1101),0)</f>
        <v>0</v>
      </c>
      <c r="K1102" s="15"/>
      <c r="L1102" s="16">
        <f>F1102+H1102+J1102</f>
        <v>0</v>
      </c>
      <c r="M1102" s="9" t="s">
        <v>52</v>
      </c>
      <c r="N1102" s="2" t="s">
        <v>94</v>
      </c>
      <c r="O1102" s="2" t="s">
        <v>94</v>
      </c>
      <c r="P1102" s="2" t="s">
        <v>52</v>
      </c>
      <c r="Q1102" s="2" t="s">
        <v>52</v>
      </c>
      <c r="R1102" s="2" t="s">
        <v>52</v>
      </c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2" t="s">
        <v>52</v>
      </c>
      <c r="AW1102" s="2" t="s">
        <v>52</v>
      </c>
      <c r="AX1102" s="2" t="s">
        <v>52</v>
      </c>
      <c r="AY1102" s="2" t="s">
        <v>52</v>
      </c>
    </row>
    <row r="1103" spans="1:51" ht="30" customHeight="1" x14ac:dyDescent="0.3">
      <c r="A1103" s="10"/>
      <c r="B1103" s="10"/>
      <c r="C1103" s="10"/>
      <c r="D1103" s="10"/>
      <c r="E1103" s="15"/>
      <c r="F1103" s="16"/>
      <c r="G1103" s="15"/>
      <c r="H1103" s="16"/>
      <c r="I1103" s="15"/>
      <c r="J1103" s="16"/>
      <c r="K1103" s="15"/>
      <c r="L1103" s="16"/>
      <c r="M1103" s="10"/>
    </row>
    <row r="1104" spans="1:51" ht="30" customHeight="1" x14ac:dyDescent="0.3">
      <c r="A1104" s="44" t="s">
        <v>2252</v>
      </c>
      <c r="B1104" s="44"/>
      <c r="C1104" s="44"/>
      <c r="D1104" s="44"/>
      <c r="E1104" s="45"/>
      <c r="F1104" s="46"/>
      <c r="G1104" s="45"/>
      <c r="H1104" s="46"/>
      <c r="I1104" s="45"/>
      <c r="J1104" s="46"/>
      <c r="K1104" s="45"/>
      <c r="L1104" s="46"/>
      <c r="M1104" s="44"/>
      <c r="N1104" s="1" t="s">
        <v>1440</v>
      </c>
    </row>
    <row r="1105" spans="1:51" ht="30" customHeight="1" x14ac:dyDescent="0.3">
      <c r="A1105" s="9" t="s">
        <v>2254</v>
      </c>
      <c r="B1105" s="9" t="s">
        <v>2255</v>
      </c>
      <c r="C1105" s="9" t="s">
        <v>923</v>
      </c>
      <c r="D1105" s="10">
        <v>0.06</v>
      </c>
      <c r="E1105" s="15">
        <f>'단가대비표(총체)'!O129</f>
        <v>0</v>
      </c>
      <c r="F1105" s="16">
        <f>TRUNC(E1105*D1105,1)</f>
        <v>0</v>
      </c>
      <c r="G1105" s="15">
        <f>'단가대비표(총체)'!P129</f>
        <v>0</v>
      </c>
      <c r="H1105" s="16">
        <f>TRUNC(G1105*D1105,1)</f>
        <v>0</v>
      </c>
      <c r="I1105" s="15">
        <f>'단가대비표(총체)'!V129</f>
        <v>0</v>
      </c>
      <c r="J1105" s="16">
        <f>TRUNC(I1105*D1105,1)</f>
        <v>0</v>
      </c>
      <c r="K1105" s="15">
        <f>TRUNC(E1105+G1105+I1105,1)</f>
        <v>0</v>
      </c>
      <c r="L1105" s="16">
        <f>TRUNC(F1105+H1105+J1105,1)</f>
        <v>0</v>
      </c>
      <c r="M1105" s="9" t="s">
        <v>52</v>
      </c>
      <c r="N1105" s="2" t="s">
        <v>1440</v>
      </c>
      <c r="O1105" s="2" t="s">
        <v>2256</v>
      </c>
      <c r="P1105" s="2" t="s">
        <v>61</v>
      </c>
      <c r="Q1105" s="2" t="s">
        <v>61</v>
      </c>
      <c r="R1105" s="2" t="s">
        <v>60</v>
      </c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2" t="s">
        <v>52</v>
      </c>
      <c r="AW1105" s="2" t="s">
        <v>2257</v>
      </c>
      <c r="AX1105" s="2" t="s">
        <v>52</v>
      </c>
      <c r="AY1105" s="2" t="s">
        <v>52</v>
      </c>
    </row>
    <row r="1106" spans="1:51" ht="30" customHeight="1" x14ac:dyDescent="0.3">
      <c r="A1106" s="9" t="s">
        <v>2258</v>
      </c>
      <c r="B1106" s="9" t="s">
        <v>1330</v>
      </c>
      <c r="C1106" s="9" t="s">
        <v>82</v>
      </c>
      <c r="D1106" s="10">
        <v>1</v>
      </c>
      <c r="E1106" s="15">
        <f>'일위대가목록(총체)'!E171</f>
        <v>0</v>
      </c>
      <c r="F1106" s="16">
        <f>TRUNC(E1106*D1106,1)</f>
        <v>0</v>
      </c>
      <c r="G1106" s="15">
        <f>'일위대가목록(총체)'!F171</f>
        <v>0</v>
      </c>
      <c r="H1106" s="16">
        <f>TRUNC(G1106*D1106,1)</f>
        <v>0</v>
      </c>
      <c r="I1106" s="15">
        <f>'일위대가목록(총체)'!G171</f>
        <v>0</v>
      </c>
      <c r="J1106" s="16">
        <f>TRUNC(I1106*D1106,1)</f>
        <v>0</v>
      </c>
      <c r="K1106" s="15">
        <f>TRUNC(E1106+G1106+I1106,1)</f>
        <v>0</v>
      </c>
      <c r="L1106" s="16">
        <f>TRUNC(F1106+H1106+J1106,1)</f>
        <v>0</v>
      </c>
      <c r="M1106" s="9" t="s">
        <v>52</v>
      </c>
      <c r="N1106" s="2" t="s">
        <v>1440</v>
      </c>
      <c r="O1106" s="2" t="s">
        <v>2259</v>
      </c>
      <c r="P1106" s="2" t="s">
        <v>60</v>
      </c>
      <c r="Q1106" s="2" t="s">
        <v>61</v>
      </c>
      <c r="R1106" s="2" t="s">
        <v>61</v>
      </c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2" t="s">
        <v>52</v>
      </c>
      <c r="AW1106" s="2" t="s">
        <v>2260</v>
      </c>
      <c r="AX1106" s="2" t="s">
        <v>52</v>
      </c>
      <c r="AY1106" s="2" t="s">
        <v>52</v>
      </c>
    </row>
    <row r="1107" spans="1:51" ht="30" customHeight="1" x14ac:dyDescent="0.3">
      <c r="A1107" s="9" t="s">
        <v>811</v>
      </c>
      <c r="B1107" s="9" t="s">
        <v>52</v>
      </c>
      <c r="C1107" s="9" t="s">
        <v>52</v>
      </c>
      <c r="D1107" s="10"/>
      <c r="E1107" s="15"/>
      <c r="F1107" s="16">
        <f>TRUNC(SUMIF(N1105:N1106, N1104, F1105:F1106),0)</f>
        <v>0</v>
      </c>
      <c r="G1107" s="15"/>
      <c r="H1107" s="16">
        <f>TRUNC(SUMIF(N1105:N1106, N1104, H1105:H1106),0)</f>
        <v>0</v>
      </c>
      <c r="I1107" s="15"/>
      <c r="J1107" s="16">
        <f>TRUNC(SUMIF(N1105:N1106, N1104, J1105:J1106),0)</f>
        <v>0</v>
      </c>
      <c r="K1107" s="15"/>
      <c r="L1107" s="16">
        <f>F1107+H1107+J1107</f>
        <v>0</v>
      </c>
      <c r="M1107" s="9" t="s">
        <v>52</v>
      </c>
      <c r="N1107" s="2" t="s">
        <v>94</v>
      </c>
      <c r="O1107" s="2" t="s">
        <v>94</v>
      </c>
      <c r="P1107" s="2" t="s">
        <v>52</v>
      </c>
      <c r="Q1107" s="2" t="s">
        <v>52</v>
      </c>
      <c r="R1107" s="2" t="s">
        <v>52</v>
      </c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2" t="s">
        <v>52</v>
      </c>
      <c r="AW1107" s="2" t="s">
        <v>52</v>
      </c>
      <c r="AX1107" s="2" t="s">
        <v>52</v>
      </c>
      <c r="AY1107" s="2" t="s">
        <v>52</v>
      </c>
    </row>
    <row r="1108" spans="1:51" ht="30" customHeight="1" x14ac:dyDescent="0.3">
      <c r="A1108" s="10"/>
      <c r="B1108" s="10"/>
      <c r="C1108" s="10"/>
      <c r="D1108" s="10"/>
      <c r="E1108" s="15"/>
      <c r="F1108" s="16"/>
      <c r="G1108" s="15"/>
      <c r="H1108" s="16"/>
      <c r="I1108" s="15"/>
      <c r="J1108" s="16"/>
      <c r="K1108" s="15"/>
      <c r="L1108" s="16"/>
      <c r="M1108" s="10"/>
    </row>
    <row r="1109" spans="1:51" ht="30" customHeight="1" x14ac:dyDescent="0.3">
      <c r="A1109" s="44" t="s">
        <v>2261</v>
      </c>
      <c r="B1109" s="44"/>
      <c r="C1109" s="44"/>
      <c r="D1109" s="44"/>
      <c r="E1109" s="45"/>
      <c r="F1109" s="46"/>
      <c r="G1109" s="45"/>
      <c r="H1109" s="46"/>
      <c r="I1109" s="45"/>
      <c r="J1109" s="46"/>
      <c r="K1109" s="45"/>
      <c r="L1109" s="46"/>
      <c r="M1109" s="44"/>
      <c r="N1109" s="1" t="s">
        <v>2259</v>
      </c>
    </row>
    <row r="1110" spans="1:51" ht="30" customHeight="1" x14ac:dyDescent="0.3">
      <c r="A1110" s="9" t="s">
        <v>2263</v>
      </c>
      <c r="B1110" s="9" t="s">
        <v>2264</v>
      </c>
      <c r="C1110" s="9" t="s">
        <v>823</v>
      </c>
      <c r="D1110" s="10">
        <v>2.5000000000000001E-2</v>
      </c>
      <c r="E1110" s="15">
        <f>'단가대비표(총체)'!O211</f>
        <v>0</v>
      </c>
      <c r="F1110" s="16">
        <f>TRUNC(E1110*D1110,1)</f>
        <v>0</v>
      </c>
      <c r="G1110" s="15">
        <f>'단가대비표(총체)'!P211</f>
        <v>0</v>
      </c>
      <c r="H1110" s="16">
        <f>TRUNC(G1110*D1110,1)</f>
        <v>0</v>
      </c>
      <c r="I1110" s="15">
        <f>'단가대비표(총체)'!V211</f>
        <v>0</v>
      </c>
      <c r="J1110" s="16">
        <f>TRUNC(I1110*D1110,1)</f>
        <v>0</v>
      </c>
      <c r="K1110" s="15">
        <f>TRUNC(E1110+G1110+I1110,1)</f>
        <v>0</v>
      </c>
      <c r="L1110" s="16">
        <f>TRUNC(F1110+H1110+J1110,1)</f>
        <v>0</v>
      </c>
      <c r="M1110" s="9" t="s">
        <v>52</v>
      </c>
      <c r="N1110" s="2" t="s">
        <v>2259</v>
      </c>
      <c r="O1110" s="2" t="s">
        <v>2265</v>
      </c>
      <c r="P1110" s="2" t="s">
        <v>61</v>
      </c>
      <c r="Q1110" s="2" t="s">
        <v>61</v>
      </c>
      <c r="R1110" s="2" t="s">
        <v>60</v>
      </c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2" t="s">
        <v>52</v>
      </c>
      <c r="AW1110" s="2" t="s">
        <v>2266</v>
      </c>
      <c r="AX1110" s="2" t="s">
        <v>52</v>
      </c>
      <c r="AY1110" s="2" t="s">
        <v>52</v>
      </c>
    </row>
    <row r="1111" spans="1:51" ht="30" customHeight="1" x14ac:dyDescent="0.3">
      <c r="A1111" s="9" t="s">
        <v>811</v>
      </c>
      <c r="B1111" s="9" t="s">
        <v>52</v>
      </c>
      <c r="C1111" s="9" t="s">
        <v>52</v>
      </c>
      <c r="D1111" s="10"/>
      <c r="E1111" s="15"/>
      <c r="F1111" s="16">
        <f>TRUNC(SUMIF(N1110:N1110, N1109, F1110:F1110),0)</f>
        <v>0</v>
      </c>
      <c r="G1111" s="15"/>
      <c r="H1111" s="16">
        <f>TRUNC(SUMIF(N1110:N1110, N1109, H1110:H1110),0)</f>
        <v>0</v>
      </c>
      <c r="I1111" s="15"/>
      <c r="J1111" s="16">
        <f>TRUNC(SUMIF(N1110:N1110, N1109, J1110:J1110),0)</f>
        <v>0</v>
      </c>
      <c r="K1111" s="15"/>
      <c r="L1111" s="16">
        <f>F1111+H1111+J1111</f>
        <v>0</v>
      </c>
      <c r="M1111" s="9" t="s">
        <v>52</v>
      </c>
      <c r="N1111" s="2" t="s">
        <v>94</v>
      </c>
      <c r="O1111" s="2" t="s">
        <v>94</v>
      </c>
      <c r="P1111" s="2" t="s">
        <v>52</v>
      </c>
      <c r="Q1111" s="2" t="s">
        <v>52</v>
      </c>
      <c r="R1111" s="2" t="s">
        <v>52</v>
      </c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2" t="s">
        <v>52</v>
      </c>
      <c r="AW1111" s="2" t="s">
        <v>52</v>
      </c>
      <c r="AX1111" s="2" t="s">
        <v>52</v>
      </c>
      <c r="AY1111" s="2" t="s">
        <v>52</v>
      </c>
    </row>
    <row r="1112" spans="1:51" ht="30" customHeight="1" x14ac:dyDescent="0.3">
      <c r="A1112" s="10"/>
      <c r="B1112" s="10"/>
      <c r="C1112" s="10"/>
      <c r="D1112" s="10"/>
      <c r="E1112" s="15"/>
      <c r="F1112" s="16"/>
      <c r="G1112" s="15"/>
      <c r="H1112" s="16"/>
      <c r="I1112" s="15"/>
      <c r="J1112" s="16"/>
      <c r="K1112" s="15"/>
      <c r="L1112" s="16"/>
      <c r="M1112" s="10"/>
    </row>
    <row r="1113" spans="1:51" ht="30" customHeight="1" x14ac:dyDescent="0.3">
      <c r="A1113" s="44" t="s">
        <v>2267</v>
      </c>
      <c r="B1113" s="44"/>
      <c r="C1113" s="44"/>
      <c r="D1113" s="44"/>
      <c r="E1113" s="45"/>
      <c r="F1113" s="46"/>
      <c r="G1113" s="45"/>
      <c r="H1113" s="46"/>
      <c r="I1113" s="45"/>
      <c r="J1113" s="46"/>
      <c r="K1113" s="45"/>
      <c r="L1113" s="46"/>
      <c r="M1113" s="44"/>
      <c r="N1113" s="1" t="s">
        <v>1449</v>
      </c>
    </row>
    <row r="1114" spans="1:51" ht="30" customHeight="1" x14ac:dyDescent="0.3">
      <c r="A1114" s="9" t="s">
        <v>2015</v>
      </c>
      <c r="B1114" s="9" t="s">
        <v>822</v>
      </c>
      <c r="C1114" s="9" t="s">
        <v>823</v>
      </c>
      <c r="D1114" s="10">
        <v>0.43099999999999999</v>
      </c>
      <c r="E1114" s="15">
        <f>'단가대비표(총체)'!O189</f>
        <v>0</v>
      </c>
      <c r="F1114" s="16">
        <f>TRUNC(E1114*D1114,1)</f>
        <v>0</v>
      </c>
      <c r="G1114" s="15">
        <f>'단가대비표(총체)'!P189</f>
        <v>0</v>
      </c>
      <c r="H1114" s="16">
        <f>TRUNC(G1114*D1114,1)</f>
        <v>0</v>
      </c>
      <c r="I1114" s="15">
        <f>'단가대비표(총체)'!V189</f>
        <v>0</v>
      </c>
      <c r="J1114" s="16">
        <f>TRUNC(I1114*D1114,1)</f>
        <v>0</v>
      </c>
      <c r="K1114" s="15">
        <f t="shared" ref="K1114:L1116" si="206">TRUNC(E1114+G1114+I1114,1)</f>
        <v>0</v>
      </c>
      <c r="L1114" s="16">
        <f t="shared" si="206"/>
        <v>0</v>
      </c>
      <c r="M1114" s="9" t="s">
        <v>52</v>
      </c>
      <c r="N1114" s="2" t="s">
        <v>1449</v>
      </c>
      <c r="O1114" s="2" t="s">
        <v>2016</v>
      </c>
      <c r="P1114" s="2" t="s">
        <v>61</v>
      </c>
      <c r="Q1114" s="2" t="s">
        <v>61</v>
      </c>
      <c r="R1114" s="2" t="s">
        <v>60</v>
      </c>
      <c r="S1114" s="3"/>
      <c r="T1114" s="3"/>
      <c r="U1114" s="3"/>
      <c r="V1114" s="3">
        <v>1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2" t="s">
        <v>52</v>
      </c>
      <c r="AW1114" s="2" t="s">
        <v>2269</v>
      </c>
      <c r="AX1114" s="2" t="s">
        <v>52</v>
      </c>
      <c r="AY1114" s="2" t="s">
        <v>52</v>
      </c>
    </row>
    <row r="1115" spans="1:51" ht="30" customHeight="1" x14ac:dyDescent="0.3">
      <c r="A1115" s="9" t="s">
        <v>821</v>
      </c>
      <c r="B1115" s="9" t="s">
        <v>822</v>
      </c>
      <c r="C1115" s="9" t="s">
        <v>823</v>
      </c>
      <c r="D1115" s="10">
        <v>8.7999999999999995E-2</v>
      </c>
      <c r="E1115" s="15">
        <f>'단가대비표(총체)'!O180</f>
        <v>0</v>
      </c>
      <c r="F1115" s="16">
        <f>TRUNC(E1115*D1115,1)</f>
        <v>0</v>
      </c>
      <c r="G1115" s="15">
        <f>'단가대비표(총체)'!P180</f>
        <v>0</v>
      </c>
      <c r="H1115" s="16">
        <f>TRUNC(G1115*D1115,1)</f>
        <v>0</v>
      </c>
      <c r="I1115" s="15">
        <f>'단가대비표(총체)'!V180</f>
        <v>0</v>
      </c>
      <c r="J1115" s="16">
        <f>TRUNC(I1115*D1115,1)</f>
        <v>0</v>
      </c>
      <c r="K1115" s="15">
        <f t="shared" si="206"/>
        <v>0</v>
      </c>
      <c r="L1115" s="16">
        <f t="shared" si="206"/>
        <v>0</v>
      </c>
      <c r="M1115" s="9" t="s">
        <v>52</v>
      </c>
      <c r="N1115" s="2" t="s">
        <v>1449</v>
      </c>
      <c r="O1115" s="2" t="s">
        <v>824</v>
      </c>
      <c r="P1115" s="2" t="s">
        <v>61</v>
      </c>
      <c r="Q1115" s="2" t="s">
        <v>61</v>
      </c>
      <c r="R1115" s="2" t="s">
        <v>60</v>
      </c>
      <c r="S1115" s="3"/>
      <c r="T1115" s="3"/>
      <c r="U1115" s="3"/>
      <c r="V1115" s="3">
        <v>1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2" t="s">
        <v>52</v>
      </c>
      <c r="AW1115" s="2" t="s">
        <v>2270</v>
      </c>
      <c r="AX1115" s="2" t="s">
        <v>52</v>
      </c>
      <c r="AY1115" s="2" t="s">
        <v>52</v>
      </c>
    </row>
    <row r="1116" spans="1:51" ht="30" customHeight="1" x14ac:dyDescent="0.3">
      <c r="A1116" s="9" t="s">
        <v>874</v>
      </c>
      <c r="B1116" s="9" t="s">
        <v>875</v>
      </c>
      <c r="C1116" s="9" t="s">
        <v>307</v>
      </c>
      <c r="D1116" s="10">
        <v>1</v>
      </c>
      <c r="E1116" s="15">
        <v>0</v>
      </c>
      <c r="F1116" s="16">
        <f>TRUNC(E1116*D1116,1)</f>
        <v>0</v>
      </c>
      <c r="G1116" s="15">
        <v>0</v>
      </c>
      <c r="H1116" s="16">
        <f>TRUNC(G1116*D1116,1)</f>
        <v>0</v>
      </c>
      <c r="I1116" s="15">
        <f>TRUNC(SUMIF(V1114:V1116, RIGHTB(O1116, 1), H1114:H1116)*U1116, 2)</f>
        <v>0</v>
      </c>
      <c r="J1116" s="16">
        <f>TRUNC(I1116*D1116,1)</f>
        <v>0</v>
      </c>
      <c r="K1116" s="15">
        <f t="shared" si="206"/>
        <v>0</v>
      </c>
      <c r="L1116" s="16">
        <f t="shared" si="206"/>
        <v>0</v>
      </c>
      <c r="M1116" s="9" t="s">
        <v>52</v>
      </c>
      <c r="N1116" s="2" t="s">
        <v>1449</v>
      </c>
      <c r="O1116" s="2" t="s">
        <v>809</v>
      </c>
      <c r="P1116" s="2" t="s">
        <v>61</v>
      </c>
      <c r="Q1116" s="2" t="s">
        <v>61</v>
      </c>
      <c r="R1116" s="2" t="s">
        <v>61</v>
      </c>
      <c r="S1116" s="3">
        <v>1</v>
      </c>
      <c r="T1116" s="3">
        <v>2</v>
      </c>
      <c r="U1116" s="3">
        <v>0.03</v>
      </c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2" t="s">
        <v>52</v>
      </c>
      <c r="AW1116" s="2" t="s">
        <v>2271</v>
      </c>
      <c r="AX1116" s="2" t="s">
        <v>52</v>
      </c>
      <c r="AY1116" s="2" t="s">
        <v>52</v>
      </c>
    </row>
    <row r="1117" spans="1:51" ht="30" customHeight="1" x14ac:dyDescent="0.3">
      <c r="A1117" s="9" t="s">
        <v>811</v>
      </c>
      <c r="B1117" s="9" t="s">
        <v>52</v>
      </c>
      <c r="C1117" s="9" t="s">
        <v>52</v>
      </c>
      <c r="D1117" s="10"/>
      <c r="E1117" s="15"/>
      <c r="F1117" s="16">
        <f>TRUNC(SUMIF(N1114:N1116, N1113, F1114:F1116),0)</f>
        <v>0</v>
      </c>
      <c r="G1117" s="15"/>
      <c r="H1117" s="16">
        <f>TRUNC(SUMIF(N1114:N1116, N1113, H1114:H1116),0)</f>
        <v>0</v>
      </c>
      <c r="I1117" s="15"/>
      <c r="J1117" s="16">
        <f>TRUNC(SUMIF(N1114:N1116, N1113, J1114:J1116),0)</f>
        <v>0</v>
      </c>
      <c r="K1117" s="15"/>
      <c r="L1117" s="16">
        <f>F1117+H1117+J1117</f>
        <v>0</v>
      </c>
      <c r="M1117" s="9" t="s">
        <v>52</v>
      </c>
      <c r="N1117" s="2" t="s">
        <v>94</v>
      </c>
      <c r="O1117" s="2" t="s">
        <v>94</v>
      </c>
      <c r="P1117" s="2" t="s">
        <v>52</v>
      </c>
      <c r="Q1117" s="2" t="s">
        <v>52</v>
      </c>
      <c r="R1117" s="2" t="s">
        <v>52</v>
      </c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2" t="s">
        <v>52</v>
      </c>
      <c r="AW1117" s="2" t="s">
        <v>52</v>
      </c>
      <c r="AX1117" s="2" t="s">
        <v>52</v>
      </c>
      <c r="AY1117" s="2" t="s">
        <v>52</v>
      </c>
    </row>
    <row r="1118" spans="1:51" ht="30" customHeight="1" x14ac:dyDescent="0.3">
      <c r="A1118" s="10"/>
      <c r="B1118" s="10"/>
      <c r="C1118" s="10"/>
      <c r="D1118" s="10"/>
      <c r="E1118" s="15"/>
      <c r="F1118" s="16"/>
      <c r="G1118" s="15"/>
      <c r="H1118" s="16"/>
      <c r="I1118" s="15"/>
      <c r="J1118" s="16"/>
      <c r="K1118" s="15"/>
      <c r="L1118" s="16"/>
      <c r="M1118" s="10"/>
    </row>
    <row r="1119" spans="1:51" ht="30" customHeight="1" x14ac:dyDescent="0.3">
      <c r="A1119" s="44" t="s">
        <v>2272</v>
      </c>
      <c r="B1119" s="44"/>
      <c r="C1119" s="44"/>
      <c r="D1119" s="44"/>
      <c r="E1119" s="45"/>
      <c r="F1119" s="46"/>
      <c r="G1119" s="45"/>
      <c r="H1119" s="46"/>
      <c r="I1119" s="45"/>
      <c r="J1119" s="46"/>
      <c r="K1119" s="45"/>
      <c r="L1119" s="46"/>
      <c r="M1119" s="44"/>
      <c r="N1119" s="1" t="s">
        <v>1469</v>
      </c>
    </row>
    <row r="1120" spans="1:51" ht="30" customHeight="1" x14ac:dyDescent="0.3">
      <c r="A1120" s="9" t="s">
        <v>2015</v>
      </c>
      <c r="B1120" s="9" t="s">
        <v>822</v>
      </c>
      <c r="C1120" s="9" t="s">
        <v>823</v>
      </c>
      <c r="D1120" s="10">
        <v>0.40899999999999997</v>
      </c>
      <c r="E1120" s="15">
        <f>'단가대비표(총체)'!O189</f>
        <v>0</v>
      </c>
      <c r="F1120" s="16">
        <f>TRUNC(E1120*D1120,1)</f>
        <v>0</v>
      </c>
      <c r="G1120" s="15">
        <f>'단가대비표(총체)'!P189</f>
        <v>0</v>
      </c>
      <c r="H1120" s="16">
        <f>TRUNC(G1120*D1120,1)</f>
        <v>0</v>
      </c>
      <c r="I1120" s="15">
        <f>'단가대비표(총체)'!V189</f>
        <v>0</v>
      </c>
      <c r="J1120" s="16">
        <f>TRUNC(I1120*D1120,1)</f>
        <v>0</v>
      </c>
      <c r="K1120" s="15">
        <f t="shared" ref="K1120:L1122" si="207">TRUNC(E1120+G1120+I1120,1)</f>
        <v>0</v>
      </c>
      <c r="L1120" s="16">
        <f t="shared" si="207"/>
        <v>0</v>
      </c>
      <c r="M1120" s="9" t="s">
        <v>52</v>
      </c>
      <c r="N1120" s="2" t="s">
        <v>1469</v>
      </c>
      <c r="O1120" s="2" t="s">
        <v>2016</v>
      </c>
      <c r="P1120" s="2" t="s">
        <v>61</v>
      </c>
      <c r="Q1120" s="2" t="s">
        <v>61</v>
      </c>
      <c r="R1120" s="2" t="s">
        <v>60</v>
      </c>
      <c r="S1120" s="3"/>
      <c r="T1120" s="3"/>
      <c r="U1120" s="3"/>
      <c r="V1120" s="3">
        <v>1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2" t="s">
        <v>52</v>
      </c>
      <c r="AW1120" s="2" t="s">
        <v>2274</v>
      </c>
      <c r="AX1120" s="2" t="s">
        <v>52</v>
      </c>
      <c r="AY1120" s="2" t="s">
        <v>52</v>
      </c>
    </row>
    <row r="1121" spans="1:51" ht="30" customHeight="1" x14ac:dyDescent="0.3">
      <c r="A1121" s="9" t="s">
        <v>821</v>
      </c>
      <c r="B1121" s="9" t="s">
        <v>822</v>
      </c>
      <c r="C1121" s="9" t="s">
        <v>823</v>
      </c>
      <c r="D1121" s="10">
        <v>8.4000000000000005E-2</v>
      </c>
      <c r="E1121" s="15">
        <f>'단가대비표(총체)'!O180</f>
        <v>0</v>
      </c>
      <c r="F1121" s="16">
        <f>TRUNC(E1121*D1121,1)</f>
        <v>0</v>
      </c>
      <c r="G1121" s="15">
        <f>'단가대비표(총체)'!P180</f>
        <v>0</v>
      </c>
      <c r="H1121" s="16">
        <f>TRUNC(G1121*D1121,1)</f>
        <v>0</v>
      </c>
      <c r="I1121" s="15">
        <f>'단가대비표(총체)'!V180</f>
        <v>0</v>
      </c>
      <c r="J1121" s="16">
        <f>TRUNC(I1121*D1121,1)</f>
        <v>0</v>
      </c>
      <c r="K1121" s="15">
        <f t="shared" si="207"/>
        <v>0</v>
      </c>
      <c r="L1121" s="16">
        <f t="shared" si="207"/>
        <v>0</v>
      </c>
      <c r="M1121" s="9" t="s">
        <v>52</v>
      </c>
      <c r="N1121" s="2" t="s">
        <v>1469</v>
      </c>
      <c r="O1121" s="2" t="s">
        <v>824</v>
      </c>
      <c r="P1121" s="2" t="s">
        <v>61</v>
      </c>
      <c r="Q1121" s="2" t="s">
        <v>61</v>
      </c>
      <c r="R1121" s="2" t="s">
        <v>60</v>
      </c>
      <c r="S1121" s="3"/>
      <c r="T1121" s="3"/>
      <c r="U1121" s="3"/>
      <c r="V1121" s="3">
        <v>1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2" t="s">
        <v>52</v>
      </c>
      <c r="AW1121" s="2" t="s">
        <v>2275</v>
      </c>
      <c r="AX1121" s="2" t="s">
        <v>52</v>
      </c>
      <c r="AY1121" s="2" t="s">
        <v>52</v>
      </c>
    </row>
    <row r="1122" spans="1:51" ht="30" customHeight="1" x14ac:dyDescent="0.3">
      <c r="A1122" s="9" t="s">
        <v>874</v>
      </c>
      <c r="B1122" s="9" t="s">
        <v>875</v>
      </c>
      <c r="C1122" s="9" t="s">
        <v>307</v>
      </c>
      <c r="D1122" s="10">
        <v>1</v>
      </c>
      <c r="E1122" s="15">
        <v>0</v>
      </c>
      <c r="F1122" s="16">
        <f>TRUNC(E1122*D1122,1)</f>
        <v>0</v>
      </c>
      <c r="G1122" s="15">
        <v>0</v>
      </c>
      <c r="H1122" s="16">
        <f>TRUNC(G1122*D1122,1)</f>
        <v>0</v>
      </c>
      <c r="I1122" s="15">
        <f>TRUNC(SUMIF(V1120:V1122, RIGHTB(O1122, 1), H1120:H1122)*U1122, 2)</f>
        <v>0</v>
      </c>
      <c r="J1122" s="16">
        <f>TRUNC(I1122*D1122,1)</f>
        <v>0</v>
      </c>
      <c r="K1122" s="15">
        <f t="shared" si="207"/>
        <v>0</v>
      </c>
      <c r="L1122" s="16">
        <f t="shared" si="207"/>
        <v>0</v>
      </c>
      <c r="M1122" s="9" t="s">
        <v>52</v>
      </c>
      <c r="N1122" s="2" t="s">
        <v>1469</v>
      </c>
      <c r="O1122" s="2" t="s">
        <v>809</v>
      </c>
      <c r="P1122" s="2" t="s">
        <v>61</v>
      </c>
      <c r="Q1122" s="2" t="s">
        <v>61</v>
      </c>
      <c r="R1122" s="2" t="s">
        <v>61</v>
      </c>
      <c r="S1122" s="3">
        <v>1</v>
      </c>
      <c r="T1122" s="3">
        <v>2</v>
      </c>
      <c r="U1122" s="3">
        <v>0.03</v>
      </c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2" t="s">
        <v>52</v>
      </c>
      <c r="AW1122" s="2" t="s">
        <v>2276</v>
      </c>
      <c r="AX1122" s="2" t="s">
        <v>52</v>
      </c>
      <c r="AY1122" s="2" t="s">
        <v>52</v>
      </c>
    </row>
    <row r="1123" spans="1:51" ht="30" customHeight="1" x14ac:dyDescent="0.3">
      <c r="A1123" s="9" t="s">
        <v>811</v>
      </c>
      <c r="B1123" s="9" t="s">
        <v>52</v>
      </c>
      <c r="C1123" s="9" t="s">
        <v>52</v>
      </c>
      <c r="D1123" s="10"/>
      <c r="E1123" s="15"/>
      <c r="F1123" s="16">
        <f>TRUNC(SUMIF(N1120:N1122, N1119, F1120:F1122),0)</f>
        <v>0</v>
      </c>
      <c r="G1123" s="15"/>
      <c r="H1123" s="16">
        <f>TRUNC(SUMIF(N1120:N1122, N1119, H1120:H1122),0)</f>
        <v>0</v>
      </c>
      <c r="I1123" s="15"/>
      <c r="J1123" s="16">
        <f>TRUNC(SUMIF(N1120:N1122, N1119, J1120:J1122),0)</f>
        <v>0</v>
      </c>
      <c r="K1123" s="15"/>
      <c r="L1123" s="16">
        <f>F1123+H1123+J1123</f>
        <v>0</v>
      </c>
      <c r="M1123" s="9" t="s">
        <v>52</v>
      </c>
      <c r="N1123" s="2" t="s">
        <v>94</v>
      </c>
      <c r="O1123" s="2" t="s">
        <v>94</v>
      </c>
      <c r="P1123" s="2" t="s">
        <v>52</v>
      </c>
      <c r="Q1123" s="2" t="s">
        <v>52</v>
      </c>
      <c r="R1123" s="2" t="s">
        <v>52</v>
      </c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2" t="s">
        <v>52</v>
      </c>
      <c r="AW1123" s="2" t="s">
        <v>52</v>
      </c>
      <c r="AX1123" s="2" t="s">
        <v>52</v>
      </c>
      <c r="AY1123" s="2" t="s">
        <v>52</v>
      </c>
    </row>
    <row r="1124" spans="1:51" ht="30" customHeight="1" x14ac:dyDescent="0.3">
      <c r="A1124" s="10"/>
      <c r="B1124" s="10"/>
      <c r="C1124" s="10"/>
      <c r="D1124" s="10"/>
      <c r="E1124" s="15"/>
      <c r="F1124" s="16"/>
      <c r="G1124" s="15"/>
      <c r="H1124" s="16"/>
      <c r="I1124" s="15"/>
      <c r="J1124" s="16"/>
      <c r="K1124" s="15"/>
      <c r="L1124" s="16"/>
      <c r="M1124" s="10"/>
    </row>
    <row r="1125" spans="1:51" ht="30" customHeight="1" x14ac:dyDescent="0.3">
      <c r="A1125" s="44" t="s">
        <v>2277</v>
      </c>
      <c r="B1125" s="44"/>
      <c r="C1125" s="44"/>
      <c r="D1125" s="44"/>
      <c r="E1125" s="45"/>
      <c r="F1125" s="46"/>
      <c r="G1125" s="45"/>
      <c r="H1125" s="46"/>
      <c r="I1125" s="45"/>
      <c r="J1125" s="46"/>
      <c r="K1125" s="45"/>
      <c r="L1125" s="46"/>
      <c r="M1125" s="44"/>
      <c r="N1125" s="1" t="s">
        <v>1480</v>
      </c>
    </row>
    <row r="1126" spans="1:51" ht="30" customHeight="1" x14ac:dyDescent="0.3">
      <c r="A1126" s="9" t="s">
        <v>2015</v>
      </c>
      <c r="B1126" s="9" t="s">
        <v>822</v>
      </c>
      <c r="C1126" s="9" t="s">
        <v>823</v>
      </c>
      <c r="D1126" s="10">
        <v>0.56000000000000005</v>
      </c>
      <c r="E1126" s="15">
        <f>'단가대비표(총체)'!O189</f>
        <v>0</v>
      </c>
      <c r="F1126" s="16">
        <f>TRUNC(E1126*D1126,1)</f>
        <v>0</v>
      </c>
      <c r="G1126" s="15">
        <f>'단가대비표(총체)'!P189</f>
        <v>0</v>
      </c>
      <c r="H1126" s="16">
        <f>TRUNC(G1126*D1126,1)</f>
        <v>0</v>
      </c>
      <c r="I1126" s="15">
        <f>'단가대비표(총체)'!V189</f>
        <v>0</v>
      </c>
      <c r="J1126" s="16">
        <f>TRUNC(I1126*D1126,1)</f>
        <v>0</v>
      </c>
      <c r="K1126" s="15">
        <f t="shared" ref="K1126:L1128" si="208">TRUNC(E1126+G1126+I1126,1)</f>
        <v>0</v>
      </c>
      <c r="L1126" s="16">
        <f t="shared" si="208"/>
        <v>0</v>
      </c>
      <c r="M1126" s="9" t="s">
        <v>52</v>
      </c>
      <c r="N1126" s="2" t="s">
        <v>1480</v>
      </c>
      <c r="O1126" s="2" t="s">
        <v>2016</v>
      </c>
      <c r="P1126" s="2" t="s">
        <v>61</v>
      </c>
      <c r="Q1126" s="2" t="s">
        <v>61</v>
      </c>
      <c r="R1126" s="2" t="s">
        <v>60</v>
      </c>
      <c r="S1126" s="3"/>
      <c r="T1126" s="3"/>
      <c r="U1126" s="3"/>
      <c r="V1126" s="3">
        <v>1</v>
      </c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2" t="s">
        <v>52</v>
      </c>
      <c r="AW1126" s="2" t="s">
        <v>2279</v>
      </c>
      <c r="AX1126" s="2" t="s">
        <v>52</v>
      </c>
      <c r="AY1126" s="2" t="s">
        <v>52</v>
      </c>
    </row>
    <row r="1127" spans="1:51" ht="30" customHeight="1" x14ac:dyDescent="0.3">
      <c r="A1127" s="9" t="s">
        <v>821</v>
      </c>
      <c r="B1127" s="9" t="s">
        <v>822</v>
      </c>
      <c r="C1127" s="9" t="s">
        <v>823</v>
      </c>
      <c r="D1127" s="10">
        <v>0.13400000000000001</v>
      </c>
      <c r="E1127" s="15">
        <f>'단가대비표(총체)'!O180</f>
        <v>0</v>
      </c>
      <c r="F1127" s="16">
        <f>TRUNC(E1127*D1127,1)</f>
        <v>0</v>
      </c>
      <c r="G1127" s="15">
        <f>'단가대비표(총체)'!P180</f>
        <v>0</v>
      </c>
      <c r="H1127" s="16">
        <f>TRUNC(G1127*D1127,1)</f>
        <v>0</v>
      </c>
      <c r="I1127" s="15">
        <f>'단가대비표(총체)'!V180</f>
        <v>0</v>
      </c>
      <c r="J1127" s="16">
        <f>TRUNC(I1127*D1127,1)</f>
        <v>0</v>
      </c>
      <c r="K1127" s="15">
        <f t="shared" si="208"/>
        <v>0</v>
      </c>
      <c r="L1127" s="16">
        <f t="shared" si="208"/>
        <v>0</v>
      </c>
      <c r="M1127" s="9" t="s">
        <v>52</v>
      </c>
      <c r="N1127" s="2" t="s">
        <v>1480</v>
      </c>
      <c r="O1127" s="2" t="s">
        <v>824</v>
      </c>
      <c r="P1127" s="2" t="s">
        <v>61</v>
      </c>
      <c r="Q1127" s="2" t="s">
        <v>61</v>
      </c>
      <c r="R1127" s="2" t="s">
        <v>60</v>
      </c>
      <c r="S1127" s="3"/>
      <c r="T1127" s="3"/>
      <c r="U1127" s="3"/>
      <c r="V1127" s="3">
        <v>1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2" t="s">
        <v>52</v>
      </c>
      <c r="AW1127" s="2" t="s">
        <v>2280</v>
      </c>
      <c r="AX1127" s="2" t="s">
        <v>52</v>
      </c>
      <c r="AY1127" s="2" t="s">
        <v>52</v>
      </c>
    </row>
    <row r="1128" spans="1:51" ht="30" customHeight="1" x14ac:dyDescent="0.3">
      <c r="A1128" s="9" t="s">
        <v>874</v>
      </c>
      <c r="B1128" s="9" t="s">
        <v>875</v>
      </c>
      <c r="C1128" s="9" t="s">
        <v>307</v>
      </c>
      <c r="D1128" s="10">
        <v>1</v>
      </c>
      <c r="E1128" s="15">
        <v>0</v>
      </c>
      <c r="F1128" s="16">
        <f>TRUNC(E1128*D1128,1)</f>
        <v>0</v>
      </c>
      <c r="G1128" s="15">
        <v>0</v>
      </c>
      <c r="H1128" s="16">
        <f>TRUNC(G1128*D1128,1)</f>
        <v>0</v>
      </c>
      <c r="I1128" s="15">
        <f>TRUNC(SUMIF(V1126:V1128, RIGHTB(O1128, 1), H1126:H1128)*U1128, 2)</f>
        <v>0</v>
      </c>
      <c r="J1128" s="16">
        <f>TRUNC(I1128*D1128,1)</f>
        <v>0</v>
      </c>
      <c r="K1128" s="15">
        <f t="shared" si="208"/>
        <v>0</v>
      </c>
      <c r="L1128" s="16">
        <f t="shared" si="208"/>
        <v>0</v>
      </c>
      <c r="M1128" s="9" t="s">
        <v>52</v>
      </c>
      <c r="N1128" s="2" t="s">
        <v>1480</v>
      </c>
      <c r="O1128" s="2" t="s">
        <v>809</v>
      </c>
      <c r="P1128" s="2" t="s">
        <v>61</v>
      </c>
      <c r="Q1128" s="2" t="s">
        <v>61</v>
      </c>
      <c r="R1128" s="2" t="s">
        <v>61</v>
      </c>
      <c r="S1128" s="3">
        <v>1</v>
      </c>
      <c r="T1128" s="3">
        <v>2</v>
      </c>
      <c r="U1128" s="3">
        <v>0.03</v>
      </c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2" t="s">
        <v>52</v>
      </c>
      <c r="AW1128" s="2" t="s">
        <v>2281</v>
      </c>
      <c r="AX1128" s="2" t="s">
        <v>52</v>
      </c>
      <c r="AY1128" s="2" t="s">
        <v>52</v>
      </c>
    </row>
    <row r="1129" spans="1:51" ht="30" customHeight="1" x14ac:dyDescent="0.3">
      <c r="A1129" s="9" t="s">
        <v>811</v>
      </c>
      <c r="B1129" s="9" t="s">
        <v>52</v>
      </c>
      <c r="C1129" s="9" t="s">
        <v>52</v>
      </c>
      <c r="D1129" s="10"/>
      <c r="E1129" s="15"/>
      <c r="F1129" s="16">
        <f>TRUNC(SUMIF(N1126:N1128, N1125, F1126:F1128),0)</f>
        <v>0</v>
      </c>
      <c r="G1129" s="15"/>
      <c r="H1129" s="16">
        <f>TRUNC(SUMIF(N1126:N1128, N1125, H1126:H1128),0)</f>
        <v>0</v>
      </c>
      <c r="I1129" s="15"/>
      <c r="J1129" s="16">
        <f>TRUNC(SUMIF(N1126:N1128, N1125, J1126:J1128),0)</f>
        <v>0</v>
      </c>
      <c r="K1129" s="15"/>
      <c r="L1129" s="16">
        <f>F1129+H1129+J1129</f>
        <v>0</v>
      </c>
      <c r="M1129" s="9" t="s">
        <v>52</v>
      </c>
      <c r="N1129" s="2" t="s">
        <v>94</v>
      </c>
      <c r="O1129" s="2" t="s">
        <v>94</v>
      </c>
      <c r="P1129" s="2" t="s">
        <v>52</v>
      </c>
      <c r="Q1129" s="2" t="s">
        <v>52</v>
      </c>
      <c r="R1129" s="2" t="s">
        <v>52</v>
      </c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2" t="s">
        <v>52</v>
      </c>
      <c r="AW1129" s="2" t="s">
        <v>52</v>
      </c>
      <c r="AX1129" s="2" t="s">
        <v>52</v>
      </c>
      <c r="AY1129" s="2" t="s">
        <v>52</v>
      </c>
    </row>
    <row r="1130" spans="1:51" ht="30" customHeight="1" x14ac:dyDescent="0.3">
      <c r="A1130" s="10"/>
      <c r="B1130" s="10"/>
      <c r="C1130" s="10"/>
      <c r="D1130" s="10"/>
      <c r="E1130" s="15"/>
      <c r="F1130" s="16"/>
      <c r="G1130" s="15"/>
      <c r="H1130" s="16"/>
      <c r="I1130" s="15"/>
      <c r="J1130" s="16"/>
      <c r="K1130" s="15"/>
      <c r="L1130" s="16"/>
      <c r="M1130" s="10"/>
    </row>
    <row r="1131" spans="1:51" ht="30" customHeight="1" x14ac:dyDescent="0.3">
      <c r="A1131" s="44" t="s">
        <v>2282</v>
      </c>
      <c r="B1131" s="44"/>
      <c r="C1131" s="44"/>
      <c r="D1131" s="44"/>
      <c r="E1131" s="45"/>
      <c r="F1131" s="46"/>
      <c r="G1131" s="45"/>
      <c r="H1131" s="46"/>
      <c r="I1131" s="45"/>
      <c r="J1131" s="46"/>
      <c r="K1131" s="45"/>
      <c r="L1131" s="46"/>
      <c r="M1131" s="44"/>
      <c r="N1131" s="1" t="s">
        <v>1493</v>
      </c>
    </row>
    <row r="1132" spans="1:51" ht="30" customHeight="1" x14ac:dyDescent="0.3">
      <c r="A1132" s="9" t="s">
        <v>2015</v>
      </c>
      <c r="B1132" s="9" t="s">
        <v>822</v>
      </c>
      <c r="C1132" s="9" t="s">
        <v>823</v>
      </c>
      <c r="D1132" s="10">
        <v>4.2999999999999997E-2</v>
      </c>
      <c r="E1132" s="15">
        <f>'단가대비표(총체)'!O189</f>
        <v>0</v>
      </c>
      <c r="F1132" s="16">
        <f>TRUNC(E1132*D1132,1)</f>
        <v>0</v>
      </c>
      <c r="G1132" s="15">
        <f>'단가대비표(총체)'!P189</f>
        <v>0</v>
      </c>
      <c r="H1132" s="16">
        <f>TRUNC(G1132*D1132,1)</f>
        <v>0</v>
      </c>
      <c r="I1132" s="15">
        <f>'단가대비표(총체)'!V189</f>
        <v>0</v>
      </c>
      <c r="J1132" s="16">
        <f>TRUNC(I1132*D1132,1)</f>
        <v>0</v>
      </c>
      <c r="K1132" s="15">
        <f>TRUNC(E1132+G1132+I1132,1)</f>
        <v>0</v>
      </c>
      <c r="L1132" s="16">
        <f>TRUNC(F1132+H1132+J1132,1)</f>
        <v>0</v>
      </c>
      <c r="M1132" s="9" t="s">
        <v>52</v>
      </c>
      <c r="N1132" s="2" t="s">
        <v>1493</v>
      </c>
      <c r="O1132" s="2" t="s">
        <v>2016</v>
      </c>
      <c r="P1132" s="2" t="s">
        <v>61</v>
      </c>
      <c r="Q1132" s="2" t="s">
        <v>61</v>
      </c>
      <c r="R1132" s="2" t="s">
        <v>60</v>
      </c>
      <c r="S1132" s="3"/>
      <c r="T1132" s="3"/>
      <c r="U1132" s="3"/>
      <c r="V1132" s="3">
        <v>1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2" t="s">
        <v>52</v>
      </c>
      <c r="AW1132" s="2" t="s">
        <v>2284</v>
      </c>
      <c r="AX1132" s="2" t="s">
        <v>52</v>
      </c>
      <c r="AY1132" s="2" t="s">
        <v>52</v>
      </c>
    </row>
    <row r="1133" spans="1:51" ht="30" customHeight="1" x14ac:dyDescent="0.3">
      <c r="A1133" s="9" t="s">
        <v>874</v>
      </c>
      <c r="B1133" s="9" t="s">
        <v>891</v>
      </c>
      <c r="C1133" s="9" t="s">
        <v>307</v>
      </c>
      <c r="D1133" s="10">
        <v>1</v>
      </c>
      <c r="E1133" s="15">
        <v>0</v>
      </c>
      <c r="F1133" s="16">
        <f>TRUNC(E1133*D1133,1)</f>
        <v>0</v>
      </c>
      <c r="G1133" s="15">
        <v>0</v>
      </c>
      <c r="H1133" s="16">
        <f>TRUNC(G1133*D1133,1)</f>
        <v>0</v>
      </c>
      <c r="I1133" s="15">
        <f>TRUNC(SUMIF(V1132:V1133, RIGHTB(O1133, 1), H1132:H1133)*U1133, 2)</f>
        <v>0</v>
      </c>
      <c r="J1133" s="16">
        <f>TRUNC(I1133*D1133,1)</f>
        <v>0</v>
      </c>
      <c r="K1133" s="15">
        <f>TRUNC(E1133+G1133+I1133,1)</f>
        <v>0</v>
      </c>
      <c r="L1133" s="16">
        <f>TRUNC(F1133+H1133+J1133,1)</f>
        <v>0</v>
      </c>
      <c r="M1133" s="9" t="s">
        <v>52</v>
      </c>
      <c r="N1133" s="2" t="s">
        <v>1493</v>
      </c>
      <c r="O1133" s="2" t="s">
        <v>809</v>
      </c>
      <c r="P1133" s="2" t="s">
        <v>61</v>
      </c>
      <c r="Q1133" s="2" t="s">
        <v>61</v>
      </c>
      <c r="R1133" s="2" t="s">
        <v>61</v>
      </c>
      <c r="S1133" s="3">
        <v>1</v>
      </c>
      <c r="T1133" s="3">
        <v>2</v>
      </c>
      <c r="U1133" s="3">
        <v>0.02</v>
      </c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2" t="s">
        <v>52</v>
      </c>
      <c r="AW1133" s="2" t="s">
        <v>2285</v>
      </c>
      <c r="AX1133" s="2" t="s">
        <v>52</v>
      </c>
      <c r="AY1133" s="2" t="s">
        <v>52</v>
      </c>
    </row>
    <row r="1134" spans="1:51" ht="30" customHeight="1" x14ac:dyDescent="0.3">
      <c r="A1134" s="9" t="s">
        <v>811</v>
      </c>
      <c r="B1134" s="9" t="s">
        <v>52</v>
      </c>
      <c r="C1134" s="9" t="s">
        <v>52</v>
      </c>
      <c r="D1134" s="10"/>
      <c r="E1134" s="15"/>
      <c r="F1134" s="16">
        <f>TRUNC(SUMIF(N1132:N1133, N1131, F1132:F1133),0)</f>
        <v>0</v>
      </c>
      <c r="G1134" s="15"/>
      <c r="H1134" s="16">
        <f>TRUNC(SUMIF(N1132:N1133, N1131, H1132:H1133),0)</f>
        <v>0</v>
      </c>
      <c r="I1134" s="15"/>
      <c r="J1134" s="16">
        <f>TRUNC(SUMIF(N1132:N1133, N1131, J1132:J1133),0)</f>
        <v>0</v>
      </c>
      <c r="K1134" s="15"/>
      <c r="L1134" s="16">
        <f>F1134+H1134+J1134</f>
        <v>0</v>
      </c>
      <c r="M1134" s="9" t="s">
        <v>52</v>
      </c>
      <c r="N1134" s="2" t="s">
        <v>94</v>
      </c>
      <c r="O1134" s="2" t="s">
        <v>94</v>
      </c>
      <c r="P1134" s="2" t="s">
        <v>52</v>
      </c>
      <c r="Q1134" s="2" t="s">
        <v>52</v>
      </c>
      <c r="R1134" s="2" t="s">
        <v>52</v>
      </c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2" t="s">
        <v>52</v>
      </c>
      <c r="AW1134" s="2" t="s">
        <v>52</v>
      </c>
      <c r="AX1134" s="2" t="s">
        <v>52</v>
      </c>
      <c r="AY1134" s="2" t="s">
        <v>52</v>
      </c>
    </row>
    <row r="1135" spans="1:51" ht="30" customHeight="1" x14ac:dyDescent="0.3">
      <c r="A1135" s="10"/>
      <c r="B1135" s="10"/>
      <c r="C1135" s="10"/>
      <c r="D1135" s="10"/>
      <c r="E1135" s="15"/>
      <c r="F1135" s="16"/>
      <c r="G1135" s="15"/>
      <c r="H1135" s="16"/>
      <c r="I1135" s="15"/>
      <c r="J1135" s="16"/>
      <c r="K1135" s="15"/>
      <c r="L1135" s="16"/>
      <c r="M1135" s="10"/>
    </row>
    <row r="1136" spans="1:51" ht="30" customHeight="1" x14ac:dyDescent="0.3">
      <c r="A1136" s="44" t="s">
        <v>2286</v>
      </c>
      <c r="B1136" s="44"/>
      <c r="C1136" s="44"/>
      <c r="D1136" s="44"/>
      <c r="E1136" s="45"/>
      <c r="F1136" s="46"/>
      <c r="G1136" s="45"/>
      <c r="H1136" s="46"/>
      <c r="I1136" s="45"/>
      <c r="J1136" s="46"/>
      <c r="K1136" s="45"/>
      <c r="L1136" s="46"/>
      <c r="M1136" s="44"/>
      <c r="N1136" s="1" t="s">
        <v>1496</v>
      </c>
    </row>
    <row r="1137" spans="1:51" ht="30" customHeight="1" x14ac:dyDescent="0.3">
      <c r="A1137" s="9" t="s">
        <v>2015</v>
      </c>
      <c r="B1137" s="9" t="s">
        <v>822</v>
      </c>
      <c r="C1137" s="9" t="s">
        <v>823</v>
      </c>
      <c r="D1137" s="10">
        <v>2.4E-2</v>
      </c>
      <c r="E1137" s="15">
        <f>'단가대비표(총체)'!O189</f>
        <v>0</v>
      </c>
      <c r="F1137" s="16">
        <f>TRUNC(E1137*D1137,1)</f>
        <v>0</v>
      </c>
      <c r="G1137" s="15">
        <f>'단가대비표(총체)'!P189</f>
        <v>0</v>
      </c>
      <c r="H1137" s="16">
        <f>TRUNC(G1137*D1137,1)</f>
        <v>0</v>
      </c>
      <c r="I1137" s="15">
        <f>'단가대비표(총체)'!V189</f>
        <v>0</v>
      </c>
      <c r="J1137" s="16">
        <f>TRUNC(I1137*D1137,1)</f>
        <v>0</v>
      </c>
      <c r="K1137" s="15">
        <f>TRUNC(E1137+G1137+I1137,1)</f>
        <v>0</v>
      </c>
      <c r="L1137" s="16">
        <f>TRUNC(F1137+H1137+J1137,1)</f>
        <v>0</v>
      </c>
      <c r="M1137" s="9" t="s">
        <v>52</v>
      </c>
      <c r="N1137" s="2" t="s">
        <v>1496</v>
      </c>
      <c r="O1137" s="2" t="s">
        <v>2016</v>
      </c>
      <c r="P1137" s="2" t="s">
        <v>61</v>
      </c>
      <c r="Q1137" s="2" t="s">
        <v>61</v>
      </c>
      <c r="R1137" s="2" t="s">
        <v>60</v>
      </c>
      <c r="S1137" s="3"/>
      <c r="T1137" s="3"/>
      <c r="U1137" s="3"/>
      <c r="V1137" s="3">
        <v>1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2" t="s">
        <v>52</v>
      </c>
      <c r="AW1137" s="2" t="s">
        <v>2288</v>
      </c>
      <c r="AX1137" s="2" t="s">
        <v>52</v>
      </c>
      <c r="AY1137" s="2" t="s">
        <v>52</v>
      </c>
    </row>
    <row r="1138" spans="1:51" ht="30" customHeight="1" x14ac:dyDescent="0.3">
      <c r="A1138" s="9" t="s">
        <v>874</v>
      </c>
      <c r="B1138" s="9" t="s">
        <v>891</v>
      </c>
      <c r="C1138" s="9" t="s">
        <v>307</v>
      </c>
      <c r="D1138" s="10">
        <v>1</v>
      </c>
      <c r="E1138" s="15">
        <v>0</v>
      </c>
      <c r="F1138" s="16">
        <f>TRUNC(E1138*D1138,1)</f>
        <v>0</v>
      </c>
      <c r="G1138" s="15">
        <v>0</v>
      </c>
      <c r="H1138" s="16">
        <f>TRUNC(G1138*D1138,1)</f>
        <v>0</v>
      </c>
      <c r="I1138" s="15">
        <f>TRUNC(SUMIF(V1137:V1138, RIGHTB(O1138, 1), H1137:H1138)*U1138, 2)</f>
        <v>0</v>
      </c>
      <c r="J1138" s="16">
        <f>TRUNC(I1138*D1138,1)</f>
        <v>0</v>
      </c>
      <c r="K1138" s="15">
        <f>TRUNC(E1138+G1138+I1138,1)</f>
        <v>0</v>
      </c>
      <c r="L1138" s="16">
        <f>TRUNC(F1138+H1138+J1138,1)</f>
        <v>0</v>
      </c>
      <c r="M1138" s="9" t="s">
        <v>52</v>
      </c>
      <c r="N1138" s="2" t="s">
        <v>1496</v>
      </c>
      <c r="O1138" s="2" t="s">
        <v>809</v>
      </c>
      <c r="P1138" s="2" t="s">
        <v>61</v>
      </c>
      <c r="Q1138" s="2" t="s">
        <v>61</v>
      </c>
      <c r="R1138" s="2" t="s">
        <v>61</v>
      </c>
      <c r="S1138" s="3">
        <v>1</v>
      </c>
      <c r="T1138" s="3">
        <v>2</v>
      </c>
      <c r="U1138" s="3">
        <v>0.02</v>
      </c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2" t="s">
        <v>52</v>
      </c>
      <c r="AW1138" s="2" t="s">
        <v>2289</v>
      </c>
      <c r="AX1138" s="2" t="s">
        <v>52</v>
      </c>
      <c r="AY1138" s="2" t="s">
        <v>52</v>
      </c>
    </row>
    <row r="1139" spans="1:51" ht="30" customHeight="1" x14ac:dyDescent="0.3">
      <c r="A1139" s="9" t="s">
        <v>811</v>
      </c>
      <c r="B1139" s="9" t="s">
        <v>52</v>
      </c>
      <c r="C1139" s="9" t="s">
        <v>52</v>
      </c>
      <c r="D1139" s="10"/>
      <c r="E1139" s="15"/>
      <c r="F1139" s="16">
        <f>TRUNC(SUMIF(N1137:N1138, N1136, F1137:F1138),0)</f>
        <v>0</v>
      </c>
      <c r="G1139" s="15"/>
      <c r="H1139" s="16">
        <f>TRUNC(SUMIF(N1137:N1138, N1136, H1137:H1138),0)</f>
        <v>0</v>
      </c>
      <c r="I1139" s="15"/>
      <c r="J1139" s="16">
        <f>TRUNC(SUMIF(N1137:N1138, N1136, J1137:J1138),0)</f>
        <v>0</v>
      </c>
      <c r="K1139" s="15"/>
      <c r="L1139" s="16">
        <f>F1139+H1139+J1139</f>
        <v>0</v>
      </c>
      <c r="M1139" s="9" t="s">
        <v>52</v>
      </c>
      <c r="N1139" s="2" t="s">
        <v>94</v>
      </c>
      <c r="O1139" s="2" t="s">
        <v>94</v>
      </c>
      <c r="P1139" s="2" t="s">
        <v>52</v>
      </c>
      <c r="Q1139" s="2" t="s">
        <v>52</v>
      </c>
      <c r="R1139" s="2" t="s">
        <v>52</v>
      </c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2" t="s">
        <v>52</v>
      </c>
      <c r="AW1139" s="2" t="s">
        <v>52</v>
      </c>
      <c r="AX1139" s="2" t="s">
        <v>52</v>
      </c>
      <c r="AY1139" s="2" t="s">
        <v>52</v>
      </c>
    </row>
    <row r="1140" spans="1:51" ht="30" customHeight="1" x14ac:dyDescent="0.3">
      <c r="A1140" s="10"/>
      <c r="B1140" s="10"/>
      <c r="C1140" s="10"/>
      <c r="D1140" s="10"/>
      <c r="E1140" s="15"/>
      <c r="F1140" s="16"/>
      <c r="G1140" s="15"/>
      <c r="H1140" s="16"/>
      <c r="I1140" s="15"/>
      <c r="J1140" s="16"/>
      <c r="K1140" s="15"/>
      <c r="L1140" s="16"/>
      <c r="M1140" s="10"/>
    </row>
    <row r="1141" spans="1:51" ht="30" customHeight="1" x14ac:dyDescent="0.3">
      <c r="A1141" s="44" t="s">
        <v>2290</v>
      </c>
      <c r="B1141" s="44"/>
      <c r="C1141" s="44"/>
      <c r="D1141" s="44"/>
      <c r="E1141" s="45"/>
      <c r="F1141" s="46"/>
      <c r="G1141" s="45"/>
      <c r="H1141" s="46"/>
      <c r="I1141" s="45"/>
      <c r="J1141" s="46"/>
      <c r="K1141" s="45"/>
      <c r="L1141" s="46"/>
      <c r="M1141" s="44"/>
      <c r="N1141" s="1" t="s">
        <v>1503</v>
      </c>
    </row>
    <row r="1142" spans="1:51" ht="30" customHeight="1" x14ac:dyDescent="0.3">
      <c r="A1142" s="9" t="s">
        <v>2015</v>
      </c>
      <c r="B1142" s="9" t="s">
        <v>822</v>
      </c>
      <c r="C1142" s="9" t="s">
        <v>823</v>
      </c>
      <c r="D1142" s="10">
        <v>6.2E-2</v>
      </c>
      <c r="E1142" s="15">
        <f>'단가대비표(총체)'!O189</f>
        <v>0</v>
      </c>
      <c r="F1142" s="16">
        <f>TRUNC(E1142*D1142,1)</f>
        <v>0</v>
      </c>
      <c r="G1142" s="15">
        <f>'단가대비표(총체)'!P189</f>
        <v>0</v>
      </c>
      <c r="H1142" s="16">
        <f>TRUNC(G1142*D1142,1)</f>
        <v>0</v>
      </c>
      <c r="I1142" s="15">
        <f>'단가대비표(총체)'!V189</f>
        <v>0</v>
      </c>
      <c r="J1142" s="16">
        <f>TRUNC(I1142*D1142,1)</f>
        <v>0</v>
      </c>
      <c r="K1142" s="15">
        <f t="shared" ref="K1142:L1144" si="209">TRUNC(E1142+G1142+I1142,1)</f>
        <v>0</v>
      </c>
      <c r="L1142" s="16">
        <f t="shared" si="209"/>
        <v>0</v>
      </c>
      <c r="M1142" s="9" t="s">
        <v>52</v>
      </c>
      <c r="N1142" s="2" t="s">
        <v>1503</v>
      </c>
      <c r="O1142" s="2" t="s">
        <v>2016</v>
      </c>
      <c r="P1142" s="2" t="s">
        <v>61</v>
      </c>
      <c r="Q1142" s="2" t="s">
        <v>61</v>
      </c>
      <c r="R1142" s="2" t="s">
        <v>60</v>
      </c>
      <c r="S1142" s="3"/>
      <c r="T1142" s="3"/>
      <c r="U1142" s="3"/>
      <c r="V1142" s="3">
        <v>1</v>
      </c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2" t="s">
        <v>52</v>
      </c>
      <c r="AW1142" s="2" t="s">
        <v>2292</v>
      </c>
      <c r="AX1142" s="2" t="s">
        <v>52</v>
      </c>
      <c r="AY1142" s="2" t="s">
        <v>52</v>
      </c>
    </row>
    <row r="1143" spans="1:51" ht="30" customHeight="1" x14ac:dyDescent="0.3">
      <c r="A1143" s="9" t="s">
        <v>821</v>
      </c>
      <c r="B1143" s="9" t="s">
        <v>822</v>
      </c>
      <c r="C1143" s="9" t="s">
        <v>823</v>
      </c>
      <c r="D1143" s="10">
        <v>3.1E-2</v>
      </c>
      <c r="E1143" s="15">
        <f>'단가대비표(총체)'!O180</f>
        <v>0</v>
      </c>
      <c r="F1143" s="16">
        <f>TRUNC(E1143*D1143,1)</f>
        <v>0</v>
      </c>
      <c r="G1143" s="15">
        <f>'단가대비표(총체)'!P180</f>
        <v>0</v>
      </c>
      <c r="H1143" s="16">
        <f>TRUNC(G1143*D1143,1)</f>
        <v>0</v>
      </c>
      <c r="I1143" s="15">
        <f>'단가대비표(총체)'!V180</f>
        <v>0</v>
      </c>
      <c r="J1143" s="16">
        <f>TRUNC(I1143*D1143,1)</f>
        <v>0</v>
      </c>
      <c r="K1143" s="15">
        <f t="shared" si="209"/>
        <v>0</v>
      </c>
      <c r="L1143" s="16">
        <f t="shared" si="209"/>
        <v>0</v>
      </c>
      <c r="M1143" s="9" t="s">
        <v>52</v>
      </c>
      <c r="N1143" s="2" t="s">
        <v>1503</v>
      </c>
      <c r="O1143" s="2" t="s">
        <v>824</v>
      </c>
      <c r="P1143" s="2" t="s">
        <v>61</v>
      </c>
      <c r="Q1143" s="2" t="s">
        <v>61</v>
      </c>
      <c r="R1143" s="2" t="s">
        <v>60</v>
      </c>
      <c r="S1143" s="3"/>
      <c r="T1143" s="3"/>
      <c r="U1143" s="3"/>
      <c r="V1143" s="3">
        <v>1</v>
      </c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2" t="s">
        <v>52</v>
      </c>
      <c r="AW1143" s="2" t="s">
        <v>2293</v>
      </c>
      <c r="AX1143" s="2" t="s">
        <v>52</v>
      </c>
      <c r="AY1143" s="2" t="s">
        <v>52</v>
      </c>
    </row>
    <row r="1144" spans="1:51" ht="30" customHeight="1" x14ac:dyDescent="0.3">
      <c r="A1144" s="9" t="s">
        <v>874</v>
      </c>
      <c r="B1144" s="9" t="s">
        <v>891</v>
      </c>
      <c r="C1144" s="9" t="s">
        <v>307</v>
      </c>
      <c r="D1144" s="10">
        <v>1</v>
      </c>
      <c r="E1144" s="15">
        <v>0</v>
      </c>
      <c r="F1144" s="16">
        <f>TRUNC(E1144*D1144,1)</f>
        <v>0</v>
      </c>
      <c r="G1144" s="15">
        <v>0</v>
      </c>
      <c r="H1144" s="16">
        <f>TRUNC(G1144*D1144,1)</f>
        <v>0</v>
      </c>
      <c r="I1144" s="15">
        <f>TRUNC(SUMIF(V1142:V1144, RIGHTB(O1144, 1), H1142:H1144)*U1144, 2)</f>
        <v>0</v>
      </c>
      <c r="J1144" s="16">
        <f>TRUNC(I1144*D1144,1)</f>
        <v>0</v>
      </c>
      <c r="K1144" s="15">
        <f t="shared" si="209"/>
        <v>0</v>
      </c>
      <c r="L1144" s="16">
        <f t="shared" si="209"/>
        <v>0</v>
      </c>
      <c r="M1144" s="9" t="s">
        <v>52</v>
      </c>
      <c r="N1144" s="2" t="s">
        <v>1503</v>
      </c>
      <c r="O1144" s="2" t="s">
        <v>809</v>
      </c>
      <c r="P1144" s="2" t="s">
        <v>61</v>
      </c>
      <c r="Q1144" s="2" t="s">
        <v>61</v>
      </c>
      <c r="R1144" s="2" t="s">
        <v>61</v>
      </c>
      <c r="S1144" s="3">
        <v>1</v>
      </c>
      <c r="T1144" s="3">
        <v>2</v>
      </c>
      <c r="U1144" s="3">
        <v>0.02</v>
      </c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2" t="s">
        <v>52</v>
      </c>
      <c r="AW1144" s="2" t="s">
        <v>2294</v>
      </c>
      <c r="AX1144" s="2" t="s">
        <v>52</v>
      </c>
      <c r="AY1144" s="2" t="s">
        <v>52</v>
      </c>
    </row>
    <row r="1145" spans="1:51" ht="30" customHeight="1" x14ac:dyDescent="0.3">
      <c r="A1145" s="9" t="s">
        <v>811</v>
      </c>
      <c r="B1145" s="9" t="s">
        <v>52</v>
      </c>
      <c r="C1145" s="9" t="s">
        <v>52</v>
      </c>
      <c r="D1145" s="10"/>
      <c r="E1145" s="15"/>
      <c r="F1145" s="16">
        <f>TRUNC(SUMIF(N1142:N1144, N1141, F1142:F1144),0)</f>
        <v>0</v>
      </c>
      <c r="G1145" s="15"/>
      <c r="H1145" s="16">
        <f>TRUNC(SUMIF(N1142:N1144, N1141, H1142:H1144),0)</f>
        <v>0</v>
      </c>
      <c r="I1145" s="15"/>
      <c r="J1145" s="16">
        <f>TRUNC(SUMIF(N1142:N1144, N1141, J1142:J1144),0)</f>
        <v>0</v>
      </c>
      <c r="K1145" s="15"/>
      <c r="L1145" s="16">
        <f>F1145+H1145+J1145</f>
        <v>0</v>
      </c>
      <c r="M1145" s="9" t="s">
        <v>52</v>
      </c>
      <c r="N1145" s="2" t="s">
        <v>94</v>
      </c>
      <c r="O1145" s="2" t="s">
        <v>94</v>
      </c>
      <c r="P1145" s="2" t="s">
        <v>52</v>
      </c>
      <c r="Q1145" s="2" t="s">
        <v>52</v>
      </c>
      <c r="R1145" s="2" t="s">
        <v>52</v>
      </c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2" t="s">
        <v>52</v>
      </c>
      <c r="AW1145" s="2" t="s">
        <v>52</v>
      </c>
      <c r="AX1145" s="2" t="s">
        <v>52</v>
      </c>
      <c r="AY1145" s="2" t="s">
        <v>52</v>
      </c>
    </row>
    <row r="1146" spans="1:51" ht="30" customHeight="1" x14ac:dyDescent="0.3">
      <c r="A1146" s="10"/>
      <c r="B1146" s="10"/>
      <c r="C1146" s="10"/>
      <c r="D1146" s="10"/>
      <c r="E1146" s="15"/>
      <c r="F1146" s="16"/>
      <c r="G1146" s="15"/>
      <c r="H1146" s="16"/>
      <c r="I1146" s="15"/>
      <c r="J1146" s="16"/>
      <c r="K1146" s="15"/>
      <c r="L1146" s="16"/>
      <c r="M1146" s="10"/>
    </row>
    <row r="1147" spans="1:51" ht="30" customHeight="1" x14ac:dyDescent="0.3">
      <c r="A1147" s="44" t="s">
        <v>2295</v>
      </c>
      <c r="B1147" s="44"/>
      <c r="C1147" s="44"/>
      <c r="D1147" s="44"/>
      <c r="E1147" s="45"/>
      <c r="F1147" s="46"/>
      <c r="G1147" s="45"/>
      <c r="H1147" s="46"/>
      <c r="I1147" s="45"/>
      <c r="J1147" s="46"/>
      <c r="K1147" s="45"/>
      <c r="L1147" s="46"/>
      <c r="M1147" s="44"/>
      <c r="N1147" s="1" t="s">
        <v>1528</v>
      </c>
    </row>
    <row r="1148" spans="1:51" ht="30" customHeight="1" x14ac:dyDescent="0.3">
      <c r="A1148" s="9" t="s">
        <v>2015</v>
      </c>
      <c r="B1148" s="9" t="s">
        <v>822</v>
      </c>
      <c r="C1148" s="9" t="s">
        <v>823</v>
      </c>
      <c r="D1148" s="10">
        <v>0.432</v>
      </c>
      <c r="E1148" s="15">
        <f>'단가대비표(총체)'!O189</f>
        <v>0</v>
      </c>
      <c r="F1148" s="16">
        <f>TRUNC(E1148*D1148,1)</f>
        <v>0</v>
      </c>
      <c r="G1148" s="15">
        <f>'단가대비표(총체)'!P189</f>
        <v>0</v>
      </c>
      <c r="H1148" s="16">
        <f>TRUNC(G1148*D1148,1)</f>
        <v>0</v>
      </c>
      <c r="I1148" s="15">
        <f>'단가대비표(총체)'!V189</f>
        <v>0</v>
      </c>
      <c r="J1148" s="16">
        <f>TRUNC(I1148*D1148,1)</f>
        <v>0</v>
      </c>
      <c r="K1148" s="15">
        <f t="shared" ref="K1148:L1150" si="210">TRUNC(E1148+G1148+I1148,1)</f>
        <v>0</v>
      </c>
      <c r="L1148" s="16">
        <f t="shared" si="210"/>
        <v>0</v>
      </c>
      <c r="M1148" s="9" t="s">
        <v>52</v>
      </c>
      <c r="N1148" s="2" t="s">
        <v>1528</v>
      </c>
      <c r="O1148" s="2" t="s">
        <v>2016</v>
      </c>
      <c r="P1148" s="2" t="s">
        <v>61</v>
      </c>
      <c r="Q1148" s="2" t="s">
        <v>61</v>
      </c>
      <c r="R1148" s="2" t="s">
        <v>60</v>
      </c>
      <c r="S1148" s="3"/>
      <c r="T1148" s="3"/>
      <c r="U1148" s="3"/>
      <c r="V1148" s="3">
        <v>1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2" t="s">
        <v>52</v>
      </c>
      <c r="AW1148" s="2" t="s">
        <v>2297</v>
      </c>
      <c r="AX1148" s="2" t="s">
        <v>52</v>
      </c>
      <c r="AY1148" s="2" t="s">
        <v>52</v>
      </c>
    </row>
    <row r="1149" spans="1:51" ht="30" customHeight="1" x14ac:dyDescent="0.3">
      <c r="A1149" s="9" t="s">
        <v>821</v>
      </c>
      <c r="B1149" s="9" t="s">
        <v>822</v>
      </c>
      <c r="C1149" s="9" t="s">
        <v>823</v>
      </c>
      <c r="D1149" s="10">
        <v>0.10299999999999999</v>
      </c>
      <c r="E1149" s="15">
        <f>'단가대비표(총체)'!O180</f>
        <v>0</v>
      </c>
      <c r="F1149" s="16">
        <f>TRUNC(E1149*D1149,1)</f>
        <v>0</v>
      </c>
      <c r="G1149" s="15">
        <f>'단가대비표(총체)'!P180</f>
        <v>0</v>
      </c>
      <c r="H1149" s="16">
        <f>TRUNC(G1149*D1149,1)</f>
        <v>0</v>
      </c>
      <c r="I1149" s="15">
        <f>'단가대비표(총체)'!V180</f>
        <v>0</v>
      </c>
      <c r="J1149" s="16">
        <f>TRUNC(I1149*D1149,1)</f>
        <v>0</v>
      </c>
      <c r="K1149" s="15">
        <f t="shared" si="210"/>
        <v>0</v>
      </c>
      <c r="L1149" s="16">
        <f t="shared" si="210"/>
        <v>0</v>
      </c>
      <c r="M1149" s="9" t="s">
        <v>52</v>
      </c>
      <c r="N1149" s="2" t="s">
        <v>1528</v>
      </c>
      <c r="O1149" s="2" t="s">
        <v>824</v>
      </c>
      <c r="P1149" s="2" t="s">
        <v>61</v>
      </c>
      <c r="Q1149" s="2" t="s">
        <v>61</v>
      </c>
      <c r="R1149" s="2" t="s">
        <v>60</v>
      </c>
      <c r="S1149" s="3"/>
      <c r="T1149" s="3"/>
      <c r="U1149" s="3"/>
      <c r="V1149" s="3">
        <v>1</v>
      </c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2" t="s">
        <v>52</v>
      </c>
      <c r="AW1149" s="2" t="s">
        <v>2298</v>
      </c>
      <c r="AX1149" s="2" t="s">
        <v>52</v>
      </c>
      <c r="AY1149" s="2" t="s">
        <v>52</v>
      </c>
    </row>
    <row r="1150" spans="1:51" ht="30" customHeight="1" x14ac:dyDescent="0.3">
      <c r="A1150" s="9" t="s">
        <v>874</v>
      </c>
      <c r="B1150" s="9" t="s">
        <v>875</v>
      </c>
      <c r="C1150" s="9" t="s">
        <v>307</v>
      </c>
      <c r="D1150" s="10">
        <v>1</v>
      </c>
      <c r="E1150" s="15">
        <v>0</v>
      </c>
      <c r="F1150" s="16">
        <f>TRUNC(E1150*D1150,1)</f>
        <v>0</v>
      </c>
      <c r="G1150" s="15">
        <v>0</v>
      </c>
      <c r="H1150" s="16">
        <f>TRUNC(G1150*D1150,1)</f>
        <v>0</v>
      </c>
      <c r="I1150" s="15">
        <f>TRUNC(SUMIF(V1148:V1150, RIGHTB(O1150, 1), H1148:H1150)*U1150, 2)</f>
        <v>0</v>
      </c>
      <c r="J1150" s="16">
        <f>TRUNC(I1150*D1150,1)</f>
        <v>0</v>
      </c>
      <c r="K1150" s="15">
        <f t="shared" si="210"/>
        <v>0</v>
      </c>
      <c r="L1150" s="16">
        <f t="shared" si="210"/>
        <v>0</v>
      </c>
      <c r="M1150" s="9" t="s">
        <v>52</v>
      </c>
      <c r="N1150" s="2" t="s">
        <v>1528</v>
      </c>
      <c r="O1150" s="2" t="s">
        <v>809</v>
      </c>
      <c r="P1150" s="2" t="s">
        <v>61</v>
      </c>
      <c r="Q1150" s="2" t="s">
        <v>61</v>
      </c>
      <c r="R1150" s="2" t="s">
        <v>61</v>
      </c>
      <c r="S1150" s="3">
        <v>1</v>
      </c>
      <c r="T1150" s="3">
        <v>2</v>
      </c>
      <c r="U1150" s="3">
        <v>0.03</v>
      </c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2" t="s">
        <v>52</v>
      </c>
      <c r="AW1150" s="2" t="s">
        <v>2299</v>
      </c>
      <c r="AX1150" s="2" t="s">
        <v>52</v>
      </c>
      <c r="AY1150" s="2" t="s">
        <v>52</v>
      </c>
    </row>
    <row r="1151" spans="1:51" ht="30" customHeight="1" x14ac:dyDescent="0.3">
      <c r="A1151" s="9" t="s">
        <v>811</v>
      </c>
      <c r="B1151" s="9" t="s">
        <v>52</v>
      </c>
      <c r="C1151" s="9" t="s">
        <v>52</v>
      </c>
      <c r="D1151" s="10"/>
      <c r="E1151" s="15"/>
      <c r="F1151" s="16">
        <f>TRUNC(SUMIF(N1148:N1150, N1147, F1148:F1150),0)</f>
        <v>0</v>
      </c>
      <c r="G1151" s="15"/>
      <c r="H1151" s="16">
        <f>TRUNC(SUMIF(N1148:N1150, N1147, H1148:H1150),0)</f>
        <v>0</v>
      </c>
      <c r="I1151" s="15"/>
      <c r="J1151" s="16">
        <f>TRUNC(SUMIF(N1148:N1150, N1147, J1148:J1150),0)</f>
        <v>0</v>
      </c>
      <c r="K1151" s="15"/>
      <c r="L1151" s="16">
        <f>F1151+H1151+J1151</f>
        <v>0</v>
      </c>
      <c r="M1151" s="9" t="s">
        <v>52</v>
      </c>
      <c r="N1151" s="2" t="s">
        <v>94</v>
      </c>
      <c r="O1151" s="2" t="s">
        <v>94</v>
      </c>
      <c r="P1151" s="2" t="s">
        <v>52</v>
      </c>
      <c r="Q1151" s="2" t="s">
        <v>52</v>
      </c>
      <c r="R1151" s="2" t="s">
        <v>52</v>
      </c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2" t="s">
        <v>52</v>
      </c>
      <c r="AW1151" s="2" t="s">
        <v>52</v>
      </c>
      <c r="AX1151" s="2" t="s">
        <v>52</v>
      </c>
      <c r="AY1151" s="2" t="s">
        <v>52</v>
      </c>
    </row>
    <row r="1152" spans="1:51" ht="30" customHeight="1" x14ac:dyDescent="0.3">
      <c r="A1152" s="10"/>
      <c r="B1152" s="10"/>
      <c r="C1152" s="10"/>
      <c r="D1152" s="10"/>
      <c r="E1152" s="15"/>
      <c r="F1152" s="16"/>
      <c r="G1152" s="15"/>
      <c r="H1152" s="16"/>
      <c r="I1152" s="15"/>
      <c r="J1152" s="16"/>
      <c r="K1152" s="15"/>
      <c r="L1152" s="16"/>
      <c r="M1152" s="10"/>
    </row>
    <row r="1153" spans="1:51" ht="30" customHeight="1" x14ac:dyDescent="0.3">
      <c r="A1153" s="44" t="s">
        <v>2300</v>
      </c>
      <c r="B1153" s="44"/>
      <c r="C1153" s="44"/>
      <c r="D1153" s="44"/>
      <c r="E1153" s="45"/>
      <c r="F1153" s="46"/>
      <c r="G1153" s="45"/>
      <c r="H1153" s="46"/>
      <c r="I1153" s="45"/>
      <c r="J1153" s="46"/>
      <c r="K1153" s="45"/>
      <c r="L1153" s="46"/>
      <c r="M1153" s="44"/>
      <c r="N1153" s="1" t="s">
        <v>1549</v>
      </c>
    </row>
    <row r="1154" spans="1:51" ht="30" customHeight="1" x14ac:dyDescent="0.3">
      <c r="A1154" s="9" t="s">
        <v>1584</v>
      </c>
      <c r="B1154" s="9" t="s">
        <v>822</v>
      </c>
      <c r="C1154" s="9" t="s">
        <v>823</v>
      </c>
      <c r="D1154" s="10">
        <v>3.5000000000000003E-2</v>
      </c>
      <c r="E1154" s="15">
        <f>'단가대비표(총체)'!O194</f>
        <v>0</v>
      </c>
      <c r="F1154" s="16">
        <f>TRUNC(E1154*D1154,1)</f>
        <v>0</v>
      </c>
      <c r="G1154" s="15">
        <f>'단가대비표(총체)'!P194</f>
        <v>0</v>
      </c>
      <c r="H1154" s="16">
        <f>TRUNC(G1154*D1154,1)</f>
        <v>0</v>
      </c>
      <c r="I1154" s="15">
        <f>'단가대비표(총체)'!V194</f>
        <v>0</v>
      </c>
      <c r="J1154" s="16">
        <f>TRUNC(I1154*D1154,1)</f>
        <v>0</v>
      </c>
      <c r="K1154" s="15">
        <f t="shared" ref="K1154:L1156" si="211">TRUNC(E1154+G1154+I1154,1)</f>
        <v>0</v>
      </c>
      <c r="L1154" s="16">
        <f t="shared" si="211"/>
        <v>0</v>
      </c>
      <c r="M1154" s="9" t="s">
        <v>52</v>
      </c>
      <c r="N1154" s="2" t="s">
        <v>1549</v>
      </c>
      <c r="O1154" s="2" t="s">
        <v>1585</v>
      </c>
      <c r="P1154" s="2" t="s">
        <v>61</v>
      </c>
      <c r="Q1154" s="2" t="s">
        <v>61</v>
      </c>
      <c r="R1154" s="2" t="s">
        <v>60</v>
      </c>
      <c r="S1154" s="3"/>
      <c r="T1154" s="3"/>
      <c r="U1154" s="3"/>
      <c r="V1154" s="3">
        <v>1</v>
      </c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2" t="s">
        <v>52</v>
      </c>
      <c r="AW1154" s="2" t="s">
        <v>2302</v>
      </c>
      <c r="AX1154" s="2" t="s">
        <v>52</v>
      </c>
      <c r="AY1154" s="2" t="s">
        <v>52</v>
      </c>
    </row>
    <row r="1155" spans="1:51" ht="30" customHeight="1" x14ac:dyDescent="0.3">
      <c r="A1155" s="9" t="s">
        <v>821</v>
      </c>
      <c r="B1155" s="9" t="s">
        <v>822</v>
      </c>
      <c r="C1155" s="9" t="s">
        <v>823</v>
      </c>
      <c r="D1155" s="10">
        <v>0.01</v>
      </c>
      <c r="E1155" s="15">
        <f>'단가대비표(총체)'!O180</f>
        <v>0</v>
      </c>
      <c r="F1155" s="16">
        <f>TRUNC(E1155*D1155,1)</f>
        <v>0</v>
      </c>
      <c r="G1155" s="15">
        <f>'단가대비표(총체)'!P180</f>
        <v>0</v>
      </c>
      <c r="H1155" s="16">
        <f>TRUNC(G1155*D1155,1)</f>
        <v>0</v>
      </c>
      <c r="I1155" s="15">
        <f>'단가대비표(총체)'!V180</f>
        <v>0</v>
      </c>
      <c r="J1155" s="16">
        <f>TRUNC(I1155*D1155,1)</f>
        <v>0</v>
      </c>
      <c r="K1155" s="15">
        <f t="shared" si="211"/>
        <v>0</v>
      </c>
      <c r="L1155" s="16">
        <f t="shared" si="211"/>
        <v>0</v>
      </c>
      <c r="M1155" s="9" t="s">
        <v>52</v>
      </c>
      <c r="N1155" s="2" t="s">
        <v>1549</v>
      </c>
      <c r="O1155" s="2" t="s">
        <v>824</v>
      </c>
      <c r="P1155" s="2" t="s">
        <v>61</v>
      </c>
      <c r="Q1155" s="2" t="s">
        <v>61</v>
      </c>
      <c r="R1155" s="2" t="s">
        <v>60</v>
      </c>
      <c r="S1155" s="3"/>
      <c r="T1155" s="3"/>
      <c r="U1155" s="3"/>
      <c r="V1155" s="3">
        <v>1</v>
      </c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2" t="s">
        <v>52</v>
      </c>
      <c r="AW1155" s="2" t="s">
        <v>2303</v>
      </c>
      <c r="AX1155" s="2" t="s">
        <v>52</v>
      </c>
      <c r="AY1155" s="2" t="s">
        <v>52</v>
      </c>
    </row>
    <row r="1156" spans="1:51" ht="30" customHeight="1" x14ac:dyDescent="0.3">
      <c r="A1156" s="9" t="s">
        <v>1588</v>
      </c>
      <c r="B1156" s="9" t="s">
        <v>1828</v>
      </c>
      <c r="C1156" s="9" t="s">
        <v>307</v>
      </c>
      <c r="D1156" s="10">
        <v>1</v>
      </c>
      <c r="E1156" s="15">
        <f>TRUNC(SUMIF(V1154:V1156, RIGHTB(O1156, 1), H1154:H1156)*U1156, 2)</f>
        <v>0</v>
      </c>
      <c r="F1156" s="16">
        <f>TRUNC(E1156*D1156,1)</f>
        <v>0</v>
      </c>
      <c r="G1156" s="15">
        <v>0</v>
      </c>
      <c r="H1156" s="16">
        <f>TRUNC(G1156*D1156,1)</f>
        <v>0</v>
      </c>
      <c r="I1156" s="15">
        <v>0</v>
      </c>
      <c r="J1156" s="16">
        <f>TRUNC(I1156*D1156,1)</f>
        <v>0</v>
      </c>
      <c r="K1156" s="15">
        <f t="shared" si="211"/>
        <v>0</v>
      </c>
      <c r="L1156" s="16">
        <f t="shared" si="211"/>
        <v>0</v>
      </c>
      <c r="M1156" s="9" t="s">
        <v>52</v>
      </c>
      <c r="N1156" s="2" t="s">
        <v>1549</v>
      </c>
      <c r="O1156" s="2" t="s">
        <v>809</v>
      </c>
      <c r="P1156" s="2" t="s">
        <v>61</v>
      </c>
      <c r="Q1156" s="2" t="s">
        <v>61</v>
      </c>
      <c r="R1156" s="2" t="s">
        <v>61</v>
      </c>
      <c r="S1156" s="3">
        <v>1</v>
      </c>
      <c r="T1156" s="3">
        <v>0</v>
      </c>
      <c r="U1156" s="3">
        <v>0.04</v>
      </c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2" t="s">
        <v>52</v>
      </c>
      <c r="AW1156" s="2" t="s">
        <v>2304</v>
      </c>
      <c r="AX1156" s="2" t="s">
        <v>52</v>
      </c>
      <c r="AY1156" s="2" t="s">
        <v>52</v>
      </c>
    </row>
    <row r="1157" spans="1:51" ht="30" customHeight="1" x14ac:dyDescent="0.3">
      <c r="A1157" s="9" t="s">
        <v>811</v>
      </c>
      <c r="B1157" s="9" t="s">
        <v>52</v>
      </c>
      <c r="C1157" s="9" t="s">
        <v>52</v>
      </c>
      <c r="D1157" s="10"/>
      <c r="E1157" s="15"/>
      <c r="F1157" s="16">
        <f>TRUNC(SUMIF(N1154:N1156, N1153, F1154:F1156),0)</f>
        <v>0</v>
      </c>
      <c r="G1157" s="15"/>
      <c r="H1157" s="16">
        <f>TRUNC(SUMIF(N1154:N1156, N1153, H1154:H1156),0)</f>
        <v>0</v>
      </c>
      <c r="I1157" s="15"/>
      <c r="J1157" s="16">
        <f>TRUNC(SUMIF(N1154:N1156, N1153, J1154:J1156),0)</f>
        <v>0</v>
      </c>
      <c r="K1157" s="15"/>
      <c r="L1157" s="16">
        <f>F1157+H1157+J1157</f>
        <v>0</v>
      </c>
      <c r="M1157" s="9" t="s">
        <v>52</v>
      </c>
      <c r="N1157" s="2" t="s">
        <v>94</v>
      </c>
      <c r="O1157" s="2" t="s">
        <v>94</v>
      </c>
      <c r="P1157" s="2" t="s">
        <v>52</v>
      </c>
      <c r="Q1157" s="2" t="s">
        <v>52</v>
      </c>
      <c r="R1157" s="2" t="s">
        <v>52</v>
      </c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2" t="s">
        <v>52</v>
      </c>
      <c r="AW1157" s="2" t="s">
        <v>52</v>
      </c>
      <c r="AX1157" s="2" t="s">
        <v>52</v>
      </c>
      <c r="AY1157" s="2" t="s">
        <v>52</v>
      </c>
    </row>
    <row r="1158" spans="1:51" ht="30" customHeight="1" x14ac:dyDescent="0.3">
      <c r="A1158" s="10"/>
      <c r="B1158" s="10"/>
      <c r="C1158" s="10"/>
      <c r="D1158" s="10"/>
      <c r="E1158" s="15"/>
      <c r="F1158" s="16"/>
      <c r="G1158" s="15"/>
      <c r="H1158" s="16"/>
      <c r="I1158" s="15"/>
      <c r="J1158" s="16"/>
      <c r="K1158" s="15"/>
      <c r="L1158" s="16"/>
      <c r="M1158" s="10"/>
    </row>
    <row r="1159" spans="1:51" ht="30" customHeight="1" x14ac:dyDescent="0.3">
      <c r="A1159" s="44" t="s">
        <v>2305</v>
      </c>
      <c r="B1159" s="44"/>
      <c r="C1159" s="44"/>
      <c r="D1159" s="44"/>
      <c r="E1159" s="45"/>
      <c r="F1159" s="46"/>
      <c r="G1159" s="45"/>
      <c r="H1159" s="46"/>
      <c r="I1159" s="45"/>
      <c r="J1159" s="46"/>
      <c r="K1159" s="45"/>
      <c r="L1159" s="46"/>
      <c r="M1159" s="44"/>
      <c r="N1159" s="1" t="s">
        <v>1553</v>
      </c>
    </row>
    <row r="1160" spans="1:51" ht="30" customHeight="1" x14ac:dyDescent="0.3">
      <c r="A1160" s="9" t="s">
        <v>1584</v>
      </c>
      <c r="B1160" s="9" t="s">
        <v>822</v>
      </c>
      <c r="C1160" s="9" t="s">
        <v>823</v>
      </c>
      <c r="D1160" s="10">
        <v>2.4E-2</v>
      </c>
      <c r="E1160" s="15">
        <f>'단가대비표(총체)'!O194</f>
        <v>0</v>
      </c>
      <c r="F1160" s="16">
        <f>TRUNC(E1160*D1160,1)</f>
        <v>0</v>
      </c>
      <c r="G1160" s="15">
        <f>'단가대비표(총체)'!P194</f>
        <v>0</v>
      </c>
      <c r="H1160" s="16">
        <f>TRUNC(G1160*D1160,1)</f>
        <v>0</v>
      </c>
      <c r="I1160" s="15">
        <f>'단가대비표(총체)'!V194</f>
        <v>0</v>
      </c>
      <c r="J1160" s="16">
        <f>TRUNC(I1160*D1160,1)</f>
        <v>0</v>
      </c>
      <c r="K1160" s="15">
        <f t="shared" ref="K1160:L1162" si="212">TRUNC(E1160+G1160+I1160,1)</f>
        <v>0</v>
      </c>
      <c r="L1160" s="16">
        <f t="shared" si="212"/>
        <v>0</v>
      </c>
      <c r="M1160" s="9" t="s">
        <v>52</v>
      </c>
      <c r="N1160" s="2" t="s">
        <v>1553</v>
      </c>
      <c r="O1160" s="2" t="s">
        <v>1585</v>
      </c>
      <c r="P1160" s="2" t="s">
        <v>61</v>
      </c>
      <c r="Q1160" s="2" t="s">
        <v>61</v>
      </c>
      <c r="R1160" s="2" t="s">
        <v>60</v>
      </c>
      <c r="S1160" s="3"/>
      <c r="T1160" s="3"/>
      <c r="U1160" s="3"/>
      <c r="V1160" s="3">
        <v>1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2" t="s">
        <v>52</v>
      </c>
      <c r="AW1160" s="2" t="s">
        <v>2307</v>
      </c>
      <c r="AX1160" s="2" t="s">
        <v>52</v>
      </c>
      <c r="AY1160" s="2" t="s">
        <v>52</v>
      </c>
    </row>
    <row r="1161" spans="1:51" ht="30" customHeight="1" x14ac:dyDescent="0.3">
      <c r="A1161" s="9" t="s">
        <v>821</v>
      </c>
      <c r="B1161" s="9" t="s">
        <v>822</v>
      </c>
      <c r="C1161" s="9" t="s">
        <v>823</v>
      </c>
      <c r="D1161" s="10">
        <v>4.0000000000000001E-3</v>
      </c>
      <c r="E1161" s="15">
        <f>'단가대비표(총체)'!O180</f>
        <v>0</v>
      </c>
      <c r="F1161" s="16">
        <f>TRUNC(E1161*D1161,1)</f>
        <v>0</v>
      </c>
      <c r="G1161" s="15">
        <f>'단가대비표(총체)'!P180</f>
        <v>0</v>
      </c>
      <c r="H1161" s="16">
        <f>TRUNC(G1161*D1161,1)</f>
        <v>0</v>
      </c>
      <c r="I1161" s="15">
        <f>'단가대비표(총체)'!V180</f>
        <v>0</v>
      </c>
      <c r="J1161" s="16">
        <f>TRUNC(I1161*D1161,1)</f>
        <v>0</v>
      </c>
      <c r="K1161" s="15">
        <f t="shared" si="212"/>
        <v>0</v>
      </c>
      <c r="L1161" s="16">
        <f t="shared" si="212"/>
        <v>0</v>
      </c>
      <c r="M1161" s="9" t="s">
        <v>52</v>
      </c>
      <c r="N1161" s="2" t="s">
        <v>1553</v>
      </c>
      <c r="O1161" s="2" t="s">
        <v>824</v>
      </c>
      <c r="P1161" s="2" t="s">
        <v>61</v>
      </c>
      <c r="Q1161" s="2" t="s">
        <v>61</v>
      </c>
      <c r="R1161" s="2" t="s">
        <v>60</v>
      </c>
      <c r="S1161" s="3"/>
      <c r="T1161" s="3"/>
      <c r="U1161" s="3"/>
      <c r="V1161" s="3">
        <v>1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2" t="s">
        <v>52</v>
      </c>
      <c r="AW1161" s="2" t="s">
        <v>2308</v>
      </c>
      <c r="AX1161" s="2" t="s">
        <v>52</v>
      </c>
      <c r="AY1161" s="2" t="s">
        <v>52</v>
      </c>
    </row>
    <row r="1162" spans="1:51" ht="30" customHeight="1" x14ac:dyDescent="0.3">
      <c r="A1162" s="9" t="s">
        <v>1588</v>
      </c>
      <c r="B1162" s="9" t="s">
        <v>891</v>
      </c>
      <c r="C1162" s="9" t="s">
        <v>307</v>
      </c>
      <c r="D1162" s="10">
        <v>1</v>
      </c>
      <c r="E1162" s="15">
        <f>TRUNC(SUMIF(V1160:V1162, RIGHTB(O1162, 1), H1160:H1162)*U1162, 2)</f>
        <v>0</v>
      </c>
      <c r="F1162" s="16">
        <f>TRUNC(E1162*D1162,1)</f>
        <v>0</v>
      </c>
      <c r="G1162" s="15">
        <v>0</v>
      </c>
      <c r="H1162" s="16">
        <f>TRUNC(G1162*D1162,1)</f>
        <v>0</v>
      </c>
      <c r="I1162" s="15">
        <v>0</v>
      </c>
      <c r="J1162" s="16">
        <f>TRUNC(I1162*D1162,1)</f>
        <v>0</v>
      </c>
      <c r="K1162" s="15">
        <f t="shared" si="212"/>
        <v>0</v>
      </c>
      <c r="L1162" s="16">
        <f t="shared" si="212"/>
        <v>0</v>
      </c>
      <c r="M1162" s="9" t="s">
        <v>52</v>
      </c>
      <c r="N1162" s="2" t="s">
        <v>1553</v>
      </c>
      <c r="O1162" s="2" t="s">
        <v>809</v>
      </c>
      <c r="P1162" s="2" t="s">
        <v>61</v>
      </c>
      <c r="Q1162" s="2" t="s">
        <v>61</v>
      </c>
      <c r="R1162" s="2" t="s">
        <v>61</v>
      </c>
      <c r="S1162" s="3">
        <v>1</v>
      </c>
      <c r="T1162" s="3">
        <v>0</v>
      </c>
      <c r="U1162" s="3">
        <v>0.02</v>
      </c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2" t="s">
        <v>52</v>
      </c>
      <c r="AW1162" s="2" t="s">
        <v>2309</v>
      </c>
      <c r="AX1162" s="2" t="s">
        <v>52</v>
      </c>
      <c r="AY1162" s="2" t="s">
        <v>52</v>
      </c>
    </row>
    <row r="1163" spans="1:51" ht="30" customHeight="1" x14ac:dyDescent="0.3">
      <c r="A1163" s="9" t="s">
        <v>811</v>
      </c>
      <c r="B1163" s="9" t="s">
        <v>52</v>
      </c>
      <c r="C1163" s="9" t="s">
        <v>52</v>
      </c>
      <c r="D1163" s="10"/>
      <c r="E1163" s="15"/>
      <c r="F1163" s="16">
        <f>TRUNC(SUMIF(N1160:N1162, N1159, F1160:F1162),0)</f>
        <v>0</v>
      </c>
      <c r="G1163" s="15"/>
      <c r="H1163" s="16">
        <f>TRUNC(SUMIF(N1160:N1162, N1159, H1160:H1162),0)</f>
        <v>0</v>
      </c>
      <c r="I1163" s="15"/>
      <c r="J1163" s="16">
        <f>TRUNC(SUMIF(N1160:N1162, N1159, J1160:J1162),0)</f>
        <v>0</v>
      </c>
      <c r="K1163" s="15"/>
      <c r="L1163" s="16">
        <f>F1163+H1163+J1163</f>
        <v>0</v>
      </c>
      <c r="M1163" s="9" t="s">
        <v>52</v>
      </c>
      <c r="N1163" s="2" t="s">
        <v>94</v>
      </c>
      <c r="O1163" s="2" t="s">
        <v>94</v>
      </c>
      <c r="P1163" s="2" t="s">
        <v>52</v>
      </c>
      <c r="Q1163" s="2" t="s">
        <v>52</v>
      </c>
      <c r="R1163" s="2" t="s">
        <v>52</v>
      </c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2" t="s">
        <v>52</v>
      </c>
      <c r="AW1163" s="2" t="s">
        <v>52</v>
      </c>
      <c r="AX1163" s="2" t="s">
        <v>52</v>
      </c>
      <c r="AY1163" s="2" t="s">
        <v>52</v>
      </c>
    </row>
    <row r="1164" spans="1:51" ht="30" customHeight="1" x14ac:dyDescent="0.3">
      <c r="A1164" s="10"/>
      <c r="B1164" s="10"/>
      <c r="C1164" s="10"/>
      <c r="D1164" s="10"/>
      <c r="E1164" s="15"/>
      <c r="F1164" s="16"/>
      <c r="G1164" s="15"/>
      <c r="H1164" s="16"/>
      <c r="I1164" s="15"/>
      <c r="J1164" s="16"/>
      <c r="K1164" s="15"/>
      <c r="L1164" s="16"/>
      <c r="M1164" s="10"/>
    </row>
    <row r="1165" spans="1:51" ht="30" customHeight="1" x14ac:dyDescent="0.3">
      <c r="A1165" s="44" t="s">
        <v>2310</v>
      </c>
      <c r="B1165" s="44"/>
      <c r="C1165" s="44"/>
      <c r="D1165" s="44"/>
      <c r="E1165" s="45"/>
      <c r="F1165" s="46"/>
      <c r="G1165" s="45"/>
      <c r="H1165" s="46"/>
      <c r="I1165" s="45"/>
      <c r="J1165" s="46"/>
      <c r="K1165" s="45"/>
      <c r="L1165" s="46"/>
      <c r="M1165" s="44"/>
      <c r="N1165" s="1" t="s">
        <v>1559</v>
      </c>
    </row>
    <row r="1166" spans="1:51" ht="30" customHeight="1" x14ac:dyDescent="0.3">
      <c r="A1166" s="9" t="s">
        <v>1584</v>
      </c>
      <c r="B1166" s="9" t="s">
        <v>822</v>
      </c>
      <c r="C1166" s="9" t="s">
        <v>823</v>
      </c>
      <c r="D1166" s="10">
        <v>0.01</v>
      </c>
      <c r="E1166" s="15">
        <f>'단가대비표(총체)'!O194</f>
        <v>0</v>
      </c>
      <c r="F1166" s="16">
        <f>TRUNC(E1166*D1166,1)</f>
        <v>0</v>
      </c>
      <c r="G1166" s="15">
        <f>'단가대비표(총체)'!P194</f>
        <v>0</v>
      </c>
      <c r="H1166" s="16">
        <f>TRUNC(G1166*D1166,1)</f>
        <v>0</v>
      </c>
      <c r="I1166" s="15">
        <f>'단가대비표(총체)'!V194</f>
        <v>0</v>
      </c>
      <c r="J1166" s="16">
        <f>TRUNC(I1166*D1166,1)</f>
        <v>0</v>
      </c>
      <c r="K1166" s="15">
        <f t="shared" ref="K1166:L1168" si="213">TRUNC(E1166+G1166+I1166,1)</f>
        <v>0</v>
      </c>
      <c r="L1166" s="16">
        <f t="shared" si="213"/>
        <v>0</v>
      </c>
      <c r="M1166" s="9" t="s">
        <v>52</v>
      </c>
      <c r="N1166" s="2" t="s">
        <v>1559</v>
      </c>
      <c r="O1166" s="2" t="s">
        <v>1585</v>
      </c>
      <c r="P1166" s="2" t="s">
        <v>61</v>
      </c>
      <c r="Q1166" s="2" t="s">
        <v>61</v>
      </c>
      <c r="R1166" s="2" t="s">
        <v>60</v>
      </c>
      <c r="S1166" s="3"/>
      <c r="T1166" s="3"/>
      <c r="U1166" s="3"/>
      <c r="V1166" s="3">
        <v>1</v>
      </c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2" t="s">
        <v>52</v>
      </c>
      <c r="AW1166" s="2" t="s">
        <v>2312</v>
      </c>
      <c r="AX1166" s="2" t="s">
        <v>52</v>
      </c>
      <c r="AY1166" s="2" t="s">
        <v>52</v>
      </c>
    </row>
    <row r="1167" spans="1:51" ht="30" customHeight="1" x14ac:dyDescent="0.3">
      <c r="A1167" s="9" t="s">
        <v>821</v>
      </c>
      <c r="B1167" s="9" t="s">
        <v>822</v>
      </c>
      <c r="C1167" s="9" t="s">
        <v>823</v>
      </c>
      <c r="D1167" s="10">
        <v>1E-3</v>
      </c>
      <c r="E1167" s="15">
        <f>'단가대비표(총체)'!O180</f>
        <v>0</v>
      </c>
      <c r="F1167" s="16">
        <f>TRUNC(E1167*D1167,1)</f>
        <v>0</v>
      </c>
      <c r="G1167" s="15">
        <f>'단가대비표(총체)'!P180</f>
        <v>0</v>
      </c>
      <c r="H1167" s="16">
        <f>TRUNC(G1167*D1167,1)</f>
        <v>0</v>
      </c>
      <c r="I1167" s="15">
        <f>'단가대비표(총체)'!V180</f>
        <v>0</v>
      </c>
      <c r="J1167" s="16">
        <f>TRUNC(I1167*D1167,1)</f>
        <v>0</v>
      </c>
      <c r="K1167" s="15">
        <f t="shared" si="213"/>
        <v>0</v>
      </c>
      <c r="L1167" s="16">
        <f t="shared" si="213"/>
        <v>0</v>
      </c>
      <c r="M1167" s="9" t="s">
        <v>52</v>
      </c>
      <c r="N1167" s="2" t="s">
        <v>1559</v>
      </c>
      <c r="O1167" s="2" t="s">
        <v>824</v>
      </c>
      <c r="P1167" s="2" t="s">
        <v>61</v>
      </c>
      <c r="Q1167" s="2" t="s">
        <v>61</v>
      </c>
      <c r="R1167" s="2" t="s">
        <v>60</v>
      </c>
      <c r="S1167" s="3"/>
      <c r="T1167" s="3"/>
      <c r="U1167" s="3"/>
      <c r="V1167" s="3">
        <v>1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2" t="s">
        <v>52</v>
      </c>
      <c r="AW1167" s="2" t="s">
        <v>2313</v>
      </c>
      <c r="AX1167" s="2" t="s">
        <v>52</v>
      </c>
      <c r="AY1167" s="2" t="s">
        <v>52</v>
      </c>
    </row>
    <row r="1168" spans="1:51" ht="30" customHeight="1" x14ac:dyDescent="0.3">
      <c r="A1168" s="9" t="s">
        <v>1588</v>
      </c>
      <c r="B1168" s="9" t="s">
        <v>875</v>
      </c>
      <c r="C1168" s="9" t="s">
        <v>307</v>
      </c>
      <c r="D1168" s="10">
        <v>1</v>
      </c>
      <c r="E1168" s="15">
        <f>TRUNC(SUMIF(V1166:V1168, RIGHTB(O1168, 1), H1166:H1168)*U1168, 2)</f>
        <v>0</v>
      </c>
      <c r="F1168" s="16">
        <f>TRUNC(E1168*D1168,1)</f>
        <v>0</v>
      </c>
      <c r="G1168" s="15">
        <v>0</v>
      </c>
      <c r="H1168" s="16">
        <f>TRUNC(G1168*D1168,1)</f>
        <v>0</v>
      </c>
      <c r="I1168" s="15">
        <v>0</v>
      </c>
      <c r="J1168" s="16">
        <f>TRUNC(I1168*D1168,1)</f>
        <v>0</v>
      </c>
      <c r="K1168" s="15">
        <f t="shared" si="213"/>
        <v>0</v>
      </c>
      <c r="L1168" s="16">
        <f t="shared" si="213"/>
        <v>0</v>
      </c>
      <c r="M1168" s="9" t="s">
        <v>52</v>
      </c>
      <c r="N1168" s="2" t="s">
        <v>1559</v>
      </c>
      <c r="O1168" s="2" t="s">
        <v>809</v>
      </c>
      <c r="P1168" s="2" t="s">
        <v>61</v>
      </c>
      <c r="Q1168" s="2" t="s">
        <v>61</v>
      </c>
      <c r="R1168" s="2" t="s">
        <v>61</v>
      </c>
      <c r="S1168" s="3">
        <v>1</v>
      </c>
      <c r="T1168" s="3">
        <v>0</v>
      </c>
      <c r="U1168" s="3">
        <v>0.03</v>
      </c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2" t="s">
        <v>52</v>
      </c>
      <c r="AW1168" s="2" t="s">
        <v>2314</v>
      </c>
      <c r="AX1168" s="2" t="s">
        <v>52</v>
      </c>
      <c r="AY1168" s="2" t="s">
        <v>52</v>
      </c>
    </row>
    <row r="1169" spans="1:51" ht="30" customHeight="1" x14ac:dyDescent="0.3">
      <c r="A1169" s="9" t="s">
        <v>811</v>
      </c>
      <c r="B1169" s="9" t="s">
        <v>52</v>
      </c>
      <c r="C1169" s="9" t="s">
        <v>52</v>
      </c>
      <c r="D1169" s="10"/>
      <c r="E1169" s="15"/>
      <c r="F1169" s="16">
        <f>TRUNC(SUMIF(N1166:N1168, N1165, F1166:F1168),0)</f>
        <v>0</v>
      </c>
      <c r="G1169" s="15"/>
      <c r="H1169" s="16">
        <f>TRUNC(SUMIF(N1166:N1168, N1165, H1166:H1168),0)</f>
        <v>0</v>
      </c>
      <c r="I1169" s="15"/>
      <c r="J1169" s="16">
        <f>TRUNC(SUMIF(N1166:N1168, N1165, J1166:J1168),0)</f>
        <v>0</v>
      </c>
      <c r="K1169" s="15"/>
      <c r="L1169" s="16">
        <f>F1169+H1169+J1169</f>
        <v>0</v>
      </c>
      <c r="M1169" s="9" t="s">
        <v>52</v>
      </c>
      <c r="N1169" s="2" t="s">
        <v>94</v>
      </c>
      <c r="O1169" s="2" t="s">
        <v>94</v>
      </c>
      <c r="P1169" s="2" t="s">
        <v>52</v>
      </c>
      <c r="Q1169" s="2" t="s">
        <v>52</v>
      </c>
      <c r="R1169" s="2" t="s">
        <v>52</v>
      </c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2" t="s">
        <v>52</v>
      </c>
      <c r="AW1169" s="2" t="s">
        <v>52</v>
      </c>
      <c r="AX1169" s="2" t="s">
        <v>52</v>
      </c>
      <c r="AY1169" s="2" t="s">
        <v>52</v>
      </c>
    </row>
    <row r="1170" spans="1:51" ht="30" customHeight="1" x14ac:dyDescent="0.3">
      <c r="A1170" s="10"/>
      <c r="B1170" s="10"/>
      <c r="C1170" s="10"/>
      <c r="D1170" s="10"/>
      <c r="E1170" s="15"/>
      <c r="F1170" s="16"/>
      <c r="G1170" s="15"/>
      <c r="H1170" s="16"/>
      <c r="I1170" s="15"/>
      <c r="J1170" s="16"/>
      <c r="K1170" s="15"/>
      <c r="L1170" s="16"/>
      <c r="M1170" s="10"/>
    </row>
    <row r="1171" spans="1:51" ht="30" customHeight="1" x14ac:dyDescent="0.3">
      <c r="A1171" s="44" t="s">
        <v>2315</v>
      </c>
      <c r="B1171" s="44"/>
      <c r="C1171" s="44"/>
      <c r="D1171" s="44"/>
      <c r="E1171" s="45"/>
      <c r="F1171" s="46"/>
      <c r="G1171" s="45"/>
      <c r="H1171" s="46"/>
      <c r="I1171" s="45"/>
      <c r="J1171" s="46"/>
      <c r="K1171" s="45"/>
      <c r="L1171" s="46"/>
      <c r="M1171" s="44"/>
      <c r="N1171" s="1" t="s">
        <v>1564</v>
      </c>
    </row>
    <row r="1172" spans="1:51" ht="30" customHeight="1" x14ac:dyDescent="0.3">
      <c r="A1172" s="9" t="s">
        <v>1584</v>
      </c>
      <c r="B1172" s="9" t="s">
        <v>822</v>
      </c>
      <c r="C1172" s="9" t="s">
        <v>823</v>
      </c>
      <c r="D1172" s="10">
        <v>6.7000000000000004E-2</v>
      </c>
      <c r="E1172" s="15">
        <f>'단가대비표(총체)'!O194</f>
        <v>0</v>
      </c>
      <c r="F1172" s="16">
        <f>TRUNC(E1172*D1172,1)</f>
        <v>0</v>
      </c>
      <c r="G1172" s="15">
        <f>'단가대비표(총체)'!P194</f>
        <v>0</v>
      </c>
      <c r="H1172" s="16">
        <f>TRUNC(G1172*D1172,1)</f>
        <v>0</v>
      </c>
      <c r="I1172" s="15">
        <f>'단가대비표(총체)'!V194</f>
        <v>0</v>
      </c>
      <c r="J1172" s="16">
        <f>TRUNC(I1172*D1172,1)</f>
        <v>0</v>
      </c>
      <c r="K1172" s="15">
        <f t="shared" ref="K1172:L1174" si="214">TRUNC(E1172+G1172+I1172,1)</f>
        <v>0</v>
      </c>
      <c r="L1172" s="16">
        <f t="shared" si="214"/>
        <v>0</v>
      </c>
      <c r="M1172" s="9" t="s">
        <v>52</v>
      </c>
      <c r="N1172" s="2" t="s">
        <v>1564</v>
      </c>
      <c r="O1172" s="2" t="s">
        <v>1585</v>
      </c>
      <c r="P1172" s="2" t="s">
        <v>61</v>
      </c>
      <c r="Q1172" s="2" t="s">
        <v>61</v>
      </c>
      <c r="R1172" s="2" t="s">
        <v>60</v>
      </c>
      <c r="S1172" s="3"/>
      <c r="T1172" s="3"/>
      <c r="U1172" s="3"/>
      <c r="V1172" s="3">
        <v>1</v>
      </c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2" t="s">
        <v>52</v>
      </c>
      <c r="AW1172" s="2" t="s">
        <v>2317</v>
      </c>
      <c r="AX1172" s="2" t="s">
        <v>52</v>
      </c>
      <c r="AY1172" s="2" t="s">
        <v>52</v>
      </c>
    </row>
    <row r="1173" spans="1:51" ht="30" customHeight="1" x14ac:dyDescent="0.3">
      <c r="A1173" s="9" t="s">
        <v>821</v>
      </c>
      <c r="B1173" s="9" t="s">
        <v>822</v>
      </c>
      <c r="C1173" s="9" t="s">
        <v>823</v>
      </c>
      <c r="D1173" s="10">
        <v>1.0999999999999999E-2</v>
      </c>
      <c r="E1173" s="15">
        <f>'단가대비표(총체)'!O180</f>
        <v>0</v>
      </c>
      <c r="F1173" s="16">
        <f>TRUNC(E1173*D1173,1)</f>
        <v>0</v>
      </c>
      <c r="G1173" s="15">
        <f>'단가대비표(총체)'!P180</f>
        <v>0</v>
      </c>
      <c r="H1173" s="16">
        <f>TRUNC(G1173*D1173,1)</f>
        <v>0</v>
      </c>
      <c r="I1173" s="15">
        <f>'단가대비표(총체)'!V180</f>
        <v>0</v>
      </c>
      <c r="J1173" s="16">
        <f>TRUNC(I1173*D1173,1)</f>
        <v>0</v>
      </c>
      <c r="K1173" s="15">
        <f t="shared" si="214"/>
        <v>0</v>
      </c>
      <c r="L1173" s="16">
        <f t="shared" si="214"/>
        <v>0</v>
      </c>
      <c r="M1173" s="9" t="s">
        <v>52</v>
      </c>
      <c r="N1173" s="2" t="s">
        <v>1564</v>
      </c>
      <c r="O1173" s="2" t="s">
        <v>824</v>
      </c>
      <c r="P1173" s="2" t="s">
        <v>61</v>
      </c>
      <c r="Q1173" s="2" t="s">
        <v>61</v>
      </c>
      <c r="R1173" s="2" t="s">
        <v>60</v>
      </c>
      <c r="S1173" s="3"/>
      <c r="T1173" s="3"/>
      <c r="U1173" s="3"/>
      <c r="V1173" s="3">
        <v>1</v>
      </c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2" t="s">
        <v>52</v>
      </c>
      <c r="AW1173" s="2" t="s">
        <v>2318</v>
      </c>
      <c r="AX1173" s="2" t="s">
        <v>52</v>
      </c>
      <c r="AY1173" s="2" t="s">
        <v>52</v>
      </c>
    </row>
    <row r="1174" spans="1:51" ht="30" customHeight="1" x14ac:dyDescent="0.3">
      <c r="A1174" s="9" t="s">
        <v>1588</v>
      </c>
      <c r="B1174" s="9" t="s">
        <v>891</v>
      </c>
      <c r="C1174" s="9" t="s">
        <v>307</v>
      </c>
      <c r="D1174" s="10">
        <v>1</v>
      </c>
      <c r="E1174" s="15">
        <f>TRUNC(SUMIF(V1172:V1174, RIGHTB(O1174, 1), H1172:H1174)*U1174, 2)</f>
        <v>0</v>
      </c>
      <c r="F1174" s="16">
        <f>TRUNC(E1174*D1174,1)</f>
        <v>0</v>
      </c>
      <c r="G1174" s="15">
        <v>0</v>
      </c>
      <c r="H1174" s="16">
        <f>TRUNC(G1174*D1174,1)</f>
        <v>0</v>
      </c>
      <c r="I1174" s="15">
        <v>0</v>
      </c>
      <c r="J1174" s="16">
        <f>TRUNC(I1174*D1174,1)</f>
        <v>0</v>
      </c>
      <c r="K1174" s="15">
        <f t="shared" si="214"/>
        <v>0</v>
      </c>
      <c r="L1174" s="16">
        <f t="shared" si="214"/>
        <v>0</v>
      </c>
      <c r="M1174" s="9" t="s">
        <v>52</v>
      </c>
      <c r="N1174" s="2" t="s">
        <v>1564</v>
      </c>
      <c r="O1174" s="2" t="s">
        <v>809</v>
      </c>
      <c r="P1174" s="2" t="s">
        <v>61</v>
      </c>
      <c r="Q1174" s="2" t="s">
        <v>61</v>
      </c>
      <c r="R1174" s="2" t="s">
        <v>61</v>
      </c>
      <c r="S1174" s="3">
        <v>1</v>
      </c>
      <c r="T1174" s="3">
        <v>0</v>
      </c>
      <c r="U1174" s="3">
        <v>0.02</v>
      </c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2" t="s">
        <v>52</v>
      </c>
      <c r="AW1174" s="2" t="s">
        <v>2319</v>
      </c>
      <c r="AX1174" s="2" t="s">
        <v>52</v>
      </c>
      <c r="AY1174" s="2" t="s">
        <v>52</v>
      </c>
    </row>
    <row r="1175" spans="1:51" ht="30" customHeight="1" x14ac:dyDescent="0.3">
      <c r="A1175" s="9" t="s">
        <v>811</v>
      </c>
      <c r="B1175" s="9" t="s">
        <v>52</v>
      </c>
      <c r="C1175" s="9" t="s">
        <v>52</v>
      </c>
      <c r="D1175" s="10"/>
      <c r="E1175" s="15"/>
      <c r="F1175" s="16">
        <f>TRUNC(SUMIF(N1172:N1174, N1171, F1172:F1174),0)</f>
        <v>0</v>
      </c>
      <c r="G1175" s="15"/>
      <c r="H1175" s="16">
        <f>TRUNC(SUMIF(N1172:N1174, N1171, H1172:H1174),0)</f>
        <v>0</v>
      </c>
      <c r="I1175" s="15"/>
      <c r="J1175" s="16">
        <f>TRUNC(SUMIF(N1172:N1174, N1171, J1172:J1174),0)</f>
        <v>0</v>
      </c>
      <c r="K1175" s="15"/>
      <c r="L1175" s="16">
        <f>F1175+H1175+J1175</f>
        <v>0</v>
      </c>
      <c r="M1175" s="9" t="s">
        <v>52</v>
      </c>
      <c r="N1175" s="2" t="s">
        <v>94</v>
      </c>
      <c r="O1175" s="2" t="s">
        <v>94</v>
      </c>
      <c r="P1175" s="2" t="s">
        <v>52</v>
      </c>
      <c r="Q1175" s="2" t="s">
        <v>52</v>
      </c>
      <c r="R1175" s="2" t="s">
        <v>52</v>
      </c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2" t="s">
        <v>52</v>
      </c>
      <c r="AW1175" s="2" t="s">
        <v>52</v>
      </c>
      <c r="AX1175" s="2" t="s">
        <v>52</v>
      </c>
      <c r="AY1175" s="2" t="s">
        <v>52</v>
      </c>
    </row>
    <row r="1176" spans="1:51" ht="30" customHeight="1" x14ac:dyDescent="0.3">
      <c r="A1176" s="10"/>
      <c r="B1176" s="10"/>
      <c r="C1176" s="10"/>
      <c r="D1176" s="10"/>
      <c r="E1176" s="15"/>
      <c r="F1176" s="16"/>
      <c r="G1176" s="15"/>
      <c r="H1176" s="16"/>
      <c r="I1176" s="15"/>
      <c r="J1176" s="16"/>
      <c r="K1176" s="15"/>
      <c r="L1176" s="16"/>
      <c r="M1176" s="10"/>
    </row>
    <row r="1177" spans="1:51" ht="30" customHeight="1" x14ac:dyDescent="0.3">
      <c r="A1177" s="44" t="s">
        <v>2320</v>
      </c>
      <c r="B1177" s="44"/>
      <c r="C1177" s="44"/>
      <c r="D1177" s="44"/>
      <c r="E1177" s="45"/>
      <c r="F1177" s="46"/>
      <c r="G1177" s="45"/>
      <c r="H1177" s="46"/>
      <c r="I1177" s="45"/>
      <c r="J1177" s="46"/>
      <c r="K1177" s="45"/>
      <c r="L1177" s="46"/>
      <c r="M1177" s="44"/>
      <c r="N1177" s="1" t="s">
        <v>1575</v>
      </c>
    </row>
    <row r="1178" spans="1:51" ht="30" customHeight="1" x14ac:dyDescent="0.3">
      <c r="A1178" s="9" t="s">
        <v>1584</v>
      </c>
      <c r="B1178" s="9" t="s">
        <v>822</v>
      </c>
      <c r="C1178" s="9" t="s">
        <v>823</v>
      </c>
      <c r="D1178" s="10">
        <v>1.2E-2</v>
      </c>
      <c r="E1178" s="15">
        <f>'단가대비표(총체)'!O194</f>
        <v>0</v>
      </c>
      <c r="F1178" s="16">
        <f>TRUNC(E1178*D1178,1)</f>
        <v>0</v>
      </c>
      <c r="G1178" s="15">
        <f>'단가대비표(총체)'!P194</f>
        <v>0</v>
      </c>
      <c r="H1178" s="16">
        <f>TRUNC(G1178*D1178,1)</f>
        <v>0</v>
      </c>
      <c r="I1178" s="15">
        <f>'단가대비표(총체)'!V194</f>
        <v>0</v>
      </c>
      <c r="J1178" s="16">
        <f>TRUNC(I1178*D1178,1)</f>
        <v>0</v>
      </c>
      <c r="K1178" s="15">
        <f t="shared" ref="K1178:L1182" si="215">TRUNC(E1178+G1178+I1178,1)</f>
        <v>0</v>
      </c>
      <c r="L1178" s="16">
        <f t="shared" si="215"/>
        <v>0</v>
      </c>
      <c r="M1178" s="9" t="s">
        <v>52</v>
      </c>
      <c r="N1178" s="2" t="s">
        <v>1575</v>
      </c>
      <c r="O1178" s="2" t="s">
        <v>1585</v>
      </c>
      <c r="P1178" s="2" t="s">
        <v>61</v>
      </c>
      <c r="Q1178" s="2" t="s">
        <v>61</v>
      </c>
      <c r="R1178" s="2" t="s">
        <v>60</v>
      </c>
      <c r="S1178" s="3"/>
      <c r="T1178" s="3"/>
      <c r="U1178" s="3"/>
      <c r="V1178" s="3">
        <v>1</v>
      </c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2" t="s">
        <v>52</v>
      </c>
      <c r="AW1178" s="2" t="s">
        <v>2322</v>
      </c>
      <c r="AX1178" s="2" t="s">
        <v>52</v>
      </c>
      <c r="AY1178" s="2" t="s">
        <v>52</v>
      </c>
    </row>
    <row r="1179" spans="1:51" ht="30" customHeight="1" x14ac:dyDescent="0.3">
      <c r="A1179" s="9" t="s">
        <v>821</v>
      </c>
      <c r="B1179" s="9" t="s">
        <v>822</v>
      </c>
      <c r="C1179" s="9" t="s">
        <v>823</v>
      </c>
      <c r="D1179" s="10">
        <v>2E-3</v>
      </c>
      <c r="E1179" s="15">
        <f>'단가대비표(총체)'!O180</f>
        <v>0</v>
      </c>
      <c r="F1179" s="16">
        <f>TRUNC(E1179*D1179,1)</f>
        <v>0</v>
      </c>
      <c r="G1179" s="15">
        <f>'단가대비표(총체)'!P180</f>
        <v>0</v>
      </c>
      <c r="H1179" s="16">
        <f>TRUNC(G1179*D1179,1)</f>
        <v>0</v>
      </c>
      <c r="I1179" s="15">
        <f>'단가대비표(총체)'!V180</f>
        <v>0</v>
      </c>
      <c r="J1179" s="16">
        <f>TRUNC(I1179*D1179,1)</f>
        <v>0</v>
      </c>
      <c r="K1179" s="15">
        <f t="shared" si="215"/>
        <v>0</v>
      </c>
      <c r="L1179" s="16">
        <f t="shared" si="215"/>
        <v>0</v>
      </c>
      <c r="M1179" s="9" t="s">
        <v>52</v>
      </c>
      <c r="N1179" s="2" t="s">
        <v>1575</v>
      </c>
      <c r="O1179" s="2" t="s">
        <v>824</v>
      </c>
      <c r="P1179" s="2" t="s">
        <v>61</v>
      </c>
      <c r="Q1179" s="2" t="s">
        <v>61</v>
      </c>
      <c r="R1179" s="2" t="s">
        <v>60</v>
      </c>
      <c r="S1179" s="3"/>
      <c r="T1179" s="3"/>
      <c r="U1179" s="3"/>
      <c r="V1179" s="3">
        <v>1</v>
      </c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2" t="s">
        <v>52</v>
      </c>
      <c r="AW1179" s="2" t="s">
        <v>2323</v>
      </c>
      <c r="AX1179" s="2" t="s">
        <v>52</v>
      </c>
      <c r="AY1179" s="2" t="s">
        <v>52</v>
      </c>
    </row>
    <row r="1180" spans="1:51" ht="30" customHeight="1" x14ac:dyDescent="0.3">
      <c r="A1180" s="9" t="s">
        <v>1584</v>
      </c>
      <c r="B1180" s="9" t="s">
        <v>822</v>
      </c>
      <c r="C1180" s="9" t="s">
        <v>823</v>
      </c>
      <c r="D1180" s="10">
        <v>1.2E-2</v>
      </c>
      <c r="E1180" s="15">
        <f>'단가대비표(총체)'!O194</f>
        <v>0</v>
      </c>
      <c r="F1180" s="16">
        <f>TRUNC(E1180*D1180,1)</f>
        <v>0</v>
      </c>
      <c r="G1180" s="15">
        <f>'단가대비표(총체)'!P194</f>
        <v>0</v>
      </c>
      <c r="H1180" s="16">
        <f>TRUNC(G1180*D1180,1)</f>
        <v>0</v>
      </c>
      <c r="I1180" s="15">
        <f>'단가대비표(총체)'!V194</f>
        <v>0</v>
      </c>
      <c r="J1180" s="16">
        <f>TRUNC(I1180*D1180,1)</f>
        <v>0</v>
      </c>
      <c r="K1180" s="15">
        <f t="shared" si="215"/>
        <v>0</v>
      </c>
      <c r="L1180" s="16">
        <f t="shared" si="215"/>
        <v>0</v>
      </c>
      <c r="M1180" s="9" t="s">
        <v>52</v>
      </c>
      <c r="N1180" s="2" t="s">
        <v>1575</v>
      </c>
      <c r="O1180" s="2" t="s">
        <v>1585</v>
      </c>
      <c r="P1180" s="2" t="s">
        <v>61</v>
      </c>
      <c r="Q1180" s="2" t="s">
        <v>61</v>
      </c>
      <c r="R1180" s="2" t="s">
        <v>60</v>
      </c>
      <c r="S1180" s="3"/>
      <c r="T1180" s="3"/>
      <c r="U1180" s="3"/>
      <c r="V1180" s="3">
        <v>1</v>
      </c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2" t="s">
        <v>52</v>
      </c>
      <c r="AW1180" s="2" t="s">
        <v>2322</v>
      </c>
      <c r="AX1180" s="2" t="s">
        <v>52</v>
      </c>
      <c r="AY1180" s="2" t="s">
        <v>52</v>
      </c>
    </row>
    <row r="1181" spans="1:51" ht="30" customHeight="1" x14ac:dyDescent="0.3">
      <c r="A1181" s="9" t="s">
        <v>821</v>
      </c>
      <c r="B1181" s="9" t="s">
        <v>822</v>
      </c>
      <c r="C1181" s="9" t="s">
        <v>823</v>
      </c>
      <c r="D1181" s="10">
        <v>2E-3</v>
      </c>
      <c r="E1181" s="15">
        <f>'단가대비표(총체)'!O180</f>
        <v>0</v>
      </c>
      <c r="F1181" s="16">
        <f>TRUNC(E1181*D1181,1)</f>
        <v>0</v>
      </c>
      <c r="G1181" s="15">
        <f>'단가대비표(총체)'!P180</f>
        <v>0</v>
      </c>
      <c r="H1181" s="16">
        <f>TRUNC(G1181*D1181,1)</f>
        <v>0</v>
      </c>
      <c r="I1181" s="15">
        <f>'단가대비표(총체)'!V180</f>
        <v>0</v>
      </c>
      <c r="J1181" s="16">
        <f>TRUNC(I1181*D1181,1)</f>
        <v>0</v>
      </c>
      <c r="K1181" s="15">
        <f t="shared" si="215"/>
        <v>0</v>
      </c>
      <c r="L1181" s="16">
        <f t="shared" si="215"/>
        <v>0</v>
      </c>
      <c r="M1181" s="9" t="s">
        <v>52</v>
      </c>
      <c r="N1181" s="2" t="s">
        <v>1575</v>
      </c>
      <c r="O1181" s="2" t="s">
        <v>824</v>
      </c>
      <c r="P1181" s="2" t="s">
        <v>61</v>
      </c>
      <c r="Q1181" s="2" t="s">
        <v>61</v>
      </c>
      <c r="R1181" s="2" t="s">
        <v>60</v>
      </c>
      <c r="S1181" s="3"/>
      <c r="T1181" s="3"/>
      <c r="U1181" s="3"/>
      <c r="V1181" s="3">
        <v>1</v>
      </c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2" t="s">
        <v>52</v>
      </c>
      <c r="AW1181" s="2" t="s">
        <v>2323</v>
      </c>
      <c r="AX1181" s="2" t="s">
        <v>52</v>
      </c>
      <c r="AY1181" s="2" t="s">
        <v>52</v>
      </c>
    </row>
    <row r="1182" spans="1:51" ht="30" customHeight="1" x14ac:dyDescent="0.3">
      <c r="A1182" s="9" t="s">
        <v>1588</v>
      </c>
      <c r="B1182" s="9" t="s">
        <v>891</v>
      </c>
      <c r="C1182" s="9" t="s">
        <v>307</v>
      </c>
      <c r="D1182" s="10">
        <v>1</v>
      </c>
      <c r="E1182" s="15">
        <f>TRUNC(SUMIF(V1178:V1182, RIGHTB(O1182, 1), H1178:H1182)*U1182, 2)</f>
        <v>0</v>
      </c>
      <c r="F1182" s="16">
        <f>TRUNC(E1182*D1182,1)</f>
        <v>0</v>
      </c>
      <c r="G1182" s="15">
        <v>0</v>
      </c>
      <c r="H1182" s="16">
        <f>TRUNC(G1182*D1182,1)</f>
        <v>0</v>
      </c>
      <c r="I1182" s="15">
        <v>0</v>
      </c>
      <c r="J1182" s="16">
        <f>TRUNC(I1182*D1182,1)</f>
        <v>0</v>
      </c>
      <c r="K1182" s="15">
        <f t="shared" si="215"/>
        <v>0</v>
      </c>
      <c r="L1182" s="16">
        <f t="shared" si="215"/>
        <v>0</v>
      </c>
      <c r="M1182" s="9" t="s">
        <v>52</v>
      </c>
      <c r="N1182" s="2" t="s">
        <v>1575</v>
      </c>
      <c r="O1182" s="2" t="s">
        <v>809</v>
      </c>
      <c r="P1182" s="2" t="s">
        <v>61</v>
      </c>
      <c r="Q1182" s="2" t="s">
        <v>61</v>
      </c>
      <c r="R1182" s="2" t="s">
        <v>61</v>
      </c>
      <c r="S1182" s="3">
        <v>1</v>
      </c>
      <c r="T1182" s="3">
        <v>0</v>
      </c>
      <c r="U1182" s="3">
        <v>0.02</v>
      </c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2" t="s">
        <v>52</v>
      </c>
      <c r="AW1182" s="2" t="s">
        <v>2324</v>
      </c>
      <c r="AX1182" s="2" t="s">
        <v>52</v>
      </c>
      <c r="AY1182" s="2" t="s">
        <v>52</v>
      </c>
    </row>
    <row r="1183" spans="1:51" ht="30" customHeight="1" x14ac:dyDescent="0.3">
      <c r="A1183" s="9" t="s">
        <v>811</v>
      </c>
      <c r="B1183" s="9" t="s">
        <v>52</v>
      </c>
      <c r="C1183" s="9" t="s">
        <v>52</v>
      </c>
      <c r="D1183" s="10"/>
      <c r="E1183" s="15"/>
      <c r="F1183" s="16">
        <f>TRUNC(SUMIF(N1178:N1182, N1177, F1178:F1182),0)</f>
        <v>0</v>
      </c>
      <c r="G1183" s="15"/>
      <c r="H1183" s="16">
        <f>TRUNC(SUMIF(N1178:N1182, N1177, H1178:H1182),0)</f>
        <v>0</v>
      </c>
      <c r="I1183" s="15"/>
      <c r="J1183" s="16">
        <f>TRUNC(SUMIF(N1178:N1182, N1177, J1178:J1182),0)</f>
        <v>0</v>
      </c>
      <c r="K1183" s="15"/>
      <c r="L1183" s="16">
        <f>F1183+H1183+J1183</f>
        <v>0</v>
      </c>
      <c r="M1183" s="9" t="s">
        <v>52</v>
      </c>
      <c r="N1183" s="2" t="s">
        <v>94</v>
      </c>
      <c r="O1183" s="2" t="s">
        <v>94</v>
      </c>
      <c r="P1183" s="2" t="s">
        <v>52</v>
      </c>
      <c r="Q1183" s="2" t="s">
        <v>52</v>
      </c>
      <c r="R1183" s="2" t="s">
        <v>52</v>
      </c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2" t="s">
        <v>52</v>
      </c>
      <c r="AW1183" s="2" t="s">
        <v>52</v>
      </c>
      <c r="AX1183" s="2" t="s">
        <v>52</v>
      </c>
      <c r="AY1183" s="2" t="s">
        <v>52</v>
      </c>
    </row>
    <row r="1184" spans="1:51" ht="30" customHeight="1" x14ac:dyDescent="0.3">
      <c r="A1184" s="10"/>
      <c r="B1184" s="10"/>
      <c r="C1184" s="10"/>
      <c r="D1184" s="10"/>
      <c r="E1184" s="15"/>
      <c r="F1184" s="16"/>
      <c r="G1184" s="15"/>
      <c r="H1184" s="16"/>
      <c r="I1184" s="15"/>
      <c r="J1184" s="16"/>
      <c r="K1184" s="15"/>
      <c r="L1184" s="16"/>
      <c r="M1184" s="10"/>
    </row>
    <row r="1185" spans="1:51" ht="30" customHeight="1" x14ac:dyDescent="0.3">
      <c r="A1185" s="44" t="s">
        <v>2325</v>
      </c>
      <c r="B1185" s="44"/>
      <c r="C1185" s="44"/>
      <c r="D1185" s="44"/>
      <c r="E1185" s="45"/>
      <c r="F1185" s="46"/>
      <c r="G1185" s="45"/>
      <c r="H1185" s="46"/>
      <c r="I1185" s="45"/>
      <c r="J1185" s="46"/>
      <c r="K1185" s="45"/>
      <c r="L1185" s="46"/>
      <c r="M1185" s="44"/>
      <c r="N1185" s="1" t="s">
        <v>1930</v>
      </c>
    </row>
    <row r="1186" spans="1:51" ht="30" customHeight="1" x14ac:dyDescent="0.3">
      <c r="A1186" s="9" t="s">
        <v>1927</v>
      </c>
      <c r="B1186" s="9" t="s">
        <v>1928</v>
      </c>
      <c r="C1186" s="9" t="s">
        <v>73</v>
      </c>
      <c r="D1186" s="10">
        <v>0.25</v>
      </c>
      <c r="E1186" s="15">
        <f>'단가대비표(총체)'!O6</f>
        <v>0</v>
      </c>
      <c r="F1186" s="16">
        <f>TRUNC(E1186*D1186,1)</f>
        <v>0</v>
      </c>
      <c r="G1186" s="15">
        <f>'단가대비표(총체)'!P6</f>
        <v>0</v>
      </c>
      <c r="H1186" s="16">
        <f>TRUNC(G1186*D1186,1)</f>
        <v>0</v>
      </c>
      <c r="I1186" s="15">
        <f>'단가대비표(총체)'!V6</f>
        <v>0</v>
      </c>
      <c r="J1186" s="16">
        <f>TRUNC(I1186*D1186,1)</f>
        <v>0</v>
      </c>
      <c r="K1186" s="15">
        <f>TRUNC(E1186+G1186+I1186,1)</f>
        <v>0</v>
      </c>
      <c r="L1186" s="16">
        <f>TRUNC(F1186+H1186+J1186,1)</f>
        <v>0</v>
      </c>
      <c r="M1186" s="9" t="s">
        <v>2049</v>
      </c>
      <c r="N1186" s="2" t="s">
        <v>1930</v>
      </c>
      <c r="O1186" s="2" t="s">
        <v>2327</v>
      </c>
      <c r="P1186" s="2" t="s">
        <v>61</v>
      </c>
      <c r="Q1186" s="2" t="s">
        <v>61</v>
      </c>
      <c r="R1186" s="2" t="s">
        <v>60</v>
      </c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2" t="s">
        <v>52</v>
      </c>
      <c r="AW1186" s="2" t="s">
        <v>2328</v>
      </c>
      <c r="AX1186" s="2" t="s">
        <v>52</v>
      </c>
      <c r="AY1186" s="2" t="s">
        <v>52</v>
      </c>
    </row>
    <row r="1187" spans="1:51" ht="30" customHeight="1" x14ac:dyDescent="0.3">
      <c r="A1187" s="9" t="s">
        <v>811</v>
      </c>
      <c r="B1187" s="9" t="s">
        <v>52</v>
      </c>
      <c r="C1187" s="9" t="s">
        <v>52</v>
      </c>
      <c r="D1187" s="10"/>
      <c r="E1187" s="15"/>
      <c r="F1187" s="16">
        <f>TRUNC(SUMIF(N1186:N1186, N1185, F1186:F1186),0)</f>
        <v>0</v>
      </c>
      <c r="G1187" s="15"/>
      <c r="H1187" s="16">
        <f>TRUNC(SUMIF(N1186:N1186, N1185, H1186:H1186),0)</f>
        <v>0</v>
      </c>
      <c r="I1187" s="15"/>
      <c r="J1187" s="16">
        <f>TRUNC(SUMIF(N1186:N1186, N1185, J1186:J1186),0)</f>
        <v>0</v>
      </c>
      <c r="K1187" s="15"/>
      <c r="L1187" s="16">
        <f>F1187+H1187+J1187</f>
        <v>0</v>
      </c>
      <c r="M1187" s="9" t="s">
        <v>52</v>
      </c>
      <c r="N1187" s="2" t="s">
        <v>94</v>
      </c>
      <c r="O1187" s="2" t="s">
        <v>94</v>
      </c>
      <c r="P1187" s="2" t="s">
        <v>52</v>
      </c>
      <c r="Q1187" s="2" t="s">
        <v>52</v>
      </c>
      <c r="R1187" s="2" t="s">
        <v>52</v>
      </c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2" t="s">
        <v>52</v>
      </c>
      <c r="AW1187" s="2" t="s">
        <v>52</v>
      </c>
      <c r="AX1187" s="2" t="s">
        <v>52</v>
      </c>
      <c r="AY1187" s="2" t="s">
        <v>52</v>
      </c>
    </row>
  </sheetData>
  <mergeCells count="227">
    <mergeCell ref="A1185:M1185"/>
    <mergeCell ref="A1147:M1147"/>
    <mergeCell ref="A1153:M1153"/>
    <mergeCell ref="A1159:M1159"/>
    <mergeCell ref="A1165:M1165"/>
    <mergeCell ref="A1171:M1171"/>
    <mergeCell ref="A1177:M1177"/>
    <mergeCell ref="A1113:M1113"/>
    <mergeCell ref="A1119:M1119"/>
    <mergeCell ref="A1125:M1125"/>
    <mergeCell ref="A1131:M1131"/>
    <mergeCell ref="A1136:M1136"/>
    <mergeCell ref="A1141:M1141"/>
    <mergeCell ref="A1079:M1079"/>
    <mergeCell ref="A1088:M1088"/>
    <mergeCell ref="A1094:M1094"/>
    <mergeCell ref="A1099:M1099"/>
    <mergeCell ref="A1104:M1104"/>
    <mergeCell ref="A1109:M1109"/>
    <mergeCell ref="A1043:M1043"/>
    <mergeCell ref="A1049:M1049"/>
    <mergeCell ref="A1055:M1055"/>
    <mergeCell ref="A1061:M1061"/>
    <mergeCell ref="A1066:M1066"/>
    <mergeCell ref="A1070:M1070"/>
    <mergeCell ref="A1009:M1009"/>
    <mergeCell ref="A1015:M1015"/>
    <mergeCell ref="A1021:M1021"/>
    <mergeCell ref="A1026:M1026"/>
    <mergeCell ref="A1032:M1032"/>
    <mergeCell ref="A1037:M1037"/>
    <mergeCell ref="A976:M976"/>
    <mergeCell ref="A982:M982"/>
    <mergeCell ref="A986:M986"/>
    <mergeCell ref="A992:M992"/>
    <mergeCell ref="A998:M998"/>
    <mergeCell ref="A1004:M1004"/>
    <mergeCell ref="A943:M943"/>
    <mergeCell ref="A949:M949"/>
    <mergeCell ref="A953:M953"/>
    <mergeCell ref="A960:M960"/>
    <mergeCell ref="A966:M966"/>
    <mergeCell ref="A970:M970"/>
    <mergeCell ref="A908:M908"/>
    <mergeCell ref="A913:M913"/>
    <mergeCell ref="A919:M919"/>
    <mergeCell ref="A925:M925"/>
    <mergeCell ref="A931:M931"/>
    <mergeCell ref="A937:M937"/>
    <mergeCell ref="A873:M873"/>
    <mergeCell ref="A879:M879"/>
    <mergeCell ref="A884:M884"/>
    <mergeCell ref="A889:M889"/>
    <mergeCell ref="A894:M894"/>
    <mergeCell ref="A901:M901"/>
    <mergeCell ref="A838:M838"/>
    <mergeCell ref="A844:M844"/>
    <mergeCell ref="A850:M850"/>
    <mergeCell ref="A855:M855"/>
    <mergeCell ref="A861:M861"/>
    <mergeCell ref="A867:M867"/>
    <mergeCell ref="A805:M805"/>
    <mergeCell ref="A811:M811"/>
    <mergeCell ref="A816:M816"/>
    <mergeCell ref="A822:M822"/>
    <mergeCell ref="A827:M827"/>
    <mergeCell ref="A832:M832"/>
    <mergeCell ref="A770:M770"/>
    <mergeCell ref="A777:M777"/>
    <mergeCell ref="A782:M782"/>
    <mergeCell ref="A787:M787"/>
    <mergeCell ref="A793:M793"/>
    <mergeCell ref="A799:M799"/>
    <mergeCell ref="A732:M732"/>
    <mergeCell ref="A738:M738"/>
    <mergeCell ref="A744:M744"/>
    <mergeCell ref="A750:M750"/>
    <mergeCell ref="A757:M757"/>
    <mergeCell ref="A762:M762"/>
    <mergeCell ref="A694:M694"/>
    <mergeCell ref="A701:M701"/>
    <mergeCell ref="A708:M708"/>
    <mergeCell ref="A714:M714"/>
    <mergeCell ref="A720:M720"/>
    <mergeCell ref="A726:M726"/>
    <mergeCell ref="A644:M644"/>
    <mergeCell ref="A653:M653"/>
    <mergeCell ref="A662:M662"/>
    <mergeCell ref="A671:M671"/>
    <mergeCell ref="A680:M680"/>
    <mergeCell ref="A687:M687"/>
    <mergeCell ref="A604:M604"/>
    <mergeCell ref="A610:M610"/>
    <mergeCell ref="A616:M616"/>
    <mergeCell ref="A623:M623"/>
    <mergeCell ref="A630:M630"/>
    <mergeCell ref="A637:M637"/>
    <mergeCell ref="A569:M569"/>
    <mergeCell ref="A574:M574"/>
    <mergeCell ref="A579:M579"/>
    <mergeCell ref="A585:M585"/>
    <mergeCell ref="A591:M591"/>
    <mergeCell ref="A597:M597"/>
    <mergeCell ref="A533:M533"/>
    <mergeCell ref="A539:M539"/>
    <mergeCell ref="A545:M545"/>
    <mergeCell ref="A551:M551"/>
    <mergeCell ref="A557:M557"/>
    <mergeCell ref="A563:M563"/>
    <mergeCell ref="A496:M496"/>
    <mergeCell ref="A502:M502"/>
    <mergeCell ref="A509:M509"/>
    <mergeCell ref="A515:M515"/>
    <mergeCell ref="A521:M521"/>
    <mergeCell ref="A527:M527"/>
    <mergeCell ref="A436:M436"/>
    <mergeCell ref="A450:M450"/>
    <mergeCell ref="A464:M464"/>
    <mergeCell ref="A476:M476"/>
    <mergeCell ref="A483:M483"/>
    <mergeCell ref="A490:M490"/>
    <mergeCell ref="A376:M376"/>
    <mergeCell ref="A387:M387"/>
    <mergeCell ref="A397:M397"/>
    <mergeCell ref="A406:M406"/>
    <mergeCell ref="A417:M417"/>
    <mergeCell ref="A429:M429"/>
    <mergeCell ref="A328:M328"/>
    <mergeCell ref="A338:M338"/>
    <mergeCell ref="A348:M348"/>
    <mergeCell ref="A354:M354"/>
    <mergeCell ref="A360:M360"/>
    <mergeCell ref="A365:M365"/>
    <mergeCell ref="A286:M286"/>
    <mergeCell ref="A294:M294"/>
    <mergeCell ref="A302:M302"/>
    <mergeCell ref="A310:M310"/>
    <mergeCell ref="A316:M316"/>
    <mergeCell ref="A323:M323"/>
    <mergeCell ref="A247:M247"/>
    <mergeCell ref="A251:M251"/>
    <mergeCell ref="A257:M257"/>
    <mergeCell ref="A263:M263"/>
    <mergeCell ref="A270:M270"/>
    <mergeCell ref="A278:M278"/>
    <mergeCell ref="A208:M208"/>
    <mergeCell ref="A214:M214"/>
    <mergeCell ref="A220:M220"/>
    <mergeCell ref="A229:M229"/>
    <mergeCell ref="A238:M238"/>
    <mergeCell ref="A243:M243"/>
    <mergeCell ref="A169:M169"/>
    <mergeCell ref="A176:M176"/>
    <mergeCell ref="A183:M183"/>
    <mergeCell ref="A189:M189"/>
    <mergeCell ref="A197:M197"/>
    <mergeCell ref="A202:M202"/>
    <mergeCell ref="A128:M128"/>
    <mergeCell ref="A137:M137"/>
    <mergeCell ref="A146:M146"/>
    <mergeCell ref="A151:M151"/>
    <mergeCell ref="A156:M156"/>
    <mergeCell ref="A162:M162"/>
    <mergeCell ref="A80:M80"/>
    <mergeCell ref="A87:M87"/>
    <mergeCell ref="A94:M94"/>
    <mergeCell ref="A100:M100"/>
    <mergeCell ref="A106:M106"/>
    <mergeCell ref="A117:M117"/>
    <mergeCell ref="A47:M47"/>
    <mergeCell ref="A54:M54"/>
    <mergeCell ref="A61:M61"/>
    <mergeCell ref="A65:M65"/>
    <mergeCell ref="A70:M70"/>
    <mergeCell ref="A75:M75"/>
    <mergeCell ref="A4:M4"/>
    <mergeCell ref="A10:M10"/>
    <mergeCell ref="A16:M16"/>
    <mergeCell ref="A20:M20"/>
    <mergeCell ref="A34:M34"/>
    <mergeCell ref="A39:M39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6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1"/>
  <sheetViews>
    <sheetView view="pageBreakPreview" topLeftCell="B1" zoomScale="60" zoomScaleNormal="100" workbookViewId="0">
      <selection activeCell="E5" sqref="E5:V211"/>
    </sheetView>
  </sheetViews>
  <sheetFormatPr defaultRowHeight="16.5" x14ac:dyDescent="0.3"/>
  <cols>
    <col min="1" max="1" width="22.75" hidden="1" customWidth="1"/>
    <col min="2" max="2" width="30.5" bestFit="1" customWidth="1"/>
    <col min="3" max="3" width="33.875" bestFit="1" customWidth="1"/>
    <col min="4" max="4" width="5.5" bestFit="1" customWidth="1"/>
    <col min="5" max="5" width="11.625" bestFit="1" customWidth="1"/>
    <col min="6" max="6" width="6.625" bestFit="1" customWidth="1"/>
    <col min="7" max="7" width="13.875" bestFit="1" customWidth="1"/>
    <col min="8" max="8" width="6.625" bestFit="1" customWidth="1"/>
    <col min="9" max="9" width="11.625" bestFit="1" customWidth="1"/>
    <col min="10" max="10" width="6.625" bestFit="1" customWidth="1"/>
    <col min="11" max="11" width="16.125" bestFit="1" customWidth="1"/>
    <col min="12" max="12" width="6.625" bestFit="1" customWidth="1"/>
    <col min="13" max="13" width="16.125" bestFit="1" customWidth="1"/>
    <col min="14" max="14" width="6.625" bestFit="1" customWidth="1"/>
    <col min="15" max="15" width="16.125" bestFit="1" customWidth="1"/>
    <col min="16" max="16" width="11.625" bestFit="1" customWidth="1"/>
    <col min="17" max="17" width="11.25" bestFit="1" customWidth="1"/>
    <col min="18" max="19" width="9.25" bestFit="1" customWidth="1"/>
    <col min="20" max="20" width="10.375" bestFit="1" customWidth="1"/>
    <col min="21" max="22" width="11.625" bestFit="1" customWidth="1"/>
    <col min="23" max="23" width="8.5" bestFit="1" customWidth="1"/>
    <col min="24" max="24" width="11.625" bestFit="1" customWidth="1"/>
    <col min="25" max="26" width="9" hidden="1" customWidth="1"/>
    <col min="27" max="27" width="11" hidden="1" customWidth="1"/>
    <col min="28" max="28" width="9" hidden="1" customWidth="1"/>
  </cols>
  <sheetData>
    <row r="1" spans="1:28" ht="30" customHeight="1" x14ac:dyDescent="0.3">
      <c r="A1" s="39" t="s">
        <v>2329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8" ht="30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8" ht="30" customHeight="1" x14ac:dyDescent="0.3">
      <c r="A3" s="41" t="s">
        <v>776</v>
      </c>
      <c r="B3" s="41" t="s">
        <v>2</v>
      </c>
      <c r="C3" s="41" t="s">
        <v>2330</v>
      </c>
      <c r="D3" s="41" t="s">
        <v>4</v>
      </c>
      <c r="E3" s="41" t="s">
        <v>6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 t="s">
        <v>778</v>
      </c>
      <c r="Q3" s="41" t="s">
        <v>779</v>
      </c>
      <c r="R3" s="41"/>
      <c r="S3" s="41"/>
      <c r="T3" s="41"/>
      <c r="U3" s="41"/>
      <c r="V3" s="41"/>
      <c r="W3" s="41" t="s">
        <v>781</v>
      </c>
      <c r="X3" s="41" t="s">
        <v>12</v>
      </c>
      <c r="Y3" s="43" t="s">
        <v>2338</v>
      </c>
      <c r="Z3" s="43" t="s">
        <v>2339</v>
      </c>
      <c r="AA3" s="43" t="s">
        <v>2340</v>
      </c>
      <c r="AB3" s="43" t="s">
        <v>48</v>
      </c>
    </row>
    <row r="4" spans="1:28" ht="30" customHeight="1" x14ac:dyDescent="0.3">
      <c r="A4" s="41"/>
      <c r="B4" s="41"/>
      <c r="C4" s="41"/>
      <c r="D4" s="41"/>
      <c r="E4" s="5" t="s">
        <v>2331</v>
      </c>
      <c r="F4" s="5" t="s">
        <v>2332</v>
      </c>
      <c r="G4" s="5" t="s">
        <v>2333</v>
      </c>
      <c r="H4" s="5" t="s">
        <v>2332</v>
      </c>
      <c r="I4" s="5" t="s">
        <v>2334</v>
      </c>
      <c r="J4" s="5" t="s">
        <v>2332</v>
      </c>
      <c r="K4" s="5" t="s">
        <v>2335</v>
      </c>
      <c r="L4" s="5" t="s">
        <v>2332</v>
      </c>
      <c r="M4" s="5" t="s">
        <v>2336</v>
      </c>
      <c r="N4" s="5" t="s">
        <v>2332</v>
      </c>
      <c r="O4" s="5" t="s">
        <v>2337</v>
      </c>
      <c r="P4" s="41"/>
      <c r="Q4" s="5" t="s">
        <v>2331</v>
      </c>
      <c r="R4" s="5" t="s">
        <v>2333</v>
      </c>
      <c r="S4" s="5" t="s">
        <v>2334</v>
      </c>
      <c r="T4" s="5" t="s">
        <v>2335</v>
      </c>
      <c r="U4" s="5" t="s">
        <v>2336</v>
      </c>
      <c r="V4" s="5" t="s">
        <v>2337</v>
      </c>
      <c r="W4" s="41"/>
      <c r="X4" s="41"/>
      <c r="Y4" s="43"/>
      <c r="Z4" s="43"/>
      <c r="AA4" s="43"/>
      <c r="AB4" s="43"/>
    </row>
    <row r="5" spans="1:28" ht="30" customHeight="1" x14ac:dyDescent="0.3">
      <c r="A5" s="9" t="s">
        <v>2050</v>
      </c>
      <c r="B5" s="9" t="s">
        <v>2041</v>
      </c>
      <c r="C5" s="9" t="s">
        <v>2042</v>
      </c>
      <c r="D5" s="18" t="s">
        <v>73</v>
      </c>
      <c r="E5" s="19"/>
      <c r="F5" s="9"/>
      <c r="G5" s="19"/>
      <c r="H5" s="9"/>
      <c r="I5" s="19"/>
      <c r="J5" s="9"/>
      <c r="K5" s="19"/>
      <c r="L5" s="9"/>
      <c r="M5" s="19"/>
      <c r="N5" s="9"/>
      <c r="O5" s="19"/>
      <c r="P5" s="19"/>
      <c r="Q5" s="19"/>
      <c r="R5" s="19"/>
      <c r="S5" s="19"/>
      <c r="T5" s="19"/>
      <c r="U5" s="19"/>
      <c r="V5" s="19"/>
      <c r="W5" s="9" t="s">
        <v>2341</v>
      </c>
      <c r="X5" s="9" t="s">
        <v>2049</v>
      </c>
      <c r="Y5" s="2" t="s">
        <v>52</v>
      </c>
      <c r="Z5" s="2" t="s">
        <v>52</v>
      </c>
      <c r="AA5" s="20"/>
      <c r="AB5" s="2" t="s">
        <v>52</v>
      </c>
    </row>
    <row r="6" spans="1:28" ht="30" customHeight="1" x14ac:dyDescent="0.3">
      <c r="A6" s="9" t="s">
        <v>2327</v>
      </c>
      <c r="B6" s="9" t="s">
        <v>1927</v>
      </c>
      <c r="C6" s="9" t="s">
        <v>1928</v>
      </c>
      <c r="D6" s="18" t="s">
        <v>73</v>
      </c>
      <c r="E6" s="19"/>
      <c r="F6" s="9"/>
      <c r="G6" s="19"/>
      <c r="H6" s="9"/>
      <c r="I6" s="19"/>
      <c r="J6" s="9"/>
      <c r="K6" s="19"/>
      <c r="L6" s="9"/>
      <c r="M6" s="19"/>
      <c r="N6" s="9"/>
      <c r="O6" s="19"/>
      <c r="P6" s="19"/>
      <c r="Q6" s="19"/>
      <c r="R6" s="19"/>
      <c r="S6" s="19"/>
      <c r="T6" s="19"/>
      <c r="U6" s="19"/>
      <c r="V6" s="19"/>
      <c r="W6" s="9" t="s">
        <v>2342</v>
      </c>
      <c r="X6" s="9" t="s">
        <v>2049</v>
      </c>
      <c r="Y6" s="2" t="s">
        <v>52</v>
      </c>
      <c r="Z6" s="2" t="s">
        <v>52</v>
      </c>
      <c r="AA6" s="20"/>
      <c r="AB6" s="2" t="s">
        <v>52</v>
      </c>
    </row>
    <row r="7" spans="1:28" ht="30" customHeight="1" x14ac:dyDescent="0.3">
      <c r="A7" s="9" t="s">
        <v>1026</v>
      </c>
      <c r="B7" s="9" t="s">
        <v>1024</v>
      </c>
      <c r="C7" s="9" t="s">
        <v>1025</v>
      </c>
      <c r="D7" s="18" t="s">
        <v>637</v>
      </c>
      <c r="E7" s="19"/>
      <c r="F7" s="9"/>
      <c r="G7" s="19"/>
      <c r="H7" s="9"/>
      <c r="I7" s="19"/>
      <c r="J7" s="9"/>
      <c r="K7" s="19"/>
      <c r="L7" s="9"/>
      <c r="M7" s="19"/>
      <c r="N7" s="9"/>
      <c r="O7" s="19"/>
      <c r="P7" s="19"/>
      <c r="Q7" s="19"/>
      <c r="R7" s="19"/>
      <c r="S7" s="19"/>
      <c r="T7" s="19"/>
      <c r="U7" s="19"/>
      <c r="V7" s="19"/>
      <c r="W7" s="9" t="s">
        <v>2343</v>
      </c>
      <c r="X7" s="9" t="s">
        <v>52</v>
      </c>
      <c r="Y7" s="2" t="s">
        <v>52</v>
      </c>
      <c r="Z7" s="2" t="s">
        <v>52</v>
      </c>
      <c r="AA7" s="20"/>
      <c r="AB7" s="2" t="s">
        <v>52</v>
      </c>
    </row>
    <row r="8" spans="1:28" ht="30" customHeight="1" x14ac:dyDescent="0.3">
      <c r="A8" s="9" t="s">
        <v>180</v>
      </c>
      <c r="B8" s="9" t="s">
        <v>178</v>
      </c>
      <c r="C8" s="9" t="s">
        <v>179</v>
      </c>
      <c r="D8" s="18" t="s">
        <v>68</v>
      </c>
      <c r="E8" s="19"/>
      <c r="F8" s="9"/>
      <c r="G8" s="19"/>
      <c r="H8" s="9"/>
      <c r="I8" s="19"/>
      <c r="J8" s="9"/>
      <c r="K8" s="19"/>
      <c r="L8" s="9"/>
      <c r="M8" s="19"/>
      <c r="N8" s="9"/>
      <c r="O8" s="19"/>
      <c r="P8" s="19"/>
      <c r="Q8" s="19"/>
      <c r="R8" s="19"/>
      <c r="S8" s="19"/>
      <c r="T8" s="19"/>
      <c r="U8" s="19"/>
      <c r="V8" s="19"/>
      <c r="W8" s="9" t="s">
        <v>2344</v>
      </c>
      <c r="X8" s="9" t="s">
        <v>52</v>
      </c>
      <c r="Y8" s="2" t="s">
        <v>52</v>
      </c>
      <c r="Z8" s="2" t="s">
        <v>52</v>
      </c>
      <c r="AA8" s="20"/>
      <c r="AB8" s="2" t="s">
        <v>52</v>
      </c>
    </row>
    <row r="9" spans="1:28" ht="30" customHeight="1" x14ac:dyDescent="0.3">
      <c r="A9" s="9" t="s">
        <v>186</v>
      </c>
      <c r="B9" s="9" t="s">
        <v>178</v>
      </c>
      <c r="C9" s="9" t="s">
        <v>185</v>
      </c>
      <c r="D9" s="18" t="s">
        <v>68</v>
      </c>
      <c r="E9" s="19"/>
      <c r="F9" s="9"/>
      <c r="G9" s="19"/>
      <c r="H9" s="9"/>
      <c r="I9" s="19"/>
      <c r="J9" s="9"/>
      <c r="K9" s="19"/>
      <c r="L9" s="9"/>
      <c r="M9" s="19"/>
      <c r="N9" s="9"/>
      <c r="O9" s="19"/>
      <c r="P9" s="19"/>
      <c r="Q9" s="19"/>
      <c r="R9" s="19"/>
      <c r="S9" s="19"/>
      <c r="T9" s="19"/>
      <c r="U9" s="19"/>
      <c r="V9" s="19"/>
      <c r="W9" s="9" t="s">
        <v>2345</v>
      </c>
      <c r="X9" s="9" t="s">
        <v>52</v>
      </c>
      <c r="Y9" s="2" t="s">
        <v>52</v>
      </c>
      <c r="Z9" s="2" t="s">
        <v>52</v>
      </c>
      <c r="AA9" s="20"/>
      <c r="AB9" s="2" t="s">
        <v>52</v>
      </c>
    </row>
    <row r="10" spans="1:28" ht="30" customHeight="1" x14ac:dyDescent="0.3">
      <c r="A10" s="9" t="s">
        <v>193</v>
      </c>
      <c r="B10" s="9" t="s">
        <v>192</v>
      </c>
      <c r="C10" s="9" t="s">
        <v>189</v>
      </c>
      <c r="D10" s="18" t="s">
        <v>68</v>
      </c>
      <c r="E10" s="19"/>
      <c r="F10" s="9"/>
      <c r="G10" s="19"/>
      <c r="H10" s="9"/>
      <c r="I10" s="19"/>
      <c r="J10" s="9"/>
      <c r="K10" s="19"/>
      <c r="L10" s="9"/>
      <c r="M10" s="19"/>
      <c r="N10" s="9"/>
      <c r="O10" s="19"/>
      <c r="P10" s="19"/>
      <c r="Q10" s="19"/>
      <c r="R10" s="19"/>
      <c r="S10" s="19"/>
      <c r="T10" s="19"/>
      <c r="U10" s="19"/>
      <c r="V10" s="19"/>
      <c r="W10" s="9" t="s">
        <v>2346</v>
      </c>
      <c r="X10" s="9" t="s">
        <v>52</v>
      </c>
      <c r="Y10" s="2" t="s">
        <v>52</v>
      </c>
      <c r="Z10" s="2" t="s">
        <v>52</v>
      </c>
      <c r="AA10" s="20"/>
      <c r="AB10" s="2" t="s">
        <v>52</v>
      </c>
    </row>
    <row r="11" spans="1:28" ht="30" customHeight="1" x14ac:dyDescent="0.3">
      <c r="A11" s="9" t="s">
        <v>1091</v>
      </c>
      <c r="B11" s="9" t="s">
        <v>1090</v>
      </c>
      <c r="C11" s="9" t="s">
        <v>196</v>
      </c>
      <c r="D11" s="18" t="s">
        <v>68</v>
      </c>
      <c r="E11" s="19"/>
      <c r="F11" s="9"/>
      <c r="G11" s="19"/>
      <c r="H11" s="9"/>
      <c r="I11" s="19"/>
      <c r="J11" s="9"/>
      <c r="K11" s="19"/>
      <c r="L11" s="9"/>
      <c r="M11" s="19"/>
      <c r="N11" s="9"/>
      <c r="O11" s="19"/>
      <c r="P11" s="19"/>
      <c r="Q11" s="19"/>
      <c r="R11" s="19"/>
      <c r="S11" s="19"/>
      <c r="T11" s="19"/>
      <c r="U11" s="19"/>
      <c r="V11" s="19"/>
      <c r="W11" s="9" t="s">
        <v>2347</v>
      </c>
      <c r="X11" s="9" t="s">
        <v>52</v>
      </c>
      <c r="Y11" s="2" t="s">
        <v>52</v>
      </c>
      <c r="Z11" s="2" t="s">
        <v>52</v>
      </c>
      <c r="AA11" s="20"/>
      <c r="AB11" s="2" t="s">
        <v>52</v>
      </c>
    </row>
    <row r="12" spans="1:28" ht="30" customHeight="1" x14ac:dyDescent="0.3">
      <c r="A12" s="9" t="s">
        <v>1490</v>
      </c>
      <c r="B12" s="9" t="s">
        <v>1424</v>
      </c>
      <c r="C12" s="9" t="s">
        <v>1489</v>
      </c>
      <c r="D12" s="18" t="s">
        <v>58</v>
      </c>
      <c r="E12" s="19"/>
      <c r="F12" s="9"/>
      <c r="G12" s="19"/>
      <c r="H12" s="9"/>
      <c r="I12" s="19"/>
      <c r="J12" s="9"/>
      <c r="K12" s="19"/>
      <c r="L12" s="9"/>
      <c r="M12" s="19"/>
      <c r="N12" s="9"/>
      <c r="O12" s="19"/>
      <c r="P12" s="19"/>
      <c r="Q12" s="19"/>
      <c r="R12" s="19"/>
      <c r="S12" s="19"/>
      <c r="T12" s="19"/>
      <c r="U12" s="19"/>
      <c r="V12" s="19"/>
      <c r="W12" s="9" t="s">
        <v>2348</v>
      </c>
      <c r="X12" s="9" t="s">
        <v>52</v>
      </c>
      <c r="Y12" s="2" t="s">
        <v>52</v>
      </c>
      <c r="Z12" s="2" t="s">
        <v>52</v>
      </c>
      <c r="AA12" s="20"/>
      <c r="AB12" s="2" t="s">
        <v>52</v>
      </c>
    </row>
    <row r="13" spans="1:28" ht="30" customHeight="1" x14ac:dyDescent="0.3">
      <c r="A13" s="9" t="s">
        <v>1426</v>
      </c>
      <c r="B13" s="9" t="s">
        <v>1424</v>
      </c>
      <c r="C13" s="9" t="s">
        <v>1425</v>
      </c>
      <c r="D13" s="18" t="s">
        <v>58</v>
      </c>
      <c r="E13" s="19"/>
      <c r="F13" s="9"/>
      <c r="G13" s="19"/>
      <c r="H13" s="9"/>
      <c r="I13" s="19"/>
      <c r="J13" s="9"/>
      <c r="K13" s="19"/>
      <c r="L13" s="9"/>
      <c r="M13" s="19"/>
      <c r="N13" s="9"/>
      <c r="O13" s="19"/>
      <c r="P13" s="19"/>
      <c r="Q13" s="19"/>
      <c r="R13" s="19"/>
      <c r="S13" s="19"/>
      <c r="T13" s="19"/>
      <c r="U13" s="19"/>
      <c r="V13" s="19"/>
      <c r="W13" s="9" t="s">
        <v>2349</v>
      </c>
      <c r="X13" s="9" t="s">
        <v>52</v>
      </c>
      <c r="Y13" s="2" t="s">
        <v>52</v>
      </c>
      <c r="Z13" s="2" t="s">
        <v>52</v>
      </c>
      <c r="AA13" s="20"/>
      <c r="AB13" s="2" t="s">
        <v>52</v>
      </c>
    </row>
    <row r="14" spans="1:28" ht="30" customHeight="1" x14ac:dyDescent="0.3">
      <c r="A14" s="9" t="s">
        <v>747</v>
      </c>
      <c r="B14" s="9" t="s">
        <v>744</v>
      </c>
      <c r="C14" s="9" t="s">
        <v>745</v>
      </c>
      <c r="D14" s="18" t="s">
        <v>726</v>
      </c>
      <c r="E14" s="19"/>
      <c r="F14" s="9"/>
      <c r="G14" s="19"/>
      <c r="H14" s="9"/>
      <c r="I14" s="19"/>
      <c r="J14" s="9"/>
      <c r="K14" s="19"/>
      <c r="L14" s="9"/>
      <c r="M14" s="19"/>
      <c r="N14" s="9"/>
      <c r="O14" s="19"/>
      <c r="P14" s="19"/>
      <c r="Q14" s="19"/>
      <c r="R14" s="19"/>
      <c r="S14" s="19"/>
      <c r="T14" s="19"/>
      <c r="U14" s="19"/>
      <c r="V14" s="19"/>
      <c r="W14" s="9" t="s">
        <v>2350</v>
      </c>
      <c r="X14" s="9" t="s">
        <v>746</v>
      </c>
      <c r="Y14" s="2" t="s">
        <v>52</v>
      </c>
      <c r="Z14" s="2" t="s">
        <v>52</v>
      </c>
      <c r="AA14" s="20"/>
      <c r="AB14" s="2" t="s">
        <v>52</v>
      </c>
    </row>
    <row r="15" spans="1:28" ht="30" customHeight="1" x14ac:dyDescent="0.3">
      <c r="A15" s="9" t="s">
        <v>1394</v>
      </c>
      <c r="B15" s="9" t="s">
        <v>744</v>
      </c>
      <c r="C15" s="9" t="s">
        <v>745</v>
      </c>
      <c r="D15" s="18" t="s">
        <v>1021</v>
      </c>
      <c r="E15" s="19"/>
      <c r="F15" s="9"/>
      <c r="G15" s="19"/>
      <c r="H15" s="9"/>
      <c r="I15" s="19"/>
      <c r="J15" s="9"/>
      <c r="K15" s="19"/>
      <c r="L15" s="9"/>
      <c r="M15" s="19"/>
      <c r="N15" s="9"/>
      <c r="O15" s="19"/>
      <c r="P15" s="19"/>
      <c r="Q15" s="19"/>
      <c r="R15" s="19"/>
      <c r="S15" s="19"/>
      <c r="T15" s="19"/>
      <c r="U15" s="19"/>
      <c r="V15" s="19"/>
      <c r="W15" s="9" t="s">
        <v>2351</v>
      </c>
      <c r="X15" s="9" t="s">
        <v>746</v>
      </c>
      <c r="Y15" s="2" t="s">
        <v>52</v>
      </c>
      <c r="Z15" s="2" t="s">
        <v>52</v>
      </c>
      <c r="AA15" s="20"/>
      <c r="AB15" s="2" t="s">
        <v>52</v>
      </c>
    </row>
    <row r="16" spans="1:28" ht="30" customHeight="1" x14ac:dyDescent="0.3">
      <c r="A16" s="9" t="s">
        <v>1392</v>
      </c>
      <c r="B16" s="9" t="s">
        <v>744</v>
      </c>
      <c r="C16" s="9" t="s">
        <v>1391</v>
      </c>
      <c r="D16" s="18" t="s">
        <v>1021</v>
      </c>
      <c r="E16" s="19"/>
      <c r="F16" s="9"/>
      <c r="G16" s="19"/>
      <c r="H16" s="9"/>
      <c r="I16" s="19"/>
      <c r="J16" s="9"/>
      <c r="K16" s="19"/>
      <c r="L16" s="9"/>
      <c r="M16" s="19"/>
      <c r="N16" s="9"/>
      <c r="O16" s="19"/>
      <c r="P16" s="19"/>
      <c r="Q16" s="19"/>
      <c r="R16" s="19"/>
      <c r="S16" s="19"/>
      <c r="T16" s="19"/>
      <c r="U16" s="19"/>
      <c r="V16" s="19"/>
      <c r="W16" s="9" t="s">
        <v>2352</v>
      </c>
      <c r="X16" s="9" t="s">
        <v>746</v>
      </c>
      <c r="Y16" s="2" t="s">
        <v>52</v>
      </c>
      <c r="Z16" s="2" t="s">
        <v>52</v>
      </c>
      <c r="AA16" s="20"/>
      <c r="AB16" s="2" t="s">
        <v>52</v>
      </c>
    </row>
    <row r="17" spans="1:28" ht="30" customHeight="1" x14ac:dyDescent="0.3">
      <c r="A17" s="9" t="s">
        <v>1825</v>
      </c>
      <c r="B17" s="9" t="s">
        <v>1823</v>
      </c>
      <c r="C17" s="9" t="s">
        <v>1824</v>
      </c>
      <c r="D17" s="18" t="s">
        <v>923</v>
      </c>
      <c r="E17" s="19"/>
      <c r="F17" s="9"/>
      <c r="G17" s="19"/>
      <c r="H17" s="9"/>
      <c r="I17" s="19"/>
      <c r="J17" s="9"/>
      <c r="K17" s="19"/>
      <c r="L17" s="9"/>
      <c r="M17" s="19"/>
      <c r="N17" s="9"/>
      <c r="O17" s="19"/>
      <c r="P17" s="19"/>
      <c r="Q17" s="19"/>
      <c r="R17" s="19"/>
      <c r="S17" s="19"/>
      <c r="T17" s="19"/>
      <c r="U17" s="19"/>
      <c r="V17" s="19"/>
      <c r="W17" s="9" t="s">
        <v>2353</v>
      </c>
      <c r="X17" s="9" t="s">
        <v>52</v>
      </c>
      <c r="Y17" s="2" t="s">
        <v>52</v>
      </c>
      <c r="Z17" s="2" t="s">
        <v>52</v>
      </c>
      <c r="AA17" s="20"/>
      <c r="AB17" s="2" t="s">
        <v>52</v>
      </c>
    </row>
    <row r="18" spans="1:28" ht="30" customHeight="1" x14ac:dyDescent="0.3">
      <c r="A18" s="9" t="s">
        <v>1030</v>
      </c>
      <c r="B18" s="9" t="s">
        <v>1028</v>
      </c>
      <c r="C18" s="9" t="s">
        <v>1029</v>
      </c>
      <c r="D18" s="18" t="s">
        <v>923</v>
      </c>
      <c r="E18" s="19"/>
      <c r="F18" s="9"/>
      <c r="G18" s="19"/>
      <c r="H18" s="9"/>
      <c r="I18" s="19"/>
      <c r="J18" s="9"/>
      <c r="K18" s="19"/>
      <c r="L18" s="9"/>
      <c r="M18" s="19"/>
      <c r="N18" s="9"/>
      <c r="O18" s="19"/>
      <c r="P18" s="19"/>
      <c r="Q18" s="19"/>
      <c r="R18" s="19"/>
      <c r="S18" s="19"/>
      <c r="T18" s="19"/>
      <c r="U18" s="19"/>
      <c r="V18" s="19"/>
      <c r="W18" s="9" t="s">
        <v>2354</v>
      </c>
      <c r="X18" s="9" t="s">
        <v>52</v>
      </c>
      <c r="Y18" s="2" t="s">
        <v>52</v>
      </c>
      <c r="Z18" s="2" t="s">
        <v>52</v>
      </c>
      <c r="AA18" s="20"/>
      <c r="AB18" s="2" t="s">
        <v>52</v>
      </c>
    </row>
    <row r="19" spans="1:28" ht="30" customHeight="1" x14ac:dyDescent="0.3">
      <c r="A19" s="9" t="s">
        <v>978</v>
      </c>
      <c r="B19" s="9" t="s">
        <v>972</v>
      </c>
      <c r="C19" s="9" t="s">
        <v>977</v>
      </c>
      <c r="D19" s="18" t="s">
        <v>974</v>
      </c>
      <c r="E19" s="19"/>
      <c r="F19" s="9"/>
      <c r="G19" s="19"/>
      <c r="H19" s="9"/>
      <c r="I19" s="19"/>
      <c r="J19" s="9"/>
      <c r="K19" s="19"/>
      <c r="L19" s="9"/>
      <c r="M19" s="19"/>
      <c r="N19" s="9"/>
      <c r="O19" s="19"/>
      <c r="P19" s="19"/>
      <c r="Q19" s="19"/>
      <c r="R19" s="19"/>
      <c r="S19" s="19"/>
      <c r="T19" s="19"/>
      <c r="U19" s="19"/>
      <c r="V19" s="19"/>
      <c r="W19" s="9" t="s">
        <v>2355</v>
      </c>
      <c r="X19" s="9" t="s">
        <v>52</v>
      </c>
      <c r="Y19" s="2" t="s">
        <v>52</v>
      </c>
      <c r="Z19" s="2" t="s">
        <v>52</v>
      </c>
      <c r="AA19" s="20"/>
      <c r="AB19" s="2" t="s">
        <v>52</v>
      </c>
    </row>
    <row r="20" spans="1:28" ht="30" customHeight="1" x14ac:dyDescent="0.3">
      <c r="A20" s="9" t="s">
        <v>975</v>
      </c>
      <c r="B20" s="9" t="s">
        <v>972</v>
      </c>
      <c r="C20" s="9" t="s">
        <v>973</v>
      </c>
      <c r="D20" s="18" t="s">
        <v>974</v>
      </c>
      <c r="E20" s="19"/>
      <c r="F20" s="9"/>
      <c r="G20" s="19"/>
      <c r="H20" s="9"/>
      <c r="I20" s="19"/>
      <c r="J20" s="9"/>
      <c r="K20" s="19"/>
      <c r="L20" s="9"/>
      <c r="M20" s="19"/>
      <c r="N20" s="9"/>
      <c r="O20" s="19"/>
      <c r="P20" s="19"/>
      <c r="Q20" s="19"/>
      <c r="R20" s="19"/>
      <c r="S20" s="19"/>
      <c r="T20" s="19"/>
      <c r="U20" s="19"/>
      <c r="V20" s="19"/>
      <c r="W20" s="9" t="s">
        <v>2356</v>
      </c>
      <c r="X20" s="9" t="s">
        <v>52</v>
      </c>
      <c r="Y20" s="2" t="s">
        <v>52</v>
      </c>
      <c r="Z20" s="2" t="s">
        <v>52</v>
      </c>
      <c r="AA20" s="20"/>
      <c r="AB20" s="2" t="s">
        <v>52</v>
      </c>
    </row>
    <row r="21" spans="1:28" ht="30" customHeight="1" x14ac:dyDescent="0.3">
      <c r="A21" s="9" t="s">
        <v>981</v>
      </c>
      <c r="B21" s="9" t="s">
        <v>972</v>
      </c>
      <c r="C21" s="9" t="s">
        <v>980</v>
      </c>
      <c r="D21" s="18" t="s">
        <v>974</v>
      </c>
      <c r="E21" s="19"/>
      <c r="F21" s="9"/>
      <c r="G21" s="19"/>
      <c r="H21" s="9"/>
      <c r="I21" s="19"/>
      <c r="J21" s="9"/>
      <c r="K21" s="19"/>
      <c r="L21" s="9"/>
      <c r="M21" s="19"/>
      <c r="N21" s="9"/>
      <c r="O21" s="19"/>
      <c r="P21" s="19"/>
      <c r="Q21" s="19"/>
      <c r="R21" s="19"/>
      <c r="S21" s="19"/>
      <c r="T21" s="19"/>
      <c r="U21" s="19"/>
      <c r="V21" s="19"/>
      <c r="W21" s="9" t="s">
        <v>2357</v>
      </c>
      <c r="X21" s="9" t="s">
        <v>52</v>
      </c>
      <c r="Y21" s="2" t="s">
        <v>52</v>
      </c>
      <c r="Z21" s="2" t="s">
        <v>52</v>
      </c>
      <c r="AA21" s="20"/>
      <c r="AB21" s="2" t="s">
        <v>52</v>
      </c>
    </row>
    <row r="22" spans="1:28" ht="30" customHeight="1" x14ac:dyDescent="0.3">
      <c r="A22" s="9" t="s">
        <v>2054</v>
      </c>
      <c r="B22" s="9" t="s">
        <v>2052</v>
      </c>
      <c r="C22" s="9" t="s">
        <v>2053</v>
      </c>
      <c r="D22" s="18" t="s">
        <v>923</v>
      </c>
      <c r="E22" s="19"/>
      <c r="F22" s="9"/>
      <c r="G22" s="19"/>
      <c r="H22" s="9"/>
      <c r="I22" s="19"/>
      <c r="J22" s="9"/>
      <c r="K22" s="19"/>
      <c r="L22" s="9"/>
      <c r="M22" s="19"/>
      <c r="N22" s="9"/>
      <c r="O22" s="19"/>
      <c r="P22" s="19"/>
      <c r="Q22" s="19"/>
      <c r="R22" s="19"/>
      <c r="S22" s="19"/>
      <c r="T22" s="19"/>
      <c r="U22" s="19"/>
      <c r="V22" s="19"/>
      <c r="W22" s="9" t="s">
        <v>2358</v>
      </c>
      <c r="X22" s="9" t="s">
        <v>52</v>
      </c>
      <c r="Y22" s="2" t="s">
        <v>52</v>
      </c>
      <c r="Z22" s="2" t="s">
        <v>52</v>
      </c>
      <c r="AA22" s="20"/>
      <c r="AB22" s="2" t="s">
        <v>52</v>
      </c>
    </row>
    <row r="23" spans="1:28" ht="30" customHeight="1" x14ac:dyDescent="0.3">
      <c r="A23" s="9" t="s">
        <v>1352</v>
      </c>
      <c r="B23" s="9" t="s">
        <v>1350</v>
      </c>
      <c r="C23" s="9" t="s">
        <v>1351</v>
      </c>
      <c r="D23" s="18" t="s">
        <v>1021</v>
      </c>
      <c r="E23" s="19"/>
      <c r="F23" s="9"/>
      <c r="G23" s="19"/>
      <c r="H23" s="9"/>
      <c r="I23" s="19"/>
      <c r="J23" s="9"/>
      <c r="K23" s="19"/>
      <c r="L23" s="9"/>
      <c r="M23" s="19"/>
      <c r="N23" s="9"/>
      <c r="O23" s="19"/>
      <c r="P23" s="19"/>
      <c r="Q23" s="19"/>
      <c r="R23" s="19"/>
      <c r="S23" s="19"/>
      <c r="T23" s="19"/>
      <c r="U23" s="19"/>
      <c r="V23" s="19"/>
      <c r="W23" s="9" t="s">
        <v>2359</v>
      </c>
      <c r="X23" s="9" t="s">
        <v>52</v>
      </c>
      <c r="Y23" s="2" t="s">
        <v>52</v>
      </c>
      <c r="Z23" s="2" t="s">
        <v>52</v>
      </c>
      <c r="AA23" s="20"/>
      <c r="AB23" s="2" t="s">
        <v>52</v>
      </c>
    </row>
    <row r="24" spans="1:28" ht="30" customHeight="1" x14ac:dyDescent="0.3">
      <c r="A24" s="9" t="s">
        <v>1821</v>
      </c>
      <c r="B24" s="9" t="s">
        <v>1819</v>
      </c>
      <c r="C24" s="9" t="s">
        <v>1820</v>
      </c>
      <c r="D24" s="18" t="s">
        <v>1021</v>
      </c>
      <c r="E24" s="19"/>
      <c r="F24" s="9"/>
      <c r="G24" s="19"/>
      <c r="H24" s="9"/>
      <c r="I24" s="19"/>
      <c r="J24" s="9"/>
      <c r="K24" s="19"/>
      <c r="L24" s="9"/>
      <c r="M24" s="19"/>
      <c r="N24" s="9"/>
      <c r="O24" s="19"/>
      <c r="P24" s="19"/>
      <c r="Q24" s="19"/>
      <c r="R24" s="19"/>
      <c r="S24" s="19"/>
      <c r="T24" s="19"/>
      <c r="U24" s="19"/>
      <c r="V24" s="19"/>
      <c r="W24" s="9" t="s">
        <v>2360</v>
      </c>
      <c r="X24" s="9" t="s">
        <v>52</v>
      </c>
      <c r="Y24" s="2" t="s">
        <v>52</v>
      </c>
      <c r="Z24" s="2" t="s">
        <v>52</v>
      </c>
      <c r="AA24" s="20"/>
      <c r="AB24" s="2" t="s">
        <v>52</v>
      </c>
    </row>
    <row r="25" spans="1:28" ht="30" customHeight="1" x14ac:dyDescent="0.3">
      <c r="A25" s="9" t="s">
        <v>1382</v>
      </c>
      <c r="B25" s="9" t="s">
        <v>1377</v>
      </c>
      <c r="C25" s="9" t="s">
        <v>1381</v>
      </c>
      <c r="D25" s="18" t="s">
        <v>1021</v>
      </c>
      <c r="E25" s="19"/>
      <c r="F25" s="9"/>
      <c r="G25" s="19"/>
      <c r="H25" s="9"/>
      <c r="I25" s="19"/>
      <c r="J25" s="9"/>
      <c r="K25" s="19"/>
      <c r="L25" s="9"/>
      <c r="M25" s="19"/>
      <c r="N25" s="9"/>
      <c r="O25" s="19"/>
      <c r="P25" s="19"/>
      <c r="Q25" s="19"/>
      <c r="R25" s="19"/>
      <c r="S25" s="19"/>
      <c r="T25" s="19"/>
      <c r="U25" s="19"/>
      <c r="V25" s="19"/>
      <c r="W25" s="9" t="s">
        <v>2361</v>
      </c>
      <c r="X25" s="9" t="s">
        <v>52</v>
      </c>
      <c r="Y25" s="2" t="s">
        <v>52</v>
      </c>
      <c r="Z25" s="2" t="s">
        <v>52</v>
      </c>
      <c r="AA25" s="20"/>
      <c r="AB25" s="2" t="s">
        <v>52</v>
      </c>
    </row>
    <row r="26" spans="1:28" ht="30" customHeight="1" x14ac:dyDescent="0.3">
      <c r="A26" s="9" t="s">
        <v>1379</v>
      </c>
      <c r="B26" s="9" t="s">
        <v>1377</v>
      </c>
      <c r="C26" s="9" t="s">
        <v>1378</v>
      </c>
      <c r="D26" s="18" t="s">
        <v>1021</v>
      </c>
      <c r="E26" s="19"/>
      <c r="F26" s="9"/>
      <c r="G26" s="19"/>
      <c r="H26" s="9"/>
      <c r="I26" s="19"/>
      <c r="J26" s="9"/>
      <c r="K26" s="19"/>
      <c r="L26" s="9"/>
      <c r="M26" s="19"/>
      <c r="N26" s="9"/>
      <c r="O26" s="19"/>
      <c r="P26" s="19"/>
      <c r="Q26" s="19"/>
      <c r="R26" s="19"/>
      <c r="S26" s="19"/>
      <c r="T26" s="19"/>
      <c r="U26" s="19"/>
      <c r="V26" s="19"/>
      <c r="W26" s="9" t="s">
        <v>2362</v>
      </c>
      <c r="X26" s="9" t="s">
        <v>52</v>
      </c>
      <c r="Y26" s="2" t="s">
        <v>52</v>
      </c>
      <c r="Z26" s="2" t="s">
        <v>52</v>
      </c>
      <c r="AA26" s="20"/>
      <c r="AB26" s="2" t="s">
        <v>52</v>
      </c>
    </row>
    <row r="27" spans="1:28" ht="30" customHeight="1" x14ac:dyDescent="0.3">
      <c r="A27" s="9" t="s">
        <v>1375</v>
      </c>
      <c r="B27" s="9" t="s">
        <v>1373</v>
      </c>
      <c r="C27" s="9" t="s">
        <v>1374</v>
      </c>
      <c r="D27" s="18" t="s">
        <v>1021</v>
      </c>
      <c r="E27" s="19"/>
      <c r="F27" s="9"/>
      <c r="G27" s="19"/>
      <c r="H27" s="9"/>
      <c r="I27" s="19"/>
      <c r="J27" s="9"/>
      <c r="K27" s="19"/>
      <c r="L27" s="9"/>
      <c r="M27" s="19"/>
      <c r="N27" s="9"/>
      <c r="O27" s="19"/>
      <c r="P27" s="19"/>
      <c r="Q27" s="19"/>
      <c r="R27" s="19"/>
      <c r="S27" s="19"/>
      <c r="T27" s="19"/>
      <c r="U27" s="19"/>
      <c r="V27" s="19"/>
      <c r="W27" s="9" t="s">
        <v>2363</v>
      </c>
      <c r="X27" s="9" t="s">
        <v>52</v>
      </c>
      <c r="Y27" s="2" t="s">
        <v>52</v>
      </c>
      <c r="Z27" s="2" t="s">
        <v>52</v>
      </c>
      <c r="AA27" s="20"/>
      <c r="AB27" s="2" t="s">
        <v>52</v>
      </c>
    </row>
    <row r="28" spans="1:28" ht="30" customHeight="1" x14ac:dyDescent="0.3">
      <c r="A28" s="9" t="s">
        <v>1049</v>
      </c>
      <c r="B28" s="9" t="s">
        <v>1047</v>
      </c>
      <c r="C28" s="9" t="s">
        <v>1048</v>
      </c>
      <c r="D28" s="18" t="s">
        <v>637</v>
      </c>
      <c r="E28" s="19"/>
      <c r="F28" s="9"/>
      <c r="G28" s="19"/>
      <c r="H28" s="9"/>
      <c r="I28" s="19"/>
      <c r="J28" s="9"/>
      <c r="K28" s="19"/>
      <c r="L28" s="9"/>
      <c r="M28" s="19"/>
      <c r="N28" s="9"/>
      <c r="O28" s="19"/>
      <c r="P28" s="19"/>
      <c r="Q28" s="19"/>
      <c r="R28" s="19"/>
      <c r="S28" s="19"/>
      <c r="T28" s="19"/>
      <c r="U28" s="19"/>
      <c r="V28" s="19"/>
      <c r="W28" s="9" t="s">
        <v>2364</v>
      </c>
      <c r="X28" s="9" t="s">
        <v>52</v>
      </c>
      <c r="Y28" s="2" t="s">
        <v>52</v>
      </c>
      <c r="Z28" s="2" t="s">
        <v>52</v>
      </c>
      <c r="AA28" s="20"/>
      <c r="AB28" s="2" t="s">
        <v>52</v>
      </c>
    </row>
    <row r="29" spans="1:28" ht="30" customHeight="1" x14ac:dyDescent="0.3">
      <c r="A29" s="9" t="s">
        <v>924</v>
      </c>
      <c r="B29" s="9" t="s">
        <v>921</v>
      </c>
      <c r="C29" s="9" t="s">
        <v>922</v>
      </c>
      <c r="D29" s="18" t="s">
        <v>923</v>
      </c>
      <c r="E29" s="19"/>
      <c r="F29" s="9"/>
      <c r="G29" s="19"/>
      <c r="H29" s="9"/>
      <c r="I29" s="19"/>
      <c r="J29" s="9"/>
      <c r="K29" s="19"/>
      <c r="L29" s="9"/>
      <c r="M29" s="19"/>
      <c r="N29" s="9"/>
      <c r="O29" s="19"/>
      <c r="P29" s="19"/>
      <c r="Q29" s="19"/>
      <c r="R29" s="19"/>
      <c r="S29" s="19"/>
      <c r="T29" s="19"/>
      <c r="U29" s="19"/>
      <c r="V29" s="19"/>
      <c r="W29" s="9" t="s">
        <v>2365</v>
      </c>
      <c r="X29" s="9" t="s">
        <v>52</v>
      </c>
      <c r="Y29" s="2" t="s">
        <v>52</v>
      </c>
      <c r="Z29" s="2" t="s">
        <v>52</v>
      </c>
      <c r="AA29" s="20"/>
      <c r="AB29" s="2" t="s">
        <v>52</v>
      </c>
    </row>
    <row r="30" spans="1:28" ht="30" customHeight="1" x14ac:dyDescent="0.3">
      <c r="A30" s="9" t="s">
        <v>929</v>
      </c>
      <c r="B30" s="9" t="s">
        <v>926</v>
      </c>
      <c r="C30" s="9" t="s">
        <v>927</v>
      </c>
      <c r="D30" s="18" t="s">
        <v>928</v>
      </c>
      <c r="E30" s="19"/>
      <c r="F30" s="9"/>
      <c r="G30" s="19"/>
      <c r="H30" s="9"/>
      <c r="I30" s="19"/>
      <c r="J30" s="9"/>
      <c r="K30" s="19"/>
      <c r="L30" s="9"/>
      <c r="M30" s="19"/>
      <c r="N30" s="9"/>
      <c r="O30" s="19"/>
      <c r="P30" s="19"/>
      <c r="Q30" s="19"/>
      <c r="R30" s="19"/>
      <c r="S30" s="19"/>
      <c r="T30" s="19"/>
      <c r="U30" s="19"/>
      <c r="V30" s="19"/>
      <c r="W30" s="9" t="s">
        <v>2366</v>
      </c>
      <c r="X30" s="9" t="s">
        <v>52</v>
      </c>
      <c r="Y30" s="2" t="s">
        <v>52</v>
      </c>
      <c r="Z30" s="2" t="s">
        <v>52</v>
      </c>
      <c r="AA30" s="20"/>
      <c r="AB30" s="2" t="s">
        <v>52</v>
      </c>
    </row>
    <row r="31" spans="1:28" ht="30" customHeight="1" x14ac:dyDescent="0.3">
      <c r="A31" s="9" t="s">
        <v>1022</v>
      </c>
      <c r="B31" s="9" t="s">
        <v>1019</v>
      </c>
      <c r="C31" s="9" t="s">
        <v>1020</v>
      </c>
      <c r="D31" s="18" t="s">
        <v>1021</v>
      </c>
      <c r="E31" s="19"/>
      <c r="F31" s="9"/>
      <c r="G31" s="19"/>
      <c r="H31" s="9"/>
      <c r="I31" s="19"/>
      <c r="J31" s="9"/>
      <c r="K31" s="19"/>
      <c r="L31" s="9"/>
      <c r="M31" s="19"/>
      <c r="N31" s="9"/>
      <c r="O31" s="19"/>
      <c r="P31" s="19"/>
      <c r="Q31" s="19"/>
      <c r="R31" s="19"/>
      <c r="S31" s="19"/>
      <c r="T31" s="19"/>
      <c r="U31" s="19"/>
      <c r="V31" s="19"/>
      <c r="W31" s="9" t="s">
        <v>2367</v>
      </c>
      <c r="X31" s="9" t="s">
        <v>52</v>
      </c>
      <c r="Y31" s="2" t="s">
        <v>52</v>
      </c>
      <c r="Z31" s="2" t="s">
        <v>52</v>
      </c>
      <c r="AA31" s="20"/>
      <c r="AB31" s="2" t="s">
        <v>52</v>
      </c>
    </row>
    <row r="32" spans="1:28" ht="30" customHeight="1" x14ac:dyDescent="0.3">
      <c r="A32" s="9" t="s">
        <v>2089</v>
      </c>
      <c r="B32" s="9" t="s">
        <v>2087</v>
      </c>
      <c r="C32" s="9" t="s">
        <v>2088</v>
      </c>
      <c r="D32" s="18" t="s">
        <v>1021</v>
      </c>
      <c r="E32" s="19"/>
      <c r="F32" s="9"/>
      <c r="G32" s="19"/>
      <c r="H32" s="9"/>
      <c r="I32" s="19"/>
      <c r="J32" s="9"/>
      <c r="K32" s="19"/>
      <c r="L32" s="9"/>
      <c r="M32" s="19"/>
      <c r="N32" s="9"/>
      <c r="O32" s="19"/>
      <c r="P32" s="19"/>
      <c r="Q32" s="19"/>
      <c r="R32" s="19"/>
      <c r="S32" s="19"/>
      <c r="T32" s="19"/>
      <c r="U32" s="19"/>
      <c r="V32" s="19"/>
      <c r="W32" s="9" t="s">
        <v>2368</v>
      </c>
      <c r="X32" s="9" t="s">
        <v>52</v>
      </c>
      <c r="Y32" s="2" t="s">
        <v>52</v>
      </c>
      <c r="Z32" s="2" t="s">
        <v>52</v>
      </c>
      <c r="AA32" s="20"/>
      <c r="AB32" s="2" t="s">
        <v>52</v>
      </c>
    </row>
    <row r="33" spans="1:28" ht="30" customHeight="1" x14ac:dyDescent="0.3">
      <c r="A33" s="9" t="s">
        <v>2107</v>
      </c>
      <c r="B33" s="9" t="s">
        <v>2105</v>
      </c>
      <c r="C33" s="9" t="s">
        <v>2106</v>
      </c>
      <c r="D33" s="18" t="s">
        <v>1021</v>
      </c>
      <c r="E33" s="19"/>
      <c r="F33" s="9"/>
      <c r="G33" s="19"/>
      <c r="H33" s="9"/>
      <c r="I33" s="19"/>
      <c r="J33" s="9"/>
      <c r="K33" s="19"/>
      <c r="L33" s="9"/>
      <c r="M33" s="19"/>
      <c r="N33" s="9"/>
      <c r="O33" s="19"/>
      <c r="P33" s="19"/>
      <c r="Q33" s="19"/>
      <c r="R33" s="19"/>
      <c r="S33" s="19"/>
      <c r="T33" s="19"/>
      <c r="U33" s="19"/>
      <c r="V33" s="19"/>
      <c r="W33" s="9" t="s">
        <v>2369</v>
      </c>
      <c r="X33" s="9" t="s">
        <v>52</v>
      </c>
      <c r="Y33" s="2" t="s">
        <v>52</v>
      </c>
      <c r="Z33" s="2" t="s">
        <v>52</v>
      </c>
      <c r="AA33" s="20"/>
      <c r="AB33" s="2" t="s">
        <v>52</v>
      </c>
    </row>
    <row r="34" spans="1:28" ht="30" customHeight="1" x14ac:dyDescent="0.3">
      <c r="A34" s="9" t="s">
        <v>2110</v>
      </c>
      <c r="B34" s="9" t="s">
        <v>2105</v>
      </c>
      <c r="C34" s="9" t="s">
        <v>2109</v>
      </c>
      <c r="D34" s="18" t="s">
        <v>1021</v>
      </c>
      <c r="E34" s="19"/>
      <c r="F34" s="9"/>
      <c r="G34" s="19"/>
      <c r="H34" s="9"/>
      <c r="I34" s="19"/>
      <c r="J34" s="9"/>
      <c r="K34" s="19"/>
      <c r="L34" s="9"/>
      <c r="M34" s="19"/>
      <c r="N34" s="9"/>
      <c r="O34" s="19"/>
      <c r="P34" s="19"/>
      <c r="Q34" s="19"/>
      <c r="R34" s="19"/>
      <c r="S34" s="19"/>
      <c r="T34" s="19"/>
      <c r="U34" s="19"/>
      <c r="V34" s="19"/>
      <c r="W34" s="9" t="s">
        <v>2370</v>
      </c>
      <c r="X34" s="9" t="s">
        <v>52</v>
      </c>
      <c r="Y34" s="2" t="s">
        <v>52</v>
      </c>
      <c r="Z34" s="2" t="s">
        <v>52</v>
      </c>
      <c r="AA34" s="20"/>
      <c r="AB34" s="2" t="s">
        <v>52</v>
      </c>
    </row>
    <row r="35" spans="1:28" ht="30" customHeight="1" x14ac:dyDescent="0.3">
      <c r="A35" s="9" t="s">
        <v>88</v>
      </c>
      <c r="B35" s="9" t="s">
        <v>85</v>
      </c>
      <c r="C35" s="9" t="s">
        <v>86</v>
      </c>
      <c r="D35" s="18" t="s">
        <v>87</v>
      </c>
      <c r="E35" s="19"/>
      <c r="F35" s="9"/>
      <c r="G35" s="19"/>
      <c r="H35" s="9"/>
      <c r="I35" s="19"/>
      <c r="J35" s="9"/>
      <c r="K35" s="19"/>
      <c r="L35" s="9"/>
      <c r="M35" s="19"/>
      <c r="N35" s="9"/>
      <c r="O35" s="19"/>
      <c r="P35" s="19"/>
      <c r="Q35" s="19"/>
      <c r="R35" s="19"/>
      <c r="S35" s="19"/>
      <c r="T35" s="19"/>
      <c r="U35" s="19"/>
      <c r="V35" s="19"/>
      <c r="W35" s="9" t="s">
        <v>2371</v>
      </c>
      <c r="X35" s="9" t="s">
        <v>52</v>
      </c>
      <c r="Y35" s="2" t="s">
        <v>52</v>
      </c>
      <c r="Z35" s="2" t="s">
        <v>52</v>
      </c>
      <c r="AA35" s="20"/>
      <c r="AB35" s="2" t="s">
        <v>52</v>
      </c>
    </row>
    <row r="36" spans="1:28" ht="30" customHeight="1" x14ac:dyDescent="0.3">
      <c r="A36" s="9" t="s">
        <v>104</v>
      </c>
      <c r="B36" s="9" t="s">
        <v>101</v>
      </c>
      <c r="C36" s="9" t="s">
        <v>102</v>
      </c>
      <c r="D36" s="18" t="s">
        <v>103</v>
      </c>
      <c r="E36" s="19"/>
      <c r="F36" s="9"/>
      <c r="G36" s="19"/>
      <c r="H36" s="9"/>
      <c r="I36" s="19"/>
      <c r="J36" s="9"/>
      <c r="K36" s="19"/>
      <c r="L36" s="9"/>
      <c r="M36" s="19"/>
      <c r="N36" s="9"/>
      <c r="O36" s="19"/>
      <c r="P36" s="19"/>
      <c r="Q36" s="19"/>
      <c r="R36" s="19"/>
      <c r="S36" s="19"/>
      <c r="T36" s="19"/>
      <c r="U36" s="19"/>
      <c r="V36" s="19"/>
      <c r="W36" s="9" t="s">
        <v>2372</v>
      </c>
      <c r="X36" s="9" t="s">
        <v>52</v>
      </c>
      <c r="Y36" s="2" t="s">
        <v>52</v>
      </c>
      <c r="Z36" s="2" t="s">
        <v>52</v>
      </c>
      <c r="AA36" s="20"/>
      <c r="AB36" s="2" t="s">
        <v>52</v>
      </c>
    </row>
    <row r="37" spans="1:28" ht="30" customHeight="1" x14ac:dyDescent="0.3">
      <c r="A37" s="9" t="s">
        <v>961</v>
      </c>
      <c r="B37" s="9" t="s">
        <v>959</v>
      </c>
      <c r="C37" s="9" t="s">
        <v>960</v>
      </c>
      <c r="D37" s="18" t="s">
        <v>68</v>
      </c>
      <c r="E37" s="19"/>
      <c r="F37" s="9"/>
      <c r="G37" s="19"/>
      <c r="H37" s="9"/>
      <c r="I37" s="19"/>
      <c r="J37" s="9"/>
      <c r="K37" s="19"/>
      <c r="L37" s="9"/>
      <c r="M37" s="19"/>
      <c r="N37" s="9"/>
      <c r="O37" s="19"/>
      <c r="P37" s="19"/>
      <c r="Q37" s="19"/>
      <c r="R37" s="19"/>
      <c r="S37" s="19"/>
      <c r="T37" s="19"/>
      <c r="U37" s="19"/>
      <c r="V37" s="19"/>
      <c r="W37" s="9" t="s">
        <v>2373</v>
      </c>
      <c r="X37" s="9" t="s">
        <v>52</v>
      </c>
      <c r="Y37" s="2" t="s">
        <v>52</v>
      </c>
      <c r="Z37" s="2" t="s">
        <v>52</v>
      </c>
      <c r="AA37" s="20"/>
      <c r="AB37" s="2" t="s">
        <v>52</v>
      </c>
    </row>
    <row r="38" spans="1:28" ht="30" customHeight="1" x14ac:dyDescent="0.3">
      <c r="A38" s="9" t="s">
        <v>142</v>
      </c>
      <c r="B38" s="9" t="s">
        <v>140</v>
      </c>
      <c r="C38" s="9" t="s">
        <v>141</v>
      </c>
      <c r="D38" s="18" t="s">
        <v>68</v>
      </c>
      <c r="E38" s="19"/>
      <c r="F38" s="9"/>
      <c r="G38" s="19"/>
      <c r="H38" s="9"/>
      <c r="I38" s="19"/>
      <c r="J38" s="9"/>
      <c r="K38" s="19"/>
      <c r="L38" s="9"/>
      <c r="M38" s="19"/>
      <c r="N38" s="9"/>
      <c r="O38" s="19"/>
      <c r="P38" s="19"/>
      <c r="Q38" s="19"/>
      <c r="R38" s="19"/>
      <c r="S38" s="19"/>
      <c r="T38" s="19"/>
      <c r="U38" s="19"/>
      <c r="V38" s="19"/>
      <c r="W38" s="9" t="s">
        <v>2374</v>
      </c>
      <c r="X38" s="9" t="s">
        <v>52</v>
      </c>
      <c r="Y38" s="2" t="s">
        <v>52</v>
      </c>
      <c r="Z38" s="2" t="s">
        <v>52</v>
      </c>
      <c r="AA38" s="20"/>
      <c r="AB38" s="2" t="s">
        <v>52</v>
      </c>
    </row>
    <row r="39" spans="1:28" ht="30" customHeight="1" x14ac:dyDescent="0.3">
      <c r="A39" s="9" t="s">
        <v>146</v>
      </c>
      <c r="B39" s="9" t="s">
        <v>144</v>
      </c>
      <c r="C39" s="9" t="s">
        <v>145</v>
      </c>
      <c r="D39" s="18" t="s">
        <v>68</v>
      </c>
      <c r="E39" s="19"/>
      <c r="F39" s="9"/>
      <c r="G39" s="19"/>
      <c r="H39" s="9"/>
      <c r="I39" s="19"/>
      <c r="J39" s="9"/>
      <c r="K39" s="19"/>
      <c r="L39" s="9"/>
      <c r="M39" s="19"/>
      <c r="N39" s="9"/>
      <c r="O39" s="19"/>
      <c r="P39" s="19"/>
      <c r="Q39" s="19"/>
      <c r="R39" s="19"/>
      <c r="S39" s="19"/>
      <c r="T39" s="19"/>
      <c r="U39" s="19"/>
      <c r="V39" s="19"/>
      <c r="W39" s="9" t="s">
        <v>2375</v>
      </c>
      <c r="X39" s="9" t="s">
        <v>52</v>
      </c>
      <c r="Y39" s="2" t="s">
        <v>52</v>
      </c>
      <c r="Z39" s="2" t="s">
        <v>52</v>
      </c>
      <c r="AA39" s="20"/>
      <c r="AB39" s="2" t="s">
        <v>52</v>
      </c>
    </row>
    <row r="40" spans="1:28" ht="30" customHeight="1" x14ac:dyDescent="0.3">
      <c r="A40" s="9" t="s">
        <v>208</v>
      </c>
      <c r="B40" s="9" t="s">
        <v>207</v>
      </c>
      <c r="C40" s="9" t="s">
        <v>204</v>
      </c>
      <c r="D40" s="18" t="s">
        <v>68</v>
      </c>
      <c r="E40" s="19"/>
      <c r="F40" s="9"/>
      <c r="G40" s="19"/>
      <c r="H40" s="9"/>
      <c r="I40" s="19"/>
      <c r="J40" s="9"/>
      <c r="K40" s="19"/>
      <c r="L40" s="9"/>
      <c r="M40" s="19"/>
      <c r="N40" s="9"/>
      <c r="O40" s="19"/>
      <c r="P40" s="19"/>
      <c r="Q40" s="19"/>
      <c r="R40" s="19"/>
      <c r="S40" s="19"/>
      <c r="T40" s="19"/>
      <c r="U40" s="19"/>
      <c r="V40" s="19"/>
      <c r="W40" s="9" t="s">
        <v>2376</v>
      </c>
      <c r="X40" s="9" t="s">
        <v>52</v>
      </c>
      <c r="Y40" s="2" t="s">
        <v>52</v>
      </c>
      <c r="Z40" s="2" t="s">
        <v>52</v>
      </c>
      <c r="AA40" s="20"/>
      <c r="AB40" s="2" t="s">
        <v>52</v>
      </c>
    </row>
    <row r="41" spans="1:28" ht="30" customHeight="1" x14ac:dyDescent="0.3">
      <c r="A41" s="9" t="s">
        <v>1916</v>
      </c>
      <c r="B41" s="9" t="s">
        <v>1914</v>
      </c>
      <c r="C41" s="9" t="s">
        <v>1915</v>
      </c>
      <c r="D41" s="18" t="s">
        <v>68</v>
      </c>
      <c r="E41" s="19"/>
      <c r="F41" s="9"/>
      <c r="G41" s="19"/>
      <c r="H41" s="9"/>
      <c r="I41" s="19"/>
      <c r="J41" s="9"/>
      <c r="K41" s="19"/>
      <c r="L41" s="9"/>
      <c r="M41" s="19"/>
      <c r="N41" s="9"/>
      <c r="O41" s="19"/>
      <c r="P41" s="19"/>
      <c r="Q41" s="19"/>
      <c r="R41" s="19"/>
      <c r="S41" s="19"/>
      <c r="T41" s="19"/>
      <c r="U41" s="19"/>
      <c r="V41" s="19"/>
      <c r="W41" s="9" t="s">
        <v>2377</v>
      </c>
      <c r="X41" s="9" t="s">
        <v>52</v>
      </c>
      <c r="Y41" s="2" t="s">
        <v>52</v>
      </c>
      <c r="Z41" s="2" t="s">
        <v>52</v>
      </c>
      <c r="AA41" s="20"/>
      <c r="AB41" s="2" t="s">
        <v>52</v>
      </c>
    </row>
    <row r="42" spans="1:28" ht="30" customHeight="1" x14ac:dyDescent="0.3">
      <c r="A42" s="9" t="s">
        <v>1327</v>
      </c>
      <c r="B42" s="9" t="s">
        <v>1326</v>
      </c>
      <c r="C42" s="9" t="s">
        <v>341</v>
      </c>
      <c r="D42" s="18" t="s">
        <v>82</v>
      </c>
      <c r="E42" s="19"/>
      <c r="F42" s="9"/>
      <c r="G42" s="19"/>
      <c r="H42" s="9"/>
      <c r="I42" s="19"/>
      <c r="J42" s="9"/>
      <c r="K42" s="19"/>
      <c r="L42" s="9"/>
      <c r="M42" s="19"/>
      <c r="N42" s="9"/>
      <c r="O42" s="19"/>
      <c r="P42" s="19"/>
      <c r="Q42" s="19"/>
      <c r="R42" s="19"/>
      <c r="S42" s="19"/>
      <c r="T42" s="19"/>
      <c r="U42" s="19"/>
      <c r="V42" s="19"/>
      <c r="W42" s="9" t="s">
        <v>2378</v>
      </c>
      <c r="X42" s="9" t="s">
        <v>52</v>
      </c>
      <c r="Y42" s="2" t="s">
        <v>52</v>
      </c>
      <c r="Z42" s="2" t="s">
        <v>52</v>
      </c>
      <c r="AA42" s="20"/>
      <c r="AB42" s="2" t="s">
        <v>52</v>
      </c>
    </row>
    <row r="43" spans="1:28" ht="30" customHeight="1" x14ac:dyDescent="0.3">
      <c r="A43" s="9" t="s">
        <v>1166</v>
      </c>
      <c r="B43" s="9" t="s">
        <v>1164</v>
      </c>
      <c r="C43" s="9" t="s">
        <v>1165</v>
      </c>
      <c r="D43" s="18" t="s">
        <v>68</v>
      </c>
      <c r="E43" s="19"/>
      <c r="F43" s="9"/>
      <c r="G43" s="19"/>
      <c r="H43" s="9"/>
      <c r="I43" s="19"/>
      <c r="J43" s="9"/>
      <c r="K43" s="19"/>
      <c r="L43" s="9"/>
      <c r="M43" s="19"/>
      <c r="N43" s="9"/>
      <c r="O43" s="19"/>
      <c r="P43" s="19"/>
      <c r="Q43" s="19"/>
      <c r="R43" s="19"/>
      <c r="S43" s="19"/>
      <c r="T43" s="19"/>
      <c r="U43" s="19"/>
      <c r="V43" s="19"/>
      <c r="W43" s="9" t="s">
        <v>2379</v>
      </c>
      <c r="X43" s="9" t="s">
        <v>52</v>
      </c>
      <c r="Y43" s="2" t="s">
        <v>52</v>
      </c>
      <c r="Z43" s="2" t="s">
        <v>52</v>
      </c>
      <c r="AA43" s="20"/>
      <c r="AB43" s="2" t="s">
        <v>52</v>
      </c>
    </row>
    <row r="44" spans="1:28" ht="30" customHeight="1" x14ac:dyDescent="0.3">
      <c r="A44" s="9" t="s">
        <v>2202</v>
      </c>
      <c r="B44" s="9" t="s">
        <v>2200</v>
      </c>
      <c r="C44" s="9" t="s">
        <v>2201</v>
      </c>
      <c r="D44" s="18" t="s">
        <v>68</v>
      </c>
      <c r="E44" s="19"/>
      <c r="F44" s="9"/>
      <c r="G44" s="19"/>
      <c r="H44" s="9"/>
      <c r="I44" s="19"/>
      <c r="J44" s="9"/>
      <c r="K44" s="19"/>
      <c r="L44" s="9"/>
      <c r="M44" s="19"/>
      <c r="N44" s="9"/>
      <c r="O44" s="19"/>
      <c r="P44" s="19"/>
      <c r="Q44" s="19"/>
      <c r="R44" s="19"/>
      <c r="S44" s="19"/>
      <c r="T44" s="19"/>
      <c r="U44" s="19"/>
      <c r="V44" s="19"/>
      <c r="W44" s="9" t="s">
        <v>2380</v>
      </c>
      <c r="X44" s="9" t="s">
        <v>52</v>
      </c>
      <c r="Y44" s="2" t="s">
        <v>52</v>
      </c>
      <c r="Z44" s="2" t="s">
        <v>52</v>
      </c>
      <c r="AA44" s="20"/>
      <c r="AB44" s="2" t="s">
        <v>52</v>
      </c>
    </row>
    <row r="45" spans="1:28" ht="30" customHeight="1" x14ac:dyDescent="0.3">
      <c r="A45" s="9" t="s">
        <v>2206</v>
      </c>
      <c r="B45" s="9" t="s">
        <v>2204</v>
      </c>
      <c r="C45" s="9" t="s">
        <v>2205</v>
      </c>
      <c r="D45" s="18" t="s">
        <v>68</v>
      </c>
      <c r="E45" s="19"/>
      <c r="F45" s="9"/>
      <c r="G45" s="19"/>
      <c r="H45" s="9"/>
      <c r="I45" s="19"/>
      <c r="J45" s="9"/>
      <c r="K45" s="19"/>
      <c r="L45" s="9"/>
      <c r="M45" s="19"/>
      <c r="N45" s="9"/>
      <c r="O45" s="19"/>
      <c r="P45" s="19"/>
      <c r="Q45" s="19"/>
      <c r="R45" s="19"/>
      <c r="S45" s="19"/>
      <c r="T45" s="19"/>
      <c r="U45" s="19"/>
      <c r="V45" s="19"/>
      <c r="W45" s="9" t="s">
        <v>2381</v>
      </c>
      <c r="X45" s="9" t="s">
        <v>52</v>
      </c>
      <c r="Y45" s="2" t="s">
        <v>52</v>
      </c>
      <c r="Z45" s="2" t="s">
        <v>52</v>
      </c>
      <c r="AA45" s="20"/>
      <c r="AB45" s="2" t="s">
        <v>52</v>
      </c>
    </row>
    <row r="46" spans="1:28" ht="30" customHeight="1" x14ac:dyDescent="0.3">
      <c r="A46" s="9" t="s">
        <v>1205</v>
      </c>
      <c r="B46" s="9" t="s">
        <v>1196</v>
      </c>
      <c r="C46" s="9" t="s">
        <v>276</v>
      </c>
      <c r="D46" s="18" t="s">
        <v>82</v>
      </c>
      <c r="E46" s="19"/>
      <c r="F46" s="9"/>
      <c r="G46" s="19"/>
      <c r="H46" s="9"/>
      <c r="I46" s="19"/>
      <c r="J46" s="9"/>
      <c r="K46" s="19"/>
      <c r="L46" s="9"/>
      <c r="M46" s="19"/>
      <c r="N46" s="9"/>
      <c r="O46" s="19"/>
      <c r="P46" s="19"/>
      <c r="Q46" s="19"/>
      <c r="R46" s="19"/>
      <c r="S46" s="19"/>
      <c r="T46" s="19"/>
      <c r="U46" s="19"/>
      <c r="V46" s="19"/>
      <c r="W46" s="9" t="s">
        <v>2382</v>
      </c>
      <c r="X46" s="9" t="s">
        <v>52</v>
      </c>
      <c r="Y46" s="2" t="s">
        <v>52</v>
      </c>
      <c r="Z46" s="2" t="s">
        <v>52</v>
      </c>
      <c r="AA46" s="20"/>
      <c r="AB46" s="2" t="s">
        <v>52</v>
      </c>
    </row>
    <row r="47" spans="1:28" ht="30" customHeight="1" x14ac:dyDescent="0.3">
      <c r="A47" s="9" t="s">
        <v>1214</v>
      </c>
      <c r="B47" s="9" t="s">
        <v>1213</v>
      </c>
      <c r="C47" s="9" t="s">
        <v>276</v>
      </c>
      <c r="D47" s="18" t="s">
        <v>82</v>
      </c>
      <c r="E47" s="19"/>
      <c r="F47" s="9"/>
      <c r="G47" s="19"/>
      <c r="H47" s="9"/>
      <c r="I47" s="19"/>
      <c r="J47" s="9"/>
      <c r="K47" s="19"/>
      <c r="L47" s="9"/>
      <c r="M47" s="19"/>
      <c r="N47" s="9"/>
      <c r="O47" s="19"/>
      <c r="P47" s="19"/>
      <c r="Q47" s="19"/>
      <c r="R47" s="19"/>
      <c r="S47" s="19"/>
      <c r="T47" s="19"/>
      <c r="U47" s="19"/>
      <c r="V47" s="19"/>
      <c r="W47" s="9" t="s">
        <v>2383</v>
      </c>
      <c r="X47" s="9" t="s">
        <v>52</v>
      </c>
      <c r="Y47" s="2" t="s">
        <v>52</v>
      </c>
      <c r="Z47" s="2" t="s">
        <v>52</v>
      </c>
      <c r="AA47" s="20"/>
      <c r="AB47" s="2" t="s">
        <v>52</v>
      </c>
    </row>
    <row r="48" spans="1:28" ht="30" customHeight="1" x14ac:dyDescent="0.3">
      <c r="A48" s="9" t="s">
        <v>1223</v>
      </c>
      <c r="B48" s="9" t="s">
        <v>1222</v>
      </c>
      <c r="C48" s="9" t="s">
        <v>283</v>
      </c>
      <c r="D48" s="18" t="s">
        <v>82</v>
      </c>
      <c r="E48" s="19"/>
      <c r="F48" s="9"/>
      <c r="G48" s="19"/>
      <c r="H48" s="9"/>
      <c r="I48" s="19"/>
      <c r="J48" s="9"/>
      <c r="K48" s="19"/>
      <c r="L48" s="9"/>
      <c r="M48" s="19"/>
      <c r="N48" s="9"/>
      <c r="O48" s="19"/>
      <c r="P48" s="19"/>
      <c r="Q48" s="19"/>
      <c r="R48" s="19"/>
      <c r="S48" s="19"/>
      <c r="T48" s="19"/>
      <c r="U48" s="19"/>
      <c r="V48" s="19"/>
      <c r="W48" s="9" t="s">
        <v>2384</v>
      </c>
      <c r="X48" s="9" t="s">
        <v>52</v>
      </c>
      <c r="Y48" s="2" t="s">
        <v>52</v>
      </c>
      <c r="Z48" s="2" t="s">
        <v>52</v>
      </c>
      <c r="AA48" s="20"/>
      <c r="AB48" s="2" t="s">
        <v>52</v>
      </c>
    </row>
    <row r="49" spans="1:28" ht="30" customHeight="1" x14ac:dyDescent="0.3">
      <c r="A49" s="9" t="s">
        <v>1232</v>
      </c>
      <c r="B49" s="9" t="s">
        <v>1231</v>
      </c>
      <c r="C49" s="9" t="s">
        <v>287</v>
      </c>
      <c r="D49" s="18" t="s">
        <v>82</v>
      </c>
      <c r="E49" s="19"/>
      <c r="F49" s="9"/>
      <c r="G49" s="19"/>
      <c r="H49" s="9"/>
      <c r="I49" s="19"/>
      <c r="J49" s="9"/>
      <c r="K49" s="19"/>
      <c r="L49" s="9"/>
      <c r="M49" s="19"/>
      <c r="N49" s="9"/>
      <c r="O49" s="19"/>
      <c r="P49" s="19"/>
      <c r="Q49" s="19"/>
      <c r="R49" s="19"/>
      <c r="S49" s="19"/>
      <c r="T49" s="19"/>
      <c r="U49" s="19"/>
      <c r="V49" s="19"/>
      <c r="W49" s="9" t="s">
        <v>2385</v>
      </c>
      <c r="X49" s="9" t="s">
        <v>52</v>
      </c>
      <c r="Y49" s="2" t="s">
        <v>52</v>
      </c>
      <c r="Z49" s="2" t="s">
        <v>52</v>
      </c>
      <c r="AA49" s="20"/>
      <c r="AB49" s="2" t="s">
        <v>52</v>
      </c>
    </row>
    <row r="50" spans="1:28" ht="30" customHeight="1" x14ac:dyDescent="0.3">
      <c r="A50" s="9" t="s">
        <v>1242</v>
      </c>
      <c r="B50" s="9" t="s">
        <v>1240</v>
      </c>
      <c r="C50" s="9" t="s">
        <v>1241</v>
      </c>
      <c r="D50" s="18" t="s">
        <v>68</v>
      </c>
      <c r="E50" s="19"/>
      <c r="F50" s="9"/>
      <c r="G50" s="19"/>
      <c r="H50" s="9"/>
      <c r="I50" s="19"/>
      <c r="J50" s="9"/>
      <c r="K50" s="19"/>
      <c r="L50" s="9"/>
      <c r="M50" s="19"/>
      <c r="N50" s="9"/>
      <c r="O50" s="19"/>
      <c r="P50" s="19"/>
      <c r="Q50" s="19"/>
      <c r="R50" s="19"/>
      <c r="S50" s="19"/>
      <c r="T50" s="19"/>
      <c r="U50" s="19"/>
      <c r="V50" s="19"/>
      <c r="W50" s="9" t="s">
        <v>2386</v>
      </c>
      <c r="X50" s="9" t="s">
        <v>52</v>
      </c>
      <c r="Y50" s="2" t="s">
        <v>52</v>
      </c>
      <c r="Z50" s="2" t="s">
        <v>52</v>
      </c>
      <c r="AA50" s="20"/>
      <c r="AB50" s="2" t="s">
        <v>52</v>
      </c>
    </row>
    <row r="51" spans="1:28" ht="30" customHeight="1" x14ac:dyDescent="0.3">
      <c r="A51" s="9" t="s">
        <v>1198</v>
      </c>
      <c r="B51" s="9" t="s">
        <v>1196</v>
      </c>
      <c r="C51" s="9" t="s">
        <v>1197</v>
      </c>
      <c r="D51" s="18" t="s">
        <v>82</v>
      </c>
      <c r="E51" s="19"/>
      <c r="F51" s="9"/>
      <c r="G51" s="19"/>
      <c r="H51" s="9"/>
      <c r="I51" s="19"/>
      <c r="J51" s="9"/>
      <c r="K51" s="19"/>
      <c r="L51" s="9"/>
      <c r="M51" s="19"/>
      <c r="N51" s="9"/>
      <c r="O51" s="19"/>
      <c r="P51" s="19"/>
      <c r="Q51" s="19"/>
      <c r="R51" s="19"/>
      <c r="S51" s="19"/>
      <c r="T51" s="19"/>
      <c r="U51" s="19"/>
      <c r="V51" s="19"/>
      <c r="W51" s="9" t="s">
        <v>2387</v>
      </c>
      <c r="X51" s="9" t="s">
        <v>52</v>
      </c>
      <c r="Y51" s="2" t="s">
        <v>52</v>
      </c>
      <c r="Z51" s="2" t="s">
        <v>52</v>
      </c>
      <c r="AA51" s="20"/>
      <c r="AB51" s="2" t="s">
        <v>52</v>
      </c>
    </row>
    <row r="52" spans="1:28" ht="30" customHeight="1" x14ac:dyDescent="0.3">
      <c r="A52" s="9" t="s">
        <v>234</v>
      </c>
      <c r="B52" s="9" t="s">
        <v>232</v>
      </c>
      <c r="C52" s="9" t="s">
        <v>233</v>
      </c>
      <c r="D52" s="18" t="s">
        <v>68</v>
      </c>
      <c r="E52" s="19"/>
      <c r="F52" s="9"/>
      <c r="G52" s="19"/>
      <c r="H52" s="9"/>
      <c r="I52" s="19"/>
      <c r="J52" s="9"/>
      <c r="K52" s="19"/>
      <c r="L52" s="9"/>
      <c r="M52" s="19"/>
      <c r="N52" s="9"/>
      <c r="O52" s="19"/>
      <c r="P52" s="19"/>
      <c r="Q52" s="19"/>
      <c r="R52" s="19"/>
      <c r="S52" s="19"/>
      <c r="T52" s="19"/>
      <c r="U52" s="19"/>
      <c r="V52" s="19"/>
      <c r="W52" s="9" t="s">
        <v>2388</v>
      </c>
      <c r="X52" s="9" t="s">
        <v>52</v>
      </c>
      <c r="Y52" s="2" t="s">
        <v>52</v>
      </c>
      <c r="Z52" s="2" t="s">
        <v>52</v>
      </c>
      <c r="AA52" s="20"/>
      <c r="AB52" s="2" t="s">
        <v>52</v>
      </c>
    </row>
    <row r="53" spans="1:28" ht="30" customHeight="1" x14ac:dyDescent="0.3">
      <c r="A53" s="9" t="s">
        <v>237</v>
      </c>
      <c r="B53" s="9" t="s">
        <v>232</v>
      </c>
      <c r="C53" s="9" t="s">
        <v>236</v>
      </c>
      <c r="D53" s="18" t="s">
        <v>68</v>
      </c>
      <c r="E53" s="19"/>
      <c r="F53" s="9"/>
      <c r="G53" s="19"/>
      <c r="H53" s="9"/>
      <c r="I53" s="19"/>
      <c r="J53" s="9"/>
      <c r="K53" s="19"/>
      <c r="L53" s="9"/>
      <c r="M53" s="19"/>
      <c r="N53" s="9"/>
      <c r="O53" s="19"/>
      <c r="P53" s="19"/>
      <c r="Q53" s="19"/>
      <c r="R53" s="19"/>
      <c r="S53" s="19"/>
      <c r="T53" s="19"/>
      <c r="U53" s="19"/>
      <c r="V53" s="19"/>
      <c r="W53" s="9" t="s">
        <v>2389</v>
      </c>
      <c r="X53" s="9" t="s">
        <v>52</v>
      </c>
      <c r="Y53" s="2" t="s">
        <v>52</v>
      </c>
      <c r="Z53" s="2" t="s">
        <v>52</v>
      </c>
      <c r="AA53" s="20"/>
      <c r="AB53" s="2" t="s">
        <v>52</v>
      </c>
    </row>
    <row r="54" spans="1:28" ht="30" customHeight="1" x14ac:dyDescent="0.3">
      <c r="A54" s="9" t="s">
        <v>266</v>
      </c>
      <c r="B54" s="9" t="s">
        <v>261</v>
      </c>
      <c r="C54" s="9" t="s">
        <v>265</v>
      </c>
      <c r="D54" s="18" t="s">
        <v>68</v>
      </c>
      <c r="E54" s="19"/>
      <c r="F54" s="9"/>
      <c r="G54" s="19"/>
      <c r="H54" s="9"/>
      <c r="I54" s="19"/>
      <c r="J54" s="9"/>
      <c r="K54" s="19"/>
      <c r="L54" s="9"/>
      <c r="M54" s="19"/>
      <c r="N54" s="9"/>
      <c r="O54" s="19"/>
      <c r="P54" s="19"/>
      <c r="Q54" s="19"/>
      <c r="R54" s="19"/>
      <c r="S54" s="19"/>
      <c r="T54" s="19"/>
      <c r="U54" s="19"/>
      <c r="V54" s="19"/>
      <c r="W54" s="9" t="s">
        <v>2390</v>
      </c>
      <c r="X54" s="9" t="s">
        <v>52</v>
      </c>
      <c r="Y54" s="2" t="s">
        <v>52</v>
      </c>
      <c r="Z54" s="2" t="s">
        <v>52</v>
      </c>
      <c r="AA54" s="20"/>
      <c r="AB54" s="2" t="s">
        <v>52</v>
      </c>
    </row>
    <row r="55" spans="1:28" ht="30" customHeight="1" x14ac:dyDescent="0.3">
      <c r="A55" s="9" t="s">
        <v>270</v>
      </c>
      <c r="B55" s="9" t="s">
        <v>268</v>
      </c>
      <c r="C55" s="9" t="s">
        <v>269</v>
      </c>
      <c r="D55" s="18" t="s">
        <v>68</v>
      </c>
      <c r="E55" s="19"/>
      <c r="F55" s="9"/>
      <c r="G55" s="19"/>
      <c r="H55" s="9"/>
      <c r="I55" s="19"/>
      <c r="J55" s="9"/>
      <c r="K55" s="19"/>
      <c r="L55" s="9"/>
      <c r="M55" s="19"/>
      <c r="N55" s="9"/>
      <c r="O55" s="19"/>
      <c r="P55" s="19"/>
      <c r="Q55" s="19"/>
      <c r="R55" s="19"/>
      <c r="S55" s="19"/>
      <c r="T55" s="19"/>
      <c r="U55" s="19"/>
      <c r="V55" s="19"/>
      <c r="W55" s="9" t="s">
        <v>2391</v>
      </c>
      <c r="X55" s="9" t="s">
        <v>52</v>
      </c>
      <c r="Y55" s="2" t="s">
        <v>52</v>
      </c>
      <c r="Z55" s="2" t="s">
        <v>52</v>
      </c>
      <c r="AA55" s="20"/>
      <c r="AB55" s="2" t="s">
        <v>52</v>
      </c>
    </row>
    <row r="56" spans="1:28" ht="30" customHeight="1" x14ac:dyDescent="0.3">
      <c r="A56" s="9" t="s">
        <v>263</v>
      </c>
      <c r="B56" s="9" t="s">
        <v>261</v>
      </c>
      <c r="C56" s="9" t="s">
        <v>262</v>
      </c>
      <c r="D56" s="18" t="s">
        <v>68</v>
      </c>
      <c r="E56" s="19"/>
      <c r="F56" s="9"/>
      <c r="G56" s="19"/>
      <c r="H56" s="9"/>
      <c r="I56" s="19"/>
      <c r="J56" s="9"/>
      <c r="K56" s="19"/>
      <c r="L56" s="9"/>
      <c r="M56" s="19"/>
      <c r="N56" s="9"/>
      <c r="O56" s="19"/>
      <c r="P56" s="19"/>
      <c r="Q56" s="19"/>
      <c r="R56" s="19"/>
      <c r="S56" s="19"/>
      <c r="T56" s="19"/>
      <c r="U56" s="19"/>
      <c r="V56" s="19"/>
      <c r="W56" s="9" t="s">
        <v>2392</v>
      </c>
      <c r="X56" s="9" t="s">
        <v>52</v>
      </c>
      <c r="Y56" s="2" t="s">
        <v>52</v>
      </c>
      <c r="Z56" s="2" t="s">
        <v>52</v>
      </c>
      <c r="AA56" s="20"/>
      <c r="AB56" s="2" t="s">
        <v>52</v>
      </c>
    </row>
    <row r="57" spans="1:28" ht="30" customHeight="1" x14ac:dyDescent="0.3">
      <c r="A57" s="9" t="s">
        <v>1310</v>
      </c>
      <c r="B57" s="9" t="s">
        <v>329</v>
      </c>
      <c r="C57" s="9" t="s">
        <v>1309</v>
      </c>
      <c r="D57" s="18" t="s">
        <v>82</v>
      </c>
      <c r="E57" s="19"/>
      <c r="F57" s="9"/>
      <c r="G57" s="19"/>
      <c r="H57" s="9"/>
      <c r="I57" s="19"/>
      <c r="J57" s="9"/>
      <c r="K57" s="19"/>
      <c r="L57" s="9"/>
      <c r="M57" s="19"/>
      <c r="N57" s="9"/>
      <c r="O57" s="19"/>
      <c r="P57" s="19"/>
      <c r="Q57" s="19"/>
      <c r="R57" s="19"/>
      <c r="S57" s="19"/>
      <c r="T57" s="19"/>
      <c r="U57" s="19"/>
      <c r="V57" s="19"/>
      <c r="W57" s="9" t="s">
        <v>2393</v>
      </c>
      <c r="X57" s="9" t="s">
        <v>52</v>
      </c>
      <c r="Y57" s="2" t="s">
        <v>52</v>
      </c>
      <c r="Z57" s="2" t="s">
        <v>52</v>
      </c>
      <c r="AA57" s="20"/>
      <c r="AB57" s="2" t="s">
        <v>52</v>
      </c>
    </row>
    <row r="58" spans="1:28" ht="30" customHeight="1" x14ac:dyDescent="0.3">
      <c r="A58" s="9" t="s">
        <v>331</v>
      </c>
      <c r="B58" s="9" t="s">
        <v>329</v>
      </c>
      <c r="C58" s="9" t="s">
        <v>330</v>
      </c>
      <c r="D58" s="18" t="s">
        <v>68</v>
      </c>
      <c r="E58" s="19"/>
      <c r="F58" s="9"/>
      <c r="G58" s="19"/>
      <c r="H58" s="9"/>
      <c r="I58" s="19"/>
      <c r="J58" s="9"/>
      <c r="K58" s="19"/>
      <c r="L58" s="9"/>
      <c r="M58" s="19"/>
      <c r="N58" s="9"/>
      <c r="O58" s="19"/>
      <c r="P58" s="19"/>
      <c r="Q58" s="19"/>
      <c r="R58" s="19"/>
      <c r="S58" s="19"/>
      <c r="T58" s="19"/>
      <c r="U58" s="19"/>
      <c r="V58" s="19"/>
      <c r="W58" s="9" t="s">
        <v>2394</v>
      </c>
      <c r="X58" s="9" t="s">
        <v>52</v>
      </c>
      <c r="Y58" s="2" t="s">
        <v>52</v>
      </c>
      <c r="Z58" s="2" t="s">
        <v>52</v>
      </c>
      <c r="AA58" s="20"/>
      <c r="AB58" s="2" t="s">
        <v>52</v>
      </c>
    </row>
    <row r="59" spans="1:28" ht="30" customHeight="1" x14ac:dyDescent="0.3">
      <c r="A59" s="9" t="s">
        <v>1337</v>
      </c>
      <c r="B59" s="9" t="s">
        <v>1335</v>
      </c>
      <c r="C59" s="9" t="s">
        <v>1336</v>
      </c>
      <c r="D59" s="18" t="s">
        <v>82</v>
      </c>
      <c r="E59" s="19"/>
      <c r="F59" s="9"/>
      <c r="G59" s="19"/>
      <c r="H59" s="9"/>
      <c r="I59" s="19"/>
      <c r="J59" s="9"/>
      <c r="K59" s="19"/>
      <c r="L59" s="9"/>
      <c r="M59" s="19"/>
      <c r="N59" s="9"/>
      <c r="O59" s="19"/>
      <c r="P59" s="19"/>
      <c r="Q59" s="19"/>
      <c r="R59" s="19"/>
      <c r="S59" s="19"/>
      <c r="T59" s="19"/>
      <c r="U59" s="19"/>
      <c r="V59" s="19"/>
      <c r="W59" s="9" t="s">
        <v>2395</v>
      </c>
      <c r="X59" s="9" t="s">
        <v>52</v>
      </c>
      <c r="Y59" s="2" t="s">
        <v>52</v>
      </c>
      <c r="Z59" s="2" t="s">
        <v>52</v>
      </c>
      <c r="AA59" s="20"/>
      <c r="AB59" s="2" t="s">
        <v>52</v>
      </c>
    </row>
    <row r="60" spans="1:28" ht="30" customHeight="1" x14ac:dyDescent="0.3">
      <c r="A60" s="9" t="s">
        <v>1360</v>
      </c>
      <c r="B60" s="9" t="s">
        <v>1335</v>
      </c>
      <c r="C60" s="9" t="s">
        <v>1359</v>
      </c>
      <c r="D60" s="18" t="s">
        <v>82</v>
      </c>
      <c r="E60" s="19"/>
      <c r="F60" s="9"/>
      <c r="G60" s="19"/>
      <c r="H60" s="9"/>
      <c r="I60" s="19"/>
      <c r="J60" s="9"/>
      <c r="K60" s="19"/>
      <c r="L60" s="9"/>
      <c r="M60" s="19"/>
      <c r="N60" s="9"/>
      <c r="O60" s="19"/>
      <c r="P60" s="19"/>
      <c r="Q60" s="19"/>
      <c r="R60" s="19"/>
      <c r="S60" s="19"/>
      <c r="T60" s="19"/>
      <c r="U60" s="19"/>
      <c r="V60" s="19"/>
      <c r="W60" s="9" t="s">
        <v>2396</v>
      </c>
      <c r="X60" s="9" t="s">
        <v>52</v>
      </c>
      <c r="Y60" s="2" t="s">
        <v>52</v>
      </c>
      <c r="Z60" s="2" t="s">
        <v>52</v>
      </c>
      <c r="AA60" s="20"/>
      <c r="AB60" s="2" t="s">
        <v>52</v>
      </c>
    </row>
    <row r="61" spans="1:28" ht="30" customHeight="1" x14ac:dyDescent="0.3">
      <c r="A61" s="9" t="s">
        <v>1341</v>
      </c>
      <c r="B61" s="9" t="s">
        <v>1339</v>
      </c>
      <c r="C61" s="9" t="s">
        <v>1340</v>
      </c>
      <c r="D61" s="18" t="s">
        <v>82</v>
      </c>
      <c r="E61" s="19"/>
      <c r="F61" s="9"/>
      <c r="G61" s="19"/>
      <c r="H61" s="9"/>
      <c r="I61" s="19"/>
      <c r="J61" s="9"/>
      <c r="K61" s="19"/>
      <c r="L61" s="9"/>
      <c r="M61" s="19"/>
      <c r="N61" s="9"/>
      <c r="O61" s="19"/>
      <c r="P61" s="19"/>
      <c r="Q61" s="19"/>
      <c r="R61" s="19"/>
      <c r="S61" s="19"/>
      <c r="T61" s="19"/>
      <c r="U61" s="19"/>
      <c r="V61" s="19"/>
      <c r="W61" s="9" t="s">
        <v>2397</v>
      </c>
      <c r="X61" s="9" t="s">
        <v>52</v>
      </c>
      <c r="Y61" s="2" t="s">
        <v>52</v>
      </c>
      <c r="Z61" s="2" t="s">
        <v>52</v>
      </c>
      <c r="AA61" s="20"/>
      <c r="AB61" s="2" t="s">
        <v>52</v>
      </c>
    </row>
    <row r="62" spans="1:28" ht="30" customHeight="1" x14ac:dyDescent="0.3">
      <c r="A62" s="9" t="s">
        <v>1363</v>
      </c>
      <c r="B62" s="9" t="s">
        <v>1339</v>
      </c>
      <c r="C62" s="9" t="s">
        <v>1362</v>
      </c>
      <c r="D62" s="18" t="s">
        <v>82</v>
      </c>
      <c r="E62" s="19"/>
      <c r="F62" s="9"/>
      <c r="G62" s="19"/>
      <c r="H62" s="9"/>
      <c r="I62" s="19"/>
      <c r="J62" s="9"/>
      <c r="K62" s="19"/>
      <c r="L62" s="9"/>
      <c r="M62" s="19"/>
      <c r="N62" s="9"/>
      <c r="O62" s="19"/>
      <c r="P62" s="19"/>
      <c r="Q62" s="19"/>
      <c r="R62" s="19"/>
      <c r="S62" s="19"/>
      <c r="T62" s="19"/>
      <c r="U62" s="19"/>
      <c r="V62" s="19"/>
      <c r="W62" s="9" t="s">
        <v>2398</v>
      </c>
      <c r="X62" s="9" t="s">
        <v>52</v>
      </c>
      <c r="Y62" s="2" t="s">
        <v>52</v>
      </c>
      <c r="Z62" s="2" t="s">
        <v>52</v>
      </c>
      <c r="AA62" s="20"/>
      <c r="AB62" s="2" t="s">
        <v>52</v>
      </c>
    </row>
    <row r="63" spans="1:28" ht="30" customHeight="1" x14ac:dyDescent="0.3">
      <c r="A63" s="9" t="s">
        <v>1345</v>
      </c>
      <c r="B63" s="9" t="s">
        <v>1343</v>
      </c>
      <c r="C63" s="9" t="s">
        <v>1344</v>
      </c>
      <c r="D63" s="18" t="s">
        <v>320</v>
      </c>
      <c r="E63" s="19"/>
      <c r="F63" s="9"/>
      <c r="G63" s="19"/>
      <c r="H63" s="9"/>
      <c r="I63" s="19"/>
      <c r="J63" s="9"/>
      <c r="K63" s="19"/>
      <c r="L63" s="9"/>
      <c r="M63" s="19"/>
      <c r="N63" s="9"/>
      <c r="O63" s="19"/>
      <c r="P63" s="19"/>
      <c r="Q63" s="19"/>
      <c r="R63" s="19"/>
      <c r="S63" s="19"/>
      <c r="T63" s="19"/>
      <c r="U63" s="19"/>
      <c r="V63" s="19"/>
      <c r="W63" s="9" t="s">
        <v>2399</v>
      </c>
      <c r="X63" s="9" t="s">
        <v>52</v>
      </c>
      <c r="Y63" s="2" t="s">
        <v>52</v>
      </c>
      <c r="Z63" s="2" t="s">
        <v>52</v>
      </c>
      <c r="AA63" s="20"/>
      <c r="AB63" s="2" t="s">
        <v>52</v>
      </c>
    </row>
    <row r="64" spans="1:28" ht="30" customHeight="1" x14ac:dyDescent="0.3">
      <c r="A64" s="9" t="s">
        <v>1348</v>
      </c>
      <c r="B64" s="9" t="s">
        <v>1347</v>
      </c>
      <c r="C64" s="9" t="s">
        <v>52</v>
      </c>
      <c r="D64" s="18" t="s">
        <v>320</v>
      </c>
      <c r="E64" s="19"/>
      <c r="F64" s="9"/>
      <c r="G64" s="19"/>
      <c r="H64" s="9"/>
      <c r="I64" s="19"/>
      <c r="J64" s="9"/>
      <c r="K64" s="19"/>
      <c r="L64" s="9"/>
      <c r="M64" s="19"/>
      <c r="N64" s="9"/>
      <c r="O64" s="19"/>
      <c r="P64" s="19"/>
      <c r="Q64" s="19"/>
      <c r="R64" s="19"/>
      <c r="S64" s="19"/>
      <c r="T64" s="19"/>
      <c r="U64" s="19"/>
      <c r="V64" s="19"/>
      <c r="W64" s="9" t="s">
        <v>2400</v>
      </c>
      <c r="X64" s="9" t="s">
        <v>52</v>
      </c>
      <c r="Y64" s="2" t="s">
        <v>52</v>
      </c>
      <c r="Z64" s="2" t="s">
        <v>52</v>
      </c>
      <c r="AA64" s="20"/>
      <c r="AB64" s="2" t="s">
        <v>52</v>
      </c>
    </row>
    <row r="65" spans="1:28" ht="30" customHeight="1" x14ac:dyDescent="0.3">
      <c r="A65" s="9" t="s">
        <v>1320</v>
      </c>
      <c r="B65" s="9" t="s">
        <v>329</v>
      </c>
      <c r="C65" s="9" t="s">
        <v>1319</v>
      </c>
      <c r="D65" s="18" t="s">
        <v>82</v>
      </c>
      <c r="E65" s="19"/>
      <c r="F65" s="9"/>
      <c r="G65" s="19"/>
      <c r="H65" s="9"/>
      <c r="I65" s="19"/>
      <c r="J65" s="9"/>
      <c r="K65" s="19"/>
      <c r="L65" s="9"/>
      <c r="M65" s="19"/>
      <c r="N65" s="9"/>
      <c r="O65" s="19"/>
      <c r="P65" s="19"/>
      <c r="Q65" s="19"/>
      <c r="R65" s="19"/>
      <c r="S65" s="19"/>
      <c r="T65" s="19"/>
      <c r="U65" s="19"/>
      <c r="V65" s="19"/>
      <c r="W65" s="9" t="s">
        <v>2401</v>
      </c>
      <c r="X65" s="9" t="s">
        <v>52</v>
      </c>
      <c r="Y65" s="2" t="s">
        <v>52</v>
      </c>
      <c r="Z65" s="2" t="s">
        <v>52</v>
      </c>
      <c r="AA65" s="20"/>
      <c r="AB65" s="2" t="s">
        <v>52</v>
      </c>
    </row>
    <row r="66" spans="1:28" ht="30" customHeight="1" x14ac:dyDescent="0.3">
      <c r="A66" s="9" t="s">
        <v>1278</v>
      </c>
      <c r="B66" s="9" t="s">
        <v>1276</v>
      </c>
      <c r="C66" s="9" t="s">
        <v>1277</v>
      </c>
      <c r="D66" s="18" t="s">
        <v>320</v>
      </c>
      <c r="E66" s="19"/>
      <c r="F66" s="9"/>
      <c r="G66" s="19"/>
      <c r="H66" s="9"/>
      <c r="I66" s="19"/>
      <c r="J66" s="9"/>
      <c r="K66" s="19"/>
      <c r="L66" s="9"/>
      <c r="M66" s="19"/>
      <c r="N66" s="9"/>
      <c r="O66" s="19"/>
      <c r="P66" s="19"/>
      <c r="Q66" s="19"/>
      <c r="R66" s="19"/>
      <c r="S66" s="19"/>
      <c r="T66" s="19"/>
      <c r="U66" s="19"/>
      <c r="V66" s="19"/>
      <c r="W66" s="9" t="s">
        <v>2402</v>
      </c>
      <c r="X66" s="9" t="s">
        <v>52</v>
      </c>
      <c r="Y66" s="2" t="s">
        <v>52</v>
      </c>
      <c r="Z66" s="2" t="s">
        <v>52</v>
      </c>
      <c r="AA66" s="20"/>
      <c r="AB66" s="2" t="s">
        <v>52</v>
      </c>
    </row>
    <row r="67" spans="1:28" ht="30" customHeight="1" x14ac:dyDescent="0.3">
      <c r="A67" s="9" t="s">
        <v>1281</v>
      </c>
      <c r="B67" s="9" t="s">
        <v>1276</v>
      </c>
      <c r="C67" s="9" t="s">
        <v>1280</v>
      </c>
      <c r="D67" s="18" t="s">
        <v>320</v>
      </c>
      <c r="E67" s="19"/>
      <c r="F67" s="9"/>
      <c r="G67" s="19"/>
      <c r="H67" s="9"/>
      <c r="I67" s="19"/>
      <c r="J67" s="9"/>
      <c r="K67" s="19"/>
      <c r="L67" s="9"/>
      <c r="M67" s="19"/>
      <c r="N67" s="9"/>
      <c r="O67" s="19"/>
      <c r="P67" s="19"/>
      <c r="Q67" s="19"/>
      <c r="R67" s="19"/>
      <c r="S67" s="19"/>
      <c r="T67" s="19"/>
      <c r="U67" s="19"/>
      <c r="V67" s="19"/>
      <c r="W67" s="9" t="s">
        <v>2403</v>
      </c>
      <c r="X67" s="9" t="s">
        <v>52</v>
      </c>
      <c r="Y67" s="2" t="s">
        <v>52</v>
      </c>
      <c r="Z67" s="2" t="s">
        <v>52</v>
      </c>
      <c r="AA67" s="20"/>
      <c r="AB67" s="2" t="s">
        <v>52</v>
      </c>
    </row>
    <row r="68" spans="1:28" ht="30" customHeight="1" x14ac:dyDescent="0.3">
      <c r="A68" s="9" t="s">
        <v>1284</v>
      </c>
      <c r="B68" s="9" t="s">
        <v>1276</v>
      </c>
      <c r="C68" s="9" t="s">
        <v>1283</v>
      </c>
      <c r="D68" s="18" t="s">
        <v>320</v>
      </c>
      <c r="E68" s="19"/>
      <c r="F68" s="9"/>
      <c r="G68" s="19"/>
      <c r="H68" s="9"/>
      <c r="I68" s="19"/>
      <c r="J68" s="9"/>
      <c r="K68" s="19"/>
      <c r="L68" s="9"/>
      <c r="M68" s="19"/>
      <c r="N68" s="9"/>
      <c r="O68" s="19"/>
      <c r="P68" s="19"/>
      <c r="Q68" s="19"/>
      <c r="R68" s="19"/>
      <c r="S68" s="19"/>
      <c r="T68" s="19"/>
      <c r="U68" s="19"/>
      <c r="V68" s="19"/>
      <c r="W68" s="9" t="s">
        <v>2404</v>
      </c>
      <c r="X68" s="9" t="s">
        <v>52</v>
      </c>
      <c r="Y68" s="2" t="s">
        <v>52</v>
      </c>
      <c r="Z68" s="2" t="s">
        <v>52</v>
      </c>
      <c r="AA68" s="20"/>
      <c r="AB68" s="2" t="s">
        <v>52</v>
      </c>
    </row>
    <row r="69" spans="1:28" ht="30" customHeight="1" x14ac:dyDescent="0.3">
      <c r="A69" s="9" t="s">
        <v>1288</v>
      </c>
      <c r="B69" s="9" t="s">
        <v>1286</v>
      </c>
      <c r="C69" s="9" t="s">
        <v>1287</v>
      </c>
      <c r="D69" s="18" t="s">
        <v>320</v>
      </c>
      <c r="E69" s="19"/>
      <c r="F69" s="9"/>
      <c r="G69" s="19"/>
      <c r="H69" s="9"/>
      <c r="I69" s="19"/>
      <c r="J69" s="9"/>
      <c r="K69" s="19"/>
      <c r="L69" s="9"/>
      <c r="M69" s="19"/>
      <c r="N69" s="9"/>
      <c r="O69" s="19"/>
      <c r="P69" s="19"/>
      <c r="Q69" s="19"/>
      <c r="R69" s="19"/>
      <c r="S69" s="19"/>
      <c r="T69" s="19"/>
      <c r="U69" s="19"/>
      <c r="V69" s="19"/>
      <c r="W69" s="9" t="s">
        <v>2405</v>
      </c>
      <c r="X69" s="9" t="s">
        <v>52</v>
      </c>
      <c r="Y69" s="2" t="s">
        <v>52</v>
      </c>
      <c r="Z69" s="2" t="s">
        <v>52</v>
      </c>
      <c r="AA69" s="20"/>
      <c r="AB69" s="2" t="s">
        <v>52</v>
      </c>
    </row>
    <row r="70" spans="1:28" ht="30" customHeight="1" x14ac:dyDescent="0.3">
      <c r="A70" s="9" t="s">
        <v>1292</v>
      </c>
      <c r="B70" s="9" t="s">
        <v>1290</v>
      </c>
      <c r="C70" s="9" t="s">
        <v>1291</v>
      </c>
      <c r="D70" s="18" t="s">
        <v>320</v>
      </c>
      <c r="E70" s="19"/>
      <c r="F70" s="9"/>
      <c r="G70" s="19"/>
      <c r="H70" s="9"/>
      <c r="I70" s="19"/>
      <c r="J70" s="9"/>
      <c r="K70" s="19"/>
      <c r="L70" s="9"/>
      <c r="M70" s="19"/>
      <c r="N70" s="9"/>
      <c r="O70" s="19"/>
      <c r="P70" s="19"/>
      <c r="Q70" s="19"/>
      <c r="R70" s="19"/>
      <c r="S70" s="19"/>
      <c r="T70" s="19"/>
      <c r="U70" s="19"/>
      <c r="V70" s="19"/>
      <c r="W70" s="9" t="s">
        <v>2406</v>
      </c>
      <c r="X70" s="9" t="s">
        <v>52</v>
      </c>
      <c r="Y70" s="2" t="s">
        <v>52</v>
      </c>
      <c r="Z70" s="2" t="s">
        <v>52</v>
      </c>
      <c r="AA70" s="20"/>
      <c r="AB70" s="2" t="s">
        <v>52</v>
      </c>
    </row>
    <row r="71" spans="1:28" ht="30" customHeight="1" x14ac:dyDescent="0.3">
      <c r="A71" s="9" t="s">
        <v>244</v>
      </c>
      <c r="B71" s="9" t="s">
        <v>243</v>
      </c>
      <c r="C71" s="9" t="s">
        <v>240</v>
      </c>
      <c r="D71" s="18" t="s">
        <v>68</v>
      </c>
      <c r="E71" s="19"/>
      <c r="F71" s="9"/>
      <c r="G71" s="19"/>
      <c r="H71" s="9"/>
      <c r="I71" s="19"/>
      <c r="J71" s="9"/>
      <c r="K71" s="19"/>
      <c r="L71" s="9"/>
      <c r="M71" s="19"/>
      <c r="N71" s="9"/>
      <c r="O71" s="19"/>
      <c r="P71" s="19"/>
      <c r="Q71" s="19"/>
      <c r="R71" s="19"/>
      <c r="S71" s="19"/>
      <c r="T71" s="19"/>
      <c r="U71" s="19"/>
      <c r="V71" s="19"/>
      <c r="W71" s="9" t="s">
        <v>2407</v>
      </c>
      <c r="X71" s="9" t="s">
        <v>52</v>
      </c>
      <c r="Y71" s="2" t="s">
        <v>52</v>
      </c>
      <c r="Z71" s="2" t="s">
        <v>52</v>
      </c>
      <c r="AA71" s="20"/>
      <c r="AB71" s="2" t="s">
        <v>52</v>
      </c>
    </row>
    <row r="72" spans="1:28" ht="30" customHeight="1" x14ac:dyDescent="0.3">
      <c r="A72" s="9" t="s">
        <v>252</v>
      </c>
      <c r="B72" s="9" t="s">
        <v>250</v>
      </c>
      <c r="C72" s="9" t="s">
        <v>247</v>
      </c>
      <c r="D72" s="18" t="s">
        <v>68</v>
      </c>
      <c r="E72" s="19"/>
      <c r="F72" s="9"/>
      <c r="G72" s="19"/>
      <c r="H72" s="9"/>
      <c r="I72" s="19"/>
      <c r="J72" s="9"/>
      <c r="K72" s="19"/>
      <c r="L72" s="9"/>
      <c r="M72" s="19"/>
      <c r="N72" s="9"/>
      <c r="O72" s="19"/>
      <c r="P72" s="19"/>
      <c r="Q72" s="19"/>
      <c r="R72" s="19"/>
      <c r="S72" s="19"/>
      <c r="T72" s="19"/>
      <c r="U72" s="19"/>
      <c r="V72" s="19"/>
      <c r="W72" s="9" t="s">
        <v>2408</v>
      </c>
      <c r="X72" s="9" t="s">
        <v>251</v>
      </c>
      <c r="Y72" s="2" t="s">
        <v>52</v>
      </c>
      <c r="Z72" s="2" t="s">
        <v>52</v>
      </c>
      <c r="AA72" s="20"/>
      <c r="AB72" s="2" t="s">
        <v>52</v>
      </c>
    </row>
    <row r="73" spans="1:28" ht="30" customHeight="1" x14ac:dyDescent="0.3">
      <c r="A73" s="9" t="s">
        <v>1269</v>
      </c>
      <c r="B73" s="9" t="s">
        <v>250</v>
      </c>
      <c r="C73" s="9" t="s">
        <v>1268</v>
      </c>
      <c r="D73" s="18" t="s">
        <v>68</v>
      </c>
      <c r="E73" s="19"/>
      <c r="F73" s="9"/>
      <c r="G73" s="19"/>
      <c r="H73" s="9"/>
      <c r="I73" s="19"/>
      <c r="J73" s="9"/>
      <c r="K73" s="19"/>
      <c r="L73" s="9"/>
      <c r="M73" s="19"/>
      <c r="N73" s="9"/>
      <c r="O73" s="19"/>
      <c r="P73" s="19"/>
      <c r="Q73" s="19"/>
      <c r="R73" s="19"/>
      <c r="S73" s="19"/>
      <c r="T73" s="19"/>
      <c r="U73" s="19"/>
      <c r="V73" s="19"/>
      <c r="W73" s="9" t="s">
        <v>2409</v>
      </c>
      <c r="X73" s="9" t="s">
        <v>52</v>
      </c>
      <c r="Y73" s="2" t="s">
        <v>52</v>
      </c>
      <c r="Z73" s="2" t="s">
        <v>52</v>
      </c>
      <c r="AA73" s="20"/>
      <c r="AB73" s="2" t="s">
        <v>52</v>
      </c>
    </row>
    <row r="74" spans="1:28" ht="30" customHeight="1" x14ac:dyDescent="0.3">
      <c r="A74" s="9" t="s">
        <v>621</v>
      </c>
      <c r="B74" s="9" t="s">
        <v>619</v>
      </c>
      <c r="C74" s="9" t="s">
        <v>620</v>
      </c>
      <c r="D74" s="18" t="s">
        <v>427</v>
      </c>
      <c r="E74" s="19"/>
      <c r="F74" s="9"/>
      <c r="G74" s="19"/>
      <c r="H74" s="9"/>
      <c r="I74" s="19"/>
      <c r="J74" s="9"/>
      <c r="K74" s="19"/>
      <c r="L74" s="9"/>
      <c r="M74" s="19"/>
      <c r="N74" s="9"/>
      <c r="O74" s="19"/>
      <c r="P74" s="19"/>
      <c r="Q74" s="19"/>
      <c r="R74" s="19"/>
      <c r="S74" s="19"/>
      <c r="T74" s="19"/>
      <c r="U74" s="19"/>
      <c r="V74" s="19"/>
      <c r="W74" s="9" t="s">
        <v>2410</v>
      </c>
      <c r="X74" s="9" t="s">
        <v>52</v>
      </c>
      <c r="Y74" s="2" t="s">
        <v>52</v>
      </c>
      <c r="Z74" s="2" t="s">
        <v>52</v>
      </c>
      <c r="AA74" s="20"/>
      <c r="AB74" s="2" t="s">
        <v>52</v>
      </c>
    </row>
    <row r="75" spans="1:28" ht="30" customHeight="1" x14ac:dyDescent="0.3">
      <c r="A75" s="9" t="s">
        <v>1500</v>
      </c>
      <c r="B75" s="9" t="s">
        <v>1498</v>
      </c>
      <c r="C75" s="9" t="s">
        <v>1499</v>
      </c>
      <c r="D75" s="18" t="s">
        <v>410</v>
      </c>
      <c r="E75" s="19"/>
      <c r="F75" s="9"/>
      <c r="G75" s="19"/>
      <c r="H75" s="9"/>
      <c r="I75" s="19"/>
      <c r="J75" s="9"/>
      <c r="K75" s="19"/>
      <c r="L75" s="9"/>
      <c r="M75" s="19"/>
      <c r="N75" s="9"/>
      <c r="O75" s="19"/>
      <c r="P75" s="19"/>
      <c r="Q75" s="19"/>
      <c r="R75" s="19"/>
      <c r="S75" s="19"/>
      <c r="T75" s="19"/>
      <c r="U75" s="19"/>
      <c r="V75" s="19"/>
      <c r="W75" s="9" t="s">
        <v>2411</v>
      </c>
      <c r="X75" s="9" t="s">
        <v>52</v>
      </c>
      <c r="Y75" s="2" t="s">
        <v>52</v>
      </c>
      <c r="Z75" s="2" t="s">
        <v>52</v>
      </c>
      <c r="AA75" s="20"/>
      <c r="AB75" s="2" t="s">
        <v>52</v>
      </c>
    </row>
    <row r="76" spans="1:28" ht="30" customHeight="1" x14ac:dyDescent="0.3">
      <c r="A76" s="9" t="s">
        <v>1511</v>
      </c>
      <c r="B76" s="9" t="s">
        <v>1509</v>
      </c>
      <c r="C76" s="9" t="s">
        <v>1510</v>
      </c>
      <c r="D76" s="18" t="s">
        <v>410</v>
      </c>
      <c r="E76" s="19"/>
      <c r="F76" s="9"/>
      <c r="G76" s="19"/>
      <c r="H76" s="9"/>
      <c r="I76" s="19"/>
      <c r="J76" s="9"/>
      <c r="K76" s="19"/>
      <c r="L76" s="9"/>
      <c r="M76" s="19"/>
      <c r="N76" s="9"/>
      <c r="O76" s="19"/>
      <c r="P76" s="19"/>
      <c r="Q76" s="19"/>
      <c r="R76" s="19"/>
      <c r="S76" s="19"/>
      <c r="T76" s="19"/>
      <c r="U76" s="19"/>
      <c r="V76" s="19"/>
      <c r="W76" s="9" t="s">
        <v>2412</v>
      </c>
      <c r="X76" s="9" t="s">
        <v>52</v>
      </c>
      <c r="Y76" s="2" t="s">
        <v>52</v>
      </c>
      <c r="Z76" s="2" t="s">
        <v>52</v>
      </c>
      <c r="AA76" s="20"/>
      <c r="AB76" s="2" t="s">
        <v>52</v>
      </c>
    </row>
    <row r="77" spans="1:28" ht="30" customHeight="1" x14ac:dyDescent="0.3">
      <c r="A77" s="9" t="s">
        <v>1477</v>
      </c>
      <c r="B77" s="9" t="s">
        <v>1475</v>
      </c>
      <c r="C77" s="9" t="s">
        <v>1476</v>
      </c>
      <c r="D77" s="18" t="s">
        <v>410</v>
      </c>
      <c r="E77" s="19"/>
      <c r="F77" s="9"/>
      <c r="G77" s="19"/>
      <c r="H77" s="9"/>
      <c r="I77" s="19"/>
      <c r="J77" s="9"/>
      <c r="K77" s="19"/>
      <c r="L77" s="9"/>
      <c r="M77" s="19"/>
      <c r="N77" s="9"/>
      <c r="O77" s="19"/>
      <c r="P77" s="19"/>
      <c r="Q77" s="19"/>
      <c r="R77" s="19"/>
      <c r="S77" s="19"/>
      <c r="T77" s="19"/>
      <c r="U77" s="19"/>
      <c r="V77" s="19"/>
      <c r="W77" s="9" t="s">
        <v>2413</v>
      </c>
      <c r="X77" s="9" t="s">
        <v>52</v>
      </c>
      <c r="Y77" s="2" t="s">
        <v>52</v>
      </c>
      <c r="Z77" s="2" t="s">
        <v>52</v>
      </c>
      <c r="AA77" s="20"/>
      <c r="AB77" s="2" t="s">
        <v>52</v>
      </c>
    </row>
    <row r="78" spans="1:28" ht="30" customHeight="1" x14ac:dyDescent="0.3">
      <c r="A78" s="9" t="s">
        <v>1526</v>
      </c>
      <c r="B78" s="9" t="s">
        <v>1509</v>
      </c>
      <c r="C78" s="9" t="s">
        <v>1525</v>
      </c>
      <c r="D78" s="18" t="s">
        <v>410</v>
      </c>
      <c r="E78" s="19"/>
      <c r="F78" s="9"/>
      <c r="G78" s="19"/>
      <c r="H78" s="9"/>
      <c r="I78" s="19"/>
      <c r="J78" s="9"/>
      <c r="K78" s="19"/>
      <c r="L78" s="9"/>
      <c r="M78" s="19"/>
      <c r="N78" s="9"/>
      <c r="O78" s="19"/>
      <c r="P78" s="19"/>
      <c r="Q78" s="19"/>
      <c r="R78" s="19"/>
      <c r="S78" s="19"/>
      <c r="T78" s="19"/>
      <c r="U78" s="19"/>
      <c r="V78" s="19"/>
      <c r="W78" s="9" t="s">
        <v>2414</v>
      </c>
      <c r="X78" s="9" t="s">
        <v>52</v>
      </c>
      <c r="Y78" s="2" t="s">
        <v>52</v>
      </c>
      <c r="Z78" s="2" t="s">
        <v>52</v>
      </c>
      <c r="AA78" s="20"/>
      <c r="AB78" s="2" t="s">
        <v>52</v>
      </c>
    </row>
    <row r="79" spans="1:28" ht="30" customHeight="1" x14ac:dyDescent="0.3">
      <c r="A79" s="9" t="s">
        <v>1466</v>
      </c>
      <c r="B79" s="9" t="s">
        <v>1463</v>
      </c>
      <c r="C79" s="9" t="s">
        <v>1464</v>
      </c>
      <c r="D79" s="18" t="s">
        <v>427</v>
      </c>
      <c r="E79" s="19"/>
      <c r="F79" s="9"/>
      <c r="G79" s="19"/>
      <c r="H79" s="9"/>
      <c r="I79" s="19"/>
      <c r="J79" s="9"/>
      <c r="K79" s="19"/>
      <c r="L79" s="9"/>
      <c r="M79" s="19"/>
      <c r="N79" s="9"/>
      <c r="O79" s="19"/>
      <c r="P79" s="19"/>
      <c r="Q79" s="19"/>
      <c r="R79" s="19"/>
      <c r="S79" s="19"/>
      <c r="T79" s="19"/>
      <c r="U79" s="19"/>
      <c r="V79" s="19"/>
      <c r="W79" s="9" t="s">
        <v>2415</v>
      </c>
      <c r="X79" s="9" t="s">
        <v>1465</v>
      </c>
      <c r="Y79" s="2" t="s">
        <v>52</v>
      </c>
      <c r="Z79" s="2" t="s">
        <v>52</v>
      </c>
      <c r="AA79" s="20"/>
      <c r="AB79" s="2" t="s">
        <v>52</v>
      </c>
    </row>
    <row r="80" spans="1:28" ht="30" customHeight="1" x14ac:dyDescent="0.3">
      <c r="A80" s="9" t="s">
        <v>1414</v>
      </c>
      <c r="B80" s="9" t="s">
        <v>1412</v>
      </c>
      <c r="C80" s="9" t="s">
        <v>1413</v>
      </c>
      <c r="D80" s="18" t="s">
        <v>768</v>
      </c>
      <c r="E80" s="19"/>
      <c r="F80" s="9"/>
      <c r="G80" s="19"/>
      <c r="H80" s="9"/>
      <c r="I80" s="19"/>
      <c r="J80" s="9"/>
      <c r="K80" s="19"/>
      <c r="L80" s="9"/>
      <c r="M80" s="19"/>
      <c r="N80" s="9"/>
      <c r="O80" s="19"/>
      <c r="P80" s="19"/>
      <c r="Q80" s="19"/>
      <c r="R80" s="19"/>
      <c r="S80" s="19"/>
      <c r="T80" s="19"/>
      <c r="U80" s="19"/>
      <c r="V80" s="19"/>
      <c r="W80" s="9" t="s">
        <v>2416</v>
      </c>
      <c r="X80" s="9" t="s">
        <v>1445</v>
      </c>
      <c r="Y80" s="2" t="s">
        <v>52</v>
      </c>
      <c r="Z80" s="2" t="s">
        <v>52</v>
      </c>
      <c r="AA80" s="20"/>
      <c r="AB80" s="2" t="s">
        <v>52</v>
      </c>
    </row>
    <row r="81" spans="1:28" ht="30" customHeight="1" x14ac:dyDescent="0.3">
      <c r="A81" s="9" t="s">
        <v>1446</v>
      </c>
      <c r="B81" s="9" t="s">
        <v>1412</v>
      </c>
      <c r="C81" s="9" t="s">
        <v>1444</v>
      </c>
      <c r="D81" s="18" t="s">
        <v>768</v>
      </c>
      <c r="E81" s="19"/>
      <c r="F81" s="9"/>
      <c r="G81" s="19"/>
      <c r="H81" s="9"/>
      <c r="I81" s="19"/>
      <c r="J81" s="9"/>
      <c r="K81" s="19"/>
      <c r="L81" s="9"/>
      <c r="M81" s="19"/>
      <c r="N81" s="9"/>
      <c r="O81" s="19"/>
      <c r="P81" s="19"/>
      <c r="Q81" s="19"/>
      <c r="R81" s="19"/>
      <c r="S81" s="19"/>
      <c r="T81" s="19"/>
      <c r="U81" s="19"/>
      <c r="V81" s="19"/>
      <c r="W81" s="9" t="s">
        <v>2417</v>
      </c>
      <c r="X81" s="9" t="s">
        <v>1445</v>
      </c>
      <c r="Y81" s="2" t="s">
        <v>52</v>
      </c>
      <c r="Z81" s="2" t="s">
        <v>52</v>
      </c>
      <c r="AA81" s="20"/>
      <c r="AB81" s="2" t="s">
        <v>52</v>
      </c>
    </row>
    <row r="82" spans="1:28" ht="30" customHeight="1" x14ac:dyDescent="0.3">
      <c r="A82" s="9" t="s">
        <v>1102</v>
      </c>
      <c r="B82" s="9" t="s">
        <v>1101</v>
      </c>
      <c r="C82" s="9" t="s">
        <v>200</v>
      </c>
      <c r="D82" s="18" t="s">
        <v>68</v>
      </c>
      <c r="E82" s="19"/>
      <c r="F82" s="9"/>
      <c r="G82" s="19"/>
      <c r="H82" s="9"/>
      <c r="I82" s="19"/>
      <c r="J82" s="9"/>
      <c r="K82" s="19"/>
      <c r="L82" s="9"/>
      <c r="M82" s="19"/>
      <c r="N82" s="9"/>
      <c r="O82" s="19"/>
      <c r="P82" s="19"/>
      <c r="Q82" s="19"/>
      <c r="R82" s="19"/>
      <c r="S82" s="19"/>
      <c r="T82" s="19"/>
      <c r="U82" s="19"/>
      <c r="V82" s="19"/>
      <c r="W82" s="9" t="s">
        <v>2418</v>
      </c>
      <c r="X82" s="9" t="s">
        <v>52</v>
      </c>
      <c r="Y82" s="2" t="s">
        <v>52</v>
      </c>
      <c r="Z82" s="2" t="s">
        <v>52</v>
      </c>
      <c r="AA82" s="20"/>
      <c r="AB82" s="2" t="s">
        <v>52</v>
      </c>
    </row>
    <row r="83" spans="1:28" ht="30" customHeight="1" x14ac:dyDescent="0.3">
      <c r="A83" s="9" t="s">
        <v>1596</v>
      </c>
      <c r="B83" s="9" t="s">
        <v>1594</v>
      </c>
      <c r="C83" s="9" t="s">
        <v>1595</v>
      </c>
      <c r="D83" s="18" t="s">
        <v>73</v>
      </c>
      <c r="E83" s="19"/>
      <c r="F83" s="9"/>
      <c r="G83" s="19"/>
      <c r="H83" s="9"/>
      <c r="I83" s="19"/>
      <c r="J83" s="9"/>
      <c r="K83" s="19"/>
      <c r="L83" s="9"/>
      <c r="M83" s="19"/>
      <c r="N83" s="9"/>
      <c r="O83" s="19"/>
      <c r="P83" s="19"/>
      <c r="Q83" s="19"/>
      <c r="R83" s="19"/>
      <c r="S83" s="19"/>
      <c r="T83" s="19"/>
      <c r="U83" s="19"/>
      <c r="V83" s="19"/>
      <c r="W83" s="9" t="s">
        <v>2419</v>
      </c>
      <c r="X83" s="9" t="s">
        <v>52</v>
      </c>
      <c r="Y83" s="2" t="s">
        <v>52</v>
      </c>
      <c r="Z83" s="2" t="s">
        <v>52</v>
      </c>
      <c r="AA83" s="20"/>
      <c r="AB83" s="2" t="s">
        <v>52</v>
      </c>
    </row>
    <row r="84" spans="1:28" ht="30" customHeight="1" x14ac:dyDescent="0.3">
      <c r="A84" s="9" t="s">
        <v>1606</v>
      </c>
      <c r="B84" s="9" t="s">
        <v>1604</v>
      </c>
      <c r="C84" s="9" t="s">
        <v>1605</v>
      </c>
      <c r="D84" s="18" t="s">
        <v>410</v>
      </c>
      <c r="E84" s="19"/>
      <c r="F84" s="9"/>
      <c r="G84" s="19"/>
      <c r="H84" s="9"/>
      <c r="I84" s="19"/>
      <c r="J84" s="9"/>
      <c r="K84" s="19"/>
      <c r="L84" s="9"/>
      <c r="M84" s="19"/>
      <c r="N84" s="9"/>
      <c r="O84" s="19"/>
      <c r="P84" s="19"/>
      <c r="Q84" s="19"/>
      <c r="R84" s="19"/>
      <c r="S84" s="19"/>
      <c r="T84" s="19"/>
      <c r="U84" s="19"/>
      <c r="V84" s="19"/>
      <c r="W84" s="9" t="s">
        <v>2420</v>
      </c>
      <c r="X84" s="9" t="s">
        <v>52</v>
      </c>
      <c r="Y84" s="2" t="s">
        <v>52</v>
      </c>
      <c r="Z84" s="2" t="s">
        <v>52</v>
      </c>
      <c r="AA84" s="20"/>
      <c r="AB84" s="2" t="s">
        <v>52</v>
      </c>
    </row>
    <row r="85" spans="1:28" ht="30" customHeight="1" x14ac:dyDescent="0.3">
      <c r="A85" s="9" t="s">
        <v>1614</v>
      </c>
      <c r="B85" s="9" t="s">
        <v>1612</v>
      </c>
      <c r="C85" s="9" t="s">
        <v>1613</v>
      </c>
      <c r="D85" s="18" t="s">
        <v>410</v>
      </c>
      <c r="E85" s="19"/>
      <c r="F85" s="9"/>
      <c r="G85" s="19"/>
      <c r="H85" s="9"/>
      <c r="I85" s="19"/>
      <c r="J85" s="9"/>
      <c r="K85" s="19"/>
      <c r="L85" s="9"/>
      <c r="M85" s="19"/>
      <c r="N85" s="9"/>
      <c r="O85" s="19"/>
      <c r="P85" s="19"/>
      <c r="Q85" s="19"/>
      <c r="R85" s="19"/>
      <c r="S85" s="19"/>
      <c r="T85" s="19"/>
      <c r="U85" s="19"/>
      <c r="V85" s="19"/>
      <c r="W85" s="9" t="s">
        <v>2421</v>
      </c>
      <c r="X85" s="9" t="s">
        <v>52</v>
      </c>
      <c r="Y85" s="2" t="s">
        <v>52</v>
      </c>
      <c r="Z85" s="2" t="s">
        <v>52</v>
      </c>
      <c r="AA85" s="20"/>
      <c r="AB85" s="2" t="s">
        <v>52</v>
      </c>
    </row>
    <row r="86" spans="1:28" ht="30" customHeight="1" x14ac:dyDescent="0.3">
      <c r="A86" s="9" t="s">
        <v>316</v>
      </c>
      <c r="B86" s="9" t="s">
        <v>313</v>
      </c>
      <c r="C86" s="9" t="s">
        <v>314</v>
      </c>
      <c r="D86" s="18" t="s">
        <v>68</v>
      </c>
      <c r="E86" s="19"/>
      <c r="F86" s="9"/>
      <c r="G86" s="19"/>
      <c r="H86" s="9"/>
      <c r="I86" s="19"/>
      <c r="J86" s="9"/>
      <c r="K86" s="19"/>
      <c r="L86" s="9"/>
      <c r="M86" s="19"/>
      <c r="N86" s="9"/>
      <c r="O86" s="19"/>
      <c r="P86" s="19"/>
      <c r="Q86" s="19"/>
      <c r="R86" s="19"/>
      <c r="S86" s="19"/>
      <c r="T86" s="19"/>
      <c r="U86" s="19"/>
      <c r="V86" s="19"/>
      <c r="W86" s="9" t="s">
        <v>2422</v>
      </c>
      <c r="X86" s="9" t="s">
        <v>315</v>
      </c>
      <c r="Y86" s="2" t="s">
        <v>52</v>
      </c>
      <c r="Z86" s="2" t="s">
        <v>52</v>
      </c>
      <c r="AA86" s="20"/>
      <c r="AB86" s="2" t="s">
        <v>52</v>
      </c>
    </row>
    <row r="87" spans="1:28" ht="30" customHeight="1" x14ac:dyDescent="0.3">
      <c r="A87" s="9" t="s">
        <v>321</v>
      </c>
      <c r="B87" s="9" t="s">
        <v>318</v>
      </c>
      <c r="C87" s="9" t="s">
        <v>319</v>
      </c>
      <c r="D87" s="18" t="s">
        <v>320</v>
      </c>
      <c r="E87" s="19"/>
      <c r="F87" s="9"/>
      <c r="G87" s="19"/>
      <c r="H87" s="9"/>
      <c r="I87" s="19"/>
      <c r="J87" s="9"/>
      <c r="K87" s="19"/>
      <c r="L87" s="9"/>
      <c r="M87" s="19"/>
      <c r="N87" s="9"/>
      <c r="O87" s="19"/>
      <c r="P87" s="19"/>
      <c r="Q87" s="19"/>
      <c r="R87" s="19"/>
      <c r="S87" s="19"/>
      <c r="T87" s="19"/>
      <c r="U87" s="19"/>
      <c r="V87" s="19"/>
      <c r="W87" s="9" t="s">
        <v>2423</v>
      </c>
      <c r="X87" s="9" t="s">
        <v>315</v>
      </c>
      <c r="Y87" s="2" t="s">
        <v>52</v>
      </c>
      <c r="Z87" s="2" t="s">
        <v>52</v>
      </c>
      <c r="AA87" s="20"/>
      <c r="AB87" s="2" t="s">
        <v>52</v>
      </c>
    </row>
    <row r="88" spans="1:28" ht="30" customHeight="1" x14ac:dyDescent="0.3">
      <c r="A88" s="9" t="s">
        <v>325</v>
      </c>
      <c r="B88" s="9" t="s">
        <v>323</v>
      </c>
      <c r="C88" s="9" t="s">
        <v>324</v>
      </c>
      <c r="D88" s="18" t="s">
        <v>68</v>
      </c>
      <c r="E88" s="19"/>
      <c r="F88" s="9"/>
      <c r="G88" s="19"/>
      <c r="H88" s="9"/>
      <c r="I88" s="19"/>
      <c r="J88" s="9"/>
      <c r="K88" s="19"/>
      <c r="L88" s="9"/>
      <c r="M88" s="19"/>
      <c r="N88" s="9"/>
      <c r="O88" s="19"/>
      <c r="P88" s="19"/>
      <c r="Q88" s="19"/>
      <c r="R88" s="19"/>
      <c r="S88" s="19"/>
      <c r="T88" s="19"/>
      <c r="U88" s="19"/>
      <c r="V88" s="19"/>
      <c r="W88" s="9" t="s">
        <v>2424</v>
      </c>
      <c r="X88" s="9" t="s">
        <v>315</v>
      </c>
      <c r="Y88" s="2" t="s">
        <v>52</v>
      </c>
      <c r="Z88" s="2" t="s">
        <v>52</v>
      </c>
      <c r="AA88" s="20"/>
      <c r="AB88" s="2" t="s">
        <v>52</v>
      </c>
    </row>
    <row r="89" spans="1:28" ht="30" customHeight="1" x14ac:dyDescent="0.3">
      <c r="A89" s="9" t="s">
        <v>1675</v>
      </c>
      <c r="B89" s="9" t="s">
        <v>1673</v>
      </c>
      <c r="C89" s="9" t="s">
        <v>1674</v>
      </c>
      <c r="D89" s="18" t="s">
        <v>427</v>
      </c>
      <c r="E89" s="19"/>
      <c r="F89" s="9"/>
      <c r="G89" s="19"/>
      <c r="H89" s="9"/>
      <c r="I89" s="19"/>
      <c r="J89" s="9"/>
      <c r="K89" s="19"/>
      <c r="L89" s="9"/>
      <c r="M89" s="19"/>
      <c r="N89" s="9"/>
      <c r="O89" s="19"/>
      <c r="P89" s="19"/>
      <c r="Q89" s="19"/>
      <c r="R89" s="19"/>
      <c r="S89" s="19"/>
      <c r="T89" s="19"/>
      <c r="U89" s="19"/>
      <c r="V89" s="19"/>
      <c r="W89" s="9" t="s">
        <v>2425</v>
      </c>
      <c r="X89" s="9" t="s">
        <v>52</v>
      </c>
      <c r="Y89" s="2" t="s">
        <v>52</v>
      </c>
      <c r="Z89" s="2" t="s">
        <v>52</v>
      </c>
      <c r="AA89" s="20"/>
      <c r="AB89" s="2" t="s">
        <v>52</v>
      </c>
    </row>
    <row r="90" spans="1:28" ht="30" customHeight="1" x14ac:dyDescent="0.3">
      <c r="A90" s="9" t="s">
        <v>1638</v>
      </c>
      <c r="B90" s="9" t="s">
        <v>1636</v>
      </c>
      <c r="C90" s="9" t="s">
        <v>1637</v>
      </c>
      <c r="D90" s="18" t="s">
        <v>427</v>
      </c>
      <c r="E90" s="19"/>
      <c r="F90" s="9"/>
      <c r="G90" s="19"/>
      <c r="H90" s="9"/>
      <c r="I90" s="19"/>
      <c r="J90" s="9"/>
      <c r="K90" s="19"/>
      <c r="L90" s="9"/>
      <c r="M90" s="19"/>
      <c r="N90" s="9"/>
      <c r="O90" s="19"/>
      <c r="P90" s="19"/>
      <c r="Q90" s="19"/>
      <c r="R90" s="19"/>
      <c r="S90" s="19"/>
      <c r="T90" s="19"/>
      <c r="U90" s="19"/>
      <c r="V90" s="19"/>
      <c r="W90" s="9" t="s">
        <v>2426</v>
      </c>
      <c r="X90" s="9" t="s">
        <v>52</v>
      </c>
      <c r="Y90" s="2" t="s">
        <v>52</v>
      </c>
      <c r="Z90" s="2" t="s">
        <v>52</v>
      </c>
      <c r="AA90" s="20"/>
      <c r="AB90" s="2" t="s">
        <v>52</v>
      </c>
    </row>
    <row r="91" spans="1:28" ht="30" customHeight="1" x14ac:dyDescent="0.3">
      <c r="A91" s="9" t="s">
        <v>1646</v>
      </c>
      <c r="B91" s="9" t="s">
        <v>1644</v>
      </c>
      <c r="C91" s="9" t="s">
        <v>1645</v>
      </c>
      <c r="D91" s="18" t="s">
        <v>427</v>
      </c>
      <c r="E91" s="19"/>
      <c r="F91" s="9"/>
      <c r="G91" s="19"/>
      <c r="H91" s="9"/>
      <c r="I91" s="19"/>
      <c r="J91" s="9"/>
      <c r="K91" s="19"/>
      <c r="L91" s="9"/>
      <c r="M91" s="19"/>
      <c r="N91" s="9"/>
      <c r="O91" s="19"/>
      <c r="P91" s="19"/>
      <c r="Q91" s="19"/>
      <c r="R91" s="19"/>
      <c r="S91" s="19"/>
      <c r="T91" s="19"/>
      <c r="U91" s="19"/>
      <c r="V91" s="19"/>
      <c r="W91" s="9" t="s">
        <v>2427</v>
      </c>
      <c r="X91" s="9" t="s">
        <v>52</v>
      </c>
      <c r="Y91" s="2" t="s">
        <v>52</v>
      </c>
      <c r="Z91" s="2" t="s">
        <v>52</v>
      </c>
      <c r="AA91" s="20"/>
      <c r="AB91" s="2" t="s">
        <v>52</v>
      </c>
    </row>
    <row r="92" spans="1:28" ht="30" customHeight="1" x14ac:dyDescent="0.3">
      <c r="A92" s="9" t="s">
        <v>1630</v>
      </c>
      <c r="B92" s="9" t="s">
        <v>1628</v>
      </c>
      <c r="C92" s="9" t="s">
        <v>1629</v>
      </c>
      <c r="D92" s="18" t="s">
        <v>427</v>
      </c>
      <c r="E92" s="19"/>
      <c r="F92" s="9"/>
      <c r="G92" s="19"/>
      <c r="H92" s="9"/>
      <c r="I92" s="19"/>
      <c r="J92" s="9"/>
      <c r="K92" s="19"/>
      <c r="L92" s="9"/>
      <c r="M92" s="19"/>
      <c r="N92" s="9"/>
      <c r="O92" s="19"/>
      <c r="P92" s="19"/>
      <c r="Q92" s="19"/>
      <c r="R92" s="19"/>
      <c r="S92" s="19"/>
      <c r="T92" s="19"/>
      <c r="U92" s="19"/>
      <c r="V92" s="19"/>
      <c r="W92" s="9" t="s">
        <v>2428</v>
      </c>
      <c r="X92" s="9" t="s">
        <v>52</v>
      </c>
      <c r="Y92" s="2" t="s">
        <v>52</v>
      </c>
      <c r="Z92" s="2" t="s">
        <v>52</v>
      </c>
      <c r="AA92" s="20"/>
      <c r="AB92" s="2" t="s">
        <v>52</v>
      </c>
    </row>
    <row r="93" spans="1:28" ht="30" customHeight="1" x14ac:dyDescent="0.3">
      <c r="A93" s="9" t="s">
        <v>1652</v>
      </c>
      <c r="B93" s="9" t="s">
        <v>438</v>
      </c>
      <c r="C93" s="9" t="s">
        <v>439</v>
      </c>
      <c r="D93" s="18" t="s">
        <v>427</v>
      </c>
      <c r="E93" s="19"/>
      <c r="F93" s="9"/>
      <c r="G93" s="19"/>
      <c r="H93" s="9"/>
      <c r="I93" s="19"/>
      <c r="J93" s="9"/>
      <c r="K93" s="19"/>
      <c r="L93" s="9"/>
      <c r="M93" s="19"/>
      <c r="N93" s="9"/>
      <c r="O93" s="19"/>
      <c r="P93" s="19"/>
      <c r="Q93" s="19"/>
      <c r="R93" s="19"/>
      <c r="S93" s="19"/>
      <c r="T93" s="19"/>
      <c r="U93" s="19"/>
      <c r="V93" s="19"/>
      <c r="W93" s="9" t="s">
        <v>2429</v>
      </c>
      <c r="X93" s="9" t="s">
        <v>52</v>
      </c>
      <c r="Y93" s="2" t="s">
        <v>52</v>
      </c>
      <c r="Z93" s="2" t="s">
        <v>52</v>
      </c>
      <c r="AA93" s="20"/>
      <c r="AB93" s="2" t="s">
        <v>52</v>
      </c>
    </row>
    <row r="94" spans="1:28" ht="30" customHeight="1" x14ac:dyDescent="0.3">
      <c r="A94" s="9" t="s">
        <v>1667</v>
      </c>
      <c r="B94" s="9" t="s">
        <v>438</v>
      </c>
      <c r="C94" s="9" t="s">
        <v>446</v>
      </c>
      <c r="D94" s="18" t="s">
        <v>427</v>
      </c>
      <c r="E94" s="19"/>
      <c r="F94" s="9"/>
      <c r="G94" s="19"/>
      <c r="H94" s="9"/>
      <c r="I94" s="19"/>
      <c r="J94" s="9"/>
      <c r="K94" s="19"/>
      <c r="L94" s="9"/>
      <c r="M94" s="19"/>
      <c r="N94" s="9"/>
      <c r="O94" s="19"/>
      <c r="P94" s="19"/>
      <c r="Q94" s="19"/>
      <c r="R94" s="19"/>
      <c r="S94" s="19"/>
      <c r="T94" s="19"/>
      <c r="U94" s="19"/>
      <c r="V94" s="19"/>
      <c r="W94" s="9" t="s">
        <v>2430</v>
      </c>
      <c r="X94" s="9" t="s">
        <v>52</v>
      </c>
      <c r="Y94" s="2" t="s">
        <v>52</v>
      </c>
      <c r="Z94" s="2" t="s">
        <v>52</v>
      </c>
      <c r="AA94" s="20"/>
      <c r="AB94" s="2" t="s">
        <v>52</v>
      </c>
    </row>
    <row r="95" spans="1:28" ht="30" customHeight="1" x14ac:dyDescent="0.3">
      <c r="A95" s="9" t="s">
        <v>1681</v>
      </c>
      <c r="B95" s="9" t="s">
        <v>1680</v>
      </c>
      <c r="C95" s="9" t="s">
        <v>454</v>
      </c>
      <c r="D95" s="18" t="s">
        <v>427</v>
      </c>
      <c r="E95" s="19"/>
      <c r="F95" s="9"/>
      <c r="G95" s="19"/>
      <c r="H95" s="9"/>
      <c r="I95" s="19"/>
      <c r="J95" s="9"/>
      <c r="K95" s="19"/>
      <c r="L95" s="9"/>
      <c r="M95" s="19"/>
      <c r="N95" s="9"/>
      <c r="O95" s="19"/>
      <c r="P95" s="19"/>
      <c r="Q95" s="19"/>
      <c r="R95" s="19"/>
      <c r="S95" s="19"/>
      <c r="T95" s="19"/>
      <c r="U95" s="19"/>
      <c r="V95" s="19"/>
      <c r="W95" s="9" t="s">
        <v>2431</v>
      </c>
      <c r="X95" s="9" t="s">
        <v>52</v>
      </c>
      <c r="Y95" s="2" t="s">
        <v>52</v>
      </c>
      <c r="Z95" s="2" t="s">
        <v>52</v>
      </c>
      <c r="AA95" s="20"/>
      <c r="AB95" s="2" t="s">
        <v>52</v>
      </c>
    </row>
    <row r="96" spans="1:28" ht="30" customHeight="1" x14ac:dyDescent="0.3">
      <c r="A96" s="9" t="s">
        <v>1622</v>
      </c>
      <c r="B96" s="9" t="s">
        <v>1620</v>
      </c>
      <c r="C96" s="9" t="s">
        <v>1621</v>
      </c>
      <c r="D96" s="18" t="s">
        <v>410</v>
      </c>
      <c r="E96" s="19"/>
      <c r="F96" s="9"/>
      <c r="G96" s="19"/>
      <c r="H96" s="9"/>
      <c r="I96" s="19"/>
      <c r="J96" s="9"/>
      <c r="K96" s="19"/>
      <c r="L96" s="9"/>
      <c r="M96" s="19"/>
      <c r="N96" s="9"/>
      <c r="O96" s="19"/>
      <c r="P96" s="19"/>
      <c r="Q96" s="19"/>
      <c r="R96" s="19"/>
      <c r="S96" s="19"/>
      <c r="T96" s="19"/>
      <c r="U96" s="19"/>
      <c r="V96" s="19"/>
      <c r="W96" s="9" t="s">
        <v>2432</v>
      </c>
      <c r="X96" s="9" t="s">
        <v>52</v>
      </c>
      <c r="Y96" s="2" t="s">
        <v>52</v>
      </c>
      <c r="Z96" s="2" t="s">
        <v>52</v>
      </c>
      <c r="AA96" s="20"/>
      <c r="AB96" s="2" t="s">
        <v>52</v>
      </c>
    </row>
    <row r="97" spans="1:28" ht="30" customHeight="1" x14ac:dyDescent="0.3">
      <c r="A97" s="9" t="s">
        <v>848</v>
      </c>
      <c r="B97" s="9" t="s">
        <v>828</v>
      </c>
      <c r="C97" s="9" t="s">
        <v>847</v>
      </c>
      <c r="D97" s="18" t="s">
        <v>427</v>
      </c>
      <c r="E97" s="19"/>
      <c r="F97" s="9"/>
      <c r="G97" s="19"/>
      <c r="H97" s="9"/>
      <c r="I97" s="19"/>
      <c r="J97" s="9"/>
      <c r="K97" s="19"/>
      <c r="L97" s="9"/>
      <c r="M97" s="19"/>
      <c r="N97" s="9"/>
      <c r="O97" s="19"/>
      <c r="P97" s="19"/>
      <c r="Q97" s="19"/>
      <c r="R97" s="19"/>
      <c r="S97" s="19"/>
      <c r="T97" s="19"/>
      <c r="U97" s="19"/>
      <c r="V97" s="19"/>
      <c r="W97" s="9" t="s">
        <v>2433</v>
      </c>
      <c r="X97" s="9" t="s">
        <v>52</v>
      </c>
      <c r="Y97" s="2" t="s">
        <v>52</v>
      </c>
      <c r="Z97" s="2" t="s">
        <v>52</v>
      </c>
      <c r="AA97" s="20"/>
      <c r="AB97" s="2" t="s">
        <v>52</v>
      </c>
    </row>
    <row r="98" spans="1:28" ht="30" customHeight="1" x14ac:dyDescent="0.3">
      <c r="A98" s="9" t="s">
        <v>830</v>
      </c>
      <c r="B98" s="9" t="s">
        <v>828</v>
      </c>
      <c r="C98" s="9" t="s">
        <v>829</v>
      </c>
      <c r="D98" s="18" t="s">
        <v>427</v>
      </c>
      <c r="E98" s="19"/>
      <c r="F98" s="9"/>
      <c r="G98" s="19"/>
      <c r="H98" s="9"/>
      <c r="I98" s="19"/>
      <c r="J98" s="9"/>
      <c r="K98" s="19"/>
      <c r="L98" s="9"/>
      <c r="M98" s="19"/>
      <c r="N98" s="9"/>
      <c r="O98" s="19"/>
      <c r="P98" s="19"/>
      <c r="Q98" s="19"/>
      <c r="R98" s="19"/>
      <c r="S98" s="19"/>
      <c r="T98" s="19"/>
      <c r="U98" s="19"/>
      <c r="V98" s="19"/>
      <c r="W98" s="9" t="s">
        <v>2434</v>
      </c>
      <c r="X98" s="9" t="s">
        <v>52</v>
      </c>
      <c r="Y98" s="2" t="s">
        <v>52</v>
      </c>
      <c r="Z98" s="2" t="s">
        <v>52</v>
      </c>
      <c r="AA98" s="20"/>
      <c r="AB98" s="2" t="s">
        <v>52</v>
      </c>
    </row>
    <row r="99" spans="1:28" ht="30" customHeight="1" x14ac:dyDescent="0.3">
      <c r="A99" s="9" t="s">
        <v>833</v>
      </c>
      <c r="B99" s="9" t="s">
        <v>828</v>
      </c>
      <c r="C99" s="9" t="s">
        <v>832</v>
      </c>
      <c r="D99" s="18" t="s">
        <v>427</v>
      </c>
      <c r="E99" s="19"/>
      <c r="F99" s="9"/>
      <c r="G99" s="19"/>
      <c r="H99" s="9"/>
      <c r="I99" s="19"/>
      <c r="J99" s="9"/>
      <c r="K99" s="19"/>
      <c r="L99" s="9"/>
      <c r="M99" s="19"/>
      <c r="N99" s="9"/>
      <c r="O99" s="19"/>
      <c r="P99" s="19"/>
      <c r="Q99" s="19"/>
      <c r="R99" s="19"/>
      <c r="S99" s="19"/>
      <c r="T99" s="19"/>
      <c r="U99" s="19"/>
      <c r="V99" s="19"/>
      <c r="W99" s="9" t="s">
        <v>2435</v>
      </c>
      <c r="X99" s="9" t="s">
        <v>52</v>
      </c>
      <c r="Y99" s="2" t="s">
        <v>52</v>
      </c>
      <c r="Z99" s="2" t="s">
        <v>52</v>
      </c>
      <c r="AA99" s="20"/>
      <c r="AB99" s="2" t="s">
        <v>52</v>
      </c>
    </row>
    <row r="100" spans="1:28" ht="30" customHeight="1" x14ac:dyDescent="0.3">
      <c r="A100" s="9" t="s">
        <v>836</v>
      </c>
      <c r="B100" s="9" t="s">
        <v>828</v>
      </c>
      <c r="C100" s="9" t="s">
        <v>835</v>
      </c>
      <c r="D100" s="18" t="s">
        <v>427</v>
      </c>
      <c r="E100" s="19"/>
      <c r="F100" s="9"/>
      <c r="G100" s="19"/>
      <c r="H100" s="9"/>
      <c r="I100" s="19"/>
      <c r="J100" s="9"/>
      <c r="K100" s="19"/>
      <c r="L100" s="9"/>
      <c r="M100" s="19"/>
      <c r="N100" s="9"/>
      <c r="O100" s="19"/>
      <c r="P100" s="19"/>
      <c r="Q100" s="19"/>
      <c r="R100" s="19"/>
      <c r="S100" s="19"/>
      <c r="T100" s="19"/>
      <c r="U100" s="19"/>
      <c r="V100" s="19"/>
      <c r="W100" s="9" t="s">
        <v>2436</v>
      </c>
      <c r="X100" s="9" t="s">
        <v>52</v>
      </c>
      <c r="Y100" s="2" t="s">
        <v>52</v>
      </c>
      <c r="Z100" s="2" t="s">
        <v>52</v>
      </c>
      <c r="AA100" s="20"/>
      <c r="AB100" s="2" t="s">
        <v>52</v>
      </c>
    </row>
    <row r="101" spans="1:28" ht="30" customHeight="1" x14ac:dyDescent="0.3">
      <c r="A101" s="9" t="s">
        <v>842</v>
      </c>
      <c r="B101" s="9" t="s">
        <v>828</v>
      </c>
      <c r="C101" s="9" t="s">
        <v>841</v>
      </c>
      <c r="D101" s="18" t="s">
        <v>427</v>
      </c>
      <c r="E101" s="19"/>
      <c r="F101" s="9"/>
      <c r="G101" s="19"/>
      <c r="H101" s="9"/>
      <c r="I101" s="19"/>
      <c r="J101" s="9"/>
      <c r="K101" s="19"/>
      <c r="L101" s="9"/>
      <c r="M101" s="19"/>
      <c r="N101" s="9"/>
      <c r="O101" s="19"/>
      <c r="P101" s="19"/>
      <c r="Q101" s="19"/>
      <c r="R101" s="19"/>
      <c r="S101" s="19"/>
      <c r="T101" s="19"/>
      <c r="U101" s="19"/>
      <c r="V101" s="19"/>
      <c r="W101" s="9" t="s">
        <v>2437</v>
      </c>
      <c r="X101" s="9" t="s">
        <v>52</v>
      </c>
      <c r="Y101" s="2" t="s">
        <v>52</v>
      </c>
      <c r="Z101" s="2" t="s">
        <v>52</v>
      </c>
      <c r="AA101" s="20"/>
      <c r="AB101" s="2" t="s">
        <v>52</v>
      </c>
    </row>
    <row r="102" spans="1:28" ht="30" customHeight="1" x14ac:dyDescent="0.3">
      <c r="A102" s="9" t="s">
        <v>845</v>
      </c>
      <c r="B102" s="9" t="s">
        <v>828</v>
      </c>
      <c r="C102" s="9" t="s">
        <v>844</v>
      </c>
      <c r="D102" s="18" t="s">
        <v>427</v>
      </c>
      <c r="E102" s="19"/>
      <c r="F102" s="9"/>
      <c r="G102" s="19"/>
      <c r="H102" s="9"/>
      <c r="I102" s="19"/>
      <c r="J102" s="9"/>
      <c r="K102" s="19"/>
      <c r="L102" s="9"/>
      <c r="M102" s="19"/>
      <c r="N102" s="9"/>
      <c r="O102" s="19"/>
      <c r="P102" s="19"/>
      <c r="Q102" s="19"/>
      <c r="R102" s="19"/>
      <c r="S102" s="19"/>
      <c r="T102" s="19"/>
      <c r="U102" s="19"/>
      <c r="V102" s="19"/>
      <c r="W102" s="9" t="s">
        <v>2438</v>
      </c>
      <c r="X102" s="9" t="s">
        <v>52</v>
      </c>
      <c r="Y102" s="2" t="s">
        <v>52</v>
      </c>
      <c r="Z102" s="2" t="s">
        <v>52</v>
      </c>
      <c r="AA102" s="20"/>
      <c r="AB102" s="2" t="s">
        <v>52</v>
      </c>
    </row>
    <row r="103" spans="1:28" ht="30" customHeight="1" x14ac:dyDescent="0.3">
      <c r="A103" s="9" t="s">
        <v>839</v>
      </c>
      <c r="B103" s="9" t="s">
        <v>828</v>
      </c>
      <c r="C103" s="9" t="s">
        <v>838</v>
      </c>
      <c r="D103" s="18" t="s">
        <v>427</v>
      </c>
      <c r="E103" s="19"/>
      <c r="F103" s="9"/>
      <c r="G103" s="19"/>
      <c r="H103" s="9"/>
      <c r="I103" s="19"/>
      <c r="J103" s="9"/>
      <c r="K103" s="19"/>
      <c r="L103" s="9"/>
      <c r="M103" s="19"/>
      <c r="N103" s="9"/>
      <c r="O103" s="19"/>
      <c r="P103" s="19"/>
      <c r="Q103" s="19"/>
      <c r="R103" s="19"/>
      <c r="S103" s="19"/>
      <c r="T103" s="19"/>
      <c r="U103" s="19"/>
      <c r="V103" s="19"/>
      <c r="W103" s="9" t="s">
        <v>2439</v>
      </c>
      <c r="X103" s="9" t="s">
        <v>52</v>
      </c>
      <c r="Y103" s="2" t="s">
        <v>52</v>
      </c>
      <c r="Z103" s="2" t="s">
        <v>52</v>
      </c>
      <c r="AA103" s="20"/>
      <c r="AB103" s="2" t="s">
        <v>52</v>
      </c>
    </row>
    <row r="104" spans="1:28" ht="30" customHeight="1" x14ac:dyDescent="0.3">
      <c r="A104" s="9" t="s">
        <v>851</v>
      </c>
      <c r="B104" s="9" t="s">
        <v>828</v>
      </c>
      <c r="C104" s="9" t="s">
        <v>850</v>
      </c>
      <c r="D104" s="18" t="s">
        <v>427</v>
      </c>
      <c r="E104" s="19"/>
      <c r="F104" s="9"/>
      <c r="G104" s="19"/>
      <c r="H104" s="9"/>
      <c r="I104" s="19"/>
      <c r="J104" s="9"/>
      <c r="K104" s="19"/>
      <c r="L104" s="9"/>
      <c r="M104" s="19"/>
      <c r="N104" s="9"/>
      <c r="O104" s="19"/>
      <c r="P104" s="19"/>
      <c r="Q104" s="19"/>
      <c r="R104" s="19"/>
      <c r="S104" s="19"/>
      <c r="T104" s="19"/>
      <c r="U104" s="19"/>
      <c r="V104" s="19"/>
      <c r="W104" s="9" t="s">
        <v>2440</v>
      </c>
      <c r="X104" s="9" t="s">
        <v>52</v>
      </c>
      <c r="Y104" s="2" t="s">
        <v>52</v>
      </c>
      <c r="Z104" s="2" t="s">
        <v>52</v>
      </c>
      <c r="AA104" s="20"/>
      <c r="AB104" s="2" t="s">
        <v>52</v>
      </c>
    </row>
    <row r="105" spans="1:28" ht="30" customHeight="1" x14ac:dyDescent="0.3">
      <c r="A105" s="9" t="s">
        <v>854</v>
      </c>
      <c r="B105" s="9" t="s">
        <v>828</v>
      </c>
      <c r="C105" s="9" t="s">
        <v>853</v>
      </c>
      <c r="D105" s="18" t="s">
        <v>427</v>
      </c>
      <c r="E105" s="19"/>
      <c r="F105" s="9"/>
      <c r="G105" s="19"/>
      <c r="H105" s="9"/>
      <c r="I105" s="19"/>
      <c r="J105" s="9"/>
      <c r="K105" s="19"/>
      <c r="L105" s="9"/>
      <c r="M105" s="19"/>
      <c r="N105" s="9"/>
      <c r="O105" s="19"/>
      <c r="P105" s="19"/>
      <c r="Q105" s="19"/>
      <c r="R105" s="19"/>
      <c r="S105" s="19"/>
      <c r="T105" s="19"/>
      <c r="U105" s="19"/>
      <c r="V105" s="19"/>
      <c r="W105" s="9" t="s">
        <v>2441</v>
      </c>
      <c r="X105" s="9" t="s">
        <v>52</v>
      </c>
      <c r="Y105" s="2" t="s">
        <v>52</v>
      </c>
      <c r="Z105" s="2" t="s">
        <v>52</v>
      </c>
      <c r="AA105" s="20"/>
      <c r="AB105" s="2" t="s">
        <v>52</v>
      </c>
    </row>
    <row r="106" spans="1:28" ht="30" customHeight="1" x14ac:dyDescent="0.3">
      <c r="A106" s="9" t="s">
        <v>858</v>
      </c>
      <c r="B106" s="9" t="s">
        <v>828</v>
      </c>
      <c r="C106" s="9" t="s">
        <v>856</v>
      </c>
      <c r="D106" s="18" t="s">
        <v>857</v>
      </c>
      <c r="E106" s="19"/>
      <c r="F106" s="9"/>
      <c r="G106" s="19"/>
      <c r="H106" s="9"/>
      <c r="I106" s="19"/>
      <c r="J106" s="9"/>
      <c r="K106" s="19"/>
      <c r="L106" s="9"/>
      <c r="M106" s="19"/>
      <c r="N106" s="9"/>
      <c r="O106" s="19"/>
      <c r="P106" s="19"/>
      <c r="Q106" s="19"/>
      <c r="R106" s="19"/>
      <c r="S106" s="19"/>
      <c r="T106" s="19"/>
      <c r="U106" s="19"/>
      <c r="V106" s="19"/>
      <c r="W106" s="9" t="s">
        <v>2442</v>
      </c>
      <c r="X106" s="9" t="s">
        <v>52</v>
      </c>
      <c r="Y106" s="2" t="s">
        <v>52</v>
      </c>
      <c r="Z106" s="2" t="s">
        <v>52</v>
      </c>
      <c r="AA106" s="20"/>
      <c r="AB106" s="2" t="s">
        <v>52</v>
      </c>
    </row>
    <row r="107" spans="1:28" ht="30" customHeight="1" x14ac:dyDescent="0.3">
      <c r="A107" s="9" t="s">
        <v>800</v>
      </c>
      <c r="B107" s="9" t="s">
        <v>797</v>
      </c>
      <c r="C107" s="9" t="s">
        <v>798</v>
      </c>
      <c r="D107" s="18" t="s">
        <v>427</v>
      </c>
      <c r="E107" s="19"/>
      <c r="F107" s="9"/>
      <c r="G107" s="19"/>
      <c r="H107" s="9"/>
      <c r="I107" s="19"/>
      <c r="J107" s="9"/>
      <c r="K107" s="19"/>
      <c r="L107" s="9"/>
      <c r="M107" s="19"/>
      <c r="N107" s="9"/>
      <c r="O107" s="19"/>
      <c r="P107" s="19"/>
      <c r="Q107" s="19"/>
      <c r="R107" s="19"/>
      <c r="S107" s="19"/>
      <c r="T107" s="19"/>
      <c r="U107" s="19"/>
      <c r="V107" s="19"/>
      <c r="W107" s="9" t="s">
        <v>2443</v>
      </c>
      <c r="X107" s="9" t="s">
        <v>52</v>
      </c>
      <c r="Y107" s="2" t="s">
        <v>52</v>
      </c>
      <c r="Z107" s="2" t="s">
        <v>52</v>
      </c>
      <c r="AA107" s="20"/>
      <c r="AB107" s="2" t="s">
        <v>52</v>
      </c>
    </row>
    <row r="108" spans="1:28" ht="30" customHeight="1" x14ac:dyDescent="0.3">
      <c r="A108" s="9" t="s">
        <v>815</v>
      </c>
      <c r="B108" s="9" t="s">
        <v>797</v>
      </c>
      <c r="C108" s="9" t="s">
        <v>814</v>
      </c>
      <c r="D108" s="18" t="s">
        <v>427</v>
      </c>
      <c r="E108" s="19"/>
      <c r="F108" s="9"/>
      <c r="G108" s="19"/>
      <c r="H108" s="9"/>
      <c r="I108" s="19"/>
      <c r="J108" s="9"/>
      <c r="K108" s="19"/>
      <c r="L108" s="9"/>
      <c r="M108" s="19"/>
      <c r="N108" s="9"/>
      <c r="O108" s="19"/>
      <c r="P108" s="19"/>
      <c r="Q108" s="19"/>
      <c r="R108" s="19"/>
      <c r="S108" s="19"/>
      <c r="T108" s="19"/>
      <c r="U108" s="19"/>
      <c r="V108" s="19"/>
      <c r="W108" s="9" t="s">
        <v>2444</v>
      </c>
      <c r="X108" s="9" t="s">
        <v>52</v>
      </c>
      <c r="Y108" s="2" t="s">
        <v>52</v>
      </c>
      <c r="Z108" s="2" t="s">
        <v>52</v>
      </c>
      <c r="AA108" s="20"/>
      <c r="AB108" s="2" t="s">
        <v>52</v>
      </c>
    </row>
    <row r="109" spans="1:28" ht="30" customHeight="1" x14ac:dyDescent="0.3">
      <c r="A109" s="9" t="s">
        <v>1422</v>
      </c>
      <c r="B109" s="9" t="s">
        <v>1420</v>
      </c>
      <c r="C109" s="9" t="s">
        <v>1421</v>
      </c>
      <c r="D109" s="18" t="s">
        <v>427</v>
      </c>
      <c r="E109" s="19"/>
      <c r="F109" s="9"/>
      <c r="G109" s="19"/>
      <c r="H109" s="9"/>
      <c r="I109" s="19"/>
      <c r="J109" s="9"/>
      <c r="K109" s="19"/>
      <c r="L109" s="9"/>
      <c r="M109" s="19"/>
      <c r="N109" s="9"/>
      <c r="O109" s="19"/>
      <c r="P109" s="19"/>
      <c r="Q109" s="19"/>
      <c r="R109" s="19"/>
      <c r="S109" s="19"/>
      <c r="T109" s="19"/>
      <c r="U109" s="19"/>
      <c r="V109" s="19"/>
      <c r="W109" s="9" t="s">
        <v>2445</v>
      </c>
      <c r="X109" s="9" t="s">
        <v>52</v>
      </c>
      <c r="Y109" s="2" t="s">
        <v>52</v>
      </c>
      <c r="Z109" s="2" t="s">
        <v>52</v>
      </c>
      <c r="AA109" s="20"/>
      <c r="AB109" s="2" t="s">
        <v>52</v>
      </c>
    </row>
    <row r="110" spans="1:28" ht="30" customHeight="1" x14ac:dyDescent="0.3">
      <c r="A110" s="9" t="s">
        <v>1484</v>
      </c>
      <c r="B110" s="9" t="s">
        <v>1482</v>
      </c>
      <c r="C110" s="9" t="s">
        <v>1483</v>
      </c>
      <c r="D110" s="18" t="s">
        <v>410</v>
      </c>
      <c r="E110" s="19"/>
      <c r="F110" s="9"/>
      <c r="G110" s="19"/>
      <c r="H110" s="9"/>
      <c r="I110" s="19"/>
      <c r="J110" s="9"/>
      <c r="K110" s="19"/>
      <c r="L110" s="9"/>
      <c r="M110" s="19"/>
      <c r="N110" s="9"/>
      <c r="O110" s="19"/>
      <c r="P110" s="19"/>
      <c r="Q110" s="19"/>
      <c r="R110" s="19"/>
      <c r="S110" s="19"/>
      <c r="T110" s="19"/>
      <c r="U110" s="19"/>
      <c r="V110" s="19"/>
      <c r="W110" s="9" t="s">
        <v>2446</v>
      </c>
      <c r="X110" s="9" t="s">
        <v>52</v>
      </c>
      <c r="Y110" s="2" t="s">
        <v>52</v>
      </c>
      <c r="Z110" s="2" t="s">
        <v>52</v>
      </c>
      <c r="AA110" s="20"/>
      <c r="AB110" s="2" t="s">
        <v>52</v>
      </c>
    </row>
    <row r="111" spans="1:28" ht="30" customHeight="1" x14ac:dyDescent="0.3">
      <c r="A111" s="9" t="s">
        <v>1433</v>
      </c>
      <c r="B111" s="9" t="s">
        <v>1431</v>
      </c>
      <c r="C111" s="9" t="s">
        <v>1432</v>
      </c>
      <c r="D111" s="18" t="s">
        <v>427</v>
      </c>
      <c r="E111" s="19"/>
      <c r="F111" s="9"/>
      <c r="G111" s="19"/>
      <c r="H111" s="9"/>
      <c r="I111" s="19"/>
      <c r="J111" s="9"/>
      <c r="K111" s="19"/>
      <c r="L111" s="9"/>
      <c r="M111" s="19"/>
      <c r="N111" s="9"/>
      <c r="O111" s="19"/>
      <c r="P111" s="19"/>
      <c r="Q111" s="19"/>
      <c r="R111" s="19"/>
      <c r="S111" s="19"/>
      <c r="T111" s="19"/>
      <c r="U111" s="19"/>
      <c r="V111" s="19"/>
      <c r="W111" s="9" t="s">
        <v>2447</v>
      </c>
      <c r="X111" s="9" t="s">
        <v>52</v>
      </c>
      <c r="Y111" s="2" t="s">
        <v>52</v>
      </c>
      <c r="Z111" s="2" t="s">
        <v>52</v>
      </c>
      <c r="AA111" s="20"/>
      <c r="AB111" s="2" t="s">
        <v>52</v>
      </c>
    </row>
    <row r="112" spans="1:28" ht="30" customHeight="1" x14ac:dyDescent="0.3">
      <c r="A112" s="9" t="s">
        <v>1487</v>
      </c>
      <c r="B112" s="9" t="s">
        <v>1452</v>
      </c>
      <c r="C112" s="9" t="s">
        <v>1486</v>
      </c>
      <c r="D112" s="18" t="s">
        <v>410</v>
      </c>
      <c r="E112" s="19"/>
      <c r="F112" s="9"/>
      <c r="G112" s="19"/>
      <c r="H112" s="9"/>
      <c r="I112" s="19"/>
      <c r="J112" s="9"/>
      <c r="K112" s="19"/>
      <c r="L112" s="9"/>
      <c r="M112" s="19"/>
      <c r="N112" s="9"/>
      <c r="O112" s="19"/>
      <c r="P112" s="19"/>
      <c r="Q112" s="19"/>
      <c r="R112" s="19"/>
      <c r="S112" s="19"/>
      <c r="T112" s="19"/>
      <c r="U112" s="19"/>
      <c r="V112" s="19"/>
      <c r="W112" s="9" t="s">
        <v>2448</v>
      </c>
      <c r="X112" s="9" t="s">
        <v>52</v>
      </c>
      <c r="Y112" s="2" t="s">
        <v>52</v>
      </c>
      <c r="Z112" s="2" t="s">
        <v>52</v>
      </c>
      <c r="AA112" s="20"/>
      <c r="AB112" s="2" t="s">
        <v>52</v>
      </c>
    </row>
    <row r="113" spans="1:28" ht="30" customHeight="1" x14ac:dyDescent="0.3">
      <c r="A113" s="9" t="s">
        <v>1454</v>
      </c>
      <c r="B113" s="9" t="s">
        <v>1452</v>
      </c>
      <c r="C113" s="9" t="s">
        <v>1453</v>
      </c>
      <c r="D113" s="18" t="s">
        <v>410</v>
      </c>
      <c r="E113" s="19"/>
      <c r="F113" s="9"/>
      <c r="G113" s="19"/>
      <c r="H113" s="9"/>
      <c r="I113" s="19"/>
      <c r="J113" s="9"/>
      <c r="K113" s="19"/>
      <c r="L113" s="9"/>
      <c r="M113" s="19"/>
      <c r="N113" s="9"/>
      <c r="O113" s="19"/>
      <c r="P113" s="19"/>
      <c r="Q113" s="19"/>
      <c r="R113" s="19"/>
      <c r="S113" s="19"/>
      <c r="T113" s="19"/>
      <c r="U113" s="19"/>
      <c r="V113" s="19"/>
      <c r="W113" s="9" t="s">
        <v>2449</v>
      </c>
      <c r="X113" s="9" t="s">
        <v>52</v>
      </c>
      <c r="Y113" s="2" t="s">
        <v>52</v>
      </c>
      <c r="Z113" s="2" t="s">
        <v>52</v>
      </c>
      <c r="AA113" s="20"/>
      <c r="AB113" s="2" t="s">
        <v>52</v>
      </c>
    </row>
    <row r="114" spans="1:28" ht="30" customHeight="1" x14ac:dyDescent="0.3">
      <c r="A114" s="9" t="s">
        <v>1777</v>
      </c>
      <c r="B114" s="9" t="s">
        <v>1775</v>
      </c>
      <c r="C114" s="9" t="s">
        <v>1776</v>
      </c>
      <c r="D114" s="18" t="s">
        <v>68</v>
      </c>
      <c r="E114" s="19"/>
      <c r="F114" s="9"/>
      <c r="G114" s="19"/>
      <c r="H114" s="9"/>
      <c r="I114" s="19"/>
      <c r="J114" s="9"/>
      <c r="K114" s="19"/>
      <c r="L114" s="9"/>
      <c r="M114" s="19"/>
      <c r="N114" s="9"/>
      <c r="O114" s="19"/>
      <c r="P114" s="19"/>
      <c r="Q114" s="19"/>
      <c r="R114" s="19"/>
      <c r="S114" s="19"/>
      <c r="T114" s="19"/>
      <c r="U114" s="19"/>
      <c r="V114" s="19"/>
      <c r="W114" s="9" t="s">
        <v>2450</v>
      </c>
      <c r="X114" s="9" t="s">
        <v>52</v>
      </c>
      <c r="Y114" s="2" t="s">
        <v>52</v>
      </c>
      <c r="Z114" s="2" t="s">
        <v>52</v>
      </c>
      <c r="AA114" s="20"/>
      <c r="AB114" s="2" t="s">
        <v>52</v>
      </c>
    </row>
    <row r="115" spans="1:28" ht="30" customHeight="1" x14ac:dyDescent="0.3">
      <c r="A115" s="9" t="s">
        <v>1781</v>
      </c>
      <c r="B115" s="9" t="s">
        <v>1779</v>
      </c>
      <c r="C115" s="9" t="s">
        <v>1780</v>
      </c>
      <c r="D115" s="18" t="s">
        <v>82</v>
      </c>
      <c r="E115" s="19"/>
      <c r="F115" s="9"/>
      <c r="G115" s="19"/>
      <c r="H115" s="9"/>
      <c r="I115" s="19"/>
      <c r="J115" s="9"/>
      <c r="K115" s="19"/>
      <c r="L115" s="9"/>
      <c r="M115" s="19"/>
      <c r="N115" s="9"/>
      <c r="O115" s="19"/>
      <c r="P115" s="19"/>
      <c r="Q115" s="19"/>
      <c r="R115" s="19"/>
      <c r="S115" s="19"/>
      <c r="T115" s="19"/>
      <c r="U115" s="19"/>
      <c r="V115" s="19"/>
      <c r="W115" s="9" t="s">
        <v>2451</v>
      </c>
      <c r="X115" s="9" t="s">
        <v>52</v>
      </c>
      <c r="Y115" s="2" t="s">
        <v>52</v>
      </c>
      <c r="Z115" s="2" t="s">
        <v>52</v>
      </c>
      <c r="AA115" s="20"/>
      <c r="AB115" s="2" t="s">
        <v>52</v>
      </c>
    </row>
    <row r="116" spans="1:28" ht="30" customHeight="1" x14ac:dyDescent="0.3">
      <c r="A116" s="9" t="s">
        <v>2209</v>
      </c>
      <c r="B116" s="9" t="s">
        <v>1067</v>
      </c>
      <c r="C116" s="9" t="s">
        <v>2208</v>
      </c>
      <c r="D116" s="18" t="s">
        <v>1021</v>
      </c>
      <c r="E116" s="19"/>
      <c r="F116" s="9"/>
      <c r="G116" s="19"/>
      <c r="H116" s="9"/>
      <c r="I116" s="19"/>
      <c r="J116" s="9"/>
      <c r="K116" s="19"/>
      <c r="L116" s="9"/>
      <c r="M116" s="19"/>
      <c r="N116" s="9"/>
      <c r="O116" s="19"/>
      <c r="P116" s="19"/>
      <c r="Q116" s="19"/>
      <c r="R116" s="19"/>
      <c r="S116" s="19"/>
      <c r="T116" s="19"/>
      <c r="U116" s="19"/>
      <c r="V116" s="19"/>
      <c r="W116" s="9" t="s">
        <v>2452</v>
      </c>
      <c r="X116" s="9" t="s">
        <v>52</v>
      </c>
      <c r="Y116" s="2" t="s">
        <v>52</v>
      </c>
      <c r="Z116" s="2" t="s">
        <v>52</v>
      </c>
      <c r="AA116" s="20"/>
      <c r="AB116" s="2" t="s">
        <v>52</v>
      </c>
    </row>
    <row r="117" spans="1:28" ht="30" customHeight="1" x14ac:dyDescent="0.3">
      <c r="A117" s="9" t="s">
        <v>1069</v>
      </c>
      <c r="B117" s="9" t="s">
        <v>1067</v>
      </c>
      <c r="C117" s="9" t="s">
        <v>1068</v>
      </c>
      <c r="D117" s="18" t="s">
        <v>1021</v>
      </c>
      <c r="E117" s="19"/>
      <c r="F117" s="9"/>
      <c r="G117" s="19"/>
      <c r="H117" s="9"/>
      <c r="I117" s="19"/>
      <c r="J117" s="9"/>
      <c r="K117" s="19"/>
      <c r="L117" s="9"/>
      <c r="M117" s="19"/>
      <c r="N117" s="9"/>
      <c r="O117" s="19"/>
      <c r="P117" s="19"/>
      <c r="Q117" s="19"/>
      <c r="R117" s="19"/>
      <c r="S117" s="19"/>
      <c r="T117" s="19"/>
      <c r="U117" s="19"/>
      <c r="V117" s="19"/>
      <c r="W117" s="9" t="s">
        <v>2453</v>
      </c>
      <c r="X117" s="9" t="s">
        <v>52</v>
      </c>
      <c r="Y117" s="2" t="s">
        <v>52</v>
      </c>
      <c r="Z117" s="2" t="s">
        <v>52</v>
      </c>
      <c r="AA117" s="20"/>
      <c r="AB117" s="2" t="s">
        <v>52</v>
      </c>
    </row>
    <row r="118" spans="1:28" ht="30" customHeight="1" x14ac:dyDescent="0.3">
      <c r="A118" s="9" t="s">
        <v>1094</v>
      </c>
      <c r="B118" s="9" t="s">
        <v>1067</v>
      </c>
      <c r="C118" s="9" t="s">
        <v>1093</v>
      </c>
      <c r="D118" s="18" t="s">
        <v>1021</v>
      </c>
      <c r="E118" s="19"/>
      <c r="F118" s="9"/>
      <c r="G118" s="19"/>
      <c r="H118" s="9"/>
      <c r="I118" s="19"/>
      <c r="J118" s="9"/>
      <c r="K118" s="19"/>
      <c r="L118" s="9"/>
      <c r="M118" s="19"/>
      <c r="N118" s="9"/>
      <c r="O118" s="19"/>
      <c r="P118" s="19"/>
      <c r="Q118" s="19"/>
      <c r="R118" s="19"/>
      <c r="S118" s="19"/>
      <c r="T118" s="19"/>
      <c r="U118" s="19"/>
      <c r="V118" s="19"/>
      <c r="W118" s="9" t="s">
        <v>2454</v>
      </c>
      <c r="X118" s="9" t="s">
        <v>52</v>
      </c>
      <c r="Y118" s="2" t="s">
        <v>52</v>
      </c>
      <c r="Z118" s="2" t="s">
        <v>52</v>
      </c>
      <c r="AA118" s="20"/>
      <c r="AB118" s="2" t="s">
        <v>52</v>
      </c>
    </row>
    <row r="119" spans="1:28" ht="30" customHeight="1" x14ac:dyDescent="0.3">
      <c r="A119" s="9" t="s">
        <v>1105</v>
      </c>
      <c r="B119" s="9" t="s">
        <v>1067</v>
      </c>
      <c r="C119" s="9" t="s">
        <v>1104</v>
      </c>
      <c r="D119" s="18" t="s">
        <v>1021</v>
      </c>
      <c r="E119" s="19"/>
      <c r="F119" s="9"/>
      <c r="G119" s="19"/>
      <c r="H119" s="9"/>
      <c r="I119" s="19"/>
      <c r="J119" s="9"/>
      <c r="K119" s="19"/>
      <c r="L119" s="9"/>
      <c r="M119" s="19"/>
      <c r="N119" s="9"/>
      <c r="O119" s="19"/>
      <c r="P119" s="19"/>
      <c r="Q119" s="19"/>
      <c r="R119" s="19"/>
      <c r="S119" s="19"/>
      <c r="T119" s="19"/>
      <c r="U119" s="19"/>
      <c r="V119" s="19"/>
      <c r="W119" s="9" t="s">
        <v>2455</v>
      </c>
      <c r="X119" s="9" t="s">
        <v>52</v>
      </c>
      <c r="Y119" s="2" t="s">
        <v>52</v>
      </c>
      <c r="Z119" s="2" t="s">
        <v>52</v>
      </c>
      <c r="AA119" s="20"/>
      <c r="AB119" s="2" t="s">
        <v>52</v>
      </c>
    </row>
    <row r="120" spans="1:28" ht="30" customHeight="1" x14ac:dyDescent="0.3">
      <c r="A120" s="9" t="s">
        <v>755</v>
      </c>
      <c r="B120" s="9" t="s">
        <v>752</v>
      </c>
      <c r="C120" s="9" t="s">
        <v>753</v>
      </c>
      <c r="D120" s="18" t="s">
        <v>320</v>
      </c>
      <c r="E120" s="19"/>
      <c r="F120" s="9"/>
      <c r="G120" s="19"/>
      <c r="H120" s="9"/>
      <c r="I120" s="19"/>
      <c r="J120" s="9"/>
      <c r="K120" s="19"/>
      <c r="L120" s="9"/>
      <c r="M120" s="19"/>
      <c r="N120" s="9"/>
      <c r="O120" s="19"/>
      <c r="P120" s="19"/>
      <c r="Q120" s="19"/>
      <c r="R120" s="19"/>
      <c r="S120" s="19"/>
      <c r="T120" s="19"/>
      <c r="U120" s="19"/>
      <c r="V120" s="19"/>
      <c r="W120" s="9" t="s">
        <v>2456</v>
      </c>
      <c r="X120" s="9" t="s">
        <v>754</v>
      </c>
      <c r="Y120" s="2" t="s">
        <v>52</v>
      </c>
      <c r="Z120" s="2" t="s">
        <v>52</v>
      </c>
      <c r="AA120" s="20"/>
      <c r="AB120" s="2" t="s">
        <v>52</v>
      </c>
    </row>
    <row r="121" spans="1:28" ht="30" customHeight="1" x14ac:dyDescent="0.3">
      <c r="A121" s="9" t="s">
        <v>758</v>
      </c>
      <c r="B121" s="9" t="s">
        <v>752</v>
      </c>
      <c r="C121" s="9" t="s">
        <v>757</v>
      </c>
      <c r="D121" s="18" t="s">
        <v>320</v>
      </c>
      <c r="E121" s="19"/>
      <c r="F121" s="9"/>
      <c r="G121" s="19"/>
      <c r="H121" s="9"/>
      <c r="I121" s="19"/>
      <c r="J121" s="9"/>
      <c r="K121" s="19"/>
      <c r="L121" s="9"/>
      <c r="M121" s="19"/>
      <c r="N121" s="9"/>
      <c r="O121" s="19"/>
      <c r="P121" s="19"/>
      <c r="Q121" s="19"/>
      <c r="R121" s="19"/>
      <c r="S121" s="19"/>
      <c r="T121" s="19"/>
      <c r="U121" s="19"/>
      <c r="V121" s="19"/>
      <c r="W121" s="9" t="s">
        <v>2457</v>
      </c>
      <c r="X121" s="9" t="s">
        <v>754</v>
      </c>
      <c r="Y121" s="2" t="s">
        <v>52</v>
      </c>
      <c r="Z121" s="2" t="s">
        <v>52</v>
      </c>
      <c r="AA121" s="20"/>
      <c r="AB121" s="2" t="s">
        <v>52</v>
      </c>
    </row>
    <row r="122" spans="1:28" ht="30" customHeight="1" x14ac:dyDescent="0.3">
      <c r="A122" s="9" t="s">
        <v>761</v>
      </c>
      <c r="B122" s="9" t="s">
        <v>752</v>
      </c>
      <c r="C122" s="9" t="s">
        <v>760</v>
      </c>
      <c r="D122" s="18" t="s">
        <v>320</v>
      </c>
      <c r="E122" s="19"/>
      <c r="F122" s="9"/>
      <c r="G122" s="19"/>
      <c r="H122" s="9"/>
      <c r="I122" s="19"/>
      <c r="J122" s="9"/>
      <c r="K122" s="19"/>
      <c r="L122" s="9"/>
      <c r="M122" s="19"/>
      <c r="N122" s="9"/>
      <c r="O122" s="19"/>
      <c r="P122" s="19"/>
      <c r="Q122" s="19"/>
      <c r="R122" s="19"/>
      <c r="S122" s="19"/>
      <c r="T122" s="19"/>
      <c r="U122" s="19"/>
      <c r="V122" s="19"/>
      <c r="W122" s="9" t="s">
        <v>2458</v>
      </c>
      <c r="X122" s="9" t="s">
        <v>754</v>
      </c>
      <c r="Y122" s="2" t="s">
        <v>52</v>
      </c>
      <c r="Z122" s="2" t="s">
        <v>52</v>
      </c>
      <c r="AA122" s="20"/>
      <c r="AB122" s="2" t="s">
        <v>52</v>
      </c>
    </row>
    <row r="123" spans="1:28" ht="30" customHeight="1" x14ac:dyDescent="0.3">
      <c r="A123" s="9" t="s">
        <v>764</v>
      </c>
      <c r="B123" s="9" t="s">
        <v>752</v>
      </c>
      <c r="C123" s="9" t="s">
        <v>763</v>
      </c>
      <c r="D123" s="18" t="s">
        <v>320</v>
      </c>
      <c r="E123" s="19"/>
      <c r="F123" s="9"/>
      <c r="G123" s="19"/>
      <c r="H123" s="9"/>
      <c r="I123" s="19"/>
      <c r="J123" s="9"/>
      <c r="K123" s="19"/>
      <c r="L123" s="9"/>
      <c r="M123" s="19"/>
      <c r="N123" s="9"/>
      <c r="O123" s="19"/>
      <c r="P123" s="19"/>
      <c r="Q123" s="19"/>
      <c r="R123" s="19"/>
      <c r="S123" s="19"/>
      <c r="T123" s="19"/>
      <c r="U123" s="19"/>
      <c r="V123" s="19"/>
      <c r="W123" s="9" t="s">
        <v>2459</v>
      </c>
      <c r="X123" s="9" t="s">
        <v>754</v>
      </c>
      <c r="Y123" s="2" t="s">
        <v>52</v>
      </c>
      <c r="Z123" s="2" t="s">
        <v>52</v>
      </c>
      <c r="AA123" s="20"/>
      <c r="AB123" s="2" t="s">
        <v>52</v>
      </c>
    </row>
    <row r="124" spans="1:28" ht="30" customHeight="1" x14ac:dyDescent="0.3">
      <c r="A124" s="9" t="s">
        <v>769</v>
      </c>
      <c r="B124" s="9" t="s">
        <v>766</v>
      </c>
      <c r="C124" s="9" t="s">
        <v>767</v>
      </c>
      <c r="D124" s="18" t="s">
        <v>768</v>
      </c>
      <c r="E124" s="19"/>
      <c r="F124" s="9"/>
      <c r="G124" s="19"/>
      <c r="H124" s="9"/>
      <c r="I124" s="19"/>
      <c r="J124" s="9"/>
      <c r="K124" s="19"/>
      <c r="L124" s="9"/>
      <c r="M124" s="19"/>
      <c r="N124" s="9"/>
      <c r="O124" s="19"/>
      <c r="P124" s="19"/>
      <c r="Q124" s="19"/>
      <c r="R124" s="19"/>
      <c r="S124" s="19"/>
      <c r="T124" s="19"/>
      <c r="U124" s="19"/>
      <c r="V124" s="19"/>
      <c r="W124" s="9" t="s">
        <v>2460</v>
      </c>
      <c r="X124" s="9" t="s">
        <v>754</v>
      </c>
      <c r="Y124" s="2" t="s">
        <v>52</v>
      </c>
      <c r="Z124" s="2" t="s">
        <v>52</v>
      </c>
      <c r="AA124" s="20"/>
      <c r="AB124" s="2" t="s">
        <v>52</v>
      </c>
    </row>
    <row r="125" spans="1:28" ht="30" customHeight="1" x14ac:dyDescent="0.3">
      <c r="A125" s="9" t="s">
        <v>773</v>
      </c>
      <c r="B125" s="9" t="s">
        <v>771</v>
      </c>
      <c r="C125" s="9" t="s">
        <v>772</v>
      </c>
      <c r="D125" s="18" t="s">
        <v>320</v>
      </c>
      <c r="E125" s="19"/>
      <c r="F125" s="9"/>
      <c r="G125" s="19"/>
      <c r="H125" s="9"/>
      <c r="I125" s="19"/>
      <c r="J125" s="9"/>
      <c r="K125" s="19"/>
      <c r="L125" s="9"/>
      <c r="M125" s="19"/>
      <c r="N125" s="9"/>
      <c r="O125" s="19"/>
      <c r="P125" s="19"/>
      <c r="Q125" s="19"/>
      <c r="R125" s="19"/>
      <c r="S125" s="19"/>
      <c r="T125" s="19"/>
      <c r="U125" s="19"/>
      <c r="V125" s="19"/>
      <c r="W125" s="9" t="s">
        <v>2461</v>
      </c>
      <c r="X125" s="9" t="s">
        <v>754</v>
      </c>
      <c r="Y125" s="2" t="s">
        <v>52</v>
      </c>
      <c r="Z125" s="2" t="s">
        <v>52</v>
      </c>
      <c r="AA125" s="20"/>
      <c r="AB125" s="2" t="s">
        <v>52</v>
      </c>
    </row>
    <row r="126" spans="1:28" ht="30" customHeight="1" x14ac:dyDescent="0.3">
      <c r="A126" s="9" t="s">
        <v>1110</v>
      </c>
      <c r="B126" s="9" t="s">
        <v>1107</v>
      </c>
      <c r="C126" s="9" t="s">
        <v>1108</v>
      </c>
      <c r="D126" s="18" t="s">
        <v>82</v>
      </c>
      <c r="E126" s="19"/>
      <c r="F126" s="9"/>
      <c r="G126" s="19"/>
      <c r="H126" s="9"/>
      <c r="I126" s="19"/>
      <c r="J126" s="9"/>
      <c r="K126" s="19"/>
      <c r="L126" s="9"/>
      <c r="M126" s="19"/>
      <c r="N126" s="9"/>
      <c r="O126" s="19"/>
      <c r="P126" s="19"/>
      <c r="Q126" s="19"/>
      <c r="R126" s="19"/>
      <c r="S126" s="19"/>
      <c r="T126" s="19"/>
      <c r="U126" s="19"/>
      <c r="V126" s="19"/>
      <c r="W126" s="9" t="s">
        <v>2462</v>
      </c>
      <c r="X126" s="9" t="s">
        <v>1109</v>
      </c>
      <c r="Y126" s="2" t="s">
        <v>52</v>
      </c>
      <c r="Z126" s="2" t="s">
        <v>52</v>
      </c>
      <c r="AA126" s="20"/>
      <c r="AB126" s="2" t="s">
        <v>52</v>
      </c>
    </row>
    <row r="127" spans="1:28" ht="30" customHeight="1" x14ac:dyDescent="0.3">
      <c r="A127" s="9" t="s">
        <v>1570</v>
      </c>
      <c r="B127" s="9" t="s">
        <v>1568</v>
      </c>
      <c r="C127" s="9" t="s">
        <v>1569</v>
      </c>
      <c r="D127" s="18" t="s">
        <v>923</v>
      </c>
      <c r="E127" s="19"/>
      <c r="F127" s="9"/>
      <c r="G127" s="19"/>
      <c r="H127" s="9"/>
      <c r="I127" s="19"/>
      <c r="J127" s="9"/>
      <c r="K127" s="19"/>
      <c r="L127" s="9"/>
      <c r="M127" s="19"/>
      <c r="N127" s="9"/>
      <c r="O127" s="19"/>
      <c r="P127" s="19"/>
      <c r="Q127" s="19"/>
      <c r="R127" s="19"/>
      <c r="S127" s="19"/>
      <c r="T127" s="19"/>
      <c r="U127" s="19"/>
      <c r="V127" s="19"/>
      <c r="W127" s="9" t="s">
        <v>2463</v>
      </c>
      <c r="X127" s="9" t="s">
        <v>52</v>
      </c>
      <c r="Y127" s="2" t="s">
        <v>52</v>
      </c>
      <c r="Z127" s="2" t="s">
        <v>52</v>
      </c>
      <c r="AA127" s="20"/>
      <c r="AB127" s="2" t="s">
        <v>52</v>
      </c>
    </row>
    <row r="128" spans="1:28" ht="30" customHeight="1" x14ac:dyDescent="0.3">
      <c r="A128" s="9" t="s">
        <v>1541</v>
      </c>
      <c r="B128" s="9" t="s">
        <v>1539</v>
      </c>
      <c r="C128" s="9" t="s">
        <v>1540</v>
      </c>
      <c r="D128" s="18" t="s">
        <v>923</v>
      </c>
      <c r="E128" s="19"/>
      <c r="F128" s="9"/>
      <c r="G128" s="19"/>
      <c r="H128" s="9"/>
      <c r="I128" s="19"/>
      <c r="J128" s="9"/>
      <c r="K128" s="19"/>
      <c r="L128" s="9"/>
      <c r="M128" s="19"/>
      <c r="N128" s="9"/>
      <c r="O128" s="19"/>
      <c r="P128" s="19"/>
      <c r="Q128" s="19"/>
      <c r="R128" s="19"/>
      <c r="S128" s="19"/>
      <c r="T128" s="19"/>
      <c r="U128" s="19"/>
      <c r="V128" s="19"/>
      <c r="W128" s="9" t="s">
        <v>2464</v>
      </c>
      <c r="X128" s="9" t="s">
        <v>52</v>
      </c>
      <c r="Y128" s="2" t="s">
        <v>52</v>
      </c>
      <c r="Z128" s="2" t="s">
        <v>52</v>
      </c>
      <c r="AA128" s="20"/>
      <c r="AB128" s="2" t="s">
        <v>52</v>
      </c>
    </row>
    <row r="129" spans="1:28" ht="30" customHeight="1" x14ac:dyDescent="0.3">
      <c r="A129" s="9" t="s">
        <v>2256</v>
      </c>
      <c r="B129" s="9" t="s">
        <v>2254</v>
      </c>
      <c r="C129" s="9" t="s">
        <v>2255</v>
      </c>
      <c r="D129" s="18" t="s">
        <v>923</v>
      </c>
      <c r="E129" s="19"/>
      <c r="F129" s="9"/>
      <c r="G129" s="19"/>
      <c r="H129" s="9"/>
      <c r="I129" s="19"/>
      <c r="J129" s="9"/>
      <c r="K129" s="19"/>
      <c r="L129" s="9"/>
      <c r="M129" s="19"/>
      <c r="N129" s="9"/>
      <c r="O129" s="19"/>
      <c r="P129" s="19"/>
      <c r="Q129" s="19"/>
      <c r="R129" s="19"/>
      <c r="S129" s="19"/>
      <c r="T129" s="19"/>
      <c r="U129" s="19"/>
      <c r="V129" s="19"/>
      <c r="W129" s="9" t="s">
        <v>2465</v>
      </c>
      <c r="X129" s="9" t="s">
        <v>52</v>
      </c>
      <c r="Y129" s="2" t="s">
        <v>52</v>
      </c>
      <c r="Z129" s="2" t="s">
        <v>52</v>
      </c>
      <c r="AA129" s="20"/>
      <c r="AB129" s="2" t="s">
        <v>52</v>
      </c>
    </row>
    <row r="130" spans="1:28" ht="30" customHeight="1" x14ac:dyDescent="0.3">
      <c r="A130" s="9" t="s">
        <v>1545</v>
      </c>
      <c r="B130" s="9" t="s">
        <v>1543</v>
      </c>
      <c r="C130" s="9" t="s">
        <v>1544</v>
      </c>
      <c r="D130" s="18" t="s">
        <v>923</v>
      </c>
      <c r="E130" s="19"/>
      <c r="F130" s="9"/>
      <c r="G130" s="19"/>
      <c r="H130" s="9"/>
      <c r="I130" s="19"/>
      <c r="J130" s="9"/>
      <c r="K130" s="19"/>
      <c r="L130" s="9"/>
      <c r="M130" s="19"/>
      <c r="N130" s="9"/>
      <c r="O130" s="19"/>
      <c r="P130" s="19"/>
      <c r="Q130" s="19"/>
      <c r="R130" s="19"/>
      <c r="S130" s="19"/>
      <c r="T130" s="19"/>
      <c r="U130" s="19"/>
      <c r="V130" s="19"/>
      <c r="W130" s="9" t="s">
        <v>2466</v>
      </c>
      <c r="X130" s="9" t="s">
        <v>52</v>
      </c>
      <c r="Y130" s="2" t="s">
        <v>52</v>
      </c>
      <c r="Z130" s="2" t="s">
        <v>52</v>
      </c>
      <c r="AA130" s="20"/>
      <c r="AB130" s="2" t="s">
        <v>52</v>
      </c>
    </row>
    <row r="131" spans="1:28" ht="30" customHeight="1" x14ac:dyDescent="0.3">
      <c r="A131" s="9" t="s">
        <v>1890</v>
      </c>
      <c r="B131" s="9" t="s">
        <v>1889</v>
      </c>
      <c r="C131" s="9" t="s">
        <v>605</v>
      </c>
      <c r="D131" s="18" t="s">
        <v>73</v>
      </c>
      <c r="E131" s="19"/>
      <c r="F131" s="9"/>
      <c r="G131" s="19"/>
      <c r="H131" s="9"/>
      <c r="I131" s="19"/>
      <c r="J131" s="9"/>
      <c r="K131" s="19"/>
      <c r="L131" s="9"/>
      <c r="M131" s="19"/>
      <c r="N131" s="9"/>
      <c r="O131" s="19"/>
      <c r="P131" s="19"/>
      <c r="Q131" s="19"/>
      <c r="R131" s="19"/>
      <c r="S131" s="19"/>
      <c r="T131" s="19"/>
      <c r="U131" s="19"/>
      <c r="V131" s="19"/>
      <c r="W131" s="9" t="s">
        <v>2467</v>
      </c>
      <c r="X131" s="9" t="s">
        <v>52</v>
      </c>
      <c r="Y131" s="2" t="s">
        <v>52</v>
      </c>
      <c r="Z131" s="2" t="s">
        <v>52</v>
      </c>
      <c r="AA131" s="20"/>
      <c r="AB131" s="2" t="s">
        <v>52</v>
      </c>
    </row>
    <row r="132" spans="1:28" ht="30" customHeight="1" x14ac:dyDescent="0.3">
      <c r="A132" s="9" t="s">
        <v>627</v>
      </c>
      <c r="B132" s="9" t="s">
        <v>625</v>
      </c>
      <c r="C132" s="9" t="s">
        <v>626</v>
      </c>
      <c r="D132" s="18" t="s">
        <v>307</v>
      </c>
      <c r="E132" s="19"/>
      <c r="F132" s="9"/>
      <c r="G132" s="19"/>
      <c r="H132" s="9"/>
      <c r="I132" s="19"/>
      <c r="J132" s="9"/>
      <c r="K132" s="19"/>
      <c r="L132" s="9"/>
      <c r="M132" s="19"/>
      <c r="N132" s="9"/>
      <c r="O132" s="19"/>
      <c r="P132" s="19"/>
      <c r="Q132" s="19"/>
      <c r="R132" s="19"/>
      <c r="S132" s="19"/>
      <c r="T132" s="19"/>
      <c r="U132" s="19"/>
      <c r="V132" s="19"/>
      <c r="W132" s="9" t="s">
        <v>2468</v>
      </c>
      <c r="X132" s="9" t="s">
        <v>52</v>
      </c>
      <c r="Y132" s="2" t="s">
        <v>52</v>
      </c>
      <c r="Z132" s="2" t="s">
        <v>52</v>
      </c>
      <c r="AA132" s="20"/>
      <c r="AB132" s="2" t="s">
        <v>52</v>
      </c>
    </row>
    <row r="133" spans="1:28" ht="30" customHeight="1" x14ac:dyDescent="0.3">
      <c r="A133" s="9" t="s">
        <v>652</v>
      </c>
      <c r="B133" s="9" t="s">
        <v>650</v>
      </c>
      <c r="C133" s="9" t="s">
        <v>651</v>
      </c>
      <c r="D133" s="18" t="s">
        <v>307</v>
      </c>
      <c r="E133" s="19"/>
      <c r="F133" s="9"/>
      <c r="G133" s="19"/>
      <c r="H133" s="9"/>
      <c r="I133" s="19"/>
      <c r="J133" s="9"/>
      <c r="K133" s="19"/>
      <c r="L133" s="9"/>
      <c r="M133" s="19"/>
      <c r="N133" s="9"/>
      <c r="O133" s="19"/>
      <c r="P133" s="19"/>
      <c r="Q133" s="19"/>
      <c r="R133" s="19"/>
      <c r="S133" s="19"/>
      <c r="T133" s="19"/>
      <c r="U133" s="19"/>
      <c r="V133" s="19"/>
      <c r="W133" s="9" t="s">
        <v>2469</v>
      </c>
      <c r="X133" s="9" t="s">
        <v>52</v>
      </c>
      <c r="Y133" s="2" t="s">
        <v>52</v>
      </c>
      <c r="Z133" s="2" t="s">
        <v>52</v>
      </c>
      <c r="AA133" s="20"/>
      <c r="AB133" s="2" t="s">
        <v>52</v>
      </c>
    </row>
    <row r="134" spans="1:28" ht="30" customHeight="1" x14ac:dyDescent="0.3">
      <c r="A134" s="9" t="s">
        <v>1810</v>
      </c>
      <c r="B134" s="9" t="s">
        <v>1769</v>
      </c>
      <c r="C134" s="9" t="s">
        <v>1809</v>
      </c>
      <c r="D134" s="18" t="s">
        <v>82</v>
      </c>
      <c r="E134" s="19"/>
      <c r="F134" s="9"/>
      <c r="G134" s="19"/>
      <c r="H134" s="9"/>
      <c r="I134" s="19"/>
      <c r="J134" s="9"/>
      <c r="K134" s="19"/>
      <c r="L134" s="9"/>
      <c r="M134" s="19"/>
      <c r="N134" s="9"/>
      <c r="O134" s="19"/>
      <c r="P134" s="19"/>
      <c r="Q134" s="19"/>
      <c r="R134" s="19"/>
      <c r="S134" s="19"/>
      <c r="T134" s="19"/>
      <c r="U134" s="19"/>
      <c r="V134" s="19"/>
      <c r="W134" s="9" t="s">
        <v>2470</v>
      </c>
      <c r="X134" s="9" t="s">
        <v>52</v>
      </c>
      <c r="Y134" s="2" t="s">
        <v>52</v>
      </c>
      <c r="Z134" s="2" t="s">
        <v>52</v>
      </c>
      <c r="AA134" s="20"/>
      <c r="AB134" s="2" t="s">
        <v>52</v>
      </c>
    </row>
    <row r="135" spans="1:28" ht="30" customHeight="1" x14ac:dyDescent="0.3">
      <c r="A135" s="9" t="s">
        <v>1800</v>
      </c>
      <c r="B135" s="9" t="s">
        <v>1769</v>
      </c>
      <c r="C135" s="9" t="s">
        <v>1799</v>
      </c>
      <c r="D135" s="18" t="s">
        <v>82</v>
      </c>
      <c r="E135" s="19"/>
      <c r="F135" s="9"/>
      <c r="G135" s="19"/>
      <c r="H135" s="9"/>
      <c r="I135" s="19"/>
      <c r="J135" s="9"/>
      <c r="K135" s="19"/>
      <c r="L135" s="9"/>
      <c r="M135" s="19"/>
      <c r="N135" s="9"/>
      <c r="O135" s="19"/>
      <c r="P135" s="19"/>
      <c r="Q135" s="19"/>
      <c r="R135" s="19"/>
      <c r="S135" s="19"/>
      <c r="T135" s="19"/>
      <c r="U135" s="19"/>
      <c r="V135" s="19"/>
      <c r="W135" s="9" t="s">
        <v>2471</v>
      </c>
      <c r="X135" s="9" t="s">
        <v>52</v>
      </c>
      <c r="Y135" s="2" t="s">
        <v>52</v>
      </c>
      <c r="Z135" s="2" t="s">
        <v>52</v>
      </c>
      <c r="AA135" s="20"/>
      <c r="AB135" s="2" t="s">
        <v>52</v>
      </c>
    </row>
    <row r="136" spans="1:28" ht="30" customHeight="1" x14ac:dyDescent="0.3">
      <c r="A136" s="9" t="s">
        <v>1790</v>
      </c>
      <c r="B136" s="9" t="s">
        <v>1769</v>
      </c>
      <c r="C136" s="9" t="s">
        <v>1789</v>
      </c>
      <c r="D136" s="18" t="s">
        <v>82</v>
      </c>
      <c r="E136" s="19"/>
      <c r="F136" s="9"/>
      <c r="G136" s="19"/>
      <c r="H136" s="9"/>
      <c r="I136" s="19"/>
      <c r="J136" s="9"/>
      <c r="K136" s="19"/>
      <c r="L136" s="9"/>
      <c r="M136" s="19"/>
      <c r="N136" s="9"/>
      <c r="O136" s="19"/>
      <c r="P136" s="19"/>
      <c r="Q136" s="19"/>
      <c r="R136" s="19"/>
      <c r="S136" s="19"/>
      <c r="T136" s="19"/>
      <c r="U136" s="19"/>
      <c r="V136" s="19"/>
      <c r="W136" s="9" t="s">
        <v>2472</v>
      </c>
      <c r="X136" s="9" t="s">
        <v>52</v>
      </c>
      <c r="Y136" s="2" t="s">
        <v>52</v>
      </c>
      <c r="Z136" s="2" t="s">
        <v>52</v>
      </c>
      <c r="AA136" s="20"/>
      <c r="AB136" s="2" t="s">
        <v>52</v>
      </c>
    </row>
    <row r="137" spans="1:28" ht="30" customHeight="1" x14ac:dyDescent="0.3">
      <c r="A137" s="9" t="s">
        <v>1771</v>
      </c>
      <c r="B137" s="9" t="s">
        <v>1769</v>
      </c>
      <c r="C137" s="9" t="s">
        <v>1770</v>
      </c>
      <c r="D137" s="18" t="s">
        <v>82</v>
      </c>
      <c r="E137" s="19"/>
      <c r="F137" s="9"/>
      <c r="G137" s="19"/>
      <c r="H137" s="9"/>
      <c r="I137" s="19"/>
      <c r="J137" s="9"/>
      <c r="K137" s="19"/>
      <c r="L137" s="9"/>
      <c r="M137" s="19"/>
      <c r="N137" s="9"/>
      <c r="O137" s="19"/>
      <c r="P137" s="19"/>
      <c r="Q137" s="19"/>
      <c r="R137" s="19"/>
      <c r="S137" s="19"/>
      <c r="T137" s="19"/>
      <c r="U137" s="19"/>
      <c r="V137" s="19"/>
      <c r="W137" s="9" t="s">
        <v>2473</v>
      </c>
      <c r="X137" s="9" t="s">
        <v>52</v>
      </c>
      <c r="Y137" s="2" t="s">
        <v>52</v>
      </c>
      <c r="Z137" s="2" t="s">
        <v>52</v>
      </c>
      <c r="AA137" s="20"/>
      <c r="AB137" s="2" t="s">
        <v>52</v>
      </c>
    </row>
    <row r="138" spans="1:28" ht="30" customHeight="1" x14ac:dyDescent="0.3">
      <c r="A138" s="9" t="s">
        <v>1730</v>
      </c>
      <c r="B138" s="9" t="s">
        <v>1721</v>
      </c>
      <c r="C138" s="9" t="s">
        <v>1729</v>
      </c>
      <c r="D138" s="18" t="s">
        <v>427</v>
      </c>
      <c r="E138" s="19"/>
      <c r="F138" s="9"/>
      <c r="G138" s="19"/>
      <c r="H138" s="9"/>
      <c r="I138" s="19"/>
      <c r="J138" s="9"/>
      <c r="K138" s="19"/>
      <c r="L138" s="9"/>
      <c r="M138" s="19"/>
      <c r="N138" s="9"/>
      <c r="O138" s="19"/>
      <c r="P138" s="19"/>
      <c r="Q138" s="19"/>
      <c r="R138" s="19"/>
      <c r="S138" s="19"/>
      <c r="T138" s="19"/>
      <c r="U138" s="19"/>
      <c r="V138" s="19"/>
      <c r="W138" s="9" t="s">
        <v>2474</v>
      </c>
      <c r="X138" s="9" t="s">
        <v>52</v>
      </c>
      <c r="Y138" s="2" t="s">
        <v>52</v>
      </c>
      <c r="Z138" s="2" t="s">
        <v>52</v>
      </c>
      <c r="AA138" s="20"/>
      <c r="AB138" s="2" t="s">
        <v>52</v>
      </c>
    </row>
    <row r="139" spans="1:28" ht="30" customHeight="1" x14ac:dyDescent="0.3">
      <c r="A139" s="9" t="s">
        <v>1723</v>
      </c>
      <c r="B139" s="9" t="s">
        <v>1721</v>
      </c>
      <c r="C139" s="9" t="s">
        <v>1722</v>
      </c>
      <c r="D139" s="18" t="s">
        <v>427</v>
      </c>
      <c r="E139" s="19"/>
      <c r="F139" s="9"/>
      <c r="G139" s="19"/>
      <c r="H139" s="9"/>
      <c r="I139" s="19"/>
      <c r="J139" s="9"/>
      <c r="K139" s="19"/>
      <c r="L139" s="9"/>
      <c r="M139" s="19"/>
      <c r="N139" s="9"/>
      <c r="O139" s="19"/>
      <c r="P139" s="19"/>
      <c r="Q139" s="19"/>
      <c r="R139" s="19"/>
      <c r="S139" s="19"/>
      <c r="T139" s="19"/>
      <c r="U139" s="19"/>
      <c r="V139" s="19"/>
      <c r="W139" s="9" t="s">
        <v>2475</v>
      </c>
      <c r="X139" s="9" t="s">
        <v>52</v>
      </c>
      <c r="Y139" s="2" t="s">
        <v>52</v>
      </c>
      <c r="Z139" s="2" t="s">
        <v>52</v>
      </c>
      <c r="AA139" s="20"/>
      <c r="AB139" s="2" t="s">
        <v>52</v>
      </c>
    </row>
    <row r="140" spans="1:28" ht="30" customHeight="1" x14ac:dyDescent="0.3">
      <c r="A140" s="9" t="s">
        <v>1907</v>
      </c>
      <c r="B140" s="9" t="s">
        <v>1905</v>
      </c>
      <c r="C140" s="9" t="s">
        <v>1906</v>
      </c>
      <c r="D140" s="18" t="s">
        <v>82</v>
      </c>
      <c r="E140" s="19"/>
      <c r="F140" s="9"/>
      <c r="G140" s="19"/>
      <c r="H140" s="9"/>
      <c r="I140" s="19"/>
      <c r="J140" s="9"/>
      <c r="K140" s="19"/>
      <c r="L140" s="9"/>
      <c r="M140" s="19"/>
      <c r="N140" s="9"/>
      <c r="O140" s="19"/>
      <c r="P140" s="19"/>
      <c r="Q140" s="19"/>
      <c r="R140" s="19"/>
      <c r="S140" s="19"/>
      <c r="T140" s="19"/>
      <c r="U140" s="19"/>
      <c r="V140" s="19"/>
      <c r="W140" s="9" t="s">
        <v>2476</v>
      </c>
      <c r="X140" s="9" t="s">
        <v>52</v>
      </c>
      <c r="Y140" s="2" t="s">
        <v>52</v>
      </c>
      <c r="Z140" s="2" t="s">
        <v>52</v>
      </c>
      <c r="AA140" s="20"/>
      <c r="AB140" s="2" t="s">
        <v>52</v>
      </c>
    </row>
    <row r="141" spans="1:28" ht="30" customHeight="1" x14ac:dyDescent="0.3">
      <c r="A141" s="9" t="s">
        <v>1762</v>
      </c>
      <c r="B141" s="9" t="s">
        <v>1736</v>
      </c>
      <c r="C141" s="9" t="s">
        <v>1761</v>
      </c>
      <c r="D141" s="18" t="s">
        <v>82</v>
      </c>
      <c r="E141" s="19"/>
      <c r="F141" s="9"/>
      <c r="G141" s="19"/>
      <c r="H141" s="9"/>
      <c r="I141" s="19"/>
      <c r="J141" s="9"/>
      <c r="K141" s="19"/>
      <c r="L141" s="9"/>
      <c r="M141" s="19"/>
      <c r="N141" s="9"/>
      <c r="O141" s="19"/>
      <c r="P141" s="19"/>
      <c r="Q141" s="19"/>
      <c r="R141" s="19"/>
      <c r="S141" s="19"/>
      <c r="T141" s="19"/>
      <c r="U141" s="19"/>
      <c r="V141" s="19"/>
      <c r="W141" s="9" t="s">
        <v>2477</v>
      </c>
      <c r="X141" s="9" t="s">
        <v>52</v>
      </c>
      <c r="Y141" s="2" t="s">
        <v>52</v>
      </c>
      <c r="Z141" s="2" t="s">
        <v>52</v>
      </c>
      <c r="AA141" s="20"/>
      <c r="AB141" s="2" t="s">
        <v>52</v>
      </c>
    </row>
    <row r="142" spans="1:28" ht="30" customHeight="1" x14ac:dyDescent="0.3">
      <c r="A142" s="9" t="s">
        <v>1754</v>
      </c>
      <c r="B142" s="9" t="s">
        <v>1736</v>
      </c>
      <c r="C142" s="9" t="s">
        <v>1753</v>
      </c>
      <c r="D142" s="18" t="s">
        <v>82</v>
      </c>
      <c r="E142" s="19"/>
      <c r="F142" s="9"/>
      <c r="G142" s="19"/>
      <c r="H142" s="9"/>
      <c r="I142" s="19"/>
      <c r="J142" s="9"/>
      <c r="K142" s="19"/>
      <c r="L142" s="9"/>
      <c r="M142" s="19"/>
      <c r="N142" s="9"/>
      <c r="O142" s="19"/>
      <c r="P142" s="19"/>
      <c r="Q142" s="19"/>
      <c r="R142" s="19"/>
      <c r="S142" s="19"/>
      <c r="T142" s="19"/>
      <c r="U142" s="19"/>
      <c r="V142" s="19"/>
      <c r="W142" s="9" t="s">
        <v>2478</v>
      </c>
      <c r="X142" s="9" t="s">
        <v>52</v>
      </c>
      <c r="Y142" s="2" t="s">
        <v>52</v>
      </c>
      <c r="Z142" s="2" t="s">
        <v>52</v>
      </c>
      <c r="AA142" s="20"/>
      <c r="AB142" s="2" t="s">
        <v>52</v>
      </c>
    </row>
    <row r="143" spans="1:28" ht="30" customHeight="1" x14ac:dyDescent="0.3">
      <c r="A143" s="9" t="s">
        <v>1746</v>
      </c>
      <c r="B143" s="9" t="s">
        <v>1736</v>
      </c>
      <c r="C143" s="9" t="s">
        <v>1745</v>
      </c>
      <c r="D143" s="18" t="s">
        <v>82</v>
      </c>
      <c r="E143" s="19"/>
      <c r="F143" s="9"/>
      <c r="G143" s="19"/>
      <c r="H143" s="9"/>
      <c r="I143" s="19"/>
      <c r="J143" s="9"/>
      <c r="K143" s="19"/>
      <c r="L143" s="9"/>
      <c r="M143" s="19"/>
      <c r="N143" s="9"/>
      <c r="O143" s="19"/>
      <c r="P143" s="19"/>
      <c r="Q143" s="19"/>
      <c r="R143" s="19"/>
      <c r="S143" s="19"/>
      <c r="T143" s="19"/>
      <c r="U143" s="19"/>
      <c r="V143" s="19"/>
      <c r="W143" s="9" t="s">
        <v>2479</v>
      </c>
      <c r="X143" s="9" t="s">
        <v>52</v>
      </c>
      <c r="Y143" s="2" t="s">
        <v>52</v>
      </c>
      <c r="Z143" s="2" t="s">
        <v>52</v>
      </c>
      <c r="AA143" s="20"/>
      <c r="AB143" s="2" t="s">
        <v>52</v>
      </c>
    </row>
    <row r="144" spans="1:28" ht="30" customHeight="1" x14ac:dyDescent="0.3">
      <c r="A144" s="9" t="s">
        <v>1738</v>
      </c>
      <c r="B144" s="9" t="s">
        <v>1736</v>
      </c>
      <c r="C144" s="9" t="s">
        <v>1737</v>
      </c>
      <c r="D144" s="18" t="s">
        <v>82</v>
      </c>
      <c r="E144" s="19"/>
      <c r="F144" s="9"/>
      <c r="G144" s="19"/>
      <c r="H144" s="9"/>
      <c r="I144" s="19"/>
      <c r="J144" s="9"/>
      <c r="K144" s="19"/>
      <c r="L144" s="9"/>
      <c r="M144" s="19"/>
      <c r="N144" s="9"/>
      <c r="O144" s="19"/>
      <c r="P144" s="19"/>
      <c r="Q144" s="19"/>
      <c r="R144" s="19"/>
      <c r="S144" s="19"/>
      <c r="T144" s="19"/>
      <c r="U144" s="19"/>
      <c r="V144" s="19"/>
      <c r="W144" s="9" t="s">
        <v>2480</v>
      </c>
      <c r="X144" s="9" t="s">
        <v>52</v>
      </c>
      <c r="Y144" s="2" t="s">
        <v>52</v>
      </c>
      <c r="Z144" s="2" t="s">
        <v>52</v>
      </c>
      <c r="AA144" s="20"/>
      <c r="AB144" s="2" t="s">
        <v>52</v>
      </c>
    </row>
    <row r="145" spans="1:28" ht="30" customHeight="1" x14ac:dyDescent="0.3">
      <c r="A145" s="9" t="s">
        <v>1898</v>
      </c>
      <c r="B145" s="9" t="s">
        <v>1896</v>
      </c>
      <c r="C145" s="9" t="s">
        <v>1897</v>
      </c>
      <c r="D145" s="18" t="s">
        <v>82</v>
      </c>
      <c r="E145" s="19"/>
      <c r="F145" s="9"/>
      <c r="G145" s="19"/>
      <c r="H145" s="9"/>
      <c r="I145" s="19"/>
      <c r="J145" s="9"/>
      <c r="K145" s="19"/>
      <c r="L145" s="9"/>
      <c r="M145" s="19"/>
      <c r="N145" s="9"/>
      <c r="O145" s="19"/>
      <c r="P145" s="19"/>
      <c r="Q145" s="19"/>
      <c r="R145" s="19"/>
      <c r="S145" s="19"/>
      <c r="T145" s="19"/>
      <c r="U145" s="19"/>
      <c r="V145" s="19"/>
      <c r="W145" s="9" t="s">
        <v>2481</v>
      </c>
      <c r="X145" s="9" t="s">
        <v>52</v>
      </c>
      <c r="Y145" s="2" t="s">
        <v>52</v>
      </c>
      <c r="Z145" s="2" t="s">
        <v>52</v>
      </c>
      <c r="AA145" s="20"/>
      <c r="AB145" s="2" t="s">
        <v>52</v>
      </c>
    </row>
    <row r="146" spans="1:28" ht="30" customHeight="1" x14ac:dyDescent="0.3">
      <c r="A146" s="9" t="s">
        <v>1866</v>
      </c>
      <c r="B146" s="9" t="s">
        <v>1850</v>
      </c>
      <c r="C146" s="9" t="s">
        <v>1865</v>
      </c>
      <c r="D146" s="18" t="s">
        <v>82</v>
      </c>
      <c r="E146" s="19"/>
      <c r="F146" s="9"/>
      <c r="G146" s="19"/>
      <c r="H146" s="9"/>
      <c r="I146" s="19"/>
      <c r="J146" s="9"/>
      <c r="K146" s="19"/>
      <c r="L146" s="9"/>
      <c r="M146" s="19"/>
      <c r="N146" s="9"/>
      <c r="O146" s="19"/>
      <c r="P146" s="19"/>
      <c r="Q146" s="19"/>
      <c r="R146" s="19"/>
      <c r="S146" s="19"/>
      <c r="T146" s="19"/>
      <c r="U146" s="19"/>
      <c r="V146" s="19"/>
      <c r="W146" s="9" t="s">
        <v>2482</v>
      </c>
      <c r="X146" s="9" t="s">
        <v>52</v>
      </c>
      <c r="Y146" s="2" t="s">
        <v>52</v>
      </c>
      <c r="Z146" s="2" t="s">
        <v>52</v>
      </c>
      <c r="AA146" s="20"/>
      <c r="AB146" s="2" t="s">
        <v>52</v>
      </c>
    </row>
    <row r="147" spans="1:28" ht="30" customHeight="1" x14ac:dyDescent="0.3">
      <c r="A147" s="9" t="s">
        <v>1859</v>
      </c>
      <c r="B147" s="9" t="s">
        <v>1850</v>
      </c>
      <c r="C147" s="9" t="s">
        <v>1858</v>
      </c>
      <c r="D147" s="18" t="s">
        <v>82</v>
      </c>
      <c r="E147" s="19"/>
      <c r="F147" s="9"/>
      <c r="G147" s="19"/>
      <c r="H147" s="9"/>
      <c r="I147" s="19"/>
      <c r="J147" s="9"/>
      <c r="K147" s="19"/>
      <c r="L147" s="9"/>
      <c r="M147" s="19"/>
      <c r="N147" s="9"/>
      <c r="O147" s="19"/>
      <c r="P147" s="19"/>
      <c r="Q147" s="19"/>
      <c r="R147" s="19"/>
      <c r="S147" s="19"/>
      <c r="T147" s="19"/>
      <c r="U147" s="19"/>
      <c r="V147" s="19"/>
      <c r="W147" s="9" t="s">
        <v>2483</v>
      </c>
      <c r="X147" s="9" t="s">
        <v>52</v>
      </c>
      <c r="Y147" s="2" t="s">
        <v>52</v>
      </c>
      <c r="Z147" s="2" t="s">
        <v>52</v>
      </c>
      <c r="AA147" s="20"/>
      <c r="AB147" s="2" t="s">
        <v>52</v>
      </c>
    </row>
    <row r="148" spans="1:28" ht="30" customHeight="1" x14ac:dyDescent="0.3">
      <c r="A148" s="9" t="s">
        <v>1852</v>
      </c>
      <c r="B148" s="9" t="s">
        <v>1850</v>
      </c>
      <c r="C148" s="9" t="s">
        <v>1851</v>
      </c>
      <c r="D148" s="18" t="s">
        <v>82</v>
      </c>
      <c r="E148" s="19"/>
      <c r="F148" s="9"/>
      <c r="G148" s="19"/>
      <c r="H148" s="9"/>
      <c r="I148" s="19"/>
      <c r="J148" s="9"/>
      <c r="K148" s="19"/>
      <c r="L148" s="9"/>
      <c r="M148" s="19"/>
      <c r="N148" s="9"/>
      <c r="O148" s="19"/>
      <c r="P148" s="19"/>
      <c r="Q148" s="19"/>
      <c r="R148" s="19"/>
      <c r="S148" s="19"/>
      <c r="T148" s="19"/>
      <c r="U148" s="19"/>
      <c r="V148" s="19"/>
      <c r="W148" s="9" t="s">
        <v>2484</v>
      </c>
      <c r="X148" s="9" t="s">
        <v>52</v>
      </c>
      <c r="Y148" s="2" t="s">
        <v>52</v>
      </c>
      <c r="Z148" s="2" t="s">
        <v>52</v>
      </c>
      <c r="AA148" s="20"/>
      <c r="AB148" s="2" t="s">
        <v>52</v>
      </c>
    </row>
    <row r="149" spans="1:28" ht="30" customHeight="1" x14ac:dyDescent="0.3">
      <c r="A149" s="9" t="s">
        <v>1400</v>
      </c>
      <c r="B149" s="9" t="s">
        <v>1398</v>
      </c>
      <c r="C149" s="9" t="s">
        <v>1399</v>
      </c>
      <c r="D149" s="18" t="s">
        <v>82</v>
      </c>
      <c r="E149" s="19"/>
      <c r="F149" s="9"/>
      <c r="G149" s="19"/>
      <c r="H149" s="9"/>
      <c r="I149" s="19"/>
      <c r="J149" s="9"/>
      <c r="K149" s="19"/>
      <c r="L149" s="9"/>
      <c r="M149" s="19"/>
      <c r="N149" s="9"/>
      <c r="O149" s="19"/>
      <c r="P149" s="19"/>
      <c r="Q149" s="19"/>
      <c r="R149" s="19"/>
      <c r="S149" s="19"/>
      <c r="T149" s="19"/>
      <c r="U149" s="19"/>
      <c r="V149" s="19"/>
      <c r="W149" s="9" t="s">
        <v>2485</v>
      </c>
      <c r="X149" s="9" t="s">
        <v>52</v>
      </c>
      <c r="Y149" s="2" t="s">
        <v>52</v>
      </c>
      <c r="Z149" s="2" t="s">
        <v>52</v>
      </c>
      <c r="AA149" s="20"/>
      <c r="AB149" s="2" t="s">
        <v>52</v>
      </c>
    </row>
    <row r="150" spans="1:28" ht="30" customHeight="1" x14ac:dyDescent="0.3">
      <c r="A150" s="9" t="s">
        <v>516</v>
      </c>
      <c r="B150" s="9" t="s">
        <v>505</v>
      </c>
      <c r="C150" s="9" t="s">
        <v>515</v>
      </c>
      <c r="D150" s="18" t="s">
        <v>427</v>
      </c>
      <c r="E150" s="19"/>
      <c r="F150" s="9"/>
      <c r="G150" s="19"/>
      <c r="H150" s="9"/>
      <c r="I150" s="19"/>
      <c r="J150" s="9"/>
      <c r="K150" s="19"/>
      <c r="L150" s="9"/>
      <c r="M150" s="19"/>
      <c r="N150" s="9"/>
      <c r="O150" s="19"/>
      <c r="P150" s="19"/>
      <c r="Q150" s="19"/>
      <c r="R150" s="19"/>
      <c r="S150" s="19"/>
      <c r="T150" s="19"/>
      <c r="U150" s="19"/>
      <c r="V150" s="19"/>
      <c r="W150" s="9" t="s">
        <v>2486</v>
      </c>
      <c r="X150" s="9" t="s">
        <v>52</v>
      </c>
      <c r="Y150" s="2" t="s">
        <v>52</v>
      </c>
      <c r="Z150" s="2" t="s">
        <v>52</v>
      </c>
      <c r="AA150" s="20"/>
      <c r="AB150" s="2" t="s">
        <v>52</v>
      </c>
    </row>
    <row r="151" spans="1:28" ht="30" customHeight="1" x14ac:dyDescent="0.3">
      <c r="A151" s="9" t="s">
        <v>513</v>
      </c>
      <c r="B151" s="9" t="s">
        <v>505</v>
      </c>
      <c r="C151" s="9" t="s">
        <v>512</v>
      </c>
      <c r="D151" s="18" t="s">
        <v>427</v>
      </c>
      <c r="E151" s="19"/>
      <c r="F151" s="9"/>
      <c r="G151" s="19"/>
      <c r="H151" s="9"/>
      <c r="I151" s="19"/>
      <c r="J151" s="9"/>
      <c r="K151" s="19"/>
      <c r="L151" s="9"/>
      <c r="M151" s="19"/>
      <c r="N151" s="9"/>
      <c r="O151" s="19"/>
      <c r="P151" s="19"/>
      <c r="Q151" s="19"/>
      <c r="R151" s="19"/>
      <c r="S151" s="19"/>
      <c r="T151" s="19"/>
      <c r="U151" s="19"/>
      <c r="V151" s="19"/>
      <c r="W151" s="9" t="s">
        <v>2487</v>
      </c>
      <c r="X151" s="9" t="s">
        <v>52</v>
      </c>
      <c r="Y151" s="2" t="s">
        <v>52</v>
      </c>
      <c r="Z151" s="2" t="s">
        <v>52</v>
      </c>
      <c r="AA151" s="20"/>
      <c r="AB151" s="2" t="s">
        <v>52</v>
      </c>
    </row>
    <row r="152" spans="1:28" ht="30" customHeight="1" x14ac:dyDescent="0.3">
      <c r="A152" s="9" t="s">
        <v>510</v>
      </c>
      <c r="B152" s="9" t="s">
        <v>505</v>
      </c>
      <c r="C152" s="9" t="s">
        <v>509</v>
      </c>
      <c r="D152" s="18" t="s">
        <v>427</v>
      </c>
      <c r="E152" s="19"/>
      <c r="F152" s="9"/>
      <c r="G152" s="19"/>
      <c r="H152" s="9"/>
      <c r="I152" s="19"/>
      <c r="J152" s="9"/>
      <c r="K152" s="19"/>
      <c r="L152" s="9"/>
      <c r="M152" s="19"/>
      <c r="N152" s="9"/>
      <c r="O152" s="19"/>
      <c r="P152" s="19"/>
      <c r="Q152" s="19"/>
      <c r="R152" s="19"/>
      <c r="S152" s="19"/>
      <c r="T152" s="19"/>
      <c r="U152" s="19"/>
      <c r="V152" s="19"/>
      <c r="W152" s="9" t="s">
        <v>2488</v>
      </c>
      <c r="X152" s="9" t="s">
        <v>52</v>
      </c>
      <c r="Y152" s="2" t="s">
        <v>52</v>
      </c>
      <c r="Z152" s="2" t="s">
        <v>52</v>
      </c>
      <c r="AA152" s="20"/>
      <c r="AB152" s="2" t="s">
        <v>52</v>
      </c>
    </row>
    <row r="153" spans="1:28" ht="30" customHeight="1" x14ac:dyDescent="0.3">
      <c r="A153" s="9" t="s">
        <v>507</v>
      </c>
      <c r="B153" s="9" t="s">
        <v>505</v>
      </c>
      <c r="C153" s="9" t="s">
        <v>506</v>
      </c>
      <c r="D153" s="18" t="s">
        <v>427</v>
      </c>
      <c r="E153" s="19"/>
      <c r="F153" s="9"/>
      <c r="G153" s="19"/>
      <c r="H153" s="9"/>
      <c r="I153" s="19"/>
      <c r="J153" s="9"/>
      <c r="K153" s="19"/>
      <c r="L153" s="9"/>
      <c r="M153" s="19"/>
      <c r="N153" s="9"/>
      <c r="O153" s="19"/>
      <c r="P153" s="19"/>
      <c r="Q153" s="19"/>
      <c r="R153" s="19"/>
      <c r="S153" s="19"/>
      <c r="T153" s="19"/>
      <c r="U153" s="19"/>
      <c r="V153" s="19"/>
      <c r="W153" s="9" t="s">
        <v>2489</v>
      </c>
      <c r="X153" s="9" t="s">
        <v>52</v>
      </c>
      <c r="Y153" s="2" t="s">
        <v>52</v>
      </c>
      <c r="Z153" s="2" t="s">
        <v>52</v>
      </c>
      <c r="AA153" s="20"/>
      <c r="AB153" s="2" t="s">
        <v>52</v>
      </c>
    </row>
    <row r="154" spans="1:28" ht="30" customHeight="1" x14ac:dyDescent="0.3">
      <c r="A154" s="9" t="s">
        <v>528</v>
      </c>
      <c r="B154" s="9" t="s">
        <v>505</v>
      </c>
      <c r="C154" s="9" t="s">
        <v>527</v>
      </c>
      <c r="D154" s="18" t="s">
        <v>427</v>
      </c>
      <c r="E154" s="19"/>
      <c r="F154" s="9"/>
      <c r="G154" s="19"/>
      <c r="H154" s="9"/>
      <c r="I154" s="19"/>
      <c r="J154" s="9"/>
      <c r="K154" s="19"/>
      <c r="L154" s="9"/>
      <c r="M154" s="19"/>
      <c r="N154" s="9"/>
      <c r="O154" s="19"/>
      <c r="P154" s="19"/>
      <c r="Q154" s="19"/>
      <c r="R154" s="19"/>
      <c r="S154" s="19"/>
      <c r="T154" s="19"/>
      <c r="U154" s="19"/>
      <c r="V154" s="19"/>
      <c r="W154" s="9" t="s">
        <v>2490</v>
      </c>
      <c r="X154" s="9" t="s">
        <v>52</v>
      </c>
      <c r="Y154" s="2" t="s">
        <v>52</v>
      </c>
      <c r="Z154" s="2" t="s">
        <v>52</v>
      </c>
      <c r="AA154" s="20"/>
      <c r="AB154" s="2" t="s">
        <v>52</v>
      </c>
    </row>
    <row r="155" spans="1:28" ht="30" customHeight="1" x14ac:dyDescent="0.3">
      <c r="A155" s="9" t="s">
        <v>525</v>
      </c>
      <c r="B155" s="9" t="s">
        <v>505</v>
      </c>
      <c r="C155" s="9" t="s">
        <v>524</v>
      </c>
      <c r="D155" s="18" t="s">
        <v>427</v>
      </c>
      <c r="E155" s="19"/>
      <c r="F155" s="9"/>
      <c r="G155" s="19"/>
      <c r="H155" s="9"/>
      <c r="I155" s="19"/>
      <c r="J155" s="9"/>
      <c r="K155" s="19"/>
      <c r="L155" s="9"/>
      <c r="M155" s="19"/>
      <c r="N155" s="9"/>
      <c r="O155" s="19"/>
      <c r="P155" s="19"/>
      <c r="Q155" s="19"/>
      <c r="R155" s="19"/>
      <c r="S155" s="19"/>
      <c r="T155" s="19"/>
      <c r="U155" s="19"/>
      <c r="V155" s="19"/>
      <c r="W155" s="9" t="s">
        <v>2491</v>
      </c>
      <c r="X155" s="9" t="s">
        <v>52</v>
      </c>
      <c r="Y155" s="2" t="s">
        <v>52</v>
      </c>
      <c r="Z155" s="2" t="s">
        <v>52</v>
      </c>
      <c r="AA155" s="20"/>
      <c r="AB155" s="2" t="s">
        <v>52</v>
      </c>
    </row>
    <row r="156" spans="1:28" ht="30" customHeight="1" x14ac:dyDescent="0.3">
      <c r="A156" s="9" t="s">
        <v>522</v>
      </c>
      <c r="B156" s="9" t="s">
        <v>505</v>
      </c>
      <c r="C156" s="9" t="s">
        <v>521</v>
      </c>
      <c r="D156" s="18" t="s">
        <v>427</v>
      </c>
      <c r="E156" s="19"/>
      <c r="F156" s="9"/>
      <c r="G156" s="19"/>
      <c r="H156" s="9"/>
      <c r="I156" s="19"/>
      <c r="J156" s="9"/>
      <c r="K156" s="19"/>
      <c r="L156" s="9"/>
      <c r="M156" s="19"/>
      <c r="N156" s="9"/>
      <c r="O156" s="19"/>
      <c r="P156" s="19"/>
      <c r="Q156" s="19"/>
      <c r="R156" s="19"/>
      <c r="S156" s="19"/>
      <c r="T156" s="19"/>
      <c r="U156" s="19"/>
      <c r="V156" s="19"/>
      <c r="W156" s="9" t="s">
        <v>2492</v>
      </c>
      <c r="X156" s="9" t="s">
        <v>52</v>
      </c>
      <c r="Y156" s="2" t="s">
        <v>52</v>
      </c>
      <c r="Z156" s="2" t="s">
        <v>52</v>
      </c>
      <c r="AA156" s="20"/>
      <c r="AB156" s="2" t="s">
        <v>52</v>
      </c>
    </row>
    <row r="157" spans="1:28" ht="30" customHeight="1" x14ac:dyDescent="0.3">
      <c r="A157" s="9" t="s">
        <v>519</v>
      </c>
      <c r="B157" s="9" t="s">
        <v>505</v>
      </c>
      <c r="C157" s="9" t="s">
        <v>518</v>
      </c>
      <c r="D157" s="18" t="s">
        <v>427</v>
      </c>
      <c r="E157" s="19"/>
      <c r="F157" s="9"/>
      <c r="G157" s="19"/>
      <c r="H157" s="9"/>
      <c r="I157" s="19"/>
      <c r="J157" s="9"/>
      <c r="K157" s="19"/>
      <c r="L157" s="9"/>
      <c r="M157" s="19"/>
      <c r="N157" s="9"/>
      <c r="O157" s="19"/>
      <c r="P157" s="19"/>
      <c r="Q157" s="19"/>
      <c r="R157" s="19"/>
      <c r="S157" s="19"/>
      <c r="T157" s="19"/>
      <c r="U157" s="19"/>
      <c r="V157" s="19"/>
      <c r="W157" s="9" t="s">
        <v>2493</v>
      </c>
      <c r="X157" s="9" t="s">
        <v>52</v>
      </c>
      <c r="Y157" s="2" t="s">
        <v>52</v>
      </c>
      <c r="Z157" s="2" t="s">
        <v>52</v>
      </c>
      <c r="AA157" s="20"/>
      <c r="AB157" s="2" t="s">
        <v>52</v>
      </c>
    </row>
    <row r="158" spans="1:28" ht="30" customHeight="1" x14ac:dyDescent="0.3">
      <c r="A158" s="9" t="s">
        <v>540</v>
      </c>
      <c r="B158" s="9" t="s">
        <v>505</v>
      </c>
      <c r="C158" s="9" t="s">
        <v>539</v>
      </c>
      <c r="D158" s="18" t="s">
        <v>427</v>
      </c>
      <c r="E158" s="19"/>
      <c r="F158" s="9"/>
      <c r="G158" s="19"/>
      <c r="H158" s="9"/>
      <c r="I158" s="19"/>
      <c r="J158" s="9"/>
      <c r="K158" s="19"/>
      <c r="L158" s="9"/>
      <c r="M158" s="19"/>
      <c r="N158" s="9"/>
      <c r="O158" s="19"/>
      <c r="P158" s="19"/>
      <c r="Q158" s="19"/>
      <c r="R158" s="19"/>
      <c r="S158" s="19"/>
      <c r="T158" s="19"/>
      <c r="U158" s="19"/>
      <c r="V158" s="19"/>
      <c r="W158" s="9" t="s">
        <v>2494</v>
      </c>
      <c r="X158" s="9" t="s">
        <v>52</v>
      </c>
      <c r="Y158" s="2" t="s">
        <v>52</v>
      </c>
      <c r="Z158" s="2" t="s">
        <v>52</v>
      </c>
      <c r="AA158" s="20"/>
      <c r="AB158" s="2" t="s">
        <v>52</v>
      </c>
    </row>
    <row r="159" spans="1:28" ht="30" customHeight="1" x14ac:dyDescent="0.3">
      <c r="A159" s="9" t="s">
        <v>537</v>
      </c>
      <c r="B159" s="9" t="s">
        <v>505</v>
      </c>
      <c r="C159" s="9" t="s">
        <v>536</v>
      </c>
      <c r="D159" s="18" t="s">
        <v>427</v>
      </c>
      <c r="E159" s="19"/>
      <c r="F159" s="9"/>
      <c r="G159" s="19"/>
      <c r="H159" s="9"/>
      <c r="I159" s="19"/>
      <c r="J159" s="9"/>
      <c r="K159" s="19"/>
      <c r="L159" s="9"/>
      <c r="M159" s="19"/>
      <c r="N159" s="9"/>
      <c r="O159" s="19"/>
      <c r="P159" s="19"/>
      <c r="Q159" s="19"/>
      <c r="R159" s="19"/>
      <c r="S159" s="19"/>
      <c r="T159" s="19"/>
      <c r="U159" s="19"/>
      <c r="V159" s="19"/>
      <c r="W159" s="9" t="s">
        <v>2495</v>
      </c>
      <c r="X159" s="9" t="s">
        <v>52</v>
      </c>
      <c r="Y159" s="2" t="s">
        <v>52</v>
      </c>
      <c r="Z159" s="2" t="s">
        <v>52</v>
      </c>
      <c r="AA159" s="20"/>
      <c r="AB159" s="2" t="s">
        <v>52</v>
      </c>
    </row>
    <row r="160" spans="1:28" ht="30" customHeight="1" x14ac:dyDescent="0.3">
      <c r="A160" s="9" t="s">
        <v>534</v>
      </c>
      <c r="B160" s="9" t="s">
        <v>505</v>
      </c>
      <c r="C160" s="9" t="s">
        <v>533</v>
      </c>
      <c r="D160" s="18" t="s">
        <v>427</v>
      </c>
      <c r="E160" s="19"/>
      <c r="F160" s="9"/>
      <c r="G160" s="19"/>
      <c r="H160" s="9"/>
      <c r="I160" s="19"/>
      <c r="J160" s="9"/>
      <c r="K160" s="19"/>
      <c r="L160" s="9"/>
      <c r="M160" s="19"/>
      <c r="N160" s="9"/>
      <c r="O160" s="19"/>
      <c r="P160" s="19"/>
      <c r="Q160" s="19"/>
      <c r="R160" s="19"/>
      <c r="S160" s="19"/>
      <c r="T160" s="19"/>
      <c r="U160" s="19"/>
      <c r="V160" s="19"/>
      <c r="W160" s="9" t="s">
        <v>2496</v>
      </c>
      <c r="X160" s="9" t="s">
        <v>52</v>
      </c>
      <c r="Y160" s="2" t="s">
        <v>52</v>
      </c>
      <c r="Z160" s="2" t="s">
        <v>52</v>
      </c>
      <c r="AA160" s="20"/>
      <c r="AB160" s="2" t="s">
        <v>52</v>
      </c>
    </row>
    <row r="161" spans="1:28" ht="30" customHeight="1" x14ac:dyDescent="0.3">
      <c r="A161" s="9" t="s">
        <v>531</v>
      </c>
      <c r="B161" s="9" t="s">
        <v>505</v>
      </c>
      <c r="C161" s="9" t="s">
        <v>530</v>
      </c>
      <c r="D161" s="18" t="s">
        <v>427</v>
      </c>
      <c r="E161" s="19"/>
      <c r="F161" s="9"/>
      <c r="G161" s="19"/>
      <c r="H161" s="9"/>
      <c r="I161" s="19"/>
      <c r="J161" s="9"/>
      <c r="K161" s="19"/>
      <c r="L161" s="9"/>
      <c r="M161" s="19"/>
      <c r="N161" s="9"/>
      <c r="O161" s="19"/>
      <c r="P161" s="19"/>
      <c r="Q161" s="19"/>
      <c r="R161" s="19"/>
      <c r="S161" s="19"/>
      <c r="T161" s="19"/>
      <c r="U161" s="19"/>
      <c r="V161" s="19"/>
      <c r="W161" s="9" t="s">
        <v>2497</v>
      </c>
      <c r="X161" s="9" t="s">
        <v>52</v>
      </c>
      <c r="Y161" s="2" t="s">
        <v>52</v>
      </c>
      <c r="Z161" s="2" t="s">
        <v>52</v>
      </c>
      <c r="AA161" s="20"/>
      <c r="AB161" s="2" t="s">
        <v>52</v>
      </c>
    </row>
    <row r="162" spans="1:28" ht="30" customHeight="1" x14ac:dyDescent="0.3">
      <c r="A162" s="9" t="s">
        <v>617</v>
      </c>
      <c r="B162" s="9" t="s">
        <v>615</v>
      </c>
      <c r="C162" s="9" t="s">
        <v>616</v>
      </c>
      <c r="D162" s="18" t="s">
        <v>427</v>
      </c>
      <c r="E162" s="19"/>
      <c r="F162" s="9"/>
      <c r="G162" s="19"/>
      <c r="H162" s="9"/>
      <c r="I162" s="19"/>
      <c r="J162" s="9"/>
      <c r="K162" s="19"/>
      <c r="L162" s="9"/>
      <c r="M162" s="19"/>
      <c r="N162" s="9"/>
      <c r="O162" s="19"/>
      <c r="P162" s="19"/>
      <c r="Q162" s="19"/>
      <c r="R162" s="19"/>
      <c r="S162" s="19"/>
      <c r="T162" s="19"/>
      <c r="U162" s="19"/>
      <c r="V162" s="19"/>
      <c r="W162" s="9" t="s">
        <v>2498</v>
      </c>
      <c r="X162" s="9" t="s">
        <v>52</v>
      </c>
      <c r="Y162" s="2" t="s">
        <v>52</v>
      </c>
      <c r="Z162" s="2" t="s">
        <v>52</v>
      </c>
      <c r="AA162" s="20"/>
      <c r="AB162" s="2" t="s">
        <v>52</v>
      </c>
    </row>
    <row r="163" spans="1:28" ht="30" customHeight="1" x14ac:dyDescent="0.3">
      <c r="A163" s="9" t="s">
        <v>572</v>
      </c>
      <c r="B163" s="9" t="s">
        <v>570</v>
      </c>
      <c r="C163" s="9" t="s">
        <v>571</v>
      </c>
      <c r="D163" s="18" t="s">
        <v>427</v>
      </c>
      <c r="E163" s="19"/>
      <c r="F163" s="9"/>
      <c r="G163" s="19"/>
      <c r="H163" s="9"/>
      <c r="I163" s="19"/>
      <c r="J163" s="9"/>
      <c r="K163" s="19"/>
      <c r="L163" s="9"/>
      <c r="M163" s="19"/>
      <c r="N163" s="9"/>
      <c r="O163" s="19"/>
      <c r="P163" s="19"/>
      <c r="Q163" s="19"/>
      <c r="R163" s="19"/>
      <c r="S163" s="19"/>
      <c r="T163" s="19"/>
      <c r="U163" s="19"/>
      <c r="V163" s="19"/>
      <c r="W163" s="9" t="s">
        <v>2499</v>
      </c>
      <c r="X163" s="9" t="s">
        <v>52</v>
      </c>
      <c r="Y163" s="2" t="s">
        <v>52</v>
      </c>
      <c r="Z163" s="2" t="s">
        <v>52</v>
      </c>
      <c r="AA163" s="20"/>
      <c r="AB163" s="2" t="s">
        <v>52</v>
      </c>
    </row>
    <row r="164" spans="1:28" ht="30" customHeight="1" x14ac:dyDescent="0.3">
      <c r="A164" s="9" t="s">
        <v>575</v>
      </c>
      <c r="B164" s="9" t="s">
        <v>570</v>
      </c>
      <c r="C164" s="9" t="s">
        <v>574</v>
      </c>
      <c r="D164" s="18" t="s">
        <v>427</v>
      </c>
      <c r="E164" s="19"/>
      <c r="F164" s="9"/>
      <c r="G164" s="19"/>
      <c r="H164" s="9"/>
      <c r="I164" s="19"/>
      <c r="J164" s="9"/>
      <c r="K164" s="19"/>
      <c r="L164" s="9"/>
      <c r="M164" s="19"/>
      <c r="N164" s="9"/>
      <c r="O164" s="19"/>
      <c r="P164" s="19"/>
      <c r="Q164" s="19"/>
      <c r="R164" s="19"/>
      <c r="S164" s="19"/>
      <c r="T164" s="19"/>
      <c r="U164" s="19"/>
      <c r="V164" s="19"/>
      <c r="W164" s="9" t="s">
        <v>2500</v>
      </c>
      <c r="X164" s="9" t="s">
        <v>52</v>
      </c>
      <c r="Y164" s="2" t="s">
        <v>52</v>
      </c>
      <c r="Z164" s="2" t="s">
        <v>52</v>
      </c>
      <c r="AA164" s="20"/>
      <c r="AB164" s="2" t="s">
        <v>52</v>
      </c>
    </row>
    <row r="165" spans="1:28" ht="30" customHeight="1" x14ac:dyDescent="0.3">
      <c r="A165" s="9" t="s">
        <v>585</v>
      </c>
      <c r="B165" s="9" t="s">
        <v>580</v>
      </c>
      <c r="C165" s="9" t="s">
        <v>584</v>
      </c>
      <c r="D165" s="18" t="s">
        <v>427</v>
      </c>
      <c r="E165" s="19"/>
      <c r="F165" s="9"/>
      <c r="G165" s="19"/>
      <c r="H165" s="9"/>
      <c r="I165" s="19"/>
      <c r="J165" s="9"/>
      <c r="K165" s="19"/>
      <c r="L165" s="9"/>
      <c r="M165" s="19"/>
      <c r="N165" s="9"/>
      <c r="O165" s="19"/>
      <c r="P165" s="19"/>
      <c r="Q165" s="19"/>
      <c r="R165" s="19"/>
      <c r="S165" s="19"/>
      <c r="T165" s="19"/>
      <c r="U165" s="19"/>
      <c r="V165" s="19"/>
      <c r="W165" s="9" t="s">
        <v>2501</v>
      </c>
      <c r="X165" s="9" t="s">
        <v>52</v>
      </c>
      <c r="Y165" s="2" t="s">
        <v>52</v>
      </c>
      <c r="Z165" s="2" t="s">
        <v>52</v>
      </c>
      <c r="AA165" s="20"/>
      <c r="AB165" s="2" t="s">
        <v>52</v>
      </c>
    </row>
    <row r="166" spans="1:28" ht="30" customHeight="1" x14ac:dyDescent="0.3">
      <c r="A166" s="9" t="s">
        <v>582</v>
      </c>
      <c r="B166" s="9" t="s">
        <v>580</v>
      </c>
      <c r="C166" s="9" t="s">
        <v>581</v>
      </c>
      <c r="D166" s="18" t="s">
        <v>427</v>
      </c>
      <c r="E166" s="19"/>
      <c r="F166" s="9"/>
      <c r="G166" s="19"/>
      <c r="H166" s="9"/>
      <c r="I166" s="19"/>
      <c r="J166" s="9"/>
      <c r="K166" s="19"/>
      <c r="L166" s="9"/>
      <c r="M166" s="19"/>
      <c r="N166" s="9"/>
      <c r="O166" s="19"/>
      <c r="P166" s="19"/>
      <c r="Q166" s="19"/>
      <c r="R166" s="19"/>
      <c r="S166" s="19"/>
      <c r="T166" s="19"/>
      <c r="U166" s="19"/>
      <c r="V166" s="19"/>
      <c r="W166" s="9" t="s">
        <v>2502</v>
      </c>
      <c r="X166" s="9" t="s">
        <v>52</v>
      </c>
      <c r="Y166" s="2" t="s">
        <v>52</v>
      </c>
      <c r="Z166" s="2" t="s">
        <v>52</v>
      </c>
      <c r="AA166" s="20"/>
      <c r="AB166" s="2" t="s">
        <v>52</v>
      </c>
    </row>
    <row r="167" spans="1:28" ht="30" customHeight="1" x14ac:dyDescent="0.3">
      <c r="A167" s="9" t="s">
        <v>565</v>
      </c>
      <c r="B167" s="9" t="s">
        <v>563</v>
      </c>
      <c r="C167" s="9" t="s">
        <v>564</v>
      </c>
      <c r="D167" s="18" t="s">
        <v>427</v>
      </c>
      <c r="E167" s="19"/>
      <c r="F167" s="9"/>
      <c r="G167" s="19"/>
      <c r="H167" s="9"/>
      <c r="I167" s="19"/>
      <c r="J167" s="9"/>
      <c r="K167" s="19"/>
      <c r="L167" s="9"/>
      <c r="M167" s="19"/>
      <c r="N167" s="9"/>
      <c r="O167" s="19"/>
      <c r="P167" s="19"/>
      <c r="Q167" s="19"/>
      <c r="R167" s="19"/>
      <c r="S167" s="19"/>
      <c r="T167" s="19"/>
      <c r="U167" s="19"/>
      <c r="V167" s="19"/>
      <c r="W167" s="9" t="s">
        <v>2503</v>
      </c>
      <c r="X167" s="9" t="s">
        <v>52</v>
      </c>
      <c r="Y167" s="2" t="s">
        <v>52</v>
      </c>
      <c r="Z167" s="2" t="s">
        <v>52</v>
      </c>
      <c r="AA167" s="20"/>
      <c r="AB167" s="2" t="s">
        <v>52</v>
      </c>
    </row>
    <row r="168" spans="1:28" ht="30" customHeight="1" x14ac:dyDescent="0.3">
      <c r="A168" s="9" t="s">
        <v>568</v>
      </c>
      <c r="B168" s="9" t="s">
        <v>563</v>
      </c>
      <c r="C168" s="9" t="s">
        <v>567</v>
      </c>
      <c r="D168" s="18" t="s">
        <v>427</v>
      </c>
      <c r="E168" s="19"/>
      <c r="F168" s="9"/>
      <c r="G168" s="19"/>
      <c r="H168" s="9"/>
      <c r="I168" s="19"/>
      <c r="J168" s="9"/>
      <c r="K168" s="19"/>
      <c r="L168" s="9"/>
      <c r="M168" s="19"/>
      <c r="N168" s="9"/>
      <c r="O168" s="19"/>
      <c r="P168" s="19"/>
      <c r="Q168" s="19"/>
      <c r="R168" s="19"/>
      <c r="S168" s="19"/>
      <c r="T168" s="19"/>
      <c r="U168" s="19"/>
      <c r="V168" s="19"/>
      <c r="W168" s="9" t="s">
        <v>2504</v>
      </c>
      <c r="X168" s="9" t="s">
        <v>52</v>
      </c>
      <c r="Y168" s="2" t="s">
        <v>52</v>
      </c>
      <c r="Z168" s="2" t="s">
        <v>52</v>
      </c>
      <c r="AA168" s="20"/>
      <c r="AB168" s="2" t="s">
        <v>52</v>
      </c>
    </row>
    <row r="169" spans="1:28" ht="30" customHeight="1" x14ac:dyDescent="0.3">
      <c r="A169" s="9" t="s">
        <v>578</v>
      </c>
      <c r="B169" s="9" t="s">
        <v>570</v>
      </c>
      <c r="C169" s="9" t="s">
        <v>577</v>
      </c>
      <c r="D169" s="18" t="s">
        <v>427</v>
      </c>
      <c r="E169" s="19"/>
      <c r="F169" s="9"/>
      <c r="G169" s="19"/>
      <c r="H169" s="9"/>
      <c r="I169" s="19"/>
      <c r="J169" s="9"/>
      <c r="K169" s="19"/>
      <c r="L169" s="9"/>
      <c r="M169" s="19"/>
      <c r="N169" s="9"/>
      <c r="O169" s="19"/>
      <c r="P169" s="19"/>
      <c r="Q169" s="19"/>
      <c r="R169" s="19"/>
      <c r="S169" s="19"/>
      <c r="T169" s="19"/>
      <c r="U169" s="19"/>
      <c r="V169" s="19"/>
      <c r="W169" s="9" t="s">
        <v>2505</v>
      </c>
      <c r="X169" s="9" t="s">
        <v>52</v>
      </c>
      <c r="Y169" s="2" t="s">
        <v>52</v>
      </c>
      <c r="Z169" s="2" t="s">
        <v>52</v>
      </c>
      <c r="AA169" s="20"/>
      <c r="AB169" s="2" t="s">
        <v>52</v>
      </c>
    </row>
    <row r="170" spans="1:28" ht="30" customHeight="1" x14ac:dyDescent="0.3">
      <c r="A170" s="9" t="s">
        <v>589</v>
      </c>
      <c r="B170" s="9" t="s">
        <v>587</v>
      </c>
      <c r="C170" s="9" t="s">
        <v>588</v>
      </c>
      <c r="D170" s="18" t="s">
        <v>427</v>
      </c>
      <c r="E170" s="19"/>
      <c r="F170" s="9"/>
      <c r="G170" s="19"/>
      <c r="H170" s="9"/>
      <c r="I170" s="19"/>
      <c r="J170" s="9"/>
      <c r="K170" s="19"/>
      <c r="L170" s="9"/>
      <c r="M170" s="19"/>
      <c r="N170" s="9"/>
      <c r="O170" s="19"/>
      <c r="P170" s="19"/>
      <c r="Q170" s="19"/>
      <c r="R170" s="19"/>
      <c r="S170" s="19"/>
      <c r="T170" s="19"/>
      <c r="U170" s="19"/>
      <c r="V170" s="19"/>
      <c r="W170" s="9" t="s">
        <v>2506</v>
      </c>
      <c r="X170" s="9" t="s">
        <v>52</v>
      </c>
      <c r="Y170" s="2" t="s">
        <v>52</v>
      </c>
      <c r="Z170" s="2" t="s">
        <v>52</v>
      </c>
      <c r="AA170" s="20"/>
      <c r="AB170" s="2" t="s">
        <v>52</v>
      </c>
    </row>
    <row r="171" spans="1:28" ht="30" customHeight="1" x14ac:dyDescent="0.3">
      <c r="A171" s="9" t="s">
        <v>592</v>
      </c>
      <c r="B171" s="9" t="s">
        <v>587</v>
      </c>
      <c r="C171" s="9" t="s">
        <v>591</v>
      </c>
      <c r="D171" s="18" t="s">
        <v>427</v>
      </c>
      <c r="E171" s="19"/>
      <c r="F171" s="9"/>
      <c r="G171" s="19"/>
      <c r="H171" s="9"/>
      <c r="I171" s="19"/>
      <c r="J171" s="9"/>
      <c r="K171" s="19"/>
      <c r="L171" s="9"/>
      <c r="M171" s="19"/>
      <c r="N171" s="9"/>
      <c r="O171" s="19"/>
      <c r="P171" s="19"/>
      <c r="Q171" s="19"/>
      <c r="R171" s="19"/>
      <c r="S171" s="19"/>
      <c r="T171" s="19"/>
      <c r="U171" s="19"/>
      <c r="V171" s="19"/>
      <c r="W171" s="9" t="s">
        <v>2507</v>
      </c>
      <c r="X171" s="9" t="s">
        <v>52</v>
      </c>
      <c r="Y171" s="2" t="s">
        <v>52</v>
      </c>
      <c r="Z171" s="2" t="s">
        <v>52</v>
      </c>
      <c r="AA171" s="20"/>
      <c r="AB171" s="2" t="s">
        <v>52</v>
      </c>
    </row>
    <row r="172" spans="1:28" ht="30" customHeight="1" x14ac:dyDescent="0.3">
      <c r="A172" s="9" t="s">
        <v>1687</v>
      </c>
      <c r="B172" s="9" t="s">
        <v>1686</v>
      </c>
      <c r="C172" s="9" t="s">
        <v>458</v>
      </c>
      <c r="D172" s="18" t="s">
        <v>427</v>
      </c>
      <c r="E172" s="19"/>
      <c r="F172" s="9"/>
      <c r="G172" s="19"/>
      <c r="H172" s="9"/>
      <c r="I172" s="19"/>
      <c r="J172" s="9"/>
      <c r="K172" s="19"/>
      <c r="L172" s="9"/>
      <c r="M172" s="19"/>
      <c r="N172" s="9"/>
      <c r="O172" s="19"/>
      <c r="P172" s="19"/>
      <c r="Q172" s="19"/>
      <c r="R172" s="19"/>
      <c r="S172" s="19"/>
      <c r="T172" s="19"/>
      <c r="U172" s="19"/>
      <c r="V172" s="19"/>
      <c r="W172" s="9" t="s">
        <v>2508</v>
      </c>
      <c r="X172" s="9" t="s">
        <v>52</v>
      </c>
      <c r="Y172" s="2" t="s">
        <v>52</v>
      </c>
      <c r="Z172" s="2" t="s">
        <v>52</v>
      </c>
      <c r="AA172" s="20"/>
      <c r="AB172" s="2" t="s">
        <v>52</v>
      </c>
    </row>
    <row r="173" spans="1:28" ht="30" customHeight="1" x14ac:dyDescent="0.3">
      <c r="A173" s="9" t="s">
        <v>1712</v>
      </c>
      <c r="B173" s="9" t="s">
        <v>1710</v>
      </c>
      <c r="C173" s="9" t="s">
        <v>1711</v>
      </c>
      <c r="D173" s="18" t="s">
        <v>73</v>
      </c>
      <c r="E173" s="19"/>
      <c r="F173" s="9"/>
      <c r="G173" s="19"/>
      <c r="H173" s="9"/>
      <c r="I173" s="19"/>
      <c r="J173" s="9"/>
      <c r="K173" s="19"/>
      <c r="L173" s="9"/>
      <c r="M173" s="19"/>
      <c r="N173" s="9"/>
      <c r="O173" s="19"/>
      <c r="P173" s="19"/>
      <c r="Q173" s="19"/>
      <c r="R173" s="19"/>
      <c r="S173" s="19"/>
      <c r="T173" s="19"/>
      <c r="U173" s="19"/>
      <c r="V173" s="19"/>
      <c r="W173" s="9" t="s">
        <v>2509</v>
      </c>
      <c r="X173" s="9" t="s">
        <v>52</v>
      </c>
      <c r="Y173" s="2" t="s">
        <v>52</v>
      </c>
      <c r="Z173" s="2" t="s">
        <v>52</v>
      </c>
      <c r="AA173" s="20"/>
      <c r="AB173" s="2" t="s">
        <v>52</v>
      </c>
    </row>
    <row r="174" spans="1:28" ht="30" customHeight="1" x14ac:dyDescent="0.3">
      <c r="A174" s="9" t="s">
        <v>1702</v>
      </c>
      <c r="B174" s="9" t="s">
        <v>1700</v>
      </c>
      <c r="C174" s="9" t="s">
        <v>1701</v>
      </c>
      <c r="D174" s="18" t="s">
        <v>73</v>
      </c>
      <c r="E174" s="19"/>
      <c r="F174" s="9"/>
      <c r="G174" s="19"/>
      <c r="H174" s="9"/>
      <c r="I174" s="19"/>
      <c r="J174" s="9"/>
      <c r="K174" s="19"/>
      <c r="L174" s="9"/>
      <c r="M174" s="19"/>
      <c r="N174" s="9"/>
      <c r="O174" s="19"/>
      <c r="P174" s="19"/>
      <c r="Q174" s="19"/>
      <c r="R174" s="19"/>
      <c r="S174" s="19"/>
      <c r="T174" s="19"/>
      <c r="U174" s="19"/>
      <c r="V174" s="19"/>
      <c r="W174" s="9" t="s">
        <v>2510</v>
      </c>
      <c r="X174" s="9" t="s">
        <v>52</v>
      </c>
      <c r="Y174" s="2" t="s">
        <v>52</v>
      </c>
      <c r="Z174" s="2" t="s">
        <v>52</v>
      </c>
      <c r="AA174" s="20"/>
      <c r="AB174" s="2" t="s">
        <v>52</v>
      </c>
    </row>
    <row r="175" spans="1:28" ht="30" customHeight="1" x14ac:dyDescent="0.3">
      <c r="A175" s="9" t="s">
        <v>1661</v>
      </c>
      <c r="B175" s="9" t="s">
        <v>1658</v>
      </c>
      <c r="C175" s="9" t="s">
        <v>1659</v>
      </c>
      <c r="D175" s="18" t="s">
        <v>427</v>
      </c>
      <c r="E175" s="19"/>
      <c r="F175" s="9"/>
      <c r="G175" s="19"/>
      <c r="H175" s="9"/>
      <c r="I175" s="19"/>
      <c r="J175" s="9"/>
      <c r="K175" s="19"/>
      <c r="L175" s="9"/>
      <c r="M175" s="19"/>
      <c r="N175" s="9"/>
      <c r="O175" s="19"/>
      <c r="P175" s="19"/>
      <c r="Q175" s="19"/>
      <c r="R175" s="19"/>
      <c r="S175" s="19"/>
      <c r="T175" s="19"/>
      <c r="U175" s="19"/>
      <c r="V175" s="19"/>
      <c r="W175" s="9" t="s">
        <v>2511</v>
      </c>
      <c r="X175" s="9" t="s">
        <v>1660</v>
      </c>
      <c r="Y175" s="2" t="s">
        <v>52</v>
      </c>
      <c r="Z175" s="2" t="s">
        <v>52</v>
      </c>
      <c r="AA175" s="20"/>
      <c r="AB175" s="2" t="s">
        <v>52</v>
      </c>
    </row>
    <row r="176" spans="1:28" ht="30" customHeight="1" x14ac:dyDescent="0.3">
      <c r="A176" s="9" t="s">
        <v>727</v>
      </c>
      <c r="B176" s="9" t="s">
        <v>724</v>
      </c>
      <c r="C176" s="9" t="s">
        <v>725</v>
      </c>
      <c r="D176" s="18" t="s">
        <v>726</v>
      </c>
      <c r="E176" s="19"/>
      <c r="F176" s="9"/>
      <c r="G176" s="19"/>
      <c r="H176" s="9"/>
      <c r="I176" s="19"/>
      <c r="J176" s="9"/>
      <c r="K176" s="19"/>
      <c r="L176" s="9"/>
      <c r="M176" s="19"/>
      <c r="N176" s="9"/>
      <c r="O176" s="19"/>
      <c r="P176" s="19"/>
      <c r="Q176" s="19"/>
      <c r="R176" s="19"/>
      <c r="S176" s="19"/>
      <c r="T176" s="19"/>
      <c r="U176" s="19"/>
      <c r="V176" s="19"/>
      <c r="W176" s="9" t="s">
        <v>2512</v>
      </c>
      <c r="X176" s="9" t="s">
        <v>52</v>
      </c>
      <c r="Y176" s="2" t="s">
        <v>2513</v>
      </c>
      <c r="Z176" s="2" t="s">
        <v>52</v>
      </c>
      <c r="AA176" s="20"/>
      <c r="AB176" s="2" t="s">
        <v>52</v>
      </c>
    </row>
    <row r="177" spans="1:28" ht="30" customHeight="1" x14ac:dyDescent="0.3">
      <c r="A177" s="9" t="s">
        <v>731</v>
      </c>
      <c r="B177" s="9" t="s">
        <v>729</v>
      </c>
      <c r="C177" s="9" t="s">
        <v>730</v>
      </c>
      <c r="D177" s="18" t="s">
        <v>726</v>
      </c>
      <c r="E177" s="19"/>
      <c r="F177" s="9"/>
      <c r="G177" s="19"/>
      <c r="H177" s="9"/>
      <c r="I177" s="19"/>
      <c r="J177" s="9"/>
      <c r="K177" s="19"/>
      <c r="L177" s="9"/>
      <c r="M177" s="19"/>
      <c r="N177" s="9"/>
      <c r="O177" s="19"/>
      <c r="P177" s="19"/>
      <c r="Q177" s="19"/>
      <c r="R177" s="19"/>
      <c r="S177" s="19"/>
      <c r="T177" s="19"/>
      <c r="U177" s="19"/>
      <c r="V177" s="19"/>
      <c r="W177" s="9" t="s">
        <v>2514</v>
      </c>
      <c r="X177" s="9" t="s">
        <v>52</v>
      </c>
      <c r="Y177" s="2" t="s">
        <v>2513</v>
      </c>
      <c r="Z177" s="2" t="s">
        <v>52</v>
      </c>
      <c r="AA177" s="20"/>
      <c r="AB177" s="2" t="s">
        <v>52</v>
      </c>
    </row>
    <row r="178" spans="1:28" ht="30" customHeight="1" x14ac:dyDescent="0.3">
      <c r="A178" s="9" t="s">
        <v>735</v>
      </c>
      <c r="B178" s="9" t="s">
        <v>733</v>
      </c>
      <c r="C178" s="9" t="s">
        <v>734</v>
      </c>
      <c r="D178" s="18" t="s">
        <v>726</v>
      </c>
      <c r="E178" s="19"/>
      <c r="F178" s="9"/>
      <c r="G178" s="19"/>
      <c r="H178" s="9"/>
      <c r="I178" s="19"/>
      <c r="J178" s="9"/>
      <c r="K178" s="19"/>
      <c r="L178" s="9"/>
      <c r="M178" s="19"/>
      <c r="N178" s="9"/>
      <c r="O178" s="19"/>
      <c r="P178" s="19"/>
      <c r="Q178" s="19"/>
      <c r="R178" s="19"/>
      <c r="S178" s="19"/>
      <c r="T178" s="19"/>
      <c r="U178" s="19"/>
      <c r="V178" s="19"/>
      <c r="W178" s="9" t="s">
        <v>2515</v>
      </c>
      <c r="X178" s="9" t="s">
        <v>52</v>
      </c>
      <c r="Y178" s="2" t="s">
        <v>2513</v>
      </c>
      <c r="Z178" s="2" t="s">
        <v>52</v>
      </c>
      <c r="AA178" s="20"/>
      <c r="AB178" s="2" t="s">
        <v>52</v>
      </c>
    </row>
    <row r="179" spans="1:28" ht="30" customHeight="1" x14ac:dyDescent="0.3">
      <c r="A179" s="9" t="s">
        <v>739</v>
      </c>
      <c r="B179" s="9" t="s">
        <v>737</v>
      </c>
      <c r="C179" s="9" t="s">
        <v>738</v>
      </c>
      <c r="D179" s="18" t="s">
        <v>726</v>
      </c>
      <c r="E179" s="19"/>
      <c r="F179" s="9"/>
      <c r="G179" s="19"/>
      <c r="H179" s="9"/>
      <c r="I179" s="19"/>
      <c r="J179" s="9"/>
      <c r="K179" s="19"/>
      <c r="L179" s="9"/>
      <c r="M179" s="19"/>
      <c r="N179" s="9"/>
      <c r="O179" s="19"/>
      <c r="P179" s="19"/>
      <c r="Q179" s="19"/>
      <c r="R179" s="19"/>
      <c r="S179" s="19"/>
      <c r="T179" s="19"/>
      <c r="U179" s="19"/>
      <c r="V179" s="19"/>
      <c r="W179" s="9" t="s">
        <v>2516</v>
      </c>
      <c r="X179" s="9" t="s">
        <v>52</v>
      </c>
      <c r="Y179" s="2" t="s">
        <v>2513</v>
      </c>
      <c r="Z179" s="2" t="s">
        <v>52</v>
      </c>
      <c r="AA179" s="20"/>
      <c r="AB179" s="2" t="s">
        <v>52</v>
      </c>
    </row>
    <row r="180" spans="1:28" ht="30" customHeight="1" x14ac:dyDescent="0.3">
      <c r="A180" s="9" t="s">
        <v>824</v>
      </c>
      <c r="B180" s="9" t="s">
        <v>821</v>
      </c>
      <c r="C180" s="9" t="s">
        <v>822</v>
      </c>
      <c r="D180" s="18" t="s">
        <v>823</v>
      </c>
      <c r="E180" s="19"/>
      <c r="F180" s="9"/>
      <c r="G180" s="19"/>
      <c r="H180" s="9"/>
      <c r="I180" s="19"/>
      <c r="J180" s="9"/>
      <c r="K180" s="19"/>
      <c r="L180" s="9"/>
      <c r="M180" s="19"/>
      <c r="N180" s="9"/>
      <c r="O180" s="19"/>
      <c r="P180" s="19"/>
      <c r="Q180" s="19"/>
      <c r="R180" s="19"/>
      <c r="S180" s="19"/>
      <c r="T180" s="19"/>
      <c r="U180" s="19"/>
      <c r="V180" s="19"/>
      <c r="W180" s="9" t="s">
        <v>2517</v>
      </c>
      <c r="X180" s="9" t="s">
        <v>52</v>
      </c>
      <c r="Y180" s="2" t="s">
        <v>2518</v>
      </c>
      <c r="Z180" s="2" t="s">
        <v>52</v>
      </c>
      <c r="AA180" s="20"/>
      <c r="AB180" s="2" t="s">
        <v>52</v>
      </c>
    </row>
    <row r="181" spans="1:28" ht="30" customHeight="1" x14ac:dyDescent="0.3">
      <c r="A181" s="9" t="s">
        <v>1097</v>
      </c>
      <c r="B181" s="9" t="s">
        <v>1096</v>
      </c>
      <c r="C181" s="9" t="s">
        <v>822</v>
      </c>
      <c r="D181" s="18" t="s">
        <v>823</v>
      </c>
      <c r="E181" s="19"/>
      <c r="F181" s="9"/>
      <c r="G181" s="19"/>
      <c r="H181" s="9"/>
      <c r="I181" s="19"/>
      <c r="J181" s="9"/>
      <c r="K181" s="19"/>
      <c r="L181" s="9"/>
      <c r="M181" s="19"/>
      <c r="N181" s="9"/>
      <c r="O181" s="19"/>
      <c r="P181" s="19"/>
      <c r="Q181" s="19"/>
      <c r="R181" s="19"/>
      <c r="S181" s="19"/>
      <c r="T181" s="19"/>
      <c r="U181" s="19"/>
      <c r="V181" s="19"/>
      <c r="W181" s="9" t="s">
        <v>2519</v>
      </c>
      <c r="X181" s="9" t="s">
        <v>52</v>
      </c>
      <c r="Y181" s="2" t="s">
        <v>2518</v>
      </c>
      <c r="Z181" s="2" t="s">
        <v>52</v>
      </c>
      <c r="AA181" s="20"/>
      <c r="AB181" s="2" t="s">
        <v>52</v>
      </c>
    </row>
    <row r="182" spans="1:28" ht="30" customHeight="1" x14ac:dyDescent="0.3">
      <c r="A182" s="9" t="s">
        <v>866</v>
      </c>
      <c r="B182" s="9" t="s">
        <v>865</v>
      </c>
      <c r="C182" s="9" t="s">
        <v>822</v>
      </c>
      <c r="D182" s="18" t="s">
        <v>823</v>
      </c>
      <c r="E182" s="19"/>
      <c r="F182" s="9"/>
      <c r="G182" s="19"/>
      <c r="H182" s="9"/>
      <c r="I182" s="19"/>
      <c r="J182" s="9"/>
      <c r="K182" s="19"/>
      <c r="L182" s="9"/>
      <c r="M182" s="19"/>
      <c r="N182" s="9"/>
      <c r="O182" s="19"/>
      <c r="P182" s="19"/>
      <c r="Q182" s="19"/>
      <c r="R182" s="19"/>
      <c r="S182" s="19"/>
      <c r="T182" s="19"/>
      <c r="U182" s="19"/>
      <c r="V182" s="19"/>
      <c r="W182" s="9" t="s">
        <v>2520</v>
      </c>
      <c r="X182" s="9" t="s">
        <v>52</v>
      </c>
      <c r="Y182" s="2" t="s">
        <v>2518</v>
      </c>
      <c r="Z182" s="2" t="s">
        <v>52</v>
      </c>
      <c r="AA182" s="20"/>
      <c r="AB182" s="2" t="s">
        <v>52</v>
      </c>
    </row>
    <row r="183" spans="1:28" ht="30" customHeight="1" x14ac:dyDescent="0.3">
      <c r="A183" s="9" t="s">
        <v>1139</v>
      </c>
      <c r="B183" s="9" t="s">
        <v>1138</v>
      </c>
      <c r="C183" s="9" t="s">
        <v>822</v>
      </c>
      <c r="D183" s="18" t="s">
        <v>823</v>
      </c>
      <c r="E183" s="19"/>
      <c r="F183" s="9"/>
      <c r="G183" s="19"/>
      <c r="H183" s="9"/>
      <c r="I183" s="19"/>
      <c r="J183" s="9"/>
      <c r="K183" s="19"/>
      <c r="L183" s="9"/>
      <c r="M183" s="19"/>
      <c r="N183" s="9"/>
      <c r="O183" s="19"/>
      <c r="P183" s="19"/>
      <c r="Q183" s="19"/>
      <c r="R183" s="19"/>
      <c r="S183" s="19"/>
      <c r="T183" s="19"/>
      <c r="U183" s="19"/>
      <c r="V183" s="19"/>
      <c r="W183" s="9" t="s">
        <v>2521</v>
      </c>
      <c r="X183" s="9" t="s">
        <v>52</v>
      </c>
      <c r="Y183" s="2" t="s">
        <v>2518</v>
      </c>
      <c r="Z183" s="2" t="s">
        <v>52</v>
      </c>
      <c r="AA183" s="20"/>
      <c r="AB183" s="2" t="s">
        <v>52</v>
      </c>
    </row>
    <row r="184" spans="1:28" ht="30" customHeight="1" x14ac:dyDescent="0.3">
      <c r="A184" s="9" t="s">
        <v>1406</v>
      </c>
      <c r="B184" s="9" t="s">
        <v>1405</v>
      </c>
      <c r="C184" s="9" t="s">
        <v>822</v>
      </c>
      <c r="D184" s="18" t="s">
        <v>823</v>
      </c>
      <c r="E184" s="19"/>
      <c r="F184" s="9"/>
      <c r="G184" s="19"/>
      <c r="H184" s="9"/>
      <c r="I184" s="19"/>
      <c r="J184" s="9"/>
      <c r="K184" s="19"/>
      <c r="L184" s="9"/>
      <c r="M184" s="19"/>
      <c r="N184" s="9"/>
      <c r="O184" s="19"/>
      <c r="P184" s="19"/>
      <c r="Q184" s="19"/>
      <c r="R184" s="19"/>
      <c r="S184" s="19"/>
      <c r="T184" s="19"/>
      <c r="U184" s="19"/>
      <c r="V184" s="19"/>
      <c r="W184" s="9" t="s">
        <v>2522</v>
      </c>
      <c r="X184" s="9" t="s">
        <v>52</v>
      </c>
      <c r="Y184" s="2" t="s">
        <v>2518</v>
      </c>
      <c r="Z184" s="2" t="s">
        <v>52</v>
      </c>
      <c r="AA184" s="20"/>
      <c r="AB184" s="2" t="s">
        <v>52</v>
      </c>
    </row>
    <row r="185" spans="1:28" ht="30" customHeight="1" x14ac:dyDescent="0.3">
      <c r="A185" s="9" t="s">
        <v>1873</v>
      </c>
      <c r="B185" s="9" t="s">
        <v>1872</v>
      </c>
      <c r="C185" s="9" t="s">
        <v>822</v>
      </c>
      <c r="D185" s="18" t="s">
        <v>823</v>
      </c>
      <c r="E185" s="19"/>
      <c r="F185" s="9"/>
      <c r="G185" s="19"/>
      <c r="H185" s="9"/>
      <c r="I185" s="19"/>
      <c r="J185" s="9"/>
      <c r="K185" s="19"/>
      <c r="L185" s="9"/>
      <c r="M185" s="19"/>
      <c r="N185" s="9"/>
      <c r="O185" s="19"/>
      <c r="P185" s="19"/>
      <c r="Q185" s="19"/>
      <c r="R185" s="19"/>
      <c r="S185" s="19"/>
      <c r="T185" s="19"/>
      <c r="U185" s="19"/>
      <c r="V185" s="19"/>
      <c r="W185" s="9" t="s">
        <v>2523</v>
      </c>
      <c r="X185" s="9" t="s">
        <v>52</v>
      </c>
      <c r="Y185" s="2" t="s">
        <v>2518</v>
      </c>
      <c r="Z185" s="2" t="s">
        <v>52</v>
      </c>
      <c r="AA185" s="20"/>
      <c r="AB185" s="2" t="s">
        <v>52</v>
      </c>
    </row>
    <row r="186" spans="1:28" ht="30" customHeight="1" x14ac:dyDescent="0.3">
      <c r="A186" s="9" t="s">
        <v>1981</v>
      </c>
      <c r="B186" s="9" t="s">
        <v>1980</v>
      </c>
      <c r="C186" s="9" t="s">
        <v>822</v>
      </c>
      <c r="D186" s="18" t="s">
        <v>823</v>
      </c>
      <c r="E186" s="19"/>
      <c r="F186" s="9"/>
      <c r="G186" s="19"/>
      <c r="H186" s="9"/>
      <c r="I186" s="19"/>
      <c r="J186" s="9"/>
      <c r="K186" s="19"/>
      <c r="L186" s="9"/>
      <c r="M186" s="19"/>
      <c r="N186" s="9"/>
      <c r="O186" s="19"/>
      <c r="P186" s="19"/>
      <c r="Q186" s="19"/>
      <c r="R186" s="19"/>
      <c r="S186" s="19"/>
      <c r="T186" s="19"/>
      <c r="U186" s="19"/>
      <c r="V186" s="19"/>
      <c r="W186" s="9" t="s">
        <v>2524</v>
      </c>
      <c r="X186" s="9" t="s">
        <v>52</v>
      </c>
      <c r="Y186" s="2" t="s">
        <v>2518</v>
      </c>
      <c r="Z186" s="2" t="s">
        <v>52</v>
      </c>
      <c r="AA186" s="20"/>
      <c r="AB186" s="2" t="s">
        <v>52</v>
      </c>
    </row>
    <row r="187" spans="1:28" ht="30" customHeight="1" x14ac:dyDescent="0.3">
      <c r="A187" s="9" t="s">
        <v>888</v>
      </c>
      <c r="B187" s="9" t="s">
        <v>887</v>
      </c>
      <c r="C187" s="9" t="s">
        <v>822</v>
      </c>
      <c r="D187" s="18" t="s">
        <v>823</v>
      </c>
      <c r="E187" s="19"/>
      <c r="F187" s="9"/>
      <c r="G187" s="19"/>
      <c r="H187" s="9"/>
      <c r="I187" s="19"/>
      <c r="J187" s="9"/>
      <c r="K187" s="19"/>
      <c r="L187" s="9"/>
      <c r="M187" s="19"/>
      <c r="N187" s="9"/>
      <c r="O187" s="19"/>
      <c r="P187" s="19"/>
      <c r="Q187" s="19"/>
      <c r="R187" s="19"/>
      <c r="S187" s="19"/>
      <c r="T187" s="19"/>
      <c r="U187" s="19"/>
      <c r="V187" s="19"/>
      <c r="W187" s="9" t="s">
        <v>2525</v>
      </c>
      <c r="X187" s="9" t="s">
        <v>52</v>
      </c>
      <c r="Y187" s="2" t="s">
        <v>2518</v>
      </c>
      <c r="Z187" s="2" t="s">
        <v>52</v>
      </c>
      <c r="AA187" s="20"/>
      <c r="AB187" s="2" t="s">
        <v>52</v>
      </c>
    </row>
    <row r="188" spans="1:28" ht="30" customHeight="1" x14ac:dyDescent="0.3">
      <c r="A188" s="9" t="s">
        <v>1072</v>
      </c>
      <c r="B188" s="9" t="s">
        <v>1071</v>
      </c>
      <c r="C188" s="9" t="s">
        <v>822</v>
      </c>
      <c r="D188" s="18" t="s">
        <v>823</v>
      </c>
      <c r="E188" s="19"/>
      <c r="F188" s="9"/>
      <c r="G188" s="19"/>
      <c r="H188" s="9"/>
      <c r="I188" s="19"/>
      <c r="J188" s="9"/>
      <c r="K188" s="19"/>
      <c r="L188" s="9"/>
      <c r="M188" s="19"/>
      <c r="N188" s="9"/>
      <c r="O188" s="19"/>
      <c r="P188" s="19"/>
      <c r="Q188" s="19"/>
      <c r="R188" s="19"/>
      <c r="S188" s="19"/>
      <c r="T188" s="19"/>
      <c r="U188" s="19"/>
      <c r="V188" s="19"/>
      <c r="W188" s="9" t="s">
        <v>2526</v>
      </c>
      <c r="X188" s="9" t="s">
        <v>52</v>
      </c>
      <c r="Y188" s="2" t="s">
        <v>2518</v>
      </c>
      <c r="Z188" s="2" t="s">
        <v>52</v>
      </c>
      <c r="AA188" s="20"/>
      <c r="AB188" s="2" t="s">
        <v>52</v>
      </c>
    </row>
    <row r="189" spans="1:28" ht="30" customHeight="1" x14ac:dyDescent="0.3">
      <c r="A189" s="9" t="s">
        <v>2016</v>
      </c>
      <c r="B189" s="9" t="s">
        <v>2015</v>
      </c>
      <c r="C189" s="9" t="s">
        <v>822</v>
      </c>
      <c r="D189" s="18" t="s">
        <v>823</v>
      </c>
      <c r="E189" s="19"/>
      <c r="F189" s="9"/>
      <c r="G189" s="19"/>
      <c r="H189" s="9"/>
      <c r="I189" s="19"/>
      <c r="J189" s="9"/>
      <c r="K189" s="19"/>
      <c r="L189" s="9"/>
      <c r="M189" s="19"/>
      <c r="N189" s="9"/>
      <c r="O189" s="19"/>
      <c r="P189" s="19"/>
      <c r="Q189" s="19"/>
      <c r="R189" s="19"/>
      <c r="S189" s="19"/>
      <c r="T189" s="19"/>
      <c r="U189" s="19"/>
      <c r="V189" s="19"/>
      <c r="W189" s="9" t="s">
        <v>2527</v>
      </c>
      <c r="X189" s="9" t="s">
        <v>52</v>
      </c>
      <c r="Y189" s="2" t="s">
        <v>2518</v>
      </c>
      <c r="Z189" s="2" t="s">
        <v>52</v>
      </c>
      <c r="AA189" s="20"/>
      <c r="AB189" s="2" t="s">
        <v>52</v>
      </c>
    </row>
    <row r="190" spans="1:28" ht="30" customHeight="1" x14ac:dyDescent="0.3">
      <c r="A190" s="9" t="s">
        <v>1113</v>
      </c>
      <c r="B190" s="9" t="s">
        <v>1112</v>
      </c>
      <c r="C190" s="9" t="s">
        <v>822</v>
      </c>
      <c r="D190" s="18" t="s">
        <v>823</v>
      </c>
      <c r="E190" s="19"/>
      <c r="F190" s="9"/>
      <c r="G190" s="19"/>
      <c r="H190" s="9"/>
      <c r="I190" s="19"/>
      <c r="J190" s="9"/>
      <c r="K190" s="19"/>
      <c r="L190" s="9"/>
      <c r="M190" s="19"/>
      <c r="N190" s="9"/>
      <c r="O190" s="19"/>
      <c r="P190" s="19"/>
      <c r="Q190" s="19"/>
      <c r="R190" s="19"/>
      <c r="S190" s="19"/>
      <c r="T190" s="19"/>
      <c r="U190" s="19"/>
      <c r="V190" s="19"/>
      <c r="W190" s="9" t="s">
        <v>2528</v>
      </c>
      <c r="X190" s="9" t="s">
        <v>52</v>
      </c>
      <c r="Y190" s="2" t="s">
        <v>2518</v>
      </c>
      <c r="Z190" s="2" t="s">
        <v>52</v>
      </c>
      <c r="AA190" s="20"/>
      <c r="AB190" s="2" t="s">
        <v>52</v>
      </c>
    </row>
    <row r="191" spans="1:28" ht="30" customHeight="1" x14ac:dyDescent="0.3">
      <c r="A191" s="9" t="s">
        <v>1034</v>
      </c>
      <c r="B191" s="9" t="s">
        <v>1033</v>
      </c>
      <c r="C191" s="9" t="s">
        <v>822</v>
      </c>
      <c r="D191" s="18" t="s">
        <v>823</v>
      </c>
      <c r="E191" s="19"/>
      <c r="F191" s="9"/>
      <c r="G191" s="19"/>
      <c r="H191" s="9"/>
      <c r="I191" s="19"/>
      <c r="J191" s="9"/>
      <c r="K191" s="19"/>
      <c r="L191" s="9"/>
      <c r="M191" s="19"/>
      <c r="N191" s="9"/>
      <c r="O191" s="19"/>
      <c r="P191" s="19"/>
      <c r="Q191" s="19"/>
      <c r="R191" s="19"/>
      <c r="S191" s="19"/>
      <c r="T191" s="19"/>
      <c r="U191" s="19"/>
      <c r="V191" s="19"/>
      <c r="W191" s="9" t="s">
        <v>2529</v>
      </c>
      <c r="X191" s="9" t="s">
        <v>52</v>
      </c>
      <c r="Y191" s="2" t="s">
        <v>2518</v>
      </c>
      <c r="Z191" s="2" t="s">
        <v>52</v>
      </c>
      <c r="AA191" s="20"/>
      <c r="AB191" s="2" t="s">
        <v>52</v>
      </c>
    </row>
    <row r="192" spans="1:28" ht="30" customHeight="1" x14ac:dyDescent="0.3">
      <c r="A192" s="9" t="s">
        <v>932</v>
      </c>
      <c r="B192" s="9" t="s">
        <v>931</v>
      </c>
      <c r="C192" s="9" t="s">
        <v>822</v>
      </c>
      <c r="D192" s="18" t="s">
        <v>823</v>
      </c>
      <c r="E192" s="19"/>
      <c r="F192" s="9"/>
      <c r="G192" s="19"/>
      <c r="H192" s="9"/>
      <c r="I192" s="19"/>
      <c r="J192" s="9"/>
      <c r="K192" s="19"/>
      <c r="L192" s="9"/>
      <c r="M192" s="19"/>
      <c r="N192" s="9"/>
      <c r="O192" s="19"/>
      <c r="P192" s="19"/>
      <c r="Q192" s="19"/>
      <c r="R192" s="19"/>
      <c r="S192" s="19"/>
      <c r="T192" s="19"/>
      <c r="U192" s="19"/>
      <c r="V192" s="19"/>
      <c r="W192" s="9" t="s">
        <v>2530</v>
      </c>
      <c r="X192" s="9" t="s">
        <v>52</v>
      </c>
      <c r="Y192" s="2" t="s">
        <v>2518</v>
      </c>
      <c r="Z192" s="2" t="s">
        <v>52</v>
      </c>
      <c r="AA192" s="20"/>
      <c r="AB192" s="2" t="s">
        <v>52</v>
      </c>
    </row>
    <row r="193" spans="1:28" ht="30" customHeight="1" x14ac:dyDescent="0.3">
      <c r="A193" s="9" t="s">
        <v>1988</v>
      </c>
      <c r="B193" s="9" t="s">
        <v>1987</v>
      </c>
      <c r="C193" s="9" t="s">
        <v>822</v>
      </c>
      <c r="D193" s="18" t="s">
        <v>823</v>
      </c>
      <c r="E193" s="19"/>
      <c r="F193" s="9"/>
      <c r="G193" s="19"/>
      <c r="H193" s="9"/>
      <c r="I193" s="19"/>
      <c r="J193" s="9"/>
      <c r="K193" s="19"/>
      <c r="L193" s="9"/>
      <c r="M193" s="19"/>
      <c r="N193" s="9"/>
      <c r="O193" s="19"/>
      <c r="P193" s="19"/>
      <c r="Q193" s="19"/>
      <c r="R193" s="19"/>
      <c r="S193" s="19"/>
      <c r="T193" s="19"/>
      <c r="U193" s="19"/>
      <c r="V193" s="19"/>
      <c r="W193" s="9" t="s">
        <v>2531</v>
      </c>
      <c r="X193" s="9" t="s">
        <v>52</v>
      </c>
      <c r="Y193" s="2" t="s">
        <v>2518</v>
      </c>
      <c r="Z193" s="2" t="s">
        <v>52</v>
      </c>
      <c r="AA193" s="20"/>
      <c r="AB193" s="2" t="s">
        <v>52</v>
      </c>
    </row>
    <row r="194" spans="1:28" ht="30" customHeight="1" x14ac:dyDescent="0.3">
      <c r="A194" s="9" t="s">
        <v>1585</v>
      </c>
      <c r="B194" s="9" t="s">
        <v>1584</v>
      </c>
      <c r="C194" s="9" t="s">
        <v>822</v>
      </c>
      <c r="D194" s="18" t="s">
        <v>823</v>
      </c>
      <c r="E194" s="19"/>
      <c r="F194" s="9"/>
      <c r="G194" s="19"/>
      <c r="H194" s="9"/>
      <c r="I194" s="19"/>
      <c r="J194" s="9"/>
      <c r="K194" s="19"/>
      <c r="L194" s="9"/>
      <c r="M194" s="19"/>
      <c r="N194" s="9"/>
      <c r="O194" s="19"/>
      <c r="P194" s="19"/>
      <c r="Q194" s="19"/>
      <c r="R194" s="19"/>
      <c r="S194" s="19"/>
      <c r="T194" s="19"/>
      <c r="U194" s="19"/>
      <c r="V194" s="19"/>
      <c r="W194" s="9" t="s">
        <v>2532</v>
      </c>
      <c r="X194" s="9" t="s">
        <v>52</v>
      </c>
      <c r="Y194" s="2" t="s">
        <v>2518</v>
      </c>
      <c r="Z194" s="2" t="s">
        <v>52</v>
      </c>
      <c r="AA194" s="20"/>
      <c r="AB194" s="2" t="s">
        <v>52</v>
      </c>
    </row>
    <row r="195" spans="1:28" ht="30" customHeight="1" x14ac:dyDescent="0.3">
      <c r="A195" s="9" t="s">
        <v>1061</v>
      </c>
      <c r="B195" s="9" t="s">
        <v>1060</v>
      </c>
      <c r="C195" s="9" t="s">
        <v>822</v>
      </c>
      <c r="D195" s="18" t="s">
        <v>823</v>
      </c>
      <c r="E195" s="19"/>
      <c r="F195" s="9"/>
      <c r="G195" s="19"/>
      <c r="H195" s="9"/>
      <c r="I195" s="19"/>
      <c r="J195" s="9"/>
      <c r="K195" s="19"/>
      <c r="L195" s="9"/>
      <c r="M195" s="19"/>
      <c r="N195" s="9"/>
      <c r="O195" s="19"/>
      <c r="P195" s="19"/>
      <c r="Q195" s="19"/>
      <c r="R195" s="19"/>
      <c r="S195" s="19"/>
      <c r="T195" s="19"/>
      <c r="U195" s="19"/>
      <c r="V195" s="19"/>
      <c r="W195" s="9" t="s">
        <v>2533</v>
      </c>
      <c r="X195" s="9" t="s">
        <v>52</v>
      </c>
      <c r="Y195" s="2" t="s">
        <v>2518</v>
      </c>
      <c r="Z195" s="2" t="s">
        <v>52</v>
      </c>
      <c r="AA195" s="20"/>
      <c r="AB195" s="2" t="s">
        <v>52</v>
      </c>
    </row>
    <row r="196" spans="1:28" ht="30" customHeight="1" x14ac:dyDescent="0.3">
      <c r="A196" s="9" t="s">
        <v>1142</v>
      </c>
      <c r="B196" s="9" t="s">
        <v>1060</v>
      </c>
      <c r="C196" s="9" t="s">
        <v>1141</v>
      </c>
      <c r="D196" s="18" t="s">
        <v>823</v>
      </c>
      <c r="E196" s="19"/>
      <c r="F196" s="9"/>
      <c r="G196" s="19"/>
      <c r="H196" s="9"/>
      <c r="I196" s="19"/>
      <c r="J196" s="9"/>
      <c r="K196" s="19"/>
      <c r="L196" s="9"/>
      <c r="M196" s="19"/>
      <c r="N196" s="9"/>
      <c r="O196" s="19"/>
      <c r="P196" s="19"/>
      <c r="Q196" s="19"/>
      <c r="R196" s="19"/>
      <c r="S196" s="19"/>
      <c r="T196" s="19"/>
      <c r="U196" s="19"/>
      <c r="V196" s="19"/>
      <c r="W196" s="9" t="s">
        <v>2534</v>
      </c>
      <c r="X196" s="9" t="s">
        <v>52</v>
      </c>
      <c r="Y196" s="2" t="s">
        <v>2518</v>
      </c>
      <c r="Z196" s="2" t="s">
        <v>52</v>
      </c>
      <c r="AA196" s="20"/>
      <c r="AB196" s="2" t="s">
        <v>52</v>
      </c>
    </row>
    <row r="197" spans="1:28" ht="30" customHeight="1" x14ac:dyDescent="0.3">
      <c r="A197" s="9" t="s">
        <v>1145</v>
      </c>
      <c r="B197" s="9" t="s">
        <v>1060</v>
      </c>
      <c r="C197" s="9" t="s">
        <v>1144</v>
      </c>
      <c r="D197" s="18" t="s">
        <v>823</v>
      </c>
      <c r="E197" s="19"/>
      <c r="F197" s="9"/>
      <c r="G197" s="19"/>
      <c r="H197" s="9"/>
      <c r="I197" s="19"/>
      <c r="J197" s="9"/>
      <c r="K197" s="19"/>
      <c r="L197" s="9"/>
      <c r="M197" s="19"/>
      <c r="N197" s="9"/>
      <c r="O197" s="19"/>
      <c r="P197" s="19"/>
      <c r="Q197" s="19"/>
      <c r="R197" s="19"/>
      <c r="S197" s="19"/>
      <c r="T197" s="19"/>
      <c r="U197" s="19"/>
      <c r="V197" s="19"/>
      <c r="W197" s="9" t="s">
        <v>2535</v>
      </c>
      <c r="X197" s="9" t="s">
        <v>52</v>
      </c>
      <c r="Y197" s="2" t="s">
        <v>2518</v>
      </c>
      <c r="Z197" s="2" t="s">
        <v>52</v>
      </c>
      <c r="AA197" s="20"/>
      <c r="AB197" s="2" t="s">
        <v>52</v>
      </c>
    </row>
    <row r="198" spans="1:28" ht="30" customHeight="1" x14ac:dyDescent="0.3">
      <c r="A198" s="9" t="s">
        <v>1148</v>
      </c>
      <c r="B198" s="9" t="s">
        <v>1060</v>
      </c>
      <c r="C198" s="9" t="s">
        <v>1147</v>
      </c>
      <c r="D198" s="18" t="s">
        <v>823</v>
      </c>
      <c r="E198" s="19"/>
      <c r="F198" s="9"/>
      <c r="G198" s="19"/>
      <c r="H198" s="9"/>
      <c r="I198" s="19"/>
      <c r="J198" s="9"/>
      <c r="K198" s="19"/>
      <c r="L198" s="9"/>
      <c r="M198" s="19"/>
      <c r="N198" s="9"/>
      <c r="O198" s="19"/>
      <c r="P198" s="19"/>
      <c r="Q198" s="19"/>
      <c r="R198" s="19"/>
      <c r="S198" s="19"/>
      <c r="T198" s="19"/>
      <c r="U198" s="19"/>
      <c r="V198" s="19"/>
      <c r="W198" s="9" t="s">
        <v>2536</v>
      </c>
      <c r="X198" s="9" t="s">
        <v>52</v>
      </c>
      <c r="Y198" s="2" t="s">
        <v>2518</v>
      </c>
      <c r="Z198" s="2" t="s">
        <v>52</v>
      </c>
      <c r="AA198" s="20"/>
      <c r="AB198" s="2" t="s">
        <v>52</v>
      </c>
    </row>
    <row r="199" spans="1:28" ht="30" customHeight="1" x14ac:dyDescent="0.3">
      <c r="A199" s="9" t="s">
        <v>1151</v>
      </c>
      <c r="B199" s="9" t="s">
        <v>1060</v>
      </c>
      <c r="C199" s="9" t="s">
        <v>1150</v>
      </c>
      <c r="D199" s="18" t="s">
        <v>823</v>
      </c>
      <c r="E199" s="19"/>
      <c r="F199" s="9"/>
      <c r="G199" s="19"/>
      <c r="H199" s="9"/>
      <c r="I199" s="19"/>
      <c r="J199" s="9"/>
      <c r="K199" s="19"/>
      <c r="L199" s="9"/>
      <c r="M199" s="19"/>
      <c r="N199" s="9"/>
      <c r="O199" s="19"/>
      <c r="P199" s="19"/>
      <c r="Q199" s="19"/>
      <c r="R199" s="19"/>
      <c r="S199" s="19"/>
      <c r="T199" s="19"/>
      <c r="U199" s="19"/>
      <c r="V199" s="19"/>
      <c r="W199" s="9" t="s">
        <v>2537</v>
      </c>
      <c r="X199" s="9" t="s">
        <v>52</v>
      </c>
      <c r="Y199" s="2" t="s">
        <v>2518</v>
      </c>
      <c r="Z199" s="2" t="s">
        <v>52</v>
      </c>
      <c r="AA199" s="20"/>
      <c r="AB199" s="2" t="s">
        <v>52</v>
      </c>
    </row>
    <row r="200" spans="1:28" ht="30" customHeight="1" x14ac:dyDescent="0.3">
      <c r="A200" s="9" t="s">
        <v>1255</v>
      </c>
      <c r="B200" s="9" t="s">
        <v>1254</v>
      </c>
      <c r="C200" s="9" t="s">
        <v>822</v>
      </c>
      <c r="D200" s="18" t="s">
        <v>823</v>
      </c>
      <c r="E200" s="19"/>
      <c r="F200" s="9"/>
      <c r="G200" s="19"/>
      <c r="H200" s="9"/>
      <c r="I200" s="19"/>
      <c r="J200" s="9"/>
      <c r="K200" s="19"/>
      <c r="L200" s="9"/>
      <c r="M200" s="19"/>
      <c r="N200" s="9"/>
      <c r="O200" s="19"/>
      <c r="P200" s="19"/>
      <c r="Q200" s="19"/>
      <c r="R200" s="19"/>
      <c r="S200" s="19"/>
      <c r="T200" s="19"/>
      <c r="U200" s="19"/>
      <c r="V200" s="19"/>
      <c r="W200" s="9" t="s">
        <v>2538</v>
      </c>
      <c r="X200" s="9" t="s">
        <v>52</v>
      </c>
      <c r="Y200" s="2" t="s">
        <v>2518</v>
      </c>
      <c r="Z200" s="2" t="s">
        <v>52</v>
      </c>
      <c r="AA200" s="20"/>
      <c r="AB200" s="2" t="s">
        <v>52</v>
      </c>
    </row>
    <row r="201" spans="1:28" ht="30" customHeight="1" x14ac:dyDescent="0.3">
      <c r="A201" s="9" t="s">
        <v>2139</v>
      </c>
      <c r="B201" s="9" t="s">
        <v>2138</v>
      </c>
      <c r="C201" s="9" t="s">
        <v>822</v>
      </c>
      <c r="D201" s="18" t="s">
        <v>823</v>
      </c>
      <c r="E201" s="19"/>
      <c r="F201" s="9"/>
      <c r="G201" s="19"/>
      <c r="H201" s="9"/>
      <c r="I201" s="19"/>
      <c r="J201" s="9"/>
      <c r="K201" s="19"/>
      <c r="L201" s="9"/>
      <c r="M201" s="19"/>
      <c r="N201" s="9"/>
      <c r="O201" s="19"/>
      <c r="P201" s="19"/>
      <c r="Q201" s="19"/>
      <c r="R201" s="19"/>
      <c r="S201" s="19"/>
      <c r="T201" s="19"/>
      <c r="U201" s="19"/>
      <c r="V201" s="19"/>
      <c r="W201" s="9" t="s">
        <v>2539</v>
      </c>
      <c r="X201" s="9" t="s">
        <v>52</v>
      </c>
      <c r="Y201" s="2" t="s">
        <v>2518</v>
      </c>
      <c r="Z201" s="2" t="s">
        <v>52</v>
      </c>
      <c r="AA201" s="20"/>
      <c r="AB201" s="2" t="s">
        <v>52</v>
      </c>
    </row>
    <row r="202" spans="1:28" ht="30" customHeight="1" x14ac:dyDescent="0.3">
      <c r="A202" s="9" t="s">
        <v>2101</v>
      </c>
      <c r="B202" s="9" t="s">
        <v>2100</v>
      </c>
      <c r="C202" s="9" t="s">
        <v>822</v>
      </c>
      <c r="D202" s="18" t="s">
        <v>823</v>
      </c>
      <c r="E202" s="19"/>
      <c r="F202" s="9"/>
      <c r="G202" s="19"/>
      <c r="H202" s="9"/>
      <c r="I202" s="19"/>
      <c r="J202" s="9"/>
      <c r="K202" s="19"/>
      <c r="L202" s="9"/>
      <c r="M202" s="19"/>
      <c r="N202" s="9"/>
      <c r="O202" s="19"/>
      <c r="P202" s="19"/>
      <c r="Q202" s="19"/>
      <c r="R202" s="19"/>
      <c r="S202" s="19"/>
      <c r="T202" s="19"/>
      <c r="U202" s="19"/>
      <c r="V202" s="19"/>
      <c r="W202" s="9" t="s">
        <v>2540</v>
      </c>
      <c r="X202" s="9" t="s">
        <v>52</v>
      </c>
      <c r="Y202" s="2" t="s">
        <v>2518</v>
      </c>
      <c r="Z202" s="2" t="s">
        <v>52</v>
      </c>
      <c r="AA202" s="20"/>
      <c r="AB202" s="2" t="s">
        <v>52</v>
      </c>
    </row>
    <row r="203" spans="1:28" ht="30" customHeight="1" x14ac:dyDescent="0.3">
      <c r="A203" s="9" t="s">
        <v>1690</v>
      </c>
      <c r="B203" s="9" t="s">
        <v>1689</v>
      </c>
      <c r="C203" s="9" t="s">
        <v>822</v>
      </c>
      <c r="D203" s="18" t="s">
        <v>823</v>
      </c>
      <c r="E203" s="19"/>
      <c r="F203" s="9"/>
      <c r="G203" s="19"/>
      <c r="H203" s="9"/>
      <c r="I203" s="19"/>
      <c r="J203" s="9"/>
      <c r="K203" s="19"/>
      <c r="L203" s="9"/>
      <c r="M203" s="19"/>
      <c r="N203" s="9"/>
      <c r="O203" s="19"/>
      <c r="P203" s="19"/>
      <c r="Q203" s="19"/>
      <c r="R203" s="19"/>
      <c r="S203" s="19"/>
      <c r="T203" s="19"/>
      <c r="U203" s="19"/>
      <c r="V203" s="19"/>
      <c r="W203" s="9" t="s">
        <v>2541</v>
      </c>
      <c r="X203" s="9" t="s">
        <v>52</v>
      </c>
      <c r="Y203" s="2" t="s">
        <v>2518</v>
      </c>
      <c r="Z203" s="2" t="s">
        <v>52</v>
      </c>
      <c r="AA203" s="20"/>
      <c r="AB203" s="2" t="s">
        <v>52</v>
      </c>
    </row>
    <row r="204" spans="1:28" ht="30" customHeight="1" x14ac:dyDescent="0.3">
      <c r="A204" s="9" t="s">
        <v>1705</v>
      </c>
      <c r="B204" s="9" t="s">
        <v>1704</v>
      </c>
      <c r="C204" s="9" t="s">
        <v>822</v>
      </c>
      <c r="D204" s="18" t="s">
        <v>823</v>
      </c>
      <c r="E204" s="19"/>
      <c r="F204" s="9"/>
      <c r="G204" s="19"/>
      <c r="H204" s="9"/>
      <c r="I204" s="19"/>
      <c r="J204" s="9"/>
      <c r="K204" s="19"/>
      <c r="L204" s="9"/>
      <c r="M204" s="19"/>
      <c r="N204" s="9"/>
      <c r="O204" s="19"/>
      <c r="P204" s="19"/>
      <c r="Q204" s="19"/>
      <c r="R204" s="19"/>
      <c r="S204" s="19"/>
      <c r="T204" s="19"/>
      <c r="U204" s="19"/>
      <c r="V204" s="19"/>
      <c r="W204" s="9" t="s">
        <v>2542</v>
      </c>
      <c r="X204" s="9" t="s">
        <v>52</v>
      </c>
      <c r="Y204" s="2" t="s">
        <v>2518</v>
      </c>
      <c r="Z204" s="2" t="s">
        <v>52</v>
      </c>
      <c r="AA204" s="20"/>
      <c r="AB204" s="2" t="s">
        <v>52</v>
      </c>
    </row>
    <row r="205" spans="1:28" ht="30" customHeight="1" x14ac:dyDescent="0.3">
      <c r="A205" s="9" t="s">
        <v>1599</v>
      </c>
      <c r="B205" s="9" t="s">
        <v>1598</v>
      </c>
      <c r="C205" s="9" t="s">
        <v>822</v>
      </c>
      <c r="D205" s="18" t="s">
        <v>823</v>
      </c>
      <c r="E205" s="19"/>
      <c r="F205" s="9"/>
      <c r="G205" s="19"/>
      <c r="H205" s="9"/>
      <c r="I205" s="19"/>
      <c r="J205" s="9"/>
      <c r="K205" s="19"/>
      <c r="L205" s="9"/>
      <c r="M205" s="19"/>
      <c r="N205" s="9"/>
      <c r="O205" s="19"/>
      <c r="P205" s="19"/>
      <c r="Q205" s="19"/>
      <c r="R205" s="19"/>
      <c r="S205" s="19"/>
      <c r="T205" s="19"/>
      <c r="U205" s="19"/>
      <c r="V205" s="19"/>
      <c r="W205" s="9" t="s">
        <v>2543</v>
      </c>
      <c r="X205" s="9" t="s">
        <v>52</v>
      </c>
      <c r="Y205" s="2" t="s">
        <v>2518</v>
      </c>
      <c r="Z205" s="2" t="s">
        <v>52</v>
      </c>
      <c r="AA205" s="20"/>
      <c r="AB205" s="2" t="s">
        <v>52</v>
      </c>
    </row>
    <row r="206" spans="1:28" ht="30" customHeight="1" x14ac:dyDescent="0.3">
      <c r="A206" s="9" t="s">
        <v>1910</v>
      </c>
      <c r="B206" s="9" t="s">
        <v>1909</v>
      </c>
      <c r="C206" s="9" t="s">
        <v>822</v>
      </c>
      <c r="D206" s="18" t="s">
        <v>823</v>
      </c>
      <c r="E206" s="19"/>
      <c r="F206" s="9"/>
      <c r="G206" s="19"/>
      <c r="H206" s="9"/>
      <c r="I206" s="19"/>
      <c r="J206" s="9"/>
      <c r="K206" s="19"/>
      <c r="L206" s="9"/>
      <c r="M206" s="19"/>
      <c r="N206" s="9"/>
      <c r="O206" s="19"/>
      <c r="P206" s="19"/>
      <c r="Q206" s="19"/>
      <c r="R206" s="19"/>
      <c r="S206" s="19"/>
      <c r="T206" s="19"/>
      <c r="U206" s="19"/>
      <c r="V206" s="19"/>
      <c r="W206" s="9" t="s">
        <v>2544</v>
      </c>
      <c r="X206" s="9" t="s">
        <v>52</v>
      </c>
      <c r="Y206" s="2" t="s">
        <v>2518</v>
      </c>
      <c r="Z206" s="2" t="s">
        <v>52</v>
      </c>
      <c r="AA206" s="20"/>
      <c r="AB206" s="2" t="s">
        <v>52</v>
      </c>
    </row>
    <row r="207" spans="1:28" ht="30" customHeight="1" x14ac:dyDescent="0.3">
      <c r="A207" s="9" t="s">
        <v>1784</v>
      </c>
      <c r="B207" s="9" t="s">
        <v>1783</v>
      </c>
      <c r="C207" s="9" t="s">
        <v>822</v>
      </c>
      <c r="D207" s="18" t="s">
        <v>823</v>
      </c>
      <c r="E207" s="19"/>
      <c r="F207" s="9"/>
      <c r="G207" s="19"/>
      <c r="H207" s="9"/>
      <c r="I207" s="19"/>
      <c r="J207" s="9"/>
      <c r="K207" s="19"/>
      <c r="L207" s="9"/>
      <c r="M207" s="19"/>
      <c r="N207" s="9"/>
      <c r="O207" s="19"/>
      <c r="P207" s="19"/>
      <c r="Q207" s="19"/>
      <c r="R207" s="19"/>
      <c r="S207" s="19"/>
      <c r="T207" s="19"/>
      <c r="U207" s="19"/>
      <c r="V207" s="19"/>
      <c r="W207" s="9" t="s">
        <v>2545</v>
      </c>
      <c r="X207" s="9" t="s">
        <v>52</v>
      </c>
      <c r="Y207" s="2" t="s">
        <v>2518</v>
      </c>
      <c r="Z207" s="2" t="s">
        <v>52</v>
      </c>
      <c r="AA207" s="20"/>
      <c r="AB207" s="2" t="s">
        <v>52</v>
      </c>
    </row>
    <row r="208" spans="1:28" ht="30" customHeight="1" x14ac:dyDescent="0.3">
      <c r="A208" s="9" t="s">
        <v>2059</v>
      </c>
      <c r="B208" s="9" t="s">
        <v>2058</v>
      </c>
      <c r="C208" s="9" t="s">
        <v>822</v>
      </c>
      <c r="D208" s="18" t="s">
        <v>823</v>
      </c>
      <c r="E208" s="19"/>
      <c r="F208" s="9"/>
      <c r="G208" s="19"/>
      <c r="H208" s="9"/>
      <c r="I208" s="19"/>
      <c r="J208" s="9"/>
      <c r="K208" s="19"/>
      <c r="L208" s="9"/>
      <c r="M208" s="19"/>
      <c r="N208" s="9"/>
      <c r="O208" s="19"/>
      <c r="P208" s="19"/>
      <c r="Q208" s="19"/>
      <c r="R208" s="19"/>
      <c r="S208" s="19"/>
      <c r="T208" s="19"/>
      <c r="U208" s="19"/>
      <c r="V208" s="19"/>
      <c r="W208" s="9" t="s">
        <v>2546</v>
      </c>
      <c r="X208" s="9" t="s">
        <v>52</v>
      </c>
      <c r="Y208" s="2" t="s">
        <v>2518</v>
      </c>
      <c r="Z208" s="2" t="s">
        <v>52</v>
      </c>
      <c r="AA208" s="20"/>
      <c r="AB208" s="2" t="s">
        <v>52</v>
      </c>
    </row>
    <row r="209" spans="1:28" ht="30" customHeight="1" x14ac:dyDescent="0.3">
      <c r="A209" s="9" t="s">
        <v>1715</v>
      </c>
      <c r="B209" s="9" t="s">
        <v>1714</v>
      </c>
      <c r="C209" s="9" t="s">
        <v>822</v>
      </c>
      <c r="D209" s="18" t="s">
        <v>823</v>
      </c>
      <c r="E209" s="19"/>
      <c r="F209" s="9"/>
      <c r="G209" s="19"/>
      <c r="H209" s="9"/>
      <c r="I209" s="19"/>
      <c r="J209" s="9"/>
      <c r="K209" s="19"/>
      <c r="L209" s="9"/>
      <c r="M209" s="19"/>
      <c r="N209" s="9"/>
      <c r="O209" s="19"/>
      <c r="P209" s="19"/>
      <c r="Q209" s="19"/>
      <c r="R209" s="19"/>
      <c r="S209" s="19"/>
      <c r="T209" s="19"/>
      <c r="U209" s="19"/>
      <c r="V209" s="19"/>
      <c r="W209" s="9" t="s">
        <v>2547</v>
      </c>
      <c r="X209" s="9" t="s">
        <v>52</v>
      </c>
      <c r="Y209" s="2" t="s">
        <v>2518</v>
      </c>
      <c r="Z209" s="2" t="s">
        <v>52</v>
      </c>
      <c r="AA209" s="20"/>
      <c r="AB209" s="2" t="s">
        <v>52</v>
      </c>
    </row>
    <row r="210" spans="1:28" ht="30" customHeight="1" x14ac:dyDescent="0.3">
      <c r="A210" s="9" t="s">
        <v>1296</v>
      </c>
      <c r="B210" s="9" t="s">
        <v>1295</v>
      </c>
      <c r="C210" s="9" t="s">
        <v>822</v>
      </c>
      <c r="D210" s="18" t="s">
        <v>823</v>
      </c>
      <c r="E210" s="19"/>
      <c r="F210" s="9"/>
      <c r="G210" s="19"/>
      <c r="H210" s="9"/>
      <c r="I210" s="19"/>
      <c r="J210" s="9"/>
      <c r="K210" s="19"/>
      <c r="L210" s="9"/>
      <c r="M210" s="19"/>
      <c r="N210" s="9"/>
      <c r="O210" s="19"/>
      <c r="P210" s="19"/>
      <c r="Q210" s="19"/>
      <c r="R210" s="19"/>
      <c r="S210" s="19"/>
      <c r="T210" s="19"/>
      <c r="U210" s="19"/>
      <c r="V210" s="19"/>
      <c r="W210" s="9" t="s">
        <v>2548</v>
      </c>
      <c r="X210" s="9" t="s">
        <v>52</v>
      </c>
      <c r="Y210" s="2" t="s">
        <v>2518</v>
      </c>
      <c r="Z210" s="2" t="s">
        <v>52</v>
      </c>
      <c r="AA210" s="20"/>
      <c r="AB210" s="2" t="s">
        <v>52</v>
      </c>
    </row>
    <row r="211" spans="1:28" ht="30" customHeight="1" x14ac:dyDescent="0.3">
      <c r="A211" s="9" t="s">
        <v>2265</v>
      </c>
      <c r="B211" s="9" t="s">
        <v>2263</v>
      </c>
      <c r="C211" s="9" t="s">
        <v>2264</v>
      </c>
      <c r="D211" s="18" t="s">
        <v>823</v>
      </c>
      <c r="E211" s="19"/>
      <c r="F211" s="9"/>
      <c r="G211" s="19"/>
      <c r="H211" s="9"/>
      <c r="I211" s="19"/>
      <c r="J211" s="9"/>
      <c r="K211" s="19"/>
      <c r="L211" s="9"/>
      <c r="M211" s="19"/>
      <c r="N211" s="9"/>
      <c r="O211" s="19"/>
      <c r="P211" s="19"/>
      <c r="Q211" s="19"/>
      <c r="R211" s="19"/>
      <c r="S211" s="19"/>
      <c r="T211" s="19"/>
      <c r="U211" s="19"/>
      <c r="V211" s="19"/>
      <c r="W211" s="9" t="s">
        <v>2549</v>
      </c>
      <c r="X211" s="9" t="s">
        <v>52</v>
      </c>
      <c r="Y211" s="2" t="s">
        <v>2518</v>
      </c>
      <c r="Z211" s="2" t="s">
        <v>52</v>
      </c>
      <c r="AA211" s="20"/>
      <c r="AB211" s="2" t="s">
        <v>52</v>
      </c>
    </row>
  </sheetData>
  <mergeCells count="15">
    <mergeCell ref="Y3:Y4"/>
    <mergeCell ref="Z3:Z4"/>
    <mergeCell ref="AA3:AA4"/>
    <mergeCell ref="AB3:AB4"/>
    <mergeCell ref="A1:X1"/>
    <mergeCell ref="A2:X2"/>
    <mergeCell ref="A3:A4"/>
    <mergeCell ref="B3:B4"/>
    <mergeCell ref="C3:C4"/>
    <mergeCell ref="D3:D4"/>
    <mergeCell ref="E3:O3"/>
    <mergeCell ref="P3:P4"/>
    <mergeCell ref="Q3:V3"/>
    <mergeCell ref="W3:W4"/>
    <mergeCell ref="X3:X4"/>
  </mergeCells>
  <phoneticPr fontId="1" type="noConversion"/>
  <printOptions horizontalCentered="1"/>
  <pageMargins left="0.39370078740157483" right="0.39370078740157483" top="0.78740157480314965" bottom="0.39370078740157483" header="0" footer="0"/>
  <pageSetup paperSize="9" scale="4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/>
  </sheetViews>
  <sheetFormatPr defaultRowHeight="16.5" x14ac:dyDescent="0.3"/>
  <sheetData>
    <row r="1" spans="1:7" x14ac:dyDescent="0.3">
      <c r="A1" t="s">
        <v>2631</v>
      </c>
    </row>
    <row r="2" spans="1:7" x14ac:dyDescent="0.3">
      <c r="A2" s="1" t="s">
        <v>2632</v>
      </c>
      <c r="B2" t="s">
        <v>2048</v>
      </c>
      <c r="C2" s="1" t="s">
        <v>2633</v>
      </c>
    </row>
    <row r="3" spans="1:7" x14ac:dyDescent="0.3">
      <c r="A3" s="1" t="s">
        <v>2634</v>
      </c>
      <c r="B3" t="s">
        <v>2635</v>
      </c>
    </row>
    <row r="4" spans="1:7" x14ac:dyDescent="0.3">
      <c r="A4" s="1" t="s">
        <v>2636</v>
      </c>
      <c r="B4">
        <v>5</v>
      </c>
    </row>
    <row r="5" spans="1:7" x14ac:dyDescent="0.3">
      <c r="A5" s="1" t="s">
        <v>2637</v>
      </c>
      <c r="B5">
        <v>5</v>
      </c>
    </row>
    <row r="6" spans="1:7" x14ac:dyDescent="0.3">
      <c r="A6" s="1" t="s">
        <v>2638</v>
      </c>
      <c r="B6" t="s">
        <v>2639</v>
      </c>
    </row>
    <row r="7" spans="1:7" x14ac:dyDescent="0.3">
      <c r="A7" s="1" t="s">
        <v>2640</v>
      </c>
      <c r="B7" t="s">
        <v>2513</v>
      </c>
      <c r="C7">
        <v>1</v>
      </c>
    </row>
    <row r="8" spans="1:7" x14ac:dyDescent="0.3">
      <c r="A8" s="1" t="s">
        <v>2641</v>
      </c>
      <c r="B8" t="s">
        <v>2513</v>
      </c>
      <c r="C8">
        <v>2</v>
      </c>
    </row>
    <row r="9" spans="1:7" x14ac:dyDescent="0.3">
      <c r="A9" s="1" t="s">
        <v>2642</v>
      </c>
      <c r="B9" t="s">
        <v>2331</v>
      </c>
      <c r="C9" t="s">
        <v>2333</v>
      </c>
      <c r="D9" t="s">
        <v>2334</v>
      </c>
      <c r="E9" t="s">
        <v>2335</v>
      </c>
      <c r="F9" t="s">
        <v>2336</v>
      </c>
      <c r="G9" t="s">
        <v>2643</v>
      </c>
    </row>
    <row r="10" spans="1:7" x14ac:dyDescent="0.3">
      <c r="A10" s="1" t="s">
        <v>2644</v>
      </c>
      <c r="B10">
        <v>0</v>
      </c>
      <c r="C10">
        <v>0</v>
      </c>
      <c r="D10">
        <v>0</v>
      </c>
    </row>
    <row r="11" spans="1:7" x14ac:dyDescent="0.3">
      <c r="A11" s="1" t="s">
        <v>2645</v>
      </c>
      <c r="B11" t="s">
        <v>2646</v>
      </c>
      <c r="C11">
        <v>3</v>
      </c>
    </row>
    <row r="12" spans="1:7" x14ac:dyDescent="0.3">
      <c r="A12" s="1" t="s">
        <v>2647</v>
      </c>
      <c r="B12" t="s">
        <v>2646</v>
      </c>
      <c r="C12">
        <v>3</v>
      </c>
    </row>
    <row r="13" spans="1:7" x14ac:dyDescent="0.3">
      <c r="A13" s="1" t="s">
        <v>2648</v>
      </c>
      <c r="B13" t="s">
        <v>2646</v>
      </c>
      <c r="C13">
        <v>2</v>
      </c>
    </row>
    <row r="14" spans="1:7" x14ac:dyDescent="0.3">
      <c r="A14" s="1" t="s">
        <v>2649</v>
      </c>
      <c r="B14" t="s">
        <v>2513</v>
      </c>
      <c r="C14">
        <v>5</v>
      </c>
    </row>
    <row r="15" spans="1:7" x14ac:dyDescent="0.3">
      <c r="A15" s="1" t="s">
        <v>2650</v>
      </c>
      <c r="B15" t="s">
        <v>2048</v>
      </c>
      <c r="C15" t="s">
        <v>2651</v>
      </c>
      <c r="D15" t="s">
        <v>2651</v>
      </c>
      <c r="E15" t="s">
        <v>2651</v>
      </c>
      <c r="F15">
        <v>1</v>
      </c>
    </row>
    <row r="16" spans="1:7" x14ac:dyDescent="0.3">
      <c r="A16" s="1" t="s">
        <v>2652</v>
      </c>
      <c r="B16">
        <v>0</v>
      </c>
      <c r="C16">
        <v>0</v>
      </c>
    </row>
    <row r="17" spans="1:13" x14ac:dyDescent="0.3">
      <c r="A17" s="1" t="s">
        <v>2653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" t="s">
        <v>2654</v>
      </c>
      <c r="B18">
        <v>0</v>
      </c>
      <c r="C18">
        <v>0</v>
      </c>
    </row>
    <row r="19" spans="1:13" x14ac:dyDescent="0.3">
      <c r="A19" s="1" t="s">
        <v>2655</v>
      </c>
    </row>
    <row r="20" spans="1:13" x14ac:dyDescent="0.3">
      <c r="A20" s="1" t="s">
        <v>2656</v>
      </c>
      <c r="B20" s="1" t="s">
        <v>52</v>
      </c>
      <c r="C20">
        <v>1</v>
      </c>
    </row>
    <row r="21" spans="1:13" x14ac:dyDescent="0.3">
      <c r="A21" t="s">
        <v>2657</v>
      </c>
      <c r="B21" t="s">
        <v>2658</v>
      </c>
      <c r="C21" t="s">
        <v>2659</v>
      </c>
    </row>
    <row r="22" spans="1:13" x14ac:dyDescent="0.3">
      <c r="A22">
        <v>1</v>
      </c>
      <c r="B22" s="1" t="s">
        <v>2564</v>
      </c>
      <c r="C22" s="1" t="s">
        <v>2563</v>
      </c>
    </row>
    <row r="23" spans="1:13" x14ac:dyDescent="0.3">
      <c r="A23">
        <v>2</v>
      </c>
      <c r="B23" s="1" t="s">
        <v>2660</v>
      </c>
      <c r="C23" s="1" t="s">
        <v>2661</v>
      </c>
    </row>
    <row r="24" spans="1:13" x14ac:dyDescent="0.3">
      <c r="A24">
        <v>3</v>
      </c>
      <c r="B24" s="1" t="s">
        <v>2662</v>
      </c>
      <c r="C24" s="1" t="s">
        <v>2663</v>
      </c>
    </row>
    <row r="25" spans="1:13" x14ac:dyDescent="0.3">
      <c r="A25">
        <v>4</v>
      </c>
      <c r="B25" s="1" t="s">
        <v>2619</v>
      </c>
      <c r="C25" s="1" t="s">
        <v>2618</v>
      </c>
    </row>
    <row r="26" spans="1:13" x14ac:dyDescent="0.3">
      <c r="A26">
        <v>5</v>
      </c>
      <c r="B26" s="1" t="s">
        <v>2664</v>
      </c>
      <c r="C26" s="1" t="s">
        <v>52</v>
      </c>
    </row>
    <row r="27" spans="1:13" x14ac:dyDescent="0.3">
      <c r="A27">
        <v>6</v>
      </c>
      <c r="B27" s="1" t="s">
        <v>2621</v>
      </c>
      <c r="C27" s="1" t="s">
        <v>2620</v>
      </c>
    </row>
    <row r="28" spans="1:13" x14ac:dyDescent="0.3">
      <c r="A28">
        <v>7</v>
      </c>
      <c r="B28" s="1" t="s">
        <v>2665</v>
      </c>
      <c r="C28" s="1" t="s">
        <v>52</v>
      </c>
    </row>
    <row r="29" spans="1:13" x14ac:dyDescent="0.3">
      <c r="A29">
        <v>8</v>
      </c>
      <c r="B29" s="1" t="s">
        <v>2665</v>
      </c>
      <c r="C29" s="1" t="s">
        <v>52</v>
      </c>
    </row>
    <row r="30" spans="1:13" x14ac:dyDescent="0.3">
      <c r="A30">
        <v>9</v>
      </c>
      <c r="B30" s="1" t="s">
        <v>2665</v>
      </c>
      <c r="C30" s="1" t="s">
        <v>52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13</vt:i4>
      </vt:variant>
    </vt:vector>
  </HeadingPairs>
  <TitlesOfParts>
    <vt:vector size="23" baseType="lpstr">
      <vt:lpstr>원가계산서(총체및1차)</vt:lpstr>
      <vt:lpstr>원가계산서(총체)</vt:lpstr>
      <vt:lpstr>원가계산서(1차)</vt:lpstr>
      <vt:lpstr>공종별집계표(총체)</vt:lpstr>
      <vt:lpstr>공종별내역서(총체)</vt:lpstr>
      <vt:lpstr>일위대가목록(총체)</vt:lpstr>
      <vt:lpstr>일위대가(총체)</vt:lpstr>
      <vt:lpstr>단가대비표(총체)</vt:lpstr>
      <vt:lpstr> 공사설정 </vt:lpstr>
      <vt:lpstr>Sheet1</vt:lpstr>
      <vt:lpstr>'공종별내역서(총체)'!Print_Area</vt:lpstr>
      <vt:lpstr>'공종별집계표(총체)'!Print_Area</vt:lpstr>
      <vt:lpstr>'단가대비표(총체)'!Print_Area</vt:lpstr>
      <vt:lpstr>'일위대가(총체)'!Print_Area</vt:lpstr>
      <vt:lpstr>'일위대가목록(총체)'!Print_Area</vt:lpstr>
      <vt:lpstr>'공종별내역서(총체)'!Print_Titles</vt:lpstr>
      <vt:lpstr>'공종별집계표(총체)'!Print_Titles</vt:lpstr>
      <vt:lpstr>'단가대비표(총체)'!Print_Titles</vt:lpstr>
      <vt:lpstr>'원가계산서(1차)'!Print_Titles</vt:lpstr>
      <vt:lpstr>'원가계산서(총체)'!Print_Titles</vt:lpstr>
      <vt:lpstr>'원가계산서(총체및1차)'!Print_Titles</vt:lpstr>
      <vt:lpstr>'일위대가(총체)'!Print_Titles</vt:lpstr>
      <vt:lpstr>'일위대가목록(총체)'!Print_Titles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cp:lastPrinted>2023-11-23T09:20:57Z</cp:lastPrinted>
  <dcterms:created xsi:type="dcterms:W3CDTF">2023-11-23T08:34:53Z</dcterms:created>
  <dcterms:modified xsi:type="dcterms:W3CDTF">2023-11-24T01:29:50Z</dcterms:modified>
</cp:coreProperties>
</file>