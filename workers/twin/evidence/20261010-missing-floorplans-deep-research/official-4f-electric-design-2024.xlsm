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KORAIL\Desktop\개찰 건\(04.26)부산경남,전기,정우민_부산역 4층(부고열소) 내부 개수에 따른 전기공사\나라장터 붙임문서\"/>
    </mc:Choice>
  </mc:AlternateContent>
  <bookViews>
    <workbookView xWindow="-120" yWindow="-120" windowWidth="29040" windowHeight="15840" tabRatio="874" activeTab="1"/>
  </bookViews>
  <sheets>
    <sheet name="0. 설계서" sheetId="93" r:id="rId1"/>
    <sheet name="1. 설계설명서(총제)" sheetId="80" r:id="rId2"/>
    <sheet name="1-1. 설계설명서(1차)" sheetId="97" state="hidden" r:id="rId3"/>
    <sheet name="1-1. 설계설명서(2차)" sheetId="117" state="hidden" r:id="rId4"/>
    <sheet name="1-1. 설계설명서(3차)" sheetId="118" state="hidden" r:id="rId5"/>
    <sheet name="1-1. 설계설명서(4차)" sheetId="119" state="hidden" r:id="rId6"/>
    <sheet name="2. 시방서 " sheetId="81" r:id="rId7"/>
    <sheet name="3. 예정공정표" sheetId="82" r:id="rId8"/>
    <sheet name="3-1. 예정공정표(1차)" sheetId="98" state="hidden" r:id="rId9"/>
    <sheet name="3-2. 예정공정표(2차)" sheetId="114" state="hidden" r:id="rId10"/>
    <sheet name="3-3. 예정공정표(3차)" sheetId="115" state="hidden" r:id="rId11"/>
    <sheet name="3-4. 예정공정표(4차)" sheetId="116" state="hidden" r:id="rId12"/>
    <sheet name="4. 예산내역서" sheetId="83" r:id="rId13"/>
    <sheet name="4-1. 예산내역서(1차)" sheetId="99" state="hidden" r:id="rId14"/>
    <sheet name="4-2. 예산내역서(2차)" sheetId="120" state="hidden" r:id="rId15"/>
    <sheet name="4-3. 예산내역서(3차)" sheetId="121" state="hidden" r:id="rId16"/>
    <sheet name="4-4. 예산내역서(4차)" sheetId="122" state="hidden" r:id="rId17"/>
    <sheet name="5. 공종별예산조서" sheetId="84" r:id="rId18"/>
    <sheet name="5-1. 공종별예산조서(1차)" sheetId="100" state="hidden" r:id="rId19"/>
    <sheet name="5-2. 공종별예산조서(2차)" sheetId="111" state="hidden" r:id="rId20"/>
    <sheet name="5-3. 공종별예산조서(3차)" sheetId="112" state="hidden" r:id="rId21"/>
    <sheet name="5-3. 공종별예산조서(4차)" sheetId="113" state="hidden" r:id="rId22"/>
    <sheet name="7. 내역서(지급자재)" sheetId="109" state="hidden" r:id="rId23"/>
    <sheet name="7. 철거발생품 예정조서" sheetId="90" r:id="rId24"/>
    <sheet name="8-1. 철거발생품 예정조서(1차)" sheetId="102" state="hidden" r:id="rId25"/>
    <sheet name="8-2. 철거발생품 예정조서(2차)" sheetId="124" state="hidden" r:id="rId26"/>
    <sheet name="8-3. 철거발생품 예정조서(3차)" sheetId="125" state="hidden" r:id="rId27"/>
    <sheet name="8-4. 철거발생품 예정조서(4차)" sheetId="123" state="hidden" r:id="rId28"/>
    <sheet name="8. 일위대가표" sheetId="127" r:id="rId29"/>
  </sheets>
  <definedNames>
    <definedName name="_________q45">{"'용역비'!$A$4:$C$8"}</definedName>
    <definedName name="________q45">{"'용역비'!$A$4:$C$8"}</definedName>
    <definedName name="_______q45">{"'용역비'!$A$4:$C$8"}</definedName>
    <definedName name="______q45">{"'용역비'!$A$4:$C$8"}</definedName>
    <definedName name="_____q45">{"'용역비'!$A$4:$C$8"}</definedName>
    <definedName name="____q45">{"'용역비'!$A$4:$C$8"}</definedName>
    <definedName name="___q45" localSheetId="2">{"'용역비'!$A$4:$C$8"}</definedName>
    <definedName name="___q45" localSheetId="3">{"'용역비'!$A$4:$C$8"}</definedName>
    <definedName name="___q45" localSheetId="4">{"'용역비'!$A$4:$C$8"}</definedName>
    <definedName name="___q45" localSheetId="5">{"'용역비'!$A$4:$C$8"}</definedName>
    <definedName name="___q45" localSheetId="8">{"'용역비'!$A$4:$C$8"}</definedName>
    <definedName name="___q45" localSheetId="9">{"'용역비'!$A$4:$C$8"}</definedName>
    <definedName name="___q45" localSheetId="10">{"'용역비'!$A$4:$C$8"}</definedName>
    <definedName name="___q45" localSheetId="11">{"'용역비'!$A$4:$C$8"}</definedName>
    <definedName name="___q45" localSheetId="13">{"'용역비'!$A$4:$C$8"}</definedName>
    <definedName name="___q45" localSheetId="14">{"'용역비'!$A$4:$C$8"}</definedName>
    <definedName name="___q45" localSheetId="15">{"'용역비'!$A$4:$C$8"}</definedName>
    <definedName name="___q45" localSheetId="16">{"'용역비'!$A$4:$C$8"}</definedName>
    <definedName name="___q45" localSheetId="18">{"'용역비'!$A$4:$C$8"}</definedName>
    <definedName name="___q45" localSheetId="19">{"'용역비'!$A$4:$C$8"}</definedName>
    <definedName name="___q45" localSheetId="20">{"'용역비'!$A$4:$C$8"}</definedName>
    <definedName name="___q45" localSheetId="21">{"'용역비'!$A$4:$C$8"}</definedName>
    <definedName name="___q45" localSheetId="24">{"'용역비'!$A$4:$C$8"}</definedName>
    <definedName name="___q45" localSheetId="25">{"'용역비'!$A$4:$C$8"}</definedName>
    <definedName name="___q45" localSheetId="26">{"'용역비'!$A$4:$C$8"}</definedName>
    <definedName name="___q45" localSheetId="27">{"'용역비'!$A$4:$C$8"}</definedName>
    <definedName name="___q45">{"'용역비'!$A$4:$C$8"}</definedName>
    <definedName name="__34G_0Extract" localSheetId="28">#REF!</definedName>
    <definedName name="__34G_0Extract">#REF!</definedName>
    <definedName name="__DAN10" localSheetId="28">#REF!</definedName>
    <definedName name="__DAN10">#REF!</definedName>
    <definedName name="__DAN11" localSheetId="28">#REF!</definedName>
    <definedName name="__DAN11">#REF!</definedName>
    <definedName name="__DAN12" localSheetId="28">#REF!</definedName>
    <definedName name="__DAN12">#REF!</definedName>
    <definedName name="__DAN13" localSheetId="28">#REF!</definedName>
    <definedName name="__DAN13">#REF!</definedName>
    <definedName name="__DAN14" localSheetId="28">#REF!</definedName>
    <definedName name="__DAN14">#REF!</definedName>
    <definedName name="__DAN15" localSheetId="28">#REF!</definedName>
    <definedName name="__DAN15">#REF!</definedName>
    <definedName name="__DAN16" localSheetId="28">#REF!</definedName>
    <definedName name="__DAN16">#REF!</definedName>
    <definedName name="__DAN17" localSheetId="28">#REF!</definedName>
    <definedName name="__DAN17">#REF!</definedName>
    <definedName name="__DAN18" localSheetId="28">#REF!</definedName>
    <definedName name="__DAN18">#REF!</definedName>
    <definedName name="__DAN19" localSheetId="28">#REF!</definedName>
    <definedName name="__DAN19">#REF!</definedName>
    <definedName name="__DAN2" localSheetId="28">#REF!</definedName>
    <definedName name="__DAN2">#REF!</definedName>
    <definedName name="__DAN20" localSheetId="28">#REF!</definedName>
    <definedName name="__DAN20">#REF!</definedName>
    <definedName name="__DAN3" localSheetId="28">#REF!</definedName>
    <definedName name="__DAN3">#REF!</definedName>
    <definedName name="__DAN30" localSheetId="28">#REF!</definedName>
    <definedName name="__DAN30">#REF!</definedName>
    <definedName name="__DAN31" localSheetId="28">#REF!</definedName>
    <definedName name="__DAN31">#REF!</definedName>
    <definedName name="__DAN32" localSheetId="28">#REF!</definedName>
    <definedName name="__DAN32">#REF!</definedName>
    <definedName name="__DAN33" localSheetId="28">#REF!</definedName>
    <definedName name="__DAN33">#REF!</definedName>
    <definedName name="__dan330" localSheetId="28">#REF!</definedName>
    <definedName name="__dan330">#REF!</definedName>
    <definedName name="__DAN35" localSheetId="28">#REF!</definedName>
    <definedName name="__DAN35">#REF!</definedName>
    <definedName name="__DAN36" localSheetId="28">#REF!</definedName>
    <definedName name="__DAN36">#REF!</definedName>
    <definedName name="__DAN37" localSheetId="28">#REF!</definedName>
    <definedName name="__DAN37">#REF!</definedName>
    <definedName name="__DAN38" localSheetId="28">#REF!</definedName>
    <definedName name="__DAN38">#REF!</definedName>
    <definedName name="__DAN39" localSheetId="28">#REF!</definedName>
    <definedName name="__DAN39">#REF!</definedName>
    <definedName name="__DAN4" localSheetId="28">#REF!</definedName>
    <definedName name="__DAN4">#REF!</definedName>
    <definedName name="__DAN40" localSheetId="28">#REF!</definedName>
    <definedName name="__DAN40">#REF!</definedName>
    <definedName name="__DAN5" localSheetId="28">#REF!</definedName>
    <definedName name="__DAN5">#REF!</definedName>
    <definedName name="__DAN50" localSheetId="28">#REF!</definedName>
    <definedName name="__DAN50">#REF!</definedName>
    <definedName name="__DAN55" localSheetId="28">#REF!</definedName>
    <definedName name="__DAN55">#REF!</definedName>
    <definedName name="__DAN6" localSheetId="28">#REF!</definedName>
    <definedName name="__DAN6">#REF!</definedName>
    <definedName name="__DAN60" localSheetId="28">#REF!</definedName>
    <definedName name="__DAN60">#REF!</definedName>
    <definedName name="__DAN7" localSheetId="28">#REF!</definedName>
    <definedName name="__DAN7">#REF!</definedName>
    <definedName name="__DAN8" localSheetId="28">#REF!</definedName>
    <definedName name="__DAN8">#REF!</definedName>
    <definedName name="__DAN9" localSheetId="28">#REF!</definedName>
    <definedName name="__DAN9">#REF!</definedName>
    <definedName name="__F1" localSheetId="28">#REF!</definedName>
    <definedName name="__F1">#REF!</definedName>
    <definedName name="__F2" localSheetId="28">#REF!</definedName>
    <definedName name="__F2">#REF!</definedName>
    <definedName name="__F3" localSheetId="28">#REF!</definedName>
    <definedName name="__F3">#REF!</definedName>
    <definedName name="__IntlFixup">TRUE</definedName>
    <definedName name="__LP1" localSheetId="28">#REF!</definedName>
    <definedName name="__LP1">#REF!</definedName>
    <definedName name="__LP2" localSheetId="28">#REF!</definedName>
    <definedName name="__LP2">#REF!</definedName>
    <definedName name="__LP3" localSheetId="28">#REF!</definedName>
    <definedName name="__LP3">#REF!</definedName>
    <definedName name="__LU2" localSheetId="28">#REF!</definedName>
    <definedName name="__LU2">#REF!</definedName>
    <definedName name="__LV01" localSheetId="28">#REF!</definedName>
    <definedName name="__LV01">#REF!</definedName>
    <definedName name="__q45" localSheetId="2">{"'용역비'!$A$4:$C$8"}</definedName>
    <definedName name="__q45" localSheetId="3">{"'용역비'!$A$4:$C$8"}</definedName>
    <definedName name="__q45" localSheetId="4">{"'용역비'!$A$4:$C$8"}</definedName>
    <definedName name="__q45" localSheetId="5">{"'용역비'!$A$4:$C$8"}</definedName>
    <definedName name="__q45" localSheetId="8">{"'용역비'!$A$4:$C$8"}</definedName>
    <definedName name="__q45" localSheetId="9">{"'용역비'!$A$4:$C$8"}</definedName>
    <definedName name="__q45" localSheetId="10">{"'용역비'!$A$4:$C$8"}</definedName>
    <definedName name="__q45" localSheetId="11">{"'용역비'!$A$4:$C$8"}</definedName>
    <definedName name="__q45" localSheetId="13">{"'용역비'!$A$4:$C$8"}</definedName>
    <definedName name="__q45" localSheetId="14">{"'용역비'!$A$4:$C$8"}</definedName>
    <definedName name="__q45" localSheetId="15">{"'용역비'!$A$4:$C$8"}</definedName>
    <definedName name="__q45" localSheetId="16">{"'용역비'!$A$4:$C$8"}</definedName>
    <definedName name="__q45" localSheetId="18">{"'용역비'!$A$4:$C$8"}</definedName>
    <definedName name="__q45" localSheetId="19">{"'용역비'!$A$4:$C$8"}</definedName>
    <definedName name="__q45" localSheetId="20">{"'용역비'!$A$4:$C$8"}</definedName>
    <definedName name="__q45" localSheetId="21">{"'용역비'!$A$4:$C$8"}</definedName>
    <definedName name="__q45" localSheetId="24">{"'용역비'!$A$4:$C$8"}</definedName>
    <definedName name="__q45" localSheetId="25">{"'용역비'!$A$4:$C$8"}</definedName>
    <definedName name="__q45" localSheetId="26">{"'용역비'!$A$4:$C$8"}</definedName>
    <definedName name="__q45" localSheetId="27">{"'용역비'!$A$4:$C$8"}</definedName>
    <definedName name="__q45">{"'용역비'!$A$4:$C$8"}</definedName>
    <definedName name="__tab1120" localSheetId="28">#REF!</definedName>
    <definedName name="__tab1120">#REF!</definedName>
    <definedName name="__tab114" localSheetId="28">#REF!</definedName>
    <definedName name="__tab114">#REF!</definedName>
    <definedName name="__tab115" localSheetId="28">#REF!</definedName>
    <definedName name="__tab115">#REF!</definedName>
    <definedName name="__tab2003" localSheetId="28">#REF!</definedName>
    <definedName name="__tab2003">#REF!</definedName>
    <definedName name="__tab2004" localSheetId="28">#REF!</definedName>
    <definedName name="__tab2004">#REF!</definedName>
    <definedName name="__tab2005" localSheetId="28">#REF!</definedName>
    <definedName name="__tab2005">#REF!</definedName>
    <definedName name="__tab2006" localSheetId="28">#REF!</definedName>
    <definedName name="__tab2006">#REF!</definedName>
    <definedName name="__tab2007" localSheetId="28">#REF!</definedName>
    <definedName name="__tab2007">#REF!</definedName>
    <definedName name="__tab2009" localSheetId="28">#REF!</definedName>
    <definedName name="__tab2009">#REF!</definedName>
    <definedName name="__tab208" localSheetId="28">#REF!</definedName>
    <definedName name="__tab208">#REF!</definedName>
    <definedName name="__wo1" localSheetId="28">#REF!</definedName>
    <definedName name="__wo1">#REF!</definedName>
    <definedName name="__xlfn.BAHTTEXT">#NAME?</definedName>
    <definedName name="_105G_0Extr" localSheetId="28">#REF!</definedName>
    <definedName name="_105G_0Extr">#REF!</definedName>
    <definedName name="_106G_0Extr" localSheetId="28">#REF!</definedName>
    <definedName name="_106G_0Extr">#REF!</definedName>
    <definedName name="_107G_0Extr" localSheetId="28">#REF!</definedName>
    <definedName name="_107G_0Extr">#REF!</definedName>
    <definedName name="_108G_0Extr" localSheetId="28">#REF!</definedName>
    <definedName name="_108G_0Extr">#REF!</definedName>
    <definedName name="_109G_0Extr" localSheetId="28">#REF!</definedName>
    <definedName name="_109G_0Extr">#REF!</definedName>
    <definedName name="_110G_0Extr" localSheetId="28">#REF!</definedName>
    <definedName name="_110G_0Extr">#REF!</definedName>
    <definedName name="_12_3__Criteria" localSheetId="28">#REF!</definedName>
    <definedName name="_12_3__Criteria">#REF!</definedName>
    <definedName name="_131G_0Extract" localSheetId="28">#REF!</definedName>
    <definedName name="_131G_0Extract">#REF!</definedName>
    <definedName name="_132G_0Extract" localSheetId="28">#REF!</definedName>
    <definedName name="_132G_0Extract">#REF!</definedName>
    <definedName name="_133G_0Extract" localSheetId="28">#REF!</definedName>
    <definedName name="_133G_0Extract">#REF!</definedName>
    <definedName name="_134G_0Extract" localSheetId="28">#REF!</definedName>
    <definedName name="_134G_0Extract">#REF!</definedName>
    <definedName name="_135G_0Extract" localSheetId="28">#REF!</definedName>
    <definedName name="_135G_0Extract">#REF!</definedName>
    <definedName name="_136G_0Extract" localSheetId="28">#REF!</definedName>
    <definedName name="_136G_0Extract">#REF!</definedName>
    <definedName name="_140G__Extr" localSheetId="28">#REF!</definedName>
    <definedName name="_140G__Extr">#REF!</definedName>
    <definedName name="_144G__Extract" localSheetId="28">#REF!</definedName>
    <definedName name="_144G__Extract">#REF!</definedName>
    <definedName name="_18_3_0Crite" localSheetId="28">#REF!</definedName>
    <definedName name="_18_3_0Crite">#REF!</definedName>
    <definedName name="_18_3_0Criteria" localSheetId="28">#REF!</definedName>
    <definedName name="_18_3_0Criteria">#REF!</definedName>
    <definedName name="_19_3_0Crite" localSheetId="28">#REF!</definedName>
    <definedName name="_19_3_0Crite">#REF!</definedName>
    <definedName name="_1q45_">{"'용역비'!$A$4:$C$8"}</definedName>
    <definedName name="_20_3_0Crite" localSheetId="28">#REF!</definedName>
    <definedName name="_20_3_0Crite">#REF!</definedName>
    <definedName name="_21_3_0Crite" localSheetId="28">#REF!</definedName>
    <definedName name="_21_3_0Crite">#REF!</definedName>
    <definedName name="_22_3_0Crite" localSheetId="28">#REF!</definedName>
    <definedName name="_22_3_0Crite">#REF!</definedName>
    <definedName name="_24G_0Extr" localSheetId="28">#REF!</definedName>
    <definedName name="_24G_0Extr">#REF!</definedName>
    <definedName name="_27_3_0Crite" localSheetId="28">#REF!</definedName>
    <definedName name="_27_3_0Crite">#REF!</definedName>
    <definedName name="_27G_0Extract" localSheetId="28">#REF!</definedName>
    <definedName name="_27G_0Extract">#REF!</definedName>
    <definedName name="_28_3_0Crite" localSheetId="28">#REF!</definedName>
    <definedName name="_28_3_0Crite">#REF!</definedName>
    <definedName name="_29_3_0Crite" localSheetId="28">#REF!</definedName>
    <definedName name="_29_3_0Crite">#REF!</definedName>
    <definedName name="_2q45_">{"'용역비'!$A$4:$C$8"}</definedName>
    <definedName name="_3_3_0Crite" localSheetId="28">#REF!</definedName>
    <definedName name="_3_3_0Crite">#REF!</definedName>
    <definedName name="_30_3_0Crite" localSheetId="28">#REF!</definedName>
    <definedName name="_30_3_0Crite">#REF!</definedName>
    <definedName name="_30G__Extr" localSheetId="28">#REF!</definedName>
    <definedName name="_30G__Extr">#REF!</definedName>
    <definedName name="_31_3_0Crite" localSheetId="28">#REF!</definedName>
    <definedName name="_31_3_0Crite">#REF!</definedName>
    <definedName name="_32_3_0Crite" localSheetId="28">#REF!</definedName>
    <definedName name="_32_3_0Crite">#REF!</definedName>
    <definedName name="_33G__Extract" localSheetId="28">#REF!</definedName>
    <definedName name="_33G__Extract">#REF!</definedName>
    <definedName name="_3q45_">{"'용역비'!$A$4:$C$8"}</definedName>
    <definedName name="_40_3_0Criteria" localSheetId="28">#REF!</definedName>
    <definedName name="_40_3_0Criteria">#REF!</definedName>
    <definedName name="_41_3_0Criteria" localSheetId="28">#REF!</definedName>
    <definedName name="_41_3_0Criteria">#REF!</definedName>
    <definedName name="_42_3_0Criteria" localSheetId="28">#REF!</definedName>
    <definedName name="_42_3_0Criteria">#REF!</definedName>
    <definedName name="_43_3_0Criteria" localSheetId="28">#REF!</definedName>
    <definedName name="_43_3_0Criteria">#REF!</definedName>
    <definedName name="_44_3_0Criteria" localSheetId="28">#REF!</definedName>
    <definedName name="_44_3_0Criteria">#REF!</definedName>
    <definedName name="_45_3__Crite" localSheetId="28">#REF!</definedName>
    <definedName name="_45_3__Crite">#REF!</definedName>
    <definedName name="_46_3__Criteria" localSheetId="28">#REF!</definedName>
    <definedName name="_46_3__Criteria">#REF!</definedName>
    <definedName name="_59_3_0Criteria" localSheetId="28">#REF!</definedName>
    <definedName name="_59_3_0Criteria">#REF!</definedName>
    <definedName name="_5q45_">{"'용역비'!$A$4:$C$8"}</definedName>
    <definedName name="_6_3_0Criteria" localSheetId="28">#REF!</definedName>
    <definedName name="_6_3_0Criteria">#REF!</definedName>
    <definedName name="_60_3_0Criteria" localSheetId="28">#REF!</definedName>
    <definedName name="_60_3_0Criteria">#REF!</definedName>
    <definedName name="_61_3_0Criteria" localSheetId="28">#REF!</definedName>
    <definedName name="_61_3_0Criteria">#REF!</definedName>
    <definedName name="_62_3_0Criteria" localSheetId="28">#REF!</definedName>
    <definedName name="_62_3_0Criteria">#REF!</definedName>
    <definedName name="_63_3_0Criteria" localSheetId="28">#REF!</definedName>
    <definedName name="_63_3_0Criteria">#REF!</definedName>
    <definedName name="_63G_0Extr" localSheetId="28">#REF!</definedName>
    <definedName name="_63G_0Extr">#REF!</definedName>
    <definedName name="_64_3_0Criteria" localSheetId="28">#REF!</definedName>
    <definedName name="_64_3_0Criteria">#REF!</definedName>
    <definedName name="_64G_0Extr" localSheetId="28">#REF!</definedName>
    <definedName name="_64G_0Extr">#REF!</definedName>
    <definedName name="_65G_0Extr" localSheetId="28">#REF!</definedName>
    <definedName name="_65G_0Extr">#REF!</definedName>
    <definedName name="_66G_0Extr" localSheetId="28">#REF!</definedName>
    <definedName name="_66G_0Extr">#REF!</definedName>
    <definedName name="_67G_0Extr" localSheetId="28">#REF!</definedName>
    <definedName name="_67G_0Extr">#REF!</definedName>
    <definedName name="_68_3__Crite" localSheetId="28">#REF!</definedName>
    <definedName name="_68_3__Crite">#REF!</definedName>
    <definedName name="_72_3__Criteria" localSheetId="28">#REF!</definedName>
    <definedName name="_72_3__Criteria">#REF!</definedName>
    <definedName name="_84G_0Extract" localSheetId="28">#REF!</definedName>
    <definedName name="_84G_0Extract">#REF!</definedName>
    <definedName name="_85G_0Extract" localSheetId="28">#REF!</definedName>
    <definedName name="_85G_0Extract">#REF!</definedName>
    <definedName name="_86G_0Extract" localSheetId="28">#REF!</definedName>
    <definedName name="_86G_0Extract">#REF!</definedName>
    <definedName name="_87G_0Extract" localSheetId="28">#REF!</definedName>
    <definedName name="_87G_0Extract">#REF!</definedName>
    <definedName name="_88G_0Extract" localSheetId="28">#REF!</definedName>
    <definedName name="_88G_0Extract">#REF!</definedName>
    <definedName name="_89G__Extr" localSheetId="28">#REF!</definedName>
    <definedName name="_89G__Extr">#REF!</definedName>
    <definedName name="_8q45_">{"'용역비'!$A$4:$C$8"}</definedName>
    <definedName name="_9_3__Crite" localSheetId="28">#REF!</definedName>
    <definedName name="_9_3__Crite">#REF!</definedName>
    <definedName name="_9_3_0Crite" localSheetId="28">#REF!</definedName>
    <definedName name="_9_3_0Crite">#REF!</definedName>
    <definedName name="_90G__Extract" localSheetId="28">#REF!</definedName>
    <definedName name="_90G__Extract">#REF!</definedName>
    <definedName name="_B22" localSheetId="28">#REF!=#REF!</definedName>
    <definedName name="_B22">#REF!=#REF!</definedName>
    <definedName name="_DAN1" localSheetId="28">#REF!</definedName>
    <definedName name="_DAN1">#REF!</definedName>
    <definedName name="_DAN10" localSheetId="28">#REF!</definedName>
    <definedName name="_DAN10">#REF!</definedName>
    <definedName name="_DAN11" localSheetId="28">#REF!</definedName>
    <definedName name="_DAN11">#REF!</definedName>
    <definedName name="_DAN12" localSheetId="28">#REF!</definedName>
    <definedName name="_DAN12">#REF!</definedName>
    <definedName name="_DAN13" localSheetId="28">#REF!</definedName>
    <definedName name="_DAN13">#REF!</definedName>
    <definedName name="_DAN14" localSheetId="28">#REF!</definedName>
    <definedName name="_DAN14">#REF!</definedName>
    <definedName name="_DAN15" localSheetId="28">#REF!</definedName>
    <definedName name="_DAN15">#REF!</definedName>
    <definedName name="_DAN16" localSheetId="28">#REF!</definedName>
    <definedName name="_DAN16">#REF!</definedName>
    <definedName name="_DAN17" localSheetId="28">#REF!</definedName>
    <definedName name="_DAN17">#REF!</definedName>
    <definedName name="_DAN18" localSheetId="28">#REF!</definedName>
    <definedName name="_DAN18">#REF!</definedName>
    <definedName name="_DAN19" localSheetId="28">#REF!</definedName>
    <definedName name="_DAN19">#REF!</definedName>
    <definedName name="_DAN2" localSheetId="28">#REF!</definedName>
    <definedName name="_DAN2">#REF!</definedName>
    <definedName name="_DAN20" localSheetId="28">#REF!</definedName>
    <definedName name="_DAN20">#REF!</definedName>
    <definedName name="_DAN3" localSheetId="28">#REF!</definedName>
    <definedName name="_DAN3">#REF!</definedName>
    <definedName name="_DAN30" localSheetId="28">#REF!</definedName>
    <definedName name="_DAN30">#REF!</definedName>
    <definedName name="_DAN31" localSheetId="28">#REF!</definedName>
    <definedName name="_DAN31">#REF!</definedName>
    <definedName name="_DAN32" localSheetId="28">#REF!</definedName>
    <definedName name="_DAN32">#REF!</definedName>
    <definedName name="_DAN33" localSheetId="28">#REF!</definedName>
    <definedName name="_DAN33">#REF!</definedName>
    <definedName name="_dan330" localSheetId="28">#REF!</definedName>
    <definedName name="_dan330">#REF!</definedName>
    <definedName name="_DAN34" localSheetId="28">#REF!</definedName>
    <definedName name="_DAN34">#REF!</definedName>
    <definedName name="_DAN35" localSheetId="28">#REF!</definedName>
    <definedName name="_DAN35">#REF!</definedName>
    <definedName name="_DAN36" localSheetId="28">#REF!</definedName>
    <definedName name="_DAN36">#REF!</definedName>
    <definedName name="_DAN37" localSheetId="28">#REF!</definedName>
    <definedName name="_DAN37">#REF!</definedName>
    <definedName name="_DAN38" localSheetId="28">#REF!</definedName>
    <definedName name="_DAN38">#REF!</definedName>
    <definedName name="_DAN39" localSheetId="28">#REF!</definedName>
    <definedName name="_DAN39">#REF!</definedName>
    <definedName name="_DAN4" localSheetId="28">#REF!</definedName>
    <definedName name="_DAN4">#REF!</definedName>
    <definedName name="_DAN40" localSheetId="28">#REF!</definedName>
    <definedName name="_DAN40">#REF!</definedName>
    <definedName name="_DAN5" localSheetId="28">#REF!</definedName>
    <definedName name="_DAN5">#REF!</definedName>
    <definedName name="_DAN50" localSheetId="28">#REF!</definedName>
    <definedName name="_DAN50">#REF!</definedName>
    <definedName name="_DAN55" localSheetId="28">#REF!</definedName>
    <definedName name="_DAN55">#REF!</definedName>
    <definedName name="_DAN6" localSheetId="28">#REF!</definedName>
    <definedName name="_DAN6">#REF!</definedName>
    <definedName name="_DAN60" localSheetId="28">#REF!</definedName>
    <definedName name="_DAN60">#REF!</definedName>
    <definedName name="_DAN7" localSheetId="28">#REF!</definedName>
    <definedName name="_DAN7">#REF!</definedName>
    <definedName name="_DAN8" localSheetId="28">#REF!</definedName>
    <definedName name="_DAN8">#REF!</definedName>
    <definedName name="_DAN9" localSheetId="28">#REF!</definedName>
    <definedName name="_DAN9">#REF!</definedName>
    <definedName name="_dist__bin" localSheetId="28" hidden="1">#REF!</definedName>
    <definedName name="_dist__bin" hidden="1">#REF!</definedName>
    <definedName name="_Dist_Bin" localSheetId="28" hidden="1">#REF!</definedName>
    <definedName name="_Dist_Bin" hidden="1">#REF!</definedName>
    <definedName name="_Dist_Values" localSheetId="28" hidden="1">#REF!</definedName>
    <definedName name="_Dist_Values" hidden="1">#REF!</definedName>
    <definedName name="_F1" localSheetId="28">#REF!</definedName>
    <definedName name="_F1">#REF!</definedName>
    <definedName name="_F2" localSheetId="28">#REF!</definedName>
    <definedName name="_F2">#REF!</definedName>
    <definedName name="_F3" localSheetId="28">#REF!</definedName>
    <definedName name="_F3">#REF!</definedName>
    <definedName name="_Fill" localSheetId="28" hidden="1">#REF!</definedName>
    <definedName name="_Fill" hidden="1">#REF!</definedName>
    <definedName name="_xlnm._FilterDatabase" localSheetId="28" hidden="1">'8. 일위대가표'!$B$2:$K$2</definedName>
    <definedName name="_xlnm._FilterDatabase" hidden="1">#REF!</definedName>
    <definedName name="_ju8">{"'광피스표'!$A$3:$N$54"}</definedName>
    <definedName name="_K02" localSheetId="28">#REF!=#REF!</definedName>
    <definedName name="_K02">#REF!=#REF!</definedName>
    <definedName name="_Key1" localSheetId="28" hidden="1">#REF!</definedName>
    <definedName name="_Key1" hidden="1">#REF!</definedName>
    <definedName name="_Key2" localSheetId="28" hidden="1">#REF!</definedName>
    <definedName name="_Key2" hidden="1">#REF!</definedName>
    <definedName name="_LPB1" localSheetId="28">#REF!</definedName>
    <definedName name="_LPB1">#REF!</definedName>
    <definedName name="_LPK1" localSheetId="28">#REF!</definedName>
    <definedName name="_LPK1">#REF!</definedName>
    <definedName name="_LV02" localSheetId="28">#REF!</definedName>
    <definedName name="_LV02">#REF!</definedName>
    <definedName name="_O03" localSheetId="28">#REF!=#REF!</definedName>
    <definedName name="_O03">#REF!=#REF!</definedName>
    <definedName name="_Order1">255</definedName>
    <definedName name="_Order2">255</definedName>
    <definedName name="_q45">{"'용역비'!$A$4:$C$8"}</definedName>
    <definedName name="_Regression_Int">1</definedName>
    <definedName name="_Regression_X" localSheetId="28" hidden="1">#REF!</definedName>
    <definedName name="_Regression_X" hidden="1">#REF!</definedName>
    <definedName name="_Regression_Y" localSheetId="28" hidden="1">#REF!</definedName>
    <definedName name="_Regression_Y" hidden="1">#REF!</definedName>
    <definedName name="_Sort" localSheetId="28" hidden="1">#REF!</definedName>
    <definedName name="_Sort" hidden="1">#REF!</definedName>
    <definedName name="_tab1" localSheetId="28">#REF!</definedName>
    <definedName name="_tab1">#REF!</definedName>
    <definedName name="_tab111" localSheetId="28">#REF!</definedName>
    <definedName name="_tab111">#REF!</definedName>
    <definedName name="_tab112" localSheetId="28">#REF!</definedName>
    <definedName name="_tab112">#REF!</definedName>
    <definedName name="_tab1120" localSheetId="28">#REF!</definedName>
    <definedName name="_tab1120">#REF!</definedName>
    <definedName name="_tab113" localSheetId="28">#REF!</definedName>
    <definedName name="_tab113">#REF!</definedName>
    <definedName name="_tab114" localSheetId="28">#REF!</definedName>
    <definedName name="_tab114">#REF!</definedName>
    <definedName name="_tab115" localSheetId="28">#REF!</definedName>
    <definedName name="_tab115">#REF!</definedName>
    <definedName name="_tab116" localSheetId="28">#REF!</definedName>
    <definedName name="_tab116">#REF!</definedName>
    <definedName name="_tab117" localSheetId="28">#REF!</definedName>
    <definedName name="_tab117">#REF!</definedName>
    <definedName name="_tab118" localSheetId="28">#REF!</definedName>
    <definedName name="_tab118">#REF!</definedName>
    <definedName name="_tab119" localSheetId="28">#REF!</definedName>
    <definedName name="_tab119">#REF!</definedName>
    <definedName name="_tab200" localSheetId="28">#REF!</definedName>
    <definedName name="_tab200">#REF!</definedName>
    <definedName name="_tab2001" localSheetId="28">#REF!</definedName>
    <definedName name="_tab2001">#REF!</definedName>
    <definedName name="_tab20022" localSheetId="28">#REF!</definedName>
    <definedName name="_tab20022">#REF!</definedName>
    <definedName name="_tab2003" localSheetId="28">#REF!</definedName>
    <definedName name="_tab2003">#REF!</definedName>
    <definedName name="_tab2004" localSheetId="28">#REF!</definedName>
    <definedName name="_tab2004">#REF!</definedName>
    <definedName name="_tab2005" localSheetId="28">#REF!</definedName>
    <definedName name="_tab2005">#REF!</definedName>
    <definedName name="_tab2006" localSheetId="28">#REF!</definedName>
    <definedName name="_tab2006">#REF!</definedName>
    <definedName name="_tab2007" localSheetId="28">#REF!</definedName>
    <definedName name="_tab2007">#REF!</definedName>
    <definedName name="_tab2009" localSheetId="28">#REF!</definedName>
    <definedName name="_tab2009">#REF!</definedName>
    <definedName name="_tab208" localSheetId="28">#REF!</definedName>
    <definedName name="_tab208">#REF!</definedName>
    <definedName name="_Table1_In1" localSheetId="28" hidden="1">#REF!</definedName>
    <definedName name="_Table1_In1" hidden="1">#REF!</definedName>
    <definedName name="_Table1_Out" localSheetId="28" hidden="1">#REF!</definedName>
    <definedName name="_Table1_Out" hidden="1">#REF!</definedName>
    <definedName name="_UP1" localSheetId="28">#REF!</definedName>
    <definedName name="_UP1">#REF!</definedName>
    <definedName name="_UP2" localSheetId="28">#REF!</definedName>
    <definedName name="_UP2">#REF!</definedName>
    <definedName name="_wo1" localSheetId="28">#REF!</definedName>
    <definedName name="_wo1">#REF!</definedName>
    <definedName name="_woogi2" localSheetId="28" hidden="1">#REF!</definedName>
    <definedName name="_woogi2" hidden="1">#REF!</definedName>
    <definedName name="_woogi24" localSheetId="28" hidden="1">#REF!</definedName>
    <definedName name="_woogi24" hidden="1">#REF!</definedName>
    <definedName name="_woogi3" localSheetId="28" hidden="1">#REF!</definedName>
    <definedName name="_woogi3" hidden="1">#REF!</definedName>
    <definedName name="_재ㅐ햐" localSheetId="28" hidden="1">#REF!</definedName>
    <definedName name="_재ㅐ햐" hidden="1">#REF!</definedName>
    <definedName name="\0" localSheetId="28">#REF!</definedName>
    <definedName name="\0">#REF!</definedName>
    <definedName name="\a">#N/A</definedName>
    <definedName name="\B" localSheetId="28">#REF!</definedName>
    <definedName name="\B">#REF!</definedName>
    <definedName name="\d" localSheetId="28">#REF!</definedName>
    <definedName name="\d">#REF!</definedName>
    <definedName name="\I" localSheetId="28">#REF!</definedName>
    <definedName name="\I">#REF!</definedName>
    <definedName name="\O" localSheetId="28">#REF!</definedName>
    <definedName name="\O">#REF!</definedName>
    <definedName name="\P" localSheetId="28">#REF!</definedName>
    <definedName name="\P">#REF!</definedName>
    <definedName name="\Q" localSheetId="28">#REF!</definedName>
    <definedName name="\Q">#REF!</definedName>
    <definedName name="\z">#N/A</definedName>
    <definedName name="A" localSheetId="28">#REF!</definedName>
    <definedName name="A">#REF!</definedName>
    <definedName name="A1.1000" localSheetId="28">#REF!</definedName>
    <definedName name="A1.1000">#REF!</definedName>
    <definedName name="aa" localSheetId="28">#REF!</definedName>
    <definedName name="aa">#REF!</definedName>
    <definedName name="aaa" localSheetId="28" hidden="1">{#N/A,#N/A,FALSE,"명세표"}</definedName>
    <definedName name="aaa" hidden="1">{#N/A,#N/A,FALSE,"명세표"}</definedName>
    <definedName name="AAAA">#REF!</definedName>
    <definedName name="aaaaa" localSheetId="28" hidden="1">{#N/A,#N/A,FALSE,"명세표"}</definedName>
    <definedName name="aaaaa" hidden="1">{#N/A,#N/A,FALSE,"명세표"}</definedName>
    <definedName name="aaaaaa">#REF!</definedName>
    <definedName name="aaaaaaaaaaa" localSheetId="28">#REF!</definedName>
    <definedName name="aaaaaaaaaaa">#REF!</definedName>
    <definedName name="aaaaaaaaaaaaaa" localSheetId="28">#REF!</definedName>
    <definedName name="aaaaaaaaaaaaaa">#REF!</definedName>
    <definedName name="abc" localSheetId="28">#REF!</definedName>
    <definedName name="abc">#REF!</definedName>
    <definedName name="abcd">{"'자리배치도'!$AG$1:$CI$28"}</definedName>
    <definedName name="Access_Button">"KT과금거리_지역좌표_970827_거리계산표_List"</definedName>
    <definedName name="AccessDatabase">"c:\wiz32\xl\acclink.mdb"</definedName>
    <definedName name="ACCLINK.XLS_Localization_Table_List">"$A$1:$B$11"</definedName>
    <definedName name="ACCLINK.XLS_Localization_Table_List1">"$A$13:$B$31"</definedName>
    <definedName name="ACCLINK.XLS_Localization_Table_List10">"$A$13:$B$33"</definedName>
    <definedName name="ACCLINK.XLS_Localization_Table_List11">"$A$13:$B$33"</definedName>
    <definedName name="ACCLINK.XLS_Localization_Table_List12">"$A$13:$B$33"</definedName>
    <definedName name="ACCLINK.XLS_Localization_Table_List13">"$A$13:$B$33"</definedName>
    <definedName name="ACCLINK.XLS_Localization_Table_List14">"$A$13:$B$33"</definedName>
    <definedName name="ACCLINK.XLS_Localization_Table_List15">"$A$13:$B$33"</definedName>
    <definedName name="ACCLINK.XLS_Localization_Table_List16">"$A$13:$B$33"</definedName>
    <definedName name="ACCLINK.XLS_Localization_Table_List17">"$A$13:$B$33"</definedName>
    <definedName name="ACCLINK.XLS_Localization_Table_List18">"$A$13:$B$33"</definedName>
    <definedName name="ACCLINK.XLS_Localization_Table_List19">"$A$13:$B$33"</definedName>
    <definedName name="ACCLINK.XLS_Localization_Table_List2">"$A$13:$B$31"</definedName>
    <definedName name="ACCLINK.XLS_Localization_Table_List3">"$A$13:$B$31"</definedName>
    <definedName name="ACCLINK.XLS_Localization_Table_List4">"$A$13:$B$31"</definedName>
    <definedName name="ACCLINK.XLS_Localization_Table_List5">"$A$13:$B$31"</definedName>
    <definedName name="ACCLINK.XLS_Localization_Table_List6">"$A$13:$B$31"</definedName>
    <definedName name="ACCLINK.XLS_Localization_Table_List7">"$A$13:$B$31"</definedName>
    <definedName name="ACCLINK.XLS_Localization_Table_List8">"$A$13:$B$31"</definedName>
    <definedName name="ACCLINK.XLS_Localization_Table_List9">"$A$13:$B$33"</definedName>
    <definedName name="AC집계">#REF!</definedName>
    <definedName name="ada" localSheetId="28">#REF!</definedName>
    <definedName name="ada">#REF!</definedName>
    <definedName name="adfg" localSheetId="28" hidden="1">{#N/A,#N/A,FALSE,"명세표"}</definedName>
    <definedName name="adfg" hidden="1">{#N/A,#N/A,FALSE,"명세표"}</definedName>
    <definedName name="AFA">#REF!</definedName>
    <definedName name="afafa" localSheetId="28">#REF!</definedName>
    <definedName name="afafa">#REF!</definedName>
    <definedName name="AFC" localSheetId="28">#REF!</definedName>
    <definedName name="AFC">#REF!</definedName>
    <definedName name="AFC설비" localSheetId="28">#REF!</definedName>
    <definedName name="AFC설비">#REF!</definedName>
    <definedName name="ahfh" localSheetId="28">#REF!</definedName>
    <definedName name="ahfh">#REF!</definedName>
    <definedName name="AJHD" localSheetId="28">#REF!</definedName>
    <definedName name="AJHD">#REF!</definedName>
    <definedName name="AKJFL" localSheetId="28">#REF!</definedName>
    <definedName name="AKJFL">#REF!</definedName>
    <definedName name="amam" localSheetId="28">#REF!</definedName>
    <definedName name="amam">#REF!</definedName>
    <definedName name="anscount">1</definedName>
    <definedName name="ARE" localSheetId="2">'1-1. 설계설명서(1차)'!ARE</definedName>
    <definedName name="ARE" localSheetId="3">'1-1. 설계설명서(2차)'!ARE</definedName>
    <definedName name="ARE" localSheetId="4">'1-1. 설계설명서(3차)'!ARE</definedName>
    <definedName name="ARE" localSheetId="5">'1-1. 설계설명서(4차)'!ARE</definedName>
    <definedName name="ARE" localSheetId="8">'3-1. 예정공정표(1차)'!ARE</definedName>
    <definedName name="ARE" localSheetId="9">'3-2. 예정공정표(2차)'!ARE</definedName>
    <definedName name="ARE" localSheetId="10">'3-3. 예정공정표(3차)'!ARE</definedName>
    <definedName name="ARE" localSheetId="11">'3-4. 예정공정표(4차)'!ARE</definedName>
    <definedName name="ARE" localSheetId="13">'4-1. 예산내역서(1차)'!ARE</definedName>
    <definedName name="ARE" localSheetId="14">'4-2. 예산내역서(2차)'!ARE</definedName>
    <definedName name="ARE" localSheetId="15">'4-3. 예산내역서(3차)'!ARE</definedName>
    <definedName name="ARE" localSheetId="16">'4-4. 예산내역서(4차)'!ARE</definedName>
    <definedName name="ARE" localSheetId="18">'5-1. 공종별예산조서(1차)'!ARE</definedName>
    <definedName name="ARE" localSheetId="19">'5-2. 공종별예산조서(2차)'!ARE</definedName>
    <definedName name="ARE" localSheetId="20">'5-3. 공종별예산조서(3차)'!ARE</definedName>
    <definedName name="ARE" localSheetId="21">'5-3. 공종별예산조서(4차)'!ARE</definedName>
    <definedName name="ARE" localSheetId="24">'8-1. 철거발생품 예정조서(1차)'!ARE</definedName>
    <definedName name="ARE" localSheetId="25">'8-2. 철거발생품 예정조서(2차)'!ARE</definedName>
    <definedName name="ARE" localSheetId="26">'8-3. 철거발생품 예정조서(3차)'!ARE</definedName>
    <definedName name="ARE" localSheetId="27">'8-4. 철거발생품 예정조서(4차)'!ARE</definedName>
    <definedName name="as" localSheetId="28">#REF!</definedName>
    <definedName name="as">#REF!</definedName>
    <definedName name="asdsad" localSheetId="28">#REF!</definedName>
    <definedName name="asdsad">#REF!</definedName>
    <definedName name="asfdg" localSheetId="28" hidden="1">{#N/A,#N/A,FALSE,"명세표"}</definedName>
    <definedName name="asfdg" hidden="1">{#N/A,#N/A,FALSE,"명세표"}</definedName>
    <definedName name="ass" localSheetId="28" hidden="1">{#N/A,#N/A,FALSE,"명세표"}</definedName>
    <definedName name="ass" hidden="1">{#N/A,#N/A,FALSE,"명세표"}</definedName>
    <definedName name="AVGHBD" localSheetId="2">'1-1. 설계설명서(1차)'!AVGHBD</definedName>
    <definedName name="AVGHBD" localSheetId="3">'1-1. 설계설명서(2차)'!AVGHBD</definedName>
    <definedName name="AVGHBD" localSheetId="4">'1-1. 설계설명서(3차)'!AVGHBD</definedName>
    <definedName name="AVGHBD" localSheetId="5">'1-1. 설계설명서(4차)'!AVGHBD</definedName>
    <definedName name="AVGHBD" localSheetId="8">'3-1. 예정공정표(1차)'!AVGHBD</definedName>
    <definedName name="AVGHBD" localSheetId="9">'3-2. 예정공정표(2차)'!AVGHBD</definedName>
    <definedName name="AVGHBD" localSheetId="10">'3-3. 예정공정표(3차)'!AVGHBD</definedName>
    <definedName name="AVGHBD" localSheetId="11">'3-4. 예정공정표(4차)'!AVGHBD</definedName>
    <definedName name="AVGHBD" localSheetId="13">'4-1. 예산내역서(1차)'!AVGHBD</definedName>
    <definedName name="AVGHBD" localSheetId="14">'4-2. 예산내역서(2차)'!AVGHBD</definedName>
    <definedName name="AVGHBD" localSheetId="15">'4-3. 예산내역서(3차)'!AVGHBD</definedName>
    <definedName name="AVGHBD" localSheetId="16">'4-4. 예산내역서(4차)'!AVGHBD</definedName>
    <definedName name="AVGHBD" localSheetId="18">'5-1. 공종별예산조서(1차)'!AVGHBD</definedName>
    <definedName name="AVGHBD" localSheetId="19">'5-2. 공종별예산조서(2차)'!AVGHBD</definedName>
    <definedName name="AVGHBD" localSheetId="20">'5-3. 공종별예산조서(3차)'!AVGHBD</definedName>
    <definedName name="AVGHBD" localSheetId="21">'5-3. 공종별예산조서(4차)'!AVGHBD</definedName>
    <definedName name="AVGHBD" localSheetId="24">'8-1. 철거발생품 예정조서(1차)'!AVGHBD</definedName>
    <definedName name="AVGHBD" localSheetId="25">'8-2. 철거발생품 예정조서(2차)'!AVGHBD</definedName>
    <definedName name="AVGHBD" localSheetId="26">'8-3. 철거발생품 예정조서(3차)'!AVGHBD</definedName>
    <definedName name="AVGHBD" localSheetId="27">'8-4. 철거발생품 예정조서(4차)'!AVGHBD</definedName>
    <definedName name="A머캐중층15불량">#REF!</definedName>
    <definedName name="A머캐중층20불량" localSheetId="28">#REF!</definedName>
    <definedName name="A머캐중층20불량">#REF!</definedName>
    <definedName name="A머캐표층15불량" localSheetId="28">#REF!</definedName>
    <definedName name="A머캐표층15불량">#REF!</definedName>
    <definedName name="A머캐표층5불량" localSheetId="28">#REF!</definedName>
    <definedName name="A머캐표층5불량">#REF!</definedName>
    <definedName name="A머캐표층7불량" localSheetId="28">#REF!</definedName>
    <definedName name="A머캐표층7불량">#REF!</definedName>
    <definedName name="B" localSheetId="28">#REF!</definedName>
    <definedName name="B">#REF!</definedName>
    <definedName name="BASIC" localSheetId="28">#REF!</definedName>
    <definedName name="BASIC">#REF!</definedName>
    <definedName name="BASIC2" localSheetId="28">#REF!</definedName>
    <definedName name="BASIC2">#REF!</definedName>
    <definedName name="BASIC22" localSheetId="28">#REF!</definedName>
    <definedName name="BASIC22">#REF!</definedName>
    <definedName name="BASICC2" localSheetId="28">#REF!</definedName>
    <definedName name="BASICC2">#REF!</definedName>
    <definedName name="BBBB" localSheetId="28">#REF!</definedName>
    <definedName name="BBBB">#REF!</definedName>
    <definedName name="BBBBBB" localSheetId="28">#REF!</definedName>
    <definedName name="BBBBBB">#REF!</definedName>
    <definedName name="BBJ" localSheetId="2">'1-1. 설계설명서(1차)'!BBJ</definedName>
    <definedName name="BBJ" localSheetId="3">'1-1. 설계설명서(2차)'!BBJ</definedName>
    <definedName name="BBJ" localSheetId="4">'1-1. 설계설명서(3차)'!BBJ</definedName>
    <definedName name="BBJ" localSheetId="5">'1-1. 설계설명서(4차)'!BBJ</definedName>
    <definedName name="BBJ" localSheetId="8">'3-1. 예정공정표(1차)'!BBJ</definedName>
    <definedName name="BBJ" localSheetId="9">'3-2. 예정공정표(2차)'!BBJ</definedName>
    <definedName name="BBJ" localSheetId="10">'3-3. 예정공정표(3차)'!BBJ</definedName>
    <definedName name="BBJ" localSheetId="11">'3-4. 예정공정표(4차)'!BBJ</definedName>
    <definedName name="BBJ" localSheetId="13">'4-1. 예산내역서(1차)'!BBJ</definedName>
    <definedName name="BBJ" localSheetId="14">'4-2. 예산내역서(2차)'!BBJ</definedName>
    <definedName name="BBJ" localSheetId="15">'4-3. 예산내역서(3차)'!BBJ</definedName>
    <definedName name="BBJ" localSheetId="16">'4-4. 예산내역서(4차)'!BBJ</definedName>
    <definedName name="BBJ" localSheetId="18">'5-1. 공종별예산조서(1차)'!BBJ</definedName>
    <definedName name="BBJ" localSheetId="19">'5-2. 공종별예산조서(2차)'!BBJ</definedName>
    <definedName name="BBJ" localSheetId="20">'5-3. 공종별예산조서(3차)'!BBJ</definedName>
    <definedName name="BBJ" localSheetId="21">'5-3. 공종별예산조서(4차)'!BBJ</definedName>
    <definedName name="BBJ" localSheetId="24">'8-1. 철거발생품 예정조서(1차)'!BBJ</definedName>
    <definedName name="BBJ" localSheetId="25">'8-2. 철거발생품 예정조서(2차)'!BBJ</definedName>
    <definedName name="BBJ" localSheetId="26">'8-3. 철거발생품 예정조서(3차)'!BBJ</definedName>
    <definedName name="BBJ" localSheetId="27">'8-4. 철거발생품 예정조서(4차)'!BBJ</definedName>
    <definedName name="BG">{"'광피스표'!$A$3:$N$54"}</definedName>
    <definedName name="BNH" localSheetId="2">'1-1. 설계설명서(1차)'!BNH</definedName>
    <definedName name="BNH" localSheetId="3">'1-1. 설계설명서(2차)'!BNH</definedName>
    <definedName name="BNH" localSheetId="4">'1-1. 설계설명서(3차)'!BNH</definedName>
    <definedName name="BNH" localSheetId="5">'1-1. 설계설명서(4차)'!BNH</definedName>
    <definedName name="BNH" localSheetId="8">'3-1. 예정공정표(1차)'!BNH</definedName>
    <definedName name="BNH" localSheetId="9">'3-2. 예정공정표(2차)'!BNH</definedName>
    <definedName name="BNH" localSheetId="10">'3-3. 예정공정표(3차)'!BNH</definedName>
    <definedName name="BNH" localSheetId="11">'3-4. 예정공정표(4차)'!BNH</definedName>
    <definedName name="BNH" localSheetId="13">'4-1. 예산내역서(1차)'!BNH</definedName>
    <definedName name="BNH" localSheetId="14">'4-2. 예산내역서(2차)'!BNH</definedName>
    <definedName name="BNH" localSheetId="15">'4-3. 예산내역서(3차)'!BNH</definedName>
    <definedName name="BNH" localSheetId="16">'4-4. 예산내역서(4차)'!BNH</definedName>
    <definedName name="BNH" localSheetId="18">'5-1. 공종별예산조서(1차)'!BNH</definedName>
    <definedName name="BNH" localSheetId="19">'5-2. 공종별예산조서(2차)'!BNH</definedName>
    <definedName name="BNH" localSheetId="20">'5-3. 공종별예산조서(3차)'!BNH</definedName>
    <definedName name="BNH" localSheetId="21">'5-3. 공종별예산조서(4차)'!BNH</definedName>
    <definedName name="BNH" localSheetId="24">'8-1. 철거발생품 예정조서(1차)'!BNH</definedName>
    <definedName name="BNH" localSheetId="25">'8-2. 철거발생품 예정조서(2차)'!BNH</definedName>
    <definedName name="BNH" localSheetId="26">'8-3. 철거발생품 예정조서(3차)'!BNH</definedName>
    <definedName name="BNH" localSheetId="27">'8-4. 철거발생품 예정조서(4차)'!BNH</definedName>
    <definedName name="bnv" localSheetId="24">'8-1. 철거발생품 예정조서(1차)'!ghgfh</definedName>
    <definedName name="bnv" localSheetId="25">'8-2. 철거발생품 예정조서(2차)'!ghgfh</definedName>
    <definedName name="bnv" localSheetId="26">'8-3. 철거발생품 예정조서(3차)'!ghgfh</definedName>
    <definedName name="bnv" localSheetId="27">'8-4. 철거발생품 예정조서(4차)'!ghgfh</definedName>
    <definedName name="bnv">'7. 철거발생품 예정조서'!ghgfh</definedName>
    <definedName name="bvvc" localSheetId="2">'1-1. 설계설명서(1차)'!bvvc</definedName>
    <definedName name="bvvc" localSheetId="3">'1-1. 설계설명서(2차)'!bvvc</definedName>
    <definedName name="bvvc" localSheetId="4">'1-1. 설계설명서(3차)'!bvvc</definedName>
    <definedName name="bvvc" localSheetId="5">'1-1. 설계설명서(4차)'!bvvc</definedName>
    <definedName name="bvvc" localSheetId="8">'3-1. 예정공정표(1차)'!bvvc</definedName>
    <definedName name="bvvc" localSheetId="9">'3-2. 예정공정표(2차)'!bvvc</definedName>
    <definedName name="bvvc" localSheetId="10">'3-3. 예정공정표(3차)'!bvvc</definedName>
    <definedName name="bvvc" localSheetId="11">'3-4. 예정공정표(4차)'!bvvc</definedName>
    <definedName name="bvvc" localSheetId="13">'4-1. 예산내역서(1차)'!bvvc</definedName>
    <definedName name="bvvc" localSheetId="14">'4-2. 예산내역서(2차)'!bvvc</definedName>
    <definedName name="bvvc" localSheetId="15">'4-3. 예산내역서(3차)'!bvvc</definedName>
    <definedName name="bvvc" localSheetId="16">'4-4. 예산내역서(4차)'!bvvc</definedName>
    <definedName name="bvvc" localSheetId="18">'5-1. 공종별예산조서(1차)'!bvvc</definedName>
    <definedName name="bvvc" localSheetId="19">'5-2. 공종별예산조서(2차)'!bvvc</definedName>
    <definedName name="bvvc" localSheetId="20">'5-3. 공종별예산조서(3차)'!bvvc</definedName>
    <definedName name="bvvc" localSheetId="21">'5-3. 공종별예산조서(4차)'!bvvc</definedName>
    <definedName name="bvvc" localSheetId="24">'8-1. 철거발생품 예정조서(1차)'!bvvc</definedName>
    <definedName name="bvvc" localSheetId="25">'8-2. 철거발생품 예정조서(2차)'!bvvc</definedName>
    <definedName name="bvvc" localSheetId="26">'8-3. 철거발생품 예정조서(3차)'!bvvc</definedName>
    <definedName name="bvvc" localSheetId="27">'8-4. 철거발생품 예정조서(4차)'!bvvc</definedName>
    <definedName name="C_" localSheetId="28">#REF!</definedName>
    <definedName name="C_">#REF!</definedName>
    <definedName name="CABLE1" localSheetId="28">#REF!</definedName>
    <definedName name="CABLE1">#REF!</definedName>
    <definedName name="CABLE2" localSheetId="28">#REF!</definedName>
    <definedName name="CABLE2">#REF!</definedName>
    <definedName name="CABLE3" localSheetId="28">#REF!</definedName>
    <definedName name="CABLE3">#REF!</definedName>
    <definedName name="CABLE4" localSheetId="28">#REF!</definedName>
    <definedName name="CABLE4">#REF!</definedName>
    <definedName name="catabase" localSheetId="28">#REF!</definedName>
    <definedName name="catabase">#REF!</definedName>
    <definedName name="CBVCB" localSheetId="2">'1-1. 설계설명서(1차)'!CBVCB</definedName>
    <definedName name="CBVCB" localSheetId="3">'1-1. 설계설명서(2차)'!CBVCB</definedName>
    <definedName name="CBVCB" localSheetId="4">'1-1. 설계설명서(3차)'!CBVCB</definedName>
    <definedName name="CBVCB" localSheetId="5">'1-1. 설계설명서(4차)'!CBVCB</definedName>
    <definedName name="CBVCB" localSheetId="8">'3-1. 예정공정표(1차)'!CBVCB</definedName>
    <definedName name="CBVCB" localSheetId="9">'3-2. 예정공정표(2차)'!CBVCB</definedName>
    <definedName name="CBVCB" localSheetId="10">'3-3. 예정공정표(3차)'!CBVCB</definedName>
    <definedName name="CBVCB" localSheetId="11">'3-4. 예정공정표(4차)'!CBVCB</definedName>
    <definedName name="CBVCB" localSheetId="13">'4-1. 예산내역서(1차)'!CBVCB</definedName>
    <definedName name="CBVCB" localSheetId="14">'4-2. 예산내역서(2차)'!CBVCB</definedName>
    <definedName name="CBVCB" localSheetId="15">'4-3. 예산내역서(3차)'!CBVCB</definedName>
    <definedName name="CBVCB" localSheetId="16">'4-4. 예산내역서(4차)'!CBVCB</definedName>
    <definedName name="CBVCB" localSheetId="18">'5-1. 공종별예산조서(1차)'!CBVCB</definedName>
    <definedName name="CBVCB" localSheetId="19">'5-2. 공종별예산조서(2차)'!CBVCB</definedName>
    <definedName name="CBVCB" localSheetId="20">'5-3. 공종별예산조서(3차)'!CBVCB</definedName>
    <definedName name="CBVCB" localSheetId="21">'5-3. 공종별예산조서(4차)'!CBVCB</definedName>
    <definedName name="CBVCB" localSheetId="24">'8-1. 철거발생품 예정조서(1차)'!CBVCB</definedName>
    <definedName name="CBVCB" localSheetId="25">'8-2. 철거발생품 예정조서(2차)'!CBVCB</definedName>
    <definedName name="CBVCB" localSheetId="26">'8-3. 철거발생품 예정조서(3차)'!CBVCB</definedName>
    <definedName name="CBVCB" localSheetId="27">'8-4. 철거발생품 예정조서(4차)'!CBVCB</definedName>
    <definedName name="CC" localSheetId="28">#REF!</definedName>
    <definedName name="CC">#REF!</definedName>
    <definedName name="ccc" localSheetId="28">#REF!</definedName>
    <definedName name="ccc">#REF!</definedName>
    <definedName name="CCCC" localSheetId="28">#REF!</definedName>
    <definedName name="CCCC">#REF!</definedName>
    <definedName name="CCF" localSheetId="2">'1-1. 설계설명서(1차)'!CCF</definedName>
    <definedName name="CCF" localSheetId="3">'1-1. 설계설명서(2차)'!CCF</definedName>
    <definedName name="CCF" localSheetId="4">'1-1. 설계설명서(3차)'!CCF</definedName>
    <definedName name="CCF" localSheetId="5">'1-1. 설계설명서(4차)'!CCF</definedName>
    <definedName name="CCF" localSheetId="8">'3-1. 예정공정표(1차)'!CCF</definedName>
    <definedName name="CCF" localSheetId="9">'3-2. 예정공정표(2차)'!CCF</definedName>
    <definedName name="CCF" localSheetId="10">'3-3. 예정공정표(3차)'!CCF</definedName>
    <definedName name="CCF" localSheetId="11">'3-4. 예정공정표(4차)'!CCF</definedName>
    <definedName name="CCF" localSheetId="13">'4-1. 예산내역서(1차)'!CCF</definedName>
    <definedName name="CCF" localSheetId="14">'4-2. 예산내역서(2차)'!CCF</definedName>
    <definedName name="CCF" localSheetId="15">'4-3. 예산내역서(3차)'!CCF</definedName>
    <definedName name="CCF" localSheetId="16">'4-4. 예산내역서(4차)'!CCF</definedName>
    <definedName name="CCF" localSheetId="18">'5-1. 공종별예산조서(1차)'!CCF</definedName>
    <definedName name="CCF" localSheetId="19">'5-2. 공종별예산조서(2차)'!CCF</definedName>
    <definedName name="CCF" localSheetId="20">'5-3. 공종별예산조서(3차)'!CCF</definedName>
    <definedName name="CCF" localSheetId="21">'5-3. 공종별예산조서(4차)'!CCF</definedName>
    <definedName name="CCF" localSheetId="24">'8-1. 철거발생품 예정조서(1차)'!CCF</definedName>
    <definedName name="CCF" localSheetId="25">'8-2. 철거발생품 예정조서(2차)'!CCF</definedName>
    <definedName name="CCF" localSheetId="26">'8-3. 철거발생품 예정조서(3차)'!CCF</definedName>
    <definedName name="CCF" localSheetId="27">'8-4. 철거발생품 예정조서(4차)'!CCF</definedName>
    <definedName name="CCTV" localSheetId="28">#REF!</definedName>
    <definedName name="CCTV">#REF!</definedName>
    <definedName name="CCTV및장애자편의설비" localSheetId="28">#REF!</definedName>
    <definedName name="CCTV및장애자편의설비">#REF!</definedName>
    <definedName name="CCTV설비" localSheetId="28">#REF!</definedName>
    <definedName name="CCTV설비">#REF!</definedName>
    <definedName name="CDD" localSheetId="2">'1-1. 설계설명서(1차)'!CDD</definedName>
    <definedName name="CDD" localSheetId="3">'1-1. 설계설명서(2차)'!CDD</definedName>
    <definedName name="CDD" localSheetId="4">'1-1. 설계설명서(3차)'!CDD</definedName>
    <definedName name="CDD" localSheetId="5">'1-1. 설계설명서(4차)'!CDD</definedName>
    <definedName name="CDD" localSheetId="8">'3-1. 예정공정표(1차)'!CDD</definedName>
    <definedName name="CDD" localSheetId="9">'3-2. 예정공정표(2차)'!CDD</definedName>
    <definedName name="CDD" localSheetId="10">'3-3. 예정공정표(3차)'!CDD</definedName>
    <definedName name="CDD" localSheetId="11">'3-4. 예정공정표(4차)'!CDD</definedName>
    <definedName name="CDD" localSheetId="13">'4-1. 예산내역서(1차)'!CDD</definedName>
    <definedName name="CDD" localSheetId="14">'4-2. 예산내역서(2차)'!CDD</definedName>
    <definedName name="CDD" localSheetId="15">'4-3. 예산내역서(3차)'!CDD</definedName>
    <definedName name="CDD" localSheetId="16">'4-4. 예산내역서(4차)'!CDD</definedName>
    <definedName name="CDD" localSheetId="18">'5-1. 공종별예산조서(1차)'!CDD</definedName>
    <definedName name="CDD" localSheetId="19">'5-2. 공종별예산조서(2차)'!CDD</definedName>
    <definedName name="CDD" localSheetId="20">'5-3. 공종별예산조서(3차)'!CDD</definedName>
    <definedName name="CDD" localSheetId="21">'5-3. 공종별예산조서(4차)'!CDD</definedName>
    <definedName name="CDD" localSheetId="24">'8-1. 철거발생품 예정조서(1차)'!CDD</definedName>
    <definedName name="CDD" localSheetId="25">'8-2. 철거발생품 예정조서(2차)'!CDD</definedName>
    <definedName name="CDD" localSheetId="26">'8-3. 철거발생품 예정조서(3차)'!CDD</definedName>
    <definedName name="CDD" localSheetId="27">'8-4. 철거발생품 예정조서(4차)'!CDD</definedName>
    <definedName name="cfg" localSheetId="2">'1-1. 설계설명서(1차)'!bvvc</definedName>
    <definedName name="cfg" localSheetId="3">'1-1. 설계설명서(2차)'!bvvc</definedName>
    <definedName name="cfg" localSheetId="4">'1-1. 설계설명서(3차)'!bvvc</definedName>
    <definedName name="cfg" localSheetId="5">'1-1. 설계설명서(4차)'!bvvc</definedName>
    <definedName name="cfg" localSheetId="8">'3-1. 예정공정표(1차)'!bvvc</definedName>
    <definedName name="cfg" localSheetId="9">'3-2. 예정공정표(2차)'!bvvc</definedName>
    <definedName name="cfg" localSheetId="10">'3-3. 예정공정표(3차)'!bvvc</definedName>
    <definedName name="cfg" localSheetId="11">'3-4. 예정공정표(4차)'!bvvc</definedName>
    <definedName name="cfg" localSheetId="13">'4-1. 예산내역서(1차)'!bvvc</definedName>
    <definedName name="cfg" localSheetId="14">'4-2. 예산내역서(2차)'!bvvc</definedName>
    <definedName name="cfg" localSheetId="15">'4-3. 예산내역서(3차)'!bvvc</definedName>
    <definedName name="cfg" localSheetId="16">'4-4. 예산내역서(4차)'!bvvc</definedName>
    <definedName name="cfg" localSheetId="18">'5-1. 공종별예산조서(1차)'!bvvc</definedName>
    <definedName name="cfg" localSheetId="19">'5-2. 공종별예산조서(2차)'!bvvc</definedName>
    <definedName name="cfg" localSheetId="20">'5-3. 공종별예산조서(3차)'!bvvc</definedName>
    <definedName name="cfg" localSheetId="21">'5-3. 공종별예산조서(4차)'!bvvc</definedName>
    <definedName name="cfg" localSheetId="24">'8-1. 철거발생품 예정조서(1차)'!bvvc</definedName>
    <definedName name="cfg" localSheetId="25">'8-2. 철거발생품 예정조서(2차)'!bvvc</definedName>
    <definedName name="cfg" localSheetId="26">'8-3. 철거발생품 예정조서(3차)'!bvvc</definedName>
    <definedName name="cfg" localSheetId="27">'8-4. 철거발생품 예정조서(4차)'!bvvc</definedName>
    <definedName name="cgmh" localSheetId="2">{"'용역비'!$A$4:$C$8"}</definedName>
    <definedName name="cgmh" localSheetId="3">{"'용역비'!$A$4:$C$8"}</definedName>
    <definedName name="cgmh" localSheetId="4">{"'용역비'!$A$4:$C$8"}</definedName>
    <definedName name="cgmh" localSheetId="5">{"'용역비'!$A$4:$C$8"}</definedName>
    <definedName name="cgmh" localSheetId="8">{"'용역비'!$A$4:$C$8"}</definedName>
    <definedName name="cgmh" localSheetId="9">{"'용역비'!$A$4:$C$8"}</definedName>
    <definedName name="cgmh" localSheetId="10">{"'용역비'!$A$4:$C$8"}</definedName>
    <definedName name="cgmh" localSheetId="11">{"'용역비'!$A$4:$C$8"}</definedName>
    <definedName name="cgmh" localSheetId="13">{"'용역비'!$A$4:$C$8"}</definedName>
    <definedName name="cgmh" localSheetId="14">{"'용역비'!$A$4:$C$8"}</definedName>
    <definedName name="cgmh" localSheetId="15">{"'용역비'!$A$4:$C$8"}</definedName>
    <definedName name="cgmh" localSheetId="16">{"'용역비'!$A$4:$C$8"}</definedName>
    <definedName name="cgmh" localSheetId="18">{"'용역비'!$A$4:$C$8"}</definedName>
    <definedName name="cgmh" localSheetId="19">{"'용역비'!$A$4:$C$8"}</definedName>
    <definedName name="cgmh" localSheetId="20">{"'용역비'!$A$4:$C$8"}</definedName>
    <definedName name="cgmh" localSheetId="21">{"'용역비'!$A$4:$C$8"}</definedName>
    <definedName name="cgmh" localSheetId="24">{"'용역비'!$A$4:$C$8"}</definedName>
    <definedName name="cgmh" localSheetId="25">{"'용역비'!$A$4:$C$8"}</definedName>
    <definedName name="cgmh" localSheetId="26">{"'용역비'!$A$4:$C$8"}</definedName>
    <definedName name="cgmh" localSheetId="27">{"'용역비'!$A$4:$C$8"}</definedName>
    <definedName name="cgmh">{"'용역비'!$A$4:$C$8"}</definedName>
    <definedName name="co" localSheetId="28">#REF!</definedName>
    <definedName name="co">#REF!</definedName>
    <definedName name="CODE" localSheetId="28">#REF!</definedName>
    <definedName name="CODE">#REF!</definedName>
    <definedName name="CODE1" localSheetId="28">#REF!</definedName>
    <definedName name="CODE1">#REF!</definedName>
    <definedName name="CODE2" localSheetId="28">#REF!</definedName>
    <definedName name="CODE2">#REF!</definedName>
    <definedName name="CODE3" localSheetId="28">#REF!</definedName>
    <definedName name="CODE3">#REF!</definedName>
    <definedName name="CODE4" localSheetId="28">#REF!</definedName>
    <definedName name="CODE4">#REF!</definedName>
    <definedName name="CODE5" localSheetId="28">#REF!</definedName>
    <definedName name="CODE5">#REF!</definedName>
    <definedName name="CODE6" localSheetId="28">#REF!</definedName>
    <definedName name="CODE6">#REF!</definedName>
    <definedName name="CODE7" localSheetId="28">#REF!</definedName>
    <definedName name="CODE7">#REF!</definedName>
    <definedName name="codea" localSheetId="28">#REF!</definedName>
    <definedName name="codea">#REF!</definedName>
    <definedName name="COPY990" localSheetId="28">#REF!</definedName>
    <definedName name="COPY990">#REF!</definedName>
    <definedName name="COST" localSheetId="28">#REF!</definedName>
    <definedName name="COST">#REF!</definedName>
    <definedName name="COST11" localSheetId="28">#REF!</definedName>
    <definedName name="COST11">#REF!</definedName>
    <definedName name="Costt" localSheetId="28">#REF!</definedName>
    <definedName name="Costt">#REF!</definedName>
    <definedName name="COt" localSheetId="28">#REF!</definedName>
    <definedName name="COt">#REF!</definedName>
    <definedName name="COVER" localSheetId="28">#REF!</definedName>
    <definedName name="COVER">#REF!</definedName>
    <definedName name="CPU시험기사" localSheetId="28">#REF!</definedName>
    <definedName name="CPU시험기사">#REF!</definedName>
    <definedName name="CPU시험사" localSheetId="28">#REF!</definedName>
    <definedName name="CPU시험사">#REF!</definedName>
    <definedName name="cvag" localSheetId="28">#REF!</definedName>
    <definedName name="cvag">#REF!</definedName>
    <definedName name="CVCB" localSheetId="28">#REF!</definedName>
    <definedName name="CVCB">#REF!</definedName>
    <definedName name="CVDSD" localSheetId="2">'1-1. 설계설명서(1차)'!CVDSD</definedName>
    <definedName name="CVDSD" localSheetId="3">'1-1. 설계설명서(2차)'!CVDSD</definedName>
    <definedName name="CVDSD" localSheetId="4">'1-1. 설계설명서(3차)'!CVDSD</definedName>
    <definedName name="CVDSD" localSheetId="5">'1-1. 설계설명서(4차)'!CVDSD</definedName>
    <definedName name="CVDSD" localSheetId="8">'3-1. 예정공정표(1차)'!CVDSD</definedName>
    <definedName name="CVDSD" localSheetId="9">'3-2. 예정공정표(2차)'!CVDSD</definedName>
    <definedName name="CVDSD" localSheetId="10">'3-3. 예정공정표(3차)'!CVDSD</definedName>
    <definedName name="CVDSD" localSheetId="11">'3-4. 예정공정표(4차)'!CVDSD</definedName>
    <definedName name="CVDSD" localSheetId="13">'4-1. 예산내역서(1차)'!CVDSD</definedName>
    <definedName name="CVDSD" localSheetId="14">'4-2. 예산내역서(2차)'!CVDSD</definedName>
    <definedName name="CVDSD" localSheetId="15">'4-3. 예산내역서(3차)'!CVDSD</definedName>
    <definedName name="CVDSD" localSheetId="16">'4-4. 예산내역서(4차)'!CVDSD</definedName>
    <definedName name="CVDSD" localSheetId="18">'5-1. 공종별예산조서(1차)'!CVDSD</definedName>
    <definedName name="CVDSD" localSheetId="19">'5-2. 공종별예산조서(2차)'!CVDSD</definedName>
    <definedName name="CVDSD" localSheetId="20">'5-3. 공종별예산조서(3차)'!CVDSD</definedName>
    <definedName name="CVDSD" localSheetId="21">'5-3. 공종별예산조서(4차)'!CVDSD</definedName>
    <definedName name="CVDSD" localSheetId="24">'8-1. 철거발생품 예정조서(1차)'!CVDSD</definedName>
    <definedName name="CVDSD" localSheetId="25">'8-2. 철거발생품 예정조서(2차)'!CVDSD</definedName>
    <definedName name="CVDSD" localSheetId="26">'8-3. 철거발생품 예정조서(3차)'!CVDSD</definedName>
    <definedName name="CVDSD" localSheetId="27">'8-4. 철거발생품 예정조서(4차)'!CVDSD</definedName>
    <definedName name="CVV" localSheetId="2">'1-1. 설계설명서(1차)'!CVV</definedName>
    <definedName name="CVV" localSheetId="3">'1-1. 설계설명서(2차)'!CVV</definedName>
    <definedName name="CVV" localSheetId="4">'1-1. 설계설명서(3차)'!CVV</definedName>
    <definedName name="CVV" localSheetId="5">'1-1. 설계설명서(4차)'!CVV</definedName>
    <definedName name="CVV" localSheetId="8">'3-1. 예정공정표(1차)'!CVV</definedName>
    <definedName name="CVV" localSheetId="9">'3-2. 예정공정표(2차)'!CVV</definedName>
    <definedName name="CVV" localSheetId="10">'3-3. 예정공정표(3차)'!CVV</definedName>
    <definedName name="CVV" localSheetId="11">'3-4. 예정공정표(4차)'!CVV</definedName>
    <definedName name="CVV" localSheetId="13">'4-1. 예산내역서(1차)'!CVV</definedName>
    <definedName name="CVV" localSheetId="14">'4-2. 예산내역서(2차)'!CVV</definedName>
    <definedName name="CVV" localSheetId="15">'4-3. 예산내역서(3차)'!CVV</definedName>
    <definedName name="CVV" localSheetId="16">'4-4. 예산내역서(4차)'!CVV</definedName>
    <definedName name="CVV" localSheetId="18">'5-1. 공종별예산조서(1차)'!CVV</definedName>
    <definedName name="CVV" localSheetId="19">'5-2. 공종별예산조서(2차)'!CVV</definedName>
    <definedName name="CVV" localSheetId="20">'5-3. 공종별예산조서(3차)'!CVV</definedName>
    <definedName name="CVV" localSheetId="21">'5-3. 공종별예산조서(4차)'!CVV</definedName>
    <definedName name="CVV" localSheetId="24">'8-1. 철거발생품 예정조서(1차)'!CVV</definedName>
    <definedName name="CVV" localSheetId="25">'8-2. 철거발생품 예정조서(2차)'!CVV</definedName>
    <definedName name="CVV" localSheetId="26">'8-3. 철거발생품 예정조서(3차)'!CVV</definedName>
    <definedName name="CVV" localSheetId="27">'8-4. 철거발생품 예정조서(4차)'!CVV</definedName>
    <definedName name="d" localSheetId="28">#REF!</definedName>
    <definedName name="d">#REF!</definedName>
    <definedName name="DAN" localSheetId="28">#REF!</definedName>
    <definedName name="DAN">#REF!</definedName>
    <definedName name="DANGA" localSheetId="28">#REF!,#REF!</definedName>
    <definedName name="DANGA">#REF!,#REF!</definedName>
    <definedName name="DANGA101" localSheetId="28">#REF!</definedName>
    <definedName name="DANGA101">#REF!</definedName>
    <definedName name="DANGA103" localSheetId="28">#REF!</definedName>
    <definedName name="DANGA103">#REF!</definedName>
    <definedName name="DANGA12" localSheetId="28">#REF!</definedName>
    <definedName name="DANGA12">#REF!</definedName>
    <definedName name="DANGA15" localSheetId="28">#REF!</definedName>
    <definedName name="DANGA15">#REF!</definedName>
    <definedName name="DANGA2" localSheetId="28">#REF!</definedName>
    <definedName name="DANGA2">#REF!</definedName>
    <definedName name="DANGA3" localSheetId="28">#REF!</definedName>
    <definedName name="DANGA3">#REF!</definedName>
    <definedName name="DANGA32" localSheetId="28">#REF!</definedName>
    <definedName name="DANGA32">#REF!</definedName>
    <definedName name="DANGA33" localSheetId="28">#REF!</definedName>
    <definedName name="DANGA33">#REF!</definedName>
    <definedName name="DANGA37" localSheetId="28">#REF!</definedName>
    <definedName name="DANGA37">#REF!</definedName>
    <definedName name="DANGA38" localSheetId="28">#REF!</definedName>
    <definedName name="DANGA38">#REF!</definedName>
    <definedName name="DANGA39" localSheetId="28">#REF!</definedName>
    <definedName name="DANGA39">#REF!</definedName>
    <definedName name="DANGA50" localSheetId="28">#REF!</definedName>
    <definedName name="DANGA50">#REF!</definedName>
    <definedName name="DANGA51" localSheetId="28">#REF!</definedName>
    <definedName name="DANGA51">#REF!</definedName>
    <definedName name="DANGA6" localSheetId="28">#REF!</definedName>
    <definedName name="DANGA6">#REF!</definedName>
    <definedName name="DANGA64" localSheetId="28">#REF!</definedName>
    <definedName name="DANGA64">#REF!</definedName>
    <definedName name="DANGA66" localSheetId="28">#REF!</definedName>
    <definedName name="DANGA66">#REF!</definedName>
    <definedName name="DANGA71" localSheetId="28">#REF!</definedName>
    <definedName name="DANGA71">#REF!</definedName>
    <definedName name="DANGA72" localSheetId="28">#REF!</definedName>
    <definedName name="DANGA72">#REF!</definedName>
    <definedName name="DANGA73" localSheetId="28">#REF!</definedName>
    <definedName name="DANGA73">#REF!</definedName>
    <definedName name="DANGA78" localSheetId="28">#REF!</definedName>
    <definedName name="DANGA78">#REF!</definedName>
    <definedName name="DANGA84" localSheetId="28">#REF!</definedName>
    <definedName name="DANGA84">#REF!</definedName>
    <definedName name="DANGA85" localSheetId="28">#REF!</definedName>
    <definedName name="DANGA85">#REF!</definedName>
    <definedName name="DANGA86" localSheetId="28">#REF!</definedName>
    <definedName name="DANGA86">#REF!</definedName>
    <definedName name="DANGA87" localSheetId="28">#REF!</definedName>
    <definedName name="DANGA87">#REF!</definedName>
    <definedName name="DANGA88" localSheetId="28">#REF!</definedName>
    <definedName name="DANGA88">#REF!</definedName>
    <definedName name="DANGA89" localSheetId="28">#REF!</definedName>
    <definedName name="DANGA89">#REF!</definedName>
    <definedName name="DANGA9" localSheetId="28">#REF!</definedName>
    <definedName name="DANGA9">#REF!</definedName>
    <definedName name="DANGA90" localSheetId="28">#REF!</definedName>
    <definedName name="DANGA90">#REF!</definedName>
    <definedName name="DANGA91" localSheetId="28">#REF!</definedName>
    <definedName name="DANGA91">#REF!</definedName>
    <definedName name="DANGA92" localSheetId="28">#REF!</definedName>
    <definedName name="DANGA92">#REF!</definedName>
    <definedName name="DANGA93" localSheetId="28">#REF!</definedName>
    <definedName name="DANGA93">#REF!</definedName>
    <definedName name="DANGA94" localSheetId="28">#REF!</definedName>
    <definedName name="DANGA94">#REF!</definedName>
    <definedName name="DANGA95" localSheetId="28">#REF!</definedName>
    <definedName name="DANGA95">#REF!</definedName>
    <definedName name="DANGA96" localSheetId="28">#REF!</definedName>
    <definedName name="DANGA96">#REF!</definedName>
    <definedName name="DANGA97" localSheetId="28">#REF!</definedName>
    <definedName name="DANGA97">#REF!</definedName>
    <definedName name="DANGA98" localSheetId="28">#REF!</definedName>
    <definedName name="DANGA98">#REF!</definedName>
    <definedName name="DANGA99" localSheetId="28">#REF!</definedName>
    <definedName name="DANGA99">#REF!</definedName>
    <definedName name="data" localSheetId="28">#REF!</definedName>
    <definedName name="data">#REF!</definedName>
    <definedName name="dcc" localSheetId="2">'1-1. 설계설명서(1차)'!dcc</definedName>
    <definedName name="dcc" localSheetId="3">'1-1. 설계설명서(2차)'!dcc</definedName>
    <definedName name="dcc" localSheetId="4">'1-1. 설계설명서(3차)'!dcc</definedName>
    <definedName name="dcc" localSheetId="5">'1-1. 설계설명서(4차)'!dcc</definedName>
    <definedName name="dcc" localSheetId="8">'3-1. 예정공정표(1차)'!dcc</definedName>
    <definedName name="dcc" localSheetId="9">'3-2. 예정공정표(2차)'!dcc</definedName>
    <definedName name="dcc" localSheetId="10">'3-3. 예정공정표(3차)'!dcc</definedName>
    <definedName name="dcc" localSheetId="11">'3-4. 예정공정표(4차)'!dcc</definedName>
    <definedName name="dcc" localSheetId="13">'4-1. 예산내역서(1차)'!dcc</definedName>
    <definedName name="dcc" localSheetId="14">'4-2. 예산내역서(2차)'!dcc</definedName>
    <definedName name="dcc" localSheetId="15">'4-3. 예산내역서(3차)'!dcc</definedName>
    <definedName name="dcc" localSheetId="16">'4-4. 예산내역서(4차)'!dcc</definedName>
    <definedName name="dcc" localSheetId="18">'5-1. 공종별예산조서(1차)'!dcc</definedName>
    <definedName name="dcc" localSheetId="19">'5-2. 공종별예산조서(2차)'!dcc</definedName>
    <definedName name="dcc" localSheetId="20">'5-3. 공종별예산조서(3차)'!dcc</definedName>
    <definedName name="dcc" localSheetId="21">'5-3. 공종별예산조서(4차)'!dcc</definedName>
    <definedName name="dcc" localSheetId="24">'8-1. 철거발생품 예정조서(1차)'!dcc</definedName>
    <definedName name="dcc" localSheetId="25">'8-2. 철거발생품 예정조서(2차)'!dcc</definedName>
    <definedName name="dcc" localSheetId="26">'8-3. 철거발생품 예정조서(3차)'!dcc</definedName>
    <definedName name="dcc" localSheetId="27">'8-4. 철거발생품 예정조서(4차)'!dcc</definedName>
    <definedName name="DD" localSheetId="28">#REF!</definedName>
    <definedName name="DD">#REF!</definedName>
    <definedName name="DDC" localSheetId="2">'1-1. 설계설명서(1차)'!DDC</definedName>
    <definedName name="DDC" localSheetId="3">'1-1. 설계설명서(2차)'!DDC</definedName>
    <definedName name="DDC" localSheetId="4">'1-1. 설계설명서(3차)'!DDC</definedName>
    <definedName name="DDC" localSheetId="5">'1-1. 설계설명서(4차)'!DDC</definedName>
    <definedName name="DDC" localSheetId="8">'3-1. 예정공정표(1차)'!DDC</definedName>
    <definedName name="DDC" localSheetId="9">'3-2. 예정공정표(2차)'!DDC</definedName>
    <definedName name="DDC" localSheetId="10">'3-3. 예정공정표(3차)'!DDC</definedName>
    <definedName name="DDC" localSheetId="11">'3-4. 예정공정표(4차)'!DDC</definedName>
    <definedName name="DDC" localSheetId="13">'4-1. 예산내역서(1차)'!DDC</definedName>
    <definedName name="DDC" localSheetId="14">'4-2. 예산내역서(2차)'!DDC</definedName>
    <definedName name="DDC" localSheetId="15">'4-3. 예산내역서(3차)'!DDC</definedName>
    <definedName name="DDC" localSheetId="16">'4-4. 예산내역서(4차)'!DDC</definedName>
    <definedName name="DDC" localSheetId="18">'5-1. 공종별예산조서(1차)'!DDC</definedName>
    <definedName name="DDC" localSheetId="19">'5-2. 공종별예산조서(2차)'!DDC</definedName>
    <definedName name="DDC" localSheetId="20">'5-3. 공종별예산조서(3차)'!DDC</definedName>
    <definedName name="DDC" localSheetId="21">'5-3. 공종별예산조서(4차)'!DDC</definedName>
    <definedName name="DDC" localSheetId="24">'8-1. 철거발생품 예정조서(1차)'!DDC</definedName>
    <definedName name="DDC" localSheetId="25">'8-2. 철거발생품 예정조서(2차)'!DDC</definedName>
    <definedName name="DDC" localSheetId="26">'8-3. 철거발생품 예정조서(3차)'!DDC</definedName>
    <definedName name="DDC" localSheetId="27">'8-4. 철거발생품 예정조서(4차)'!DDC</definedName>
    <definedName name="dddd" localSheetId="28">#REF!</definedName>
    <definedName name="dddd">#REF!</definedName>
    <definedName name="DDE" localSheetId="2">'1-1. 설계설명서(1차)'!DDC</definedName>
    <definedName name="DDE" localSheetId="3">'1-1. 설계설명서(2차)'!DDC</definedName>
    <definedName name="DDE" localSheetId="4">'1-1. 설계설명서(3차)'!DDC</definedName>
    <definedName name="DDE" localSheetId="5">'1-1. 설계설명서(4차)'!DDC</definedName>
    <definedName name="DDE" localSheetId="8">'3-1. 예정공정표(1차)'!DDC</definedName>
    <definedName name="DDE" localSheetId="9">'3-2. 예정공정표(2차)'!DDC</definedName>
    <definedName name="DDE" localSheetId="10">'3-3. 예정공정표(3차)'!DDC</definedName>
    <definedName name="DDE" localSheetId="11">'3-4. 예정공정표(4차)'!DDC</definedName>
    <definedName name="DDE" localSheetId="13">'4-1. 예산내역서(1차)'!DDC</definedName>
    <definedName name="DDE" localSheetId="14">'4-2. 예산내역서(2차)'!DDC</definedName>
    <definedName name="DDE" localSheetId="15">'4-3. 예산내역서(3차)'!DDC</definedName>
    <definedName name="DDE" localSheetId="16">'4-4. 예산내역서(4차)'!DDC</definedName>
    <definedName name="DDE" localSheetId="18">'5-1. 공종별예산조서(1차)'!DDC</definedName>
    <definedName name="DDE" localSheetId="19">'5-2. 공종별예산조서(2차)'!DDC</definedName>
    <definedName name="DDE" localSheetId="20">'5-3. 공종별예산조서(3차)'!DDC</definedName>
    <definedName name="DDE" localSheetId="21">'5-3. 공종별예산조서(4차)'!DDC</definedName>
    <definedName name="DDE" localSheetId="24">'8-1. 철거발생품 예정조서(1차)'!DDC</definedName>
    <definedName name="DDE" localSheetId="25">'8-2. 철거발생품 예정조서(2차)'!DDC</definedName>
    <definedName name="DDE" localSheetId="26">'8-3. 철거발생품 예정조서(3차)'!DDC</definedName>
    <definedName name="DDE" localSheetId="27">'8-4. 철거발생품 예정조서(4차)'!DDC</definedName>
    <definedName name="df" localSheetId="28">#REF!</definedName>
    <definedName name="df">#REF!</definedName>
    <definedName name="dfd" localSheetId="28" hidden="1">{#N/A,#N/A,FALSE,"명세표"}</definedName>
    <definedName name="dfd" hidden="1">{#N/A,#N/A,FALSE,"명세표"}</definedName>
    <definedName name="DFDFDFDF">#REF!</definedName>
    <definedName name="dfg" localSheetId="28" hidden="1">{#N/A,#N/A,FALSE,"명세표"}</definedName>
    <definedName name="dfg" hidden="1">{#N/A,#N/A,FALSE,"명세표"}</definedName>
    <definedName name="dfgd" localSheetId="28" hidden="1">{#N/A,#N/A,FALSE,"명세표"}</definedName>
    <definedName name="dfgd" hidden="1">{#N/A,#N/A,FALSE,"명세표"}</definedName>
    <definedName name="dfgs" localSheetId="28" hidden="1">{#N/A,#N/A,FALSE,"명세표"}</definedName>
    <definedName name="dfgs" hidden="1">{#N/A,#N/A,FALSE,"명세표"}</definedName>
    <definedName name="dfjalk">#REF!</definedName>
    <definedName name="DFJKSLAEO" localSheetId="28">#REF!</definedName>
    <definedName name="DFJKSLAEO">#REF!</definedName>
    <definedName name="dfs" localSheetId="28" hidden="1">{#N/A,#N/A,FALSE,"명세표"}</definedName>
    <definedName name="dfs" hidden="1">{#N/A,#N/A,FALSE,"명세표"}</definedName>
    <definedName name="DFSAFG" localSheetId="2">'1-1. 설계설명서(1차)'!DFSAFG</definedName>
    <definedName name="DFSAFG" localSheetId="3">'1-1. 설계설명서(2차)'!DFSAFG</definedName>
    <definedName name="DFSAFG" localSheetId="4">'1-1. 설계설명서(3차)'!DFSAFG</definedName>
    <definedName name="DFSAFG" localSheetId="5">'1-1. 설계설명서(4차)'!DFSAFG</definedName>
    <definedName name="DFSAFG" localSheetId="8">'3-1. 예정공정표(1차)'!DFSAFG</definedName>
    <definedName name="DFSAFG" localSheetId="9">'3-2. 예정공정표(2차)'!DFSAFG</definedName>
    <definedName name="DFSAFG" localSheetId="10">'3-3. 예정공정표(3차)'!DFSAFG</definedName>
    <definedName name="DFSAFG" localSheetId="11">'3-4. 예정공정표(4차)'!DFSAFG</definedName>
    <definedName name="DFSAFG" localSheetId="13">'4-1. 예산내역서(1차)'!DFSAFG</definedName>
    <definedName name="DFSAFG" localSheetId="14">'4-2. 예산내역서(2차)'!DFSAFG</definedName>
    <definedName name="DFSAFG" localSheetId="15">'4-3. 예산내역서(3차)'!DFSAFG</definedName>
    <definedName name="DFSAFG" localSheetId="16">'4-4. 예산내역서(4차)'!DFSAFG</definedName>
    <definedName name="DFSAFG" localSheetId="18">'5-1. 공종별예산조서(1차)'!DFSAFG</definedName>
    <definedName name="DFSAFG" localSheetId="19">'5-2. 공종별예산조서(2차)'!DFSAFG</definedName>
    <definedName name="DFSAFG" localSheetId="20">'5-3. 공종별예산조서(3차)'!DFSAFG</definedName>
    <definedName name="DFSAFG" localSheetId="21">'5-3. 공종별예산조서(4차)'!DFSAFG</definedName>
    <definedName name="DFSAFG" localSheetId="24">'8-1. 철거발생품 예정조서(1차)'!DFSAFG</definedName>
    <definedName name="DFSAFG" localSheetId="25">'8-2. 철거발생품 예정조서(2차)'!DFSAFG</definedName>
    <definedName name="DFSAFG" localSheetId="26">'8-3. 철거발생품 예정조서(3차)'!DFSAFG</definedName>
    <definedName name="DFSAFG" localSheetId="27">'8-4. 철거발생품 예정조서(4차)'!DFSAFG</definedName>
    <definedName name="dfsdf" localSheetId="28" hidden="1">{#N/A,#N/A,FALSE,"명세표"}</definedName>
    <definedName name="dfsdf" hidden="1">{#N/A,#N/A,FALSE,"명세표"}</definedName>
    <definedName name="dfvd" localSheetId="28" hidden="1">{#N/A,#N/A,FALSE,"명세표"}</definedName>
    <definedName name="dfvd" hidden="1">{#N/A,#N/A,FALSE,"명세표"}</definedName>
    <definedName name="DFVGD" localSheetId="0">'0. 설계서'!MMM</definedName>
    <definedName name="DFVGD" localSheetId="2">'1-1. 설계설명서(1차)'!MMM</definedName>
    <definedName name="DFVGD" localSheetId="3">'1-1. 설계설명서(2차)'!MMM</definedName>
    <definedName name="DFVGD" localSheetId="4">'1-1. 설계설명서(3차)'!MMM</definedName>
    <definedName name="DFVGD" localSheetId="5">'1-1. 설계설명서(4차)'!MMM</definedName>
    <definedName name="DFVGD" localSheetId="8">'3-1. 예정공정표(1차)'!MMM</definedName>
    <definedName name="DFVGD" localSheetId="9">'3-2. 예정공정표(2차)'!MMM</definedName>
    <definedName name="DFVGD" localSheetId="10">'3-3. 예정공정표(3차)'!MMM</definedName>
    <definedName name="DFVGD" localSheetId="11">'3-4. 예정공정표(4차)'!MMM</definedName>
    <definedName name="DFVGD" localSheetId="13">'4-1. 예산내역서(1차)'!MMM</definedName>
    <definedName name="DFVGD" localSheetId="14">'4-2. 예산내역서(2차)'!MMM</definedName>
    <definedName name="DFVGD" localSheetId="15">'4-3. 예산내역서(3차)'!MMM</definedName>
    <definedName name="DFVGD" localSheetId="16">'4-4. 예산내역서(4차)'!MMM</definedName>
    <definedName name="DFVGD" localSheetId="18">'5-1. 공종별예산조서(1차)'!MMM</definedName>
    <definedName name="DFVGD" localSheetId="19">'5-2. 공종별예산조서(2차)'!MMM</definedName>
    <definedName name="DFVGD" localSheetId="20">'5-3. 공종별예산조서(3차)'!MMM</definedName>
    <definedName name="DFVGD" localSheetId="21">'5-3. 공종별예산조서(4차)'!MMM</definedName>
    <definedName name="DFVGD" localSheetId="24">'8-1. 철거발생품 예정조서(1차)'!MMM</definedName>
    <definedName name="DFVGD" localSheetId="25">'8-2. 철거발생품 예정조서(2차)'!MMM</definedName>
    <definedName name="DFVGD" localSheetId="26">'8-3. 철거발생품 예정조서(3차)'!MMM</definedName>
    <definedName name="DFVGD" localSheetId="27">'8-4. 철거발생품 예정조서(4차)'!MMM</definedName>
    <definedName name="dgd" localSheetId="28" hidden="1">{#N/A,#N/A,FALSE,"명세표"}</definedName>
    <definedName name="dgd" hidden="1">{#N/A,#N/A,FALSE,"명세표"}</definedName>
    <definedName name="DGF">#REF!</definedName>
    <definedName name="dgfa" localSheetId="28" hidden="1">{#N/A,#N/A,FALSE,"명세표"}</definedName>
    <definedName name="dgfa" hidden="1">{#N/A,#N/A,FALSE,"명세표"}</definedName>
    <definedName name="DGFNDGN" localSheetId="2">'1-1. 설계설명서(1차)'!DGFNDGN</definedName>
    <definedName name="DGFNDGN" localSheetId="3">'1-1. 설계설명서(2차)'!DGFNDGN</definedName>
    <definedName name="DGFNDGN" localSheetId="4">'1-1. 설계설명서(3차)'!DGFNDGN</definedName>
    <definedName name="DGFNDGN" localSheetId="5">'1-1. 설계설명서(4차)'!DGFNDGN</definedName>
    <definedName name="DGFNDGN" localSheetId="8">'3-1. 예정공정표(1차)'!DGFNDGN</definedName>
    <definedName name="DGFNDGN" localSheetId="9">'3-2. 예정공정표(2차)'!DGFNDGN</definedName>
    <definedName name="DGFNDGN" localSheetId="10">'3-3. 예정공정표(3차)'!DGFNDGN</definedName>
    <definedName name="DGFNDGN" localSheetId="11">'3-4. 예정공정표(4차)'!DGFNDGN</definedName>
    <definedName name="DGFNDGN" localSheetId="13">'4-1. 예산내역서(1차)'!DGFNDGN</definedName>
    <definedName name="DGFNDGN" localSheetId="14">'4-2. 예산내역서(2차)'!DGFNDGN</definedName>
    <definedName name="DGFNDGN" localSheetId="15">'4-3. 예산내역서(3차)'!DGFNDGN</definedName>
    <definedName name="DGFNDGN" localSheetId="16">'4-4. 예산내역서(4차)'!DGFNDGN</definedName>
    <definedName name="DGFNDGN" localSheetId="18">'5-1. 공종별예산조서(1차)'!DGFNDGN</definedName>
    <definedName name="DGFNDGN" localSheetId="19">'5-2. 공종별예산조서(2차)'!DGFNDGN</definedName>
    <definedName name="DGFNDGN" localSheetId="20">'5-3. 공종별예산조서(3차)'!DGFNDGN</definedName>
    <definedName name="DGFNDGN" localSheetId="21">'5-3. 공종별예산조서(4차)'!DGFNDGN</definedName>
    <definedName name="DGFNDGN" localSheetId="24">'8-1. 철거발생품 예정조서(1차)'!DGFNDGN</definedName>
    <definedName name="DGFNDGN" localSheetId="25">'8-2. 철거발생품 예정조서(2차)'!DGFNDGN</definedName>
    <definedName name="DGFNDGN" localSheetId="26">'8-3. 철거발생품 예정조서(3차)'!DGFNDGN</definedName>
    <definedName name="DGFNDGN" localSheetId="27">'8-4. 철거발생품 예정조서(4차)'!DGFNDGN</definedName>
    <definedName name="dgh" localSheetId="2">'1-1. 설계설명서(1차)'!dgh</definedName>
    <definedName name="dgh" localSheetId="3">'1-1. 설계설명서(2차)'!dgh</definedName>
    <definedName name="dgh" localSheetId="4">'1-1. 설계설명서(3차)'!dgh</definedName>
    <definedName name="dgh" localSheetId="5">'1-1. 설계설명서(4차)'!dgh</definedName>
    <definedName name="dgh" localSheetId="8">'3-1. 예정공정표(1차)'!dgh</definedName>
    <definedName name="dgh" localSheetId="9">'3-2. 예정공정표(2차)'!dgh</definedName>
    <definedName name="dgh" localSheetId="10">'3-3. 예정공정표(3차)'!dgh</definedName>
    <definedName name="dgh" localSheetId="11">'3-4. 예정공정표(4차)'!dgh</definedName>
    <definedName name="dgh" localSheetId="13">'4-1. 예산내역서(1차)'!dgh</definedName>
    <definedName name="dgh" localSheetId="14">'4-2. 예산내역서(2차)'!dgh</definedName>
    <definedName name="dgh" localSheetId="15">'4-3. 예산내역서(3차)'!dgh</definedName>
    <definedName name="dgh" localSheetId="16">'4-4. 예산내역서(4차)'!dgh</definedName>
    <definedName name="dgh" localSheetId="18">'5-1. 공종별예산조서(1차)'!dgh</definedName>
    <definedName name="dgh" localSheetId="19">'5-2. 공종별예산조서(2차)'!dgh</definedName>
    <definedName name="dgh" localSheetId="20">'5-3. 공종별예산조서(3차)'!dgh</definedName>
    <definedName name="dgh" localSheetId="21">'5-3. 공종별예산조서(4차)'!dgh</definedName>
    <definedName name="dgh" localSheetId="24">'8-1. 철거발생품 예정조서(1차)'!dgh</definedName>
    <definedName name="dgh" localSheetId="25">'8-2. 철거발생품 예정조서(2차)'!dgh</definedName>
    <definedName name="dgh" localSheetId="26">'8-3. 철거발생품 예정조서(3차)'!dgh</definedName>
    <definedName name="dgh" localSheetId="27">'8-4. 철거발생품 예정조서(4차)'!dgh</definedName>
    <definedName name="DGNDGN" localSheetId="2">'1-1. 설계설명서(1차)'!DGNDGN</definedName>
    <definedName name="DGNDGN" localSheetId="3">'1-1. 설계설명서(2차)'!DGNDGN</definedName>
    <definedName name="DGNDGN" localSheetId="4">'1-1. 설계설명서(3차)'!DGNDGN</definedName>
    <definedName name="DGNDGN" localSheetId="5">'1-1. 설계설명서(4차)'!DGNDGN</definedName>
    <definedName name="DGNDGN" localSheetId="8">'3-1. 예정공정표(1차)'!DGNDGN</definedName>
    <definedName name="DGNDGN" localSheetId="9">'3-2. 예정공정표(2차)'!DGNDGN</definedName>
    <definedName name="DGNDGN" localSheetId="10">'3-3. 예정공정표(3차)'!DGNDGN</definedName>
    <definedName name="DGNDGN" localSheetId="11">'3-4. 예정공정표(4차)'!DGNDGN</definedName>
    <definedName name="DGNDGN" localSheetId="13">'4-1. 예산내역서(1차)'!DGNDGN</definedName>
    <definedName name="DGNDGN" localSheetId="14">'4-2. 예산내역서(2차)'!DGNDGN</definedName>
    <definedName name="DGNDGN" localSheetId="15">'4-3. 예산내역서(3차)'!DGNDGN</definedName>
    <definedName name="DGNDGN" localSheetId="16">'4-4. 예산내역서(4차)'!DGNDGN</definedName>
    <definedName name="DGNDGN" localSheetId="18">'5-1. 공종별예산조서(1차)'!DGNDGN</definedName>
    <definedName name="DGNDGN" localSheetId="19">'5-2. 공종별예산조서(2차)'!DGNDGN</definedName>
    <definedName name="DGNDGN" localSheetId="20">'5-3. 공종별예산조서(3차)'!DGNDGN</definedName>
    <definedName name="DGNDGN" localSheetId="21">'5-3. 공종별예산조서(4차)'!DGNDGN</definedName>
    <definedName name="DGNDGN" localSheetId="24">'8-1. 철거발생품 예정조서(1차)'!DGNDGN</definedName>
    <definedName name="DGNDGN" localSheetId="25">'8-2. 철거발생품 예정조서(2차)'!DGNDGN</definedName>
    <definedName name="DGNDGN" localSheetId="26">'8-3. 철거발생품 예정조서(3차)'!DGNDGN</definedName>
    <definedName name="DGNDGN" localSheetId="27">'8-4. 철거발생품 예정조서(4차)'!DGNDGN</definedName>
    <definedName name="DGNNGFDNDN" localSheetId="2">'1-1. 설계설명서(1차)'!DGNDGN</definedName>
    <definedName name="DGNNGFDNDN" localSheetId="3">'1-1. 설계설명서(2차)'!DGNDGN</definedName>
    <definedName name="DGNNGFDNDN" localSheetId="4">'1-1. 설계설명서(3차)'!DGNDGN</definedName>
    <definedName name="DGNNGFDNDN" localSheetId="5">'1-1. 설계설명서(4차)'!DGNDGN</definedName>
    <definedName name="DGNNGFDNDN" localSheetId="8">'3-1. 예정공정표(1차)'!DGNDGN</definedName>
    <definedName name="DGNNGFDNDN" localSheetId="9">'3-2. 예정공정표(2차)'!DGNDGN</definedName>
    <definedName name="DGNNGFDNDN" localSheetId="10">'3-3. 예정공정표(3차)'!DGNDGN</definedName>
    <definedName name="DGNNGFDNDN" localSheetId="11">'3-4. 예정공정표(4차)'!DGNDGN</definedName>
    <definedName name="DGNNGFDNDN" localSheetId="13">'4-1. 예산내역서(1차)'!DGNDGN</definedName>
    <definedName name="DGNNGFDNDN" localSheetId="14">'4-2. 예산내역서(2차)'!DGNDGN</definedName>
    <definedName name="DGNNGFDNDN" localSheetId="15">'4-3. 예산내역서(3차)'!DGNDGN</definedName>
    <definedName name="DGNNGFDNDN" localSheetId="16">'4-4. 예산내역서(4차)'!DGNDGN</definedName>
    <definedName name="DGNNGFDNDN" localSheetId="18">'5-1. 공종별예산조서(1차)'!DGNDGN</definedName>
    <definedName name="DGNNGFDNDN" localSheetId="19">'5-2. 공종별예산조서(2차)'!DGNDGN</definedName>
    <definedName name="DGNNGFDNDN" localSheetId="20">'5-3. 공종별예산조서(3차)'!DGNDGN</definedName>
    <definedName name="DGNNGFDNDN" localSheetId="21">'5-3. 공종별예산조서(4차)'!DGNDGN</definedName>
    <definedName name="DGNNGFDNDN" localSheetId="24">'8-1. 철거발생품 예정조서(1차)'!DGNDGN</definedName>
    <definedName name="DGNNGFDNDN" localSheetId="25">'8-2. 철거발생품 예정조서(2차)'!DGNDGN</definedName>
    <definedName name="DGNNGFDNDN" localSheetId="26">'8-3. 철거발생품 예정조서(3차)'!DGNDGN</definedName>
    <definedName name="DGNNGFDNDN" localSheetId="27">'8-4. 철거발생품 예정조서(4차)'!DGNDGN</definedName>
    <definedName name="DGRT" localSheetId="2">'1-1. 설계설명서(1차)'!DGRT</definedName>
    <definedName name="DGRT" localSheetId="3">'1-1. 설계설명서(2차)'!DGRT</definedName>
    <definedName name="DGRT" localSheetId="4">'1-1. 설계설명서(3차)'!DGRT</definedName>
    <definedName name="DGRT" localSheetId="5">'1-1. 설계설명서(4차)'!DGRT</definedName>
    <definedName name="DGRT" localSheetId="8">'3-1. 예정공정표(1차)'!DGRT</definedName>
    <definedName name="DGRT" localSheetId="9">'3-2. 예정공정표(2차)'!DGRT</definedName>
    <definedName name="DGRT" localSheetId="10">'3-3. 예정공정표(3차)'!DGRT</definedName>
    <definedName name="DGRT" localSheetId="11">'3-4. 예정공정표(4차)'!DGRT</definedName>
    <definedName name="DGRT" localSheetId="13">'4-1. 예산내역서(1차)'!DGRT</definedName>
    <definedName name="DGRT" localSheetId="14">'4-2. 예산내역서(2차)'!DGRT</definedName>
    <definedName name="DGRT" localSheetId="15">'4-3. 예산내역서(3차)'!DGRT</definedName>
    <definedName name="DGRT" localSheetId="16">'4-4. 예산내역서(4차)'!DGRT</definedName>
    <definedName name="DGRT" localSheetId="18">'5-1. 공종별예산조서(1차)'!DGRT</definedName>
    <definedName name="DGRT" localSheetId="19">'5-2. 공종별예산조서(2차)'!DGRT</definedName>
    <definedName name="DGRT" localSheetId="20">'5-3. 공종별예산조서(3차)'!DGRT</definedName>
    <definedName name="DGRT" localSheetId="21">'5-3. 공종별예산조서(4차)'!DGRT</definedName>
    <definedName name="DGRT" localSheetId="24">'8-1. 철거발생품 예정조서(1차)'!DGRT</definedName>
    <definedName name="DGRT" localSheetId="25">'8-2. 철거발생품 예정조서(2차)'!DGRT</definedName>
    <definedName name="DGRT" localSheetId="26">'8-3. 철거발생품 예정조서(3차)'!DGRT</definedName>
    <definedName name="DGRT" localSheetId="27">'8-4. 철거발생품 예정조서(4차)'!DGRT</definedName>
    <definedName name="dhj" localSheetId="2">{"'용역비'!$A$4:$C$8"}</definedName>
    <definedName name="dhj" localSheetId="3">{"'용역비'!$A$4:$C$8"}</definedName>
    <definedName name="dhj" localSheetId="4">{"'용역비'!$A$4:$C$8"}</definedName>
    <definedName name="dhj" localSheetId="5">{"'용역비'!$A$4:$C$8"}</definedName>
    <definedName name="dhj" localSheetId="8">{"'용역비'!$A$4:$C$8"}</definedName>
    <definedName name="dhj" localSheetId="9">{"'용역비'!$A$4:$C$8"}</definedName>
    <definedName name="dhj" localSheetId="10">{"'용역비'!$A$4:$C$8"}</definedName>
    <definedName name="dhj" localSheetId="11">{"'용역비'!$A$4:$C$8"}</definedName>
    <definedName name="dhj" localSheetId="13">{"'용역비'!$A$4:$C$8"}</definedName>
    <definedName name="dhj" localSheetId="14">{"'용역비'!$A$4:$C$8"}</definedName>
    <definedName name="dhj" localSheetId="15">{"'용역비'!$A$4:$C$8"}</definedName>
    <definedName name="dhj" localSheetId="16">{"'용역비'!$A$4:$C$8"}</definedName>
    <definedName name="dhj" localSheetId="18">{"'용역비'!$A$4:$C$8"}</definedName>
    <definedName name="dhj" localSheetId="19">{"'용역비'!$A$4:$C$8"}</definedName>
    <definedName name="dhj" localSheetId="20">{"'용역비'!$A$4:$C$8"}</definedName>
    <definedName name="dhj" localSheetId="21">{"'용역비'!$A$4:$C$8"}</definedName>
    <definedName name="dhj" localSheetId="24">{"'용역비'!$A$4:$C$8"}</definedName>
    <definedName name="dhj" localSheetId="25">{"'용역비'!$A$4:$C$8"}</definedName>
    <definedName name="dhj" localSheetId="26">{"'용역비'!$A$4:$C$8"}</definedName>
    <definedName name="dhj" localSheetId="27">{"'용역비'!$A$4:$C$8"}</definedName>
    <definedName name="dhj">{"'용역비'!$A$4:$C$8"}</definedName>
    <definedName name="di">#REF!</definedName>
    <definedName name="DIA" localSheetId="28">#REF!</definedName>
    <definedName name="DIA">#REF!</definedName>
    <definedName name="DJHFJ" localSheetId="28">#REF!</definedName>
    <definedName name="DJHFJ">#REF!</definedName>
    <definedName name="dk" localSheetId="28">#REF!</definedName>
    <definedName name="dk">#REF!</definedName>
    <definedName name="DKDK" localSheetId="28">#REF!</definedName>
    <definedName name="DKDK">#REF!</definedName>
    <definedName name="dkdkdkdkd" localSheetId="28" hidden="1">{#N/A,#N/A,FALSE,"명세표"}</definedName>
    <definedName name="dkdkdkdkd" hidden="1">{#N/A,#N/A,FALSE,"명세표"}</definedName>
    <definedName name="DKFJLE">#REF!</definedName>
    <definedName name="DKFSLK" localSheetId="28">#REF!</definedName>
    <definedName name="DKFSLK">#REF!</definedName>
    <definedName name="dnjs" localSheetId="28">#REF!</definedName>
    <definedName name="dnjs">#REF!</definedName>
    <definedName name="dnjsrk2" localSheetId="28">#REF!</definedName>
    <definedName name="dnjsrk2">#REF!</definedName>
    <definedName name="dnqks" localSheetId="2">'1-1. 설계설명서(1차)'!dnqks</definedName>
    <definedName name="dnqks" localSheetId="3">'1-1. 설계설명서(2차)'!dnqks</definedName>
    <definedName name="dnqks" localSheetId="4">'1-1. 설계설명서(3차)'!dnqks</definedName>
    <definedName name="dnqks" localSheetId="5">'1-1. 설계설명서(4차)'!dnqks</definedName>
    <definedName name="dnqks" localSheetId="8">'3-1. 예정공정표(1차)'!dnqks</definedName>
    <definedName name="dnqks" localSheetId="9">'3-2. 예정공정표(2차)'!dnqks</definedName>
    <definedName name="dnqks" localSheetId="10">'3-3. 예정공정표(3차)'!dnqks</definedName>
    <definedName name="dnqks" localSheetId="11">'3-4. 예정공정표(4차)'!dnqks</definedName>
    <definedName name="dnqks" localSheetId="13">'4-1. 예산내역서(1차)'!dnqks</definedName>
    <definedName name="dnqks" localSheetId="14">'4-2. 예산내역서(2차)'!dnqks</definedName>
    <definedName name="dnqks" localSheetId="15">'4-3. 예산내역서(3차)'!dnqks</definedName>
    <definedName name="dnqks" localSheetId="16">'4-4. 예산내역서(4차)'!dnqks</definedName>
    <definedName name="dnqks" localSheetId="18">'5-1. 공종별예산조서(1차)'!dnqks</definedName>
    <definedName name="dnqks" localSheetId="19">'5-2. 공종별예산조서(2차)'!dnqks</definedName>
    <definedName name="dnqks" localSheetId="20">'5-3. 공종별예산조서(3차)'!dnqks</definedName>
    <definedName name="dnqks" localSheetId="21">'5-3. 공종별예산조서(4차)'!dnqks</definedName>
    <definedName name="dnqks" localSheetId="24">'8-1. 철거발생품 예정조서(1차)'!dnqks</definedName>
    <definedName name="dnqks" localSheetId="25">'8-2. 철거발생품 예정조서(2차)'!dnqks</definedName>
    <definedName name="dnqks" localSheetId="26">'8-3. 철거발생품 예정조서(3차)'!dnqks</definedName>
    <definedName name="dnqks" localSheetId="27">'8-4. 철거발생품 예정조서(4차)'!dnqks</definedName>
    <definedName name="DNS" localSheetId="28">#REF!</definedName>
    <definedName name="DNS">#REF!</definedName>
    <definedName name="DRIVE" localSheetId="28">#REF!</definedName>
    <definedName name="DRIVE">#REF!</definedName>
    <definedName name="drjtjdth" localSheetId="28">#REF!</definedName>
    <definedName name="drjtjdth">#REF!</definedName>
    <definedName name="drk" localSheetId="28">#REF!</definedName>
    <definedName name="drk">#REF!</definedName>
    <definedName name="drsg" localSheetId="28">#REF!</definedName>
    <definedName name="drsg">#REF!</definedName>
    <definedName name="dsaghh" localSheetId="28">#REF!</definedName>
    <definedName name="dsaghh">#REF!</definedName>
    <definedName name="dsf" localSheetId="28" hidden="1">{#N/A,#N/A,FALSE,"명세표"}</definedName>
    <definedName name="dsf" hidden="1">{#N/A,#N/A,FALSE,"명세표"}</definedName>
    <definedName name="dsfg" localSheetId="28" hidden="1">{#N/A,#N/A,FALSE,"명세표"}</definedName>
    <definedName name="dsfg" hidden="1">{#N/A,#N/A,FALSE,"명세표"}</definedName>
    <definedName name="dsfgs" localSheetId="28" hidden="1">{#N/A,#N/A,FALSE,"명세표"}</definedName>
    <definedName name="dsfgs" hidden="1">{#N/A,#N/A,FALSE,"명세표"}</definedName>
    <definedName name="dsfgsdfg" localSheetId="28" hidden="1">{#N/A,#N/A,FALSE,"명세표"}</definedName>
    <definedName name="dsfgsdfg" hidden="1">{#N/A,#N/A,FALSE,"명세표"}</definedName>
    <definedName name="DSKFJL">#REF!</definedName>
    <definedName name="DVZZ" localSheetId="2">'1-1. 설계설명서(1차)'!DFSAFG</definedName>
    <definedName name="DVZZ" localSheetId="3">'1-1. 설계설명서(2차)'!DFSAFG</definedName>
    <definedName name="DVZZ" localSheetId="4">'1-1. 설계설명서(3차)'!DFSAFG</definedName>
    <definedName name="DVZZ" localSheetId="5">'1-1. 설계설명서(4차)'!DFSAFG</definedName>
    <definedName name="DVZZ" localSheetId="8">'3-1. 예정공정표(1차)'!DFSAFG</definedName>
    <definedName name="DVZZ" localSheetId="9">'3-2. 예정공정표(2차)'!DFSAFG</definedName>
    <definedName name="DVZZ" localSheetId="10">'3-3. 예정공정표(3차)'!DFSAFG</definedName>
    <definedName name="DVZZ" localSheetId="11">'3-4. 예정공정표(4차)'!DFSAFG</definedName>
    <definedName name="DVZZ" localSheetId="13">'4-1. 예산내역서(1차)'!DFSAFG</definedName>
    <definedName name="DVZZ" localSheetId="14">'4-2. 예산내역서(2차)'!DFSAFG</definedName>
    <definedName name="DVZZ" localSheetId="15">'4-3. 예산내역서(3차)'!DFSAFG</definedName>
    <definedName name="DVZZ" localSheetId="16">'4-4. 예산내역서(4차)'!DFSAFG</definedName>
    <definedName name="DVZZ" localSheetId="18">'5-1. 공종별예산조서(1차)'!DFSAFG</definedName>
    <definedName name="DVZZ" localSheetId="19">'5-2. 공종별예산조서(2차)'!DFSAFG</definedName>
    <definedName name="DVZZ" localSheetId="20">'5-3. 공종별예산조서(3차)'!DFSAFG</definedName>
    <definedName name="DVZZ" localSheetId="21">'5-3. 공종별예산조서(4차)'!DFSAFG</definedName>
    <definedName name="DVZZ" localSheetId="24">'8-1. 철거발생품 예정조서(1차)'!DFSAFG</definedName>
    <definedName name="DVZZ" localSheetId="25">'8-2. 철거발생품 예정조서(2차)'!DFSAFG</definedName>
    <definedName name="DVZZ" localSheetId="26">'8-3. 철거발생품 예정조서(3차)'!DFSAFG</definedName>
    <definedName name="DVZZ" localSheetId="27">'8-4. 철거발생품 예정조서(4차)'!DFSAFG</definedName>
    <definedName name="DW" localSheetId="23">{"'용역비'!$A$4:$C$8"}</definedName>
    <definedName name="DW" localSheetId="24">{"'용역비'!$A$4:$C$8"}</definedName>
    <definedName name="DW" localSheetId="25">{"'용역비'!$A$4:$C$8"}</definedName>
    <definedName name="DW" localSheetId="26">{"'용역비'!$A$4:$C$8"}</definedName>
    <definedName name="DW" localSheetId="27">{"'용역비'!$A$4:$C$8"}</definedName>
    <definedName name="D열" localSheetId="28">#REF!</definedName>
    <definedName name="D열">#REF!</definedName>
    <definedName name="e" localSheetId="28">#REF!</definedName>
    <definedName name="e">#REF!</definedName>
    <definedName name="edgh" localSheetId="28">#REF!</definedName>
    <definedName name="edgh">#REF!</definedName>
    <definedName name="edtgh" localSheetId="28">#REF!</definedName>
    <definedName name="edtgh">#REF!</definedName>
    <definedName name="EED" localSheetId="2">'1-1. 설계설명서(1차)'!EED</definedName>
    <definedName name="EED" localSheetId="3">'1-1. 설계설명서(2차)'!EED</definedName>
    <definedName name="EED" localSheetId="4">'1-1. 설계설명서(3차)'!EED</definedName>
    <definedName name="EED" localSheetId="5">'1-1. 설계설명서(4차)'!EED</definedName>
    <definedName name="EED" localSheetId="8">'3-1. 예정공정표(1차)'!EED</definedName>
    <definedName name="EED" localSheetId="9">'3-2. 예정공정표(2차)'!EED</definedName>
    <definedName name="EED" localSheetId="10">'3-3. 예정공정표(3차)'!EED</definedName>
    <definedName name="EED" localSheetId="11">'3-4. 예정공정표(4차)'!EED</definedName>
    <definedName name="EED" localSheetId="13">'4-1. 예산내역서(1차)'!EED</definedName>
    <definedName name="EED" localSheetId="14">'4-2. 예산내역서(2차)'!EED</definedName>
    <definedName name="EED" localSheetId="15">'4-3. 예산내역서(3차)'!EED</definedName>
    <definedName name="EED" localSheetId="16">'4-4. 예산내역서(4차)'!EED</definedName>
    <definedName name="EED" localSheetId="18">'5-1. 공종별예산조서(1차)'!EED</definedName>
    <definedName name="EED" localSheetId="19">'5-2. 공종별예산조서(2차)'!EED</definedName>
    <definedName name="EED" localSheetId="20">'5-3. 공종별예산조서(3차)'!EED</definedName>
    <definedName name="EED" localSheetId="21">'5-3. 공종별예산조서(4차)'!EED</definedName>
    <definedName name="EED" localSheetId="24">'8-1. 철거발생품 예정조서(1차)'!EED</definedName>
    <definedName name="EED" localSheetId="25">'8-2. 철거발생품 예정조서(2차)'!EED</definedName>
    <definedName name="EED" localSheetId="26">'8-3. 철거발생품 예정조서(3차)'!EED</definedName>
    <definedName name="EED" localSheetId="27">'8-4. 철거발생품 예정조서(4차)'!EED</definedName>
    <definedName name="EEDD" localSheetId="2">'1-1. 설계설명서(1차)'!EEDD</definedName>
    <definedName name="EEDD" localSheetId="3">'1-1. 설계설명서(2차)'!EEDD</definedName>
    <definedName name="EEDD" localSheetId="4">'1-1. 설계설명서(3차)'!EEDD</definedName>
    <definedName name="EEDD" localSheetId="5">'1-1. 설계설명서(4차)'!EEDD</definedName>
    <definedName name="EEDD" localSheetId="8">'3-1. 예정공정표(1차)'!EEDD</definedName>
    <definedName name="EEDD" localSheetId="9">'3-2. 예정공정표(2차)'!EEDD</definedName>
    <definedName name="EEDD" localSheetId="10">'3-3. 예정공정표(3차)'!EEDD</definedName>
    <definedName name="EEDD" localSheetId="11">'3-4. 예정공정표(4차)'!EEDD</definedName>
    <definedName name="EEDD" localSheetId="13">'4-1. 예산내역서(1차)'!EEDD</definedName>
    <definedName name="EEDD" localSheetId="14">'4-2. 예산내역서(2차)'!EEDD</definedName>
    <definedName name="EEDD" localSheetId="15">'4-3. 예산내역서(3차)'!EEDD</definedName>
    <definedName name="EEDD" localSheetId="16">'4-4. 예산내역서(4차)'!EEDD</definedName>
    <definedName name="EEDD" localSheetId="18">'5-1. 공종별예산조서(1차)'!EEDD</definedName>
    <definedName name="EEDD" localSheetId="19">'5-2. 공종별예산조서(2차)'!EEDD</definedName>
    <definedName name="EEDD" localSheetId="20">'5-3. 공종별예산조서(3차)'!EEDD</definedName>
    <definedName name="EEDD" localSheetId="21">'5-3. 공종별예산조서(4차)'!EEDD</definedName>
    <definedName name="EEDD" localSheetId="24">'8-1. 철거발생품 예정조서(1차)'!EEDD</definedName>
    <definedName name="EEDD" localSheetId="25">'8-2. 철거발생품 예정조서(2차)'!EEDD</definedName>
    <definedName name="EEDD" localSheetId="26">'8-3. 철거발생품 예정조서(3차)'!EEDD</definedName>
    <definedName name="EEDD" localSheetId="27">'8-4. 철거발생품 예정조서(4차)'!EEDD</definedName>
    <definedName name="eee" localSheetId="28">#REF!</definedName>
    <definedName name="eee">#REF!</definedName>
    <definedName name="eeeeeee">{"'자리배치도'!$AG$1:$CI$28"}</definedName>
    <definedName name="efd" localSheetId="28" hidden="1">{#N/A,#N/A,FALSE,"명세표"}</definedName>
    <definedName name="efd" hidden="1">{#N/A,#N/A,FALSE,"명세표"}</definedName>
    <definedName name="EFG" localSheetId="2">{"'용역비'!$A$4:$C$8"}</definedName>
    <definedName name="EFG" localSheetId="3">{"'용역비'!$A$4:$C$8"}</definedName>
    <definedName name="EFG" localSheetId="4">{"'용역비'!$A$4:$C$8"}</definedName>
    <definedName name="EFG" localSheetId="5">{"'용역비'!$A$4:$C$8"}</definedName>
    <definedName name="EFG" localSheetId="8">{"'용역비'!$A$4:$C$8"}</definedName>
    <definedName name="EFG" localSheetId="9">{"'용역비'!$A$4:$C$8"}</definedName>
    <definedName name="EFG" localSheetId="10">{"'용역비'!$A$4:$C$8"}</definedName>
    <definedName name="EFG" localSheetId="11">{"'용역비'!$A$4:$C$8"}</definedName>
    <definedName name="EFG" localSheetId="13">{"'용역비'!$A$4:$C$8"}</definedName>
    <definedName name="EFG" localSheetId="14">{"'용역비'!$A$4:$C$8"}</definedName>
    <definedName name="EFG" localSheetId="15">{"'용역비'!$A$4:$C$8"}</definedName>
    <definedName name="EFG" localSheetId="16">{"'용역비'!$A$4:$C$8"}</definedName>
    <definedName name="EFG" localSheetId="18">{"'용역비'!$A$4:$C$8"}</definedName>
    <definedName name="EFG" localSheetId="19">{"'용역비'!$A$4:$C$8"}</definedName>
    <definedName name="EFG" localSheetId="20">{"'용역비'!$A$4:$C$8"}</definedName>
    <definedName name="EFG" localSheetId="21">{"'용역비'!$A$4:$C$8"}</definedName>
    <definedName name="EFG" localSheetId="24">{"'용역비'!$A$4:$C$8"}</definedName>
    <definedName name="EFG" localSheetId="25">{"'용역비'!$A$4:$C$8"}</definedName>
    <definedName name="EFG" localSheetId="26">{"'용역비'!$A$4:$C$8"}</definedName>
    <definedName name="EFG" localSheetId="27">{"'용역비'!$A$4:$C$8"}</definedName>
    <definedName name="EFG">{"'용역비'!$A$4:$C$8"}</definedName>
    <definedName name="EGE" localSheetId="2">{"'용역비'!$A$4:$C$8"}</definedName>
    <definedName name="EGE" localSheetId="3">{"'용역비'!$A$4:$C$8"}</definedName>
    <definedName name="EGE" localSheetId="4">{"'용역비'!$A$4:$C$8"}</definedName>
    <definedName name="EGE" localSheetId="5">{"'용역비'!$A$4:$C$8"}</definedName>
    <definedName name="EGE" localSheetId="8">{"'용역비'!$A$4:$C$8"}</definedName>
    <definedName name="EGE" localSheetId="9">{"'용역비'!$A$4:$C$8"}</definedName>
    <definedName name="EGE" localSheetId="10">{"'용역비'!$A$4:$C$8"}</definedName>
    <definedName name="EGE" localSheetId="11">{"'용역비'!$A$4:$C$8"}</definedName>
    <definedName name="EGE" localSheetId="13">{"'용역비'!$A$4:$C$8"}</definedName>
    <definedName name="EGE" localSheetId="14">{"'용역비'!$A$4:$C$8"}</definedName>
    <definedName name="EGE" localSheetId="15">{"'용역비'!$A$4:$C$8"}</definedName>
    <definedName name="EGE" localSheetId="16">{"'용역비'!$A$4:$C$8"}</definedName>
    <definedName name="EGE" localSheetId="18">{"'용역비'!$A$4:$C$8"}</definedName>
    <definedName name="EGE" localSheetId="19">{"'용역비'!$A$4:$C$8"}</definedName>
    <definedName name="EGE" localSheetId="20">{"'용역비'!$A$4:$C$8"}</definedName>
    <definedName name="EGE" localSheetId="21">{"'용역비'!$A$4:$C$8"}</definedName>
    <definedName name="EGE" localSheetId="24">{"'용역비'!$A$4:$C$8"}</definedName>
    <definedName name="EGE" localSheetId="25">{"'용역비'!$A$4:$C$8"}</definedName>
    <definedName name="EGE" localSheetId="26">{"'용역비'!$A$4:$C$8"}</definedName>
    <definedName name="EGE" localSheetId="27">{"'용역비'!$A$4:$C$8"}</definedName>
    <definedName name="EGE">{"'용역비'!$A$4:$C$8"}</definedName>
    <definedName name="EIRP">#REF!</definedName>
    <definedName name="ej" localSheetId="2">{"'용역비'!$A$4:$C$8"}</definedName>
    <definedName name="ej" localSheetId="3">{"'용역비'!$A$4:$C$8"}</definedName>
    <definedName name="ej" localSheetId="4">{"'용역비'!$A$4:$C$8"}</definedName>
    <definedName name="ej" localSheetId="5">{"'용역비'!$A$4:$C$8"}</definedName>
    <definedName name="ej" localSheetId="8">{"'용역비'!$A$4:$C$8"}</definedName>
    <definedName name="ej" localSheetId="9">{"'용역비'!$A$4:$C$8"}</definedName>
    <definedName name="ej" localSheetId="10">{"'용역비'!$A$4:$C$8"}</definedName>
    <definedName name="ej" localSheetId="11">{"'용역비'!$A$4:$C$8"}</definedName>
    <definedName name="ej" localSheetId="13">{"'용역비'!$A$4:$C$8"}</definedName>
    <definedName name="ej" localSheetId="14">{"'용역비'!$A$4:$C$8"}</definedName>
    <definedName name="ej" localSheetId="15">{"'용역비'!$A$4:$C$8"}</definedName>
    <definedName name="ej" localSheetId="16">{"'용역비'!$A$4:$C$8"}</definedName>
    <definedName name="ej" localSheetId="18">{"'용역비'!$A$4:$C$8"}</definedName>
    <definedName name="ej" localSheetId="19">{"'용역비'!$A$4:$C$8"}</definedName>
    <definedName name="ej" localSheetId="20">{"'용역비'!$A$4:$C$8"}</definedName>
    <definedName name="ej" localSheetId="21">{"'용역비'!$A$4:$C$8"}</definedName>
    <definedName name="ej" localSheetId="24">{"'용역비'!$A$4:$C$8"}</definedName>
    <definedName name="ej" localSheetId="25">{"'용역비'!$A$4:$C$8"}</definedName>
    <definedName name="ej" localSheetId="26">{"'용역비'!$A$4:$C$8"}</definedName>
    <definedName name="ej" localSheetId="27">{"'용역비'!$A$4:$C$8"}</definedName>
    <definedName name="ej">{"'용역비'!$A$4:$C$8"}</definedName>
    <definedName name="ERGR" localSheetId="2">'1-1. 설계설명서(1차)'!ERGR</definedName>
    <definedName name="ERGR" localSheetId="3">'1-1. 설계설명서(2차)'!ERGR</definedName>
    <definedName name="ERGR" localSheetId="4">'1-1. 설계설명서(3차)'!ERGR</definedName>
    <definedName name="ERGR" localSheetId="5">'1-1. 설계설명서(4차)'!ERGR</definedName>
    <definedName name="ERGR" localSheetId="8">'3-1. 예정공정표(1차)'!ERGR</definedName>
    <definedName name="ERGR" localSheetId="9">'3-2. 예정공정표(2차)'!ERGR</definedName>
    <definedName name="ERGR" localSheetId="10">'3-3. 예정공정표(3차)'!ERGR</definedName>
    <definedName name="ERGR" localSheetId="11">'3-4. 예정공정표(4차)'!ERGR</definedName>
    <definedName name="ERGR" localSheetId="13">'4-1. 예산내역서(1차)'!ERGR</definedName>
    <definedName name="ERGR" localSheetId="14">'4-2. 예산내역서(2차)'!ERGR</definedName>
    <definedName name="ERGR" localSheetId="15">'4-3. 예산내역서(3차)'!ERGR</definedName>
    <definedName name="ERGR" localSheetId="16">'4-4. 예산내역서(4차)'!ERGR</definedName>
    <definedName name="ERGR" localSheetId="18">'5-1. 공종별예산조서(1차)'!ERGR</definedName>
    <definedName name="ERGR" localSheetId="19">'5-2. 공종별예산조서(2차)'!ERGR</definedName>
    <definedName name="ERGR" localSheetId="20">'5-3. 공종별예산조서(3차)'!ERGR</definedName>
    <definedName name="ERGR" localSheetId="21">'5-3. 공종별예산조서(4차)'!ERGR</definedName>
    <definedName name="ERGR" localSheetId="24">'8-1. 철거발생품 예정조서(1차)'!ERGR</definedName>
    <definedName name="ERGR" localSheetId="25">'8-2. 철거발생품 예정조서(2차)'!ERGR</definedName>
    <definedName name="ERGR" localSheetId="26">'8-3. 철거발생품 예정조서(3차)'!ERGR</definedName>
    <definedName name="ERGR" localSheetId="27">'8-4. 철거발생품 예정조서(4차)'!ERGR</definedName>
    <definedName name="ertyertye" localSheetId="2">{"'용역비'!$A$4:$C$8"}</definedName>
    <definedName name="ertyertye" localSheetId="3">{"'용역비'!$A$4:$C$8"}</definedName>
    <definedName name="ertyertye" localSheetId="4">{"'용역비'!$A$4:$C$8"}</definedName>
    <definedName name="ertyertye" localSheetId="5">{"'용역비'!$A$4:$C$8"}</definedName>
    <definedName name="ertyertye" localSheetId="8">{"'용역비'!$A$4:$C$8"}</definedName>
    <definedName name="ertyertye" localSheetId="9">{"'용역비'!$A$4:$C$8"}</definedName>
    <definedName name="ertyertye" localSheetId="10">{"'용역비'!$A$4:$C$8"}</definedName>
    <definedName name="ertyertye" localSheetId="11">{"'용역비'!$A$4:$C$8"}</definedName>
    <definedName name="ertyertye" localSheetId="13">{"'용역비'!$A$4:$C$8"}</definedName>
    <definedName name="ertyertye" localSheetId="14">{"'용역비'!$A$4:$C$8"}</definedName>
    <definedName name="ertyertye" localSheetId="15">{"'용역비'!$A$4:$C$8"}</definedName>
    <definedName name="ertyertye" localSheetId="16">{"'용역비'!$A$4:$C$8"}</definedName>
    <definedName name="ertyertye" localSheetId="18">{"'용역비'!$A$4:$C$8"}</definedName>
    <definedName name="ertyertye" localSheetId="19">{"'용역비'!$A$4:$C$8"}</definedName>
    <definedName name="ertyertye" localSheetId="20">{"'용역비'!$A$4:$C$8"}</definedName>
    <definedName name="ertyertye" localSheetId="21">{"'용역비'!$A$4:$C$8"}</definedName>
    <definedName name="ertyertye" localSheetId="24">{"'용역비'!$A$4:$C$8"}</definedName>
    <definedName name="ertyertye" localSheetId="25">{"'용역비'!$A$4:$C$8"}</definedName>
    <definedName name="ertyertye" localSheetId="26">{"'용역비'!$A$4:$C$8"}</definedName>
    <definedName name="ertyertye" localSheetId="27">{"'용역비'!$A$4:$C$8"}</definedName>
    <definedName name="ertyertye">{"'용역비'!$A$4:$C$8"}</definedName>
    <definedName name="ETYETY" localSheetId="2">{"'용역비'!$A$4:$C$8"}</definedName>
    <definedName name="ETYETY" localSheetId="3">{"'용역비'!$A$4:$C$8"}</definedName>
    <definedName name="ETYETY" localSheetId="4">{"'용역비'!$A$4:$C$8"}</definedName>
    <definedName name="ETYETY" localSheetId="5">{"'용역비'!$A$4:$C$8"}</definedName>
    <definedName name="ETYETY" localSheetId="8">{"'용역비'!$A$4:$C$8"}</definedName>
    <definedName name="ETYETY" localSheetId="9">{"'용역비'!$A$4:$C$8"}</definedName>
    <definedName name="ETYETY" localSheetId="10">{"'용역비'!$A$4:$C$8"}</definedName>
    <definedName name="ETYETY" localSheetId="11">{"'용역비'!$A$4:$C$8"}</definedName>
    <definedName name="ETYETY" localSheetId="13">{"'용역비'!$A$4:$C$8"}</definedName>
    <definedName name="ETYETY" localSheetId="14">{"'용역비'!$A$4:$C$8"}</definedName>
    <definedName name="ETYETY" localSheetId="15">{"'용역비'!$A$4:$C$8"}</definedName>
    <definedName name="ETYETY" localSheetId="16">{"'용역비'!$A$4:$C$8"}</definedName>
    <definedName name="ETYETY" localSheetId="18">{"'용역비'!$A$4:$C$8"}</definedName>
    <definedName name="ETYETY" localSheetId="19">{"'용역비'!$A$4:$C$8"}</definedName>
    <definedName name="ETYETY" localSheetId="20">{"'용역비'!$A$4:$C$8"}</definedName>
    <definedName name="ETYETY" localSheetId="21">{"'용역비'!$A$4:$C$8"}</definedName>
    <definedName name="ETYETY" localSheetId="24">{"'용역비'!$A$4:$C$8"}</definedName>
    <definedName name="ETYETY" localSheetId="25">{"'용역비'!$A$4:$C$8"}</definedName>
    <definedName name="ETYETY" localSheetId="26">{"'용역비'!$A$4:$C$8"}</definedName>
    <definedName name="ETYETY" localSheetId="27">{"'용역비'!$A$4:$C$8"}</definedName>
    <definedName name="ETYETY">{"'용역비'!$A$4:$C$8"}</definedName>
    <definedName name="etyj" localSheetId="2">{"'용역비'!$A$4:$C$8"}</definedName>
    <definedName name="etyj" localSheetId="3">{"'용역비'!$A$4:$C$8"}</definedName>
    <definedName name="etyj" localSheetId="4">{"'용역비'!$A$4:$C$8"}</definedName>
    <definedName name="etyj" localSheetId="5">{"'용역비'!$A$4:$C$8"}</definedName>
    <definedName name="etyj" localSheetId="8">{"'용역비'!$A$4:$C$8"}</definedName>
    <definedName name="etyj" localSheetId="9">{"'용역비'!$A$4:$C$8"}</definedName>
    <definedName name="etyj" localSheetId="10">{"'용역비'!$A$4:$C$8"}</definedName>
    <definedName name="etyj" localSheetId="11">{"'용역비'!$A$4:$C$8"}</definedName>
    <definedName name="etyj" localSheetId="13">{"'용역비'!$A$4:$C$8"}</definedName>
    <definedName name="etyj" localSheetId="14">{"'용역비'!$A$4:$C$8"}</definedName>
    <definedName name="etyj" localSheetId="15">{"'용역비'!$A$4:$C$8"}</definedName>
    <definedName name="etyj" localSheetId="16">{"'용역비'!$A$4:$C$8"}</definedName>
    <definedName name="etyj" localSheetId="18">{"'용역비'!$A$4:$C$8"}</definedName>
    <definedName name="etyj" localSheetId="19">{"'용역비'!$A$4:$C$8"}</definedName>
    <definedName name="etyj" localSheetId="20">{"'용역비'!$A$4:$C$8"}</definedName>
    <definedName name="etyj" localSheetId="21">{"'용역비'!$A$4:$C$8"}</definedName>
    <definedName name="etyj" localSheetId="24">{"'용역비'!$A$4:$C$8"}</definedName>
    <definedName name="etyj" localSheetId="25">{"'용역비'!$A$4:$C$8"}</definedName>
    <definedName name="etyj" localSheetId="26">{"'용역비'!$A$4:$C$8"}</definedName>
    <definedName name="etyj" localSheetId="27">{"'용역비'!$A$4:$C$8"}</definedName>
    <definedName name="etyj">{"'용역비'!$A$4:$C$8"}</definedName>
    <definedName name="etyjj" localSheetId="2">{"'용역비'!$A$4:$C$8"}</definedName>
    <definedName name="etyjj" localSheetId="3">{"'용역비'!$A$4:$C$8"}</definedName>
    <definedName name="etyjj" localSheetId="4">{"'용역비'!$A$4:$C$8"}</definedName>
    <definedName name="etyjj" localSheetId="5">{"'용역비'!$A$4:$C$8"}</definedName>
    <definedName name="etyjj" localSheetId="8">{"'용역비'!$A$4:$C$8"}</definedName>
    <definedName name="etyjj" localSheetId="9">{"'용역비'!$A$4:$C$8"}</definedName>
    <definedName name="etyjj" localSheetId="10">{"'용역비'!$A$4:$C$8"}</definedName>
    <definedName name="etyjj" localSheetId="11">{"'용역비'!$A$4:$C$8"}</definedName>
    <definedName name="etyjj" localSheetId="13">{"'용역비'!$A$4:$C$8"}</definedName>
    <definedName name="etyjj" localSheetId="14">{"'용역비'!$A$4:$C$8"}</definedName>
    <definedName name="etyjj" localSheetId="15">{"'용역비'!$A$4:$C$8"}</definedName>
    <definedName name="etyjj" localSheetId="16">{"'용역비'!$A$4:$C$8"}</definedName>
    <definedName name="etyjj" localSheetId="18">{"'용역비'!$A$4:$C$8"}</definedName>
    <definedName name="etyjj" localSheetId="19">{"'용역비'!$A$4:$C$8"}</definedName>
    <definedName name="etyjj" localSheetId="20">{"'용역비'!$A$4:$C$8"}</definedName>
    <definedName name="etyjj" localSheetId="21">{"'용역비'!$A$4:$C$8"}</definedName>
    <definedName name="etyjj" localSheetId="24">{"'용역비'!$A$4:$C$8"}</definedName>
    <definedName name="etyjj" localSheetId="25">{"'용역비'!$A$4:$C$8"}</definedName>
    <definedName name="etyjj" localSheetId="26">{"'용역비'!$A$4:$C$8"}</definedName>
    <definedName name="etyjj" localSheetId="27">{"'용역비'!$A$4:$C$8"}</definedName>
    <definedName name="etyjj">{"'용역비'!$A$4:$C$8"}</definedName>
    <definedName name="ETYJTYJ" localSheetId="2">{"'용역비'!$A$4:$C$8"}</definedName>
    <definedName name="ETYJTYJ" localSheetId="3">{"'용역비'!$A$4:$C$8"}</definedName>
    <definedName name="ETYJTYJ" localSheetId="4">{"'용역비'!$A$4:$C$8"}</definedName>
    <definedName name="ETYJTYJ" localSheetId="5">{"'용역비'!$A$4:$C$8"}</definedName>
    <definedName name="ETYJTYJ" localSheetId="8">{"'용역비'!$A$4:$C$8"}</definedName>
    <definedName name="ETYJTYJ" localSheetId="9">{"'용역비'!$A$4:$C$8"}</definedName>
    <definedName name="ETYJTYJ" localSheetId="10">{"'용역비'!$A$4:$C$8"}</definedName>
    <definedName name="ETYJTYJ" localSheetId="11">{"'용역비'!$A$4:$C$8"}</definedName>
    <definedName name="ETYJTYJ" localSheetId="13">{"'용역비'!$A$4:$C$8"}</definedName>
    <definedName name="ETYJTYJ" localSheetId="14">{"'용역비'!$A$4:$C$8"}</definedName>
    <definedName name="ETYJTYJ" localSheetId="15">{"'용역비'!$A$4:$C$8"}</definedName>
    <definedName name="ETYJTYJ" localSheetId="16">{"'용역비'!$A$4:$C$8"}</definedName>
    <definedName name="ETYJTYJ" localSheetId="18">{"'용역비'!$A$4:$C$8"}</definedName>
    <definedName name="ETYJTYJ" localSheetId="19">{"'용역비'!$A$4:$C$8"}</definedName>
    <definedName name="ETYJTYJ" localSheetId="20">{"'용역비'!$A$4:$C$8"}</definedName>
    <definedName name="ETYJTYJ" localSheetId="21">{"'용역비'!$A$4:$C$8"}</definedName>
    <definedName name="ETYJTYJ" localSheetId="24">{"'용역비'!$A$4:$C$8"}</definedName>
    <definedName name="ETYJTYJ" localSheetId="25">{"'용역비'!$A$4:$C$8"}</definedName>
    <definedName name="ETYJTYJ" localSheetId="26">{"'용역비'!$A$4:$C$8"}</definedName>
    <definedName name="ETYJTYJ" localSheetId="27">{"'용역비'!$A$4:$C$8"}</definedName>
    <definedName name="ETYJTYJ">{"'용역비'!$A$4:$C$8"}</definedName>
    <definedName name="EWFDSVF" localSheetId="2">'1-1. 설계설명서(1차)'!EWFDSVF</definedName>
    <definedName name="EWFDSVF" localSheetId="3">'1-1. 설계설명서(2차)'!EWFDSVF</definedName>
    <definedName name="EWFDSVF" localSheetId="4">'1-1. 설계설명서(3차)'!EWFDSVF</definedName>
    <definedName name="EWFDSVF" localSheetId="5">'1-1. 설계설명서(4차)'!EWFDSVF</definedName>
    <definedName name="EWFDSVF" localSheetId="8">'3-1. 예정공정표(1차)'!EWFDSVF</definedName>
    <definedName name="EWFDSVF" localSheetId="9">'3-2. 예정공정표(2차)'!EWFDSVF</definedName>
    <definedName name="EWFDSVF" localSheetId="10">'3-3. 예정공정표(3차)'!EWFDSVF</definedName>
    <definedName name="EWFDSVF" localSheetId="11">'3-4. 예정공정표(4차)'!EWFDSVF</definedName>
    <definedName name="EWFDSVF" localSheetId="13">'4-1. 예산내역서(1차)'!EWFDSVF</definedName>
    <definedName name="EWFDSVF" localSheetId="14">'4-2. 예산내역서(2차)'!EWFDSVF</definedName>
    <definedName name="EWFDSVF" localSheetId="15">'4-3. 예산내역서(3차)'!EWFDSVF</definedName>
    <definedName name="EWFDSVF" localSheetId="16">'4-4. 예산내역서(4차)'!EWFDSVF</definedName>
    <definedName name="EWFDSVF" localSheetId="18">'5-1. 공종별예산조서(1차)'!EWFDSVF</definedName>
    <definedName name="EWFDSVF" localSheetId="19">'5-2. 공종별예산조서(2차)'!EWFDSVF</definedName>
    <definedName name="EWFDSVF" localSheetId="20">'5-3. 공종별예산조서(3차)'!EWFDSVF</definedName>
    <definedName name="EWFDSVF" localSheetId="21">'5-3. 공종별예산조서(4차)'!EWFDSVF</definedName>
    <definedName name="EWFDSVF" localSheetId="24">'8-1. 철거발생품 예정조서(1차)'!EWFDSVF</definedName>
    <definedName name="EWFDSVF" localSheetId="25">'8-2. 철거발생품 예정조서(2차)'!EWFDSVF</definedName>
    <definedName name="EWFDSVF" localSheetId="26">'8-3. 철거발생품 예정조서(3차)'!EWFDSVF</definedName>
    <definedName name="EWFDSVF" localSheetId="27">'8-4. 철거발생품 예정조서(4차)'!EWFDSVF</definedName>
    <definedName name="EWRDWQ" localSheetId="2">'1-1. 설계설명서(1차)'!EWRDWQ</definedName>
    <definedName name="EWRDWQ" localSheetId="3">'1-1. 설계설명서(2차)'!EWRDWQ</definedName>
    <definedName name="EWRDWQ" localSheetId="4">'1-1. 설계설명서(3차)'!EWRDWQ</definedName>
    <definedName name="EWRDWQ" localSheetId="5">'1-1. 설계설명서(4차)'!EWRDWQ</definedName>
    <definedName name="EWRDWQ" localSheetId="8">'3-1. 예정공정표(1차)'!EWRDWQ</definedName>
    <definedName name="EWRDWQ" localSheetId="9">'3-2. 예정공정표(2차)'!EWRDWQ</definedName>
    <definedName name="EWRDWQ" localSheetId="10">'3-3. 예정공정표(3차)'!EWRDWQ</definedName>
    <definedName name="EWRDWQ" localSheetId="11">'3-4. 예정공정표(4차)'!EWRDWQ</definedName>
    <definedName name="EWRDWQ" localSheetId="13">'4-1. 예산내역서(1차)'!EWRDWQ</definedName>
    <definedName name="EWRDWQ" localSheetId="14">'4-2. 예산내역서(2차)'!EWRDWQ</definedName>
    <definedName name="EWRDWQ" localSheetId="15">'4-3. 예산내역서(3차)'!EWRDWQ</definedName>
    <definedName name="EWRDWQ" localSheetId="16">'4-4. 예산내역서(4차)'!EWRDWQ</definedName>
    <definedName name="EWRDWQ" localSheetId="18">'5-1. 공종별예산조서(1차)'!EWRDWQ</definedName>
    <definedName name="EWRDWQ" localSheetId="19">'5-2. 공종별예산조서(2차)'!EWRDWQ</definedName>
    <definedName name="EWRDWQ" localSheetId="20">'5-3. 공종별예산조서(3차)'!EWRDWQ</definedName>
    <definedName name="EWRDWQ" localSheetId="21">'5-3. 공종별예산조서(4차)'!EWRDWQ</definedName>
    <definedName name="EWRDWQ" localSheetId="24">'8-1. 철거발생품 예정조서(1차)'!EWRDWQ</definedName>
    <definedName name="EWRDWQ" localSheetId="25">'8-2. 철거발생품 예정조서(2차)'!EWRDWQ</definedName>
    <definedName name="EWRDWQ" localSheetId="26">'8-3. 철거발생품 예정조서(3차)'!EWRDWQ</definedName>
    <definedName name="EWRDWQ" localSheetId="27">'8-4. 철거발생품 예정조서(4차)'!EWRDWQ</definedName>
    <definedName name="ewrertr4">{"'자리배치도'!$AG$1:$CI$28"}</definedName>
    <definedName name="eyeetr" localSheetId="28">#REF!</definedName>
    <definedName name="eyeetr">#REF!</definedName>
    <definedName name="F" localSheetId="28">#REF!</definedName>
    <definedName name="F">#REF!</definedName>
    <definedName name="fact" localSheetId="28">#REF!</definedName>
    <definedName name="fact">#REF!</definedName>
    <definedName name="fada" localSheetId="28">#REF!</definedName>
    <definedName name="fada">#REF!</definedName>
    <definedName name="fadfa" localSheetId="28">#REF!</definedName>
    <definedName name="fadfa">#REF!</definedName>
    <definedName name="fagag" localSheetId="28">#REF!</definedName>
    <definedName name="fagag">#REF!</definedName>
    <definedName name="fd" localSheetId="28">#REF!</definedName>
    <definedName name="fd">#REF!</definedName>
    <definedName name="fdc" localSheetId="28" hidden="1">{#N/A,#N/A,FALSE,"명세표"}</definedName>
    <definedName name="fdc" hidden="1">{#N/A,#N/A,FALSE,"명세표"}</definedName>
    <definedName name="FDFDFDF">#REF!</definedName>
    <definedName name="fdg" localSheetId="28">#REF!</definedName>
    <definedName name="fdg">#REF!</definedName>
    <definedName name="fdgds" localSheetId="28" hidden="1">{#N/A,#N/A,FALSE,"명세표"}</definedName>
    <definedName name="fdgds" hidden="1">{#N/A,#N/A,FALSE,"명세표"}</definedName>
    <definedName name="FDGFD" localSheetId="2">'1-1. 설계설명서(1차)'!FDGFD</definedName>
    <definedName name="FDGFD" localSheetId="3">'1-1. 설계설명서(2차)'!FDGFD</definedName>
    <definedName name="FDGFD" localSheetId="4">'1-1. 설계설명서(3차)'!FDGFD</definedName>
    <definedName name="FDGFD" localSheetId="5">'1-1. 설계설명서(4차)'!FDGFD</definedName>
    <definedName name="FDGFD" localSheetId="8">'3-1. 예정공정표(1차)'!FDGFD</definedName>
    <definedName name="FDGFD" localSheetId="9">'3-2. 예정공정표(2차)'!FDGFD</definedName>
    <definedName name="FDGFD" localSheetId="10">'3-3. 예정공정표(3차)'!FDGFD</definedName>
    <definedName name="FDGFD" localSheetId="11">'3-4. 예정공정표(4차)'!FDGFD</definedName>
    <definedName name="FDGFD" localSheetId="13">'4-1. 예산내역서(1차)'!FDGFD</definedName>
    <definedName name="FDGFD" localSheetId="14">'4-2. 예산내역서(2차)'!FDGFD</definedName>
    <definedName name="FDGFD" localSheetId="15">'4-3. 예산내역서(3차)'!FDGFD</definedName>
    <definedName name="FDGFD" localSheetId="16">'4-4. 예산내역서(4차)'!FDGFD</definedName>
    <definedName name="FDGFD" localSheetId="18">'5-1. 공종별예산조서(1차)'!FDGFD</definedName>
    <definedName name="FDGFD" localSheetId="19">'5-2. 공종별예산조서(2차)'!FDGFD</definedName>
    <definedName name="FDGFD" localSheetId="20">'5-3. 공종별예산조서(3차)'!FDGFD</definedName>
    <definedName name="FDGFD" localSheetId="21">'5-3. 공종별예산조서(4차)'!FDGFD</definedName>
    <definedName name="FDGFD" localSheetId="24">'8-1. 철거발생품 예정조서(1차)'!FDGFD</definedName>
    <definedName name="FDGFD" localSheetId="25">'8-2. 철거발생품 예정조서(2차)'!FDGFD</definedName>
    <definedName name="FDGFD" localSheetId="26">'8-3. 철거발생품 예정조서(3차)'!FDGFD</definedName>
    <definedName name="FDGFD" localSheetId="27">'8-4. 철거발생품 예정조서(4차)'!FDGFD</definedName>
    <definedName name="fdgfdsg" localSheetId="28" hidden="1">{#N/A,#N/A,FALSE,"명세표"}</definedName>
    <definedName name="fdgfdsg" hidden="1">{#N/A,#N/A,FALSE,"명세표"}</definedName>
    <definedName name="fdgs" localSheetId="28" hidden="1">{#N/A,#N/A,FALSE,"명세표"}</definedName>
    <definedName name="fdgs" hidden="1">{#N/A,#N/A,FALSE,"명세표"}</definedName>
    <definedName name="fdgsf" localSheetId="28" hidden="1">{#N/A,#N/A,FALSE,"명세표"}</definedName>
    <definedName name="fdgsf" hidden="1">{#N/A,#N/A,FALSE,"명세표"}</definedName>
    <definedName name="fdgsg" localSheetId="28" hidden="1">{#N/A,#N/A,FALSE,"명세표"}</definedName>
    <definedName name="fdgsg" hidden="1">{#N/A,#N/A,FALSE,"명세표"}</definedName>
    <definedName name="FDS" localSheetId="2">'1-1. 설계설명서(1차)'!FDS</definedName>
    <definedName name="FDS" localSheetId="3">'1-1. 설계설명서(2차)'!FDS</definedName>
    <definedName name="FDS" localSheetId="4">'1-1. 설계설명서(3차)'!FDS</definedName>
    <definedName name="FDS" localSheetId="5">'1-1. 설계설명서(4차)'!FDS</definedName>
    <definedName name="FDS" localSheetId="8">'3-1. 예정공정표(1차)'!FDS</definedName>
    <definedName name="FDS" localSheetId="9">'3-2. 예정공정표(2차)'!FDS</definedName>
    <definedName name="FDS" localSheetId="10">'3-3. 예정공정표(3차)'!FDS</definedName>
    <definedName name="FDS" localSheetId="11">'3-4. 예정공정표(4차)'!FDS</definedName>
    <definedName name="FDS" localSheetId="13">'4-1. 예산내역서(1차)'!FDS</definedName>
    <definedName name="FDS" localSheetId="14">'4-2. 예산내역서(2차)'!FDS</definedName>
    <definedName name="FDS" localSheetId="15">'4-3. 예산내역서(3차)'!FDS</definedName>
    <definedName name="FDS" localSheetId="16">'4-4. 예산내역서(4차)'!FDS</definedName>
    <definedName name="FDS" localSheetId="18">'5-1. 공종별예산조서(1차)'!FDS</definedName>
    <definedName name="FDS" localSheetId="19">'5-2. 공종별예산조서(2차)'!FDS</definedName>
    <definedName name="FDS" localSheetId="20">'5-3. 공종별예산조서(3차)'!FDS</definedName>
    <definedName name="FDS" localSheetId="21">'5-3. 공종별예산조서(4차)'!FDS</definedName>
    <definedName name="FDS" localSheetId="24">'8-1. 철거발생품 예정조서(1차)'!FDS</definedName>
    <definedName name="FDS" localSheetId="25">'8-2. 철거발생품 예정조서(2차)'!FDS</definedName>
    <definedName name="FDS" localSheetId="26">'8-3. 철거발생품 예정조서(3차)'!FDS</definedName>
    <definedName name="FDS" localSheetId="27">'8-4. 철거발생품 예정조서(4차)'!FDS</definedName>
    <definedName name="fdsg" localSheetId="28" hidden="1">{#N/A,#N/A,FALSE,"명세표"}</definedName>
    <definedName name="fdsg" hidden="1">{#N/A,#N/A,FALSE,"명세표"}</definedName>
    <definedName name="fdsgfgr" localSheetId="28" hidden="1">{#N/A,#N/A,FALSE,"명세표"}</definedName>
    <definedName name="fdsgfgr" hidden="1">{#N/A,#N/A,FALSE,"명세표"}</definedName>
    <definedName name="fdsgs" localSheetId="28" hidden="1">{#N/A,#N/A,FALSE,"명세표"}</definedName>
    <definedName name="fdsgs" hidden="1">{#N/A,#N/A,FALSE,"명세표"}</definedName>
    <definedName name="FFF">#REF!</definedName>
    <definedName name="ffg" localSheetId="2">'1-1. 설계설명서(1차)'!dgh</definedName>
    <definedName name="ffg" localSheetId="3">'1-1. 설계설명서(2차)'!dgh</definedName>
    <definedName name="ffg" localSheetId="4">'1-1. 설계설명서(3차)'!dgh</definedName>
    <definedName name="ffg" localSheetId="5">'1-1. 설계설명서(4차)'!dgh</definedName>
    <definedName name="ffg" localSheetId="8">'3-1. 예정공정표(1차)'!dgh</definedName>
    <definedName name="ffg" localSheetId="9">'3-2. 예정공정표(2차)'!dgh</definedName>
    <definedName name="ffg" localSheetId="10">'3-3. 예정공정표(3차)'!dgh</definedName>
    <definedName name="ffg" localSheetId="11">'3-4. 예정공정표(4차)'!dgh</definedName>
    <definedName name="ffg" localSheetId="13">'4-1. 예산내역서(1차)'!dgh</definedName>
    <definedName name="ffg" localSheetId="14">'4-2. 예산내역서(2차)'!dgh</definedName>
    <definedName name="ffg" localSheetId="15">'4-3. 예산내역서(3차)'!dgh</definedName>
    <definedName name="ffg" localSheetId="16">'4-4. 예산내역서(4차)'!dgh</definedName>
    <definedName name="ffg" localSheetId="18">'5-1. 공종별예산조서(1차)'!dgh</definedName>
    <definedName name="ffg" localSheetId="19">'5-2. 공종별예산조서(2차)'!dgh</definedName>
    <definedName name="ffg" localSheetId="20">'5-3. 공종별예산조서(3차)'!dgh</definedName>
    <definedName name="ffg" localSheetId="21">'5-3. 공종별예산조서(4차)'!dgh</definedName>
    <definedName name="ffg" localSheetId="24">'8-1. 철거발생품 예정조서(1차)'!dgh</definedName>
    <definedName name="ffg" localSheetId="25">'8-2. 철거발생품 예정조서(2차)'!dgh</definedName>
    <definedName name="ffg" localSheetId="26">'8-3. 철거발생품 예정조서(3차)'!dgh</definedName>
    <definedName name="ffg" localSheetId="27">'8-4. 철거발생품 예정조서(4차)'!dgh</definedName>
    <definedName name="FFVG" localSheetId="2">'1-1. 설계설명서(1차)'!FFVG</definedName>
    <definedName name="FFVG" localSheetId="3">'1-1. 설계설명서(2차)'!FFVG</definedName>
    <definedName name="FFVG" localSheetId="4">'1-1. 설계설명서(3차)'!FFVG</definedName>
    <definedName name="FFVG" localSheetId="5">'1-1. 설계설명서(4차)'!FFVG</definedName>
    <definedName name="FFVG" localSheetId="8">'3-1. 예정공정표(1차)'!FFVG</definedName>
    <definedName name="FFVG" localSheetId="9">'3-2. 예정공정표(2차)'!FFVG</definedName>
    <definedName name="FFVG" localSheetId="10">'3-3. 예정공정표(3차)'!FFVG</definedName>
    <definedName name="FFVG" localSheetId="11">'3-4. 예정공정표(4차)'!FFVG</definedName>
    <definedName name="FFVG" localSheetId="13">'4-1. 예산내역서(1차)'!FFVG</definedName>
    <definedName name="FFVG" localSheetId="14">'4-2. 예산내역서(2차)'!FFVG</definedName>
    <definedName name="FFVG" localSheetId="15">'4-3. 예산내역서(3차)'!FFVG</definedName>
    <definedName name="FFVG" localSheetId="16">'4-4. 예산내역서(4차)'!FFVG</definedName>
    <definedName name="FFVG" localSheetId="18">'5-1. 공종별예산조서(1차)'!FFVG</definedName>
    <definedName name="FFVG" localSheetId="19">'5-2. 공종별예산조서(2차)'!FFVG</definedName>
    <definedName name="FFVG" localSheetId="20">'5-3. 공종별예산조서(3차)'!FFVG</definedName>
    <definedName name="FFVG" localSheetId="21">'5-3. 공종별예산조서(4차)'!FFVG</definedName>
    <definedName name="FFVG" localSheetId="24">'8-1. 철거발생품 예정조서(1차)'!FFVG</definedName>
    <definedName name="FFVG" localSheetId="25">'8-2. 철거발생품 예정조서(2차)'!FFVG</definedName>
    <definedName name="FFVG" localSheetId="26">'8-3. 철거발생품 예정조서(3차)'!FFVG</definedName>
    <definedName name="FFVG" localSheetId="27">'8-4. 철거발생품 예정조서(4차)'!FFVG</definedName>
    <definedName name="fg" localSheetId="28">#REF!</definedName>
    <definedName name="fg">#REF!</definedName>
    <definedName name="fgagag" localSheetId="28">#REF!</definedName>
    <definedName name="fgagag">#REF!</definedName>
    <definedName name="fgcfgg" localSheetId="24">'8-1. 철거발생품 예정조서(1차)'!ghgfh</definedName>
    <definedName name="fgcfgg" localSheetId="25">'8-2. 철거발생품 예정조서(2차)'!ghgfh</definedName>
    <definedName name="fgcfgg" localSheetId="26">'8-3. 철거발생품 예정조서(3차)'!ghgfh</definedName>
    <definedName name="fgcfgg" localSheetId="27">'8-4. 철거발생품 예정조서(4차)'!ghgfh</definedName>
    <definedName name="fgcfgg">'7. 철거발생품 예정조서'!ghgfh</definedName>
    <definedName name="FGD" localSheetId="28">#REF!</definedName>
    <definedName name="FGD">#REF!</definedName>
    <definedName name="fgds" localSheetId="28" hidden="1">{#N/A,#N/A,FALSE,"명세표"}</definedName>
    <definedName name="fgds" hidden="1">{#N/A,#N/A,FALSE,"명세표"}</definedName>
    <definedName name="FGF" localSheetId="2">'1-1. 설계설명서(1차)'!FGF</definedName>
    <definedName name="FGF" localSheetId="3">'1-1. 설계설명서(2차)'!FGF</definedName>
    <definedName name="FGF" localSheetId="4">'1-1. 설계설명서(3차)'!FGF</definedName>
    <definedName name="FGF" localSheetId="5">'1-1. 설계설명서(4차)'!FGF</definedName>
    <definedName name="FGF" localSheetId="8">'3-1. 예정공정표(1차)'!FGF</definedName>
    <definedName name="FGF" localSheetId="9">'3-2. 예정공정표(2차)'!FGF</definedName>
    <definedName name="FGF" localSheetId="10">'3-3. 예정공정표(3차)'!FGF</definedName>
    <definedName name="FGF" localSheetId="11">'3-4. 예정공정표(4차)'!FGF</definedName>
    <definedName name="FGF" localSheetId="13">'4-1. 예산내역서(1차)'!FGF</definedName>
    <definedName name="FGF" localSheetId="14">'4-2. 예산내역서(2차)'!FGF</definedName>
    <definedName name="FGF" localSheetId="15">'4-3. 예산내역서(3차)'!FGF</definedName>
    <definedName name="FGF" localSheetId="16">'4-4. 예산내역서(4차)'!FGF</definedName>
    <definedName name="FGF" localSheetId="18">'5-1. 공종별예산조서(1차)'!FGF</definedName>
    <definedName name="FGF" localSheetId="19">'5-2. 공종별예산조서(2차)'!FGF</definedName>
    <definedName name="FGF" localSheetId="20">'5-3. 공종별예산조서(3차)'!FGF</definedName>
    <definedName name="FGF" localSheetId="21">'5-3. 공종별예산조서(4차)'!FGF</definedName>
    <definedName name="FGF" localSheetId="24">'8-1. 철거발생품 예정조서(1차)'!FGF</definedName>
    <definedName name="FGF" localSheetId="25">'8-2. 철거발생품 예정조서(2차)'!FGF</definedName>
    <definedName name="FGF" localSheetId="26">'8-3. 철거발생품 예정조서(3차)'!FGF</definedName>
    <definedName name="FGF" localSheetId="27">'8-4. 철거발생품 예정조서(4차)'!FGF</definedName>
    <definedName name="fgs" localSheetId="28" hidden="1">{#N/A,#N/A,FALSE,"명세표"}</definedName>
    <definedName name="fgs" hidden="1">{#N/A,#N/A,FALSE,"명세표"}</definedName>
    <definedName name="fgsrf" localSheetId="28" hidden="1">{#N/A,#N/A,FALSE,"명세표"}</definedName>
    <definedName name="fgsrf" hidden="1">{#N/A,#N/A,FALSE,"명세표"}</definedName>
    <definedName name="FIRE" localSheetId="28">#REF!</definedName>
    <definedName name="FIRE">#REF!</definedName>
    <definedName name="FK" localSheetId="2">{"'용역비'!$A$4:$C$8"}</definedName>
    <definedName name="FK" localSheetId="3">{"'용역비'!$A$4:$C$8"}</definedName>
    <definedName name="FK" localSheetId="4">{"'용역비'!$A$4:$C$8"}</definedName>
    <definedName name="FK" localSheetId="5">{"'용역비'!$A$4:$C$8"}</definedName>
    <definedName name="FK" localSheetId="8">{"'용역비'!$A$4:$C$8"}</definedName>
    <definedName name="FK" localSheetId="9">{"'용역비'!$A$4:$C$8"}</definedName>
    <definedName name="FK" localSheetId="10">{"'용역비'!$A$4:$C$8"}</definedName>
    <definedName name="FK" localSheetId="11">{"'용역비'!$A$4:$C$8"}</definedName>
    <definedName name="FK" localSheetId="13">{"'용역비'!$A$4:$C$8"}</definedName>
    <definedName name="FK" localSheetId="14">{"'용역비'!$A$4:$C$8"}</definedName>
    <definedName name="FK" localSheetId="15">{"'용역비'!$A$4:$C$8"}</definedName>
    <definedName name="FK" localSheetId="16">{"'용역비'!$A$4:$C$8"}</definedName>
    <definedName name="FK" localSheetId="18">{"'용역비'!$A$4:$C$8"}</definedName>
    <definedName name="FK" localSheetId="19">{"'용역비'!$A$4:$C$8"}</definedName>
    <definedName name="FK" localSheetId="20">{"'용역비'!$A$4:$C$8"}</definedName>
    <definedName name="FK" localSheetId="21">{"'용역비'!$A$4:$C$8"}</definedName>
    <definedName name="FK" localSheetId="24">{"'용역비'!$A$4:$C$8"}</definedName>
    <definedName name="FK" localSheetId="25">{"'용역비'!$A$4:$C$8"}</definedName>
    <definedName name="FK" localSheetId="26">{"'용역비'!$A$4:$C$8"}</definedName>
    <definedName name="FK" localSheetId="27">{"'용역비'!$A$4:$C$8"}</definedName>
    <definedName name="FK">{"'용역비'!$A$4:$C$8"}</definedName>
    <definedName name="flag" localSheetId="28">#REF!</definedName>
    <definedName name="flag">#REF!</definedName>
    <definedName name="fre" localSheetId="28" hidden="1">{#N/A,#N/A,FALSE,"명세표"}</definedName>
    <definedName name="fre" hidden="1">{#N/A,#N/A,FALSE,"명세표"}</definedName>
    <definedName name="frt" localSheetId="2">'1-1. 설계설명서(1차)'!frt</definedName>
    <definedName name="frt" localSheetId="3">'1-1. 설계설명서(2차)'!frt</definedName>
    <definedName name="frt" localSheetId="4">'1-1. 설계설명서(3차)'!frt</definedName>
    <definedName name="frt" localSheetId="5">'1-1. 설계설명서(4차)'!frt</definedName>
    <definedName name="frt" localSheetId="8">'3-1. 예정공정표(1차)'!frt</definedName>
    <definedName name="frt" localSheetId="9">'3-2. 예정공정표(2차)'!frt</definedName>
    <definedName name="frt" localSheetId="10">'3-3. 예정공정표(3차)'!frt</definedName>
    <definedName name="frt" localSheetId="11">'3-4. 예정공정표(4차)'!frt</definedName>
    <definedName name="frt" localSheetId="13">'4-1. 예산내역서(1차)'!frt</definedName>
    <definedName name="frt" localSheetId="14">'4-2. 예산내역서(2차)'!frt</definedName>
    <definedName name="frt" localSheetId="15">'4-3. 예산내역서(3차)'!frt</definedName>
    <definedName name="frt" localSheetId="16">'4-4. 예산내역서(4차)'!frt</definedName>
    <definedName name="frt" localSheetId="18">'5-1. 공종별예산조서(1차)'!frt</definedName>
    <definedName name="frt" localSheetId="19">'5-2. 공종별예산조서(2차)'!frt</definedName>
    <definedName name="frt" localSheetId="20">'5-3. 공종별예산조서(3차)'!frt</definedName>
    <definedName name="frt" localSheetId="21">'5-3. 공종별예산조서(4차)'!frt</definedName>
    <definedName name="frt" localSheetId="24">'8-1. 철거발생품 예정조서(1차)'!frt</definedName>
    <definedName name="frt" localSheetId="25">'8-2. 철거발생품 예정조서(2차)'!frt</definedName>
    <definedName name="frt" localSheetId="26">'8-3. 철거발생품 예정조서(3차)'!frt</definedName>
    <definedName name="frt" localSheetId="27">'8-4. 철거발생품 예정조서(4차)'!frt</definedName>
    <definedName name="FSWADJK">#REF!</definedName>
    <definedName name="ftedrht" localSheetId="28">#REF!</definedName>
    <definedName name="ftedrht">#REF!</definedName>
    <definedName name="g" localSheetId="28">#REF!</definedName>
    <definedName name="g">#REF!</definedName>
    <definedName name="gaad" localSheetId="28">#REF!</definedName>
    <definedName name="gaad">#REF!</definedName>
    <definedName name="GAB" localSheetId="28">#REF!</definedName>
    <definedName name="GAB">#REF!</definedName>
    <definedName name="gagaga" localSheetId="28">#REF!</definedName>
    <definedName name="gagaga">#REF!</definedName>
    <definedName name="gf" localSheetId="28" hidden="1">{#N/A,#N/A,FALSE,"명세표"}</definedName>
    <definedName name="gf" hidden="1">{#N/A,#N/A,FALSE,"명세표"}</definedName>
    <definedName name="gfag">#REF!</definedName>
    <definedName name="gfg" localSheetId="28">#REF!</definedName>
    <definedName name="gfg">#REF!</definedName>
    <definedName name="gfgdfg" localSheetId="28" hidden="1">#REF!</definedName>
    <definedName name="gfgdfg" hidden="1">#REF!</definedName>
    <definedName name="GFGF" localSheetId="28">#REF!</definedName>
    <definedName name="GFGF">#REF!</definedName>
    <definedName name="gfgfh" localSheetId="28">#REF!</definedName>
    <definedName name="gfgfh">#REF!</definedName>
    <definedName name="GFH" localSheetId="0">[0]!FFF</definedName>
    <definedName name="GFH" localSheetId="2">[0]!FFF</definedName>
    <definedName name="GFH" localSheetId="3">[0]!FFF</definedName>
    <definedName name="GFH" localSheetId="4">[0]!FFF</definedName>
    <definedName name="GFH" localSheetId="5">[0]!FFF</definedName>
    <definedName name="GFH" localSheetId="8">[0]!FFF</definedName>
    <definedName name="GFH" localSheetId="9">[0]!FFF</definedName>
    <definedName name="GFH" localSheetId="10">[0]!FFF</definedName>
    <definedName name="GFH" localSheetId="11">[0]!FFF</definedName>
    <definedName name="GFH" localSheetId="13">[0]!FFF</definedName>
    <definedName name="GFH" localSheetId="14">[0]!FFF</definedName>
    <definedName name="GFH" localSheetId="15">[0]!FFF</definedName>
    <definedName name="GFH" localSheetId="16">[0]!FFF</definedName>
    <definedName name="GFH" localSheetId="18">[0]!FFF</definedName>
    <definedName name="GFH" localSheetId="19">[0]!FFF</definedName>
    <definedName name="GFH" localSheetId="20">[0]!FFF</definedName>
    <definedName name="GFH" localSheetId="21">[0]!FFF</definedName>
    <definedName name="GFH" localSheetId="24">[0]!FFF</definedName>
    <definedName name="GFH" localSheetId="25">[0]!FFF</definedName>
    <definedName name="GFH" localSheetId="26">[0]!FFF</definedName>
    <definedName name="GFH" localSheetId="27">[0]!FFF</definedName>
    <definedName name="gfhfh" localSheetId="28">#REF!</definedName>
    <definedName name="gfhfh">#REF!</definedName>
    <definedName name="GGG" localSheetId="2">'1-1. 설계설명서(1차)'!DGRT</definedName>
    <definedName name="GGG" localSheetId="3">'1-1. 설계설명서(2차)'!DGRT</definedName>
    <definedName name="GGG" localSheetId="4">'1-1. 설계설명서(3차)'!DGRT</definedName>
    <definedName name="GGG" localSheetId="5">'1-1. 설계설명서(4차)'!DGRT</definedName>
    <definedName name="GGG" localSheetId="8">'3-1. 예정공정표(1차)'!DGRT</definedName>
    <definedName name="GGG" localSheetId="9">'3-2. 예정공정표(2차)'!DGRT</definedName>
    <definedName name="GGG" localSheetId="10">'3-3. 예정공정표(3차)'!DGRT</definedName>
    <definedName name="GGG" localSheetId="11">'3-4. 예정공정표(4차)'!DGRT</definedName>
    <definedName name="GGG" localSheetId="13">'4-1. 예산내역서(1차)'!DGRT</definedName>
    <definedName name="GGG" localSheetId="14">'4-2. 예산내역서(2차)'!DGRT</definedName>
    <definedName name="GGG" localSheetId="15">'4-3. 예산내역서(3차)'!DGRT</definedName>
    <definedName name="GGG" localSheetId="16">'4-4. 예산내역서(4차)'!DGRT</definedName>
    <definedName name="GGG" localSheetId="18">'5-1. 공종별예산조서(1차)'!DGRT</definedName>
    <definedName name="GGG" localSheetId="19">'5-2. 공종별예산조서(2차)'!DGRT</definedName>
    <definedName name="GGG" localSheetId="20">'5-3. 공종별예산조서(3차)'!DGRT</definedName>
    <definedName name="GGG" localSheetId="21">'5-3. 공종별예산조서(4차)'!DGRT</definedName>
    <definedName name="GGG" localSheetId="24">'8-1. 철거발생품 예정조서(1차)'!DGRT</definedName>
    <definedName name="GGG" localSheetId="25">'8-2. 철거발생품 예정조서(2차)'!DGRT</definedName>
    <definedName name="GGG" localSheetId="26">'8-3. 철거발생품 예정조서(3차)'!DGRT</definedName>
    <definedName name="GGG" localSheetId="27">'8-4. 철거발생품 예정조서(4차)'!DGRT</definedName>
    <definedName name="ggggg" localSheetId="28">#REF!</definedName>
    <definedName name="ggggg">#REF!</definedName>
    <definedName name="ggggggg" localSheetId="28">#REF!</definedName>
    <definedName name="ggggggg">#REF!</definedName>
    <definedName name="ggsgf" localSheetId="28">#REF!</definedName>
    <definedName name="ggsgf">#REF!</definedName>
    <definedName name="GHG" localSheetId="2">'1-1. 설계설명서(1차)'!GHG</definedName>
    <definedName name="GHG" localSheetId="3">'1-1. 설계설명서(2차)'!GHG</definedName>
    <definedName name="GHG" localSheetId="4">'1-1. 설계설명서(3차)'!GHG</definedName>
    <definedName name="GHG" localSheetId="5">'1-1. 설계설명서(4차)'!GHG</definedName>
    <definedName name="GHG" localSheetId="8">'3-1. 예정공정표(1차)'!GHG</definedName>
    <definedName name="GHG" localSheetId="9">'3-2. 예정공정표(2차)'!GHG</definedName>
    <definedName name="GHG" localSheetId="10">'3-3. 예정공정표(3차)'!GHG</definedName>
    <definedName name="GHG" localSheetId="11">'3-4. 예정공정표(4차)'!GHG</definedName>
    <definedName name="GHG" localSheetId="13">'4-1. 예산내역서(1차)'!GHG</definedName>
    <definedName name="GHG" localSheetId="14">'4-2. 예산내역서(2차)'!GHG</definedName>
    <definedName name="GHG" localSheetId="15">'4-3. 예산내역서(3차)'!GHG</definedName>
    <definedName name="GHG" localSheetId="16">'4-4. 예산내역서(4차)'!GHG</definedName>
    <definedName name="GHG" localSheetId="18">'5-1. 공종별예산조서(1차)'!GHG</definedName>
    <definedName name="GHG" localSheetId="19">'5-2. 공종별예산조서(2차)'!GHG</definedName>
    <definedName name="GHG" localSheetId="20">'5-3. 공종별예산조서(3차)'!GHG</definedName>
    <definedName name="GHG" localSheetId="21">'5-3. 공종별예산조서(4차)'!GHG</definedName>
    <definedName name="GHG" localSheetId="24">'8-1. 철거발생품 예정조서(1차)'!GHG</definedName>
    <definedName name="GHG" localSheetId="25">'8-2. 철거발생품 예정조서(2차)'!GHG</definedName>
    <definedName name="GHG" localSheetId="26">'8-3. 철거발생품 예정조서(3차)'!GHG</definedName>
    <definedName name="GHG" localSheetId="27">'8-4. 철거발생품 예정조서(4차)'!GHG</definedName>
    <definedName name="GHJJ">{"'광피스표'!$A$3:$N$54"}</definedName>
    <definedName name="GNDFGN" localSheetId="2">'1-1. 설계설명서(1차)'!GNDFGN</definedName>
    <definedName name="GNDFGN" localSheetId="3">'1-1. 설계설명서(2차)'!GNDFGN</definedName>
    <definedName name="GNDFGN" localSheetId="4">'1-1. 설계설명서(3차)'!GNDFGN</definedName>
    <definedName name="GNDFGN" localSheetId="5">'1-1. 설계설명서(4차)'!GNDFGN</definedName>
    <definedName name="GNDFGN" localSheetId="8">'3-1. 예정공정표(1차)'!GNDFGN</definedName>
    <definedName name="GNDFGN" localSheetId="9">'3-2. 예정공정표(2차)'!GNDFGN</definedName>
    <definedName name="GNDFGN" localSheetId="10">'3-3. 예정공정표(3차)'!GNDFGN</definedName>
    <definedName name="GNDFGN" localSheetId="11">'3-4. 예정공정표(4차)'!GNDFGN</definedName>
    <definedName name="GNDFGN" localSheetId="13">'4-1. 예산내역서(1차)'!GNDFGN</definedName>
    <definedName name="GNDFGN" localSheetId="14">'4-2. 예산내역서(2차)'!GNDFGN</definedName>
    <definedName name="GNDFGN" localSheetId="15">'4-3. 예산내역서(3차)'!GNDFGN</definedName>
    <definedName name="GNDFGN" localSheetId="16">'4-4. 예산내역서(4차)'!GNDFGN</definedName>
    <definedName name="GNDFGN" localSheetId="18">'5-1. 공종별예산조서(1차)'!GNDFGN</definedName>
    <definedName name="GNDFGN" localSheetId="19">'5-2. 공종별예산조서(2차)'!GNDFGN</definedName>
    <definedName name="GNDFGN" localSheetId="20">'5-3. 공종별예산조서(3차)'!GNDFGN</definedName>
    <definedName name="GNDFGN" localSheetId="21">'5-3. 공종별예산조서(4차)'!GNDFGN</definedName>
    <definedName name="GNDFGN" localSheetId="24">'8-1. 철거발생품 예정조서(1차)'!GNDFGN</definedName>
    <definedName name="GNDFGN" localSheetId="25">'8-2. 철거발생품 예정조서(2차)'!GNDFGN</definedName>
    <definedName name="GNDFGN" localSheetId="26">'8-3. 철거발생품 예정조서(3차)'!GNDFGN</definedName>
    <definedName name="GNDFGN" localSheetId="27">'8-4. 철거발생품 예정조서(4차)'!GNDFGN</definedName>
    <definedName name="goejgoe" localSheetId="28">#REF!</definedName>
    <definedName name="goejgoe">#REF!</definedName>
    <definedName name="GYTR" localSheetId="2">'1-1. 설계설명서(1차)'!GYTR</definedName>
    <definedName name="GYTR" localSheetId="3">'1-1. 설계설명서(2차)'!GYTR</definedName>
    <definedName name="GYTR" localSheetId="4">'1-1. 설계설명서(3차)'!GYTR</definedName>
    <definedName name="GYTR" localSheetId="5">'1-1. 설계설명서(4차)'!GYTR</definedName>
    <definedName name="GYTR" localSheetId="8">'3-1. 예정공정표(1차)'!GYTR</definedName>
    <definedName name="GYTR" localSheetId="9">'3-2. 예정공정표(2차)'!GYTR</definedName>
    <definedName name="GYTR" localSheetId="10">'3-3. 예정공정표(3차)'!GYTR</definedName>
    <definedName name="GYTR" localSheetId="11">'3-4. 예정공정표(4차)'!GYTR</definedName>
    <definedName name="GYTR" localSheetId="13">'4-1. 예산내역서(1차)'!GYTR</definedName>
    <definedName name="GYTR" localSheetId="14">'4-2. 예산내역서(2차)'!GYTR</definedName>
    <definedName name="GYTR" localSheetId="15">'4-3. 예산내역서(3차)'!GYTR</definedName>
    <definedName name="GYTR" localSheetId="16">'4-4. 예산내역서(4차)'!GYTR</definedName>
    <definedName name="GYTR" localSheetId="18">'5-1. 공종별예산조서(1차)'!GYTR</definedName>
    <definedName name="GYTR" localSheetId="19">'5-2. 공종별예산조서(2차)'!GYTR</definedName>
    <definedName name="GYTR" localSheetId="20">'5-3. 공종별예산조서(3차)'!GYTR</definedName>
    <definedName name="GYTR" localSheetId="21">'5-3. 공종별예산조서(4차)'!GYTR</definedName>
    <definedName name="GYTR" localSheetId="24">'8-1. 철거발생품 예정조서(1차)'!GYTR</definedName>
    <definedName name="GYTR" localSheetId="25">'8-2. 철거발생품 예정조서(2차)'!GYTR</definedName>
    <definedName name="GYTR" localSheetId="26">'8-3. 철거발생품 예정조서(3차)'!GYTR</definedName>
    <definedName name="GYTR" localSheetId="27">'8-4. 철거발생품 예정조서(4차)'!GYTR</definedName>
    <definedName name="G열" localSheetId="28">#REF!</definedName>
    <definedName name="G열">#REF!</definedName>
    <definedName name="h" localSheetId="28">#REF!</definedName>
    <definedName name="h">#REF!</definedName>
    <definedName name="H_W설치기사" localSheetId="28">#REF!</definedName>
    <definedName name="H_W설치기사">#REF!</definedName>
    <definedName name="H_W설치사" localSheetId="28">#REF!</definedName>
    <definedName name="H_W설치사">#REF!</definedName>
    <definedName name="H_W시험기사" localSheetId="28">#REF!</definedName>
    <definedName name="H_W시험기사">#REF!</definedName>
    <definedName name="H_W시험사" localSheetId="28">#REF!</definedName>
    <definedName name="H_W시험사">#REF!</definedName>
    <definedName name="hagaga" localSheetId="28">#REF!</definedName>
    <definedName name="hagaga">#REF!</definedName>
    <definedName name="HBBSBS" localSheetId="28">#REF!</definedName>
    <definedName name="HBBSBS">#REF!</definedName>
    <definedName name="HBHG" localSheetId="2">'1-1. 설계설명서(1차)'!HBHG</definedName>
    <definedName name="HBHG" localSheetId="3">'1-1. 설계설명서(2차)'!HBHG</definedName>
    <definedName name="HBHG" localSheetId="4">'1-1. 설계설명서(3차)'!HBHG</definedName>
    <definedName name="HBHG" localSheetId="5">'1-1. 설계설명서(4차)'!HBHG</definedName>
    <definedName name="HBHG" localSheetId="8">'3-1. 예정공정표(1차)'!HBHG</definedName>
    <definedName name="HBHG" localSheetId="9">'3-2. 예정공정표(2차)'!HBHG</definedName>
    <definedName name="HBHG" localSheetId="10">'3-3. 예정공정표(3차)'!HBHG</definedName>
    <definedName name="HBHG" localSheetId="11">'3-4. 예정공정표(4차)'!HBHG</definedName>
    <definedName name="HBHG" localSheetId="13">'4-1. 예산내역서(1차)'!HBHG</definedName>
    <definedName name="HBHG" localSheetId="14">'4-2. 예산내역서(2차)'!HBHG</definedName>
    <definedName name="HBHG" localSheetId="15">'4-3. 예산내역서(3차)'!HBHG</definedName>
    <definedName name="HBHG" localSheetId="16">'4-4. 예산내역서(4차)'!HBHG</definedName>
    <definedName name="HBHG" localSheetId="18">'5-1. 공종별예산조서(1차)'!HBHG</definedName>
    <definedName name="HBHG" localSheetId="19">'5-2. 공종별예산조서(2차)'!HBHG</definedName>
    <definedName name="HBHG" localSheetId="20">'5-3. 공종별예산조서(3차)'!HBHG</definedName>
    <definedName name="HBHG" localSheetId="21">'5-3. 공종별예산조서(4차)'!HBHG</definedName>
    <definedName name="HBHG" localSheetId="24">'8-1. 철거발생품 예정조서(1차)'!HBHG</definedName>
    <definedName name="HBHG" localSheetId="25">'8-2. 철거발생품 예정조서(2차)'!HBHG</definedName>
    <definedName name="HBHG" localSheetId="26">'8-3. 철거발생품 예정조서(3차)'!HBHG</definedName>
    <definedName name="HBHG" localSheetId="27">'8-4. 철거발생품 예정조서(4차)'!HBHG</definedName>
    <definedName name="HBZZ" localSheetId="28">#REF!</definedName>
    <definedName name="HBZZ">#REF!</definedName>
    <definedName name="HCY" localSheetId="2">'1-1. 설계설명서(1차)'!CDD</definedName>
    <definedName name="HCY" localSheetId="3">'1-1. 설계설명서(2차)'!CDD</definedName>
    <definedName name="HCY" localSheetId="4">'1-1. 설계설명서(3차)'!CDD</definedName>
    <definedName name="HCY" localSheetId="5">'1-1. 설계설명서(4차)'!CDD</definedName>
    <definedName name="HCY" localSheetId="8">'3-1. 예정공정표(1차)'!CDD</definedName>
    <definedName name="HCY" localSheetId="9">'3-2. 예정공정표(2차)'!CDD</definedName>
    <definedName name="HCY" localSheetId="10">'3-3. 예정공정표(3차)'!CDD</definedName>
    <definedName name="HCY" localSheetId="11">'3-4. 예정공정표(4차)'!CDD</definedName>
    <definedName name="HCY" localSheetId="13">'4-1. 예산내역서(1차)'!CDD</definedName>
    <definedName name="HCY" localSheetId="14">'4-2. 예산내역서(2차)'!CDD</definedName>
    <definedName name="HCY" localSheetId="15">'4-3. 예산내역서(3차)'!CDD</definedName>
    <definedName name="HCY" localSheetId="16">'4-4. 예산내역서(4차)'!CDD</definedName>
    <definedName name="HCY" localSheetId="18">'5-1. 공종별예산조서(1차)'!CDD</definedName>
    <definedName name="HCY" localSheetId="19">'5-2. 공종별예산조서(2차)'!CDD</definedName>
    <definedName name="HCY" localSheetId="20">'5-3. 공종별예산조서(3차)'!CDD</definedName>
    <definedName name="HCY" localSheetId="21">'5-3. 공종별예산조서(4차)'!CDD</definedName>
    <definedName name="HCY" localSheetId="24">'8-1. 철거발생품 예정조서(1차)'!CDD</definedName>
    <definedName name="HCY" localSheetId="25">'8-2. 철거발생품 예정조서(2차)'!CDD</definedName>
    <definedName name="HCY" localSheetId="26">'8-3. 철거발생품 예정조서(3차)'!CDD</definedName>
    <definedName name="HCY" localSheetId="27">'8-4. 철거발생품 예정조서(4차)'!CDD</definedName>
    <definedName name="HGG" localSheetId="2">'1-1. 설계설명서(1차)'!HGG</definedName>
    <definedName name="HGG" localSheetId="3">'1-1. 설계설명서(2차)'!HGG</definedName>
    <definedName name="HGG" localSheetId="4">'1-1. 설계설명서(3차)'!HGG</definedName>
    <definedName name="HGG" localSheetId="5">'1-1. 설계설명서(4차)'!HGG</definedName>
    <definedName name="HGG" localSheetId="8">'3-1. 예정공정표(1차)'!HGG</definedName>
    <definedName name="HGG" localSheetId="9">'3-2. 예정공정표(2차)'!HGG</definedName>
    <definedName name="HGG" localSheetId="10">'3-3. 예정공정표(3차)'!HGG</definedName>
    <definedName name="HGG" localSheetId="11">'3-4. 예정공정표(4차)'!HGG</definedName>
    <definedName name="HGG" localSheetId="13">'4-1. 예산내역서(1차)'!HGG</definedName>
    <definedName name="HGG" localSheetId="14">'4-2. 예산내역서(2차)'!HGG</definedName>
    <definedName name="HGG" localSheetId="15">'4-3. 예산내역서(3차)'!HGG</definedName>
    <definedName name="HGG" localSheetId="16">'4-4. 예산내역서(4차)'!HGG</definedName>
    <definedName name="HGG" localSheetId="18">'5-1. 공종별예산조서(1차)'!HGG</definedName>
    <definedName name="HGG" localSheetId="19">'5-2. 공종별예산조서(2차)'!HGG</definedName>
    <definedName name="HGG" localSheetId="20">'5-3. 공종별예산조서(3차)'!HGG</definedName>
    <definedName name="HGG" localSheetId="21">'5-3. 공종별예산조서(4차)'!HGG</definedName>
    <definedName name="HGG" localSheetId="24">'8-1. 철거발생품 예정조서(1차)'!HGG</definedName>
    <definedName name="HGG" localSheetId="25">'8-2. 철거발생품 예정조서(2차)'!HGG</definedName>
    <definedName name="HGG" localSheetId="26">'8-3. 철거발생품 예정조서(3차)'!HGG</definedName>
    <definedName name="HGG" localSheetId="27">'8-4. 철거발생품 예정조서(4차)'!HGG</definedName>
    <definedName name="hghshw" localSheetId="28">#REF!</definedName>
    <definedName name="hghshw">#REF!</definedName>
    <definedName name="HGSGAG" localSheetId="28">#REF!</definedName>
    <definedName name="HGSGAG">#REF!</definedName>
    <definedName name="hh" localSheetId="28" hidden="1">{#N/A,#N/A,FALSE,"명세표"}</definedName>
    <definedName name="hh" hidden="1">{#N/A,#N/A,FALSE,"명세표"}</definedName>
    <definedName name="HHK" localSheetId="2">'1-1. 설계설명서(1차)'!HHK</definedName>
    <definedName name="HHK" localSheetId="3">'1-1. 설계설명서(2차)'!HHK</definedName>
    <definedName name="HHK" localSheetId="4">'1-1. 설계설명서(3차)'!HHK</definedName>
    <definedName name="HHK" localSheetId="5">'1-1. 설계설명서(4차)'!HHK</definedName>
    <definedName name="HHK" localSheetId="8">'3-1. 예정공정표(1차)'!HHK</definedName>
    <definedName name="HHK" localSheetId="9">'3-2. 예정공정표(2차)'!HHK</definedName>
    <definedName name="HHK" localSheetId="10">'3-3. 예정공정표(3차)'!HHK</definedName>
    <definedName name="HHK" localSheetId="11">'3-4. 예정공정표(4차)'!HHK</definedName>
    <definedName name="HHK" localSheetId="13">'4-1. 예산내역서(1차)'!HHK</definedName>
    <definedName name="HHK" localSheetId="14">'4-2. 예산내역서(2차)'!HHK</definedName>
    <definedName name="HHK" localSheetId="15">'4-3. 예산내역서(3차)'!HHK</definedName>
    <definedName name="HHK" localSheetId="16">'4-4. 예산내역서(4차)'!HHK</definedName>
    <definedName name="HHK" localSheetId="18">'5-1. 공종별예산조서(1차)'!HHK</definedName>
    <definedName name="HHK" localSheetId="19">'5-2. 공종별예산조서(2차)'!HHK</definedName>
    <definedName name="HHK" localSheetId="20">'5-3. 공종별예산조서(3차)'!HHK</definedName>
    <definedName name="HHK" localSheetId="21">'5-3. 공종별예산조서(4차)'!HHK</definedName>
    <definedName name="HHK" localSheetId="24">'8-1. 철거발생품 예정조서(1차)'!HHK</definedName>
    <definedName name="HHK" localSheetId="25">'8-2. 철거발생품 예정조서(2차)'!HHK</definedName>
    <definedName name="HHK" localSheetId="26">'8-3. 철거발생품 예정조서(3차)'!HHK</definedName>
    <definedName name="HHK" localSheetId="27">'8-4. 철거발생품 예정조서(4차)'!HHK</definedName>
    <definedName name="hhsfs">#REF!</definedName>
    <definedName name="hhshsh" localSheetId="28">#REF!</definedName>
    <definedName name="hhshsh">#REF!</definedName>
    <definedName name="hjk" localSheetId="2">'1-1. 설계설명서(1차)'!hjk</definedName>
    <definedName name="hjk" localSheetId="3">'1-1. 설계설명서(2차)'!hjk</definedName>
    <definedName name="hjk" localSheetId="4">'1-1. 설계설명서(3차)'!hjk</definedName>
    <definedName name="hjk" localSheetId="5">'1-1. 설계설명서(4차)'!hjk</definedName>
    <definedName name="hjk" localSheetId="8">'3-1. 예정공정표(1차)'!hjk</definedName>
    <definedName name="hjk" localSheetId="9">'3-2. 예정공정표(2차)'!hjk</definedName>
    <definedName name="hjk" localSheetId="10">'3-3. 예정공정표(3차)'!hjk</definedName>
    <definedName name="hjk" localSheetId="11">'3-4. 예정공정표(4차)'!hjk</definedName>
    <definedName name="hjk" localSheetId="13">'4-1. 예산내역서(1차)'!hjk</definedName>
    <definedName name="hjk" localSheetId="14">'4-2. 예산내역서(2차)'!hjk</definedName>
    <definedName name="hjk" localSheetId="15">'4-3. 예산내역서(3차)'!hjk</definedName>
    <definedName name="hjk" localSheetId="16">'4-4. 예산내역서(4차)'!hjk</definedName>
    <definedName name="hjk" localSheetId="18">'5-1. 공종별예산조서(1차)'!hjk</definedName>
    <definedName name="hjk" localSheetId="19">'5-2. 공종별예산조서(2차)'!hjk</definedName>
    <definedName name="hjk" localSheetId="20">'5-3. 공종별예산조서(3차)'!hjk</definedName>
    <definedName name="hjk" localSheetId="21">'5-3. 공종별예산조서(4차)'!hjk</definedName>
    <definedName name="hjk" localSheetId="24">'8-1. 철거발생품 예정조서(1차)'!hjk</definedName>
    <definedName name="hjk" localSheetId="25">'8-2. 철거발생품 예정조서(2차)'!hjk</definedName>
    <definedName name="hjk" localSheetId="26">'8-3. 철거발생품 예정조서(3차)'!hjk</definedName>
    <definedName name="hjk" localSheetId="27">'8-4. 철거발생품 예정조서(4차)'!hjk</definedName>
    <definedName name="HORI" localSheetId="28">#REF!</definedName>
    <definedName name="HORI">#REF!</definedName>
    <definedName name="HP" localSheetId="28">#REF!</definedName>
    <definedName name="HP">#REF!</definedName>
    <definedName name="hshs" localSheetId="28">#REF!</definedName>
    <definedName name="hshs">#REF!</definedName>
    <definedName name="HSR" localSheetId="2">{"'용역비'!$A$4:$C$8"}</definedName>
    <definedName name="HSR" localSheetId="3">{"'용역비'!$A$4:$C$8"}</definedName>
    <definedName name="HSR" localSheetId="4">{"'용역비'!$A$4:$C$8"}</definedName>
    <definedName name="HSR" localSheetId="5">{"'용역비'!$A$4:$C$8"}</definedName>
    <definedName name="HSR" localSheetId="8">{"'용역비'!$A$4:$C$8"}</definedName>
    <definedName name="HSR" localSheetId="9">{"'용역비'!$A$4:$C$8"}</definedName>
    <definedName name="HSR" localSheetId="10">{"'용역비'!$A$4:$C$8"}</definedName>
    <definedName name="HSR" localSheetId="11">{"'용역비'!$A$4:$C$8"}</definedName>
    <definedName name="HSR" localSheetId="13">{"'용역비'!$A$4:$C$8"}</definedName>
    <definedName name="HSR" localSheetId="14">{"'용역비'!$A$4:$C$8"}</definedName>
    <definedName name="HSR" localSheetId="15">{"'용역비'!$A$4:$C$8"}</definedName>
    <definedName name="HSR" localSheetId="16">{"'용역비'!$A$4:$C$8"}</definedName>
    <definedName name="HSR" localSheetId="18">{"'용역비'!$A$4:$C$8"}</definedName>
    <definedName name="HSR" localSheetId="19">{"'용역비'!$A$4:$C$8"}</definedName>
    <definedName name="HSR" localSheetId="20">{"'용역비'!$A$4:$C$8"}</definedName>
    <definedName name="HSR" localSheetId="21">{"'용역비'!$A$4:$C$8"}</definedName>
    <definedName name="HSR" localSheetId="24">{"'용역비'!$A$4:$C$8"}</definedName>
    <definedName name="HSR" localSheetId="25">{"'용역비'!$A$4:$C$8"}</definedName>
    <definedName name="HSR" localSheetId="26">{"'용역비'!$A$4:$C$8"}</definedName>
    <definedName name="HSR" localSheetId="27">{"'용역비'!$A$4:$C$8"}</definedName>
    <definedName name="HSR">{"'용역비'!$A$4:$C$8"}</definedName>
    <definedName name="HTD" localSheetId="2">'1-1. 설계설명서(1차)'!HTD</definedName>
    <definedName name="HTD" localSheetId="3">'1-1. 설계설명서(2차)'!HTD</definedName>
    <definedName name="HTD" localSheetId="4">'1-1. 설계설명서(3차)'!HTD</definedName>
    <definedName name="HTD" localSheetId="5">'1-1. 설계설명서(4차)'!HTD</definedName>
    <definedName name="HTD" localSheetId="8">'3-1. 예정공정표(1차)'!HTD</definedName>
    <definedName name="HTD" localSheetId="9">'3-2. 예정공정표(2차)'!HTD</definedName>
    <definedName name="HTD" localSheetId="10">'3-3. 예정공정표(3차)'!HTD</definedName>
    <definedName name="HTD" localSheetId="11">'3-4. 예정공정표(4차)'!HTD</definedName>
    <definedName name="HTD" localSheetId="13">'4-1. 예산내역서(1차)'!HTD</definedName>
    <definedName name="HTD" localSheetId="14">'4-2. 예산내역서(2차)'!HTD</definedName>
    <definedName name="HTD" localSheetId="15">'4-3. 예산내역서(3차)'!HTD</definedName>
    <definedName name="HTD" localSheetId="16">'4-4. 예산내역서(4차)'!HTD</definedName>
    <definedName name="HTD" localSheetId="18">'5-1. 공종별예산조서(1차)'!HTD</definedName>
    <definedName name="HTD" localSheetId="19">'5-2. 공종별예산조서(2차)'!HTD</definedName>
    <definedName name="HTD" localSheetId="20">'5-3. 공종별예산조서(3차)'!HTD</definedName>
    <definedName name="HTD" localSheetId="21">'5-3. 공종별예산조서(4차)'!HTD</definedName>
    <definedName name="HTD" localSheetId="24">'8-1. 철거발생품 예정조서(1차)'!HTD</definedName>
    <definedName name="HTD" localSheetId="25">'8-2. 철거발생품 예정조서(2차)'!HTD</definedName>
    <definedName name="HTD" localSheetId="26">'8-3. 철거발생품 예정조서(3차)'!HTD</definedName>
    <definedName name="HTD" localSheetId="27">'8-4. 철거발생품 예정조서(4차)'!HTD</definedName>
    <definedName name="HTML_CodePage">949</definedName>
    <definedName name="HTML_Control" localSheetId="2">{"'공사부문'!$A$6:$A$32"}</definedName>
    <definedName name="HTML_Control" localSheetId="3">{"'공사부문'!$A$6:$A$32"}</definedName>
    <definedName name="HTML_Control" localSheetId="4">{"'공사부문'!$A$6:$A$32"}</definedName>
    <definedName name="HTML_Control" localSheetId="5">{"'공사부문'!$A$6:$A$32"}</definedName>
    <definedName name="HTML_Control" localSheetId="8">{"'공사부문'!$A$6:$A$32"}</definedName>
    <definedName name="HTML_Control" localSheetId="9">{"'공사부문'!$A$6:$A$32"}</definedName>
    <definedName name="HTML_Control" localSheetId="10">{"'공사부문'!$A$6:$A$32"}</definedName>
    <definedName name="HTML_Control" localSheetId="11">{"'공사부문'!$A$6:$A$32"}</definedName>
    <definedName name="HTML_Control" localSheetId="13">{"'공사부문'!$A$6:$A$32"}</definedName>
    <definedName name="HTML_Control" localSheetId="14">{"'공사부문'!$A$6:$A$32"}</definedName>
    <definedName name="HTML_Control" localSheetId="15">{"'공사부문'!$A$6:$A$32"}</definedName>
    <definedName name="HTML_Control" localSheetId="16">{"'공사부문'!$A$6:$A$32"}</definedName>
    <definedName name="HTML_Control" localSheetId="18">{"'공사부문'!$A$6:$A$32"}</definedName>
    <definedName name="HTML_Control" localSheetId="19">{"'공사부문'!$A$6:$A$32"}</definedName>
    <definedName name="HTML_Control" localSheetId="20">{"'공사부문'!$A$6:$A$32"}</definedName>
    <definedName name="HTML_Control" localSheetId="21">{"'공사부문'!$A$6:$A$32"}</definedName>
    <definedName name="HTML_Control" localSheetId="23">{"'Firr(선)'!$AS$1:$AY$62","'Firr(사)'!$AS$1:$AY$62","'Firr(회)'!$AS$1:$AY$62","'Firr(선)'!$L$1:$V$62","'Firr(사)'!$L$1:$V$62","'Firr(회)'!$L$1:$V$62"}</definedName>
    <definedName name="HTML_Control" localSheetId="28">{"'공사부문'!$A$6:$A$32"}</definedName>
    <definedName name="HTML_Control" localSheetId="24">{"'Firr(선)'!$AS$1:$AY$62","'Firr(사)'!$AS$1:$AY$62","'Firr(회)'!$AS$1:$AY$62","'Firr(선)'!$L$1:$V$62","'Firr(사)'!$L$1:$V$62","'Firr(회)'!$L$1:$V$62"}</definedName>
    <definedName name="HTML_Control" localSheetId="25">{"'Firr(선)'!$AS$1:$AY$62","'Firr(사)'!$AS$1:$AY$62","'Firr(회)'!$AS$1:$AY$62","'Firr(선)'!$L$1:$V$62","'Firr(사)'!$L$1:$V$62","'Firr(회)'!$L$1:$V$62"}</definedName>
    <definedName name="HTML_Control" localSheetId="26">{"'Firr(선)'!$AS$1:$AY$62","'Firr(사)'!$AS$1:$AY$62","'Firr(회)'!$AS$1:$AY$62","'Firr(선)'!$L$1:$V$62","'Firr(사)'!$L$1:$V$62","'Firr(회)'!$L$1:$V$62"}</definedName>
    <definedName name="HTML_Control" localSheetId="27">{"'Firr(선)'!$AS$1:$AY$62","'Firr(사)'!$AS$1:$AY$62","'Firr(회)'!$AS$1:$AY$62","'Firr(선)'!$L$1:$V$62","'Firr(사)'!$L$1:$V$62","'Firr(회)'!$L$1:$V$62"}</definedName>
    <definedName name="HTML_Control">{"'공사부문'!$A$6:$A$32"}</definedName>
    <definedName name="HTML_Description">""</definedName>
    <definedName name="HTML_Email">""</definedName>
    <definedName name="HTML_Header" localSheetId="23">"8%"</definedName>
    <definedName name="HTML_Header" localSheetId="24">"8%"</definedName>
    <definedName name="HTML_Header" localSheetId="25">"8%"</definedName>
    <definedName name="HTML_Header" localSheetId="26">"8%"</definedName>
    <definedName name="HTML_Header" localSheetId="27">"8%"</definedName>
    <definedName name="HTML_Header">"공사부문"</definedName>
    <definedName name="HTML_LastUpdate" localSheetId="23">"2000-11-08"</definedName>
    <definedName name="HTML_LastUpdate" localSheetId="24">"2000-11-08"</definedName>
    <definedName name="HTML_LastUpdate" localSheetId="25">"2000-11-08"</definedName>
    <definedName name="HTML_LastUpdate" localSheetId="26">"2000-11-08"</definedName>
    <definedName name="HTML_LastUpdate" localSheetId="27">"2000-11-08"</definedName>
    <definedName name="HTML_LastUpdate">"98-04-27"</definedName>
    <definedName name="HTML_LineAfter">FALSE</definedName>
    <definedName name="HTML_LineBefore">FALSE</definedName>
    <definedName name="HTML_Name" localSheetId="23">"이제찬"</definedName>
    <definedName name="HTML_Name" localSheetId="24">"이제찬"</definedName>
    <definedName name="HTML_Name" localSheetId="25">"이제찬"</definedName>
    <definedName name="HTML_Name" localSheetId="26">"이제찬"</definedName>
    <definedName name="HTML_Name" localSheetId="27">"이제찬"</definedName>
    <definedName name="HTML_Name">"김준곤"</definedName>
    <definedName name="HTML_OBDlg2">TRUE</definedName>
    <definedName name="HTML_OBDlg4">TRUE</definedName>
    <definedName name="HTML_OS">0</definedName>
    <definedName name="HTML_PathFile" localSheetId="23">"C:\My Documents\MyHTML.htm"</definedName>
    <definedName name="HTML_PathFile" localSheetId="24">"C:\My Documents\MyHTML.htm"</definedName>
    <definedName name="HTML_PathFile" localSheetId="25">"C:\My Documents\MyHTML.htm"</definedName>
    <definedName name="HTML_PathFile" localSheetId="26">"C:\My Documents\MyHTML.htm"</definedName>
    <definedName name="HTML_PathFile" localSheetId="27">"C:\My Documents\MyHTML.htm"</definedName>
    <definedName name="HTML_PathFile">"C:\WINNT\Profiles\Administrator\Personal\MyHTML.htm"</definedName>
    <definedName name="HTML_Title" localSheetId="23">"Firrsrwd"</definedName>
    <definedName name="HTML_Title" localSheetId="24">"Firrsrwd"</definedName>
    <definedName name="HTML_Title" localSheetId="25">"Firrsrwd"</definedName>
    <definedName name="HTML_Title" localSheetId="26">"Firrsrwd"</definedName>
    <definedName name="HTML_Title" localSheetId="27">"Firrsrwd"</definedName>
    <definedName name="HTML_Title">"시중노임단가"</definedName>
    <definedName name="hulhu">#REF!</definedName>
    <definedName name="i" localSheetId="28">#REF!</definedName>
    <definedName name="i">#REF!</definedName>
    <definedName name="ID" localSheetId="28">#REF!,#REF!</definedName>
    <definedName name="ID">#REF!,#REF!</definedName>
    <definedName name="II" localSheetId="2">{"'용역비'!$A$4:$C$8"}</definedName>
    <definedName name="II" localSheetId="3">{"'용역비'!$A$4:$C$8"}</definedName>
    <definedName name="II" localSheetId="4">{"'용역비'!$A$4:$C$8"}</definedName>
    <definedName name="II" localSheetId="5">{"'용역비'!$A$4:$C$8"}</definedName>
    <definedName name="II" localSheetId="8">{"'용역비'!$A$4:$C$8"}</definedName>
    <definedName name="II" localSheetId="9">{"'용역비'!$A$4:$C$8"}</definedName>
    <definedName name="II" localSheetId="10">{"'용역비'!$A$4:$C$8"}</definedName>
    <definedName name="II" localSheetId="11">{"'용역비'!$A$4:$C$8"}</definedName>
    <definedName name="II" localSheetId="13">{"'용역비'!$A$4:$C$8"}</definedName>
    <definedName name="II" localSheetId="14">{"'용역비'!$A$4:$C$8"}</definedName>
    <definedName name="II" localSheetId="15">{"'용역비'!$A$4:$C$8"}</definedName>
    <definedName name="II" localSheetId="16">{"'용역비'!$A$4:$C$8"}</definedName>
    <definedName name="II" localSheetId="18">{"'용역비'!$A$4:$C$8"}</definedName>
    <definedName name="II" localSheetId="19">{"'용역비'!$A$4:$C$8"}</definedName>
    <definedName name="II" localSheetId="20">{"'용역비'!$A$4:$C$8"}</definedName>
    <definedName name="II" localSheetId="21">{"'용역비'!$A$4:$C$8"}</definedName>
    <definedName name="II" localSheetId="24">{"'용역비'!$A$4:$C$8"}</definedName>
    <definedName name="II" localSheetId="25">{"'용역비'!$A$4:$C$8"}</definedName>
    <definedName name="II" localSheetId="26">{"'용역비'!$A$4:$C$8"}</definedName>
    <definedName name="II" localSheetId="27">{"'용역비'!$A$4:$C$8"}</definedName>
    <definedName name="II">{"'용역비'!$A$4:$C$8"}</definedName>
    <definedName name="IIII" localSheetId="2">{"'용역비'!$A$4:$C$8"}</definedName>
    <definedName name="IIII" localSheetId="3">{"'용역비'!$A$4:$C$8"}</definedName>
    <definedName name="IIII" localSheetId="4">{"'용역비'!$A$4:$C$8"}</definedName>
    <definedName name="IIII" localSheetId="5">{"'용역비'!$A$4:$C$8"}</definedName>
    <definedName name="IIII" localSheetId="8">{"'용역비'!$A$4:$C$8"}</definedName>
    <definedName name="IIII" localSheetId="9">{"'용역비'!$A$4:$C$8"}</definedName>
    <definedName name="IIII" localSheetId="10">{"'용역비'!$A$4:$C$8"}</definedName>
    <definedName name="IIII" localSheetId="11">{"'용역비'!$A$4:$C$8"}</definedName>
    <definedName name="IIII" localSheetId="13">{"'용역비'!$A$4:$C$8"}</definedName>
    <definedName name="IIII" localSheetId="14">{"'용역비'!$A$4:$C$8"}</definedName>
    <definedName name="IIII" localSheetId="15">{"'용역비'!$A$4:$C$8"}</definedName>
    <definedName name="IIII" localSheetId="16">{"'용역비'!$A$4:$C$8"}</definedName>
    <definedName name="IIII" localSheetId="18">{"'용역비'!$A$4:$C$8"}</definedName>
    <definedName name="IIII" localSheetId="19">{"'용역비'!$A$4:$C$8"}</definedName>
    <definedName name="IIII" localSheetId="20">{"'용역비'!$A$4:$C$8"}</definedName>
    <definedName name="IIII" localSheetId="21">{"'용역비'!$A$4:$C$8"}</definedName>
    <definedName name="IIII" localSheetId="24">{"'용역비'!$A$4:$C$8"}</definedName>
    <definedName name="IIII" localSheetId="25">{"'용역비'!$A$4:$C$8"}</definedName>
    <definedName name="IIII" localSheetId="26">{"'용역비'!$A$4:$C$8"}</definedName>
    <definedName name="IIII" localSheetId="27">{"'용역비'!$A$4:$C$8"}</definedName>
    <definedName name="IIII">{"'용역비'!$A$4:$C$8"}</definedName>
    <definedName name="IIIII" localSheetId="2">{"'용역비'!$A$4:$C$8"}</definedName>
    <definedName name="IIIII" localSheetId="3">{"'용역비'!$A$4:$C$8"}</definedName>
    <definedName name="IIIII" localSheetId="4">{"'용역비'!$A$4:$C$8"}</definedName>
    <definedName name="IIIII" localSheetId="5">{"'용역비'!$A$4:$C$8"}</definedName>
    <definedName name="IIIII" localSheetId="8">{"'용역비'!$A$4:$C$8"}</definedName>
    <definedName name="IIIII" localSheetId="9">{"'용역비'!$A$4:$C$8"}</definedName>
    <definedName name="IIIII" localSheetId="10">{"'용역비'!$A$4:$C$8"}</definedName>
    <definedName name="IIIII" localSheetId="11">{"'용역비'!$A$4:$C$8"}</definedName>
    <definedName name="IIIII" localSheetId="13">{"'용역비'!$A$4:$C$8"}</definedName>
    <definedName name="IIIII" localSheetId="14">{"'용역비'!$A$4:$C$8"}</definedName>
    <definedName name="IIIII" localSheetId="15">{"'용역비'!$A$4:$C$8"}</definedName>
    <definedName name="IIIII" localSheetId="16">{"'용역비'!$A$4:$C$8"}</definedName>
    <definedName name="IIIII" localSheetId="18">{"'용역비'!$A$4:$C$8"}</definedName>
    <definedName name="IIIII" localSheetId="19">{"'용역비'!$A$4:$C$8"}</definedName>
    <definedName name="IIIII" localSheetId="20">{"'용역비'!$A$4:$C$8"}</definedName>
    <definedName name="IIIII" localSheetId="21">{"'용역비'!$A$4:$C$8"}</definedName>
    <definedName name="IIIII" localSheetId="24">{"'용역비'!$A$4:$C$8"}</definedName>
    <definedName name="IIIII" localSheetId="25">{"'용역비'!$A$4:$C$8"}</definedName>
    <definedName name="IIIII" localSheetId="26">{"'용역비'!$A$4:$C$8"}</definedName>
    <definedName name="IIIII" localSheetId="27">{"'용역비'!$A$4:$C$8"}</definedName>
    <definedName name="IIIII">{"'용역비'!$A$4:$C$8"}</definedName>
    <definedName name="iik" localSheetId="24">'8-1. 철거발생품 예정조서(1차)'!ghgfh</definedName>
    <definedName name="iik" localSheetId="25">'8-2. 철거발생품 예정조서(2차)'!ghgfh</definedName>
    <definedName name="iik" localSheetId="26">'8-3. 철거발생품 예정조서(3차)'!ghgfh</definedName>
    <definedName name="iik" localSheetId="27">'8-4. 철거발생품 예정조서(4차)'!ghgfh</definedName>
    <definedName name="iik">'7. 철거발생품 예정조서'!ghgfh</definedName>
    <definedName name="IJ">{"'광피스표'!$A$3:$N$54"}</definedName>
    <definedName name="IOI" localSheetId="2">{"'용역비'!$A$4:$C$8"}</definedName>
    <definedName name="IOI" localSheetId="3">{"'용역비'!$A$4:$C$8"}</definedName>
    <definedName name="IOI" localSheetId="4">{"'용역비'!$A$4:$C$8"}</definedName>
    <definedName name="IOI" localSheetId="5">{"'용역비'!$A$4:$C$8"}</definedName>
    <definedName name="IOI" localSheetId="8">{"'용역비'!$A$4:$C$8"}</definedName>
    <definedName name="IOI" localSheetId="9">{"'용역비'!$A$4:$C$8"}</definedName>
    <definedName name="IOI" localSheetId="10">{"'용역비'!$A$4:$C$8"}</definedName>
    <definedName name="IOI" localSheetId="11">{"'용역비'!$A$4:$C$8"}</definedName>
    <definedName name="IOI" localSheetId="13">{"'용역비'!$A$4:$C$8"}</definedName>
    <definedName name="IOI" localSheetId="14">{"'용역비'!$A$4:$C$8"}</definedName>
    <definedName name="IOI" localSheetId="15">{"'용역비'!$A$4:$C$8"}</definedName>
    <definedName name="IOI" localSheetId="16">{"'용역비'!$A$4:$C$8"}</definedName>
    <definedName name="IOI" localSheetId="18">{"'용역비'!$A$4:$C$8"}</definedName>
    <definedName name="IOI" localSheetId="19">{"'용역비'!$A$4:$C$8"}</definedName>
    <definedName name="IOI" localSheetId="20">{"'용역비'!$A$4:$C$8"}</definedName>
    <definedName name="IOI" localSheetId="21">{"'용역비'!$A$4:$C$8"}</definedName>
    <definedName name="IOI" localSheetId="24">{"'용역비'!$A$4:$C$8"}</definedName>
    <definedName name="IOI" localSheetId="25">{"'용역비'!$A$4:$C$8"}</definedName>
    <definedName name="IOI" localSheetId="26">{"'용역비'!$A$4:$C$8"}</definedName>
    <definedName name="IOI" localSheetId="27">{"'용역비'!$A$4:$C$8"}</definedName>
    <definedName name="IOI">{"'용역비'!$A$4:$C$8"}</definedName>
    <definedName name="j" localSheetId="28">#REF!</definedName>
    <definedName name="j">#REF!</definedName>
    <definedName name="jd" localSheetId="28">#REF!</definedName>
    <definedName name="jd">#REF!</definedName>
    <definedName name="jjeu" localSheetId="28">#REF!</definedName>
    <definedName name="jjeu">#REF!</definedName>
    <definedName name="JPG" localSheetId="2">'1-1. 설계설명서(1차)'!JPG</definedName>
    <definedName name="JPG" localSheetId="3">'1-1. 설계설명서(2차)'!JPG</definedName>
    <definedName name="JPG" localSheetId="4">'1-1. 설계설명서(3차)'!JPG</definedName>
    <definedName name="JPG" localSheetId="5">'1-1. 설계설명서(4차)'!JPG</definedName>
    <definedName name="JPG" localSheetId="8">'3-1. 예정공정표(1차)'!JPG</definedName>
    <definedName name="JPG" localSheetId="9">'3-2. 예정공정표(2차)'!JPG</definedName>
    <definedName name="JPG" localSheetId="10">'3-3. 예정공정표(3차)'!JPG</definedName>
    <definedName name="JPG" localSheetId="11">'3-4. 예정공정표(4차)'!JPG</definedName>
    <definedName name="JPG" localSheetId="13">'4-1. 예산내역서(1차)'!JPG</definedName>
    <definedName name="JPG" localSheetId="14">'4-2. 예산내역서(2차)'!JPG</definedName>
    <definedName name="JPG" localSheetId="15">'4-3. 예산내역서(3차)'!JPG</definedName>
    <definedName name="JPG" localSheetId="16">'4-4. 예산내역서(4차)'!JPG</definedName>
    <definedName name="JPG" localSheetId="18">'5-1. 공종별예산조서(1차)'!JPG</definedName>
    <definedName name="JPG" localSheetId="19">'5-2. 공종별예산조서(2차)'!JPG</definedName>
    <definedName name="JPG" localSheetId="20">'5-3. 공종별예산조서(3차)'!JPG</definedName>
    <definedName name="JPG" localSheetId="21">'5-3. 공종별예산조서(4차)'!JPG</definedName>
    <definedName name="JPG" localSheetId="24">'8-1. 철거발생품 예정조서(1차)'!JPG</definedName>
    <definedName name="JPG" localSheetId="25">'8-2. 철거발생품 예정조서(2차)'!JPG</definedName>
    <definedName name="JPG" localSheetId="26">'8-3. 철거발생품 예정조서(3차)'!JPG</definedName>
    <definedName name="JPG" localSheetId="27">'8-4. 철거발생품 예정조서(4차)'!JPG</definedName>
    <definedName name="JUU" localSheetId="2">'1-1. 설계설명서(1차)'!FGF</definedName>
    <definedName name="JUU" localSheetId="3">'1-1. 설계설명서(2차)'!FGF</definedName>
    <definedName name="JUU" localSheetId="4">'1-1. 설계설명서(3차)'!FGF</definedName>
    <definedName name="JUU" localSheetId="5">'1-1. 설계설명서(4차)'!FGF</definedName>
    <definedName name="JUU" localSheetId="8">'3-1. 예정공정표(1차)'!FGF</definedName>
    <definedName name="JUU" localSheetId="9">'3-2. 예정공정표(2차)'!FGF</definedName>
    <definedName name="JUU" localSheetId="10">'3-3. 예정공정표(3차)'!FGF</definedName>
    <definedName name="JUU" localSheetId="11">'3-4. 예정공정표(4차)'!FGF</definedName>
    <definedName name="JUU" localSheetId="13">'4-1. 예산내역서(1차)'!FGF</definedName>
    <definedName name="JUU" localSheetId="14">'4-2. 예산내역서(2차)'!FGF</definedName>
    <definedName name="JUU" localSheetId="15">'4-3. 예산내역서(3차)'!FGF</definedName>
    <definedName name="JUU" localSheetId="16">'4-4. 예산내역서(4차)'!FGF</definedName>
    <definedName name="JUU" localSheetId="18">'5-1. 공종별예산조서(1차)'!FGF</definedName>
    <definedName name="JUU" localSheetId="19">'5-2. 공종별예산조서(2차)'!FGF</definedName>
    <definedName name="JUU" localSheetId="20">'5-3. 공종별예산조서(3차)'!FGF</definedName>
    <definedName name="JUU" localSheetId="21">'5-3. 공종별예산조서(4차)'!FGF</definedName>
    <definedName name="JUU" localSheetId="24">'8-1. 철거발생품 예정조서(1차)'!FGF</definedName>
    <definedName name="JUU" localSheetId="25">'8-2. 철거발생품 예정조서(2차)'!FGF</definedName>
    <definedName name="JUU" localSheetId="26">'8-3. 철거발생품 예정조서(3차)'!FGF</definedName>
    <definedName name="JUU" localSheetId="27">'8-4. 철거발생품 예정조서(4차)'!FGF</definedName>
    <definedName name="juy">{"'광피스표'!$A$3:$N$54"}</definedName>
    <definedName name="k" localSheetId="28">#REF!</definedName>
    <definedName name="k">#REF!</definedName>
    <definedName name="KA" localSheetId="28">#REF!</definedName>
    <definedName name="KA">#REF!</definedName>
    <definedName name="KB">{"'광피스표'!$A$3:$N$54"}</definedName>
    <definedName name="KDJ" localSheetId="28">#REF!</definedName>
    <definedName name="KDJ">#REF!</definedName>
    <definedName name="KJH" localSheetId="2">'1-1. 설계설명서(1차)'!KJH</definedName>
    <definedName name="KJH" localSheetId="3">'1-1. 설계설명서(2차)'!KJH</definedName>
    <definedName name="KJH" localSheetId="4">'1-1. 설계설명서(3차)'!KJH</definedName>
    <definedName name="KJH" localSheetId="5">'1-1. 설계설명서(4차)'!KJH</definedName>
    <definedName name="KJH" localSheetId="8">'3-1. 예정공정표(1차)'!KJH</definedName>
    <definedName name="KJH" localSheetId="9">'3-2. 예정공정표(2차)'!KJH</definedName>
    <definedName name="KJH" localSheetId="10">'3-3. 예정공정표(3차)'!KJH</definedName>
    <definedName name="KJH" localSheetId="11">'3-4. 예정공정표(4차)'!KJH</definedName>
    <definedName name="KJH" localSheetId="13">'4-1. 예산내역서(1차)'!KJH</definedName>
    <definedName name="KJH" localSheetId="14">'4-2. 예산내역서(2차)'!KJH</definedName>
    <definedName name="KJH" localSheetId="15">'4-3. 예산내역서(3차)'!KJH</definedName>
    <definedName name="KJH" localSheetId="16">'4-4. 예산내역서(4차)'!KJH</definedName>
    <definedName name="KJH" localSheetId="18">'5-1. 공종별예산조서(1차)'!KJH</definedName>
    <definedName name="KJH" localSheetId="19">'5-2. 공종별예산조서(2차)'!KJH</definedName>
    <definedName name="KJH" localSheetId="20">'5-3. 공종별예산조서(3차)'!KJH</definedName>
    <definedName name="KJH" localSheetId="21">'5-3. 공종별예산조서(4차)'!KJH</definedName>
    <definedName name="KJH" localSheetId="24">'8-1. 철거발생품 예정조서(1차)'!KJH</definedName>
    <definedName name="KJH" localSheetId="25">'8-2. 철거발생품 예정조서(2차)'!KJH</definedName>
    <definedName name="KJH" localSheetId="26">'8-3. 철거발생품 예정조서(3차)'!KJH</definedName>
    <definedName name="KJH" localSheetId="27">'8-4. 철거발생품 예정조서(4차)'!KJH</definedName>
    <definedName name="KK" localSheetId="28">#REF!</definedName>
    <definedName name="KK">#REF!</definedName>
    <definedName name="kls" localSheetId="28">#REF!</definedName>
    <definedName name="kls">#REF!</definedName>
    <definedName name="ktf" localSheetId="28" hidden="1">#REF!</definedName>
    <definedName name="ktf" hidden="1">#REF!</definedName>
    <definedName name="kty" localSheetId="28" hidden="1">#REF!</definedName>
    <definedName name="kty" hidden="1">#REF!</definedName>
    <definedName name="L" localSheetId="28">#REF!</definedName>
    <definedName name="L">#REF!</definedName>
    <definedName name="labor" localSheetId="28">#REF!</definedName>
    <definedName name="labor">#REF!</definedName>
    <definedName name="lee" localSheetId="28">#REF!</definedName>
    <definedName name="lee">#REF!</definedName>
    <definedName name="li" localSheetId="2">{"'용역비'!$A$4:$C$8"}</definedName>
    <definedName name="li" localSheetId="3">{"'용역비'!$A$4:$C$8"}</definedName>
    <definedName name="li" localSheetId="4">{"'용역비'!$A$4:$C$8"}</definedName>
    <definedName name="li" localSheetId="5">{"'용역비'!$A$4:$C$8"}</definedName>
    <definedName name="li" localSheetId="8">{"'용역비'!$A$4:$C$8"}</definedName>
    <definedName name="li" localSheetId="9">{"'용역비'!$A$4:$C$8"}</definedName>
    <definedName name="li" localSheetId="10">{"'용역비'!$A$4:$C$8"}</definedName>
    <definedName name="li" localSheetId="11">{"'용역비'!$A$4:$C$8"}</definedName>
    <definedName name="li" localSheetId="13">{"'용역비'!$A$4:$C$8"}</definedName>
    <definedName name="li" localSheetId="14">{"'용역비'!$A$4:$C$8"}</definedName>
    <definedName name="li" localSheetId="15">{"'용역비'!$A$4:$C$8"}</definedName>
    <definedName name="li" localSheetId="16">{"'용역비'!$A$4:$C$8"}</definedName>
    <definedName name="li" localSheetId="18">{"'용역비'!$A$4:$C$8"}</definedName>
    <definedName name="li" localSheetId="19">{"'용역비'!$A$4:$C$8"}</definedName>
    <definedName name="li" localSheetId="20">{"'용역비'!$A$4:$C$8"}</definedName>
    <definedName name="li" localSheetId="21">{"'용역비'!$A$4:$C$8"}</definedName>
    <definedName name="li" localSheetId="24">{"'용역비'!$A$4:$C$8"}</definedName>
    <definedName name="li" localSheetId="25">{"'용역비'!$A$4:$C$8"}</definedName>
    <definedName name="li" localSheetId="26">{"'용역비'!$A$4:$C$8"}</definedName>
    <definedName name="li" localSheetId="27">{"'용역비'!$A$4:$C$8"}</definedName>
    <definedName name="li">{"'용역비'!$A$4:$C$8"}</definedName>
    <definedName name="ljilhuj" localSheetId="28">#REF!</definedName>
    <definedName name="ljilhuj">#REF!</definedName>
    <definedName name="lll" localSheetId="28">#REF!</definedName>
    <definedName name="lll">#REF!</definedName>
    <definedName name="LLM" localSheetId="2">'1-1. 설계설명서(1차)'!CCF</definedName>
    <definedName name="LLM" localSheetId="3">'1-1. 설계설명서(2차)'!CCF</definedName>
    <definedName name="LLM" localSheetId="4">'1-1. 설계설명서(3차)'!CCF</definedName>
    <definedName name="LLM" localSheetId="5">'1-1. 설계설명서(4차)'!CCF</definedName>
    <definedName name="LLM" localSheetId="8">'3-1. 예정공정표(1차)'!CCF</definedName>
    <definedName name="LLM" localSheetId="9">'3-2. 예정공정표(2차)'!CCF</definedName>
    <definedName name="LLM" localSheetId="10">'3-3. 예정공정표(3차)'!CCF</definedName>
    <definedName name="LLM" localSheetId="11">'3-4. 예정공정표(4차)'!CCF</definedName>
    <definedName name="LLM" localSheetId="13">'4-1. 예산내역서(1차)'!CCF</definedName>
    <definedName name="LLM" localSheetId="14">'4-2. 예산내역서(2차)'!CCF</definedName>
    <definedName name="LLM" localSheetId="15">'4-3. 예산내역서(3차)'!CCF</definedName>
    <definedName name="LLM" localSheetId="16">'4-4. 예산내역서(4차)'!CCF</definedName>
    <definedName name="LLM" localSheetId="18">'5-1. 공종별예산조서(1차)'!CCF</definedName>
    <definedName name="LLM" localSheetId="19">'5-2. 공종별예산조서(2차)'!CCF</definedName>
    <definedName name="LLM" localSheetId="20">'5-3. 공종별예산조서(3차)'!CCF</definedName>
    <definedName name="LLM" localSheetId="21">'5-3. 공종별예산조서(4차)'!CCF</definedName>
    <definedName name="LLM" localSheetId="24">'8-1. 철거발생품 예정조서(1차)'!CCF</definedName>
    <definedName name="LLM" localSheetId="25">'8-2. 철거발생품 예정조서(2차)'!CCF</definedName>
    <definedName name="LLM" localSheetId="26">'8-3. 철거발생품 예정조서(3차)'!CCF</definedName>
    <definedName name="LLM" localSheetId="27">'8-4. 철거발생품 예정조서(4차)'!CCF</definedName>
    <definedName name="lo">{"'광피스표'!$A$3:$N$54"}</definedName>
    <definedName name="LP1A" localSheetId="28">#REF!</definedName>
    <definedName name="LP1A">#REF!</definedName>
    <definedName name="LP1B" localSheetId="28">#REF!</definedName>
    <definedName name="LP1B">#REF!</definedName>
    <definedName name="LP2A" localSheetId="28">#REF!</definedName>
    <definedName name="LP2A">#REF!</definedName>
    <definedName name="LP2B" localSheetId="28">#REF!</definedName>
    <definedName name="LP2B">#REF!</definedName>
    <definedName name="LP3A" localSheetId="28">#REF!</definedName>
    <definedName name="LP3A">#REF!</definedName>
    <definedName name="LP3B" localSheetId="28">#REF!</definedName>
    <definedName name="LP3B">#REF!</definedName>
    <definedName name="LPB" localSheetId="28">#REF!</definedName>
    <definedName name="LPB">#REF!</definedName>
    <definedName name="LPBA" localSheetId="28">#REF!</definedName>
    <definedName name="LPBA">#REF!</definedName>
    <definedName name="LPBB" localSheetId="28">#REF!</definedName>
    <definedName name="LPBB">#REF!</definedName>
    <definedName name="LPKA" localSheetId="28">#REF!</definedName>
    <definedName name="LPKA">#REF!</definedName>
    <definedName name="LPKB" localSheetId="28">#REF!</definedName>
    <definedName name="LPKB">#REF!</definedName>
    <definedName name="LPM" localSheetId="28">#REF!</definedName>
    <definedName name="LPM">#REF!</definedName>
    <definedName name="LPMA" localSheetId="28">#REF!</definedName>
    <definedName name="LPMA">#REF!</definedName>
    <definedName name="LPO" localSheetId="28">#REF!</definedName>
    <definedName name="LPO">#REF!</definedName>
    <definedName name="LPOA" localSheetId="28">#REF!</definedName>
    <definedName name="LPOA">#REF!</definedName>
    <definedName name="ls" localSheetId="28">#REF!</definedName>
    <definedName name="ls">#REF!</definedName>
    <definedName name="LV02A" localSheetId="28">#REF!</definedName>
    <definedName name="LV02A">#REF!</definedName>
    <definedName name="LV02B" localSheetId="28">#REF!</definedName>
    <definedName name="LV02B">#REF!</definedName>
    <definedName name="LV04A" localSheetId="28">#REF!</definedName>
    <definedName name="LV04A">#REF!</definedName>
    <definedName name="LV04B" localSheetId="28">#REF!</definedName>
    <definedName name="LV04B">#REF!</definedName>
    <definedName name="m" localSheetId="28">#REF!</definedName>
    <definedName name="m">#REF!</definedName>
    <definedName name="Macro10" localSheetId="28">#REF!</definedName>
    <definedName name="Macro10">#REF!</definedName>
    <definedName name="Macro12" localSheetId="28">#REF!</definedName>
    <definedName name="Macro12">#REF!</definedName>
    <definedName name="Macro13" localSheetId="28">#REF!</definedName>
    <definedName name="Macro13">#REF!</definedName>
    <definedName name="Macro14" localSheetId="28">#REF!</definedName>
    <definedName name="Macro14">#REF!</definedName>
    <definedName name="Macro2" localSheetId="28">#REF!</definedName>
    <definedName name="Macro2">#REF!</definedName>
    <definedName name="Macro5" localSheetId="28">#REF!</definedName>
    <definedName name="Macro5">#REF!</definedName>
    <definedName name="Macro6" localSheetId="28">#REF!</definedName>
    <definedName name="Macro6">#REF!</definedName>
    <definedName name="Macro7" localSheetId="28">#REF!</definedName>
    <definedName name="Macro7">#REF!</definedName>
    <definedName name="Macro8" localSheetId="28">#REF!</definedName>
    <definedName name="Macro8">#REF!</definedName>
    <definedName name="Macro9" localSheetId="28">#REF!</definedName>
    <definedName name="Macro9">#REF!</definedName>
    <definedName name="MCCCN" localSheetId="28">#REF!</definedName>
    <definedName name="MCCCN">#REF!</definedName>
    <definedName name="MCCE" localSheetId="28">#REF!</definedName>
    <definedName name="MCCE">#REF!</definedName>
    <definedName name="MCCEA" localSheetId="28">#REF!</definedName>
    <definedName name="MCCEA">#REF!</definedName>
    <definedName name="MCCEB" localSheetId="28">#REF!</definedName>
    <definedName name="MCCEB">#REF!</definedName>
    <definedName name="MCCF" localSheetId="28">#REF!</definedName>
    <definedName name="MCCF">#REF!</definedName>
    <definedName name="MCCN" localSheetId="28">#REF!</definedName>
    <definedName name="MCCN">#REF!</definedName>
    <definedName name="MCCP" localSheetId="28">#REF!</definedName>
    <definedName name="MCCP">#REF!</definedName>
    <definedName name="MCCS" localSheetId="28">#REF!</definedName>
    <definedName name="MCCS">#REF!</definedName>
    <definedName name="MHHG" localSheetId="2">'1-1. 설계설명서(1차)'!MHHG</definedName>
    <definedName name="MHHG" localSheetId="3">'1-1. 설계설명서(2차)'!MHHG</definedName>
    <definedName name="MHHG" localSheetId="4">'1-1. 설계설명서(3차)'!MHHG</definedName>
    <definedName name="MHHG" localSheetId="5">'1-1. 설계설명서(4차)'!MHHG</definedName>
    <definedName name="MHHG" localSheetId="8">'3-1. 예정공정표(1차)'!MHHG</definedName>
    <definedName name="MHHG" localSheetId="9">'3-2. 예정공정표(2차)'!MHHG</definedName>
    <definedName name="MHHG" localSheetId="10">'3-3. 예정공정표(3차)'!MHHG</definedName>
    <definedName name="MHHG" localSheetId="11">'3-4. 예정공정표(4차)'!MHHG</definedName>
    <definedName name="MHHG" localSheetId="13">'4-1. 예산내역서(1차)'!MHHG</definedName>
    <definedName name="MHHG" localSheetId="14">'4-2. 예산내역서(2차)'!MHHG</definedName>
    <definedName name="MHHG" localSheetId="15">'4-3. 예산내역서(3차)'!MHHG</definedName>
    <definedName name="MHHG" localSheetId="16">'4-4. 예산내역서(4차)'!MHHG</definedName>
    <definedName name="MHHG" localSheetId="18">'5-1. 공종별예산조서(1차)'!MHHG</definedName>
    <definedName name="MHHG" localSheetId="19">'5-2. 공종별예산조서(2차)'!MHHG</definedName>
    <definedName name="MHHG" localSheetId="20">'5-3. 공종별예산조서(3차)'!MHHG</definedName>
    <definedName name="MHHG" localSheetId="21">'5-3. 공종별예산조서(4차)'!MHHG</definedName>
    <definedName name="MHHG" localSheetId="24">'8-1. 철거발생품 예정조서(1차)'!MHHG</definedName>
    <definedName name="MHHG" localSheetId="25">'8-2. 철거발생품 예정조서(2차)'!MHHG</definedName>
    <definedName name="MHHG" localSheetId="26">'8-3. 철거발생품 예정조서(3차)'!MHHG</definedName>
    <definedName name="MHHG" localSheetId="27">'8-4. 철거발생품 예정조서(4차)'!MHHG</definedName>
    <definedName name="MMH" localSheetId="2">'1-1. 설계설명서(1차)'!DDC</definedName>
    <definedName name="MMH" localSheetId="3">'1-1. 설계설명서(2차)'!DDC</definedName>
    <definedName name="MMH" localSheetId="4">'1-1. 설계설명서(3차)'!DDC</definedName>
    <definedName name="MMH" localSheetId="5">'1-1. 설계설명서(4차)'!DDC</definedName>
    <definedName name="MMH" localSheetId="8">'3-1. 예정공정표(1차)'!DDC</definedName>
    <definedName name="MMH" localSheetId="9">'3-2. 예정공정표(2차)'!DDC</definedName>
    <definedName name="MMH" localSheetId="10">'3-3. 예정공정표(3차)'!DDC</definedName>
    <definedName name="MMH" localSheetId="11">'3-4. 예정공정표(4차)'!DDC</definedName>
    <definedName name="MMH" localSheetId="13">'4-1. 예산내역서(1차)'!DDC</definedName>
    <definedName name="MMH" localSheetId="14">'4-2. 예산내역서(2차)'!DDC</definedName>
    <definedName name="MMH" localSheetId="15">'4-3. 예산내역서(3차)'!DDC</definedName>
    <definedName name="MMH" localSheetId="16">'4-4. 예산내역서(4차)'!DDC</definedName>
    <definedName name="MMH" localSheetId="18">'5-1. 공종별예산조서(1차)'!DDC</definedName>
    <definedName name="MMH" localSheetId="19">'5-2. 공종별예산조서(2차)'!DDC</definedName>
    <definedName name="MMH" localSheetId="20">'5-3. 공종별예산조서(3차)'!DDC</definedName>
    <definedName name="MMH" localSheetId="21">'5-3. 공종별예산조서(4차)'!DDC</definedName>
    <definedName name="MMH" localSheetId="24">'8-1. 철거발생품 예정조서(1차)'!DDC</definedName>
    <definedName name="MMH" localSheetId="25">'8-2. 철거발생품 예정조서(2차)'!DDC</definedName>
    <definedName name="MMH" localSheetId="26">'8-3. 철거발생품 예정조서(3차)'!DDC</definedName>
    <definedName name="MMH" localSheetId="27">'8-4. 철거발생품 예정조서(4차)'!DDC</definedName>
    <definedName name="MMK" localSheetId="2">'1-1. 설계설명서(1차)'!MMK</definedName>
    <definedName name="MMK" localSheetId="3">'1-1. 설계설명서(2차)'!MMK</definedName>
    <definedName name="MMK" localSheetId="4">'1-1. 설계설명서(3차)'!MMK</definedName>
    <definedName name="MMK" localSheetId="5">'1-1. 설계설명서(4차)'!MMK</definedName>
    <definedName name="MMK" localSheetId="8">'3-1. 예정공정표(1차)'!MMK</definedName>
    <definedName name="MMK" localSheetId="9">'3-2. 예정공정표(2차)'!MMK</definedName>
    <definedName name="MMK" localSheetId="10">'3-3. 예정공정표(3차)'!MMK</definedName>
    <definedName name="MMK" localSheetId="11">'3-4. 예정공정표(4차)'!MMK</definedName>
    <definedName name="MMK" localSheetId="13">'4-1. 예산내역서(1차)'!MMK</definedName>
    <definedName name="MMK" localSheetId="14">'4-2. 예산내역서(2차)'!MMK</definedName>
    <definedName name="MMK" localSheetId="15">'4-3. 예산내역서(3차)'!MMK</definedName>
    <definedName name="MMK" localSheetId="16">'4-4. 예산내역서(4차)'!MMK</definedName>
    <definedName name="MMK" localSheetId="18">'5-1. 공종별예산조서(1차)'!MMK</definedName>
    <definedName name="MMK" localSheetId="19">'5-2. 공종별예산조서(2차)'!MMK</definedName>
    <definedName name="MMK" localSheetId="20">'5-3. 공종별예산조서(3차)'!MMK</definedName>
    <definedName name="MMK" localSheetId="21">'5-3. 공종별예산조서(4차)'!MMK</definedName>
    <definedName name="MMK" localSheetId="24">'8-1. 철거발생품 예정조서(1차)'!MMK</definedName>
    <definedName name="MMK" localSheetId="25">'8-2. 철거발생품 예정조서(2차)'!MMK</definedName>
    <definedName name="MMK" localSheetId="26">'8-3. 철거발생품 예정조서(3차)'!MMK</definedName>
    <definedName name="MMK" localSheetId="27">'8-4. 철거발생품 예정조서(4차)'!MMK</definedName>
    <definedName name="MMX" localSheetId="2">'1-1. 설계설명서(1차)'!MMK</definedName>
    <definedName name="MMX" localSheetId="3">'1-1. 설계설명서(2차)'!MMK</definedName>
    <definedName name="MMX" localSheetId="4">'1-1. 설계설명서(3차)'!MMK</definedName>
    <definedName name="MMX" localSheetId="5">'1-1. 설계설명서(4차)'!MMK</definedName>
    <definedName name="MMX" localSheetId="8">'3-1. 예정공정표(1차)'!MMK</definedName>
    <definedName name="MMX" localSheetId="9">'3-2. 예정공정표(2차)'!MMK</definedName>
    <definedName name="MMX" localSheetId="10">'3-3. 예정공정표(3차)'!MMK</definedName>
    <definedName name="MMX" localSheetId="11">'3-4. 예정공정표(4차)'!MMK</definedName>
    <definedName name="MMX" localSheetId="13">'4-1. 예산내역서(1차)'!MMK</definedName>
    <definedName name="MMX" localSheetId="14">'4-2. 예산내역서(2차)'!MMK</definedName>
    <definedName name="MMX" localSheetId="15">'4-3. 예산내역서(3차)'!MMK</definedName>
    <definedName name="MMX" localSheetId="16">'4-4. 예산내역서(4차)'!MMK</definedName>
    <definedName name="MMX" localSheetId="18">'5-1. 공종별예산조서(1차)'!MMK</definedName>
    <definedName name="MMX" localSheetId="19">'5-2. 공종별예산조서(2차)'!MMK</definedName>
    <definedName name="MMX" localSheetId="20">'5-3. 공종별예산조서(3차)'!MMK</definedName>
    <definedName name="MMX" localSheetId="21">'5-3. 공종별예산조서(4차)'!MMK</definedName>
    <definedName name="MMX" localSheetId="24">'8-1. 철거발생품 예정조서(1차)'!MMK</definedName>
    <definedName name="MMX" localSheetId="25">'8-2. 철거발생품 예정조서(2차)'!MMK</definedName>
    <definedName name="MMX" localSheetId="26">'8-3. 철거발생품 예정조서(3차)'!MMK</definedName>
    <definedName name="MMX" localSheetId="27">'8-4. 철거발생품 예정조서(4차)'!MMK</definedName>
    <definedName name="MNH" localSheetId="2">'1-1. 설계설명서(1차)'!HGG</definedName>
    <definedName name="MNH" localSheetId="3">'1-1. 설계설명서(2차)'!HGG</definedName>
    <definedName name="MNH" localSheetId="4">'1-1. 설계설명서(3차)'!HGG</definedName>
    <definedName name="MNH" localSheetId="5">'1-1. 설계설명서(4차)'!HGG</definedName>
    <definedName name="MNH" localSheetId="8">'3-1. 예정공정표(1차)'!HGG</definedName>
    <definedName name="MNH" localSheetId="9">'3-2. 예정공정표(2차)'!HGG</definedName>
    <definedName name="MNH" localSheetId="10">'3-3. 예정공정표(3차)'!HGG</definedName>
    <definedName name="MNH" localSheetId="11">'3-4. 예정공정표(4차)'!HGG</definedName>
    <definedName name="MNH" localSheetId="13">'4-1. 예산내역서(1차)'!HGG</definedName>
    <definedName name="MNH" localSheetId="14">'4-2. 예산내역서(2차)'!HGG</definedName>
    <definedName name="MNH" localSheetId="15">'4-3. 예산내역서(3차)'!HGG</definedName>
    <definedName name="MNH" localSheetId="16">'4-4. 예산내역서(4차)'!HGG</definedName>
    <definedName name="MNH" localSheetId="18">'5-1. 공종별예산조서(1차)'!HGG</definedName>
    <definedName name="MNH" localSheetId="19">'5-2. 공종별예산조서(2차)'!HGG</definedName>
    <definedName name="MNH" localSheetId="20">'5-3. 공종별예산조서(3차)'!HGG</definedName>
    <definedName name="MNH" localSheetId="21">'5-3. 공종별예산조서(4차)'!HGG</definedName>
    <definedName name="MNH" localSheetId="24">'8-1. 철거발생품 예정조서(1차)'!HGG</definedName>
    <definedName name="MNH" localSheetId="25">'8-2. 철거발생품 예정조서(2차)'!HGG</definedName>
    <definedName name="MNH" localSheetId="26">'8-3. 철거발생품 예정조서(3차)'!HGG</definedName>
    <definedName name="MNH" localSheetId="27">'8-4. 철거발생품 예정조서(4차)'!HGG</definedName>
    <definedName name="MONEY" localSheetId="28">#REF!,#REF!</definedName>
    <definedName name="MONEY">#REF!,#REF!</definedName>
    <definedName name="MOTOR__농형_전폐" localSheetId="28">#REF!</definedName>
    <definedName name="MOTOR__농형_전폐">#REF!</definedName>
    <definedName name="n" localSheetId="28">#REF!</definedName>
    <definedName name="n">#REF!</definedName>
    <definedName name="NAM" localSheetId="28">#REF!</definedName>
    <definedName name="NAM">#REF!</definedName>
    <definedName name="NNDGNDGDFN" localSheetId="2">'1-1. 설계설명서(1차)'!NNDGNDGDFN</definedName>
    <definedName name="NNDGNDGDFN" localSheetId="3">'1-1. 설계설명서(2차)'!NNDGNDGDFN</definedName>
    <definedName name="NNDGNDGDFN" localSheetId="4">'1-1. 설계설명서(3차)'!NNDGNDGDFN</definedName>
    <definedName name="NNDGNDGDFN" localSheetId="5">'1-1. 설계설명서(4차)'!NNDGNDGDFN</definedName>
    <definedName name="NNDGNDGDFN" localSheetId="8">'3-1. 예정공정표(1차)'!NNDGNDGDFN</definedName>
    <definedName name="NNDGNDGDFN" localSheetId="9">'3-2. 예정공정표(2차)'!NNDGNDGDFN</definedName>
    <definedName name="NNDGNDGDFN" localSheetId="10">'3-3. 예정공정표(3차)'!NNDGNDGDFN</definedName>
    <definedName name="NNDGNDGDFN" localSheetId="11">'3-4. 예정공정표(4차)'!NNDGNDGDFN</definedName>
    <definedName name="NNDGNDGDFN" localSheetId="13">'4-1. 예산내역서(1차)'!NNDGNDGDFN</definedName>
    <definedName name="NNDGNDGDFN" localSheetId="14">'4-2. 예산내역서(2차)'!NNDGNDGDFN</definedName>
    <definedName name="NNDGNDGDFN" localSheetId="15">'4-3. 예산내역서(3차)'!NNDGNDGDFN</definedName>
    <definedName name="NNDGNDGDFN" localSheetId="16">'4-4. 예산내역서(4차)'!NNDGNDGDFN</definedName>
    <definedName name="NNDGNDGDFN" localSheetId="18">'5-1. 공종별예산조서(1차)'!NNDGNDGDFN</definedName>
    <definedName name="NNDGNDGDFN" localSheetId="19">'5-2. 공종별예산조서(2차)'!NNDGNDGDFN</definedName>
    <definedName name="NNDGNDGDFN" localSheetId="20">'5-3. 공종별예산조서(3차)'!NNDGNDGDFN</definedName>
    <definedName name="NNDGNDGDFN" localSheetId="21">'5-3. 공종별예산조서(4차)'!NNDGNDGDFN</definedName>
    <definedName name="NNDGNDGDFN" localSheetId="24">'8-1. 철거발생품 예정조서(1차)'!NNDGNDGDFN</definedName>
    <definedName name="NNDGNDGDFN" localSheetId="25">'8-2. 철거발생품 예정조서(2차)'!NNDGNDGDFN</definedName>
    <definedName name="NNDGNDGDFN" localSheetId="26">'8-3. 철거발생품 예정조서(3차)'!NNDGNDGDFN</definedName>
    <definedName name="NNDGNDGDFN" localSheetId="27">'8-4. 철거발생품 예정조서(4차)'!NNDGNDGDFN</definedName>
    <definedName name="nnk" localSheetId="2">'1-1. 설계설명서(1차)'!nnk</definedName>
    <definedName name="nnk" localSheetId="3">'1-1. 설계설명서(2차)'!nnk</definedName>
    <definedName name="nnk" localSheetId="4">'1-1. 설계설명서(3차)'!nnk</definedName>
    <definedName name="nnk" localSheetId="5">'1-1. 설계설명서(4차)'!nnk</definedName>
    <definedName name="nnk" localSheetId="8">'3-1. 예정공정표(1차)'!nnk</definedName>
    <definedName name="nnk" localSheetId="9">'3-2. 예정공정표(2차)'!nnk</definedName>
    <definedName name="nnk" localSheetId="10">'3-3. 예정공정표(3차)'!nnk</definedName>
    <definedName name="nnk" localSheetId="11">'3-4. 예정공정표(4차)'!nnk</definedName>
    <definedName name="nnk" localSheetId="13">'4-1. 예산내역서(1차)'!nnk</definedName>
    <definedName name="nnk" localSheetId="14">'4-2. 예산내역서(2차)'!nnk</definedName>
    <definedName name="nnk" localSheetId="15">'4-3. 예산내역서(3차)'!nnk</definedName>
    <definedName name="nnk" localSheetId="16">'4-4. 예산내역서(4차)'!nnk</definedName>
    <definedName name="nnk" localSheetId="18">'5-1. 공종별예산조서(1차)'!nnk</definedName>
    <definedName name="nnk" localSheetId="19">'5-2. 공종별예산조서(2차)'!nnk</definedName>
    <definedName name="nnk" localSheetId="20">'5-3. 공종별예산조서(3차)'!nnk</definedName>
    <definedName name="nnk" localSheetId="21">'5-3. 공종별예산조서(4차)'!nnk</definedName>
    <definedName name="nnk" localSheetId="24">'8-1. 철거발생품 예정조서(1차)'!nnk</definedName>
    <definedName name="nnk" localSheetId="25">'8-2. 철거발생품 예정조서(2차)'!nnk</definedName>
    <definedName name="nnk" localSheetId="26">'8-3. 철거발생품 예정조서(3차)'!nnk</definedName>
    <definedName name="nnk" localSheetId="27">'8-4. 철거발생품 예정조서(4차)'!nnk</definedName>
    <definedName name="NO" localSheetId="28">#REF!</definedName>
    <definedName name="NO">#REF!</definedName>
    <definedName name="OIL" localSheetId="2">{"'용역비'!$A$4:$C$8"}</definedName>
    <definedName name="OIL" localSheetId="3">{"'용역비'!$A$4:$C$8"}</definedName>
    <definedName name="OIL" localSheetId="4">{"'용역비'!$A$4:$C$8"}</definedName>
    <definedName name="OIL" localSheetId="5">{"'용역비'!$A$4:$C$8"}</definedName>
    <definedName name="OIL" localSheetId="8">{"'용역비'!$A$4:$C$8"}</definedName>
    <definedName name="OIL" localSheetId="9">{"'용역비'!$A$4:$C$8"}</definedName>
    <definedName name="OIL" localSheetId="10">{"'용역비'!$A$4:$C$8"}</definedName>
    <definedName name="OIL" localSheetId="11">{"'용역비'!$A$4:$C$8"}</definedName>
    <definedName name="OIL" localSheetId="13">{"'용역비'!$A$4:$C$8"}</definedName>
    <definedName name="OIL" localSheetId="14">{"'용역비'!$A$4:$C$8"}</definedName>
    <definedName name="OIL" localSheetId="15">{"'용역비'!$A$4:$C$8"}</definedName>
    <definedName name="OIL" localSheetId="16">{"'용역비'!$A$4:$C$8"}</definedName>
    <definedName name="OIL" localSheetId="18">{"'용역비'!$A$4:$C$8"}</definedName>
    <definedName name="OIL" localSheetId="19">{"'용역비'!$A$4:$C$8"}</definedName>
    <definedName name="OIL" localSheetId="20">{"'용역비'!$A$4:$C$8"}</definedName>
    <definedName name="OIL" localSheetId="21">{"'용역비'!$A$4:$C$8"}</definedName>
    <definedName name="OIL" localSheetId="24">{"'용역비'!$A$4:$C$8"}</definedName>
    <definedName name="OIL" localSheetId="25">{"'용역비'!$A$4:$C$8"}</definedName>
    <definedName name="OIL" localSheetId="26">{"'용역비'!$A$4:$C$8"}</definedName>
    <definedName name="OIL" localSheetId="27">{"'용역비'!$A$4:$C$8"}</definedName>
    <definedName name="OIL">{"'용역비'!$A$4:$C$8"}</definedName>
    <definedName name="OIOK" localSheetId="2">'1-1. 설계설명서(1차)'!EED</definedName>
    <definedName name="OIOK" localSheetId="3">'1-1. 설계설명서(2차)'!EED</definedName>
    <definedName name="OIOK" localSheetId="4">'1-1. 설계설명서(3차)'!EED</definedName>
    <definedName name="OIOK" localSheetId="5">'1-1. 설계설명서(4차)'!EED</definedName>
    <definedName name="OIOK" localSheetId="8">'3-1. 예정공정표(1차)'!EED</definedName>
    <definedName name="OIOK" localSheetId="9">'3-2. 예정공정표(2차)'!EED</definedName>
    <definedName name="OIOK" localSheetId="10">'3-3. 예정공정표(3차)'!EED</definedName>
    <definedName name="OIOK" localSheetId="11">'3-4. 예정공정표(4차)'!EED</definedName>
    <definedName name="OIOK" localSheetId="13">'4-1. 예산내역서(1차)'!EED</definedName>
    <definedName name="OIOK" localSheetId="14">'4-2. 예산내역서(2차)'!EED</definedName>
    <definedName name="OIOK" localSheetId="15">'4-3. 예산내역서(3차)'!EED</definedName>
    <definedName name="OIOK" localSheetId="16">'4-4. 예산내역서(4차)'!EED</definedName>
    <definedName name="OIOK" localSheetId="18">'5-1. 공종별예산조서(1차)'!EED</definedName>
    <definedName name="OIOK" localSheetId="19">'5-2. 공종별예산조서(2차)'!EED</definedName>
    <definedName name="OIOK" localSheetId="20">'5-3. 공종별예산조서(3차)'!EED</definedName>
    <definedName name="OIOK" localSheetId="21">'5-3. 공종별예산조서(4차)'!EED</definedName>
    <definedName name="OIOK" localSheetId="24">'8-1. 철거발생품 예정조서(1차)'!EED</definedName>
    <definedName name="OIOK" localSheetId="25">'8-2. 철거발생품 예정조서(2차)'!EED</definedName>
    <definedName name="OIOK" localSheetId="26">'8-3. 철거발생품 예정조서(3차)'!EED</definedName>
    <definedName name="OIOK" localSheetId="27">'8-4. 철거발생품 예정조서(4차)'!EED</definedName>
    <definedName name="OIU" localSheetId="2">'1-1. 설계설명서(1차)'!OIU</definedName>
    <definedName name="OIU" localSheetId="3">'1-1. 설계설명서(2차)'!OIU</definedName>
    <definedName name="OIU" localSheetId="4">'1-1. 설계설명서(3차)'!OIU</definedName>
    <definedName name="OIU" localSheetId="5">'1-1. 설계설명서(4차)'!OIU</definedName>
    <definedName name="OIU" localSheetId="8">'3-1. 예정공정표(1차)'!OIU</definedName>
    <definedName name="OIU" localSheetId="9">'3-2. 예정공정표(2차)'!OIU</definedName>
    <definedName name="OIU" localSheetId="10">'3-3. 예정공정표(3차)'!OIU</definedName>
    <definedName name="OIU" localSheetId="11">'3-4. 예정공정표(4차)'!OIU</definedName>
    <definedName name="OIU" localSheetId="13">'4-1. 예산내역서(1차)'!OIU</definedName>
    <definedName name="OIU" localSheetId="14">'4-2. 예산내역서(2차)'!OIU</definedName>
    <definedName name="OIU" localSheetId="15">'4-3. 예산내역서(3차)'!OIU</definedName>
    <definedName name="OIU" localSheetId="16">'4-4. 예산내역서(4차)'!OIU</definedName>
    <definedName name="OIU" localSheetId="18">'5-1. 공종별예산조서(1차)'!OIU</definedName>
    <definedName name="OIU" localSheetId="19">'5-2. 공종별예산조서(2차)'!OIU</definedName>
    <definedName name="OIU" localSheetId="20">'5-3. 공종별예산조서(3차)'!OIU</definedName>
    <definedName name="OIU" localSheetId="21">'5-3. 공종별예산조서(4차)'!OIU</definedName>
    <definedName name="OIU" localSheetId="24">'8-1. 철거발생품 예정조서(1차)'!OIU</definedName>
    <definedName name="OIU" localSheetId="25">'8-2. 철거발생품 예정조서(2차)'!OIU</definedName>
    <definedName name="OIU" localSheetId="26">'8-3. 철거발생품 예정조서(3차)'!OIU</definedName>
    <definedName name="OIU" localSheetId="27">'8-4. 철거발생품 예정조서(4차)'!OIU</definedName>
    <definedName name="oo" localSheetId="28">#REF!</definedName>
    <definedName name="oo">#REF!</definedName>
    <definedName name="oooooo">{"'자리배치도'!$AG$1:$CI$28"}</definedName>
    <definedName name="p" localSheetId="28">#REF!</definedName>
    <definedName name="p">#REF!</definedName>
    <definedName name="P_NAE" localSheetId="28">#REF!</definedName>
    <definedName name="P_NAE">#REF!</definedName>
    <definedName name="P_NAE2" localSheetId="28">#REF!</definedName>
    <definedName name="P_NAE2">#REF!</definedName>
    <definedName name="PK" localSheetId="28">#REF!</definedName>
    <definedName name="PK">#REF!</definedName>
    <definedName name="PNLW10" localSheetId="28">#REF!</definedName>
    <definedName name="PNLW10">#REF!</definedName>
    <definedName name="PNLW8" localSheetId="28">#REF!</definedName>
    <definedName name="PNLW8">#REF!</definedName>
    <definedName name="poi" localSheetId="2">'1-1. 설계설명서(1차)'!HBHG</definedName>
    <definedName name="poi" localSheetId="3">'1-1. 설계설명서(2차)'!HBHG</definedName>
    <definedName name="poi" localSheetId="4">'1-1. 설계설명서(3차)'!HBHG</definedName>
    <definedName name="poi" localSheetId="5">'1-1. 설계설명서(4차)'!HBHG</definedName>
    <definedName name="poi" localSheetId="8">'3-1. 예정공정표(1차)'!HBHG</definedName>
    <definedName name="poi" localSheetId="9">'3-2. 예정공정표(2차)'!HBHG</definedName>
    <definedName name="poi" localSheetId="10">'3-3. 예정공정표(3차)'!HBHG</definedName>
    <definedName name="poi" localSheetId="11">'3-4. 예정공정표(4차)'!HBHG</definedName>
    <definedName name="poi" localSheetId="13">'4-1. 예산내역서(1차)'!HBHG</definedName>
    <definedName name="poi" localSheetId="14">'4-2. 예산내역서(2차)'!HBHG</definedName>
    <definedName name="poi" localSheetId="15">'4-3. 예산내역서(3차)'!HBHG</definedName>
    <definedName name="poi" localSheetId="16">'4-4. 예산내역서(4차)'!HBHG</definedName>
    <definedName name="poi" localSheetId="18">'5-1. 공종별예산조서(1차)'!HBHG</definedName>
    <definedName name="poi" localSheetId="19">'5-2. 공종별예산조서(2차)'!HBHG</definedName>
    <definedName name="poi" localSheetId="20">'5-3. 공종별예산조서(3차)'!HBHG</definedName>
    <definedName name="poi" localSheetId="21">'5-3. 공종별예산조서(4차)'!HBHG</definedName>
    <definedName name="poi" localSheetId="24">'8-1. 철거발생품 예정조서(1차)'!HBHG</definedName>
    <definedName name="poi" localSheetId="25">'8-2. 철거발생품 예정조서(2차)'!HBHG</definedName>
    <definedName name="poi" localSheetId="26">'8-3. 철거발생품 예정조서(3차)'!HBHG</definedName>
    <definedName name="poi" localSheetId="27">'8-4. 철거발생품 예정조서(4차)'!HBHG</definedName>
    <definedName name="POL" localSheetId="2">'1-1. 설계설명서(1차)'!HGG</definedName>
    <definedName name="POL" localSheetId="3">'1-1. 설계설명서(2차)'!HGG</definedName>
    <definedName name="POL" localSheetId="4">'1-1. 설계설명서(3차)'!HGG</definedName>
    <definedName name="POL" localSheetId="5">'1-1. 설계설명서(4차)'!HGG</definedName>
    <definedName name="POL" localSheetId="8">'3-1. 예정공정표(1차)'!HGG</definedName>
    <definedName name="POL" localSheetId="9">'3-2. 예정공정표(2차)'!HGG</definedName>
    <definedName name="POL" localSheetId="10">'3-3. 예정공정표(3차)'!HGG</definedName>
    <definedName name="POL" localSheetId="11">'3-4. 예정공정표(4차)'!HGG</definedName>
    <definedName name="POL" localSheetId="13">'4-1. 예산내역서(1차)'!HGG</definedName>
    <definedName name="POL" localSheetId="14">'4-2. 예산내역서(2차)'!HGG</definedName>
    <definedName name="POL" localSheetId="15">'4-3. 예산내역서(3차)'!HGG</definedName>
    <definedName name="POL" localSheetId="16">'4-4. 예산내역서(4차)'!HGG</definedName>
    <definedName name="POL" localSheetId="18">'5-1. 공종별예산조서(1차)'!HGG</definedName>
    <definedName name="POL" localSheetId="19">'5-2. 공종별예산조서(2차)'!HGG</definedName>
    <definedName name="POL" localSheetId="20">'5-3. 공종별예산조서(3차)'!HGG</definedName>
    <definedName name="POL" localSheetId="21">'5-3. 공종별예산조서(4차)'!HGG</definedName>
    <definedName name="POL" localSheetId="24">'8-1. 철거발생품 예정조서(1차)'!HGG</definedName>
    <definedName name="POL" localSheetId="25">'8-2. 철거발생품 예정조서(2차)'!HGG</definedName>
    <definedName name="POL" localSheetId="26">'8-3. 철거발생품 예정조서(3차)'!HGG</definedName>
    <definedName name="POL" localSheetId="27">'8-4. 철거발생품 예정조서(4차)'!HGG</definedName>
    <definedName name="PP" localSheetId="28">#REF!</definedName>
    <definedName name="PP">#REF!</definedName>
    <definedName name="ppppp">{"'자리배치도'!$AG$1:$CI$28"}</definedName>
    <definedName name="_xlnm.Print_Area" localSheetId="0">'0. 설계서'!$A$1:$R$42</definedName>
    <definedName name="_xlnm.Print_Area" localSheetId="1">'1. 설계설명서(총제)'!$A$1:$J$26</definedName>
    <definedName name="_xlnm.Print_Area" localSheetId="2">'1-1. 설계설명서(1차)'!$A$1:$J$27</definedName>
    <definedName name="_xlnm.Print_Area" localSheetId="3">'1-1. 설계설명서(2차)'!$A$1:$J$27</definedName>
    <definedName name="_xlnm.Print_Area" localSheetId="4">'1-1. 설계설명서(3차)'!$A$1:$J$27</definedName>
    <definedName name="_xlnm.Print_Area" localSheetId="5">'1-1. 설계설명서(4차)'!$A$1:$J$27</definedName>
    <definedName name="_xlnm.Print_Area" localSheetId="6">'2. 시방서 '!$A$1:$M$3</definedName>
    <definedName name="_xlnm.Print_Area" localSheetId="7">'3. 예정공정표'!$A$1:$N$33</definedName>
    <definedName name="_xlnm.Print_Area" localSheetId="8">'3-1. 예정공정표(1차)'!$A$1:$L$35</definedName>
    <definedName name="_xlnm.Print_Area" localSheetId="9">'3-2. 예정공정표(2차)'!$A$1:$L$35</definedName>
    <definedName name="_xlnm.Print_Area" localSheetId="10">'3-3. 예정공정표(3차)'!$A$1:$L$35</definedName>
    <definedName name="_xlnm.Print_Area" localSheetId="11">'3-4. 예정공정표(4차)'!$A$1:$L$35</definedName>
    <definedName name="_xlnm.Print_Area" localSheetId="12">'4. 예산내역서'!$A$1:$F$17</definedName>
    <definedName name="_xlnm.Print_Area" localSheetId="13">'4-1. 예산내역서(1차)'!$A$1:$F$17</definedName>
    <definedName name="_xlnm.Print_Area" localSheetId="14">'4-2. 예산내역서(2차)'!$A$1:$F$17</definedName>
    <definedName name="_xlnm.Print_Area" localSheetId="15">'4-3. 예산내역서(3차)'!$A$1:$F$17</definedName>
    <definedName name="_xlnm.Print_Area" localSheetId="16">'4-4. 예산내역서(4차)'!$A$1:$F$17</definedName>
    <definedName name="_xlnm.Print_Area" localSheetId="17">'5. 공종별예산조서'!$A$1:$G$254</definedName>
    <definedName name="_xlnm.Print_Area" localSheetId="18">'5-1. 공종별예산조서(1차)'!$A$1:$G$227</definedName>
    <definedName name="_xlnm.Print_Area" localSheetId="19">'5-2. 공종별예산조서(2차)'!$A$1:$G$352</definedName>
    <definedName name="_xlnm.Print_Area" localSheetId="20">'5-3. 공종별예산조서(3차)'!$A$1:$G$327</definedName>
    <definedName name="_xlnm.Print_Area" localSheetId="21">'5-3. 공종별예산조서(4차)'!$A$1:$G$327</definedName>
    <definedName name="_xlnm.Print_Area" localSheetId="22">'7. 내역서(지급자재)'!$A$1:$I$27</definedName>
    <definedName name="_xlnm.Print_Area" localSheetId="23">'7. 철거발생품 예정조서'!$A$1:$K$24</definedName>
    <definedName name="_xlnm.Print_Area" localSheetId="28">'8. 일위대가표'!$B$1:$I$3050</definedName>
    <definedName name="_xlnm.Print_Area" localSheetId="24">'8-1. 철거발생품 예정조서(1차)'!$A$1:$K$24</definedName>
    <definedName name="_xlnm.Print_Area" localSheetId="25">'8-2. 철거발생품 예정조서(2차)'!$A$1:$K$24</definedName>
    <definedName name="_xlnm.Print_Area" localSheetId="26">'8-3. 철거발생품 예정조서(3차)'!$A$1:$K$24</definedName>
    <definedName name="_xlnm.Print_Area" localSheetId="27">'8-4. 철거발생품 예정조서(4차)'!$A$1:$K$24</definedName>
    <definedName name="_xlnm.Print_Area">#REF!</definedName>
    <definedName name="_xlnm.Print_Titles" localSheetId="17">'5. 공종별예산조서'!$1:$2</definedName>
    <definedName name="_xlnm.Print_Titles" localSheetId="18">'5-1. 공종별예산조서(1차)'!$1:$2</definedName>
    <definedName name="_xlnm.Print_Titles" localSheetId="19">'5-2. 공종별예산조서(2차)'!$1:$2</definedName>
    <definedName name="_xlnm.Print_Titles" localSheetId="20">'5-3. 공종별예산조서(3차)'!$1:$2</definedName>
    <definedName name="_xlnm.Print_Titles" localSheetId="21">'5-3. 공종별예산조서(4차)'!$1:$2</definedName>
    <definedName name="_xlnm.Print_Titles" localSheetId="28">'8. 일위대가표'!$1:$2</definedName>
    <definedName name="_xlnm.Print_Titles">#REF!</definedName>
    <definedName name="PRINT_TITLES_MI" localSheetId="28">#REF!</definedName>
    <definedName name="PRINT_TITLES_MI">#REF!</definedName>
    <definedName name="PRO" localSheetId="28">#REF!</definedName>
    <definedName name="PRO">#REF!</definedName>
    <definedName name="Q" localSheetId="28">#REF!</definedName>
    <definedName name="Q">#REF!</definedName>
    <definedName name="Q0245되메우기불량" localSheetId="28">#REF!</definedName>
    <definedName name="Q0245되메우기불량">#REF!</definedName>
    <definedName name="Q0245사석불량" localSheetId="28">#REF!</definedName>
    <definedName name="Q0245사석불량">#REF!</definedName>
    <definedName name="Q0245사석야간" localSheetId="28">#REF!</definedName>
    <definedName name="Q0245사석야간">#REF!</definedName>
    <definedName name="Q0245토사불량" localSheetId="28">#REF!</definedName>
    <definedName name="Q0245토사불량">#REF!</definedName>
    <definedName name="Q0245토사야간" localSheetId="28">#REF!</definedName>
    <definedName name="Q0245토사야간">#REF!</definedName>
    <definedName name="Q04135되메우기불량" localSheetId="28">#REF!</definedName>
    <definedName name="Q04135되메우기불량">#REF!</definedName>
    <definedName name="Q04135사석불량" localSheetId="28">#REF!</definedName>
    <definedName name="Q04135사석불량">#REF!</definedName>
    <definedName name="Q04135사석야간" localSheetId="28">#REF!</definedName>
    <definedName name="Q04135사석야간">#REF!</definedName>
    <definedName name="Q04135토사불량" localSheetId="28">#REF!</definedName>
    <definedName name="Q04135토사불량">#REF!</definedName>
    <definedName name="Q04135토사야간" localSheetId="28">#REF!</definedName>
    <definedName name="Q04135토사야간">#REF!</definedName>
    <definedName name="Q0490되메우기" localSheetId="28">#REF!</definedName>
    <definedName name="Q0490되메우기">#REF!</definedName>
    <definedName name="Q0490되메우기불량" localSheetId="28">#REF!</definedName>
    <definedName name="Q0490되메우기불량">#REF!</definedName>
    <definedName name="Q0490토사불량" localSheetId="28">#REF!</definedName>
    <definedName name="Q0490토사불량">#REF!</definedName>
    <definedName name="Q0790되메우기불량" localSheetId="28">#REF!</definedName>
    <definedName name="Q0790되메우기불량">#REF!</definedName>
    <definedName name="q234562456" localSheetId="2">{"'용역비'!$A$4:$C$8"}</definedName>
    <definedName name="q234562456" localSheetId="3">{"'용역비'!$A$4:$C$8"}</definedName>
    <definedName name="q234562456" localSheetId="4">{"'용역비'!$A$4:$C$8"}</definedName>
    <definedName name="q234562456" localSheetId="5">{"'용역비'!$A$4:$C$8"}</definedName>
    <definedName name="q234562456" localSheetId="8">{"'용역비'!$A$4:$C$8"}</definedName>
    <definedName name="q234562456" localSheetId="9">{"'용역비'!$A$4:$C$8"}</definedName>
    <definedName name="q234562456" localSheetId="10">{"'용역비'!$A$4:$C$8"}</definedName>
    <definedName name="q234562456" localSheetId="11">{"'용역비'!$A$4:$C$8"}</definedName>
    <definedName name="q234562456" localSheetId="13">{"'용역비'!$A$4:$C$8"}</definedName>
    <definedName name="q234562456" localSheetId="14">{"'용역비'!$A$4:$C$8"}</definedName>
    <definedName name="q234562456" localSheetId="15">{"'용역비'!$A$4:$C$8"}</definedName>
    <definedName name="q234562456" localSheetId="16">{"'용역비'!$A$4:$C$8"}</definedName>
    <definedName name="q234562456" localSheetId="18">{"'용역비'!$A$4:$C$8"}</definedName>
    <definedName name="q234562456" localSheetId="19">{"'용역비'!$A$4:$C$8"}</definedName>
    <definedName name="q234562456" localSheetId="20">{"'용역비'!$A$4:$C$8"}</definedName>
    <definedName name="q234562456" localSheetId="21">{"'용역비'!$A$4:$C$8"}</definedName>
    <definedName name="q234562456" localSheetId="24">{"'용역비'!$A$4:$C$8"}</definedName>
    <definedName name="q234562456" localSheetId="25">{"'용역비'!$A$4:$C$8"}</definedName>
    <definedName name="q234562456" localSheetId="26">{"'용역비'!$A$4:$C$8"}</definedName>
    <definedName name="q234562456" localSheetId="27">{"'용역비'!$A$4:$C$8"}</definedName>
    <definedName name="q234562456">{"'용역비'!$A$4:$C$8"}</definedName>
    <definedName name="Q423F" localSheetId="28">#REF!</definedName>
    <definedName name="Q423F">#REF!</definedName>
    <definedName name="qer" localSheetId="28">#REF!</definedName>
    <definedName name="qer">#REF!</definedName>
    <definedName name="qk" localSheetId="2">'1-1. 설계설명서(1차)'!qk</definedName>
    <definedName name="qk" localSheetId="3">'1-1. 설계설명서(2차)'!qk</definedName>
    <definedName name="qk" localSheetId="4">'1-1. 설계설명서(3차)'!qk</definedName>
    <definedName name="qk" localSheetId="5">'1-1. 설계설명서(4차)'!qk</definedName>
    <definedName name="qk" localSheetId="8">'3-1. 예정공정표(1차)'!qk</definedName>
    <definedName name="qk" localSheetId="9">'3-2. 예정공정표(2차)'!qk</definedName>
    <definedName name="qk" localSheetId="10">'3-3. 예정공정표(3차)'!qk</definedName>
    <definedName name="qk" localSheetId="11">'3-4. 예정공정표(4차)'!qk</definedName>
    <definedName name="qk" localSheetId="13">'4-1. 예산내역서(1차)'!qk</definedName>
    <definedName name="qk" localSheetId="14">'4-2. 예산내역서(2차)'!qk</definedName>
    <definedName name="qk" localSheetId="15">'4-3. 예산내역서(3차)'!qk</definedName>
    <definedName name="qk" localSheetId="16">'4-4. 예산내역서(4차)'!qk</definedName>
    <definedName name="qk" localSheetId="18">'5-1. 공종별예산조서(1차)'!qk</definedName>
    <definedName name="qk" localSheetId="19">'5-2. 공종별예산조서(2차)'!qk</definedName>
    <definedName name="qk" localSheetId="20">'5-3. 공종별예산조서(3차)'!qk</definedName>
    <definedName name="qk" localSheetId="21">'5-3. 공종별예산조서(4차)'!qk</definedName>
    <definedName name="qk" localSheetId="28">#N/A</definedName>
    <definedName name="qk" localSheetId="24">'8-1. 철거발생품 예정조서(1차)'!qk</definedName>
    <definedName name="qk" localSheetId="25">'8-2. 철거발생품 예정조서(2차)'!qk</definedName>
    <definedName name="qk" localSheetId="26">'8-3. 철거발생품 예정조서(3차)'!qk</definedName>
    <definedName name="qk" localSheetId="27">'8-4. 철거발생품 예정조서(4차)'!qk</definedName>
    <definedName name="qk">#N/A</definedName>
    <definedName name="qkqh1" localSheetId="28" hidden="1">{#N/A,#N/A,FALSE,"명세표"}</definedName>
    <definedName name="qkqh1" hidden="1">{#N/A,#N/A,FALSE,"명세표"}</definedName>
    <definedName name="qkqn">#REF!</definedName>
    <definedName name="QQ" localSheetId="28">#REF!</definedName>
    <definedName name="QQ">#REF!</definedName>
    <definedName name="QQA" localSheetId="2">'1-1. 설계설명서(1차)'!QQA</definedName>
    <definedName name="QQA" localSheetId="3">'1-1. 설계설명서(2차)'!QQA</definedName>
    <definedName name="QQA" localSheetId="4">'1-1. 설계설명서(3차)'!QQA</definedName>
    <definedName name="QQA" localSheetId="5">'1-1. 설계설명서(4차)'!QQA</definedName>
    <definedName name="QQA" localSheetId="8">'3-1. 예정공정표(1차)'!QQA</definedName>
    <definedName name="QQA" localSheetId="9">'3-2. 예정공정표(2차)'!QQA</definedName>
    <definedName name="QQA" localSheetId="10">'3-3. 예정공정표(3차)'!QQA</definedName>
    <definedName name="QQA" localSheetId="11">'3-4. 예정공정표(4차)'!QQA</definedName>
    <definedName name="QQA" localSheetId="13">'4-1. 예산내역서(1차)'!QQA</definedName>
    <definedName name="QQA" localSheetId="14">'4-2. 예산내역서(2차)'!QQA</definedName>
    <definedName name="QQA" localSheetId="15">'4-3. 예산내역서(3차)'!QQA</definedName>
    <definedName name="QQA" localSheetId="16">'4-4. 예산내역서(4차)'!QQA</definedName>
    <definedName name="QQA" localSheetId="18">'5-1. 공종별예산조서(1차)'!QQA</definedName>
    <definedName name="QQA" localSheetId="19">'5-2. 공종별예산조서(2차)'!QQA</definedName>
    <definedName name="QQA" localSheetId="20">'5-3. 공종별예산조서(3차)'!QQA</definedName>
    <definedName name="QQA" localSheetId="21">'5-3. 공종별예산조서(4차)'!QQA</definedName>
    <definedName name="QQA" localSheetId="24">'8-1. 철거발생품 예정조서(1차)'!QQA</definedName>
    <definedName name="QQA" localSheetId="25">'8-2. 철거발생품 예정조서(2차)'!QQA</definedName>
    <definedName name="QQA" localSheetId="26">'8-3. 철거발생품 예정조서(3차)'!QQA</definedName>
    <definedName name="QQA" localSheetId="27">'8-4. 철거발생품 예정조서(4차)'!QQA</definedName>
    <definedName name="QQQ" localSheetId="2">'1-1. 설계설명서(1차)'!CVDSD</definedName>
    <definedName name="QQQ" localSheetId="3">'1-1. 설계설명서(2차)'!CVDSD</definedName>
    <definedName name="QQQ" localSheetId="4">'1-1. 설계설명서(3차)'!CVDSD</definedName>
    <definedName name="QQQ" localSheetId="5">'1-1. 설계설명서(4차)'!CVDSD</definedName>
    <definedName name="QQQ" localSheetId="8">'3-1. 예정공정표(1차)'!CVDSD</definedName>
    <definedName name="QQQ" localSheetId="9">'3-2. 예정공정표(2차)'!CVDSD</definedName>
    <definedName name="QQQ" localSheetId="10">'3-3. 예정공정표(3차)'!CVDSD</definedName>
    <definedName name="QQQ" localSheetId="11">'3-4. 예정공정표(4차)'!CVDSD</definedName>
    <definedName name="QQQ" localSheetId="13">'4-1. 예산내역서(1차)'!CVDSD</definedName>
    <definedName name="QQQ" localSheetId="14">'4-2. 예산내역서(2차)'!CVDSD</definedName>
    <definedName name="QQQ" localSheetId="15">'4-3. 예산내역서(3차)'!CVDSD</definedName>
    <definedName name="QQQ" localSheetId="16">'4-4. 예산내역서(4차)'!CVDSD</definedName>
    <definedName name="QQQ" localSheetId="18">'5-1. 공종별예산조서(1차)'!CVDSD</definedName>
    <definedName name="QQQ" localSheetId="19">'5-2. 공종별예산조서(2차)'!CVDSD</definedName>
    <definedName name="QQQ" localSheetId="20">'5-3. 공종별예산조서(3차)'!CVDSD</definedName>
    <definedName name="QQQ" localSheetId="21">'5-3. 공종별예산조서(4차)'!CVDSD</definedName>
    <definedName name="qqq" localSheetId="28">#REF!</definedName>
    <definedName name="QQQ" localSheetId="24">'8-1. 철거발생품 예정조서(1차)'!CVDSD</definedName>
    <definedName name="QQQ" localSheetId="25">'8-2. 철거발생품 예정조서(2차)'!CVDSD</definedName>
    <definedName name="QQQ" localSheetId="26">'8-3. 철거발생품 예정조서(3차)'!CVDSD</definedName>
    <definedName name="QQQ" localSheetId="27">'8-4. 철거발생품 예정조서(4차)'!CVDSD</definedName>
    <definedName name="qqq">#REF!</definedName>
    <definedName name="qqqq" localSheetId="28">#REF!</definedName>
    <definedName name="qqqq">#REF!</definedName>
    <definedName name="qqqqxs" localSheetId="28">#REF!</definedName>
    <definedName name="qqqqxs">#REF!</definedName>
    <definedName name="QREWQ" localSheetId="0">[0]!FFF</definedName>
    <definedName name="QREWQ" localSheetId="2">[0]!FFF</definedName>
    <definedName name="QREWQ" localSheetId="3">[0]!FFF</definedName>
    <definedName name="QREWQ" localSheetId="4">[0]!FFF</definedName>
    <definedName name="QREWQ" localSheetId="5">[0]!FFF</definedName>
    <definedName name="QREWQ" localSheetId="8">[0]!FFF</definedName>
    <definedName name="QREWQ" localSheetId="9">[0]!FFF</definedName>
    <definedName name="QREWQ" localSheetId="10">[0]!FFF</definedName>
    <definedName name="QREWQ" localSheetId="11">[0]!FFF</definedName>
    <definedName name="QREWQ" localSheetId="13">[0]!FFF</definedName>
    <definedName name="QREWQ" localSheetId="14">[0]!FFF</definedName>
    <definedName name="QREWQ" localSheetId="15">[0]!FFF</definedName>
    <definedName name="QREWQ" localSheetId="16">[0]!FFF</definedName>
    <definedName name="QREWQ" localSheetId="18">[0]!FFF</definedName>
    <definedName name="QREWQ" localSheetId="19">[0]!FFF</definedName>
    <definedName name="QREWQ" localSheetId="20">[0]!FFF</definedName>
    <definedName name="QREWQ" localSheetId="21">[0]!FFF</definedName>
    <definedName name="QREWQ" localSheetId="24">[0]!FFF</definedName>
    <definedName name="QREWQ" localSheetId="25">[0]!FFF</definedName>
    <definedName name="QREWQ" localSheetId="26">[0]!FFF</definedName>
    <definedName name="QREWQ" localSheetId="27">[0]!FFF</definedName>
    <definedName name="QSR" localSheetId="2">'1-1. 설계설명서(1차)'!CDD</definedName>
    <definedName name="QSR" localSheetId="3">'1-1. 설계설명서(2차)'!CDD</definedName>
    <definedName name="QSR" localSheetId="4">'1-1. 설계설명서(3차)'!CDD</definedName>
    <definedName name="QSR" localSheetId="5">'1-1. 설계설명서(4차)'!CDD</definedName>
    <definedName name="QSR" localSheetId="8">'3-1. 예정공정표(1차)'!CDD</definedName>
    <definedName name="QSR" localSheetId="9">'3-2. 예정공정표(2차)'!CDD</definedName>
    <definedName name="QSR" localSheetId="10">'3-3. 예정공정표(3차)'!CDD</definedName>
    <definedName name="QSR" localSheetId="11">'3-4. 예정공정표(4차)'!CDD</definedName>
    <definedName name="QSR" localSheetId="13">'4-1. 예산내역서(1차)'!CDD</definedName>
    <definedName name="QSR" localSheetId="14">'4-2. 예산내역서(2차)'!CDD</definedName>
    <definedName name="QSR" localSheetId="15">'4-3. 예산내역서(3차)'!CDD</definedName>
    <definedName name="QSR" localSheetId="16">'4-4. 예산내역서(4차)'!CDD</definedName>
    <definedName name="QSR" localSheetId="18">'5-1. 공종별예산조서(1차)'!CDD</definedName>
    <definedName name="QSR" localSheetId="19">'5-2. 공종별예산조서(2차)'!CDD</definedName>
    <definedName name="QSR" localSheetId="20">'5-3. 공종별예산조서(3차)'!CDD</definedName>
    <definedName name="QSR" localSheetId="21">'5-3. 공종별예산조서(4차)'!CDD</definedName>
    <definedName name="QSR" localSheetId="24">'8-1. 철거발생품 예정조서(1차)'!CDD</definedName>
    <definedName name="QSR" localSheetId="25">'8-2. 철거발생품 예정조서(2차)'!CDD</definedName>
    <definedName name="QSR" localSheetId="26">'8-3. 철거발생품 예정조서(3차)'!CDD</definedName>
    <definedName name="QSR" localSheetId="27">'8-4. 철거발생품 예정조서(4차)'!CDD</definedName>
    <definedName name="qtq" localSheetId="28">#REF!</definedName>
    <definedName name="qtq">#REF!</definedName>
    <definedName name="qtreqt" localSheetId="28">#REF!</definedName>
    <definedName name="qtreqt">#REF!</definedName>
    <definedName name="qyk" localSheetId="2">{"'용역비'!$A$4:$C$8"}</definedName>
    <definedName name="qyk" localSheetId="3">{"'용역비'!$A$4:$C$8"}</definedName>
    <definedName name="qyk" localSheetId="4">{"'용역비'!$A$4:$C$8"}</definedName>
    <definedName name="qyk" localSheetId="5">{"'용역비'!$A$4:$C$8"}</definedName>
    <definedName name="qyk" localSheetId="8">{"'용역비'!$A$4:$C$8"}</definedName>
    <definedName name="qyk" localSheetId="9">{"'용역비'!$A$4:$C$8"}</definedName>
    <definedName name="qyk" localSheetId="10">{"'용역비'!$A$4:$C$8"}</definedName>
    <definedName name="qyk" localSheetId="11">{"'용역비'!$A$4:$C$8"}</definedName>
    <definedName name="qyk" localSheetId="13">{"'용역비'!$A$4:$C$8"}</definedName>
    <definedName name="qyk" localSheetId="14">{"'용역비'!$A$4:$C$8"}</definedName>
    <definedName name="qyk" localSheetId="15">{"'용역비'!$A$4:$C$8"}</definedName>
    <definedName name="qyk" localSheetId="16">{"'용역비'!$A$4:$C$8"}</definedName>
    <definedName name="qyk" localSheetId="18">{"'용역비'!$A$4:$C$8"}</definedName>
    <definedName name="qyk" localSheetId="19">{"'용역비'!$A$4:$C$8"}</definedName>
    <definedName name="qyk" localSheetId="20">{"'용역비'!$A$4:$C$8"}</definedName>
    <definedName name="qyk" localSheetId="21">{"'용역비'!$A$4:$C$8"}</definedName>
    <definedName name="qyk" localSheetId="24">{"'용역비'!$A$4:$C$8"}</definedName>
    <definedName name="qyk" localSheetId="25">{"'용역비'!$A$4:$C$8"}</definedName>
    <definedName name="qyk" localSheetId="26">{"'용역비'!$A$4:$C$8"}</definedName>
    <definedName name="qyk" localSheetId="27">{"'용역비'!$A$4:$C$8"}</definedName>
    <definedName name="qyk">{"'용역비'!$A$4:$C$8"}</definedName>
    <definedName name="range1" localSheetId="28">#REF!</definedName>
    <definedName name="range1">#REF!</definedName>
    <definedName name="range2" localSheetId="28">#REF!</definedName>
    <definedName name="range2">#REF!</definedName>
    <definedName name="range3" localSheetId="28">#REF!</definedName>
    <definedName name="range3">#REF!</definedName>
    <definedName name="_xlnm.Recorder" localSheetId="28">#REF!</definedName>
    <definedName name="_xlnm.Recorder">#REF!</definedName>
    <definedName name="report" localSheetId="28">#REF!</definedName>
    <definedName name="report">#REF!</definedName>
    <definedName name="REUIHGURI" localSheetId="2">'1-1. 설계설명서(1차)'!REUIHGURI</definedName>
    <definedName name="REUIHGURI" localSheetId="3">'1-1. 설계설명서(2차)'!REUIHGURI</definedName>
    <definedName name="REUIHGURI" localSheetId="4">'1-1. 설계설명서(3차)'!REUIHGURI</definedName>
    <definedName name="REUIHGURI" localSheetId="5">'1-1. 설계설명서(4차)'!REUIHGURI</definedName>
    <definedName name="REUIHGURI" localSheetId="8">'3-1. 예정공정표(1차)'!REUIHGURI</definedName>
    <definedName name="REUIHGURI" localSheetId="9">'3-2. 예정공정표(2차)'!REUIHGURI</definedName>
    <definedName name="REUIHGURI" localSheetId="10">'3-3. 예정공정표(3차)'!REUIHGURI</definedName>
    <definedName name="REUIHGURI" localSheetId="11">'3-4. 예정공정표(4차)'!REUIHGURI</definedName>
    <definedName name="REUIHGURI" localSheetId="13">'4-1. 예산내역서(1차)'!REUIHGURI</definedName>
    <definedName name="REUIHGURI" localSheetId="14">'4-2. 예산내역서(2차)'!REUIHGURI</definedName>
    <definedName name="REUIHGURI" localSheetId="15">'4-3. 예산내역서(3차)'!REUIHGURI</definedName>
    <definedName name="REUIHGURI" localSheetId="16">'4-4. 예산내역서(4차)'!REUIHGURI</definedName>
    <definedName name="REUIHGURI" localSheetId="18">'5-1. 공종별예산조서(1차)'!REUIHGURI</definedName>
    <definedName name="REUIHGURI" localSheetId="19">'5-2. 공종별예산조서(2차)'!REUIHGURI</definedName>
    <definedName name="REUIHGURI" localSheetId="20">'5-3. 공종별예산조서(3차)'!REUIHGURI</definedName>
    <definedName name="REUIHGURI" localSheetId="21">'5-3. 공종별예산조서(4차)'!REUIHGURI</definedName>
    <definedName name="REUIHGURI" localSheetId="24">'8-1. 철거발생품 예정조서(1차)'!REUIHGURI</definedName>
    <definedName name="REUIHGURI" localSheetId="25">'8-2. 철거발생품 예정조서(2차)'!REUIHGURI</definedName>
    <definedName name="REUIHGURI" localSheetId="26">'8-3. 철거발생품 예정조서(3차)'!REUIHGURI</definedName>
    <definedName name="REUIHGURI" localSheetId="27">'8-4. 철거발생품 예정조서(4차)'!REUIHGURI</definedName>
    <definedName name="rff" localSheetId="28">#REF!</definedName>
    <definedName name="rff">#REF!</definedName>
    <definedName name="RGVBF" localSheetId="2">'1-1. 설계설명서(1차)'!RGVBF</definedName>
    <definedName name="RGVBF" localSheetId="3">'1-1. 설계설명서(2차)'!RGVBF</definedName>
    <definedName name="RGVBF" localSheetId="4">'1-1. 설계설명서(3차)'!RGVBF</definedName>
    <definedName name="RGVBF" localSheetId="5">'1-1. 설계설명서(4차)'!RGVBF</definedName>
    <definedName name="RGVBF" localSheetId="8">'3-1. 예정공정표(1차)'!RGVBF</definedName>
    <definedName name="RGVBF" localSheetId="9">'3-2. 예정공정표(2차)'!RGVBF</definedName>
    <definedName name="RGVBF" localSheetId="10">'3-3. 예정공정표(3차)'!RGVBF</definedName>
    <definedName name="RGVBF" localSheetId="11">'3-4. 예정공정표(4차)'!RGVBF</definedName>
    <definedName name="RGVBF" localSheetId="13">'4-1. 예산내역서(1차)'!RGVBF</definedName>
    <definedName name="RGVBF" localSheetId="14">'4-2. 예산내역서(2차)'!RGVBF</definedName>
    <definedName name="RGVBF" localSheetId="15">'4-3. 예산내역서(3차)'!RGVBF</definedName>
    <definedName name="RGVBF" localSheetId="16">'4-4. 예산내역서(4차)'!RGVBF</definedName>
    <definedName name="RGVBF" localSheetId="18">'5-1. 공종별예산조서(1차)'!RGVBF</definedName>
    <definedName name="RGVBF" localSheetId="19">'5-2. 공종별예산조서(2차)'!RGVBF</definedName>
    <definedName name="RGVBF" localSheetId="20">'5-3. 공종별예산조서(3차)'!RGVBF</definedName>
    <definedName name="RGVBF" localSheetId="21">'5-3. 공종별예산조서(4차)'!RGVBF</definedName>
    <definedName name="RGVBF" localSheetId="24">'8-1. 철거발생품 예정조서(1차)'!RGVBF</definedName>
    <definedName name="RGVBF" localSheetId="25">'8-2. 철거발생품 예정조서(2차)'!RGVBF</definedName>
    <definedName name="RGVBF" localSheetId="26">'8-3. 철거발생품 예정조서(3차)'!RGVBF</definedName>
    <definedName name="RGVBF" localSheetId="27">'8-4. 철거발생품 예정조서(4차)'!RGVBF</definedName>
    <definedName name="RH" localSheetId="2">{"'용역비'!$A$4:$C$8"}</definedName>
    <definedName name="RH" localSheetId="3">{"'용역비'!$A$4:$C$8"}</definedName>
    <definedName name="RH" localSheetId="4">{"'용역비'!$A$4:$C$8"}</definedName>
    <definedName name="RH" localSheetId="5">{"'용역비'!$A$4:$C$8"}</definedName>
    <definedName name="RH" localSheetId="8">{"'용역비'!$A$4:$C$8"}</definedName>
    <definedName name="RH" localSheetId="9">{"'용역비'!$A$4:$C$8"}</definedName>
    <definedName name="RH" localSheetId="10">{"'용역비'!$A$4:$C$8"}</definedName>
    <definedName name="RH" localSheetId="11">{"'용역비'!$A$4:$C$8"}</definedName>
    <definedName name="RH" localSheetId="13">{"'용역비'!$A$4:$C$8"}</definedName>
    <definedName name="RH" localSheetId="14">{"'용역비'!$A$4:$C$8"}</definedName>
    <definedName name="RH" localSheetId="15">{"'용역비'!$A$4:$C$8"}</definedName>
    <definedName name="RH" localSheetId="16">{"'용역비'!$A$4:$C$8"}</definedName>
    <definedName name="RH" localSheetId="18">{"'용역비'!$A$4:$C$8"}</definedName>
    <definedName name="RH" localSheetId="19">{"'용역비'!$A$4:$C$8"}</definedName>
    <definedName name="RH" localSheetId="20">{"'용역비'!$A$4:$C$8"}</definedName>
    <definedName name="RH" localSheetId="21">{"'용역비'!$A$4:$C$8"}</definedName>
    <definedName name="RH" localSheetId="24">{"'용역비'!$A$4:$C$8"}</definedName>
    <definedName name="RH" localSheetId="25">{"'용역비'!$A$4:$C$8"}</definedName>
    <definedName name="RH" localSheetId="26">{"'용역비'!$A$4:$C$8"}</definedName>
    <definedName name="RH" localSheetId="27">{"'용역비'!$A$4:$C$8"}</definedName>
    <definedName name="RH">{"'용역비'!$A$4:$C$8"}</definedName>
    <definedName name="RKFL" localSheetId="28">#REF!</definedName>
    <definedName name="RKFL">#REF!</definedName>
    <definedName name="rlr" localSheetId="28">#REF!</definedName>
    <definedName name="rlr">#REF!</definedName>
    <definedName name="rPwjs" localSheetId="28">#REF!</definedName>
    <definedName name="rPwjs">#REF!</definedName>
    <definedName name="rqetqt" localSheetId="28">#REF!</definedName>
    <definedName name="rqetqt">#REF!</definedName>
    <definedName name="RR" localSheetId="28">#REF!</definedName>
    <definedName name="RR">#REF!</definedName>
    <definedName name="rrr" localSheetId="28">#REF!</definedName>
    <definedName name="rrr">#REF!</definedName>
    <definedName name="rrrrrr">{"'자리배치도'!$AG$1:$CI$28"}</definedName>
    <definedName name="RT5G" localSheetId="2">'1-1. 설계설명서(1차)'!RT5G</definedName>
    <definedName name="RT5G" localSheetId="3">'1-1. 설계설명서(2차)'!RT5G</definedName>
    <definedName name="RT5G" localSheetId="4">'1-1. 설계설명서(3차)'!RT5G</definedName>
    <definedName name="RT5G" localSheetId="5">'1-1. 설계설명서(4차)'!RT5G</definedName>
    <definedName name="RT5G" localSheetId="8">'3-1. 예정공정표(1차)'!RT5G</definedName>
    <definedName name="RT5G" localSheetId="9">'3-2. 예정공정표(2차)'!RT5G</definedName>
    <definedName name="RT5G" localSheetId="10">'3-3. 예정공정표(3차)'!RT5G</definedName>
    <definedName name="RT5G" localSheetId="11">'3-4. 예정공정표(4차)'!RT5G</definedName>
    <definedName name="RT5G" localSheetId="13">'4-1. 예산내역서(1차)'!RT5G</definedName>
    <definedName name="RT5G" localSheetId="14">'4-2. 예산내역서(2차)'!RT5G</definedName>
    <definedName name="RT5G" localSheetId="15">'4-3. 예산내역서(3차)'!RT5G</definedName>
    <definedName name="RT5G" localSheetId="16">'4-4. 예산내역서(4차)'!RT5G</definedName>
    <definedName name="RT5G" localSheetId="18">'5-1. 공종별예산조서(1차)'!RT5G</definedName>
    <definedName name="RT5G" localSheetId="19">'5-2. 공종별예산조서(2차)'!RT5G</definedName>
    <definedName name="RT5G" localSheetId="20">'5-3. 공종별예산조서(3차)'!RT5G</definedName>
    <definedName name="RT5G" localSheetId="21">'5-3. 공종별예산조서(4차)'!RT5G</definedName>
    <definedName name="RT5G" localSheetId="24">'8-1. 철거발생품 예정조서(1차)'!RT5G</definedName>
    <definedName name="RT5G" localSheetId="25">'8-2. 철거발생품 예정조서(2차)'!RT5G</definedName>
    <definedName name="RT5G" localSheetId="26">'8-3. 철거발생품 예정조서(3차)'!RT5G</definedName>
    <definedName name="RT5G" localSheetId="27">'8-4. 철거발생품 예정조서(4차)'!RT5G</definedName>
    <definedName name="RTG" localSheetId="2">'1-1. 설계설명서(1차)'!EEDD</definedName>
    <definedName name="RTG" localSheetId="3">'1-1. 설계설명서(2차)'!EEDD</definedName>
    <definedName name="RTG" localSheetId="4">'1-1. 설계설명서(3차)'!EEDD</definedName>
    <definedName name="RTG" localSheetId="5">'1-1. 설계설명서(4차)'!EEDD</definedName>
    <definedName name="RTG" localSheetId="8">'3-1. 예정공정표(1차)'!EEDD</definedName>
    <definedName name="RTG" localSheetId="9">'3-2. 예정공정표(2차)'!EEDD</definedName>
    <definedName name="RTG" localSheetId="10">'3-3. 예정공정표(3차)'!EEDD</definedName>
    <definedName name="RTG" localSheetId="11">'3-4. 예정공정표(4차)'!EEDD</definedName>
    <definedName name="RTG" localSheetId="13">'4-1. 예산내역서(1차)'!EEDD</definedName>
    <definedName name="RTG" localSheetId="14">'4-2. 예산내역서(2차)'!EEDD</definedName>
    <definedName name="RTG" localSheetId="15">'4-3. 예산내역서(3차)'!EEDD</definedName>
    <definedName name="RTG" localSheetId="16">'4-4. 예산내역서(4차)'!EEDD</definedName>
    <definedName name="RTG" localSheetId="18">'5-1. 공종별예산조서(1차)'!EEDD</definedName>
    <definedName name="RTG" localSheetId="19">'5-2. 공종별예산조서(2차)'!EEDD</definedName>
    <definedName name="RTG" localSheetId="20">'5-3. 공종별예산조서(3차)'!EEDD</definedName>
    <definedName name="RTG" localSheetId="21">'5-3. 공종별예산조서(4차)'!EEDD</definedName>
    <definedName name="RTG" localSheetId="24">'8-1. 철거발생품 예정조서(1차)'!EEDD</definedName>
    <definedName name="RTG" localSheetId="25">'8-2. 철거발생품 예정조서(2차)'!EEDD</definedName>
    <definedName name="RTG" localSheetId="26">'8-3. 철거발생품 예정조서(3차)'!EEDD</definedName>
    <definedName name="RTG" localSheetId="27">'8-4. 철거발생품 예정조서(4차)'!EEDD</definedName>
    <definedName name="RTGH" localSheetId="2">{"'용역비'!$A$4:$C$8"}</definedName>
    <definedName name="RTGH" localSheetId="3">{"'용역비'!$A$4:$C$8"}</definedName>
    <definedName name="RTGH" localSheetId="4">{"'용역비'!$A$4:$C$8"}</definedName>
    <definedName name="RTGH" localSheetId="5">{"'용역비'!$A$4:$C$8"}</definedName>
    <definedName name="RTGH" localSheetId="8">{"'용역비'!$A$4:$C$8"}</definedName>
    <definedName name="RTGH" localSheetId="9">{"'용역비'!$A$4:$C$8"}</definedName>
    <definedName name="RTGH" localSheetId="10">{"'용역비'!$A$4:$C$8"}</definedName>
    <definedName name="RTGH" localSheetId="11">{"'용역비'!$A$4:$C$8"}</definedName>
    <definedName name="RTGH" localSheetId="13">{"'용역비'!$A$4:$C$8"}</definedName>
    <definedName name="RTGH" localSheetId="14">{"'용역비'!$A$4:$C$8"}</definedName>
    <definedName name="RTGH" localSheetId="15">{"'용역비'!$A$4:$C$8"}</definedName>
    <definedName name="RTGH" localSheetId="16">{"'용역비'!$A$4:$C$8"}</definedName>
    <definedName name="RTGH" localSheetId="18">{"'용역비'!$A$4:$C$8"}</definedName>
    <definedName name="RTGH" localSheetId="19">{"'용역비'!$A$4:$C$8"}</definedName>
    <definedName name="RTGH" localSheetId="20">{"'용역비'!$A$4:$C$8"}</definedName>
    <definedName name="RTGH" localSheetId="21">{"'용역비'!$A$4:$C$8"}</definedName>
    <definedName name="RTGH" localSheetId="24">{"'용역비'!$A$4:$C$8"}</definedName>
    <definedName name="RTGH" localSheetId="25">{"'용역비'!$A$4:$C$8"}</definedName>
    <definedName name="RTGH" localSheetId="26">{"'용역비'!$A$4:$C$8"}</definedName>
    <definedName name="RTGH" localSheetId="27">{"'용역비'!$A$4:$C$8"}</definedName>
    <definedName name="RTGH">{"'용역비'!$A$4:$C$8"}</definedName>
    <definedName name="rth" localSheetId="2">{"'용역비'!$A$4:$C$8"}</definedName>
    <definedName name="rth" localSheetId="3">{"'용역비'!$A$4:$C$8"}</definedName>
    <definedName name="rth" localSheetId="4">{"'용역비'!$A$4:$C$8"}</definedName>
    <definedName name="rth" localSheetId="5">{"'용역비'!$A$4:$C$8"}</definedName>
    <definedName name="rth" localSheetId="8">{"'용역비'!$A$4:$C$8"}</definedName>
    <definedName name="rth" localSheetId="9">{"'용역비'!$A$4:$C$8"}</definedName>
    <definedName name="rth" localSheetId="10">{"'용역비'!$A$4:$C$8"}</definedName>
    <definedName name="rth" localSheetId="11">{"'용역비'!$A$4:$C$8"}</definedName>
    <definedName name="rth" localSheetId="13">{"'용역비'!$A$4:$C$8"}</definedName>
    <definedName name="rth" localSheetId="14">{"'용역비'!$A$4:$C$8"}</definedName>
    <definedName name="rth" localSheetId="15">{"'용역비'!$A$4:$C$8"}</definedName>
    <definedName name="rth" localSheetId="16">{"'용역비'!$A$4:$C$8"}</definedName>
    <definedName name="rth" localSheetId="18">{"'용역비'!$A$4:$C$8"}</definedName>
    <definedName name="rth" localSheetId="19">{"'용역비'!$A$4:$C$8"}</definedName>
    <definedName name="rth" localSheetId="20">{"'용역비'!$A$4:$C$8"}</definedName>
    <definedName name="rth" localSheetId="21">{"'용역비'!$A$4:$C$8"}</definedName>
    <definedName name="rth" localSheetId="24">{"'용역비'!$A$4:$C$8"}</definedName>
    <definedName name="rth" localSheetId="25">{"'용역비'!$A$4:$C$8"}</definedName>
    <definedName name="rth" localSheetId="26">{"'용역비'!$A$4:$C$8"}</definedName>
    <definedName name="rth" localSheetId="27">{"'용역비'!$A$4:$C$8"}</definedName>
    <definedName name="rth">{"'용역비'!$A$4:$C$8"}</definedName>
    <definedName name="rttr" localSheetId="28">#REF!</definedName>
    <definedName name="rttr">#REF!</definedName>
    <definedName name="RYUIRYU" localSheetId="2">{"'용역비'!$A$4:$C$8"}</definedName>
    <definedName name="RYUIRYU" localSheetId="3">{"'용역비'!$A$4:$C$8"}</definedName>
    <definedName name="RYUIRYU" localSheetId="4">{"'용역비'!$A$4:$C$8"}</definedName>
    <definedName name="RYUIRYU" localSheetId="5">{"'용역비'!$A$4:$C$8"}</definedName>
    <definedName name="RYUIRYU" localSheetId="8">{"'용역비'!$A$4:$C$8"}</definedName>
    <definedName name="RYUIRYU" localSheetId="9">{"'용역비'!$A$4:$C$8"}</definedName>
    <definedName name="RYUIRYU" localSheetId="10">{"'용역비'!$A$4:$C$8"}</definedName>
    <definedName name="RYUIRYU" localSheetId="11">{"'용역비'!$A$4:$C$8"}</definedName>
    <definedName name="RYUIRYU" localSheetId="13">{"'용역비'!$A$4:$C$8"}</definedName>
    <definedName name="RYUIRYU" localSheetId="14">{"'용역비'!$A$4:$C$8"}</definedName>
    <definedName name="RYUIRYU" localSheetId="15">{"'용역비'!$A$4:$C$8"}</definedName>
    <definedName name="RYUIRYU" localSheetId="16">{"'용역비'!$A$4:$C$8"}</definedName>
    <definedName name="RYUIRYU" localSheetId="18">{"'용역비'!$A$4:$C$8"}</definedName>
    <definedName name="RYUIRYU" localSheetId="19">{"'용역비'!$A$4:$C$8"}</definedName>
    <definedName name="RYUIRYU" localSheetId="20">{"'용역비'!$A$4:$C$8"}</definedName>
    <definedName name="RYUIRYU" localSheetId="21">{"'용역비'!$A$4:$C$8"}</definedName>
    <definedName name="RYUIRYU" localSheetId="24">{"'용역비'!$A$4:$C$8"}</definedName>
    <definedName name="RYUIRYU" localSheetId="25">{"'용역비'!$A$4:$C$8"}</definedName>
    <definedName name="RYUIRYU" localSheetId="26">{"'용역비'!$A$4:$C$8"}</definedName>
    <definedName name="RYUIRYU" localSheetId="27">{"'용역비'!$A$4:$C$8"}</definedName>
    <definedName name="RYUIRYU">{"'용역비'!$A$4:$C$8"}</definedName>
    <definedName name="ryuk" localSheetId="2">{"'용역비'!$A$4:$C$8"}</definedName>
    <definedName name="ryuk" localSheetId="3">{"'용역비'!$A$4:$C$8"}</definedName>
    <definedName name="ryuk" localSheetId="4">{"'용역비'!$A$4:$C$8"}</definedName>
    <definedName name="ryuk" localSheetId="5">{"'용역비'!$A$4:$C$8"}</definedName>
    <definedName name="ryuk" localSheetId="8">{"'용역비'!$A$4:$C$8"}</definedName>
    <definedName name="ryuk" localSheetId="9">{"'용역비'!$A$4:$C$8"}</definedName>
    <definedName name="ryuk" localSheetId="10">{"'용역비'!$A$4:$C$8"}</definedName>
    <definedName name="ryuk" localSheetId="11">{"'용역비'!$A$4:$C$8"}</definedName>
    <definedName name="ryuk" localSheetId="13">{"'용역비'!$A$4:$C$8"}</definedName>
    <definedName name="ryuk" localSheetId="14">{"'용역비'!$A$4:$C$8"}</definedName>
    <definedName name="ryuk" localSheetId="15">{"'용역비'!$A$4:$C$8"}</definedName>
    <definedName name="ryuk" localSheetId="16">{"'용역비'!$A$4:$C$8"}</definedName>
    <definedName name="ryuk" localSheetId="18">{"'용역비'!$A$4:$C$8"}</definedName>
    <definedName name="ryuk" localSheetId="19">{"'용역비'!$A$4:$C$8"}</definedName>
    <definedName name="ryuk" localSheetId="20">{"'용역비'!$A$4:$C$8"}</definedName>
    <definedName name="ryuk" localSheetId="21">{"'용역비'!$A$4:$C$8"}</definedName>
    <definedName name="ryuk" localSheetId="24">{"'용역비'!$A$4:$C$8"}</definedName>
    <definedName name="ryuk" localSheetId="25">{"'용역비'!$A$4:$C$8"}</definedName>
    <definedName name="ryuk" localSheetId="26">{"'용역비'!$A$4:$C$8"}</definedName>
    <definedName name="ryuk" localSheetId="27">{"'용역비'!$A$4:$C$8"}</definedName>
    <definedName name="ryuk">{"'용역비'!$A$4:$C$8"}</definedName>
    <definedName name="s" localSheetId="28">{#N/A,#N/A,FALSE,"명세표"}</definedName>
    <definedName name="s">{#N/A,#N/A,FALSE,"명세표"}</definedName>
    <definedName name="S_W시험사">#REF!</definedName>
    <definedName name="sa" localSheetId="28" hidden="1">{#N/A,#N/A,FALSE,"명세표"}</definedName>
    <definedName name="sa" hidden="1">{#N/A,#N/A,FALSE,"명세표"}</definedName>
    <definedName name="sample">#REF!</definedName>
    <definedName name="SAPBEXdnldView">"41JLQUL0YNPVK3OX98UIGJGNP"</definedName>
    <definedName name="SAPBEXsysID">"BWP"</definedName>
    <definedName name="SD" localSheetId="2">{"'용역비'!$A$4:$C$8"}</definedName>
    <definedName name="SD" localSheetId="3">{"'용역비'!$A$4:$C$8"}</definedName>
    <definedName name="SD" localSheetId="4">{"'용역비'!$A$4:$C$8"}</definedName>
    <definedName name="SD" localSheetId="5">{"'용역비'!$A$4:$C$8"}</definedName>
    <definedName name="SD" localSheetId="8">{"'용역비'!$A$4:$C$8"}</definedName>
    <definedName name="SD" localSheetId="9">{"'용역비'!$A$4:$C$8"}</definedName>
    <definedName name="SD" localSheetId="10">{"'용역비'!$A$4:$C$8"}</definedName>
    <definedName name="SD" localSheetId="11">{"'용역비'!$A$4:$C$8"}</definedName>
    <definedName name="SD" localSheetId="13">{"'용역비'!$A$4:$C$8"}</definedName>
    <definedName name="SD" localSheetId="14">{"'용역비'!$A$4:$C$8"}</definedName>
    <definedName name="SD" localSheetId="15">{"'용역비'!$A$4:$C$8"}</definedName>
    <definedName name="SD" localSheetId="16">{"'용역비'!$A$4:$C$8"}</definedName>
    <definedName name="SD" localSheetId="18">{"'용역비'!$A$4:$C$8"}</definedName>
    <definedName name="SD" localSheetId="19">{"'용역비'!$A$4:$C$8"}</definedName>
    <definedName name="SD" localSheetId="20">{"'용역비'!$A$4:$C$8"}</definedName>
    <definedName name="SD" localSheetId="21">{"'용역비'!$A$4:$C$8"}</definedName>
    <definedName name="SD" localSheetId="24">{"'용역비'!$A$4:$C$8"}</definedName>
    <definedName name="SD" localSheetId="25">{"'용역비'!$A$4:$C$8"}</definedName>
    <definedName name="SD" localSheetId="26">{"'용역비'!$A$4:$C$8"}</definedName>
    <definedName name="SD" localSheetId="27">{"'용역비'!$A$4:$C$8"}</definedName>
    <definedName name="SD">{"'용역비'!$A$4:$C$8"}</definedName>
    <definedName name="SDA">{"'광피스표'!$A$3:$N$54"}</definedName>
    <definedName name="sdakfj" localSheetId="28">#REF!</definedName>
    <definedName name="sdakfj">#REF!</definedName>
    <definedName name="SDAS">{"'Firr(선)'!$AS$1:$AY$62","'Firr(사)'!$AS$1:$AY$62","'Firr(회)'!$AS$1:$AY$62","'Firr(선)'!$L$1:$V$62","'Firr(사)'!$L$1:$V$62","'Firr(회)'!$L$1:$V$62"}</definedName>
    <definedName name="sdasq" localSheetId="28">#REF!</definedName>
    <definedName name="sdasq">#REF!</definedName>
    <definedName name="sdfg" localSheetId="28" hidden="1">{#N/A,#N/A,FALSE,"명세표"}</definedName>
    <definedName name="sdfg" hidden="1">{#N/A,#N/A,FALSE,"명세표"}</definedName>
    <definedName name="sdfgs" localSheetId="28" hidden="1">{#N/A,#N/A,FALSE,"명세표"}</definedName>
    <definedName name="sdfgs" hidden="1">{#N/A,#N/A,FALSE,"명세표"}</definedName>
    <definedName name="sdfjk">#REF!</definedName>
    <definedName name="sdfs" localSheetId="28">#REF!</definedName>
    <definedName name="sdfs">#REF!</definedName>
    <definedName name="sdfsd" localSheetId="28">#REF!</definedName>
    <definedName name="sdfsd">#REF!</definedName>
    <definedName name="sdjfkl" localSheetId="28">#REF!</definedName>
    <definedName name="sdjfkl">#REF!</definedName>
    <definedName name="sdq" localSheetId="28">#REF!</definedName>
    <definedName name="sdq">#REF!</definedName>
    <definedName name="sdqwq" localSheetId="28">#REF!</definedName>
    <definedName name="sdqwq">#REF!</definedName>
    <definedName name="SDRFE" localSheetId="2">'1-1. 설계설명서(1차)'!SDRFE</definedName>
    <definedName name="SDRFE" localSheetId="3">'1-1. 설계설명서(2차)'!SDRFE</definedName>
    <definedName name="SDRFE" localSheetId="4">'1-1. 설계설명서(3차)'!SDRFE</definedName>
    <definedName name="SDRFE" localSheetId="5">'1-1. 설계설명서(4차)'!SDRFE</definedName>
    <definedName name="SDRFE" localSheetId="8">'3-1. 예정공정표(1차)'!SDRFE</definedName>
    <definedName name="SDRFE" localSheetId="9">'3-2. 예정공정표(2차)'!SDRFE</definedName>
    <definedName name="SDRFE" localSheetId="10">'3-3. 예정공정표(3차)'!SDRFE</definedName>
    <definedName name="SDRFE" localSheetId="11">'3-4. 예정공정표(4차)'!SDRFE</definedName>
    <definedName name="SDRFE" localSheetId="13">'4-1. 예산내역서(1차)'!SDRFE</definedName>
    <definedName name="SDRFE" localSheetId="14">'4-2. 예산내역서(2차)'!SDRFE</definedName>
    <definedName name="SDRFE" localSheetId="15">'4-3. 예산내역서(3차)'!SDRFE</definedName>
    <definedName name="SDRFE" localSheetId="16">'4-4. 예산내역서(4차)'!SDRFE</definedName>
    <definedName name="SDRFE" localSheetId="18">'5-1. 공종별예산조서(1차)'!SDRFE</definedName>
    <definedName name="SDRFE" localSheetId="19">'5-2. 공종별예산조서(2차)'!SDRFE</definedName>
    <definedName name="SDRFE" localSheetId="20">'5-3. 공종별예산조서(3차)'!SDRFE</definedName>
    <definedName name="SDRFE" localSheetId="21">'5-3. 공종별예산조서(4차)'!SDRFE</definedName>
    <definedName name="SDRFE" localSheetId="24">'8-1. 철거발생품 예정조서(1차)'!SDRFE</definedName>
    <definedName name="SDRFE" localSheetId="25">'8-2. 철거발생품 예정조서(2차)'!SDRFE</definedName>
    <definedName name="SDRFE" localSheetId="26">'8-3. 철거발생품 예정조서(3차)'!SDRFE</definedName>
    <definedName name="SDRFE" localSheetId="27">'8-4. 철거발생품 예정조서(4차)'!SDRFE</definedName>
    <definedName name="sdryhj" localSheetId="2">{"'용역비'!$A$4:$C$8"}</definedName>
    <definedName name="sdryhj" localSheetId="3">{"'용역비'!$A$4:$C$8"}</definedName>
    <definedName name="sdryhj" localSheetId="4">{"'용역비'!$A$4:$C$8"}</definedName>
    <definedName name="sdryhj" localSheetId="5">{"'용역비'!$A$4:$C$8"}</definedName>
    <definedName name="sdryhj" localSheetId="8">{"'용역비'!$A$4:$C$8"}</definedName>
    <definedName name="sdryhj" localSheetId="9">{"'용역비'!$A$4:$C$8"}</definedName>
    <definedName name="sdryhj" localSheetId="10">{"'용역비'!$A$4:$C$8"}</definedName>
    <definedName name="sdryhj" localSheetId="11">{"'용역비'!$A$4:$C$8"}</definedName>
    <definedName name="sdryhj" localSheetId="13">{"'용역비'!$A$4:$C$8"}</definedName>
    <definedName name="sdryhj" localSheetId="14">{"'용역비'!$A$4:$C$8"}</definedName>
    <definedName name="sdryhj" localSheetId="15">{"'용역비'!$A$4:$C$8"}</definedName>
    <definedName name="sdryhj" localSheetId="16">{"'용역비'!$A$4:$C$8"}</definedName>
    <definedName name="sdryhj" localSheetId="18">{"'용역비'!$A$4:$C$8"}</definedName>
    <definedName name="sdryhj" localSheetId="19">{"'용역비'!$A$4:$C$8"}</definedName>
    <definedName name="sdryhj" localSheetId="20">{"'용역비'!$A$4:$C$8"}</definedName>
    <definedName name="sdryhj" localSheetId="21">{"'용역비'!$A$4:$C$8"}</definedName>
    <definedName name="sdryhj" localSheetId="24">{"'용역비'!$A$4:$C$8"}</definedName>
    <definedName name="sdryhj" localSheetId="25">{"'용역비'!$A$4:$C$8"}</definedName>
    <definedName name="sdryhj" localSheetId="26">{"'용역비'!$A$4:$C$8"}</definedName>
    <definedName name="sdryhj" localSheetId="27">{"'용역비'!$A$4:$C$8"}</definedName>
    <definedName name="sdryhj">{"'용역비'!$A$4:$C$8"}</definedName>
    <definedName name="SDSD" localSheetId="28">#REF!</definedName>
    <definedName name="SDSD">#REF!</definedName>
    <definedName name="sdsdsdsd">{"'용역비'!$A$4:$C$8"}</definedName>
    <definedName name="SE" localSheetId="2">{"'용역비'!$A$4:$C$8"}</definedName>
    <definedName name="SE" localSheetId="3">{"'용역비'!$A$4:$C$8"}</definedName>
    <definedName name="SE" localSheetId="4">{"'용역비'!$A$4:$C$8"}</definedName>
    <definedName name="SE" localSheetId="5">{"'용역비'!$A$4:$C$8"}</definedName>
    <definedName name="SE" localSheetId="8">{"'용역비'!$A$4:$C$8"}</definedName>
    <definedName name="SE" localSheetId="9">{"'용역비'!$A$4:$C$8"}</definedName>
    <definedName name="SE" localSheetId="10">{"'용역비'!$A$4:$C$8"}</definedName>
    <definedName name="SE" localSheetId="11">{"'용역비'!$A$4:$C$8"}</definedName>
    <definedName name="SE" localSheetId="13">{"'용역비'!$A$4:$C$8"}</definedName>
    <definedName name="SE" localSheetId="14">{"'용역비'!$A$4:$C$8"}</definedName>
    <definedName name="SE" localSheetId="15">{"'용역비'!$A$4:$C$8"}</definedName>
    <definedName name="SE" localSheetId="16">{"'용역비'!$A$4:$C$8"}</definedName>
    <definedName name="SE" localSheetId="18">{"'용역비'!$A$4:$C$8"}</definedName>
    <definedName name="SE" localSheetId="19">{"'용역비'!$A$4:$C$8"}</definedName>
    <definedName name="SE" localSheetId="20">{"'용역비'!$A$4:$C$8"}</definedName>
    <definedName name="SE" localSheetId="21">{"'용역비'!$A$4:$C$8"}</definedName>
    <definedName name="SE" localSheetId="24">{"'용역비'!$A$4:$C$8"}</definedName>
    <definedName name="SE" localSheetId="25">{"'용역비'!$A$4:$C$8"}</definedName>
    <definedName name="SE" localSheetId="26">{"'용역비'!$A$4:$C$8"}</definedName>
    <definedName name="SE" localSheetId="27">{"'용역비'!$A$4:$C$8"}</definedName>
    <definedName name="SE">{"'용역비'!$A$4:$C$8"}</definedName>
    <definedName name="sfd" localSheetId="2">'1-1. 설계설명서(1차)'!sfd</definedName>
    <definedName name="sfd" localSheetId="3">'1-1. 설계설명서(2차)'!sfd</definedName>
    <definedName name="sfd" localSheetId="4">'1-1. 설계설명서(3차)'!sfd</definedName>
    <definedName name="sfd" localSheetId="5">'1-1. 설계설명서(4차)'!sfd</definedName>
    <definedName name="sfd" localSheetId="8">'3-1. 예정공정표(1차)'!sfd</definedName>
    <definedName name="sfd" localSheetId="9">'3-2. 예정공정표(2차)'!sfd</definedName>
    <definedName name="sfd" localSheetId="10">'3-3. 예정공정표(3차)'!sfd</definedName>
    <definedName name="sfd" localSheetId="11">'3-4. 예정공정표(4차)'!sfd</definedName>
    <definedName name="sfd" localSheetId="13">'4-1. 예산내역서(1차)'!sfd</definedName>
    <definedName name="sfd" localSheetId="14">'4-2. 예산내역서(2차)'!sfd</definedName>
    <definedName name="sfd" localSheetId="15">'4-3. 예산내역서(3차)'!sfd</definedName>
    <definedName name="sfd" localSheetId="16">'4-4. 예산내역서(4차)'!sfd</definedName>
    <definedName name="sfd" localSheetId="18">'5-1. 공종별예산조서(1차)'!sfd</definedName>
    <definedName name="sfd" localSheetId="19">'5-2. 공종별예산조서(2차)'!sfd</definedName>
    <definedName name="sfd" localSheetId="20">'5-3. 공종별예산조서(3차)'!sfd</definedName>
    <definedName name="sfd" localSheetId="21">'5-3. 공종별예산조서(4차)'!sfd</definedName>
    <definedName name="sfd" localSheetId="24">'8-1. 철거발생품 예정조서(1차)'!sfd</definedName>
    <definedName name="sfd" localSheetId="25">'8-2. 철거발생품 예정조서(2차)'!sfd</definedName>
    <definedName name="sfd" localSheetId="26">'8-3. 철거발생품 예정조서(3차)'!sfd</definedName>
    <definedName name="sfd" localSheetId="27">'8-4. 철거발생품 예정조서(4차)'!sfd</definedName>
    <definedName name="sfdgfdg" localSheetId="28" hidden="1">{#N/A,#N/A,FALSE,"명세표"}</definedName>
    <definedName name="sfdgfdg" hidden="1">{#N/A,#N/A,FALSE,"명세표"}</definedName>
    <definedName name="sfdgfds" localSheetId="28" hidden="1">{#N/A,#N/A,FALSE,"명세표"}</definedName>
    <definedName name="sfdgfds" hidden="1">{#N/A,#N/A,FALSE,"명세표"}</definedName>
    <definedName name="sfdgs" localSheetId="28" hidden="1">{#N/A,#N/A,FALSE,"명세표"}</definedName>
    <definedName name="sfdgs" hidden="1">{#N/A,#N/A,FALSE,"명세표"}</definedName>
    <definedName name="sfdgsdf" localSheetId="28" hidden="1">{#N/A,#N/A,FALSE,"명세표"}</definedName>
    <definedName name="sfdgsdf" hidden="1">{#N/A,#N/A,FALSE,"명세표"}</definedName>
    <definedName name="sfg" localSheetId="28" hidden="1">{#N/A,#N/A,FALSE,"명세표"}</definedName>
    <definedName name="sfg" hidden="1">{#N/A,#N/A,FALSE,"명세표"}</definedName>
    <definedName name="sfgh" localSheetId="28" hidden="1">{#N/A,#N/A,FALSE,"명세표"}</definedName>
    <definedName name="sfgh" hidden="1">{#N/A,#N/A,FALSE,"명세표"}</definedName>
    <definedName name="sfsd">#REF!</definedName>
    <definedName name="sgsaa" localSheetId="28">#REF!</definedName>
    <definedName name="sgsaa">#REF!</definedName>
    <definedName name="sgsr" localSheetId="28" hidden="1">{#N/A,#N/A,FALSE,"명세표"}</definedName>
    <definedName name="sgsr" hidden="1">{#N/A,#N/A,FALSE,"명세표"}</definedName>
    <definedName name="SHDLAEKSRKTNWJD" localSheetId="2">'1-1. 설계설명서(1차)'!SHDLAEKSRKTNWJD</definedName>
    <definedName name="SHDLAEKSRKTNWJD" localSheetId="3">'1-1. 설계설명서(2차)'!SHDLAEKSRKTNWJD</definedName>
    <definedName name="SHDLAEKSRKTNWJD" localSheetId="4">'1-1. 설계설명서(3차)'!SHDLAEKSRKTNWJD</definedName>
    <definedName name="SHDLAEKSRKTNWJD" localSheetId="5">'1-1. 설계설명서(4차)'!SHDLAEKSRKTNWJD</definedName>
    <definedName name="SHDLAEKSRKTNWJD" localSheetId="8">'3-1. 예정공정표(1차)'!SHDLAEKSRKTNWJD</definedName>
    <definedName name="SHDLAEKSRKTNWJD" localSheetId="9">'3-2. 예정공정표(2차)'!SHDLAEKSRKTNWJD</definedName>
    <definedName name="SHDLAEKSRKTNWJD" localSheetId="10">'3-3. 예정공정표(3차)'!SHDLAEKSRKTNWJD</definedName>
    <definedName name="SHDLAEKSRKTNWJD" localSheetId="11">'3-4. 예정공정표(4차)'!SHDLAEKSRKTNWJD</definedName>
    <definedName name="SHDLAEKSRKTNWJD" localSheetId="13">'4-1. 예산내역서(1차)'!SHDLAEKSRKTNWJD</definedName>
    <definedName name="SHDLAEKSRKTNWJD" localSheetId="14">'4-2. 예산내역서(2차)'!SHDLAEKSRKTNWJD</definedName>
    <definedName name="SHDLAEKSRKTNWJD" localSheetId="15">'4-3. 예산내역서(3차)'!SHDLAEKSRKTNWJD</definedName>
    <definedName name="SHDLAEKSRKTNWJD" localSheetId="16">'4-4. 예산내역서(4차)'!SHDLAEKSRKTNWJD</definedName>
    <definedName name="SHDLAEKSRKTNWJD" localSheetId="18">'5-1. 공종별예산조서(1차)'!SHDLAEKSRKTNWJD</definedName>
    <definedName name="SHDLAEKSRKTNWJD" localSheetId="19">'5-2. 공종별예산조서(2차)'!SHDLAEKSRKTNWJD</definedName>
    <definedName name="SHDLAEKSRKTNWJD" localSheetId="20">'5-3. 공종별예산조서(3차)'!SHDLAEKSRKTNWJD</definedName>
    <definedName name="SHDLAEKSRKTNWJD" localSheetId="21">'5-3. 공종별예산조서(4차)'!SHDLAEKSRKTNWJD</definedName>
    <definedName name="SHDLAEKSRKTNWJD" localSheetId="24">'8-1. 철거발생품 예정조서(1차)'!SHDLAEKSRKTNWJD</definedName>
    <definedName name="SHDLAEKSRKTNWJD" localSheetId="25">'8-2. 철거발생품 예정조서(2차)'!SHDLAEKSRKTNWJD</definedName>
    <definedName name="SHDLAEKSRKTNWJD" localSheetId="26">'8-3. 철거발생품 예정조서(3차)'!SHDLAEKSRKTNWJD</definedName>
    <definedName name="SHDLAEKSRKTNWJD" localSheetId="27">'8-4. 철거발생품 예정조서(4차)'!SHDLAEKSRKTNWJD</definedName>
    <definedName name="shuku">#REF!</definedName>
    <definedName name="SI" localSheetId="28">#REF!</definedName>
    <definedName name="SI">#REF!</definedName>
    <definedName name="SIDE" localSheetId="28">#REF!</definedName>
    <definedName name="SIDE">#REF!</definedName>
    <definedName name="skadjf" localSheetId="28">#REF!</definedName>
    <definedName name="skadjf">#REF!</definedName>
    <definedName name="SOC" localSheetId="2">'1-1. 설계설명서(1차)'!OIU</definedName>
    <definedName name="SOC" localSheetId="3">'1-1. 설계설명서(2차)'!OIU</definedName>
    <definedName name="SOC" localSheetId="4">'1-1. 설계설명서(3차)'!OIU</definedName>
    <definedName name="SOC" localSheetId="5">'1-1. 설계설명서(4차)'!OIU</definedName>
    <definedName name="SOC" localSheetId="8">'3-1. 예정공정표(1차)'!OIU</definedName>
    <definedName name="SOC" localSheetId="9">'3-2. 예정공정표(2차)'!OIU</definedName>
    <definedName name="SOC" localSheetId="10">'3-3. 예정공정표(3차)'!OIU</definedName>
    <definedName name="SOC" localSheetId="11">'3-4. 예정공정표(4차)'!OIU</definedName>
    <definedName name="SOC" localSheetId="13">'4-1. 예산내역서(1차)'!OIU</definedName>
    <definedName name="SOC" localSheetId="14">'4-2. 예산내역서(2차)'!OIU</definedName>
    <definedName name="SOC" localSheetId="15">'4-3. 예산내역서(3차)'!OIU</definedName>
    <definedName name="SOC" localSheetId="16">'4-4. 예산내역서(4차)'!OIU</definedName>
    <definedName name="SOC" localSheetId="18">'5-1. 공종별예산조서(1차)'!OIU</definedName>
    <definedName name="SOC" localSheetId="19">'5-2. 공종별예산조서(2차)'!OIU</definedName>
    <definedName name="SOC" localSheetId="20">'5-3. 공종별예산조서(3차)'!OIU</definedName>
    <definedName name="SOC" localSheetId="21">'5-3. 공종별예산조서(4차)'!OIU</definedName>
    <definedName name="SOC" localSheetId="24">'8-1. 철거발생품 예정조서(1차)'!OIU</definedName>
    <definedName name="SOC" localSheetId="25">'8-2. 철거발생품 예정조서(2차)'!OIU</definedName>
    <definedName name="SOC" localSheetId="26">'8-3. 철거발생품 예정조서(3차)'!OIU</definedName>
    <definedName name="SOC" localSheetId="27">'8-4. 철거발생품 예정조서(4차)'!OIU</definedName>
    <definedName name="solver_lin">0</definedName>
    <definedName name="solver_num">1</definedName>
    <definedName name="solver_rel1">1</definedName>
    <definedName name="solver_rhs1">500000000</definedName>
    <definedName name="solver_tmp">500000000</definedName>
    <definedName name="solver_typ">1</definedName>
    <definedName name="solver_val">0</definedName>
    <definedName name="spl" localSheetId="28">#REF!</definedName>
    <definedName name="spl">#REF!</definedName>
    <definedName name="srth" localSheetId="2">{"'용역비'!$A$4:$C$8"}</definedName>
    <definedName name="srth" localSheetId="3">{"'용역비'!$A$4:$C$8"}</definedName>
    <definedName name="srth" localSheetId="4">{"'용역비'!$A$4:$C$8"}</definedName>
    <definedName name="srth" localSheetId="5">{"'용역비'!$A$4:$C$8"}</definedName>
    <definedName name="srth" localSheetId="8">{"'용역비'!$A$4:$C$8"}</definedName>
    <definedName name="srth" localSheetId="9">{"'용역비'!$A$4:$C$8"}</definedName>
    <definedName name="srth" localSheetId="10">{"'용역비'!$A$4:$C$8"}</definedName>
    <definedName name="srth" localSheetId="11">{"'용역비'!$A$4:$C$8"}</definedName>
    <definedName name="srth" localSheetId="13">{"'용역비'!$A$4:$C$8"}</definedName>
    <definedName name="srth" localSheetId="14">{"'용역비'!$A$4:$C$8"}</definedName>
    <definedName name="srth" localSheetId="15">{"'용역비'!$A$4:$C$8"}</definedName>
    <definedName name="srth" localSheetId="16">{"'용역비'!$A$4:$C$8"}</definedName>
    <definedName name="srth" localSheetId="18">{"'용역비'!$A$4:$C$8"}</definedName>
    <definedName name="srth" localSheetId="19">{"'용역비'!$A$4:$C$8"}</definedName>
    <definedName name="srth" localSheetId="20">{"'용역비'!$A$4:$C$8"}</definedName>
    <definedName name="srth" localSheetId="21">{"'용역비'!$A$4:$C$8"}</definedName>
    <definedName name="srth" localSheetId="24">{"'용역비'!$A$4:$C$8"}</definedName>
    <definedName name="srth" localSheetId="25">{"'용역비'!$A$4:$C$8"}</definedName>
    <definedName name="srth" localSheetId="26">{"'용역비'!$A$4:$C$8"}</definedName>
    <definedName name="srth" localSheetId="27">{"'용역비'!$A$4:$C$8"}</definedName>
    <definedName name="srth">{"'용역비'!$A$4:$C$8"}</definedName>
    <definedName name="sruftyj" localSheetId="28">#REF!</definedName>
    <definedName name="sruftyj">#REF!</definedName>
    <definedName name="SS" localSheetId="28">#REF!</definedName>
    <definedName name="SS">#REF!</definedName>
    <definedName name="SSSC" localSheetId="2">'1-1. 설계설명서(1차)'!CCF</definedName>
    <definedName name="SSSC" localSheetId="3">'1-1. 설계설명서(2차)'!CCF</definedName>
    <definedName name="SSSC" localSheetId="4">'1-1. 설계설명서(3차)'!CCF</definedName>
    <definedName name="SSSC" localSheetId="5">'1-1. 설계설명서(4차)'!CCF</definedName>
    <definedName name="SSSC" localSheetId="8">'3-1. 예정공정표(1차)'!CCF</definedName>
    <definedName name="SSSC" localSheetId="9">'3-2. 예정공정표(2차)'!CCF</definedName>
    <definedName name="SSSC" localSheetId="10">'3-3. 예정공정표(3차)'!CCF</definedName>
    <definedName name="SSSC" localSheetId="11">'3-4. 예정공정표(4차)'!CCF</definedName>
    <definedName name="SSSC" localSheetId="13">'4-1. 예산내역서(1차)'!CCF</definedName>
    <definedName name="SSSC" localSheetId="14">'4-2. 예산내역서(2차)'!CCF</definedName>
    <definedName name="SSSC" localSheetId="15">'4-3. 예산내역서(3차)'!CCF</definedName>
    <definedName name="SSSC" localSheetId="16">'4-4. 예산내역서(4차)'!CCF</definedName>
    <definedName name="SSSC" localSheetId="18">'5-1. 공종별예산조서(1차)'!CCF</definedName>
    <definedName name="SSSC" localSheetId="19">'5-2. 공종별예산조서(2차)'!CCF</definedName>
    <definedName name="SSSC" localSheetId="20">'5-3. 공종별예산조서(3차)'!CCF</definedName>
    <definedName name="SSSC" localSheetId="21">'5-3. 공종별예산조서(4차)'!CCF</definedName>
    <definedName name="SSSC" localSheetId="24">'8-1. 철거발생품 예정조서(1차)'!CCF</definedName>
    <definedName name="SSSC" localSheetId="25">'8-2. 철거발생품 예정조서(2차)'!CCF</definedName>
    <definedName name="SSSC" localSheetId="26">'8-3. 철거발생품 예정조서(3차)'!CCF</definedName>
    <definedName name="SSSC" localSheetId="27">'8-4. 철거발생품 예정조서(4차)'!CCF</definedName>
    <definedName name="SSSSDD">{"'자리배치도'!$AG$1:$CI$28"}</definedName>
    <definedName name="STS" localSheetId="2">{"'용역비'!$A$4:$C$8"}</definedName>
    <definedName name="STS" localSheetId="3">{"'용역비'!$A$4:$C$8"}</definedName>
    <definedName name="STS" localSheetId="4">{"'용역비'!$A$4:$C$8"}</definedName>
    <definedName name="STS" localSheetId="5">{"'용역비'!$A$4:$C$8"}</definedName>
    <definedName name="STS" localSheetId="8">{"'용역비'!$A$4:$C$8"}</definedName>
    <definedName name="STS" localSheetId="9">{"'용역비'!$A$4:$C$8"}</definedName>
    <definedName name="STS" localSheetId="10">{"'용역비'!$A$4:$C$8"}</definedName>
    <definedName name="STS" localSheetId="11">{"'용역비'!$A$4:$C$8"}</definedName>
    <definedName name="STS" localSheetId="13">{"'용역비'!$A$4:$C$8"}</definedName>
    <definedName name="STS" localSheetId="14">{"'용역비'!$A$4:$C$8"}</definedName>
    <definedName name="STS" localSheetId="15">{"'용역비'!$A$4:$C$8"}</definedName>
    <definedName name="STS" localSheetId="16">{"'용역비'!$A$4:$C$8"}</definedName>
    <definedName name="STS" localSheetId="18">{"'용역비'!$A$4:$C$8"}</definedName>
    <definedName name="STS" localSheetId="19">{"'용역비'!$A$4:$C$8"}</definedName>
    <definedName name="STS" localSheetId="20">{"'용역비'!$A$4:$C$8"}</definedName>
    <definedName name="STS" localSheetId="21">{"'용역비'!$A$4:$C$8"}</definedName>
    <definedName name="STS" localSheetId="24">{"'용역비'!$A$4:$C$8"}</definedName>
    <definedName name="STS" localSheetId="25">{"'용역비'!$A$4:$C$8"}</definedName>
    <definedName name="STS" localSheetId="26">{"'용역비'!$A$4:$C$8"}</definedName>
    <definedName name="STS" localSheetId="27">{"'용역비'!$A$4:$C$8"}</definedName>
    <definedName name="STS">{"'용역비'!$A$4:$C$8"}</definedName>
    <definedName name="SUB_M_" localSheetId="28">#REF!</definedName>
    <definedName name="SUB_M_">#REF!</definedName>
    <definedName name="SUB_S_" localSheetId="28">#REF!</definedName>
    <definedName name="SUB_S_">#REF!</definedName>
    <definedName name="sv" localSheetId="28" hidden="1">{#N/A,#N/A,FALSE,"명세표"}</definedName>
    <definedName name="sv" hidden="1">{#N/A,#N/A,FALSE,"명세표"}</definedName>
    <definedName name="SVFGSF" localSheetId="2">'1-1. 설계설명서(1차)'!KJH</definedName>
    <definedName name="SVFGSF" localSheetId="3">'1-1. 설계설명서(2차)'!KJH</definedName>
    <definedName name="SVFGSF" localSheetId="4">'1-1. 설계설명서(3차)'!KJH</definedName>
    <definedName name="SVFGSF" localSheetId="5">'1-1. 설계설명서(4차)'!KJH</definedName>
    <definedName name="SVFGSF" localSheetId="8">'3-1. 예정공정표(1차)'!KJH</definedName>
    <definedName name="SVFGSF" localSheetId="9">'3-2. 예정공정표(2차)'!KJH</definedName>
    <definedName name="SVFGSF" localSheetId="10">'3-3. 예정공정표(3차)'!KJH</definedName>
    <definedName name="SVFGSF" localSheetId="11">'3-4. 예정공정표(4차)'!KJH</definedName>
    <definedName name="SVFGSF" localSheetId="13">'4-1. 예산내역서(1차)'!KJH</definedName>
    <definedName name="SVFGSF" localSheetId="14">'4-2. 예산내역서(2차)'!KJH</definedName>
    <definedName name="SVFGSF" localSheetId="15">'4-3. 예산내역서(3차)'!KJH</definedName>
    <definedName name="SVFGSF" localSheetId="16">'4-4. 예산내역서(4차)'!KJH</definedName>
    <definedName name="SVFGSF" localSheetId="18">'5-1. 공종별예산조서(1차)'!KJH</definedName>
    <definedName name="SVFGSF" localSheetId="19">'5-2. 공종별예산조서(2차)'!KJH</definedName>
    <definedName name="SVFGSF" localSheetId="20">'5-3. 공종별예산조서(3차)'!KJH</definedName>
    <definedName name="SVFGSF" localSheetId="21">'5-3. 공종별예산조서(4차)'!KJH</definedName>
    <definedName name="SVFGSF" localSheetId="24">'8-1. 철거발생품 예정조서(1차)'!KJH</definedName>
    <definedName name="SVFGSF" localSheetId="25">'8-2. 철거발생품 예정조서(2차)'!KJH</definedName>
    <definedName name="SVFGSF" localSheetId="26">'8-3. 철거발생품 예정조서(3차)'!KJH</definedName>
    <definedName name="SVFGSF" localSheetId="27">'8-4. 철거발생품 예정조서(4차)'!KJH</definedName>
    <definedName name="swe" localSheetId="28" hidden="1">{#N/A,#N/A,FALSE,"명세표"}</definedName>
    <definedName name="swe" hidden="1">{#N/A,#N/A,FALSE,"명세표"}</definedName>
    <definedName name="T" localSheetId="2">{"'용역비'!$A$4:$C$8"}</definedName>
    <definedName name="T" localSheetId="3">{"'용역비'!$A$4:$C$8"}</definedName>
    <definedName name="T" localSheetId="4">{"'용역비'!$A$4:$C$8"}</definedName>
    <definedName name="T" localSheetId="5">{"'용역비'!$A$4:$C$8"}</definedName>
    <definedName name="T" localSheetId="8">{"'용역비'!$A$4:$C$8"}</definedName>
    <definedName name="T" localSheetId="9">{"'용역비'!$A$4:$C$8"}</definedName>
    <definedName name="T" localSheetId="10">{"'용역비'!$A$4:$C$8"}</definedName>
    <definedName name="T" localSheetId="11">{"'용역비'!$A$4:$C$8"}</definedName>
    <definedName name="T" localSheetId="13">{"'용역비'!$A$4:$C$8"}</definedName>
    <definedName name="T" localSheetId="14">{"'용역비'!$A$4:$C$8"}</definedName>
    <definedName name="T" localSheetId="15">{"'용역비'!$A$4:$C$8"}</definedName>
    <definedName name="T" localSheetId="16">{"'용역비'!$A$4:$C$8"}</definedName>
    <definedName name="T" localSheetId="18">{"'용역비'!$A$4:$C$8"}</definedName>
    <definedName name="T" localSheetId="19">{"'용역비'!$A$4:$C$8"}</definedName>
    <definedName name="T" localSheetId="20">{"'용역비'!$A$4:$C$8"}</definedName>
    <definedName name="T" localSheetId="21">{"'용역비'!$A$4:$C$8"}</definedName>
    <definedName name="T" localSheetId="24">{"'용역비'!$A$4:$C$8"}</definedName>
    <definedName name="T" localSheetId="25">{"'용역비'!$A$4:$C$8"}</definedName>
    <definedName name="T" localSheetId="26">{"'용역비'!$A$4:$C$8"}</definedName>
    <definedName name="T" localSheetId="27">{"'용역비'!$A$4:$C$8"}</definedName>
    <definedName name="T">{"'용역비'!$A$4:$C$8"}</definedName>
    <definedName name="tab">#REF!</definedName>
    <definedName name="tabie41" localSheetId="28">#REF!</definedName>
    <definedName name="tabie41">#REF!</definedName>
    <definedName name="TABLE" localSheetId="28">#REF!</definedName>
    <definedName name="TABLE">#REF!</definedName>
    <definedName name="TABLE_1" localSheetId="28">#REF!</definedName>
    <definedName name="TABLE_1">#REF!</definedName>
    <definedName name="TABLE_10" localSheetId="28">#REF!</definedName>
    <definedName name="TABLE_10">#REF!</definedName>
    <definedName name="TABLE_100" localSheetId="28">#REF!</definedName>
    <definedName name="TABLE_100">#REF!</definedName>
    <definedName name="table_101" localSheetId="28">#REF!</definedName>
    <definedName name="table_101">#REF!</definedName>
    <definedName name="TABLE_11" localSheetId="28">#REF!</definedName>
    <definedName name="TABLE_11">#REF!</definedName>
    <definedName name="TABLE_12" localSheetId="28">#REF!</definedName>
    <definedName name="TABLE_12">#REF!</definedName>
    <definedName name="table_120" localSheetId="28">#REF!</definedName>
    <definedName name="table_120">#REF!</definedName>
    <definedName name="TABLE_13" localSheetId="28">#REF!</definedName>
    <definedName name="TABLE_13">#REF!</definedName>
    <definedName name="TABLE_14" localSheetId="28">#REF!</definedName>
    <definedName name="TABLE_14">#REF!</definedName>
    <definedName name="TABLE_15" localSheetId="28">#REF!</definedName>
    <definedName name="TABLE_15">#REF!</definedName>
    <definedName name="TABLE_16" localSheetId="28">#REF!</definedName>
    <definedName name="TABLE_16">#REF!</definedName>
    <definedName name="TABLE_17" localSheetId="28">#REF!</definedName>
    <definedName name="TABLE_17">#REF!</definedName>
    <definedName name="TABLE_18" localSheetId="28">#REF!</definedName>
    <definedName name="TABLE_18">#REF!</definedName>
    <definedName name="TABLE_19" localSheetId="28">#REF!</definedName>
    <definedName name="TABLE_19">#REF!</definedName>
    <definedName name="TABLE_2" localSheetId="28">#REF!</definedName>
    <definedName name="TABLE_2">#REF!</definedName>
    <definedName name="TABLE_20" localSheetId="28">#REF!</definedName>
    <definedName name="TABLE_20">#REF!</definedName>
    <definedName name="TABLE_21" localSheetId="28">#REF!</definedName>
    <definedName name="TABLE_21">#REF!</definedName>
    <definedName name="TABLE_22" localSheetId="28">#REF!</definedName>
    <definedName name="TABLE_22">#REF!</definedName>
    <definedName name="TABLE_23" localSheetId="28">#REF!</definedName>
    <definedName name="TABLE_23">#REF!</definedName>
    <definedName name="TABLE_24" localSheetId="28">#REF!</definedName>
    <definedName name="TABLE_24">#REF!</definedName>
    <definedName name="TABLE_25" localSheetId="28">#REF!</definedName>
    <definedName name="TABLE_25">#REF!</definedName>
    <definedName name="TABLE_26" localSheetId="28">#REF!</definedName>
    <definedName name="TABLE_26">#REF!</definedName>
    <definedName name="TABLE_27" localSheetId="28">#REF!</definedName>
    <definedName name="TABLE_27">#REF!</definedName>
    <definedName name="TABLE_28" localSheetId="28">#REF!</definedName>
    <definedName name="TABLE_28">#REF!</definedName>
    <definedName name="TABLE_29" localSheetId="28">#REF!</definedName>
    <definedName name="TABLE_29">#REF!</definedName>
    <definedName name="TABLE_3" localSheetId="28">#REF!</definedName>
    <definedName name="TABLE_3">#REF!</definedName>
    <definedName name="TABLE_30" localSheetId="28">#REF!</definedName>
    <definedName name="TABLE_30">#REF!</definedName>
    <definedName name="TABLE_31" localSheetId="28">#REF!</definedName>
    <definedName name="TABLE_31">#REF!</definedName>
    <definedName name="TABLE_32" localSheetId="28">#REF!</definedName>
    <definedName name="TABLE_32">#REF!</definedName>
    <definedName name="TABLE_33" localSheetId="28">#REF!</definedName>
    <definedName name="TABLE_33">#REF!</definedName>
    <definedName name="table_336" localSheetId="28">#REF!</definedName>
    <definedName name="table_336">#REF!</definedName>
    <definedName name="TABLE_34" localSheetId="28">#REF!</definedName>
    <definedName name="TABLE_34">#REF!</definedName>
    <definedName name="TABLE_35" localSheetId="28">#REF!</definedName>
    <definedName name="TABLE_35">#REF!</definedName>
    <definedName name="TABLE_36" localSheetId="28">#REF!</definedName>
    <definedName name="TABLE_36">#REF!</definedName>
    <definedName name="TABLE_37" localSheetId="28">#REF!</definedName>
    <definedName name="TABLE_37">#REF!</definedName>
    <definedName name="TABLE_38" localSheetId="28">#REF!</definedName>
    <definedName name="TABLE_38">#REF!</definedName>
    <definedName name="TABLE_39" localSheetId="28">#REF!</definedName>
    <definedName name="TABLE_39">#REF!</definedName>
    <definedName name="TABLE_4" localSheetId="28">#REF!</definedName>
    <definedName name="TABLE_4">#REF!</definedName>
    <definedName name="TABLE_40" localSheetId="28">#REF!</definedName>
    <definedName name="TABLE_40">#REF!</definedName>
    <definedName name="TABLE_41" localSheetId="28">#REF!</definedName>
    <definedName name="TABLE_41">#REF!</definedName>
    <definedName name="TABLE_42" localSheetId="28">#REF!</definedName>
    <definedName name="TABLE_42">#REF!</definedName>
    <definedName name="TABLE_43" localSheetId="28">#REF!</definedName>
    <definedName name="TABLE_43">#REF!</definedName>
    <definedName name="TABLE_44" localSheetId="28">#REF!</definedName>
    <definedName name="TABLE_44">#REF!</definedName>
    <definedName name="TABLE_45" localSheetId="28">#REF!</definedName>
    <definedName name="TABLE_45">#REF!</definedName>
    <definedName name="TABLE_46" localSheetId="28">#REF!</definedName>
    <definedName name="TABLE_46">#REF!</definedName>
    <definedName name="TABLE_47" localSheetId="28">#REF!</definedName>
    <definedName name="TABLE_47">#REF!</definedName>
    <definedName name="TABLE_48" localSheetId="28">#REF!</definedName>
    <definedName name="TABLE_48">#REF!</definedName>
    <definedName name="TABLE_49" localSheetId="28">#REF!</definedName>
    <definedName name="TABLE_49">#REF!</definedName>
    <definedName name="TABLE_5" localSheetId="28">#REF!</definedName>
    <definedName name="TABLE_5">#REF!</definedName>
    <definedName name="TABLE_50" localSheetId="28">#REF!</definedName>
    <definedName name="TABLE_50">#REF!</definedName>
    <definedName name="TABLE_51" localSheetId="28">#REF!</definedName>
    <definedName name="TABLE_51">#REF!</definedName>
    <definedName name="TABLE_52" localSheetId="28">#REF!</definedName>
    <definedName name="TABLE_52">#REF!</definedName>
    <definedName name="TABLE_53" localSheetId="28">#REF!</definedName>
    <definedName name="TABLE_53">#REF!</definedName>
    <definedName name="TABLE_54" localSheetId="28">#REF!</definedName>
    <definedName name="TABLE_54">#REF!</definedName>
    <definedName name="TABLE_55" localSheetId="28">#REF!</definedName>
    <definedName name="TABLE_55">#REF!</definedName>
    <definedName name="TABLE_56" localSheetId="28">#REF!</definedName>
    <definedName name="TABLE_56">#REF!</definedName>
    <definedName name="TABLE_57" localSheetId="28">#REF!</definedName>
    <definedName name="TABLE_57">#REF!</definedName>
    <definedName name="TABLE_58" localSheetId="28">#REF!</definedName>
    <definedName name="TABLE_58">#REF!</definedName>
    <definedName name="TABLE_59" localSheetId="28">#REF!</definedName>
    <definedName name="TABLE_59">#REF!</definedName>
    <definedName name="TABLE_6" localSheetId="28">#REF!</definedName>
    <definedName name="TABLE_6">#REF!</definedName>
    <definedName name="TABLE_60" localSheetId="28">#REF!</definedName>
    <definedName name="TABLE_60">#REF!</definedName>
    <definedName name="TABLE_61" localSheetId="28">#REF!</definedName>
    <definedName name="TABLE_61">#REF!</definedName>
    <definedName name="TABLE_62" localSheetId="28">#REF!</definedName>
    <definedName name="TABLE_62">#REF!</definedName>
    <definedName name="TABLE_63" localSheetId="28">#REF!</definedName>
    <definedName name="TABLE_63">#REF!</definedName>
    <definedName name="TABLE_64" localSheetId="28">#REF!</definedName>
    <definedName name="TABLE_64">#REF!</definedName>
    <definedName name="TABLE_65" localSheetId="28">#REF!</definedName>
    <definedName name="TABLE_65">#REF!</definedName>
    <definedName name="TABLE_66" localSheetId="28">#REF!</definedName>
    <definedName name="TABLE_66">#REF!</definedName>
    <definedName name="TABLE_67" localSheetId="28">#REF!</definedName>
    <definedName name="TABLE_67">#REF!</definedName>
    <definedName name="TABLE_68" localSheetId="28">#REF!</definedName>
    <definedName name="TABLE_68">#REF!</definedName>
    <definedName name="TABLE_69" localSheetId="28">#REF!</definedName>
    <definedName name="TABLE_69">#REF!</definedName>
    <definedName name="TABLE_7" localSheetId="28">#REF!</definedName>
    <definedName name="TABLE_7">#REF!</definedName>
    <definedName name="TABLE_8" localSheetId="28">#REF!</definedName>
    <definedName name="TABLE_8">#REF!</definedName>
    <definedName name="TABLE_9" localSheetId="28">#REF!</definedName>
    <definedName name="TABLE_9">#REF!</definedName>
    <definedName name="table1" localSheetId="28">#REF!</definedName>
    <definedName name="table1">#REF!</definedName>
    <definedName name="table100" localSheetId="28">#REF!</definedName>
    <definedName name="table100">#REF!</definedName>
    <definedName name="table13" localSheetId="28">#REF!</definedName>
    <definedName name="table13">#REF!</definedName>
    <definedName name="table14" localSheetId="28">#REF!</definedName>
    <definedName name="table14">#REF!</definedName>
    <definedName name="table21" localSheetId="28">#REF!</definedName>
    <definedName name="table21">#REF!</definedName>
    <definedName name="TEYJ" localSheetId="2">{"'용역비'!$A$4:$C$8"}</definedName>
    <definedName name="TEYJ" localSheetId="3">{"'용역비'!$A$4:$C$8"}</definedName>
    <definedName name="TEYJ" localSheetId="4">{"'용역비'!$A$4:$C$8"}</definedName>
    <definedName name="TEYJ" localSheetId="5">{"'용역비'!$A$4:$C$8"}</definedName>
    <definedName name="TEYJ" localSheetId="8">{"'용역비'!$A$4:$C$8"}</definedName>
    <definedName name="TEYJ" localSheetId="9">{"'용역비'!$A$4:$C$8"}</definedName>
    <definedName name="TEYJ" localSheetId="10">{"'용역비'!$A$4:$C$8"}</definedName>
    <definedName name="TEYJ" localSheetId="11">{"'용역비'!$A$4:$C$8"}</definedName>
    <definedName name="TEYJ" localSheetId="13">{"'용역비'!$A$4:$C$8"}</definedName>
    <definedName name="TEYJ" localSheetId="14">{"'용역비'!$A$4:$C$8"}</definedName>
    <definedName name="TEYJ" localSheetId="15">{"'용역비'!$A$4:$C$8"}</definedName>
    <definedName name="TEYJ" localSheetId="16">{"'용역비'!$A$4:$C$8"}</definedName>
    <definedName name="TEYJ" localSheetId="18">{"'용역비'!$A$4:$C$8"}</definedName>
    <definedName name="TEYJ" localSheetId="19">{"'용역비'!$A$4:$C$8"}</definedName>
    <definedName name="TEYJ" localSheetId="20">{"'용역비'!$A$4:$C$8"}</definedName>
    <definedName name="TEYJ" localSheetId="21">{"'용역비'!$A$4:$C$8"}</definedName>
    <definedName name="TEYJ" localSheetId="24">{"'용역비'!$A$4:$C$8"}</definedName>
    <definedName name="TEYJ" localSheetId="25">{"'용역비'!$A$4:$C$8"}</definedName>
    <definedName name="TEYJ" localSheetId="26">{"'용역비'!$A$4:$C$8"}</definedName>
    <definedName name="TEYJ" localSheetId="27">{"'용역비'!$A$4:$C$8"}</definedName>
    <definedName name="TEYJ">{"'용역비'!$A$4:$C$8"}</definedName>
    <definedName name="TFUI" localSheetId="2">{"'용역비'!$A$4:$C$8"}</definedName>
    <definedName name="TFUI" localSheetId="3">{"'용역비'!$A$4:$C$8"}</definedName>
    <definedName name="TFUI" localSheetId="4">{"'용역비'!$A$4:$C$8"}</definedName>
    <definedName name="TFUI" localSheetId="5">{"'용역비'!$A$4:$C$8"}</definedName>
    <definedName name="TFUI" localSheetId="8">{"'용역비'!$A$4:$C$8"}</definedName>
    <definedName name="TFUI" localSheetId="9">{"'용역비'!$A$4:$C$8"}</definedName>
    <definedName name="TFUI" localSheetId="10">{"'용역비'!$A$4:$C$8"}</definedName>
    <definedName name="TFUI" localSheetId="11">{"'용역비'!$A$4:$C$8"}</definedName>
    <definedName name="TFUI" localSheetId="13">{"'용역비'!$A$4:$C$8"}</definedName>
    <definedName name="TFUI" localSheetId="14">{"'용역비'!$A$4:$C$8"}</definedName>
    <definedName name="TFUI" localSheetId="15">{"'용역비'!$A$4:$C$8"}</definedName>
    <definedName name="TFUI" localSheetId="16">{"'용역비'!$A$4:$C$8"}</definedName>
    <definedName name="TFUI" localSheetId="18">{"'용역비'!$A$4:$C$8"}</definedName>
    <definedName name="TFUI" localSheetId="19">{"'용역비'!$A$4:$C$8"}</definedName>
    <definedName name="TFUI" localSheetId="20">{"'용역비'!$A$4:$C$8"}</definedName>
    <definedName name="TFUI" localSheetId="21">{"'용역비'!$A$4:$C$8"}</definedName>
    <definedName name="TFUI" localSheetId="24">{"'용역비'!$A$4:$C$8"}</definedName>
    <definedName name="TFUI" localSheetId="25">{"'용역비'!$A$4:$C$8"}</definedName>
    <definedName name="TFUI" localSheetId="26">{"'용역비'!$A$4:$C$8"}</definedName>
    <definedName name="TFUI" localSheetId="27">{"'용역비'!$A$4:$C$8"}</definedName>
    <definedName name="TFUI">{"'용역비'!$A$4:$C$8"}</definedName>
    <definedName name="tg" localSheetId="28">#REF!</definedName>
    <definedName name="tg">#REF!</definedName>
    <definedName name="tjrdth" localSheetId="28">#REF!</definedName>
    <definedName name="tjrdth">#REF!</definedName>
    <definedName name="tjsfh" localSheetId="28">#REF!</definedName>
    <definedName name="tjsfh">#REF!</definedName>
    <definedName name="total" localSheetId="28">#REF!</definedName>
    <definedName name="total">#REF!</definedName>
    <definedName name="TOTAL1" localSheetId="28">#REF!</definedName>
    <definedName name="TOTAL1">#REF!</definedName>
    <definedName name="TOTAL2" localSheetId="28">#REF!</definedName>
    <definedName name="TOTAL2">#REF!</definedName>
    <definedName name="TOTAL3" localSheetId="28">#REF!</definedName>
    <definedName name="TOTAL3">#REF!</definedName>
    <definedName name="TOTAL4" localSheetId="28">#REF!</definedName>
    <definedName name="TOTAL4">#REF!</definedName>
    <definedName name="TRRR" localSheetId="2">'1-1. 설계설명서(1차)'!TRRR</definedName>
    <definedName name="TRRR" localSheetId="3">'1-1. 설계설명서(2차)'!TRRR</definedName>
    <definedName name="TRRR" localSheetId="4">'1-1. 설계설명서(3차)'!TRRR</definedName>
    <definedName name="TRRR" localSheetId="5">'1-1. 설계설명서(4차)'!TRRR</definedName>
    <definedName name="TRRR" localSheetId="8">'3-1. 예정공정표(1차)'!TRRR</definedName>
    <definedName name="TRRR" localSheetId="9">'3-2. 예정공정표(2차)'!TRRR</definedName>
    <definedName name="TRRR" localSheetId="10">'3-3. 예정공정표(3차)'!TRRR</definedName>
    <definedName name="TRRR" localSheetId="11">'3-4. 예정공정표(4차)'!TRRR</definedName>
    <definedName name="TRRR" localSheetId="13">'4-1. 예산내역서(1차)'!TRRR</definedName>
    <definedName name="TRRR" localSheetId="14">'4-2. 예산내역서(2차)'!TRRR</definedName>
    <definedName name="TRRR" localSheetId="15">'4-3. 예산내역서(3차)'!TRRR</definedName>
    <definedName name="TRRR" localSheetId="16">'4-4. 예산내역서(4차)'!TRRR</definedName>
    <definedName name="TRRR" localSheetId="18">'5-1. 공종별예산조서(1차)'!TRRR</definedName>
    <definedName name="TRRR" localSheetId="19">'5-2. 공종별예산조서(2차)'!TRRR</definedName>
    <definedName name="TRRR" localSheetId="20">'5-3. 공종별예산조서(3차)'!TRRR</definedName>
    <definedName name="TRRR" localSheetId="21">'5-3. 공종별예산조서(4차)'!TRRR</definedName>
    <definedName name="TRRR" localSheetId="24">'8-1. 철거발생품 예정조서(1차)'!TRRR</definedName>
    <definedName name="TRRR" localSheetId="25">'8-2. 철거발생품 예정조서(2차)'!TRRR</definedName>
    <definedName name="TRRR" localSheetId="26">'8-3. 철거발생품 예정조서(3차)'!TRRR</definedName>
    <definedName name="TRRR" localSheetId="27">'8-4. 철거발생품 예정조서(4차)'!TRRR</definedName>
    <definedName name="tryrtg" localSheetId="2">'1-1. 설계설명서(1차)'!bvvc</definedName>
    <definedName name="tryrtg" localSheetId="3">'1-1. 설계설명서(2차)'!bvvc</definedName>
    <definedName name="tryrtg" localSheetId="4">'1-1. 설계설명서(3차)'!bvvc</definedName>
    <definedName name="tryrtg" localSheetId="5">'1-1. 설계설명서(4차)'!bvvc</definedName>
    <definedName name="tryrtg" localSheetId="8">'3-1. 예정공정표(1차)'!bvvc</definedName>
    <definedName name="tryrtg" localSheetId="9">'3-2. 예정공정표(2차)'!bvvc</definedName>
    <definedName name="tryrtg" localSheetId="10">'3-3. 예정공정표(3차)'!bvvc</definedName>
    <definedName name="tryrtg" localSheetId="11">'3-4. 예정공정표(4차)'!bvvc</definedName>
    <definedName name="tryrtg" localSheetId="13">'4-1. 예산내역서(1차)'!bvvc</definedName>
    <definedName name="tryrtg" localSheetId="14">'4-2. 예산내역서(2차)'!bvvc</definedName>
    <definedName name="tryrtg" localSheetId="15">'4-3. 예산내역서(3차)'!bvvc</definedName>
    <definedName name="tryrtg" localSheetId="16">'4-4. 예산내역서(4차)'!bvvc</definedName>
    <definedName name="tryrtg" localSheetId="18">'5-1. 공종별예산조서(1차)'!bvvc</definedName>
    <definedName name="tryrtg" localSheetId="19">'5-2. 공종별예산조서(2차)'!bvvc</definedName>
    <definedName name="tryrtg" localSheetId="20">'5-3. 공종별예산조서(3차)'!bvvc</definedName>
    <definedName name="tryrtg" localSheetId="21">'5-3. 공종별예산조서(4차)'!bvvc</definedName>
    <definedName name="tryrtg" localSheetId="24">'8-1. 철거발생품 예정조서(1차)'!bvvc</definedName>
    <definedName name="tryrtg" localSheetId="25">'8-2. 철거발생품 예정조서(2차)'!bvvc</definedName>
    <definedName name="tryrtg" localSheetId="26">'8-3. 철거발생품 예정조서(3차)'!bvvc</definedName>
    <definedName name="tryrtg" localSheetId="27">'8-4. 철거발생품 예정조서(4차)'!bvvc</definedName>
    <definedName name="tttttt">{"'자리배치도'!$AG$1:$CI$28"}</definedName>
    <definedName name="ttyt" localSheetId="28">#REF!</definedName>
    <definedName name="ttyt">#REF!</definedName>
    <definedName name="tu" localSheetId="2">{"'용역비'!$A$4:$C$8"}</definedName>
    <definedName name="tu" localSheetId="3">{"'용역비'!$A$4:$C$8"}</definedName>
    <definedName name="tu" localSheetId="4">{"'용역비'!$A$4:$C$8"}</definedName>
    <definedName name="tu" localSheetId="5">{"'용역비'!$A$4:$C$8"}</definedName>
    <definedName name="tu" localSheetId="8">{"'용역비'!$A$4:$C$8"}</definedName>
    <definedName name="tu" localSheetId="9">{"'용역비'!$A$4:$C$8"}</definedName>
    <definedName name="tu" localSheetId="10">{"'용역비'!$A$4:$C$8"}</definedName>
    <definedName name="tu" localSheetId="11">{"'용역비'!$A$4:$C$8"}</definedName>
    <definedName name="tu" localSheetId="13">{"'용역비'!$A$4:$C$8"}</definedName>
    <definedName name="tu" localSheetId="14">{"'용역비'!$A$4:$C$8"}</definedName>
    <definedName name="tu" localSheetId="15">{"'용역비'!$A$4:$C$8"}</definedName>
    <definedName name="tu" localSheetId="16">{"'용역비'!$A$4:$C$8"}</definedName>
    <definedName name="tu" localSheetId="18">{"'용역비'!$A$4:$C$8"}</definedName>
    <definedName name="tu" localSheetId="19">{"'용역비'!$A$4:$C$8"}</definedName>
    <definedName name="tu" localSheetId="20">{"'용역비'!$A$4:$C$8"}</definedName>
    <definedName name="tu" localSheetId="21">{"'용역비'!$A$4:$C$8"}</definedName>
    <definedName name="tu" localSheetId="24">{"'용역비'!$A$4:$C$8"}</definedName>
    <definedName name="tu" localSheetId="25">{"'용역비'!$A$4:$C$8"}</definedName>
    <definedName name="tu" localSheetId="26">{"'용역비'!$A$4:$C$8"}</definedName>
    <definedName name="tu" localSheetId="27">{"'용역비'!$A$4:$C$8"}</definedName>
    <definedName name="tu">{"'용역비'!$A$4:$C$8"}</definedName>
    <definedName name="tuilol" localSheetId="2">{"'용역비'!$A$4:$C$8"}</definedName>
    <definedName name="tuilol" localSheetId="3">{"'용역비'!$A$4:$C$8"}</definedName>
    <definedName name="tuilol" localSheetId="4">{"'용역비'!$A$4:$C$8"}</definedName>
    <definedName name="tuilol" localSheetId="5">{"'용역비'!$A$4:$C$8"}</definedName>
    <definedName name="tuilol" localSheetId="8">{"'용역비'!$A$4:$C$8"}</definedName>
    <definedName name="tuilol" localSheetId="9">{"'용역비'!$A$4:$C$8"}</definedName>
    <definedName name="tuilol" localSheetId="10">{"'용역비'!$A$4:$C$8"}</definedName>
    <definedName name="tuilol" localSheetId="11">{"'용역비'!$A$4:$C$8"}</definedName>
    <definedName name="tuilol" localSheetId="13">{"'용역비'!$A$4:$C$8"}</definedName>
    <definedName name="tuilol" localSheetId="14">{"'용역비'!$A$4:$C$8"}</definedName>
    <definedName name="tuilol" localSheetId="15">{"'용역비'!$A$4:$C$8"}</definedName>
    <definedName name="tuilol" localSheetId="16">{"'용역비'!$A$4:$C$8"}</definedName>
    <definedName name="tuilol" localSheetId="18">{"'용역비'!$A$4:$C$8"}</definedName>
    <definedName name="tuilol" localSheetId="19">{"'용역비'!$A$4:$C$8"}</definedName>
    <definedName name="tuilol" localSheetId="20">{"'용역비'!$A$4:$C$8"}</definedName>
    <definedName name="tuilol" localSheetId="21">{"'용역비'!$A$4:$C$8"}</definedName>
    <definedName name="tuilol" localSheetId="24">{"'용역비'!$A$4:$C$8"}</definedName>
    <definedName name="tuilol" localSheetId="25">{"'용역비'!$A$4:$C$8"}</definedName>
    <definedName name="tuilol" localSheetId="26">{"'용역비'!$A$4:$C$8"}</definedName>
    <definedName name="tuilol" localSheetId="27">{"'용역비'!$A$4:$C$8"}</definedName>
    <definedName name="tuilol">{"'용역비'!$A$4:$C$8"}</definedName>
    <definedName name="TUIO" localSheetId="2">{"'용역비'!$A$4:$C$8"}</definedName>
    <definedName name="TUIO" localSheetId="3">{"'용역비'!$A$4:$C$8"}</definedName>
    <definedName name="TUIO" localSheetId="4">{"'용역비'!$A$4:$C$8"}</definedName>
    <definedName name="TUIO" localSheetId="5">{"'용역비'!$A$4:$C$8"}</definedName>
    <definedName name="TUIO" localSheetId="8">{"'용역비'!$A$4:$C$8"}</definedName>
    <definedName name="TUIO" localSheetId="9">{"'용역비'!$A$4:$C$8"}</definedName>
    <definedName name="TUIO" localSheetId="10">{"'용역비'!$A$4:$C$8"}</definedName>
    <definedName name="TUIO" localSheetId="11">{"'용역비'!$A$4:$C$8"}</definedName>
    <definedName name="TUIO" localSheetId="13">{"'용역비'!$A$4:$C$8"}</definedName>
    <definedName name="TUIO" localSheetId="14">{"'용역비'!$A$4:$C$8"}</definedName>
    <definedName name="TUIO" localSheetId="15">{"'용역비'!$A$4:$C$8"}</definedName>
    <definedName name="TUIO" localSheetId="16">{"'용역비'!$A$4:$C$8"}</definedName>
    <definedName name="TUIO" localSheetId="18">{"'용역비'!$A$4:$C$8"}</definedName>
    <definedName name="TUIO" localSheetId="19">{"'용역비'!$A$4:$C$8"}</definedName>
    <definedName name="TUIO" localSheetId="20">{"'용역비'!$A$4:$C$8"}</definedName>
    <definedName name="TUIO" localSheetId="21">{"'용역비'!$A$4:$C$8"}</definedName>
    <definedName name="TUIO" localSheetId="24">{"'용역비'!$A$4:$C$8"}</definedName>
    <definedName name="TUIO" localSheetId="25">{"'용역비'!$A$4:$C$8"}</definedName>
    <definedName name="TUIO" localSheetId="26">{"'용역비'!$A$4:$C$8"}</definedName>
    <definedName name="TUIO" localSheetId="27">{"'용역비'!$A$4:$C$8"}</definedName>
    <definedName name="TUIO">{"'용역비'!$A$4:$C$8"}</definedName>
    <definedName name="TUIO.L" localSheetId="2">{"'용역비'!$A$4:$C$8"}</definedName>
    <definedName name="TUIO.L" localSheetId="3">{"'용역비'!$A$4:$C$8"}</definedName>
    <definedName name="TUIO.L" localSheetId="4">{"'용역비'!$A$4:$C$8"}</definedName>
    <definedName name="TUIO.L" localSheetId="5">{"'용역비'!$A$4:$C$8"}</definedName>
    <definedName name="TUIO.L" localSheetId="8">{"'용역비'!$A$4:$C$8"}</definedName>
    <definedName name="TUIO.L" localSheetId="9">{"'용역비'!$A$4:$C$8"}</definedName>
    <definedName name="TUIO.L" localSheetId="10">{"'용역비'!$A$4:$C$8"}</definedName>
    <definedName name="TUIO.L" localSheetId="11">{"'용역비'!$A$4:$C$8"}</definedName>
    <definedName name="TUIO.L" localSheetId="13">{"'용역비'!$A$4:$C$8"}</definedName>
    <definedName name="TUIO.L" localSheetId="14">{"'용역비'!$A$4:$C$8"}</definedName>
    <definedName name="TUIO.L" localSheetId="15">{"'용역비'!$A$4:$C$8"}</definedName>
    <definedName name="TUIO.L" localSheetId="16">{"'용역비'!$A$4:$C$8"}</definedName>
    <definedName name="TUIO.L" localSheetId="18">{"'용역비'!$A$4:$C$8"}</definedName>
    <definedName name="TUIO.L" localSheetId="19">{"'용역비'!$A$4:$C$8"}</definedName>
    <definedName name="TUIO.L" localSheetId="20">{"'용역비'!$A$4:$C$8"}</definedName>
    <definedName name="TUIO.L" localSheetId="21">{"'용역비'!$A$4:$C$8"}</definedName>
    <definedName name="TUIO.L" localSheetId="24">{"'용역비'!$A$4:$C$8"}</definedName>
    <definedName name="TUIO.L" localSheetId="25">{"'용역비'!$A$4:$C$8"}</definedName>
    <definedName name="TUIO.L" localSheetId="26">{"'용역비'!$A$4:$C$8"}</definedName>
    <definedName name="TUIO.L" localSheetId="27">{"'용역비'!$A$4:$C$8"}</definedName>
    <definedName name="TUIO.L">{"'용역비'!$A$4:$C$8"}</definedName>
    <definedName name="TUIOTUI" localSheetId="2">{"'용역비'!$A$4:$C$8"}</definedName>
    <definedName name="TUIOTUI" localSheetId="3">{"'용역비'!$A$4:$C$8"}</definedName>
    <definedName name="TUIOTUI" localSheetId="4">{"'용역비'!$A$4:$C$8"}</definedName>
    <definedName name="TUIOTUI" localSheetId="5">{"'용역비'!$A$4:$C$8"}</definedName>
    <definedName name="TUIOTUI" localSheetId="8">{"'용역비'!$A$4:$C$8"}</definedName>
    <definedName name="TUIOTUI" localSheetId="9">{"'용역비'!$A$4:$C$8"}</definedName>
    <definedName name="TUIOTUI" localSheetId="10">{"'용역비'!$A$4:$C$8"}</definedName>
    <definedName name="TUIOTUI" localSheetId="11">{"'용역비'!$A$4:$C$8"}</definedName>
    <definedName name="TUIOTUI" localSheetId="13">{"'용역비'!$A$4:$C$8"}</definedName>
    <definedName name="TUIOTUI" localSheetId="14">{"'용역비'!$A$4:$C$8"}</definedName>
    <definedName name="TUIOTUI" localSheetId="15">{"'용역비'!$A$4:$C$8"}</definedName>
    <definedName name="TUIOTUI" localSheetId="16">{"'용역비'!$A$4:$C$8"}</definedName>
    <definedName name="TUIOTUI" localSheetId="18">{"'용역비'!$A$4:$C$8"}</definedName>
    <definedName name="TUIOTUI" localSheetId="19">{"'용역비'!$A$4:$C$8"}</definedName>
    <definedName name="TUIOTUI" localSheetId="20">{"'용역비'!$A$4:$C$8"}</definedName>
    <definedName name="TUIOTUI" localSheetId="21">{"'용역비'!$A$4:$C$8"}</definedName>
    <definedName name="TUIOTUI" localSheetId="24">{"'용역비'!$A$4:$C$8"}</definedName>
    <definedName name="TUIOTUI" localSheetId="25">{"'용역비'!$A$4:$C$8"}</definedName>
    <definedName name="TUIOTUI" localSheetId="26">{"'용역비'!$A$4:$C$8"}</definedName>
    <definedName name="TUIOTUI" localSheetId="27">{"'용역비'!$A$4:$C$8"}</definedName>
    <definedName name="TUIOTUI">{"'용역비'!$A$4:$C$8"}</definedName>
    <definedName name="tuu" localSheetId="2">'1-1. 설계설명서(1차)'!frt</definedName>
    <definedName name="tuu" localSheetId="3">'1-1. 설계설명서(2차)'!frt</definedName>
    <definedName name="tuu" localSheetId="4">'1-1. 설계설명서(3차)'!frt</definedName>
    <definedName name="tuu" localSheetId="5">'1-1. 설계설명서(4차)'!frt</definedName>
    <definedName name="tuu" localSheetId="8">'3-1. 예정공정표(1차)'!frt</definedName>
    <definedName name="tuu" localSheetId="9">'3-2. 예정공정표(2차)'!frt</definedName>
    <definedName name="tuu" localSheetId="10">'3-3. 예정공정표(3차)'!frt</definedName>
    <definedName name="tuu" localSheetId="11">'3-4. 예정공정표(4차)'!frt</definedName>
    <definedName name="tuu" localSheetId="13">'4-1. 예산내역서(1차)'!frt</definedName>
    <definedName name="tuu" localSheetId="14">'4-2. 예산내역서(2차)'!frt</definedName>
    <definedName name="tuu" localSheetId="15">'4-3. 예산내역서(3차)'!frt</definedName>
    <definedName name="tuu" localSheetId="16">'4-4. 예산내역서(4차)'!frt</definedName>
    <definedName name="tuu" localSheetId="18">'5-1. 공종별예산조서(1차)'!frt</definedName>
    <definedName name="tuu" localSheetId="19">'5-2. 공종별예산조서(2차)'!frt</definedName>
    <definedName name="tuu" localSheetId="20">'5-3. 공종별예산조서(3차)'!frt</definedName>
    <definedName name="tuu" localSheetId="21">'5-3. 공종별예산조서(4차)'!frt</definedName>
    <definedName name="tuu" localSheetId="24">'8-1. 철거발생품 예정조서(1차)'!frt</definedName>
    <definedName name="tuu" localSheetId="25">'8-2. 철거발생품 예정조서(2차)'!frt</definedName>
    <definedName name="tuu" localSheetId="26">'8-3. 철거발생품 예정조서(3차)'!frt</definedName>
    <definedName name="tuu" localSheetId="27">'8-4. 철거발생품 예정조서(4차)'!frt</definedName>
    <definedName name="TV설비" localSheetId="28">#REF!</definedName>
    <definedName name="TV설비">#REF!</definedName>
    <definedName name="TYH" localSheetId="2">'1-1. 설계설명서(1차)'!TYH</definedName>
    <definedName name="TYH" localSheetId="3">'1-1. 설계설명서(2차)'!TYH</definedName>
    <definedName name="TYH" localSheetId="4">'1-1. 설계설명서(3차)'!TYH</definedName>
    <definedName name="TYH" localSheetId="5">'1-1. 설계설명서(4차)'!TYH</definedName>
    <definedName name="TYH" localSheetId="8">'3-1. 예정공정표(1차)'!TYH</definedName>
    <definedName name="TYH" localSheetId="9">'3-2. 예정공정표(2차)'!TYH</definedName>
    <definedName name="TYH" localSheetId="10">'3-3. 예정공정표(3차)'!TYH</definedName>
    <definedName name="TYH" localSheetId="11">'3-4. 예정공정표(4차)'!TYH</definedName>
    <definedName name="TYH" localSheetId="13">'4-1. 예산내역서(1차)'!TYH</definedName>
    <definedName name="TYH" localSheetId="14">'4-2. 예산내역서(2차)'!TYH</definedName>
    <definedName name="TYH" localSheetId="15">'4-3. 예산내역서(3차)'!TYH</definedName>
    <definedName name="TYH" localSheetId="16">'4-4. 예산내역서(4차)'!TYH</definedName>
    <definedName name="TYH" localSheetId="18">'5-1. 공종별예산조서(1차)'!TYH</definedName>
    <definedName name="TYH" localSheetId="19">'5-2. 공종별예산조서(2차)'!TYH</definedName>
    <definedName name="TYH" localSheetId="20">'5-3. 공종별예산조서(3차)'!TYH</definedName>
    <definedName name="TYH" localSheetId="21">'5-3. 공종별예산조서(4차)'!TYH</definedName>
    <definedName name="TYH" localSheetId="24">'8-1. 철거발생품 예정조서(1차)'!TYH</definedName>
    <definedName name="TYH" localSheetId="25">'8-2. 철거발생품 예정조서(2차)'!TYH</definedName>
    <definedName name="TYH" localSheetId="26">'8-3. 철거발생품 예정조서(3차)'!TYH</definedName>
    <definedName name="TYH" localSheetId="27">'8-4. 철거발생품 예정조서(4차)'!TYH</definedName>
    <definedName name="tyje" localSheetId="2">{"'용역비'!$A$4:$C$8"}</definedName>
    <definedName name="tyje" localSheetId="3">{"'용역비'!$A$4:$C$8"}</definedName>
    <definedName name="tyje" localSheetId="4">{"'용역비'!$A$4:$C$8"}</definedName>
    <definedName name="tyje" localSheetId="5">{"'용역비'!$A$4:$C$8"}</definedName>
    <definedName name="tyje" localSheetId="8">{"'용역비'!$A$4:$C$8"}</definedName>
    <definedName name="tyje" localSheetId="9">{"'용역비'!$A$4:$C$8"}</definedName>
    <definedName name="tyje" localSheetId="10">{"'용역비'!$A$4:$C$8"}</definedName>
    <definedName name="tyje" localSheetId="11">{"'용역비'!$A$4:$C$8"}</definedName>
    <definedName name="tyje" localSheetId="13">{"'용역비'!$A$4:$C$8"}</definedName>
    <definedName name="tyje" localSheetId="14">{"'용역비'!$A$4:$C$8"}</definedName>
    <definedName name="tyje" localSheetId="15">{"'용역비'!$A$4:$C$8"}</definedName>
    <definedName name="tyje" localSheetId="16">{"'용역비'!$A$4:$C$8"}</definedName>
    <definedName name="tyje" localSheetId="18">{"'용역비'!$A$4:$C$8"}</definedName>
    <definedName name="tyje" localSheetId="19">{"'용역비'!$A$4:$C$8"}</definedName>
    <definedName name="tyje" localSheetId="20">{"'용역비'!$A$4:$C$8"}</definedName>
    <definedName name="tyje" localSheetId="21">{"'용역비'!$A$4:$C$8"}</definedName>
    <definedName name="tyje" localSheetId="24">{"'용역비'!$A$4:$C$8"}</definedName>
    <definedName name="tyje" localSheetId="25">{"'용역비'!$A$4:$C$8"}</definedName>
    <definedName name="tyje" localSheetId="26">{"'용역비'!$A$4:$C$8"}</definedName>
    <definedName name="tyje" localSheetId="27">{"'용역비'!$A$4:$C$8"}</definedName>
    <definedName name="tyje">{"'용역비'!$A$4:$C$8"}</definedName>
    <definedName name="tyjet" localSheetId="2">{"'용역비'!$A$4:$C$8"}</definedName>
    <definedName name="tyjet" localSheetId="3">{"'용역비'!$A$4:$C$8"}</definedName>
    <definedName name="tyjet" localSheetId="4">{"'용역비'!$A$4:$C$8"}</definedName>
    <definedName name="tyjet" localSheetId="5">{"'용역비'!$A$4:$C$8"}</definedName>
    <definedName name="tyjet" localSheetId="8">{"'용역비'!$A$4:$C$8"}</definedName>
    <definedName name="tyjet" localSheetId="9">{"'용역비'!$A$4:$C$8"}</definedName>
    <definedName name="tyjet" localSheetId="10">{"'용역비'!$A$4:$C$8"}</definedName>
    <definedName name="tyjet" localSheetId="11">{"'용역비'!$A$4:$C$8"}</definedName>
    <definedName name="tyjet" localSheetId="13">{"'용역비'!$A$4:$C$8"}</definedName>
    <definedName name="tyjet" localSheetId="14">{"'용역비'!$A$4:$C$8"}</definedName>
    <definedName name="tyjet" localSheetId="15">{"'용역비'!$A$4:$C$8"}</definedName>
    <definedName name="tyjet" localSheetId="16">{"'용역비'!$A$4:$C$8"}</definedName>
    <definedName name="tyjet" localSheetId="18">{"'용역비'!$A$4:$C$8"}</definedName>
    <definedName name="tyjet" localSheetId="19">{"'용역비'!$A$4:$C$8"}</definedName>
    <definedName name="tyjet" localSheetId="20">{"'용역비'!$A$4:$C$8"}</definedName>
    <definedName name="tyjet" localSheetId="21">{"'용역비'!$A$4:$C$8"}</definedName>
    <definedName name="tyjet" localSheetId="24">{"'용역비'!$A$4:$C$8"}</definedName>
    <definedName name="tyjet" localSheetId="25">{"'용역비'!$A$4:$C$8"}</definedName>
    <definedName name="tyjet" localSheetId="26">{"'용역비'!$A$4:$C$8"}</definedName>
    <definedName name="tyjet" localSheetId="27">{"'용역비'!$A$4:$C$8"}</definedName>
    <definedName name="tyjet">{"'용역비'!$A$4:$C$8"}</definedName>
    <definedName name="U" localSheetId="2">{"'용역비'!$A$4:$C$8"}</definedName>
    <definedName name="U" localSheetId="3">{"'용역비'!$A$4:$C$8"}</definedName>
    <definedName name="U" localSheetId="4">{"'용역비'!$A$4:$C$8"}</definedName>
    <definedName name="U" localSheetId="5">{"'용역비'!$A$4:$C$8"}</definedName>
    <definedName name="U" localSheetId="8">{"'용역비'!$A$4:$C$8"}</definedName>
    <definedName name="U" localSheetId="9">{"'용역비'!$A$4:$C$8"}</definedName>
    <definedName name="U" localSheetId="10">{"'용역비'!$A$4:$C$8"}</definedName>
    <definedName name="U" localSheetId="11">{"'용역비'!$A$4:$C$8"}</definedName>
    <definedName name="U" localSheetId="13">{"'용역비'!$A$4:$C$8"}</definedName>
    <definedName name="U" localSheetId="14">{"'용역비'!$A$4:$C$8"}</definedName>
    <definedName name="U" localSheetId="15">{"'용역비'!$A$4:$C$8"}</definedName>
    <definedName name="U" localSheetId="16">{"'용역비'!$A$4:$C$8"}</definedName>
    <definedName name="U" localSheetId="18">{"'용역비'!$A$4:$C$8"}</definedName>
    <definedName name="U" localSheetId="19">{"'용역비'!$A$4:$C$8"}</definedName>
    <definedName name="U" localSheetId="20">{"'용역비'!$A$4:$C$8"}</definedName>
    <definedName name="U" localSheetId="21">{"'용역비'!$A$4:$C$8"}</definedName>
    <definedName name="U" localSheetId="24">{"'용역비'!$A$4:$C$8"}</definedName>
    <definedName name="U" localSheetId="25">{"'용역비'!$A$4:$C$8"}</definedName>
    <definedName name="U" localSheetId="26">{"'용역비'!$A$4:$C$8"}</definedName>
    <definedName name="U" localSheetId="27">{"'용역비'!$A$4:$C$8"}</definedName>
    <definedName name="U">{"'용역비'!$A$4:$C$8"}</definedName>
    <definedName name="UL" localSheetId="28">#REF!</definedName>
    <definedName name="UL">#REF!</definedName>
    <definedName name="ulo" localSheetId="2">{"'용역비'!$A$4:$C$8"}</definedName>
    <definedName name="ulo" localSheetId="3">{"'용역비'!$A$4:$C$8"}</definedName>
    <definedName name="ulo" localSheetId="4">{"'용역비'!$A$4:$C$8"}</definedName>
    <definedName name="ulo" localSheetId="5">{"'용역비'!$A$4:$C$8"}</definedName>
    <definedName name="ulo" localSheetId="8">{"'용역비'!$A$4:$C$8"}</definedName>
    <definedName name="ulo" localSheetId="9">{"'용역비'!$A$4:$C$8"}</definedName>
    <definedName name="ulo" localSheetId="10">{"'용역비'!$A$4:$C$8"}</definedName>
    <definedName name="ulo" localSheetId="11">{"'용역비'!$A$4:$C$8"}</definedName>
    <definedName name="ulo" localSheetId="13">{"'용역비'!$A$4:$C$8"}</definedName>
    <definedName name="ulo" localSheetId="14">{"'용역비'!$A$4:$C$8"}</definedName>
    <definedName name="ulo" localSheetId="15">{"'용역비'!$A$4:$C$8"}</definedName>
    <definedName name="ulo" localSheetId="16">{"'용역비'!$A$4:$C$8"}</definedName>
    <definedName name="ulo" localSheetId="18">{"'용역비'!$A$4:$C$8"}</definedName>
    <definedName name="ulo" localSheetId="19">{"'용역비'!$A$4:$C$8"}</definedName>
    <definedName name="ulo" localSheetId="20">{"'용역비'!$A$4:$C$8"}</definedName>
    <definedName name="ulo" localSheetId="21">{"'용역비'!$A$4:$C$8"}</definedName>
    <definedName name="ulo" localSheetId="24">{"'용역비'!$A$4:$C$8"}</definedName>
    <definedName name="ulo" localSheetId="25">{"'용역비'!$A$4:$C$8"}</definedName>
    <definedName name="ulo" localSheetId="26">{"'용역비'!$A$4:$C$8"}</definedName>
    <definedName name="ulo" localSheetId="27">{"'용역비'!$A$4:$C$8"}</definedName>
    <definedName name="ulo">{"'용역비'!$A$4:$C$8"}</definedName>
    <definedName name="unit" localSheetId="28">#REF!</definedName>
    <definedName name="unit">#REF!</definedName>
    <definedName name="UNITA" localSheetId="28">#REF!</definedName>
    <definedName name="UNITA">#REF!</definedName>
    <definedName name="UNITAA" localSheetId="28">#REF!</definedName>
    <definedName name="UNITAA">#REF!</definedName>
    <definedName name="UNITB" localSheetId="28">#REF!</definedName>
    <definedName name="UNITB">#REF!</definedName>
    <definedName name="UNITBB" localSheetId="28">#REF!</definedName>
    <definedName name="UNITBB">#REF!</definedName>
    <definedName name="UNITC" localSheetId="28">#REF!</definedName>
    <definedName name="UNITC">#REF!</definedName>
    <definedName name="UNITC1" localSheetId="28">#REF!</definedName>
    <definedName name="UNITC1">#REF!</definedName>
    <definedName name="UNITCA" localSheetId="28">#REF!</definedName>
    <definedName name="UNITCA">#REF!</definedName>
    <definedName name="UNITD" localSheetId="28">#REF!</definedName>
    <definedName name="UNITD">#REF!</definedName>
    <definedName name="UNITDA" localSheetId="28">#REF!</definedName>
    <definedName name="UNITDA">#REF!</definedName>
    <definedName name="UPSR" localSheetId="28">#REF!</definedName>
    <definedName name="UPSR">#REF!</definedName>
    <definedName name="UTI" localSheetId="2">{"'용역비'!$A$4:$C$8"}</definedName>
    <definedName name="UTI" localSheetId="3">{"'용역비'!$A$4:$C$8"}</definedName>
    <definedName name="UTI" localSheetId="4">{"'용역비'!$A$4:$C$8"}</definedName>
    <definedName name="UTI" localSheetId="5">{"'용역비'!$A$4:$C$8"}</definedName>
    <definedName name="UTI" localSheetId="8">{"'용역비'!$A$4:$C$8"}</definedName>
    <definedName name="UTI" localSheetId="9">{"'용역비'!$A$4:$C$8"}</definedName>
    <definedName name="UTI" localSheetId="10">{"'용역비'!$A$4:$C$8"}</definedName>
    <definedName name="UTI" localSheetId="11">{"'용역비'!$A$4:$C$8"}</definedName>
    <definedName name="UTI" localSheetId="13">{"'용역비'!$A$4:$C$8"}</definedName>
    <definedName name="UTI" localSheetId="14">{"'용역비'!$A$4:$C$8"}</definedName>
    <definedName name="UTI" localSheetId="15">{"'용역비'!$A$4:$C$8"}</definedName>
    <definedName name="UTI" localSheetId="16">{"'용역비'!$A$4:$C$8"}</definedName>
    <definedName name="UTI" localSheetId="18">{"'용역비'!$A$4:$C$8"}</definedName>
    <definedName name="UTI" localSheetId="19">{"'용역비'!$A$4:$C$8"}</definedName>
    <definedName name="UTI" localSheetId="20">{"'용역비'!$A$4:$C$8"}</definedName>
    <definedName name="UTI" localSheetId="21">{"'용역비'!$A$4:$C$8"}</definedName>
    <definedName name="UTI" localSheetId="24">{"'용역비'!$A$4:$C$8"}</definedName>
    <definedName name="UTI" localSheetId="25">{"'용역비'!$A$4:$C$8"}</definedName>
    <definedName name="UTI" localSheetId="26">{"'용역비'!$A$4:$C$8"}</definedName>
    <definedName name="UTI" localSheetId="27">{"'용역비'!$A$4:$C$8"}</definedName>
    <definedName name="UTI">{"'용역비'!$A$4:$C$8"}</definedName>
    <definedName name="UTIOL" localSheetId="2">{"'용역비'!$A$4:$C$8"}</definedName>
    <definedName name="UTIOL" localSheetId="3">{"'용역비'!$A$4:$C$8"}</definedName>
    <definedName name="UTIOL" localSheetId="4">{"'용역비'!$A$4:$C$8"}</definedName>
    <definedName name="UTIOL" localSheetId="5">{"'용역비'!$A$4:$C$8"}</definedName>
    <definedName name="UTIOL" localSheetId="8">{"'용역비'!$A$4:$C$8"}</definedName>
    <definedName name="UTIOL" localSheetId="9">{"'용역비'!$A$4:$C$8"}</definedName>
    <definedName name="UTIOL" localSheetId="10">{"'용역비'!$A$4:$C$8"}</definedName>
    <definedName name="UTIOL" localSheetId="11">{"'용역비'!$A$4:$C$8"}</definedName>
    <definedName name="UTIOL" localSheetId="13">{"'용역비'!$A$4:$C$8"}</definedName>
    <definedName name="UTIOL" localSheetId="14">{"'용역비'!$A$4:$C$8"}</definedName>
    <definedName name="UTIOL" localSheetId="15">{"'용역비'!$A$4:$C$8"}</definedName>
    <definedName name="UTIOL" localSheetId="16">{"'용역비'!$A$4:$C$8"}</definedName>
    <definedName name="UTIOL" localSheetId="18">{"'용역비'!$A$4:$C$8"}</definedName>
    <definedName name="UTIOL" localSheetId="19">{"'용역비'!$A$4:$C$8"}</definedName>
    <definedName name="UTIOL" localSheetId="20">{"'용역비'!$A$4:$C$8"}</definedName>
    <definedName name="UTIOL" localSheetId="21">{"'용역비'!$A$4:$C$8"}</definedName>
    <definedName name="UTIOL" localSheetId="24">{"'용역비'!$A$4:$C$8"}</definedName>
    <definedName name="UTIOL" localSheetId="25">{"'용역비'!$A$4:$C$8"}</definedName>
    <definedName name="UTIOL" localSheetId="26">{"'용역비'!$A$4:$C$8"}</definedName>
    <definedName name="UTIOL" localSheetId="27">{"'용역비'!$A$4:$C$8"}</definedName>
    <definedName name="UTIOL">{"'용역비'!$A$4:$C$8"}</definedName>
    <definedName name="UUU" localSheetId="2">'1-1. 설계설명서(1차)'!UUU</definedName>
    <definedName name="UUU" localSheetId="3">'1-1. 설계설명서(2차)'!UUU</definedName>
    <definedName name="UUU" localSheetId="4">'1-1. 설계설명서(3차)'!UUU</definedName>
    <definedName name="UUU" localSheetId="5">'1-1. 설계설명서(4차)'!UUU</definedName>
    <definedName name="UUU" localSheetId="8">'3-1. 예정공정표(1차)'!UUU</definedName>
    <definedName name="UUU" localSheetId="9">'3-2. 예정공정표(2차)'!UUU</definedName>
    <definedName name="UUU" localSheetId="10">'3-3. 예정공정표(3차)'!UUU</definedName>
    <definedName name="UUU" localSheetId="11">'3-4. 예정공정표(4차)'!UUU</definedName>
    <definedName name="UUU" localSheetId="13">'4-1. 예산내역서(1차)'!UUU</definedName>
    <definedName name="UUU" localSheetId="14">'4-2. 예산내역서(2차)'!UUU</definedName>
    <definedName name="UUU" localSheetId="15">'4-3. 예산내역서(3차)'!UUU</definedName>
    <definedName name="UUU" localSheetId="16">'4-4. 예산내역서(4차)'!UUU</definedName>
    <definedName name="UUU" localSheetId="18">'5-1. 공종별예산조서(1차)'!UUU</definedName>
    <definedName name="UUU" localSheetId="19">'5-2. 공종별예산조서(2차)'!UUU</definedName>
    <definedName name="UUU" localSheetId="20">'5-3. 공종별예산조서(3차)'!UUU</definedName>
    <definedName name="UUU" localSheetId="21">'5-3. 공종별예산조서(4차)'!UUU</definedName>
    <definedName name="UUU" localSheetId="24">'8-1. 철거발생품 예정조서(1차)'!UUU</definedName>
    <definedName name="UUU" localSheetId="25">'8-2. 철거발생품 예정조서(2차)'!UUU</definedName>
    <definedName name="UUU" localSheetId="26">'8-3. 철거발생품 예정조서(3차)'!UUU</definedName>
    <definedName name="UUU" localSheetId="27">'8-4. 철거발생품 예정조서(4차)'!UUU</definedName>
    <definedName name="uuuuuu">{"'자리배치도'!$AG$1:$CI$28"}</definedName>
    <definedName name="uwtuw" localSheetId="28">#REF!</definedName>
    <definedName name="uwtuw">#REF!</definedName>
    <definedName name="UYUY" localSheetId="2">'1-1. 설계설명서(1차)'!DGRT</definedName>
    <definedName name="UYUY" localSheetId="3">'1-1. 설계설명서(2차)'!DGRT</definedName>
    <definedName name="UYUY" localSheetId="4">'1-1. 설계설명서(3차)'!DGRT</definedName>
    <definedName name="UYUY" localSheetId="5">'1-1. 설계설명서(4차)'!DGRT</definedName>
    <definedName name="UYUY" localSheetId="8">'3-1. 예정공정표(1차)'!DGRT</definedName>
    <definedName name="UYUY" localSheetId="9">'3-2. 예정공정표(2차)'!DGRT</definedName>
    <definedName name="UYUY" localSheetId="10">'3-3. 예정공정표(3차)'!DGRT</definedName>
    <definedName name="UYUY" localSheetId="11">'3-4. 예정공정표(4차)'!DGRT</definedName>
    <definedName name="UYUY" localSheetId="13">'4-1. 예산내역서(1차)'!DGRT</definedName>
    <definedName name="UYUY" localSheetId="14">'4-2. 예산내역서(2차)'!DGRT</definedName>
    <definedName name="UYUY" localSheetId="15">'4-3. 예산내역서(3차)'!DGRT</definedName>
    <definedName name="UYUY" localSheetId="16">'4-4. 예산내역서(4차)'!DGRT</definedName>
    <definedName name="UYUY" localSheetId="18">'5-1. 공종별예산조서(1차)'!DGRT</definedName>
    <definedName name="UYUY" localSheetId="19">'5-2. 공종별예산조서(2차)'!DGRT</definedName>
    <definedName name="UYUY" localSheetId="20">'5-3. 공종별예산조서(3차)'!DGRT</definedName>
    <definedName name="UYUY" localSheetId="21">'5-3. 공종별예산조서(4차)'!DGRT</definedName>
    <definedName name="UYUY" localSheetId="24">'8-1. 철거발생품 예정조서(1차)'!DGRT</definedName>
    <definedName name="UYUY" localSheetId="25">'8-2. 철거발생품 예정조서(2차)'!DGRT</definedName>
    <definedName name="UYUY" localSheetId="26">'8-3. 철거발생품 예정조서(3차)'!DGRT</definedName>
    <definedName name="UYUY" localSheetId="27">'8-4. 철거발생품 예정조서(4차)'!DGRT</definedName>
    <definedName name="v" localSheetId="2">'1-1. 설계설명서(1차)'!v</definedName>
    <definedName name="v" localSheetId="3">'1-1. 설계설명서(2차)'!v</definedName>
    <definedName name="v" localSheetId="4">'1-1. 설계설명서(3차)'!v</definedName>
    <definedName name="v" localSheetId="5">'1-1. 설계설명서(4차)'!v</definedName>
    <definedName name="v" localSheetId="8">'3-1. 예정공정표(1차)'!v</definedName>
    <definedName name="v" localSheetId="9">'3-2. 예정공정표(2차)'!v</definedName>
    <definedName name="v" localSheetId="10">'3-3. 예정공정표(3차)'!v</definedName>
    <definedName name="v" localSheetId="11">'3-4. 예정공정표(4차)'!v</definedName>
    <definedName name="v" localSheetId="13">'4-1. 예산내역서(1차)'!v</definedName>
    <definedName name="v" localSheetId="14">'4-2. 예산내역서(2차)'!v</definedName>
    <definedName name="v" localSheetId="15">'4-3. 예산내역서(3차)'!v</definedName>
    <definedName name="v" localSheetId="16">'4-4. 예산내역서(4차)'!v</definedName>
    <definedName name="v" localSheetId="18">'5-1. 공종별예산조서(1차)'!v</definedName>
    <definedName name="v" localSheetId="19">'5-2. 공종별예산조서(2차)'!v</definedName>
    <definedName name="v" localSheetId="20">'5-3. 공종별예산조서(3차)'!v</definedName>
    <definedName name="v" localSheetId="21">'5-3. 공종별예산조서(4차)'!v</definedName>
    <definedName name="v" localSheetId="28">#N/A</definedName>
    <definedName name="v" localSheetId="24">'8-1. 철거발생품 예정조서(1차)'!v</definedName>
    <definedName name="v" localSheetId="25">'8-2. 철거발생품 예정조서(2차)'!v</definedName>
    <definedName name="v" localSheetId="26">'8-3. 철거발생품 예정조서(3차)'!v</definedName>
    <definedName name="v" localSheetId="27">'8-4. 철거발생품 예정조서(4차)'!v</definedName>
    <definedName name="v">#N/A</definedName>
    <definedName name="VBGDH" localSheetId="2">'1-1. 설계설명서(1차)'!HBHG</definedName>
    <definedName name="VBGDH" localSheetId="3">'1-1. 설계설명서(2차)'!HBHG</definedName>
    <definedName name="VBGDH" localSheetId="4">'1-1. 설계설명서(3차)'!HBHG</definedName>
    <definedName name="VBGDH" localSheetId="5">'1-1. 설계설명서(4차)'!HBHG</definedName>
    <definedName name="VBGDH" localSheetId="8">'3-1. 예정공정표(1차)'!HBHG</definedName>
    <definedName name="VBGDH" localSheetId="9">'3-2. 예정공정표(2차)'!HBHG</definedName>
    <definedName name="VBGDH" localSheetId="10">'3-3. 예정공정표(3차)'!HBHG</definedName>
    <definedName name="VBGDH" localSheetId="11">'3-4. 예정공정표(4차)'!HBHG</definedName>
    <definedName name="VBGDH" localSheetId="13">'4-1. 예산내역서(1차)'!HBHG</definedName>
    <definedName name="VBGDH" localSheetId="14">'4-2. 예산내역서(2차)'!HBHG</definedName>
    <definedName name="VBGDH" localSheetId="15">'4-3. 예산내역서(3차)'!HBHG</definedName>
    <definedName name="VBGDH" localSheetId="16">'4-4. 예산내역서(4차)'!HBHG</definedName>
    <definedName name="VBGDH" localSheetId="18">'5-1. 공종별예산조서(1차)'!HBHG</definedName>
    <definedName name="VBGDH" localSheetId="19">'5-2. 공종별예산조서(2차)'!HBHG</definedName>
    <definedName name="VBGDH" localSheetId="20">'5-3. 공종별예산조서(3차)'!HBHG</definedName>
    <definedName name="VBGDH" localSheetId="21">'5-3. 공종별예산조서(4차)'!HBHG</definedName>
    <definedName name="VBGDH" localSheetId="24">'8-1. 철거발생품 예정조서(1차)'!HBHG</definedName>
    <definedName name="VBGDH" localSheetId="25">'8-2. 철거발생품 예정조서(2차)'!HBHG</definedName>
    <definedName name="VBGDH" localSheetId="26">'8-3. 철거발생품 예정조서(3차)'!HBHG</definedName>
    <definedName name="VBGDH" localSheetId="27">'8-4. 철거발생품 예정조서(4차)'!HBHG</definedName>
    <definedName name="vbn" localSheetId="2">'1-1. 설계설명서(1차)'!vbn</definedName>
    <definedName name="vbn" localSheetId="3">'1-1. 설계설명서(2차)'!vbn</definedName>
    <definedName name="vbn" localSheetId="4">'1-1. 설계설명서(3차)'!vbn</definedName>
    <definedName name="vbn" localSheetId="5">'1-1. 설계설명서(4차)'!vbn</definedName>
    <definedName name="vbn" localSheetId="8">'3-1. 예정공정표(1차)'!vbn</definedName>
    <definedName name="vbn" localSheetId="9">'3-2. 예정공정표(2차)'!vbn</definedName>
    <definedName name="vbn" localSheetId="10">'3-3. 예정공정표(3차)'!vbn</definedName>
    <definedName name="vbn" localSheetId="11">'3-4. 예정공정표(4차)'!vbn</definedName>
    <definedName name="vbn" localSheetId="13">'4-1. 예산내역서(1차)'!vbn</definedName>
    <definedName name="vbn" localSheetId="14">'4-2. 예산내역서(2차)'!vbn</definedName>
    <definedName name="vbn" localSheetId="15">'4-3. 예산내역서(3차)'!vbn</definedName>
    <definedName name="vbn" localSheetId="16">'4-4. 예산내역서(4차)'!vbn</definedName>
    <definedName name="vbn" localSheetId="18">'5-1. 공종별예산조서(1차)'!vbn</definedName>
    <definedName name="vbn" localSheetId="19">'5-2. 공종별예산조서(2차)'!vbn</definedName>
    <definedName name="vbn" localSheetId="20">'5-3. 공종별예산조서(3차)'!vbn</definedName>
    <definedName name="vbn" localSheetId="21">'5-3. 공종별예산조서(4차)'!vbn</definedName>
    <definedName name="vbn" localSheetId="24">'8-1. 철거발생품 예정조서(1차)'!vbn</definedName>
    <definedName name="vbn" localSheetId="25">'8-2. 철거발생품 예정조서(2차)'!vbn</definedName>
    <definedName name="vbn" localSheetId="26">'8-3. 철거발생품 예정조서(3차)'!vbn</definedName>
    <definedName name="vbn" localSheetId="27">'8-4. 철거발생품 예정조서(4차)'!vbn</definedName>
    <definedName name="VBV" localSheetId="2">'1-1. 설계설명서(1차)'!RGVBF</definedName>
    <definedName name="VBV" localSheetId="3">'1-1. 설계설명서(2차)'!RGVBF</definedName>
    <definedName name="VBV" localSheetId="4">'1-1. 설계설명서(3차)'!RGVBF</definedName>
    <definedName name="VBV" localSheetId="5">'1-1. 설계설명서(4차)'!RGVBF</definedName>
    <definedName name="VBV" localSheetId="8">'3-1. 예정공정표(1차)'!RGVBF</definedName>
    <definedName name="VBV" localSheetId="9">'3-2. 예정공정표(2차)'!RGVBF</definedName>
    <definedName name="VBV" localSheetId="10">'3-3. 예정공정표(3차)'!RGVBF</definedName>
    <definedName name="VBV" localSheetId="11">'3-4. 예정공정표(4차)'!RGVBF</definedName>
    <definedName name="VBV" localSheetId="13">'4-1. 예산내역서(1차)'!RGVBF</definedName>
    <definedName name="VBV" localSheetId="14">'4-2. 예산내역서(2차)'!RGVBF</definedName>
    <definedName name="VBV" localSheetId="15">'4-3. 예산내역서(3차)'!RGVBF</definedName>
    <definedName name="VBV" localSheetId="16">'4-4. 예산내역서(4차)'!RGVBF</definedName>
    <definedName name="VBV" localSheetId="18">'5-1. 공종별예산조서(1차)'!RGVBF</definedName>
    <definedName name="VBV" localSheetId="19">'5-2. 공종별예산조서(2차)'!RGVBF</definedName>
    <definedName name="VBV" localSheetId="20">'5-3. 공종별예산조서(3차)'!RGVBF</definedName>
    <definedName name="VBV" localSheetId="21">'5-3. 공종별예산조서(4차)'!RGVBF</definedName>
    <definedName name="VBV" localSheetId="24">'8-1. 철거발생품 예정조서(1차)'!RGVBF</definedName>
    <definedName name="VBV" localSheetId="25">'8-2. 철거발생품 예정조서(2차)'!RGVBF</definedName>
    <definedName name="VBV" localSheetId="26">'8-3. 철거발생품 예정조서(3차)'!RGVBF</definedName>
    <definedName name="VBV" localSheetId="27">'8-4. 철거발생품 예정조서(4차)'!RGVBF</definedName>
    <definedName name="VFJKEH" localSheetId="2">'1-1. 설계설명서(1차)'!DDC</definedName>
    <definedName name="VFJKEH" localSheetId="3">'1-1. 설계설명서(2차)'!DDC</definedName>
    <definedName name="VFJKEH" localSheetId="4">'1-1. 설계설명서(3차)'!DDC</definedName>
    <definedName name="VFJKEH" localSheetId="5">'1-1. 설계설명서(4차)'!DDC</definedName>
    <definedName name="VFJKEH" localSheetId="8">'3-1. 예정공정표(1차)'!DDC</definedName>
    <definedName name="VFJKEH" localSheetId="9">'3-2. 예정공정표(2차)'!DDC</definedName>
    <definedName name="VFJKEH" localSheetId="10">'3-3. 예정공정표(3차)'!DDC</definedName>
    <definedName name="VFJKEH" localSheetId="11">'3-4. 예정공정표(4차)'!DDC</definedName>
    <definedName name="VFJKEH" localSheetId="13">'4-1. 예산내역서(1차)'!DDC</definedName>
    <definedName name="VFJKEH" localSheetId="14">'4-2. 예산내역서(2차)'!DDC</definedName>
    <definedName name="VFJKEH" localSheetId="15">'4-3. 예산내역서(3차)'!DDC</definedName>
    <definedName name="VFJKEH" localSheetId="16">'4-4. 예산내역서(4차)'!DDC</definedName>
    <definedName name="VFJKEH" localSheetId="18">'5-1. 공종별예산조서(1차)'!DDC</definedName>
    <definedName name="VFJKEH" localSheetId="19">'5-2. 공종별예산조서(2차)'!DDC</definedName>
    <definedName name="VFJKEH" localSheetId="20">'5-3. 공종별예산조서(3차)'!DDC</definedName>
    <definedName name="VFJKEH" localSheetId="21">'5-3. 공종별예산조서(4차)'!DDC</definedName>
    <definedName name="VFJKEH" localSheetId="24">'8-1. 철거발생품 예정조서(1차)'!DDC</definedName>
    <definedName name="VFJKEH" localSheetId="25">'8-2. 철거발생품 예정조서(2차)'!DDC</definedName>
    <definedName name="VFJKEH" localSheetId="26">'8-3. 철거발생품 예정조서(3차)'!DDC</definedName>
    <definedName name="VFJKEH" localSheetId="27">'8-4. 철거발생품 예정조서(4차)'!DDC</definedName>
    <definedName name="VGF" localSheetId="2">'1-1. 설계설명서(1차)'!VGF</definedName>
    <definedName name="VGF" localSheetId="3">'1-1. 설계설명서(2차)'!VGF</definedName>
    <definedName name="VGF" localSheetId="4">'1-1. 설계설명서(3차)'!VGF</definedName>
    <definedName name="VGF" localSheetId="5">'1-1. 설계설명서(4차)'!VGF</definedName>
    <definedName name="VGF" localSheetId="8">'3-1. 예정공정표(1차)'!VGF</definedName>
    <definedName name="VGF" localSheetId="9">'3-2. 예정공정표(2차)'!VGF</definedName>
    <definedName name="VGF" localSheetId="10">'3-3. 예정공정표(3차)'!VGF</definedName>
    <definedName name="VGF" localSheetId="11">'3-4. 예정공정표(4차)'!VGF</definedName>
    <definedName name="VGF" localSheetId="13">'4-1. 예산내역서(1차)'!VGF</definedName>
    <definedName name="VGF" localSheetId="14">'4-2. 예산내역서(2차)'!VGF</definedName>
    <definedName name="VGF" localSheetId="15">'4-3. 예산내역서(3차)'!VGF</definedName>
    <definedName name="VGF" localSheetId="16">'4-4. 예산내역서(4차)'!VGF</definedName>
    <definedName name="VGF" localSheetId="18">'5-1. 공종별예산조서(1차)'!VGF</definedName>
    <definedName name="VGF" localSheetId="19">'5-2. 공종별예산조서(2차)'!VGF</definedName>
    <definedName name="VGF" localSheetId="20">'5-3. 공종별예산조서(3차)'!VGF</definedName>
    <definedName name="VGF" localSheetId="21">'5-3. 공종별예산조서(4차)'!VGF</definedName>
    <definedName name="VGF" localSheetId="24">'8-1. 철거발생품 예정조서(1차)'!VGF</definedName>
    <definedName name="VGF" localSheetId="25">'8-2. 철거발생품 예정조서(2차)'!VGF</definedName>
    <definedName name="VGF" localSheetId="26">'8-3. 철거발생품 예정조서(3차)'!VGF</definedName>
    <definedName name="VGF" localSheetId="27">'8-4. 철거발생품 예정조서(4차)'!VGF</definedName>
    <definedName name="VNJ" localSheetId="2">'1-1. 설계설명서(1차)'!VNJ</definedName>
    <definedName name="VNJ" localSheetId="3">'1-1. 설계설명서(2차)'!VNJ</definedName>
    <definedName name="VNJ" localSheetId="4">'1-1. 설계설명서(3차)'!VNJ</definedName>
    <definedName name="VNJ" localSheetId="5">'1-1. 설계설명서(4차)'!VNJ</definedName>
    <definedName name="VNJ" localSheetId="8">'3-1. 예정공정표(1차)'!VNJ</definedName>
    <definedName name="VNJ" localSheetId="9">'3-2. 예정공정표(2차)'!VNJ</definedName>
    <definedName name="VNJ" localSheetId="10">'3-3. 예정공정표(3차)'!VNJ</definedName>
    <definedName name="VNJ" localSheetId="11">'3-4. 예정공정표(4차)'!VNJ</definedName>
    <definedName name="VNJ" localSheetId="13">'4-1. 예산내역서(1차)'!VNJ</definedName>
    <definedName name="VNJ" localSheetId="14">'4-2. 예산내역서(2차)'!VNJ</definedName>
    <definedName name="VNJ" localSheetId="15">'4-3. 예산내역서(3차)'!VNJ</definedName>
    <definedName name="VNJ" localSheetId="16">'4-4. 예산내역서(4차)'!VNJ</definedName>
    <definedName name="VNJ" localSheetId="18">'5-1. 공종별예산조서(1차)'!VNJ</definedName>
    <definedName name="VNJ" localSheetId="19">'5-2. 공종별예산조서(2차)'!VNJ</definedName>
    <definedName name="VNJ" localSheetId="20">'5-3. 공종별예산조서(3차)'!VNJ</definedName>
    <definedName name="VNJ" localSheetId="21">'5-3. 공종별예산조서(4차)'!VNJ</definedName>
    <definedName name="VNJ" localSheetId="24">'8-1. 철거발생품 예정조서(1차)'!VNJ</definedName>
    <definedName name="VNJ" localSheetId="25">'8-2. 철거발생품 예정조서(2차)'!VNJ</definedName>
    <definedName name="VNJ" localSheetId="26">'8-3. 철거발생품 예정조서(3차)'!VNJ</definedName>
    <definedName name="VNJ" localSheetId="27">'8-4. 철거발생품 예정조서(4차)'!VNJ</definedName>
    <definedName name="VV">{"'자리배치도'!$AG$1:$CI$28"}</definedName>
    <definedName name="VVV" localSheetId="28">#REF!</definedName>
    <definedName name="VVV">#REF!</definedName>
    <definedName name="vy" localSheetId="2">'1-1. 설계설명서(1차)'!vy</definedName>
    <definedName name="vy" localSheetId="3">'1-1. 설계설명서(2차)'!vy</definedName>
    <definedName name="vy" localSheetId="4">'1-1. 설계설명서(3차)'!vy</definedName>
    <definedName name="vy" localSheetId="5">'1-1. 설계설명서(4차)'!vy</definedName>
    <definedName name="vy" localSheetId="8">'3-1. 예정공정표(1차)'!vy</definedName>
    <definedName name="vy" localSheetId="9">'3-2. 예정공정표(2차)'!vy</definedName>
    <definedName name="vy" localSheetId="10">'3-3. 예정공정표(3차)'!vy</definedName>
    <definedName name="vy" localSheetId="11">'3-4. 예정공정표(4차)'!vy</definedName>
    <definedName name="vy" localSheetId="13">'4-1. 예산내역서(1차)'!vy</definedName>
    <definedName name="vy" localSheetId="14">'4-2. 예산내역서(2차)'!vy</definedName>
    <definedName name="vy" localSheetId="15">'4-3. 예산내역서(3차)'!vy</definedName>
    <definedName name="vy" localSheetId="16">'4-4. 예산내역서(4차)'!vy</definedName>
    <definedName name="vy" localSheetId="18">'5-1. 공종별예산조서(1차)'!vy</definedName>
    <definedName name="vy" localSheetId="19">'5-2. 공종별예산조서(2차)'!vy</definedName>
    <definedName name="vy" localSheetId="20">'5-3. 공종별예산조서(3차)'!vy</definedName>
    <definedName name="vy" localSheetId="21">'5-3. 공종별예산조서(4차)'!vy</definedName>
    <definedName name="vy" localSheetId="28">#N/A</definedName>
    <definedName name="vy" localSheetId="24">'8-1. 철거발생품 예정조서(1차)'!vy</definedName>
    <definedName name="vy" localSheetId="25">'8-2. 철거발생품 예정조서(2차)'!vy</definedName>
    <definedName name="vy" localSheetId="26">'8-3. 철거발생품 예정조서(3차)'!vy</definedName>
    <definedName name="vy" localSheetId="27">'8-4. 철거발생품 예정조서(4차)'!vy</definedName>
    <definedName name="vy">#N/A</definedName>
    <definedName name="w" localSheetId="28">#REF!</definedName>
    <definedName name="w">#REF!</definedName>
    <definedName name="w2e3">{"'광피스표'!$A$3:$N$54"}</definedName>
    <definedName name="wdes" localSheetId="2">'1-1. 설계설명서(1차)'!vbn</definedName>
    <definedName name="wdes" localSheetId="3">'1-1. 설계설명서(2차)'!vbn</definedName>
    <definedName name="wdes" localSheetId="4">'1-1. 설계설명서(3차)'!vbn</definedName>
    <definedName name="wdes" localSheetId="5">'1-1. 설계설명서(4차)'!vbn</definedName>
    <definedName name="wdes" localSheetId="8">'3-1. 예정공정표(1차)'!vbn</definedName>
    <definedName name="wdes" localSheetId="9">'3-2. 예정공정표(2차)'!vbn</definedName>
    <definedName name="wdes" localSheetId="10">'3-3. 예정공정표(3차)'!vbn</definedName>
    <definedName name="wdes" localSheetId="11">'3-4. 예정공정표(4차)'!vbn</definedName>
    <definedName name="wdes" localSheetId="13">'4-1. 예산내역서(1차)'!vbn</definedName>
    <definedName name="wdes" localSheetId="14">'4-2. 예산내역서(2차)'!vbn</definedName>
    <definedName name="wdes" localSheetId="15">'4-3. 예산내역서(3차)'!vbn</definedName>
    <definedName name="wdes" localSheetId="16">'4-4. 예산내역서(4차)'!vbn</definedName>
    <definedName name="wdes" localSheetId="18">'5-1. 공종별예산조서(1차)'!vbn</definedName>
    <definedName name="wdes" localSheetId="19">'5-2. 공종별예산조서(2차)'!vbn</definedName>
    <definedName name="wdes" localSheetId="20">'5-3. 공종별예산조서(3차)'!vbn</definedName>
    <definedName name="wdes" localSheetId="21">'5-3. 공종별예산조서(4차)'!vbn</definedName>
    <definedName name="wdes" localSheetId="24">'8-1. 철거발생품 예정조서(1차)'!vbn</definedName>
    <definedName name="wdes" localSheetId="25">'8-2. 철거발생품 예정조서(2차)'!vbn</definedName>
    <definedName name="wdes" localSheetId="26">'8-3. 철거발생품 예정조서(3차)'!vbn</definedName>
    <definedName name="wdes" localSheetId="27">'8-4. 철거발생품 예정조서(4차)'!vbn</definedName>
    <definedName name="WDF" localSheetId="2">'1-1. 설계설명서(1차)'!QQA</definedName>
    <definedName name="WDF" localSheetId="3">'1-1. 설계설명서(2차)'!QQA</definedName>
    <definedName name="WDF" localSheetId="4">'1-1. 설계설명서(3차)'!QQA</definedName>
    <definedName name="WDF" localSheetId="5">'1-1. 설계설명서(4차)'!QQA</definedName>
    <definedName name="WDF" localSheetId="8">'3-1. 예정공정표(1차)'!QQA</definedName>
    <definedName name="WDF" localSheetId="9">'3-2. 예정공정표(2차)'!QQA</definedName>
    <definedName name="WDF" localSheetId="10">'3-3. 예정공정표(3차)'!QQA</definedName>
    <definedName name="WDF" localSheetId="11">'3-4. 예정공정표(4차)'!QQA</definedName>
    <definedName name="WDF" localSheetId="13">'4-1. 예산내역서(1차)'!QQA</definedName>
    <definedName name="WDF" localSheetId="14">'4-2. 예산내역서(2차)'!QQA</definedName>
    <definedName name="WDF" localSheetId="15">'4-3. 예산내역서(3차)'!QQA</definedName>
    <definedName name="WDF" localSheetId="16">'4-4. 예산내역서(4차)'!QQA</definedName>
    <definedName name="WDF" localSheetId="18">'5-1. 공종별예산조서(1차)'!QQA</definedName>
    <definedName name="WDF" localSheetId="19">'5-2. 공종별예산조서(2차)'!QQA</definedName>
    <definedName name="WDF" localSheetId="20">'5-3. 공종별예산조서(3차)'!QQA</definedName>
    <definedName name="WDF" localSheetId="21">'5-3. 공종별예산조서(4차)'!QQA</definedName>
    <definedName name="WDF" localSheetId="24">'8-1. 철거발생품 예정조서(1차)'!QQA</definedName>
    <definedName name="WDF" localSheetId="25">'8-2. 철거발생품 예정조서(2차)'!QQA</definedName>
    <definedName name="WDF" localSheetId="26">'8-3. 철거발생품 예정조서(3차)'!QQA</definedName>
    <definedName name="WDF" localSheetId="27">'8-4. 철거발생품 예정조서(4차)'!QQA</definedName>
    <definedName name="WDV" localSheetId="2">'1-1. 설계설명서(1차)'!WDV</definedName>
    <definedName name="WDV" localSheetId="3">'1-1. 설계설명서(2차)'!WDV</definedName>
    <definedName name="WDV" localSheetId="4">'1-1. 설계설명서(3차)'!WDV</definedName>
    <definedName name="WDV" localSheetId="5">'1-1. 설계설명서(4차)'!WDV</definedName>
    <definedName name="WDV" localSheetId="8">'3-1. 예정공정표(1차)'!WDV</definedName>
    <definedName name="WDV" localSheetId="9">'3-2. 예정공정표(2차)'!WDV</definedName>
    <definedName name="WDV" localSheetId="10">'3-3. 예정공정표(3차)'!WDV</definedName>
    <definedName name="WDV" localSheetId="11">'3-4. 예정공정표(4차)'!WDV</definedName>
    <definedName name="WDV" localSheetId="13">'4-1. 예산내역서(1차)'!WDV</definedName>
    <definedName name="WDV" localSheetId="14">'4-2. 예산내역서(2차)'!WDV</definedName>
    <definedName name="WDV" localSheetId="15">'4-3. 예산내역서(3차)'!WDV</definedName>
    <definedName name="WDV" localSheetId="16">'4-4. 예산내역서(4차)'!WDV</definedName>
    <definedName name="WDV" localSheetId="18">'5-1. 공종별예산조서(1차)'!WDV</definedName>
    <definedName name="WDV" localSheetId="19">'5-2. 공종별예산조서(2차)'!WDV</definedName>
    <definedName name="WDV" localSheetId="20">'5-3. 공종별예산조서(3차)'!WDV</definedName>
    <definedName name="WDV" localSheetId="21">'5-3. 공종별예산조서(4차)'!WDV</definedName>
    <definedName name="WDV" localSheetId="24">'8-1. 철거발생품 예정조서(1차)'!WDV</definedName>
    <definedName name="WDV" localSheetId="25">'8-2. 철거발생품 예정조서(2차)'!WDV</definedName>
    <definedName name="WDV" localSheetId="26">'8-3. 철거발생품 예정조서(3차)'!WDV</definedName>
    <definedName name="WDV" localSheetId="27">'8-4. 철거발생품 예정조서(4차)'!WDV</definedName>
    <definedName name="we" localSheetId="28">#REF!</definedName>
    <definedName name="we">#REF!</definedName>
    <definedName name="WER" localSheetId="24">'8-1. 철거발생품 예정조서(1차)'!TRRR</definedName>
    <definedName name="WER" localSheetId="25">'8-2. 철거발생품 예정조서(2차)'!TRRR</definedName>
    <definedName name="WER" localSheetId="26">'8-3. 철거발생품 예정조서(3차)'!TRRR</definedName>
    <definedName name="WER" localSheetId="27">'8-4. 철거발생품 예정조서(4차)'!TRRR</definedName>
    <definedName name="wessdd" localSheetId="28">#REF!</definedName>
    <definedName name="wessdd">#REF!</definedName>
    <definedName name="WEWEW" localSheetId="28">#REF!</definedName>
    <definedName name="WEWEW">#REF!</definedName>
    <definedName name="WIRUY" localSheetId="2">'1-1. 설계설명서(1차)'!WIRUY</definedName>
    <definedName name="WIRUY" localSheetId="3">'1-1. 설계설명서(2차)'!WIRUY</definedName>
    <definedName name="WIRUY" localSheetId="4">'1-1. 설계설명서(3차)'!WIRUY</definedName>
    <definedName name="WIRUY" localSheetId="5">'1-1. 설계설명서(4차)'!WIRUY</definedName>
    <definedName name="WIRUY" localSheetId="8">'3-1. 예정공정표(1차)'!WIRUY</definedName>
    <definedName name="WIRUY" localSheetId="9">'3-2. 예정공정표(2차)'!WIRUY</definedName>
    <definedName name="WIRUY" localSheetId="10">'3-3. 예정공정표(3차)'!WIRUY</definedName>
    <definedName name="WIRUY" localSheetId="11">'3-4. 예정공정표(4차)'!WIRUY</definedName>
    <definedName name="WIRUY" localSheetId="13">'4-1. 예산내역서(1차)'!WIRUY</definedName>
    <definedName name="WIRUY" localSheetId="14">'4-2. 예산내역서(2차)'!WIRUY</definedName>
    <definedName name="WIRUY" localSheetId="15">'4-3. 예산내역서(3차)'!WIRUY</definedName>
    <definedName name="WIRUY" localSheetId="16">'4-4. 예산내역서(4차)'!WIRUY</definedName>
    <definedName name="WIRUY" localSheetId="18">'5-1. 공종별예산조서(1차)'!WIRUY</definedName>
    <definedName name="WIRUY" localSheetId="19">'5-2. 공종별예산조서(2차)'!WIRUY</definedName>
    <definedName name="WIRUY" localSheetId="20">'5-3. 공종별예산조서(3차)'!WIRUY</definedName>
    <definedName name="WIRUY" localSheetId="21">'5-3. 공종별예산조서(4차)'!WIRUY</definedName>
    <definedName name="WIRUY" localSheetId="24">'8-1. 철거발생품 예정조서(1차)'!WIRUY</definedName>
    <definedName name="WIRUY" localSheetId="25">'8-2. 철거발생품 예정조서(2차)'!WIRUY</definedName>
    <definedName name="WIRUY" localSheetId="26">'8-3. 철거발생품 예정조서(3차)'!WIRUY</definedName>
    <definedName name="WIRUY" localSheetId="27">'8-4. 철거발생품 예정조서(4차)'!WIRUY</definedName>
    <definedName name="WLQ" localSheetId="28" hidden="1">{#N/A,#N/A,FALSE,"명세표"}</definedName>
    <definedName name="WLQ" hidden="1">{#N/A,#N/A,FALSE,"명세표"}</definedName>
    <definedName name="WON">#REF!</definedName>
    <definedName name="wp" localSheetId="28">#REF!</definedName>
    <definedName name="wp">#REF!</definedName>
    <definedName name="wrfweyhw" localSheetId="28">#REF!</definedName>
    <definedName name="wrfweyhw">#REF!</definedName>
    <definedName name="wrn.test1." localSheetId="28" hidden="1">{#N/A,#N/A,FALSE,"명세표"}</definedName>
    <definedName name="wrn.test1." hidden="1">{#N/A,#N/A,FALSE,"명세표"}</definedName>
    <definedName name="wrn.test2." localSheetId="28" hidden="1">{#N/A,#N/A,FALSE,"명세표"}</definedName>
    <definedName name="wrn.test2." hidden="1">{#N/A,#N/A,FALSE,"명세표"}</definedName>
    <definedName name="wrty" localSheetId="2">{"'용역비'!$A$4:$C$8"}</definedName>
    <definedName name="wrty" localSheetId="3">{"'용역비'!$A$4:$C$8"}</definedName>
    <definedName name="wrty" localSheetId="4">{"'용역비'!$A$4:$C$8"}</definedName>
    <definedName name="wrty" localSheetId="5">{"'용역비'!$A$4:$C$8"}</definedName>
    <definedName name="wrty" localSheetId="8">{"'용역비'!$A$4:$C$8"}</definedName>
    <definedName name="wrty" localSheetId="9">{"'용역비'!$A$4:$C$8"}</definedName>
    <definedName name="wrty" localSheetId="10">{"'용역비'!$A$4:$C$8"}</definedName>
    <definedName name="wrty" localSheetId="11">{"'용역비'!$A$4:$C$8"}</definedName>
    <definedName name="wrty" localSheetId="13">{"'용역비'!$A$4:$C$8"}</definedName>
    <definedName name="wrty" localSheetId="14">{"'용역비'!$A$4:$C$8"}</definedName>
    <definedName name="wrty" localSheetId="15">{"'용역비'!$A$4:$C$8"}</definedName>
    <definedName name="wrty" localSheetId="16">{"'용역비'!$A$4:$C$8"}</definedName>
    <definedName name="wrty" localSheetId="18">{"'용역비'!$A$4:$C$8"}</definedName>
    <definedName name="wrty" localSheetId="19">{"'용역비'!$A$4:$C$8"}</definedName>
    <definedName name="wrty" localSheetId="20">{"'용역비'!$A$4:$C$8"}</definedName>
    <definedName name="wrty" localSheetId="21">{"'용역비'!$A$4:$C$8"}</definedName>
    <definedName name="wrty" localSheetId="24">{"'용역비'!$A$4:$C$8"}</definedName>
    <definedName name="wrty" localSheetId="25">{"'용역비'!$A$4:$C$8"}</definedName>
    <definedName name="wrty" localSheetId="26">{"'용역비'!$A$4:$C$8"}</definedName>
    <definedName name="wrty" localSheetId="27">{"'용역비'!$A$4:$C$8"}</definedName>
    <definedName name="wrty">{"'용역비'!$A$4:$C$8"}</definedName>
    <definedName name="wrtyrtyrt" localSheetId="2">{"'용역비'!$A$4:$C$8"}</definedName>
    <definedName name="wrtyrtyrt" localSheetId="3">{"'용역비'!$A$4:$C$8"}</definedName>
    <definedName name="wrtyrtyrt" localSheetId="4">{"'용역비'!$A$4:$C$8"}</definedName>
    <definedName name="wrtyrtyrt" localSheetId="5">{"'용역비'!$A$4:$C$8"}</definedName>
    <definedName name="wrtyrtyrt" localSheetId="8">{"'용역비'!$A$4:$C$8"}</definedName>
    <definedName name="wrtyrtyrt" localSheetId="9">{"'용역비'!$A$4:$C$8"}</definedName>
    <definedName name="wrtyrtyrt" localSheetId="10">{"'용역비'!$A$4:$C$8"}</definedName>
    <definedName name="wrtyrtyrt" localSheetId="11">{"'용역비'!$A$4:$C$8"}</definedName>
    <definedName name="wrtyrtyrt" localSheetId="13">{"'용역비'!$A$4:$C$8"}</definedName>
    <definedName name="wrtyrtyrt" localSheetId="14">{"'용역비'!$A$4:$C$8"}</definedName>
    <definedName name="wrtyrtyrt" localSheetId="15">{"'용역비'!$A$4:$C$8"}</definedName>
    <definedName name="wrtyrtyrt" localSheetId="16">{"'용역비'!$A$4:$C$8"}</definedName>
    <definedName name="wrtyrtyrt" localSheetId="18">{"'용역비'!$A$4:$C$8"}</definedName>
    <definedName name="wrtyrtyrt" localSheetId="19">{"'용역비'!$A$4:$C$8"}</definedName>
    <definedName name="wrtyrtyrt" localSheetId="20">{"'용역비'!$A$4:$C$8"}</definedName>
    <definedName name="wrtyrtyrt" localSheetId="21">{"'용역비'!$A$4:$C$8"}</definedName>
    <definedName name="wrtyrtyrt" localSheetId="24">{"'용역비'!$A$4:$C$8"}</definedName>
    <definedName name="wrtyrtyrt" localSheetId="25">{"'용역비'!$A$4:$C$8"}</definedName>
    <definedName name="wrtyrtyrt" localSheetId="26">{"'용역비'!$A$4:$C$8"}</definedName>
    <definedName name="wrtyrtyrt" localSheetId="27">{"'용역비'!$A$4:$C$8"}</definedName>
    <definedName name="wrtyrtyrt">{"'용역비'!$A$4:$C$8"}</definedName>
    <definedName name="wrtywrtywr" localSheetId="2">{"'용역비'!$A$4:$C$8"}</definedName>
    <definedName name="wrtywrtywr" localSheetId="3">{"'용역비'!$A$4:$C$8"}</definedName>
    <definedName name="wrtywrtywr" localSheetId="4">{"'용역비'!$A$4:$C$8"}</definedName>
    <definedName name="wrtywrtywr" localSheetId="5">{"'용역비'!$A$4:$C$8"}</definedName>
    <definedName name="wrtywrtywr" localSheetId="8">{"'용역비'!$A$4:$C$8"}</definedName>
    <definedName name="wrtywrtywr" localSheetId="9">{"'용역비'!$A$4:$C$8"}</definedName>
    <definedName name="wrtywrtywr" localSheetId="10">{"'용역비'!$A$4:$C$8"}</definedName>
    <definedName name="wrtywrtywr" localSheetId="11">{"'용역비'!$A$4:$C$8"}</definedName>
    <definedName name="wrtywrtywr" localSheetId="13">{"'용역비'!$A$4:$C$8"}</definedName>
    <definedName name="wrtywrtywr" localSheetId="14">{"'용역비'!$A$4:$C$8"}</definedName>
    <definedName name="wrtywrtywr" localSheetId="15">{"'용역비'!$A$4:$C$8"}</definedName>
    <definedName name="wrtywrtywr" localSheetId="16">{"'용역비'!$A$4:$C$8"}</definedName>
    <definedName name="wrtywrtywr" localSheetId="18">{"'용역비'!$A$4:$C$8"}</definedName>
    <definedName name="wrtywrtywr" localSheetId="19">{"'용역비'!$A$4:$C$8"}</definedName>
    <definedName name="wrtywrtywr" localSheetId="20">{"'용역비'!$A$4:$C$8"}</definedName>
    <definedName name="wrtywrtywr" localSheetId="21">{"'용역비'!$A$4:$C$8"}</definedName>
    <definedName name="wrtywrtywr" localSheetId="24">{"'용역비'!$A$4:$C$8"}</definedName>
    <definedName name="wrtywrtywr" localSheetId="25">{"'용역비'!$A$4:$C$8"}</definedName>
    <definedName name="wrtywrtywr" localSheetId="26">{"'용역비'!$A$4:$C$8"}</definedName>
    <definedName name="wrtywrtywr" localSheetId="27">{"'용역비'!$A$4:$C$8"}</definedName>
    <definedName name="wrtywrtywr">{"'용역비'!$A$4:$C$8"}</definedName>
    <definedName name="wuy" localSheetId="2">{"'용역비'!$A$4:$C$8"}</definedName>
    <definedName name="wuy" localSheetId="3">{"'용역비'!$A$4:$C$8"}</definedName>
    <definedName name="wuy" localSheetId="4">{"'용역비'!$A$4:$C$8"}</definedName>
    <definedName name="wuy" localSheetId="5">{"'용역비'!$A$4:$C$8"}</definedName>
    <definedName name="wuy" localSheetId="8">{"'용역비'!$A$4:$C$8"}</definedName>
    <definedName name="wuy" localSheetId="9">{"'용역비'!$A$4:$C$8"}</definedName>
    <definedName name="wuy" localSheetId="10">{"'용역비'!$A$4:$C$8"}</definedName>
    <definedName name="wuy" localSheetId="11">{"'용역비'!$A$4:$C$8"}</definedName>
    <definedName name="wuy" localSheetId="13">{"'용역비'!$A$4:$C$8"}</definedName>
    <definedName name="wuy" localSheetId="14">{"'용역비'!$A$4:$C$8"}</definedName>
    <definedName name="wuy" localSheetId="15">{"'용역비'!$A$4:$C$8"}</definedName>
    <definedName name="wuy" localSheetId="16">{"'용역비'!$A$4:$C$8"}</definedName>
    <definedName name="wuy" localSheetId="18">{"'용역비'!$A$4:$C$8"}</definedName>
    <definedName name="wuy" localSheetId="19">{"'용역비'!$A$4:$C$8"}</definedName>
    <definedName name="wuy" localSheetId="20">{"'용역비'!$A$4:$C$8"}</definedName>
    <definedName name="wuy" localSheetId="21">{"'용역비'!$A$4:$C$8"}</definedName>
    <definedName name="wuy" localSheetId="24">{"'용역비'!$A$4:$C$8"}</definedName>
    <definedName name="wuy" localSheetId="25">{"'용역비'!$A$4:$C$8"}</definedName>
    <definedName name="wuy" localSheetId="26">{"'용역비'!$A$4:$C$8"}</definedName>
    <definedName name="wuy" localSheetId="27">{"'용역비'!$A$4:$C$8"}</definedName>
    <definedName name="wuy">{"'용역비'!$A$4:$C$8"}</definedName>
    <definedName name="WW">#REF!</definedName>
    <definedName name="WWT" localSheetId="2">'1-1. 설계설명서(1차)'!WWT</definedName>
    <definedName name="WWT" localSheetId="3">'1-1. 설계설명서(2차)'!WWT</definedName>
    <definedName name="WWT" localSheetId="4">'1-1. 설계설명서(3차)'!WWT</definedName>
    <definedName name="WWT" localSheetId="5">'1-1. 설계설명서(4차)'!WWT</definedName>
    <definedName name="WWT" localSheetId="8">'3-1. 예정공정표(1차)'!WWT</definedName>
    <definedName name="WWT" localSheetId="9">'3-2. 예정공정표(2차)'!WWT</definedName>
    <definedName name="WWT" localSheetId="10">'3-3. 예정공정표(3차)'!WWT</definedName>
    <definedName name="WWT" localSheetId="11">'3-4. 예정공정표(4차)'!WWT</definedName>
    <definedName name="WWT" localSheetId="13">'4-1. 예산내역서(1차)'!WWT</definedName>
    <definedName name="WWT" localSheetId="14">'4-2. 예산내역서(2차)'!WWT</definedName>
    <definedName name="WWT" localSheetId="15">'4-3. 예산내역서(3차)'!WWT</definedName>
    <definedName name="WWT" localSheetId="16">'4-4. 예산내역서(4차)'!WWT</definedName>
    <definedName name="WWT" localSheetId="18">'5-1. 공종별예산조서(1차)'!WWT</definedName>
    <definedName name="WWT" localSheetId="19">'5-2. 공종별예산조서(2차)'!WWT</definedName>
    <definedName name="WWT" localSheetId="20">'5-3. 공종별예산조서(3차)'!WWT</definedName>
    <definedName name="WWT" localSheetId="21">'5-3. 공종별예산조서(4차)'!WWT</definedName>
    <definedName name="WWT" localSheetId="24">'8-1. 철거발생품 예정조서(1차)'!WWT</definedName>
    <definedName name="WWT" localSheetId="25">'8-2. 철거발생품 예정조서(2차)'!WWT</definedName>
    <definedName name="WWT" localSheetId="26">'8-3. 철거발생품 예정조서(3차)'!WWT</definedName>
    <definedName name="WWT" localSheetId="27">'8-4. 철거발생품 예정조서(4차)'!WWT</definedName>
    <definedName name="WWW" localSheetId="2">'1-1. 설계설명서(1차)'!DGRT</definedName>
    <definedName name="WWW" localSheetId="3">'1-1. 설계설명서(2차)'!DGRT</definedName>
    <definedName name="WWW" localSheetId="4">'1-1. 설계설명서(3차)'!DGRT</definedName>
    <definedName name="WWW" localSheetId="5">'1-1. 설계설명서(4차)'!DGRT</definedName>
    <definedName name="WWW" localSheetId="8">'3-1. 예정공정표(1차)'!DGRT</definedName>
    <definedName name="WWW" localSheetId="9">'3-2. 예정공정표(2차)'!DGRT</definedName>
    <definedName name="WWW" localSheetId="10">'3-3. 예정공정표(3차)'!DGRT</definedName>
    <definedName name="WWW" localSheetId="11">'3-4. 예정공정표(4차)'!DGRT</definedName>
    <definedName name="WWW" localSheetId="13">'4-1. 예산내역서(1차)'!DGRT</definedName>
    <definedName name="WWW" localSheetId="14">'4-2. 예산내역서(2차)'!DGRT</definedName>
    <definedName name="WWW" localSheetId="15">'4-3. 예산내역서(3차)'!DGRT</definedName>
    <definedName name="WWW" localSheetId="16">'4-4. 예산내역서(4차)'!DGRT</definedName>
    <definedName name="WWW" localSheetId="18">'5-1. 공종별예산조서(1차)'!DGRT</definedName>
    <definedName name="WWW" localSheetId="19">'5-2. 공종별예산조서(2차)'!DGRT</definedName>
    <definedName name="WWW" localSheetId="20">'5-3. 공종별예산조서(3차)'!DGRT</definedName>
    <definedName name="WWW" localSheetId="21">'5-3. 공종별예산조서(4차)'!DGRT</definedName>
    <definedName name="www" localSheetId="28">#REF!</definedName>
    <definedName name="WWW" localSheetId="24">'8-1. 철거발생품 예정조서(1차)'!DGRT</definedName>
    <definedName name="WWW" localSheetId="25">'8-2. 철거발생품 예정조서(2차)'!DGRT</definedName>
    <definedName name="WWW" localSheetId="26">'8-3. 철거발생품 예정조서(3차)'!DGRT</definedName>
    <definedName name="WWW" localSheetId="27">'8-4. 철거발생품 예정조서(4차)'!DGRT</definedName>
    <definedName name="www">#REF!</definedName>
    <definedName name="wwwwww">{"'자리배치도'!$AG$1:$CI$28"}</definedName>
    <definedName name="x" localSheetId="28">#REF!</definedName>
    <definedName name="x">#REF!</definedName>
    <definedName name="XC">{"'광피스표'!$A$3:$N$54"}</definedName>
    <definedName name="XCCFD">{"'광피스표'!$A$3:$N$54"}</definedName>
    <definedName name="XCXC" localSheetId="0">[0]!FFF</definedName>
    <definedName name="XCXC" localSheetId="2">[0]!FFF</definedName>
    <definedName name="XCXC" localSheetId="3">[0]!FFF</definedName>
    <definedName name="XCXC" localSheetId="4">[0]!FFF</definedName>
    <definedName name="XCXC" localSheetId="5">[0]!FFF</definedName>
    <definedName name="XCXC" localSheetId="8">[0]!FFF</definedName>
    <definedName name="XCXC" localSheetId="9">[0]!FFF</definedName>
    <definedName name="XCXC" localSheetId="10">[0]!FFF</definedName>
    <definedName name="XCXC" localSheetId="11">[0]!FFF</definedName>
    <definedName name="XCXC" localSheetId="13">[0]!FFF</definedName>
    <definedName name="XCXC" localSheetId="14">[0]!FFF</definedName>
    <definedName name="XCXC" localSheetId="15">[0]!FFF</definedName>
    <definedName name="XCXC" localSheetId="16">[0]!FFF</definedName>
    <definedName name="XCXC" localSheetId="18">[0]!FFF</definedName>
    <definedName name="XCXC" localSheetId="19">[0]!FFF</definedName>
    <definedName name="XCXC" localSheetId="20">[0]!FFF</definedName>
    <definedName name="XCXC" localSheetId="21">[0]!FFF</definedName>
    <definedName name="XCXC" localSheetId="24">[0]!FFF</definedName>
    <definedName name="XCXC" localSheetId="25">[0]!FFF</definedName>
    <definedName name="XCXC" localSheetId="26">[0]!FFF</definedName>
    <definedName name="XCXC" localSheetId="27">[0]!FFF</definedName>
    <definedName name="xhd" localSheetId="2">'1-1. 설계설명서(1차)'!xhd</definedName>
    <definedName name="xhd" localSheetId="3">'1-1. 설계설명서(2차)'!xhd</definedName>
    <definedName name="xhd" localSheetId="4">'1-1. 설계설명서(3차)'!xhd</definedName>
    <definedName name="xhd" localSheetId="5">'1-1. 설계설명서(4차)'!xhd</definedName>
    <definedName name="xhd" localSheetId="8">'3-1. 예정공정표(1차)'!xhd</definedName>
    <definedName name="xhd" localSheetId="9">'3-2. 예정공정표(2차)'!xhd</definedName>
    <definedName name="xhd" localSheetId="10">'3-3. 예정공정표(3차)'!xhd</definedName>
    <definedName name="xhd" localSheetId="11">'3-4. 예정공정표(4차)'!xhd</definedName>
    <definedName name="xhd" localSheetId="13">'4-1. 예산내역서(1차)'!xhd</definedName>
    <definedName name="xhd" localSheetId="14">'4-2. 예산내역서(2차)'!xhd</definedName>
    <definedName name="xhd" localSheetId="15">'4-3. 예산내역서(3차)'!xhd</definedName>
    <definedName name="xhd" localSheetId="16">'4-4. 예산내역서(4차)'!xhd</definedName>
    <definedName name="xhd" localSheetId="18">'5-1. 공종별예산조서(1차)'!xhd</definedName>
    <definedName name="xhd" localSheetId="19">'5-2. 공종별예산조서(2차)'!xhd</definedName>
    <definedName name="xhd" localSheetId="20">'5-3. 공종별예산조서(3차)'!xhd</definedName>
    <definedName name="xhd" localSheetId="21">'5-3. 공종별예산조서(4차)'!xhd</definedName>
    <definedName name="xhd" localSheetId="24">'8-1. 철거발생품 예정조서(1차)'!xhd</definedName>
    <definedName name="xhd" localSheetId="25">'8-2. 철거발생품 예정조서(2차)'!xhd</definedName>
    <definedName name="xhd" localSheetId="26">'8-3. 철거발생품 예정조서(3차)'!xhd</definedName>
    <definedName name="xhd" localSheetId="27">'8-4. 철거발생품 예정조서(4차)'!xhd</definedName>
    <definedName name="XXXXXX" localSheetId="2">{"'공사부문'!$A$6:$A$32"}</definedName>
    <definedName name="XXXXXX" localSheetId="3">{"'공사부문'!$A$6:$A$32"}</definedName>
    <definedName name="XXXXXX" localSheetId="4">{"'공사부문'!$A$6:$A$32"}</definedName>
    <definedName name="XXXXXX" localSheetId="5">{"'공사부문'!$A$6:$A$32"}</definedName>
    <definedName name="XXXXXX" localSheetId="8">{"'공사부문'!$A$6:$A$32"}</definedName>
    <definedName name="XXXXXX" localSheetId="9">{"'공사부문'!$A$6:$A$32"}</definedName>
    <definedName name="XXXXXX" localSheetId="10">{"'공사부문'!$A$6:$A$32"}</definedName>
    <definedName name="XXXXXX" localSheetId="11">{"'공사부문'!$A$6:$A$32"}</definedName>
    <definedName name="XXXXXX" localSheetId="13">{"'공사부문'!$A$6:$A$32"}</definedName>
    <definedName name="XXXXXX" localSheetId="14">{"'공사부문'!$A$6:$A$32"}</definedName>
    <definedName name="XXXXXX" localSheetId="15">{"'공사부문'!$A$6:$A$32"}</definedName>
    <definedName name="XXXXXX" localSheetId="16">{"'공사부문'!$A$6:$A$32"}</definedName>
    <definedName name="XXXXXX" localSheetId="18">{"'공사부문'!$A$6:$A$32"}</definedName>
    <definedName name="XXXXXX" localSheetId="19">{"'공사부문'!$A$6:$A$32"}</definedName>
    <definedName name="XXXXXX" localSheetId="20">{"'공사부문'!$A$6:$A$32"}</definedName>
    <definedName name="XXXXXX" localSheetId="21">{"'공사부문'!$A$6:$A$32"}</definedName>
    <definedName name="XXXXXX" localSheetId="23">{"'공사부문'!$A$6:$A$32"}</definedName>
    <definedName name="XXXXXX" localSheetId="28">{"'공사부문'!$A$6:$A$32"}</definedName>
    <definedName name="XXXXXX" localSheetId="24">{"'공사부문'!$A$6:$A$32"}</definedName>
    <definedName name="XXXXXX" localSheetId="25">{"'공사부문'!$A$6:$A$32"}</definedName>
    <definedName name="XXXXXX" localSheetId="26">{"'공사부문'!$A$6:$A$32"}</definedName>
    <definedName name="XXXXXX" localSheetId="27">{"'공사부문'!$A$6:$A$32"}</definedName>
    <definedName name="XXXXXX">{"'공사부문'!$A$6:$A$32"}</definedName>
    <definedName name="y" localSheetId="2">{"'용역비'!$A$4:$C$8"}</definedName>
    <definedName name="y" localSheetId="3">{"'용역비'!$A$4:$C$8"}</definedName>
    <definedName name="y" localSheetId="4">{"'용역비'!$A$4:$C$8"}</definedName>
    <definedName name="y" localSheetId="5">{"'용역비'!$A$4:$C$8"}</definedName>
    <definedName name="y" localSheetId="8">{"'용역비'!$A$4:$C$8"}</definedName>
    <definedName name="y" localSheetId="9">{"'용역비'!$A$4:$C$8"}</definedName>
    <definedName name="y" localSheetId="10">{"'용역비'!$A$4:$C$8"}</definedName>
    <definedName name="y" localSheetId="11">{"'용역비'!$A$4:$C$8"}</definedName>
    <definedName name="y" localSheetId="13">{"'용역비'!$A$4:$C$8"}</definedName>
    <definedName name="y" localSheetId="14">{"'용역비'!$A$4:$C$8"}</definedName>
    <definedName name="y" localSheetId="15">{"'용역비'!$A$4:$C$8"}</definedName>
    <definedName name="y" localSheetId="16">{"'용역비'!$A$4:$C$8"}</definedName>
    <definedName name="y" localSheetId="18">{"'용역비'!$A$4:$C$8"}</definedName>
    <definedName name="y" localSheetId="19">{"'용역비'!$A$4:$C$8"}</definedName>
    <definedName name="y" localSheetId="20">{"'용역비'!$A$4:$C$8"}</definedName>
    <definedName name="y" localSheetId="21">{"'용역비'!$A$4:$C$8"}</definedName>
    <definedName name="y" localSheetId="24">{"'용역비'!$A$4:$C$8"}</definedName>
    <definedName name="y" localSheetId="25">{"'용역비'!$A$4:$C$8"}</definedName>
    <definedName name="y" localSheetId="26">{"'용역비'!$A$4:$C$8"}</definedName>
    <definedName name="y" localSheetId="27">{"'용역비'!$A$4:$C$8"}</definedName>
    <definedName name="y">{"'용역비'!$A$4:$C$8"}</definedName>
    <definedName name="Y6U" localSheetId="2">'1-1. 설계설명서(1차)'!Y6U</definedName>
    <definedName name="Y6U" localSheetId="3">'1-1. 설계설명서(2차)'!Y6U</definedName>
    <definedName name="Y6U" localSheetId="4">'1-1. 설계설명서(3차)'!Y6U</definedName>
    <definedName name="Y6U" localSheetId="5">'1-1. 설계설명서(4차)'!Y6U</definedName>
    <definedName name="Y6U" localSheetId="8">'3-1. 예정공정표(1차)'!Y6U</definedName>
    <definedName name="Y6U" localSheetId="9">'3-2. 예정공정표(2차)'!Y6U</definedName>
    <definedName name="Y6U" localSheetId="10">'3-3. 예정공정표(3차)'!Y6U</definedName>
    <definedName name="Y6U" localSheetId="11">'3-4. 예정공정표(4차)'!Y6U</definedName>
    <definedName name="Y6U" localSheetId="13">'4-1. 예산내역서(1차)'!Y6U</definedName>
    <definedName name="Y6U" localSheetId="14">'4-2. 예산내역서(2차)'!Y6U</definedName>
    <definedName name="Y6U" localSheetId="15">'4-3. 예산내역서(3차)'!Y6U</definedName>
    <definedName name="Y6U" localSheetId="16">'4-4. 예산내역서(4차)'!Y6U</definedName>
    <definedName name="Y6U" localSheetId="18">'5-1. 공종별예산조서(1차)'!Y6U</definedName>
    <definedName name="Y6U" localSheetId="19">'5-2. 공종별예산조서(2차)'!Y6U</definedName>
    <definedName name="Y6U" localSheetId="20">'5-3. 공종별예산조서(3차)'!Y6U</definedName>
    <definedName name="Y6U" localSheetId="21">'5-3. 공종별예산조서(4차)'!Y6U</definedName>
    <definedName name="Y6U" localSheetId="24">'8-1. 철거발생품 예정조서(1차)'!Y6U</definedName>
    <definedName name="Y6U" localSheetId="25">'8-2. 철거발생품 예정조서(2차)'!Y6U</definedName>
    <definedName name="Y6U" localSheetId="26">'8-3. 철거발생품 예정조서(3차)'!Y6U</definedName>
    <definedName name="Y6U" localSheetId="27">'8-4. 철거발생품 예정조서(4차)'!Y6U</definedName>
    <definedName name="YFU" localSheetId="2">{"'용역비'!$A$4:$C$8"}</definedName>
    <definedName name="YFU" localSheetId="3">{"'용역비'!$A$4:$C$8"}</definedName>
    <definedName name="YFU" localSheetId="4">{"'용역비'!$A$4:$C$8"}</definedName>
    <definedName name="YFU" localSheetId="5">{"'용역비'!$A$4:$C$8"}</definedName>
    <definedName name="YFU" localSheetId="8">{"'용역비'!$A$4:$C$8"}</definedName>
    <definedName name="YFU" localSheetId="9">{"'용역비'!$A$4:$C$8"}</definedName>
    <definedName name="YFU" localSheetId="10">{"'용역비'!$A$4:$C$8"}</definedName>
    <definedName name="YFU" localSheetId="11">{"'용역비'!$A$4:$C$8"}</definedName>
    <definedName name="YFU" localSheetId="13">{"'용역비'!$A$4:$C$8"}</definedName>
    <definedName name="YFU" localSheetId="14">{"'용역비'!$A$4:$C$8"}</definedName>
    <definedName name="YFU" localSheetId="15">{"'용역비'!$A$4:$C$8"}</definedName>
    <definedName name="YFU" localSheetId="16">{"'용역비'!$A$4:$C$8"}</definedName>
    <definedName name="YFU" localSheetId="18">{"'용역비'!$A$4:$C$8"}</definedName>
    <definedName name="YFU" localSheetId="19">{"'용역비'!$A$4:$C$8"}</definedName>
    <definedName name="YFU" localSheetId="20">{"'용역비'!$A$4:$C$8"}</definedName>
    <definedName name="YFU" localSheetId="21">{"'용역비'!$A$4:$C$8"}</definedName>
    <definedName name="YFU" localSheetId="24">{"'용역비'!$A$4:$C$8"}</definedName>
    <definedName name="YFU" localSheetId="25">{"'용역비'!$A$4:$C$8"}</definedName>
    <definedName name="YFU" localSheetId="26">{"'용역비'!$A$4:$C$8"}</definedName>
    <definedName name="YFU" localSheetId="27">{"'용역비'!$A$4:$C$8"}</definedName>
    <definedName name="YFU">{"'용역비'!$A$4:$C$8"}</definedName>
    <definedName name="YHGG" localSheetId="2">'1-1. 설계설명서(1차)'!HTD</definedName>
    <definedName name="YHGG" localSheetId="3">'1-1. 설계설명서(2차)'!HTD</definedName>
    <definedName name="YHGG" localSheetId="4">'1-1. 설계설명서(3차)'!HTD</definedName>
    <definedName name="YHGG" localSheetId="5">'1-1. 설계설명서(4차)'!HTD</definedName>
    <definedName name="YHGG" localSheetId="8">'3-1. 예정공정표(1차)'!HTD</definedName>
    <definedName name="YHGG" localSheetId="9">'3-2. 예정공정표(2차)'!HTD</definedName>
    <definedName name="YHGG" localSheetId="10">'3-3. 예정공정표(3차)'!HTD</definedName>
    <definedName name="YHGG" localSheetId="11">'3-4. 예정공정표(4차)'!HTD</definedName>
    <definedName name="YHGG" localSheetId="13">'4-1. 예산내역서(1차)'!HTD</definedName>
    <definedName name="YHGG" localSheetId="14">'4-2. 예산내역서(2차)'!HTD</definedName>
    <definedName name="YHGG" localSheetId="15">'4-3. 예산내역서(3차)'!HTD</definedName>
    <definedName name="YHGG" localSheetId="16">'4-4. 예산내역서(4차)'!HTD</definedName>
    <definedName name="YHGG" localSheetId="18">'5-1. 공종별예산조서(1차)'!HTD</definedName>
    <definedName name="YHGG" localSheetId="19">'5-2. 공종별예산조서(2차)'!HTD</definedName>
    <definedName name="YHGG" localSheetId="20">'5-3. 공종별예산조서(3차)'!HTD</definedName>
    <definedName name="YHGG" localSheetId="21">'5-3. 공종별예산조서(4차)'!HTD</definedName>
    <definedName name="YHGG" localSheetId="24">'8-1. 철거발생품 예정조서(1차)'!HTD</definedName>
    <definedName name="YHGG" localSheetId="25">'8-2. 철거발생품 예정조서(2차)'!HTD</definedName>
    <definedName name="YHGG" localSheetId="26">'8-3. 철거발생품 예정조서(3차)'!HTD</definedName>
    <definedName name="YHGG" localSheetId="27">'8-4. 철거발생품 예정조서(4차)'!HTD</definedName>
    <definedName name="YIP" localSheetId="2">'1-1. 설계설명서(1차)'!QQA</definedName>
    <definedName name="YIP" localSheetId="3">'1-1. 설계설명서(2차)'!QQA</definedName>
    <definedName name="YIP" localSheetId="4">'1-1. 설계설명서(3차)'!QQA</definedName>
    <definedName name="YIP" localSheetId="5">'1-1. 설계설명서(4차)'!QQA</definedName>
    <definedName name="YIP" localSheetId="8">'3-1. 예정공정표(1차)'!QQA</definedName>
    <definedName name="YIP" localSheetId="9">'3-2. 예정공정표(2차)'!QQA</definedName>
    <definedName name="YIP" localSheetId="10">'3-3. 예정공정표(3차)'!QQA</definedName>
    <definedName name="YIP" localSheetId="11">'3-4. 예정공정표(4차)'!QQA</definedName>
    <definedName name="YIP" localSheetId="13">'4-1. 예산내역서(1차)'!QQA</definedName>
    <definedName name="YIP" localSheetId="14">'4-2. 예산내역서(2차)'!QQA</definedName>
    <definedName name="YIP" localSheetId="15">'4-3. 예산내역서(3차)'!QQA</definedName>
    <definedName name="YIP" localSheetId="16">'4-4. 예산내역서(4차)'!QQA</definedName>
    <definedName name="YIP" localSheetId="18">'5-1. 공종별예산조서(1차)'!QQA</definedName>
    <definedName name="YIP" localSheetId="19">'5-2. 공종별예산조서(2차)'!QQA</definedName>
    <definedName name="YIP" localSheetId="20">'5-3. 공종별예산조서(3차)'!QQA</definedName>
    <definedName name="YIP" localSheetId="21">'5-3. 공종별예산조서(4차)'!QQA</definedName>
    <definedName name="YIP" localSheetId="24">'8-1. 철거발생품 예정조서(1차)'!QQA</definedName>
    <definedName name="YIP" localSheetId="25">'8-2. 철거발생품 예정조서(2차)'!QQA</definedName>
    <definedName name="YIP" localSheetId="26">'8-3. 철거발생품 예정조서(3차)'!QQA</definedName>
    <definedName name="YIP" localSheetId="27">'8-4. 철거발생품 예정조서(4차)'!QQA</definedName>
    <definedName name="YJH" localSheetId="2">'1-1. 설계설명서(1차)'!YJH</definedName>
    <definedName name="YJH" localSheetId="3">'1-1. 설계설명서(2차)'!YJH</definedName>
    <definedName name="YJH" localSheetId="4">'1-1. 설계설명서(3차)'!YJH</definedName>
    <definedName name="YJH" localSheetId="5">'1-1. 설계설명서(4차)'!YJH</definedName>
    <definedName name="YJH" localSheetId="8">'3-1. 예정공정표(1차)'!YJH</definedName>
    <definedName name="YJH" localSheetId="9">'3-2. 예정공정표(2차)'!YJH</definedName>
    <definedName name="YJH" localSheetId="10">'3-3. 예정공정표(3차)'!YJH</definedName>
    <definedName name="YJH" localSheetId="11">'3-4. 예정공정표(4차)'!YJH</definedName>
    <definedName name="YJH" localSheetId="13">'4-1. 예산내역서(1차)'!YJH</definedName>
    <definedName name="YJH" localSheetId="14">'4-2. 예산내역서(2차)'!YJH</definedName>
    <definedName name="YJH" localSheetId="15">'4-3. 예산내역서(3차)'!YJH</definedName>
    <definedName name="YJH" localSheetId="16">'4-4. 예산내역서(4차)'!YJH</definedName>
    <definedName name="YJH" localSheetId="18">'5-1. 공종별예산조서(1차)'!YJH</definedName>
    <definedName name="YJH" localSheetId="19">'5-2. 공종별예산조서(2차)'!YJH</definedName>
    <definedName name="YJH" localSheetId="20">'5-3. 공종별예산조서(3차)'!YJH</definedName>
    <definedName name="YJH" localSheetId="21">'5-3. 공종별예산조서(4차)'!YJH</definedName>
    <definedName name="YJH" localSheetId="24">'8-1. 철거발생품 예정조서(1차)'!YJH</definedName>
    <definedName name="YJH" localSheetId="25">'8-2. 철거발생품 예정조서(2차)'!YJH</definedName>
    <definedName name="YJH" localSheetId="26">'8-3. 철거발생품 예정조서(3차)'!YJH</definedName>
    <definedName name="YJH" localSheetId="27">'8-4. 철거발생품 예정조서(4차)'!YJH</definedName>
    <definedName name="YL" localSheetId="2">{"'용역비'!$A$4:$C$8"}</definedName>
    <definedName name="YL" localSheetId="3">{"'용역비'!$A$4:$C$8"}</definedName>
    <definedName name="YL" localSheetId="4">{"'용역비'!$A$4:$C$8"}</definedName>
    <definedName name="YL" localSheetId="5">{"'용역비'!$A$4:$C$8"}</definedName>
    <definedName name="YL" localSheetId="8">{"'용역비'!$A$4:$C$8"}</definedName>
    <definedName name="YL" localSheetId="9">{"'용역비'!$A$4:$C$8"}</definedName>
    <definedName name="YL" localSheetId="10">{"'용역비'!$A$4:$C$8"}</definedName>
    <definedName name="YL" localSheetId="11">{"'용역비'!$A$4:$C$8"}</definedName>
    <definedName name="YL" localSheetId="13">{"'용역비'!$A$4:$C$8"}</definedName>
    <definedName name="YL" localSheetId="14">{"'용역비'!$A$4:$C$8"}</definedName>
    <definedName name="YL" localSheetId="15">{"'용역비'!$A$4:$C$8"}</definedName>
    <definedName name="YL" localSheetId="16">{"'용역비'!$A$4:$C$8"}</definedName>
    <definedName name="YL" localSheetId="18">{"'용역비'!$A$4:$C$8"}</definedName>
    <definedName name="YL" localSheetId="19">{"'용역비'!$A$4:$C$8"}</definedName>
    <definedName name="YL" localSheetId="20">{"'용역비'!$A$4:$C$8"}</definedName>
    <definedName name="YL" localSheetId="21">{"'용역비'!$A$4:$C$8"}</definedName>
    <definedName name="YL" localSheetId="24">{"'용역비'!$A$4:$C$8"}</definedName>
    <definedName name="YL" localSheetId="25">{"'용역비'!$A$4:$C$8"}</definedName>
    <definedName name="YL" localSheetId="26">{"'용역비'!$A$4:$C$8"}</definedName>
    <definedName name="YL" localSheetId="27">{"'용역비'!$A$4:$C$8"}</definedName>
    <definedName name="YL">{"'용역비'!$A$4:$C$8"}</definedName>
    <definedName name="YOUNG">#REF!</definedName>
    <definedName name="ytty" localSheetId="28">#REF!</definedName>
    <definedName name="ytty">#REF!</definedName>
    <definedName name="ytutuu" localSheetId="28">#REF!</definedName>
    <definedName name="ytutuu">#REF!</definedName>
    <definedName name="ytyt" localSheetId="28">#REF!</definedName>
    <definedName name="ytyt">#REF!</definedName>
    <definedName name="ytytytty" localSheetId="28">#REF!</definedName>
    <definedName name="ytytytty">#REF!</definedName>
    <definedName name="yu" localSheetId="2">{"'용역비'!$A$4:$C$8"}</definedName>
    <definedName name="yu" localSheetId="3">{"'용역비'!$A$4:$C$8"}</definedName>
    <definedName name="yu" localSheetId="4">{"'용역비'!$A$4:$C$8"}</definedName>
    <definedName name="yu" localSheetId="5">{"'용역비'!$A$4:$C$8"}</definedName>
    <definedName name="yu" localSheetId="8">{"'용역비'!$A$4:$C$8"}</definedName>
    <definedName name="yu" localSheetId="9">{"'용역비'!$A$4:$C$8"}</definedName>
    <definedName name="yu" localSheetId="10">{"'용역비'!$A$4:$C$8"}</definedName>
    <definedName name="yu" localSheetId="11">{"'용역비'!$A$4:$C$8"}</definedName>
    <definedName name="yu" localSheetId="13">{"'용역비'!$A$4:$C$8"}</definedName>
    <definedName name="yu" localSheetId="14">{"'용역비'!$A$4:$C$8"}</definedName>
    <definedName name="yu" localSheetId="15">{"'용역비'!$A$4:$C$8"}</definedName>
    <definedName name="yu" localSheetId="16">{"'용역비'!$A$4:$C$8"}</definedName>
    <definedName name="yu" localSheetId="18">{"'용역비'!$A$4:$C$8"}</definedName>
    <definedName name="yu" localSheetId="19">{"'용역비'!$A$4:$C$8"}</definedName>
    <definedName name="yu" localSheetId="20">{"'용역비'!$A$4:$C$8"}</definedName>
    <definedName name="yu" localSheetId="21">{"'용역비'!$A$4:$C$8"}</definedName>
    <definedName name="yu" localSheetId="24">{"'용역비'!$A$4:$C$8"}</definedName>
    <definedName name="yu" localSheetId="25">{"'용역비'!$A$4:$C$8"}</definedName>
    <definedName name="yu" localSheetId="26">{"'용역비'!$A$4:$C$8"}</definedName>
    <definedName name="yu" localSheetId="27">{"'용역비'!$A$4:$C$8"}</definedName>
    <definedName name="yu">{"'용역비'!$A$4:$C$8"}</definedName>
    <definedName name="YUK" localSheetId="2">{"'용역비'!$A$4:$C$8"}</definedName>
    <definedName name="YUK" localSheetId="3">{"'용역비'!$A$4:$C$8"}</definedName>
    <definedName name="YUK" localSheetId="4">{"'용역비'!$A$4:$C$8"}</definedName>
    <definedName name="YUK" localSheetId="5">{"'용역비'!$A$4:$C$8"}</definedName>
    <definedName name="YUK" localSheetId="8">{"'용역비'!$A$4:$C$8"}</definedName>
    <definedName name="YUK" localSheetId="9">{"'용역비'!$A$4:$C$8"}</definedName>
    <definedName name="YUK" localSheetId="10">{"'용역비'!$A$4:$C$8"}</definedName>
    <definedName name="YUK" localSheetId="11">{"'용역비'!$A$4:$C$8"}</definedName>
    <definedName name="YUK" localSheetId="13">{"'용역비'!$A$4:$C$8"}</definedName>
    <definedName name="YUK" localSheetId="14">{"'용역비'!$A$4:$C$8"}</definedName>
    <definedName name="YUK" localSheetId="15">{"'용역비'!$A$4:$C$8"}</definedName>
    <definedName name="YUK" localSheetId="16">{"'용역비'!$A$4:$C$8"}</definedName>
    <definedName name="YUK" localSheetId="18">{"'용역비'!$A$4:$C$8"}</definedName>
    <definedName name="YUK" localSheetId="19">{"'용역비'!$A$4:$C$8"}</definedName>
    <definedName name="YUK" localSheetId="20">{"'용역비'!$A$4:$C$8"}</definedName>
    <definedName name="YUK" localSheetId="21">{"'용역비'!$A$4:$C$8"}</definedName>
    <definedName name="YUK" localSheetId="24">{"'용역비'!$A$4:$C$8"}</definedName>
    <definedName name="YUK" localSheetId="25">{"'용역비'!$A$4:$C$8"}</definedName>
    <definedName name="YUK" localSheetId="26">{"'용역비'!$A$4:$C$8"}</definedName>
    <definedName name="YUK" localSheetId="27">{"'용역비'!$A$4:$C$8"}</definedName>
    <definedName name="YUK">{"'용역비'!$A$4:$C$8"}</definedName>
    <definedName name="YUKOI" localSheetId="2">{"'용역비'!$A$4:$C$8"}</definedName>
    <definedName name="YUKOI" localSheetId="3">{"'용역비'!$A$4:$C$8"}</definedName>
    <definedName name="YUKOI" localSheetId="4">{"'용역비'!$A$4:$C$8"}</definedName>
    <definedName name="YUKOI" localSheetId="5">{"'용역비'!$A$4:$C$8"}</definedName>
    <definedName name="YUKOI" localSheetId="8">{"'용역비'!$A$4:$C$8"}</definedName>
    <definedName name="YUKOI" localSheetId="9">{"'용역비'!$A$4:$C$8"}</definedName>
    <definedName name="YUKOI" localSheetId="10">{"'용역비'!$A$4:$C$8"}</definedName>
    <definedName name="YUKOI" localSheetId="11">{"'용역비'!$A$4:$C$8"}</definedName>
    <definedName name="YUKOI" localSheetId="13">{"'용역비'!$A$4:$C$8"}</definedName>
    <definedName name="YUKOI" localSheetId="14">{"'용역비'!$A$4:$C$8"}</definedName>
    <definedName name="YUKOI" localSheetId="15">{"'용역비'!$A$4:$C$8"}</definedName>
    <definedName name="YUKOI" localSheetId="16">{"'용역비'!$A$4:$C$8"}</definedName>
    <definedName name="YUKOI" localSheetId="18">{"'용역비'!$A$4:$C$8"}</definedName>
    <definedName name="YUKOI" localSheetId="19">{"'용역비'!$A$4:$C$8"}</definedName>
    <definedName name="YUKOI" localSheetId="20">{"'용역비'!$A$4:$C$8"}</definedName>
    <definedName name="YUKOI" localSheetId="21">{"'용역비'!$A$4:$C$8"}</definedName>
    <definedName name="YUKOI" localSheetId="24">{"'용역비'!$A$4:$C$8"}</definedName>
    <definedName name="YUKOI" localSheetId="25">{"'용역비'!$A$4:$C$8"}</definedName>
    <definedName name="YUKOI" localSheetId="26">{"'용역비'!$A$4:$C$8"}</definedName>
    <definedName name="YUKOI" localSheetId="27">{"'용역비'!$A$4:$C$8"}</definedName>
    <definedName name="YUKOI">{"'용역비'!$A$4:$C$8"}</definedName>
    <definedName name="ywwy" localSheetId="28">#REF!</definedName>
    <definedName name="ywwy">#REF!</definedName>
    <definedName name="yyyyyy">{"'자리배치도'!$AG$1:$CI$28"}</definedName>
    <definedName name="z" localSheetId="28">#REF!</definedName>
    <definedName name="z">#REF!</definedName>
    <definedName name="ZFVGFDHB" localSheetId="2">'1-1. 설계설명서(1차)'!AVGHBD</definedName>
    <definedName name="ZFVGFDHB" localSheetId="3">'1-1. 설계설명서(2차)'!AVGHBD</definedName>
    <definedName name="ZFVGFDHB" localSheetId="4">'1-1. 설계설명서(3차)'!AVGHBD</definedName>
    <definedName name="ZFVGFDHB" localSheetId="5">'1-1. 설계설명서(4차)'!AVGHBD</definedName>
    <definedName name="ZFVGFDHB" localSheetId="8">'3-1. 예정공정표(1차)'!AVGHBD</definedName>
    <definedName name="ZFVGFDHB" localSheetId="9">'3-2. 예정공정표(2차)'!AVGHBD</definedName>
    <definedName name="ZFVGFDHB" localSheetId="10">'3-3. 예정공정표(3차)'!AVGHBD</definedName>
    <definedName name="ZFVGFDHB" localSheetId="11">'3-4. 예정공정표(4차)'!AVGHBD</definedName>
    <definedName name="ZFVGFDHB" localSheetId="13">'4-1. 예산내역서(1차)'!AVGHBD</definedName>
    <definedName name="ZFVGFDHB" localSheetId="14">'4-2. 예산내역서(2차)'!AVGHBD</definedName>
    <definedName name="ZFVGFDHB" localSheetId="15">'4-3. 예산내역서(3차)'!AVGHBD</definedName>
    <definedName name="ZFVGFDHB" localSheetId="16">'4-4. 예산내역서(4차)'!AVGHBD</definedName>
    <definedName name="ZFVGFDHB" localSheetId="18">'5-1. 공종별예산조서(1차)'!AVGHBD</definedName>
    <definedName name="ZFVGFDHB" localSheetId="19">'5-2. 공종별예산조서(2차)'!AVGHBD</definedName>
    <definedName name="ZFVGFDHB" localSheetId="20">'5-3. 공종별예산조서(3차)'!AVGHBD</definedName>
    <definedName name="ZFVGFDHB" localSheetId="21">'5-3. 공종별예산조서(4차)'!AVGHBD</definedName>
    <definedName name="ZFVGFDHB" localSheetId="24">'8-1. 철거발생품 예정조서(1차)'!AVGHBD</definedName>
    <definedName name="ZFVGFDHB" localSheetId="25">'8-2. 철거발생품 예정조서(2차)'!AVGHBD</definedName>
    <definedName name="ZFVGFDHB" localSheetId="26">'8-3. 철거발생품 예정조서(3차)'!AVGHBD</definedName>
    <definedName name="ZFVGFDHB" localSheetId="27">'8-4. 철거발생품 예정조서(4차)'!AVGHBD</definedName>
    <definedName name="zj" localSheetId="28">#REF!</definedName>
    <definedName name="zj">#REF!</definedName>
    <definedName name="ZLO" localSheetId="2">'1-1. 설계설명서(1차)'!QQA</definedName>
    <definedName name="ZLO" localSheetId="3">'1-1. 설계설명서(2차)'!QQA</definedName>
    <definedName name="ZLO" localSheetId="4">'1-1. 설계설명서(3차)'!QQA</definedName>
    <definedName name="ZLO" localSheetId="5">'1-1. 설계설명서(4차)'!QQA</definedName>
    <definedName name="ZLO" localSheetId="8">'3-1. 예정공정표(1차)'!QQA</definedName>
    <definedName name="ZLO" localSheetId="9">'3-2. 예정공정표(2차)'!QQA</definedName>
    <definedName name="ZLO" localSheetId="10">'3-3. 예정공정표(3차)'!QQA</definedName>
    <definedName name="ZLO" localSheetId="11">'3-4. 예정공정표(4차)'!QQA</definedName>
    <definedName name="ZLO" localSheetId="13">'4-1. 예산내역서(1차)'!QQA</definedName>
    <definedName name="ZLO" localSheetId="14">'4-2. 예산내역서(2차)'!QQA</definedName>
    <definedName name="ZLO" localSheetId="15">'4-3. 예산내역서(3차)'!QQA</definedName>
    <definedName name="ZLO" localSheetId="16">'4-4. 예산내역서(4차)'!QQA</definedName>
    <definedName name="ZLO" localSheetId="18">'5-1. 공종별예산조서(1차)'!QQA</definedName>
    <definedName name="ZLO" localSheetId="19">'5-2. 공종별예산조서(2차)'!QQA</definedName>
    <definedName name="ZLO" localSheetId="20">'5-3. 공종별예산조서(3차)'!QQA</definedName>
    <definedName name="ZLO" localSheetId="21">'5-3. 공종별예산조서(4차)'!QQA</definedName>
    <definedName name="ZLO" localSheetId="24">'8-1. 철거발생품 예정조서(1차)'!QQA</definedName>
    <definedName name="ZLO" localSheetId="25">'8-2. 철거발생품 예정조서(2차)'!QQA</definedName>
    <definedName name="ZLO" localSheetId="26">'8-3. 철거발생품 예정조서(3차)'!QQA</definedName>
    <definedName name="ZLO" localSheetId="27">'8-4. 철거발생품 예정조서(4차)'!QQA</definedName>
    <definedName name="zxcf" localSheetId="2">'1-1. 설계설명서(1차)'!zxcf</definedName>
    <definedName name="zxcf" localSheetId="3">'1-1. 설계설명서(2차)'!zxcf</definedName>
    <definedName name="zxcf" localSheetId="4">'1-1. 설계설명서(3차)'!zxcf</definedName>
    <definedName name="zxcf" localSheetId="5">'1-1. 설계설명서(4차)'!zxcf</definedName>
    <definedName name="zxcf" localSheetId="8">'3-1. 예정공정표(1차)'!zxcf</definedName>
    <definedName name="zxcf" localSheetId="9">'3-2. 예정공정표(2차)'!zxcf</definedName>
    <definedName name="zxcf" localSheetId="10">'3-3. 예정공정표(3차)'!zxcf</definedName>
    <definedName name="zxcf" localSheetId="11">'3-4. 예정공정표(4차)'!zxcf</definedName>
    <definedName name="zxcf" localSheetId="13">'4-1. 예산내역서(1차)'!zxcf</definedName>
    <definedName name="zxcf" localSheetId="14">'4-2. 예산내역서(2차)'!zxcf</definedName>
    <definedName name="zxcf" localSheetId="15">'4-3. 예산내역서(3차)'!zxcf</definedName>
    <definedName name="zxcf" localSheetId="16">'4-4. 예산내역서(4차)'!zxcf</definedName>
    <definedName name="zxcf" localSheetId="18">'5-1. 공종별예산조서(1차)'!zxcf</definedName>
    <definedName name="zxcf" localSheetId="19">'5-2. 공종별예산조서(2차)'!zxcf</definedName>
    <definedName name="zxcf" localSheetId="20">'5-3. 공종별예산조서(3차)'!zxcf</definedName>
    <definedName name="zxcf" localSheetId="21">'5-3. 공종별예산조서(4차)'!zxcf</definedName>
    <definedName name="zxcf" localSheetId="24">'8-1. 철거발생품 예정조서(1차)'!zxcf</definedName>
    <definedName name="zxcf" localSheetId="25">'8-2. 철거발생품 예정조서(2차)'!zxcf</definedName>
    <definedName name="zxcf" localSheetId="26">'8-3. 철거발생품 예정조서(3차)'!zxcf</definedName>
    <definedName name="zxcf" localSheetId="27">'8-4. 철거발생품 예정조서(4차)'!zxcf</definedName>
    <definedName name="zxd" localSheetId="2">'1-1. 설계설명서(1차)'!zxd</definedName>
    <definedName name="zxd" localSheetId="3">'1-1. 설계설명서(2차)'!zxd</definedName>
    <definedName name="zxd" localSheetId="4">'1-1. 설계설명서(3차)'!zxd</definedName>
    <definedName name="zxd" localSheetId="5">'1-1. 설계설명서(4차)'!zxd</definedName>
    <definedName name="zxd" localSheetId="8">'3-1. 예정공정표(1차)'!zxd</definedName>
    <definedName name="zxd" localSheetId="9">'3-2. 예정공정표(2차)'!zxd</definedName>
    <definedName name="zxd" localSheetId="10">'3-3. 예정공정표(3차)'!zxd</definedName>
    <definedName name="zxd" localSheetId="11">'3-4. 예정공정표(4차)'!zxd</definedName>
    <definedName name="zxd" localSheetId="13">'4-1. 예산내역서(1차)'!zxd</definedName>
    <definedName name="zxd" localSheetId="14">'4-2. 예산내역서(2차)'!zxd</definedName>
    <definedName name="zxd" localSheetId="15">'4-3. 예산내역서(3차)'!zxd</definedName>
    <definedName name="zxd" localSheetId="16">'4-4. 예산내역서(4차)'!zxd</definedName>
    <definedName name="zxd" localSheetId="18">'5-1. 공종별예산조서(1차)'!zxd</definedName>
    <definedName name="zxd" localSheetId="19">'5-2. 공종별예산조서(2차)'!zxd</definedName>
    <definedName name="zxd" localSheetId="20">'5-3. 공종별예산조서(3차)'!zxd</definedName>
    <definedName name="zxd" localSheetId="21">'5-3. 공종별예산조서(4차)'!zxd</definedName>
    <definedName name="zxd" localSheetId="24">'8-1. 철거발생품 예정조서(1차)'!zxd</definedName>
    <definedName name="zxd" localSheetId="25">'8-2. 철거발생품 예정조서(2차)'!zxd</definedName>
    <definedName name="zxd" localSheetId="26">'8-3. 철거발생품 예정조서(3차)'!zxd</definedName>
    <definedName name="zxd" localSheetId="27">'8-4. 철거발생품 예정조서(4차)'!zxd</definedName>
    <definedName name="zz" localSheetId="28">#REF!</definedName>
    <definedName name="zz">#REF!</definedName>
    <definedName name="zzz" localSheetId="28">#REF!</definedName>
    <definedName name="zzz">#REF!</definedName>
    <definedName name="ㄱㄱ" localSheetId="28" hidden="1">{#N/A,#N/A,FALSE,"명세표"}</definedName>
    <definedName name="ㄱㄱ" hidden="1">{#N/A,#N/A,FALSE,"명세표"}</definedName>
    <definedName name="ㄱㄱㄱ">#REF!</definedName>
    <definedName name="ㄱㅇㄹ" localSheetId="28" hidden="1">{#N/A,#N/A,FALSE,"명세표"}</definedName>
    <definedName name="ㄱㅇㄹ" hidden="1">{#N/A,#N/A,FALSE,"명세표"}</definedName>
    <definedName name="ㄱㅎㄱ홀ㄴ" localSheetId="28" hidden="1">{#N/A,#N/A,FALSE,"명세표"}</definedName>
    <definedName name="ㄱㅎㄱ홀ㄴ" hidden="1">{#N/A,#N/A,FALSE,"명세표"}</definedName>
    <definedName name="ㄱㅎㄹ" localSheetId="28" hidden="1">{#N/A,#N/A,FALSE,"명세표"}</definedName>
    <definedName name="ㄱㅎㄹ" hidden="1">{#N/A,#N/A,FALSE,"명세표"}</definedName>
    <definedName name="가">#REF!</definedName>
    <definedName name="가격" localSheetId="28">#REF!</definedName>
    <definedName name="가격">#REF!</definedName>
    <definedName name="가나" localSheetId="28">#REF!</definedName>
    <definedName name="가나">#REF!</definedName>
    <definedName name="가나다" localSheetId="28">#REF!</definedName>
    <definedName name="가나다">#REF!</definedName>
    <definedName name="가나다라람" localSheetId="28">#N/A</definedName>
    <definedName name="가나다라람">#N/A</definedName>
    <definedName name="가나다라ㅏ" localSheetId="2">{"'용역비'!$A$4:$C$8"}</definedName>
    <definedName name="가나다라ㅏ" localSheetId="3">{"'용역비'!$A$4:$C$8"}</definedName>
    <definedName name="가나다라ㅏ" localSheetId="4">{"'용역비'!$A$4:$C$8"}</definedName>
    <definedName name="가나다라ㅏ" localSheetId="5">{"'용역비'!$A$4:$C$8"}</definedName>
    <definedName name="가나다라ㅏ" localSheetId="8">{"'용역비'!$A$4:$C$8"}</definedName>
    <definedName name="가나다라ㅏ" localSheetId="9">{"'용역비'!$A$4:$C$8"}</definedName>
    <definedName name="가나다라ㅏ" localSheetId="10">{"'용역비'!$A$4:$C$8"}</definedName>
    <definedName name="가나다라ㅏ" localSheetId="11">{"'용역비'!$A$4:$C$8"}</definedName>
    <definedName name="가나다라ㅏ" localSheetId="13">{"'용역비'!$A$4:$C$8"}</definedName>
    <definedName name="가나다라ㅏ" localSheetId="14">{"'용역비'!$A$4:$C$8"}</definedName>
    <definedName name="가나다라ㅏ" localSheetId="15">{"'용역비'!$A$4:$C$8"}</definedName>
    <definedName name="가나다라ㅏ" localSheetId="16">{"'용역비'!$A$4:$C$8"}</definedName>
    <definedName name="가나다라ㅏ" localSheetId="18">{"'용역비'!$A$4:$C$8"}</definedName>
    <definedName name="가나다라ㅏ" localSheetId="19">{"'용역비'!$A$4:$C$8"}</definedName>
    <definedName name="가나다라ㅏ" localSheetId="20">{"'용역비'!$A$4:$C$8"}</definedName>
    <definedName name="가나다라ㅏ" localSheetId="21">{"'용역비'!$A$4:$C$8"}</definedName>
    <definedName name="가나다라ㅏ" localSheetId="24">{"'용역비'!$A$4:$C$8"}</definedName>
    <definedName name="가나다라ㅏ" localSheetId="25">{"'용역비'!$A$4:$C$8"}</definedName>
    <definedName name="가나다라ㅏ" localSheetId="26">{"'용역비'!$A$4:$C$8"}</definedName>
    <definedName name="가나다라ㅏ" localSheetId="27">{"'용역비'!$A$4:$C$8"}</definedName>
    <definedName name="가나다라ㅏ">{"'용역비'!$A$4:$C$8"}</definedName>
    <definedName name="가로등" localSheetId="2">'1-1. 설계설명서(1차)'!가로등</definedName>
    <definedName name="가로등" localSheetId="3">'1-1. 설계설명서(2차)'!가로등</definedName>
    <definedName name="가로등" localSheetId="4">'1-1. 설계설명서(3차)'!가로등</definedName>
    <definedName name="가로등" localSheetId="5">'1-1. 설계설명서(4차)'!가로등</definedName>
    <definedName name="가로등" localSheetId="8">'3-1. 예정공정표(1차)'!가로등</definedName>
    <definedName name="가로등" localSheetId="9">'3-2. 예정공정표(2차)'!가로등</definedName>
    <definedName name="가로등" localSheetId="10">'3-3. 예정공정표(3차)'!가로등</definedName>
    <definedName name="가로등" localSheetId="11">'3-4. 예정공정표(4차)'!가로등</definedName>
    <definedName name="가로등" localSheetId="13">'4-1. 예산내역서(1차)'!가로등</definedName>
    <definedName name="가로등" localSheetId="14">'4-2. 예산내역서(2차)'!가로등</definedName>
    <definedName name="가로등" localSheetId="15">'4-3. 예산내역서(3차)'!가로등</definedName>
    <definedName name="가로등" localSheetId="16">'4-4. 예산내역서(4차)'!가로등</definedName>
    <definedName name="가로등" localSheetId="18">'5-1. 공종별예산조서(1차)'!가로등</definedName>
    <definedName name="가로등" localSheetId="19">'5-2. 공종별예산조서(2차)'!가로등</definedName>
    <definedName name="가로등" localSheetId="20">'5-3. 공종별예산조서(3차)'!가로등</definedName>
    <definedName name="가로등" localSheetId="21">'5-3. 공종별예산조서(4차)'!가로등</definedName>
    <definedName name="가로등" localSheetId="24">'8-1. 철거발생품 예정조서(1차)'!가로등</definedName>
    <definedName name="가로등" localSheetId="25">'8-2. 철거발생품 예정조서(2차)'!가로등</definedName>
    <definedName name="가로등" localSheetId="26">'8-3. 철거발생품 예정조서(3차)'!가로등</definedName>
    <definedName name="가로등" localSheetId="27">'8-4. 철거발생품 예정조서(4차)'!가로등</definedName>
    <definedName name="가로등입력" localSheetId="2">'1-1. 설계설명서(1차)'!가로등입력</definedName>
    <definedName name="가로등입력" localSheetId="3">'1-1. 설계설명서(2차)'!가로등입력</definedName>
    <definedName name="가로등입력" localSheetId="4">'1-1. 설계설명서(3차)'!가로등입력</definedName>
    <definedName name="가로등입력" localSheetId="5">'1-1. 설계설명서(4차)'!가로등입력</definedName>
    <definedName name="가로등입력" localSheetId="8">'3-1. 예정공정표(1차)'!가로등입력</definedName>
    <definedName name="가로등입력" localSheetId="9">'3-2. 예정공정표(2차)'!가로등입력</definedName>
    <definedName name="가로등입력" localSheetId="10">'3-3. 예정공정표(3차)'!가로등입력</definedName>
    <definedName name="가로등입력" localSheetId="11">'3-4. 예정공정표(4차)'!가로등입력</definedName>
    <definedName name="가로등입력" localSheetId="13">'4-1. 예산내역서(1차)'!가로등입력</definedName>
    <definedName name="가로등입력" localSheetId="14">'4-2. 예산내역서(2차)'!가로등입력</definedName>
    <definedName name="가로등입력" localSheetId="15">'4-3. 예산내역서(3차)'!가로등입력</definedName>
    <definedName name="가로등입력" localSheetId="16">'4-4. 예산내역서(4차)'!가로등입력</definedName>
    <definedName name="가로등입력" localSheetId="18">'5-1. 공종별예산조서(1차)'!가로등입력</definedName>
    <definedName name="가로등입력" localSheetId="19">'5-2. 공종별예산조서(2차)'!가로등입력</definedName>
    <definedName name="가로등입력" localSheetId="20">'5-3. 공종별예산조서(3차)'!가로등입력</definedName>
    <definedName name="가로등입력" localSheetId="21">'5-3. 공종별예산조서(4차)'!가로등입력</definedName>
    <definedName name="가로등입력" localSheetId="24">'8-1. 철거발생품 예정조서(1차)'!가로등입력</definedName>
    <definedName name="가로등입력" localSheetId="25">'8-2. 철거발생품 예정조서(2차)'!가로등입력</definedName>
    <definedName name="가로등입력" localSheetId="26">'8-3. 철거발생품 예정조서(3차)'!가로등입력</definedName>
    <definedName name="가로등입력" localSheetId="27">'8-4. 철거발생품 예정조서(4차)'!가로등입력</definedName>
    <definedName name="가링" localSheetId="28">#REF!</definedName>
    <definedName name="가링">#REF!</definedName>
    <definedName name="가설공사" localSheetId="28">#REF!</definedName>
    <definedName name="가설공사">#REF!</definedName>
    <definedName name="가설공사비" localSheetId="28">#REF!</definedName>
    <definedName name="가설공사비">#REF!</definedName>
    <definedName name="간" localSheetId="28">#REF!</definedName>
    <definedName name="간">#REF!</definedName>
    <definedName name="간선" localSheetId="28">#REF!</definedName>
    <definedName name="간선">#REF!</definedName>
    <definedName name="간접노무비" localSheetId="28">#REF!</definedName>
    <definedName name="간접노무비">#REF!</definedName>
    <definedName name="간접재료비" localSheetId="28">#REF!</definedName>
    <definedName name="간접재료비">#REF!</definedName>
    <definedName name="간지">#N/A</definedName>
    <definedName name="간지1" localSheetId="2">'1-1. 설계설명서(1차)'!간지1</definedName>
    <definedName name="간지1" localSheetId="3">'1-1. 설계설명서(2차)'!간지1</definedName>
    <definedName name="간지1" localSheetId="4">'1-1. 설계설명서(3차)'!간지1</definedName>
    <definedName name="간지1" localSheetId="5">'1-1. 설계설명서(4차)'!간지1</definedName>
    <definedName name="간지1" localSheetId="8">'3-1. 예정공정표(1차)'!간지1</definedName>
    <definedName name="간지1" localSheetId="9">'3-2. 예정공정표(2차)'!간지1</definedName>
    <definedName name="간지1" localSheetId="10">'3-3. 예정공정표(3차)'!간지1</definedName>
    <definedName name="간지1" localSheetId="11">'3-4. 예정공정표(4차)'!간지1</definedName>
    <definedName name="간지1" localSheetId="13">'4-1. 예산내역서(1차)'!간지1</definedName>
    <definedName name="간지1" localSheetId="14">'4-2. 예산내역서(2차)'!간지1</definedName>
    <definedName name="간지1" localSheetId="15">'4-3. 예산내역서(3차)'!간지1</definedName>
    <definedName name="간지1" localSheetId="16">'4-4. 예산내역서(4차)'!간지1</definedName>
    <definedName name="간지1" localSheetId="18">'5-1. 공종별예산조서(1차)'!간지1</definedName>
    <definedName name="간지1" localSheetId="19">'5-2. 공종별예산조서(2차)'!간지1</definedName>
    <definedName name="간지1" localSheetId="20">'5-3. 공종별예산조서(3차)'!간지1</definedName>
    <definedName name="간지1" localSheetId="21">'5-3. 공종별예산조서(4차)'!간지1</definedName>
    <definedName name="간지1" localSheetId="24">'8-1. 철거발생품 예정조서(1차)'!간지1</definedName>
    <definedName name="간지1" localSheetId="25">'8-2. 철거발생품 예정조서(2차)'!간지1</definedName>
    <definedName name="간지1" localSheetId="26">'8-3. 철거발생품 예정조서(3차)'!간지1</definedName>
    <definedName name="간지1" localSheetId="27">'8-4. 철거발생품 예정조서(4차)'!간지1</definedName>
    <definedName name="감" localSheetId="28">#N/A</definedName>
    <definedName name="감">#N/A</definedName>
    <definedName name="감독자직성명" localSheetId="28">#REF!</definedName>
    <definedName name="감독자직성명">#REF!</definedName>
    <definedName name="갑" localSheetId="28">#REF!</definedName>
    <definedName name="갑">#REF!</definedName>
    <definedName name="갑지총계" localSheetId="28">#REF!</definedName>
    <definedName name="갑지총계">#REF!</definedName>
    <definedName name="강경" localSheetId="28">#REF!</definedName>
    <definedName name="강경">#REF!</definedName>
    <definedName name="강의" localSheetId="28">#REF!</definedName>
    <definedName name="강의">#REF!</definedName>
    <definedName name="강재가걸" localSheetId="28">#REF!</definedName>
    <definedName name="강재가걸">#REF!</definedName>
    <definedName name="개소" localSheetId="28">#REF!</definedName>
    <definedName name="개소">#REF!</definedName>
    <definedName name="개소별" localSheetId="28">#REF!</definedName>
    <definedName name="개소별">#REF!</definedName>
    <definedName name="개소별명세소" localSheetId="28">#REF!</definedName>
    <definedName name="개소별명세소">#REF!</definedName>
    <definedName name="개소별명세소1" localSheetId="28">#REF!</definedName>
    <definedName name="개소별명세소1">#REF!</definedName>
    <definedName name="개전" localSheetId="28">#REF!</definedName>
    <definedName name="개전">#REF!</definedName>
    <definedName name="개정" localSheetId="28">#REF!</definedName>
    <definedName name="개정">#REF!</definedName>
    <definedName name="개정3" localSheetId="28">#REF!</definedName>
    <definedName name="개정3">#REF!</definedName>
    <definedName name="개정444" localSheetId="28">#REF!</definedName>
    <definedName name="개정444">#REF!</definedName>
    <definedName name="개정55" localSheetId="28">#REF!</definedName>
    <definedName name="개정55">#REF!</definedName>
    <definedName name="갱부" localSheetId="28">#REF!</definedName>
    <definedName name="갱부">#REF!</definedName>
    <definedName name="거리1" localSheetId="28">#REF!</definedName>
    <definedName name="거리1">#REF!</definedName>
    <definedName name="거리2" localSheetId="28">#REF!</definedName>
    <definedName name="거리2">#REF!</definedName>
    <definedName name="거리3" localSheetId="28">#REF!</definedName>
    <definedName name="거리3">#REF!</definedName>
    <definedName name="거리4" localSheetId="28">#REF!</definedName>
    <definedName name="거리4">#REF!</definedName>
    <definedName name="건" localSheetId="28">#REF!</definedName>
    <definedName name="건">#REF!</definedName>
    <definedName name="건명" localSheetId="28">#REF!</definedName>
    <definedName name="건명">#REF!</definedName>
    <definedName name="건설" localSheetId="2">'1-1. 설계설명서(1차)'!건설</definedName>
    <definedName name="건설" localSheetId="3">'1-1. 설계설명서(2차)'!건설</definedName>
    <definedName name="건설" localSheetId="4">'1-1. 설계설명서(3차)'!건설</definedName>
    <definedName name="건설" localSheetId="5">'1-1. 설계설명서(4차)'!건설</definedName>
    <definedName name="건설" localSheetId="8">'3-1. 예정공정표(1차)'!건설</definedName>
    <definedName name="건설" localSheetId="9">'3-2. 예정공정표(2차)'!건설</definedName>
    <definedName name="건설" localSheetId="10">'3-3. 예정공정표(3차)'!건설</definedName>
    <definedName name="건설" localSheetId="11">'3-4. 예정공정표(4차)'!건설</definedName>
    <definedName name="건설" localSheetId="13">'4-1. 예산내역서(1차)'!건설</definedName>
    <definedName name="건설" localSheetId="14">'4-2. 예산내역서(2차)'!건설</definedName>
    <definedName name="건설" localSheetId="15">'4-3. 예산내역서(3차)'!건설</definedName>
    <definedName name="건설" localSheetId="16">'4-4. 예산내역서(4차)'!건설</definedName>
    <definedName name="건설" localSheetId="18">'5-1. 공종별예산조서(1차)'!건설</definedName>
    <definedName name="건설" localSheetId="19">'5-2. 공종별예산조서(2차)'!건설</definedName>
    <definedName name="건설" localSheetId="20">'5-3. 공종별예산조서(3차)'!건설</definedName>
    <definedName name="건설" localSheetId="21">'5-3. 공종별예산조서(4차)'!건설</definedName>
    <definedName name="건설" localSheetId="28">#N/A</definedName>
    <definedName name="건설" localSheetId="24">'8-1. 철거발생품 예정조서(1차)'!건설</definedName>
    <definedName name="건설" localSheetId="25">'8-2. 철거발생품 예정조서(2차)'!건설</definedName>
    <definedName name="건설" localSheetId="26">'8-3. 철거발생품 예정조서(3차)'!건설</definedName>
    <definedName name="건설" localSheetId="27">'8-4. 철거발생품 예정조서(4차)'!건설</definedName>
    <definedName name="건설">#N/A</definedName>
    <definedName name="건설기계운전기사" localSheetId="28">#REF!</definedName>
    <definedName name="건설기계운전기사">#REF!</definedName>
    <definedName name="건설기계운전조수" localSheetId="28">#REF!</definedName>
    <definedName name="건설기계운전조수">#REF!</definedName>
    <definedName name="건설기계조장" localSheetId="28">#REF!</definedName>
    <definedName name="건설기계조장">#REF!</definedName>
    <definedName name="건설본" localSheetId="2">'1-1. 설계설명서(1차)'!건설본</definedName>
    <definedName name="건설본" localSheetId="3">'1-1. 설계설명서(2차)'!건설본</definedName>
    <definedName name="건설본" localSheetId="4">'1-1. 설계설명서(3차)'!건설본</definedName>
    <definedName name="건설본" localSheetId="5">'1-1. 설계설명서(4차)'!건설본</definedName>
    <definedName name="건설본" localSheetId="8">'3-1. 예정공정표(1차)'!건설본</definedName>
    <definedName name="건설본" localSheetId="9">'3-2. 예정공정표(2차)'!건설본</definedName>
    <definedName name="건설본" localSheetId="10">'3-3. 예정공정표(3차)'!건설본</definedName>
    <definedName name="건설본" localSheetId="11">'3-4. 예정공정표(4차)'!건설본</definedName>
    <definedName name="건설본" localSheetId="13">'4-1. 예산내역서(1차)'!건설본</definedName>
    <definedName name="건설본" localSheetId="14">'4-2. 예산내역서(2차)'!건설본</definedName>
    <definedName name="건설본" localSheetId="15">'4-3. 예산내역서(3차)'!건설본</definedName>
    <definedName name="건설본" localSheetId="16">'4-4. 예산내역서(4차)'!건설본</definedName>
    <definedName name="건설본" localSheetId="18">'5-1. 공종별예산조서(1차)'!건설본</definedName>
    <definedName name="건설본" localSheetId="19">'5-2. 공종별예산조서(2차)'!건설본</definedName>
    <definedName name="건설본" localSheetId="20">'5-3. 공종별예산조서(3차)'!건설본</definedName>
    <definedName name="건설본" localSheetId="21">'5-3. 공종별예산조서(4차)'!건설본</definedName>
    <definedName name="건설본" localSheetId="28">#N/A</definedName>
    <definedName name="건설본" localSheetId="24">'8-1. 철거발생품 예정조서(1차)'!건설본</definedName>
    <definedName name="건설본" localSheetId="25">'8-2. 철거발생품 예정조서(2차)'!건설본</definedName>
    <definedName name="건설본" localSheetId="26">'8-3. 철거발생품 예정조서(3차)'!건설본</definedName>
    <definedName name="건설본" localSheetId="27">'8-4. 철거발생품 예정조서(4차)'!건설본</definedName>
    <definedName name="건설본">#N/A</definedName>
    <definedName name="건축목공" localSheetId="28">#REF!</definedName>
    <definedName name="건축목공">#REF!</definedName>
    <definedName name="건험" localSheetId="28">#REF!</definedName>
    <definedName name="건험">#REF!</definedName>
    <definedName name="검" localSheetId="28">#REF!</definedName>
    <definedName name="검">#REF!</definedName>
    <definedName name="검조부" localSheetId="28">#REF!</definedName>
    <definedName name="검조부">#REF!</definedName>
    <definedName name="겨산" localSheetId="28">#REF!</definedName>
    <definedName name="겨산">#REF!</definedName>
    <definedName name="견출공" localSheetId="28">#REF!</definedName>
    <definedName name="견출공">#REF!</definedName>
    <definedName name="결정치" localSheetId="28">#REF!</definedName>
    <definedName name="결정치">#REF!</definedName>
    <definedName name="경비" localSheetId="28">#REF!</definedName>
    <definedName name="경비">#REF!</definedName>
    <definedName name="경원" localSheetId="28">#REF!</definedName>
    <definedName name="경원">#REF!</definedName>
    <definedName name="경유" localSheetId="28">#REF!</definedName>
    <definedName name="경유">#REF!</definedName>
    <definedName name="계산서2" localSheetId="2">'1-1. 설계설명서(1차)'!계산서2</definedName>
    <definedName name="계산서2" localSheetId="3">'1-1. 설계설명서(2차)'!계산서2</definedName>
    <definedName name="계산서2" localSheetId="4">'1-1. 설계설명서(3차)'!계산서2</definedName>
    <definedName name="계산서2" localSheetId="5">'1-1. 설계설명서(4차)'!계산서2</definedName>
    <definedName name="계산서2" localSheetId="8">'3-1. 예정공정표(1차)'!계산서2</definedName>
    <definedName name="계산서2" localSheetId="9">'3-2. 예정공정표(2차)'!계산서2</definedName>
    <definedName name="계산서2" localSheetId="10">'3-3. 예정공정표(3차)'!계산서2</definedName>
    <definedName name="계산서2" localSheetId="11">'3-4. 예정공정표(4차)'!계산서2</definedName>
    <definedName name="계산서2" localSheetId="13">'4-1. 예산내역서(1차)'!계산서2</definedName>
    <definedName name="계산서2" localSheetId="14">'4-2. 예산내역서(2차)'!계산서2</definedName>
    <definedName name="계산서2" localSheetId="15">'4-3. 예산내역서(3차)'!계산서2</definedName>
    <definedName name="계산서2" localSheetId="16">'4-4. 예산내역서(4차)'!계산서2</definedName>
    <definedName name="계산서2" localSheetId="18">'5-1. 공종별예산조서(1차)'!계산서2</definedName>
    <definedName name="계산서2" localSheetId="19">'5-2. 공종별예산조서(2차)'!계산서2</definedName>
    <definedName name="계산서2" localSheetId="20">'5-3. 공종별예산조서(3차)'!계산서2</definedName>
    <definedName name="계산서2" localSheetId="21">'5-3. 공종별예산조서(4차)'!계산서2</definedName>
    <definedName name="계산서2" localSheetId="24">'8-1. 철거발생품 예정조서(1차)'!계산서2</definedName>
    <definedName name="계산서2" localSheetId="25">'8-2. 철거발생품 예정조서(2차)'!계산서2</definedName>
    <definedName name="계산서2" localSheetId="26">'8-3. 철거발생품 예정조서(3차)'!계산서2</definedName>
    <definedName name="계산서2" localSheetId="27">'8-4. 철거발생품 예정조서(4차)'!계산서2</definedName>
    <definedName name="계장공" localSheetId="28">#REF!</definedName>
    <definedName name="계장공">#REF!</definedName>
    <definedName name="계획표" localSheetId="28">#REF!</definedName>
    <definedName name="계획표">#REF!</definedName>
    <definedName name="고급선원" localSheetId="28">#REF!</definedName>
    <definedName name="고급선원">#REF!</definedName>
    <definedName name="고급원자력비파괴시험공" localSheetId="28">#REF!</definedName>
    <definedName name="고급원자력비파괴시험공">#REF!</definedName>
    <definedName name="고마하느므니다까루" localSheetId="28">#REF!</definedName>
    <definedName name="고마하느므니다까루">#REF!</definedName>
    <definedName name="고마하라니까루" localSheetId="28">#REF!</definedName>
    <definedName name="고마하라니까루">#REF!</definedName>
    <definedName name="고마해" localSheetId="28">#REF!</definedName>
    <definedName name="고마해">#REF!</definedName>
    <definedName name="고만해" localSheetId="28">#REF!</definedName>
    <definedName name="고만해">#REF!</definedName>
    <definedName name="고배" localSheetId="28">#REF!</definedName>
    <definedName name="고배">#REF!</definedName>
    <definedName name="고배단가2" localSheetId="28">#REF!</definedName>
    <definedName name="고배단가2">#REF!</definedName>
    <definedName name="고압철거" localSheetId="28">#REF!</definedName>
    <definedName name="고압철거">#REF!</definedName>
    <definedName name="고압케이블전공" localSheetId="28">#REF!</definedName>
    <definedName name="고압케이블전공">#REF!</definedName>
    <definedName name="곡동">{"'Firr(선)'!$AS$1:$AY$62","'Firr(사)'!$AS$1:$AY$62","'Firr(회)'!$AS$1:$AY$62","'Firr(선)'!$L$1:$V$62","'Firr(사)'!$L$1:$V$62","'Firr(회)'!$L$1:$V$62"}</definedName>
    <definedName name="골" localSheetId="28">#REF!</definedName>
    <definedName name="골">#REF!</definedName>
    <definedName name="골재Q자갈불량" localSheetId="28">#REF!</definedName>
    <definedName name="골재Q자갈불량">#REF!</definedName>
    <definedName name="골재Q잡석불량" localSheetId="28">#REF!</definedName>
    <definedName name="골재Q잡석불량">#REF!</definedName>
    <definedName name="공" localSheetId="2">'1-1. 설계설명서(1차)'!공</definedName>
    <definedName name="공" localSheetId="3">'1-1. 설계설명서(2차)'!공</definedName>
    <definedName name="공" localSheetId="4">'1-1. 설계설명서(3차)'!공</definedName>
    <definedName name="공" localSheetId="5">'1-1. 설계설명서(4차)'!공</definedName>
    <definedName name="공" localSheetId="8">'3-1. 예정공정표(1차)'!공</definedName>
    <definedName name="공" localSheetId="9">'3-2. 예정공정표(2차)'!공</definedName>
    <definedName name="공" localSheetId="10">'3-3. 예정공정표(3차)'!공</definedName>
    <definedName name="공" localSheetId="11">'3-4. 예정공정표(4차)'!공</definedName>
    <definedName name="공" localSheetId="13">'4-1. 예산내역서(1차)'!공</definedName>
    <definedName name="공" localSheetId="14">'4-2. 예산내역서(2차)'!공</definedName>
    <definedName name="공" localSheetId="15">'4-3. 예산내역서(3차)'!공</definedName>
    <definedName name="공" localSheetId="16">'4-4. 예산내역서(4차)'!공</definedName>
    <definedName name="공" localSheetId="18">'5-1. 공종별예산조서(1차)'!공</definedName>
    <definedName name="공" localSheetId="19">'5-2. 공종별예산조서(2차)'!공</definedName>
    <definedName name="공" localSheetId="20">'5-3. 공종별예산조서(3차)'!공</definedName>
    <definedName name="공" localSheetId="21">'5-3. 공종별예산조서(4차)'!공</definedName>
    <definedName name="공" localSheetId="28">#REF!</definedName>
    <definedName name="공" localSheetId="24">'8-1. 철거발생품 예정조서(1차)'!공</definedName>
    <definedName name="공" localSheetId="25">'8-2. 철거발생품 예정조서(2차)'!공</definedName>
    <definedName name="공" localSheetId="26">'8-3. 철거발생품 예정조서(3차)'!공</definedName>
    <definedName name="공" localSheetId="27">'8-4. 철거발생품 예정조서(4차)'!공</definedName>
    <definedName name="공">#REF!</definedName>
    <definedName name="공01" localSheetId="28">#REF!</definedName>
    <definedName name="공01">#REF!</definedName>
    <definedName name="공015" localSheetId="28">#REF!</definedName>
    <definedName name="공015">#REF!</definedName>
    <definedName name="공016" localSheetId="28">#REF!</definedName>
    <definedName name="공016">#REF!</definedName>
    <definedName name="공017" localSheetId="28">#REF!</definedName>
    <definedName name="공017">#REF!</definedName>
    <definedName name="공018" localSheetId="28">#REF!</definedName>
    <definedName name="공018">#REF!</definedName>
    <definedName name="공06" localSheetId="28">#REF!</definedName>
    <definedName name="공06">#REF!</definedName>
    <definedName name="공10" localSheetId="28">#REF!</definedName>
    <definedName name="공10">#REF!</definedName>
    <definedName name="공11" localSheetId="28">#REF!</definedName>
    <definedName name="공11">#REF!</definedName>
    <definedName name="공12" localSheetId="28">#REF!</definedName>
    <definedName name="공12">#REF!</definedName>
    <definedName name="공13" localSheetId="28">#REF!</definedName>
    <definedName name="공13">#REF!</definedName>
    <definedName name="공14" localSheetId="28">#REF!</definedName>
    <definedName name="공14">#REF!</definedName>
    <definedName name="공19" localSheetId="28">#REF!</definedName>
    <definedName name="공19">#REF!</definedName>
    <definedName name="공2" localSheetId="28">#REF!</definedName>
    <definedName name="공2">#REF!</definedName>
    <definedName name="공20" localSheetId="28">#REF!</definedName>
    <definedName name="공20">#REF!</definedName>
    <definedName name="공21" localSheetId="28">#REF!</definedName>
    <definedName name="공21">#REF!</definedName>
    <definedName name="공22" localSheetId="28">#REF!</definedName>
    <definedName name="공22">#REF!</definedName>
    <definedName name="공23" localSheetId="28">#REF!</definedName>
    <definedName name="공23">#REF!</definedName>
    <definedName name="공24" localSheetId="28">#REF!</definedName>
    <definedName name="공24">#REF!</definedName>
    <definedName name="공25" localSheetId="28">#REF!</definedName>
    <definedName name="공25">#REF!</definedName>
    <definedName name="공26" localSheetId="28">#REF!</definedName>
    <definedName name="공26">#REF!</definedName>
    <definedName name="공27" localSheetId="28">#REF!</definedName>
    <definedName name="공27">#REF!</definedName>
    <definedName name="공28" localSheetId="28">#REF!</definedName>
    <definedName name="공28">#REF!</definedName>
    <definedName name="공29" localSheetId="28">#REF!</definedName>
    <definedName name="공29">#REF!</definedName>
    <definedName name="공3" localSheetId="28">#REF!</definedName>
    <definedName name="공3">#REF!</definedName>
    <definedName name="공30" localSheetId="28">#REF!</definedName>
    <definedName name="공30">#REF!</definedName>
    <definedName name="공31" localSheetId="28">#REF!</definedName>
    <definedName name="공31">#REF!</definedName>
    <definedName name="공4" localSheetId="28">#REF!</definedName>
    <definedName name="공4">#REF!</definedName>
    <definedName name="공5" localSheetId="28">#REF!</definedName>
    <definedName name="공5">#REF!</definedName>
    <definedName name="공7" localSheetId="28">#REF!</definedName>
    <definedName name="공7">#REF!</definedName>
    <definedName name="공8" localSheetId="28">#REF!</definedName>
    <definedName name="공8">#REF!</definedName>
    <definedName name="공9" localSheetId="28">#REF!</definedName>
    <definedName name="공9">#REF!</definedName>
    <definedName name="공구" localSheetId="28">#REF!</definedName>
    <definedName name="공구">#REF!</definedName>
    <definedName name="공구손료">#REF!</definedName>
    <definedName name="공기" localSheetId="28">#REF!</definedName>
    <definedName name="공기">#REF!</definedName>
    <definedName name="공명" localSheetId="28">#REF!</definedName>
    <definedName name="공명">#REF!</definedName>
    <definedName name="공비" localSheetId="28">#REF!</definedName>
    <definedName name="공비">#REF!</definedName>
    <definedName name="공비산출서" localSheetId="28">#REF!</definedName>
    <definedName name="공비산출서">#REF!</definedName>
    <definedName name="공사감독자" localSheetId="28">#REF!</definedName>
    <definedName name="공사감독자">#REF!</definedName>
    <definedName name="공사명" localSheetId="28">#REF!</definedName>
    <definedName name="공사명">#REF!</definedName>
    <definedName name="공사명1">"지하차도"</definedName>
    <definedName name="공사방향1">"인덕원방향"</definedName>
    <definedName name="공사방향2">"수내동방향"</definedName>
    <definedName name="공사시방" localSheetId="28">#REF!</definedName>
    <definedName name="공사시방">#REF!</definedName>
    <definedName name="공사원가계산서경비소계" localSheetId="28">#REF!</definedName>
    <definedName name="공사원가계산서경비소계">#REF!</definedName>
    <definedName name="공사원가계산서노무비" localSheetId="28">#REF!</definedName>
    <definedName name="공사원가계산서노무비">#REF!</definedName>
    <definedName name="공사원가계산서재료비" localSheetId="28">#REF!</definedName>
    <definedName name="공사원가계산서재료비">#REF!</definedName>
    <definedName name="공산" localSheetId="28">#REF!</definedName>
    <definedName name="공산">#REF!</definedName>
    <definedName name="공산품" localSheetId="28">#REF!</definedName>
    <definedName name="공산품">#REF!</definedName>
    <definedName name="공압축3.5간재" localSheetId="28">#REF!</definedName>
    <definedName name="공압축3.5간재">#REF!</definedName>
    <definedName name="공압축3.5노무" localSheetId="28">#REF!</definedName>
    <definedName name="공압축3.5노무">#REF!</definedName>
    <definedName name="공압축3.5노무야간" localSheetId="28">#REF!</definedName>
    <definedName name="공압축3.5노무야간">#REF!</definedName>
    <definedName name="공압축3.5손료" localSheetId="28">#REF!</definedName>
    <definedName name="공압축3.5손료">#REF!</definedName>
    <definedName name="공압축7.1간재" localSheetId="28">#REF!</definedName>
    <definedName name="공압축7.1간재">#REF!</definedName>
    <definedName name="공압축7.1노무" localSheetId="28">#REF!</definedName>
    <definedName name="공압축7.1노무">#REF!</definedName>
    <definedName name="공압축7.1노무야간" localSheetId="28">#REF!</definedName>
    <definedName name="공압축7.1노무야간">#REF!</definedName>
    <definedName name="공압축7.1손료" localSheetId="28">#REF!</definedName>
    <definedName name="공압축7.1손료">#REF!</definedName>
    <definedName name="공정" localSheetId="28">#N/A</definedName>
    <definedName name="공정">#N/A</definedName>
    <definedName name="공정량" localSheetId="28">#REF!</definedName>
    <definedName name="공정량">#REF!</definedName>
    <definedName name="공종" localSheetId="28">#REF!</definedName>
    <definedName name="공종">#REF!</definedName>
    <definedName name="공종명" localSheetId="28">#REF!</definedName>
    <definedName name="공종명">#REF!</definedName>
    <definedName name="공종별예산설변" localSheetId="28">#REF!</definedName>
    <definedName name="공종별예산설변">#REF!</definedName>
    <definedName name="곻ㄿ" localSheetId="28" hidden="1">{#N/A,#N/A,FALSE,"명세표"}</definedName>
    <definedName name="곻ㄿ" hidden="1">{#N/A,#N/A,FALSE,"명세표"}</definedName>
    <definedName name="곽동준">{"'Firr(선)'!$AS$1:$AY$62","'Firr(사)'!$AS$1:$AY$62","'Firr(회)'!$AS$1:$AY$62","'Firr(선)'!$L$1:$V$62","'Firr(사)'!$L$1:$V$62","'Firr(회)'!$L$1:$V$62"}</definedName>
    <definedName name="곽동중">{"'Firr(선)'!$AS$1:$AY$62","'Firr(사)'!$AS$1:$AY$62","'Firr(회)'!$AS$1:$AY$62","'Firr(선)'!$L$1:$V$62","'Firr(사)'!$L$1:$V$62","'Firr(회)'!$L$1:$V$62"}</definedName>
    <definedName name="관급" localSheetId="28">#REF!,#REF!,#REF!</definedName>
    <definedName name="관급">#REF!,#REF!,#REF!</definedName>
    <definedName name="관급1" localSheetId="28">#REF!</definedName>
    <definedName name="관급1">#REF!</definedName>
    <definedName name="관급10" localSheetId="28">#REF!</definedName>
    <definedName name="관급10">#REF!</definedName>
    <definedName name="관급자재" localSheetId="28">#REF!</definedName>
    <definedName name="관급자재">#REF!</definedName>
    <definedName name="관급자재1" localSheetId="28">#REF!</definedName>
    <definedName name="관급자재1">#REF!</definedName>
    <definedName name="관급자재비" localSheetId="28">#REF!</definedName>
    <definedName name="관급자재비">#REF!</definedName>
    <definedName name="관급자재조서" localSheetId="28">#REF!</definedName>
    <definedName name="관급자재조서">#REF!</definedName>
    <definedName name="관급조서" localSheetId="28">#REF!</definedName>
    <definedName name="관급조서">#REF!</definedName>
    <definedName name="관로" localSheetId="28">#REF!</definedName>
    <definedName name="관로">#REF!</definedName>
    <definedName name="관산">{"'광피스표'!$A$3:$N$54"}</definedName>
    <definedName name="광산" localSheetId="28">#REF!</definedName>
    <definedName name="광산">#REF!</definedName>
    <definedName name="광산품" localSheetId="28">#REF!</definedName>
    <definedName name="광산품">#REF!</definedName>
    <definedName name="광케이블설치사" localSheetId="28">#REF!</definedName>
    <definedName name="광케이블설치사">#REF!</definedName>
    <definedName name="광통신기사" localSheetId="28">#REF!</definedName>
    <definedName name="광통신기사">#REF!</definedName>
    <definedName name="광통신설치사" localSheetId="28">#REF!</definedName>
    <definedName name="광통신설치사">#REF!</definedName>
    <definedName name="구간1" localSheetId="28">#REF!</definedName>
    <definedName name="구간1">#REF!</definedName>
    <definedName name="구간공종" localSheetId="28">#REF!</definedName>
    <definedName name="구간공종">#REF!</definedName>
    <definedName name="구간산출" localSheetId="28">#REF!</definedName>
    <definedName name="구간산출">#REF!</definedName>
    <definedName name="구간수1" localSheetId="28">#REF!</definedName>
    <definedName name="구간수1">#REF!</definedName>
    <definedName name="구간수량1" localSheetId="28">#REF!</definedName>
    <definedName name="구간수량1">#REF!</definedName>
    <definedName name="구간수량11" localSheetId="28">#REF!</definedName>
    <definedName name="구간수량11">#REF!</definedName>
    <definedName name="구간집계" localSheetId="28">#REF!</definedName>
    <definedName name="구간집계">#REF!</definedName>
    <definedName name="구룡" localSheetId="2">'1-1. 설계설명서(1차)'!구룡</definedName>
    <definedName name="구룡" localSheetId="3">'1-1. 설계설명서(2차)'!구룡</definedName>
    <definedName name="구룡" localSheetId="4">'1-1. 설계설명서(3차)'!구룡</definedName>
    <definedName name="구룡" localSheetId="5">'1-1. 설계설명서(4차)'!구룡</definedName>
    <definedName name="구룡" localSheetId="8">'3-1. 예정공정표(1차)'!구룡</definedName>
    <definedName name="구룡" localSheetId="9">'3-2. 예정공정표(2차)'!구룡</definedName>
    <definedName name="구룡" localSheetId="10">'3-3. 예정공정표(3차)'!구룡</definedName>
    <definedName name="구룡" localSheetId="11">'3-4. 예정공정표(4차)'!구룡</definedName>
    <definedName name="구룡" localSheetId="13">'4-1. 예산내역서(1차)'!구룡</definedName>
    <definedName name="구룡" localSheetId="14">'4-2. 예산내역서(2차)'!구룡</definedName>
    <definedName name="구룡" localSheetId="15">'4-3. 예산내역서(3차)'!구룡</definedName>
    <definedName name="구룡" localSheetId="16">'4-4. 예산내역서(4차)'!구룡</definedName>
    <definedName name="구룡" localSheetId="18">'5-1. 공종별예산조서(1차)'!구룡</definedName>
    <definedName name="구룡" localSheetId="19">'5-2. 공종별예산조서(2차)'!구룡</definedName>
    <definedName name="구룡" localSheetId="20">'5-3. 공종별예산조서(3차)'!구룡</definedName>
    <definedName name="구룡" localSheetId="21">'5-3. 공종별예산조서(4차)'!구룡</definedName>
    <definedName name="구룡" localSheetId="24">'8-1. 철거발생품 예정조서(1차)'!구룡</definedName>
    <definedName name="구룡" localSheetId="25">'8-2. 철거발생품 예정조서(2차)'!구룡</definedName>
    <definedName name="구룡" localSheetId="26">'8-3. 철거발생품 예정조서(3차)'!구룡</definedName>
    <definedName name="구룡" localSheetId="27">'8-4. 철거발생품 예정조서(4차)'!구룡</definedName>
    <definedName name="구집계1" localSheetId="28">#REF!</definedName>
    <definedName name="구집계1">#REF!</definedName>
    <definedName name="국내장비" localSheetId="28">#REF!</definedName>
    <definedName name="국내장비">#REF!</definedName>
    <definedName name="국내장비계" localSheetId="28">#REF!</definedName>
    <definedName name="국내장비계">#REF!</definedName>
    <definedName name="궁전" localSheetId="28">#REF!</definedName>
    <definedName name="궁전">#REF!</definedName>
    <definedName name="궤" localSheetId="28">#REF!</definedName>
    <definedName name="궤">#REF!</definedName>
    <definedName name="궤도공" localSheetId="28">#REF!</definedName>
    <definedName name="궤도공">#REF!</definedName>
    <definedName name="그" localSheetId="28">#REF!</definedName>
    <definedName name="그">#REF!</definedName>
    <definedName name="금01" localSheetId="28">#REF!</definedName>
    <definedName name="금01">#REF!</definedName>
    <definedName name="금015" localSheetId="28">#REF!</definedName>
    <definedName name="금015">#REF!</definedName>
    <definedName name="금016" localSheetId="28">#REF!</definedName>
    <definedName name="금016">#REF!</definedName>
    <definedName name="금017" localSheetId="28">#REF!</definedName>
    <definedName name="금017">#REF!</definedName>
    <definedName name="금018" localSheetId="28">#REF!</definedName>
    <definedName name="금018">#REF!</definedName>
    <definedName name="금06" localSheetId="28">#REF!</definedName>
    <definedName name="금06">#REF!</definedName>
    <definedName name="금10" localSheetId="28">#REF!</definedName>
    <definedName name="금10">#REF!</definedName>
    <definedName name="금11" localSheetId="28">#REF!</definedName>
    <definedName name="금11">#REF!</definedName>
    <definedName name="금12" localSheetId="28">#REF!</definedName>
    <definedName name="금12">#REF!</definedName>
    <definedName name="금13" localSheetId="28">#REF!</definedName>
    <definedName name="금13">#REF!</definedName>
    <definedName name="금14" localSheetId="28">#REF!</definedName>
    <definedName name="금14">#REF!</definedName>
    <definedName name="금19" localSheetId="28">#REF!</definedName>
    <definedName name="금19">#REF!</definedName>
    <definedName name="금2" localSheetId="28">#REF!</definedName>
    <definedName name="금2">#REF!</definedName>
    <definedName name="금20" localSheetId="28">#REF!</definedName>
    <definedName name="금20">#REF!</definedName>
    <definedName name="금21" localSheetId="28">#REF!</definedName>
    <definedName name="금21">#REF!</definedName>
    <definedName name="금22" localSheetId="28">#REF!</definedName>
    <definedName name="금22">#REF!</definedName>
    <definedName name="금23" localSheetId="28">#REF!</definedName>
    <definedName name="금23">#REF!</definedName>
    <definedName name="금24" localSheetId="28">#REF!</definedName>
    <definedName name="금24">#REF!</definedName>
    <definedName name="금25" localSheetId="28">#REF!</definedName>
    <definedName name="금25">#REF!</definedName>
    <definedName name="금26" localSheetId="28">#REF!</definedName>
    <definedName name="금26">#REF!</definedName>
    <definedName name="금27" localSheetId="28">#REF!</definedName>
    <definedName name="금27">#REF!</definedName>
    <definedName name="금28" localSheetId="28">#REF!</definedName>
    <definedName name="금28">#REF!</definedName>
    <definedName name="금29" localSheetId="28">#REF!</definedName>
    <definedName name="금29">#REF!</definedName>
    <definedName name="금3" localSheetId="28">#REF!</definedName>
    <definedName name="금3">#REF!</definedName>
    <definedName name="금30" localSheetId="28">#REF!</definedName>
    <definedName name="금30">#REF!</definedName>
    <definedName name="금31" localSheetId="28">#REF!</definedName>
    <definedName name="금31">#REF!</definedName>
    <definedName name="금4" localSheetId="28">#REF!</definedName>
    <definedName name="금4">#REF!</definedName>
    <definedName name="금5" localSheetId="28">#REF!</definedName>
    <definedName name="금5">#REF!</definedName>
    <definedName name="금7" localSheetId="28">#REF!</definedName>
    <definedName name="금7">#REF!</definedName>
    <definedName name="금8" localSheetId="28">#REF!</definedName>
    <definedName name="금8">#REF!</definedName>
    <definedName name="금9" localSheetId="28">#REF!</definedName>
    <definedName name="금9">#REF!</definedName>
    <definedName name="금지역구내">#N/A</definedName>
    <definedName name="기" localSheetId="28">#REF!</definedName>
    <definedName name="기">#REF!</definedName>
    <definedName name="기계경비1" localSheetId="28" hidden="1">{#N/A,#N/A,FALSE,"명세표"}</definedName>
    <definedName name="기계경비1" hidden="1">{#N/A,#N/A,FALSE,"명세표"}</definedName>
    <definedName name="기계공">#REF!</definedName>
    <definedName name="기계변대" localSheetId="28" hidden="1">{#N/A,#N/A,FALSE,"명세표"}</definedName>
    <definedName name="기계변대" hidden="1">{#N/A,#N/A,FALSE,"명세표"}</definedName>
    <definedName name="기계설치공">#REF!</definedName>
    <definedName name="기계실" localSheetId="28">#REF!</definedName>
    <definedName name="기계실">#REF!</definedName>
    <definedName name="기계실_철거" localSheetId="28">#REF!</definedName>
    <definedName name="기계실_철거">#REF!</definedName>
    <definedName name="기기" localSheetId="28">#REF!</definedName>
    <definedName name="기기">#REF!</definedName>
    <definedName name="기기단가" localSheetId="28">#REF!</definedName>
    <definedName name="기기단가">#REF!</definedName>
    <definedName name="기기수량" localSheetId="28">#REF!</definedName>
    <definedName name="기기수량">#REF!</definedName>
    <definedName name="기기신설" localSheetId="28">#REF!</definedName>
    <definedName name="기기신설">#REF!</definedName>
    <definedName name="기기철거" localSheetId="28">#REF!</definedName>
    <definedName name="기기철거">#REF!</definedName>
    <definedName name="기사" localSheetId="28">#REF!</definedName>
    <definedName name="기사">#REF!</definedName>
    <definedName name="기사야" localSheetId="28">#REF!</definedName>
    <definedName name="기사야">#REF!</definedName>
    <definedName name="기사주" localSheetId="28">#REF!</definedName>
    <definedName name="기사주">#REF!</definedName>
    <definedName name="기와공" localSheetId="28">#REF!</definedName>
    <definedName name="기와공">#REF!</definedName>
    <definedName name="기타경비" localSheetId="28">#REF!</definedName>
    <definedName name="기타경비">#REF!</definedName>
    <definedName name="기타자재" localSheetId="2">'1-1. 설계설명서(1차)'!기타자재</definedName>
    <definedName name="기타자재" localSheetId="3">'1-1. 설계설명서(2차)'!기타자재</definedName>
    <definedName name="기타자재" localSheetId="4">'1-1. 설계설명서(3차)'!기타자재</definedName>
    <definedName name="기타자재" localSheetId="5">'1-1. 설계설명서(4차)'!기타자재</definedName>
    <definedName name="기타자재" localSheetId="8">'3-1. 예정공정표(1차)'!기타자재</definedName>
    <definedName name="기타자재" localSheetId="9">'3-2. 예정공정표(2차)'!기타자재</definedName>
    <definedName name="기타자재" localSheetId="10">'3-3. 예정공정표(3차)'!기타자재</definedName>
    <definedName name="기타자재" localSheetId="11">'3-4. 예정공정표(4차)'!기타자재</definedName>
    <definedName name="기타자재" localSheetId="13">'4-1. 예산내역서(1차)'!기타자재</definedName>
    <definedName name="기타자재" localSheetId="14">'4-2. 예산내역서(2차)'!기타자재</definedName>
    <definedName name="기타자재" localSheetId="15">'4-3. 예산내역서(3차)'!기타자재</definedName>
    <definedName name="기타자재" localSheetId="16">'4-4. 예산내역서(4차)'!기타자재</definedName>
    <definedName name="기타자재" localSheetId="18">'5-1. 공종별예산조서(1차)'!기타자재</definedName>
    <definedName name="기타자재" localSheetId="19">'5-2. 공종별예산조서(2차)'!기타자재</definedName>
    <definedName name="기타자재" localSheetId="20">'5-3. 공종별예산조서(3차)'!기타자재</definedName>
    <definedName name="기타자재" localSheetId="21">'5-3. 공종별예산조서(4차)'!기타자재</definedName>
    <definedName name="기타자재" localSheetId="28">#N/A</definedName>
    <definedName name="기타자재" localSheetId="24">'8-1. 철거발생품 예정조서(1차)'!기타자재</definedName>
    <definedName name="기타자재" localSheetId="25">'8-2. 철거발생품 예정조서(2차)'!기타자재</definedName>
    <definedName name="기타자재" localSheetId="26">'8-3. 철거발생품 예정조서(3차)'!기타자재</definedName>
    <definedName name="기타자재" localSheetId="27">'8-4. 철거발생품 예정조서(4차)'!기타자재</definedName>
    <definedName name="기타자재">#N/A</definedName>
    <definedName name="길자" localSheetId="28">#REF!</definedName>
    <definedName name="길자">#REF!</definedName>
    <definedName name="길행이" localSheetId="28">#REF!</definedName>
    <definedName name="길행이">#REF!</definedName>
    <definedName name="김" localSheetId="28" hidden="1">{#N/A,#N/A,FALSE,"명세표"}</definedName>
    <definedName name="김" hidden="1">{#N/A,#N/A,FALSE,"명세표"}</definedName>
    <definedName name="김1">{"'Firr(선)'!$AS$1:$AY$62","'Firr(사)'!$AS$1:$AY$62","'Firr(회)'!$AS$1:$AY$62","'Firr(선)'!$L$1:$V$62","'Firr(사)'!$L$1:$V$62","'Firr(회)'!$L$1:$V$62"}</definedName>
    <definedName name="김광유">#REF!</definedName>
    <definedName name="김동">{"'Firr(선)'!$AS$1:$AY$62","'Firr(사)'!$AS$1:$AY$62","'Firr(회)'!$AS$1:$AY$62","'Firr(선)'!$L$1:$V$62","'Firr(사)'!$L$1:$V$62","'Firr(회)'!$L$1:$V$62"}</definedName>
    <definedName name="김동준">{"'Firr(선)'!$AS$1:$AY$62","'Firr(사)'!$AS$1:$AY$62","'Firr(회)'!$AS$1:$AY$62","'Firr(선)'!$L$1:$V$62","'Firr(사)'!$L$1:$V$62","'Firr(회)'!$L$1:$V$62"}</definedName>
    <definedName name="김미영">#N/A</definedName>
    <definedName name="까르트니아미누아" localSheetId="28">#REF!</definedName>
    <definedName name="까르트니아미누아">#REF!</definedName>
    <definedName name="까트니르나비다아치" localSheetId="28">#REF!</definedName>
    <definedName name="까트니르나비다아치">#REF!</definedName>
    <definedName name="꾸즈" localSheetId="28">#REF!</definedName>
    <definedName name="꾸즈">#REF!</definedName>
    <definedName name="낑" localSheetId="28">#REF!</definedName>
    <definedName name="낑">#REF!</definedName>
    <definedName name="ㄳㄳㄳㄳ" localSheetId="2">{"'용역비'!$A$4:$C$8"}</definedName>
    <definedName name="ㄳㄳㄳㄳ" localSheetId="3">{"'용역비'!$A$4:$C$8"}</definedName>
    <definedName name="ㄳㄳㄳㄳ" localSheetId="4">{"'용역비'!$A$4:$C$8"}</definedName>
    <definedName name="ㄳㄳㄳㄳ" localSheetId="5">{"'용역비'!$A$4:$C$8"}</definedName>
    <definedName name="ㄳㄳㄳㄳ" localSheetId="8">{"'용역비'!$A$4:$C$8"}</definedName>
    <definedName name="ㄳㄳㄳㄳ" localSheetId="9">{"'용역비'!$A$4:$C$8"}</definedName>
    <definedName name="ㄳㄳㄳㄳ" localSheetId="10">{"'용역비'!$A$4:$C$8"}</definedName>
    <definedName name="ㄳㄳㄳㄳ" localSheetId="11">{"'용역비'!$A$4:$C$8"}</definedName>
    <definedName name="ㄳㄳㄳㄳ" localSheetId="13">{"'용역비'!$A$4:$C$8"}</definedName>
    <definedName name="ㄳㄳㄳㄳ" localSheetId="14">{"'용역비'!$A$4:$C$8"}</definedName>
    <definedName name="ㄳㄳㄳㄳ" localSheetId="15">{"'용역비'!$A$4:$C$8"}</definedName>
    <definedName name="ㄳㄳㄳㄳ" localSheetId="16">{"'용역비'!$A$4:$C$8"}</definedName>
    <definedName name="ㄳㄳㄳㄳ" localSheetId="18">{"'용역비'!$A$4:$C$8"}</definedName>
    <definedName name="ㄳㄳㄳㄳ" localSheetId="19">{"'용역비'!$A$4:$C$8"}</definedName>
    <definedName name="ㄳㄳㄳㄳ" localSheetId="20">{"'용역비'!$A$4:$C$8"}</definedName>
    <definedName name="ㄳㄳㄳㄳ" localSheetId="21">{"'용역비'!$A$4:$C$8"}</definedName>
    <definedName name="ㄳㄳㄳㄳ" localSheetId="24">{"'용역비'!$A$4:$C$8"}</definedName>
    <definedName name="ㄳㄳㄳㄳ" localSheetId="25">{"'용역비'!$A$4:$C$8"}</definedName>
    <definedName name="ㄳㄳㄳㄳ" localSheetId="26">{"'용역비'!$A$4:$C$8"}</definedName>
    <definedName name="ㄳㄳㄳㄳ" localSheetId="27">{"'용역비'!$A$4:$C$8"}</definedName>
    <definedName name="ㄳㄳㄳㄳ">{"'용역비'!$A$4:$C$8"}</definedName>
    <definedName name="ㄴ" localSheetId="28">#REF!</definedName>
    <definedName name="ㄴ">#REF!</definedName>
    <definedName name="ㄴ1" localSheetId="28">#REF!</definedName>
    <definedName name="ㄴ1">#REF!</definedName>
    <definedName name="ㄴㄱㅁㄱㄹ" localSheetId="28">#REF!</definedName>
    <definedName name="ㄴㄱㅁㄱㄹ">#REF!</definedName>
    <definedName name="ㄴㄴ" localSheetId="28">#REF!</definedName>
    <definedName name="ㄴㄴ">#REF!</definedName>
    <definedName name="ㄴㄴㄴ" localSheetId="28" hidden="1">{#N/A,#N/A,FALSE,"명세표"}</definedName>
    <definedName name="ㄴㄴㄴ" hidden="1">{#N/A,#N/A,FALSE,"명세표"}</definedName>
    <definedName name="ㄴㄴㄴㄴㄴㄴㄴㄴㄴㄴㄴㄴㄴ">#REF!</definedName>
    <definedName name="ㄴㄷ솓ㄹ" localSheetId="28" hidden="1">{#N/A,#N/A,FALSE,"명세표"}</definedName>
    <definedName name="ㄴㄷ솓ㄹ" hidden="1">{#N/A,#N/A,FALSE,"명세표"}</definedName>
    <definedName name="ㄴㄹㅇㄴㅀ">#REF!</definedName>
    <definedName name="ㄴㄹㅇㅎ" localSheetId="28" hidden="1">{#N/A,#N/A,FALSE,"명세표"}</definedName>
    <definedName name="ㄴㄹㅇㅎ" hidden="1">{#N/A,#N/A,FALSE,"명세표"}</definedName>
    <definedName name="ㄴㄹㅇㅎㄴ" localSheetId="28" hidden="1">{#N/A,#N/A,FALSE,"명세표"}</definedName>
    <definedName name="ㄴㄹㅇㅎㄴ" hidden="1">{#N/A,#N/A,FALSE,"명세표"}</definedName>
    <definedName name="ㄴㄹㅇㅎㄷㄱ" localSheetId="28" hidden="1">{#N/A,#N/A,FALSE,"명세표"}</definedName>
    <definedName name="ㄴㄹㅇㅎㄷㄱ" hidden="1">{#N/A,#N/A,FALSE,"명세표"}</definedName>
    <definedName name="ㄴㄹ호" localSheetId="28" hidden="1">{#N/A,#N/A,FALSE,"명세표"}</definedName>
    <definedName name="ㄴㄹ호" hidden="1">{#N/A,#N/A,FALSE,"명세표"}</definedName>
    <definedName name="ㄴㅀㄴㄹ" localSheetId="28" hidden="1">{#N/A,#N/A,FALSE,"명세표"}</definedName>
    <definedName name="ㄴㅀㄴㄹ" hidden="1">{#N/A,#N/A,FALSE,"명세표"}</definedName>
    <definedName name="ㄴㅁ" localSheetId="28" hidden="1">{#N/A,#N/A,FALSE,"명세표"}</definedName>
    <definedName name="ㄴㅁ" hidden="1">{#N/A,#N/A,FALSE,"명세표"}</definedName>
    <definedName name="ㄴㅁㄹㄴㅁㄻㄴㄹ">#REF!</definedName>
    <definedName name="ㄴㅁㄹㄷ" localSheetId="28" hidden="1">{#N/A,#N/A,FALSE,"명세표"}</definedName>
    <definedName name="ㄴㅁㄹㄷ" hidden="1">{#N/A,#N/A,FALSE,"명세표"}</definedName>
    <definedName name="ㄴㅁㄻㄴ">#REF!</definedName>
    <definedName name="ㄴㅁㅇㄹㅈ" localSheetId="28" hidden="1">{#N/A,#N/A,FALSE,"명세표"}</definedName>
    <definedName name="ㄴㅁㅇㄹㅈ" hidden="1">{#N/A,#N/A,FALSE,"명세표"}</definedName>
    <definedName name="ㄴㅁㅇㅎ" localSheetId="28" hidden="1">{#N/A,#N/A,FALSE,"명세표"}</definedName>
    <definedName name="ㄴㅁㅇㅎ" hidden="1">{#N/A,#N/A,FALSE,"명세표"}</definedName>
    <definedName name="ㄴㅁㅇㅎㄹㅇ" localSheetId="28" hidden="1">{#N/A,#N/A,FALSE,"명세표"}</definedName>
    <definedName name="ㄴㅁㅇㅎㄹㅇ" hidden="1">{#N/A,#N/A,FALSE,"명세표"}</definedName>
    <definedName name="ㄴㅁ오리" localSheetId="28" hidden="1">{#N/A,#N/A,FALSE,"명세표"}</definedName>
    <definedName name="ㄴㅁ오리" hidden="1">{#N/A,#N/A,FALSE,"명세표"}</definedName>
    <definedName name="ㄴㅁㅎㄱㅎㄱ" localSheetId="28" hidden="1">{#N/A,#N/A,FALSE,"명세표"}</definedName>
    <definedName name="ㄴㅁㅎㄱㅎㄱ" hidden="1">{#N/A,#N/A,FALSE,"명세표"}</definedName>
    <definedName name="ㄴㅁㅎㄷㅈ" localSheetId="28" hidden="1">{#N/A,#N/A,FALSE,"명세표"}</definedName>
    <definedName name="ㄴㅁㅎㄷㅈ" hidden="1">{#N/A,#N/A,FALSE,"명세표"}</definedName>
    <definedName name="ㄴㅂㅎㅊ" localSheetId="28" hidden="1">{#N/A,#N/A,FALSE,"명세표"}</definedName>
    <definedName name="ㄴㅂㅎㅊ" hidden="1">{#N/A,#N/A,FALSE,"명세표"}</definedName>
    <definedName name="ㄴㅇ" localSheetId="28" hidden="1">{#N/A,#N/A,FALSE,"명세표"}</definedName>
    <definedName name="ㄴㅇ" hidden="1">{#N/A,#N/A,FALSE,"명세표"}</definedName>
    <definedName name="ㄴㅇㄴㅇㄴㅇㄴ" localSheetId="28" hidden="1">{#N/A,#N/A,FALSE,"명세표"}</definedName>
    <definedName name="ㄴㅇㄴㅇㄴㅇㄴ" hidden="1">{#N/A,#N/A,FALSE,"명세표"}</definedName>
    <definedName name="ㄴㅇㄹㄴㄹ">{"'Sheet1'!$D$19","'Sheet1'!$B$22:$E$22"}</definedName>
    <definedName name="ㄴㅇㄹㄴㅇ" localSheetId="28" hidden="1">{#N/A,#N/A,FALSE,"명세표"}</definedName>
    <definedName name="ㄴㅇㄹㄴㅇ" hidden="1">{#N/A,#N/A,FALSE,"명세표"}</definedName>
    <definedName name="ㄴㅇㄹㅇㅊ" localSheetId="28" hidden="1">{#N/A,#N/A,FALSE,"명세표"}</definedName>
    <definedName name="ㄴㅇㄹㅇㅊ" hidden="1">{#N/A,#N/A,FALSE,"명세표"}</definedName>
    <definedName name="ㄴㅇㄹㅈㄷ" localSheetId="28" hidden="1">{#N/A,#N/A,FALSE,"명세표"}</definedName>
    <definedName name="ㄴㅇㄹㅈㄷ" hidden="1">{#N/A,#N/A,FALSE,"명세표"}</definedName>
    <definedName name="ㄴㅇㄹㅊ" localSheetId="28" hidden="1">{#N/A,#N/A,FALSE,"명세표"}</definedName>
    <definedName name="ㄴㅇㄹㅊ" hidden="1">{#N/A,#N/A,FALSE,"명세표"}</definedName>
    <definedName name="ㄴㅇㄻㄴㄷ" localSheetId="28" hidden="1">{#N/A,#N/A,FALSE,"명세표"}</definedName>
    <definedName name="ㄴㅇㄻㄴㄷ" hidden="1">{#N/A,#N/A,FALSE,"명세표"}</definedName>
    <definedName name="ㄴㅇㄻㄷ" localSheetId="28" hidden="1">{#N/A,#N/A,FALSE,"명세표"}</definedName>
    <definedName name="ㄴㅇㄻㄷ" hidden="1">{#N/A,#N/A,FALSE,"명세표"}</definedName>
    <definedName name="ㄴㅇㄻㅈ" localSheetId="28" hidden="1">{#N/A,#N/A,FALSE,"명세표"}</definedName>
    <definedName name="ㄴㅇㄻㅈ" hidden="1">{#N/A,#N/A,FALSE,"명세표"}</definedName>
    <definedName name="ㄴㅇㄻㅎㅈ" localSheetId="28" hidden="1">{#N/A,#N/A,FALSE,"명세표"}</definedName>
    <definedName name="ㄴㅇㄻㅎㅈ" hidden="1">{#N/A,#N/A,FALSE,"명세표"}</definedName>
    <definedName name="ㄴㅇㅀ" localSheetId="28" hidden="1">{#N/A,#N/A,FALSE,"명세표"}</definedName>
    <definedName name="ㄴㅇㅀ" hidden="1">{#N/A,#N/A,FALSE,"명세표"}</definedName>
    <definedName name="ㄴㅇㅁ" localSheetId="28" hidden="1">{#N/A,#N/A,FALSE,"명세표"}</definedName>
    <definedName name="ㄴㅇㅁ" hidden="1">{#N/A,#N/A,FALSE,"명세표"}</definedName>
    <definedName name="ㄴㅇㅁㅀㄷㅁㅈㄱㄹ" localSheetId="28" hidden="1">{#N/A,#N/A,FALSE,"명세표"}</definedName>
    <definedName name="ㄴㅇㅁㅀㄷㅁㅈㄱㄹ" hidden="1">{#N/A,#N/A,FALSE,"명세표"}</definedName>
    <definedName name="ㄴㅇㅁㅍ" localSheetId="28" hidden="1">{#N/A,#N/A,FALSE,"명세표"}</definedName>
    <definedName name="ㄴㅇㅁㅍ" hidden="1">{#N/A,#N/A,FALSE,"명세표"}</definedName>
    <definedName name="ㄴㅇㅁㅎㅁㅈ" localSheetId="28" hidden="1">{#N/A,#N/A,FALSE,"명세표"}</definedName>
    <definedName name="ㄴㅇㅁㅎㅁㅈ" hidden="1">{#N/A,#N/A,FALSE,"명세표"}</definedName>
    <definedName name="ㄴㅇㅁㅎㅇㄹ" localSheetId="28" hidden="1">{#N/A,#N/A,FALSE,"명세표"}</definedName>
    <definedName name="ㄴㅇㅁㅎㅇㄹ" hidden="1">{#N/A,#N/A,FALSE,"명세표"}</definedName>
    <definedName name="ㄴㅇㅁㅎㅈ" localSheetId="28" hidden="1">{#N/A,#N/A,FALSE,"명세표"}</definedName>
    <definedName name="ㄴㅇㅁㅎㅈ" hidden="1">{#N/A,#N/A,FALSE,"명세표"}</definedName>
    <definedName name="ㄴㅇㅎㄴㅁㅇㅎ">#REF!</definedName>
    <definedName name="ㄴㅇㅎㅈㄱ" localSheetId="28" hidden="1">{#N/A,#N/A,FALSE,"명세표"}</definedName>
    <definedName name="ㄴㅇㅎㅈㄱ" hidden="1">{#N/A,#N/A,FALSE,"명세표"}</definedName>
    <definedName name="ㄴㅇ혿ㅈ" localSheetId="28" hidden="1">{#N/A,#N/A,FALSE,"명세표"}</definedName>
    <definedName name="ㄴㅇ혿ㅈ" hidden="1">{#N/A,#N/A,FALSE,"명세표"}</definedName>
    <definedName name="ㄴㅇ홎" localSheetId="28" hidden="1">{#N/A,#N/A,FALSE,"명세표"}</definedName>
    <definedName name="ㄴㅇ홎" hidden="1">{#N/A,#N/A,FALSE,"명세표"}</definedName>
    <definedName name="ㄴ옭ㅎㅇㄹ" localSheetId="28" hidden="1">{#N/A,#N/A,FALSE,"명세표"}</definedName>
    <definedName name="ㄴ옭ㅎㅇㄹ" hidden="1">{#N/A,#N/A,FALSE,"명세표"}</definedName>
    <definedName name="ㄴ이라ㅓ">#REF!</definedName>
    <definedName name="ㄴㅊㅎㄷㅈ" localSheetId="28" hidden="1">{#N/A,#N/A,FALSE,"명세표"}</definedName>
    <definedName name="ㄴㅊㅎㄷㅈ" hidden="1">{#N/A,#N/A,FALSE,"명세표"}</definedName>
    <definedName name="ㄴㅋ" localSheetId="28" hidden="1">{#N/A,#N/A,FALSE,"명세표"}</definedName>
    <definedName name="ㄴㅋ" hidden="1">{#N/A,#N/A,FALSE,"명세표"}</definedName>
    <definedName name="나">#REF!</definedName>
    <definedName name="나나나" localSheetId="2">'1-1. 설계설명서(1차)'!나나나</definedName>
    <definedName name="나나나" localSheetId="3">'1-1. 설계설명서(2차)'!나나나</definedName>
    <definedName name="나나나" localSheetId="4">'1-1. 설계설명서(3차)'!나나나</definedName>
    <definedName name="나나나" localSheetId="5">'1-1. 설계설명서(4차)'!나나나</definedName>
    <definedName name="나나나" localSheetId="8">'3-1. 예정공정표(1차)'!나나나</definedName>
    <definedName name="나나나" localSheetId="9">'3-2. 예정공정표(2차)'!나나나</definedName>
    <definedName name="나나나" localSheetId="10">'3-3. 예정공정표(3차)'!나나나</definedName>
    <definedName name="나나나" localSheetId="11">'3-4. 예정공정표(4차)'!나나나</definedName>
    <definedName name="나나나" localSheetId="13">'4-1. 예산내역서(1차)'!나나나</definedName>
    <definedName name="나나나" localSheetId="14">'4-2. 예산내역서(2차)'!나나나</definedName>
    <definedName name="나나나" localSheetId="15">'4-3. 예산내역서(3차)'!나나나</definedName>
    <definedName name="나나나" localSheetId="16">'4-4. 예산내역서(4차)'!나나나</definedName>
    <definedName name="나나나" localSheetId="18">'5-1. 공종별예산조서(1차)'!나나나</definedName>
    <definedName name="나나나" localSheetId="19">'5-2. 공종별예산조서(2차)'!나나나</definedName>
    <definedName name="나나나" localSheetId="20">'5-3. 공종별예산조서(3차)'!나나나</definedName>
    <definedName name="나나나" localSheetId="21">'5-3. 공종별예산조서(4차)'!나나나</definedName>
    <definedName name="나나나" localSheetId="24">'8-1. 철거발생품 예정조서(1차)'!나나나</definedName>
    <definedName name="나나나" localSheetId="25">'8-2. 철거발생품 예정조서(2차)'!나나나</definedName>
    <definedName name="나나나" localSheetId="26">'8-3. 철거발생품 예정조서(3차)'!나나나</definedName>
    <definedName name="나나나" localSheetId="27">'8-4. 철거발생품 예정조서(4차)'!나나나</definedName>
    <definedName name="나나나나나" localSheetId="2">'1-1. 설계설명서(1차)'!나나나나나</definedName>
    <definedName name="나나나나나" localSheetId="3">'1-1. 설계설명서(2차)'!나나나나나</definedName>
    <definedName name="나나나나나" localSheetId="4">'1-1. 설계설명서(3차)'!나나나나나</definedName>
    <definedName name="나나나나나" localSheetId="5">'1-1. 설계설명서(4차)'!나나나나나</definedName>
    <definedName name="나나나나나" localSheetId="8">'3-1. 예정공정표(1차)'!나나나나나</definedName>
    <definedName name="나나나나나" localSheetId="9">'3-2. 예정공정표(2차)'!나나나나나</definedName>
    <definedName name="나나나나나" localSheetId="10">'3-3. 예정공정표(3차)'!나나나나나</definedName>
    <definedName name="나나나나나" localSheetId="11">'3-4. 예정공정표(4차)'!나나나나나</definedName>
    <definedName name="나나나나나" localSheetId="13">'4-1. 예산내역서(1차)'!나나나나나</definedName>
    <definedName name="나나나나나" localSheetId="14">'4-2. 예산내역서(2차)'!나나나나나</definedName>
    <definedName name="나나나나나" localSheetId="15">'4-3. 예산내역서(3차)'!나나나나나</definedName>
    <definedName name="나나나나나" localSheetId="16">'4-4. 예산내역서(4차)'!나나나나나</definedName>
    <definedName name="나나나나나" localSheetId="18">'5-1. 공종별예산조서(1차)'!나나나나나</definedName>
    <definedName name="나나나나나" localSheetId="19">'5-2. 공종별예산조서(2차)'!나나나나나</definedName>
    <definedName name="나나나나나" localSheetId="20">'5-3. 공종별예산조서(3차)'!나나나나나</definedName>
    <definedName name="나나나나나" localSheetId="21">'5-3. 공종별예산조서(4차)'!나나나나나</definedName>
    <definedName name="나나나나나" localSheetId="24">'8-1. 철거발생품 예정조서(1차)'!나나나나나</definedName>
    <definedName name="나나나나나" localSheetId="25">'8-2. 철거발생품 예정조서(2차)'!나나나나나</definedName>
    <definedName name="나나나나나" localSheetId="26">'8-3. 철거발생품 예정조서(3차)'!나나나나나</definedName>
    <definedName name="나나나나나" localSheetId="27">'8-4. 철거발생품 예정조서(4차)'!나나나나나</definedName>
    <definedName name="나다" localSheetId="2">'1-1. 설계설명서(1차)'!나다</definedName>
    <definedName name="나다" localSheetId="3">'1-1. 설계설명서(2차)'!나다</definedName>
    <definedName name="나다" localSheetId="4">'1-1. 설계설명서(3차)'!나다</definedName>
    <definedName name="나다" localSheetId="5">'1-1. 설계설명서(4차)'!나다</definedName>
    <definedName name="나다" localSheetId="8">'3-1. 예정공정표(1차)'!나다</definedName>
    <definedName name="나다" localSheetId="9">'3-2. 예정공정표(2차)'!나다</definedName>
    <definedName name="나다" localSheetId="10">'3-3. 예정공정표(3차)'!나다</definedName>
    <definedName name="나다" localSheetId="11">'3-4. 예정공정표(4차)'!나다</definedName>
    <definedName name="나다" localSheetId="13">'4-1. 예산내역서(1차)'!나다</definedName>
    <definedName name="나다" localSheetId="14">'4-2. 예산내역서(2차)'!나다</definedName>
    <definedName name="나다" localSheetId="15">'4-3. 예산내역서(3차)'!나다</definedName>
    <definedName name="나다" localSheetId="16">'4-4. 예산내역서(4차)'!나다</definedName>
    <definedName name="나다" localSheetId="18">'5-1. 공종별예산조서(1차)'!나다</definedName>
    <definedName name="나다" localSheetId="19">'5-2. 공종별예산조서(2차)'!나다</definedName>
    <definedName name="나다" localSheetId="20">'5-3. 공종별예산조서(3차)'!나다</definedName>
    <definedName name="나다" localSheetId="21">'5-3. 공종별예산조서(4차)'!나다</definedName>
    <definedName name="나다" localSheetId="24">'8-1. 철거발생품 예정조서(1차)'!나다</definedName>
    <definedName name="나다" localSheetId="25">'8-2. 철거발생품 예정조서(2차)'!나다</definedName>
    <definedName name="나다" localSheetId="26">'8-3. 철거발생품 예정조서(3차)'!나다</definedName>
    <definedName name="나다" localSheetId="27">'8-4. 철거발생품 예정조서(4차)'!나다</definedName>
    <definedName name="나라" localSheetId="28">#REF!</definedName>
    <definedName name="나라">#REF!</definedName>
    <definedName name="나루" localSheetId="28">#REF!</definedName>
    <definedName name="나루">#REF!</definedName>
    <definedName name="나르시스지아니초코" localSheetId="28">#REF!</definedName>
    <definedName name="나르시스지아니초코">#REF!</definedName>
    <definedName name="나무" localSheetId="28">#REF!</definedName>
    <definedName name="나무">#REF!</definedName>
    <definedName name="나중" localSheetId="28">#REF!</definedName>
    <definedName name="나중">#REF!</definedName>
    <definedName name="낙" localSheetId="28">#REF!</definedName>
    <definedName name="낙">#REF!</definedName>
    <definedName name="난더리" localSheetId="28">#REF!</definedName>
    <definedName name="난더리">#REF!</definedName>
    <definedName name="날짜" localSheetId="28">#REF!</definedName>
    <definedName name="날짜">#REF!</definedName>
    <definedName name="남남" localSheetId="28" hidden="1">#REF!</definedName>
    <definedName name="남남" hidden="1">#REF!</definedName>
    <definedName name="남산" localSheetId="2">'1-1. 설계설명서(1차)'!남산</definedName>
    <definedName name="남산" localSheetId="3">'1-1. 설계설명서(2차)'!남산</definedName>
    <definedName name="남산" localSheetId="4">'1-1. 설계설명서(3차)'!남산</definedName>
    <definedName name="남산" localSheetId="5">'1-1. 설계설명서(4차)'!남산</definedName>
    <definedName name="남산" localSheetId="8">'3-1. 예정공정표(1차)'!남산</definedName>
    <definedName name="남산" localSheetId="9">'3-2. 예정공정표(2차)'!남산</definedName>
    <definedName name="남산" localSheetId="10">'3-3. 예정공정표(3차)'!남산</definedName>
    <definedName name="남산" localSheetId="11">'3-4. 예정공정표(4차)'!남산</definedName>
    <definedName name="남산" localSheetId="13">'4-1. 예산내역서(1차)'!남산</definedName>
    <definedName name="남산" localSheetId="14">'4-2. 예산내역서(2차)'!남산</definedName>
    <definedName name="남산" localSheetId="15">'4-3. 예산내역서(3차)'!남산</definedName>
    <definedName name="남산" localSheetId="16">'4-4. 예산내역서(4차)'!남산</definedName>
    <definedName name="남산" localSheetId="18">'5-1. 공종별예산조서(1차)'!남산</definedName>
    <definedName name="남산" localSheetId="19">'5-2. 공종별예산조서(2차)'!남산</definedName>
    <definedName name="남산" localSheetId="20">'5-3. 공종별예산조서(3차)'!남산</definedName>
    <definedName name="남산" localSheetId="21">'5-3. 공종별예산조서(4차)'!남산</definedName>
    <definedName name="남산" localSheetId="24">'8-1. 철거발생품 예정조서(1차)'!남산</definedName>
    <definedName name="남산" localSheetId="25">'8-2. 철거발생품 예정조서(2차)'!남산</definedName>
    <definedName name="남산" localSheetId="26">'8-3. 철거발생품 예정조서(3차)'!남산</definedName>
    <definedName name="남산" localSheetId="27">'8-4. 철거발생품 예정조서(4차)'!남산</definedName>
    <definedName name="낳" localSheetId="28" hidden="1">{#N/A,#N/A,FALSE,"명세표"}</definedName>
    <definedName name="낳" hidden="1">{#N/A,#N/A,FALSE,"명세표"}</definedName>
    <definedName name="내">#REF!</definedName>
    <definedName name="내_동" localSheetId="28">#REF!</definedName>
    <definedName name="내_동">#REF!</definedName>
    <definedName name="내1" localSheetId="28">#REF!</definedName>
    <definedName name="내1">#REF!</definedName>
    <definedName name="내꺼" localSheetId="28">#REF!</definedName>
    <definedName name="내꺼">#REF!</definedName>
    <definedName name="내선35" localSheetId="28">#REF!</definedName>
    <definedName name="내선35">#REF!</definedName>
    <definedName name="내선전공" localSheetId="28">#REF!</definedName>
    <definedName name="내선전공">#REF!</definedName>
    <definedName name="내역" localSheetId="28">#REF!</definedName>
    <definedName name="내역">#REF!</definedName>
    <definedName name="내역2" localSheetId="28">#REF!</definedName>
    <definedName name="내역2">#REF!</definedName>
    <definedName name="내역49" localSheetId="28">#REF!</definedName>
    <definedName name="내역49">#REF!</definedName>
    <definedName name="내역단가" localSheetId="28">#REF!</definedName>
    <definedName name="내역단가">#REF!</definedName>
    <definedName name="내역서" localSheetId="28">#REF!</definedName>
    <definedName name="내역서">#REF!</definedName>
    <definedName name="내역서1" localSheetId="28">#REF!</definedName>
    <definedName name="내역서1">#REF!</definedName>
    <definedName name="내역서2">{"'단계별시설공사비'!$A$3:$K$51"}</definedName>
    <definedName name="내장공" localSheetId="28">#REF!</definedName>
    <definedName name="내장공">#REF!</definedName>
    <definedName name="내행" localSheetId="28">#REF!</definedName>
    <definedName name="내행">#REF!</definedName>
    <definedName name="내행1" localSheetId="28">#REF!</definedName>
    <definedName name="내행1">#REF!</definedName>
    <definedName name="냉동기DC" localSheetId="28">#REF!</definedName>
    <definedName name="냉동기DC">#REF!</definedName>
    <definedName name="너">{"'자리배치도'!$AG$1:$CI$28"}</definedName>
    <definedName name="넏ㄱㄹ" localSheetId="28" hidden="1">{#N/A,#N/A,FALSE,"명세표"}</definedName>
    <definedName name="넏ㄱㄹ" hidden="1">{#N/A,#N/A,FALSE,"명세표"}</definedName>
    <definedName name="네">#REF!</definedName>
    <definedName name="네ㅣ" localSheetId="28">#REF!</definedName>
    <definedName name="네ㅣ">#REF!</definedName>
    <definedName name="노" localSheetId="28">#REF!</definedName>
    <definedName name="노">#REF!</definedName>
    <definedName name="노01" localSheetId="28">#REF!</definedName>
    <definedName name="노01">#REF!</definedName>
    <definedName name="노015" localSheetId="28">#REF!</definedName>
    <definedName name="노015">#REF!</definedName>
    <definedName name="노016" localSheetId="28">#REF!</definedName>
    <definedName name="노016">#REF!</definedName>
    <definedName name="노017" localSheetId="28">#REF!</definedName>
    <definedName name="노017">#REF!</definedName>
    <definedName name="노018" localSheetId="28">#REF!</definedName>
    <definedName name="노018">#REF!</definedName>
    <definedName name="노06" localSheetId="28">#REF!</definedName>
    <definedName name="노06">#REF!</definedName>
    <definedName name="노10" localSheetId="28">#REF!</definedName>
    <definedName name="노10">#REF!</definedName>
    <definedName name="노11" localSheetId="28">#REF!</definedName>
    <definedName name="노11">#REF!</definedName>
    <definedName name="노12" localSheetId="28">#REF!</definedName>
    <definedName name="노12">#REF!</definedName>
    <definedName name="노13" localSheetId="28">#REF!</definedName>
    <definedName name="노13">#REF!</definedName>
    <definedName name="노14" localSheetId="28">#REF!</definedName>
    <definedName name="노14">#REF!</definedName>
    <definedName name="노19" localSheetId="28">#REF!</definedName>
    <definedName name="노19">#REF!</definedName>
    <definedName name="노2" localSheetId="28">#REF!</definedName>
    <definedName name="노2">#REF!</definedName>
    <definedName name="노20" localSheetId="28">#REF!</definedName>
    <definedName name="노20">#REF!</definedName>
    <definedName name="노21" localSheetId="28">#REF!</definedName>
    <definedName name="노21">#REF!</definedName>
    <definedName name="노22" localSheetId="28">#REF!</definedName>
    <definedName name="노22">#REF!</definedName>
    <definedName name="노23" localSheetId="28">#REF!</definedName>
    <definedName name="노23">#REF!</definedName>
    <definedName name="노24" localSheetId="28">#REF!</definedName>
    <definedName name="노24">#REF!</definedName>
    <definedName name="노25" localSheetId="28">#REF!</definedName>
    <definedName name="노25">#REF!</definedName>
    <definedName name="노26" localSheetId="28">#REF!</definedName>
    <definedName name="노26">#REF!</definedName>
    <definedName name="노27" localSheetId="28">#REF!</definedName>
    <definedName name="노27">#REF!</definedName>
    <definedName name="노28" localSheetId="28">#REF!</definedName>
    <definedName name="노28">#REF!</definedName>
    <definedName name="노29" localSheetId="28">#REF!</definedName>
    <definedName name="노29">#REF!</definedName>
    <definedName name="노3" localSheetId="28">#REF!</definedName>
    <definedName name="노3">#REF!</definedName>
    <definedName name="노30" localSheetId="28">#REF!</definedName>
    <definedName name="노30">#REF!</definedName>
    <definedName name="노31" localSheetId="28">#REF!</definedName>
    <definedName name="노31">#REF!</definedName>
    <definedName name="노4" localSheetId="28">#REF!</definedName>
    <definedName name="노4">#REF!</definedName>
    <definedName name="노5" localSheetId="28">#REF!</definedName>
    <definedName name="노5">#REF!</definedName>
    <definedName name="노7" localSheetId="28">#REF!</definedName>
    <definedName name="노7">#REF!</definedName>
    <definedName name="노8" localSheetId="28">#REF!</definedName>
    <definedName name="노8">#REF!</definedName>
    <definedName name="노9" localSheetId="28">#REF!</definedName>
    <definedName name="노9">#REF!</definedName>
    <definedName name="노단" localSheetId="28">#REF!</definedName>
    <definedName name="노단">#REF!</definedName>
    <definedName name="노단2" localSheetId="28">#REF!</definedName>
    <definedName name="노단2">#REF!</definedName>
    <definedName name="노단3" localSheetId="28">#REF!</definedName>
    <definedName name="노단3">#REF!</definedName>
    <definedName name="노무비" localSheetId="28">#REF!</definedName>
    <definedName name="노무비">#REF!</definedName>
    <definedName name="노무비단가" localSheetId="28" hidden="1">{#N/A,#N/A,FALSE,"명세표"}</definedName>
    <definedName name="노무비단가" hidden="1">{#N/A,#N/A,FALSE,"명세표"}</definedName>
    <definedName name="노무비요율">1</definedName>
    <definedName name="노임">#REF!</definedName>
    <definedName name="노임단" localSheetId="28">#REF!</definedName>
    <definedName name="노임단">#REF!</definedName>
    <definedName name="노임단가" localSheetId="28">#REF!</definedName>
    <definedName name="노임단가">#REF!</definedName>
    <definedName name="노임단가1" localSheetId="28">#REF!</definedName>
    <definedName name="노임단가1">#REF!</definedName>
    <definedName name="노임단가가" localSheetId="28">#REF!</definedName>
    <definedName name="노임단가가">#REF!</definedName>
    <definedName name="노임단가수정완료" localSheetId="2">'1-1. 설계설명서(1차)'!노임단가수정완료</definedName>
    <definedName name="노임단가수정완료" localSheetId="3">'1-1. 설계설명서(2차)'!노임단가수정완료</definedName>
    <definedName name="노임단가수정완료" localSheetId="4">'1-1. 설계설명서(3차)'!노임단가수정완료</definedName>
    <definedName name="노임단가수정완료" localSheetId="5">'1-1. 설계설명서(4차)'!노임단가수정완료</definedName>
    <definedName name="노임단가수정완료" localSheetId="8">'3-1. 예정공정표(1차)'!노임단가수정완료</definedName>
    <definedName name="노임단가수정완료" localSheetId="9">'3-2. 예정공정표(2차)'!노임단가수정완료</definedName>
    <definedName name="노임단가수정완료" localSheetId="10">'3-3. 예정공정표(3차)'!노임단가수정완료</definedName>
    <definedName name="노임단가수정완료" localSheetId="11">'3-4. 예정공정표(4차)'!노임단가수정완료</definedName>
    <definedName name="노임단가수정완료" localSheetId="13">'4-1. 예산내역서(1차)'!노임단가수정완료</definedName>
    <definedName name="노임단가수정완료" localSheetId="14">'4-2. 예산내역서(2차)'!노임단가수정완료</definedName>
    <definedName name="노임단가수정완료" localSheetId="15">'4-3. 예산내역서(3차)'!노임단가수정완료</definedName>
    <definedName name="노임단가수정완료" localSheetId="16">'4-4. 예산내역서(4차)'!노임단가수정완료</definedName>
    <definedName name="노임단가수정완료" localSheetId="18">'5-1. 공종별예산조서(1차)'!노임단가수정완료</definedName>
    <definedName name="노임단가수정완료" localSheetId="19">'5-2. 공종별예산조서(2차)'!노임단가수정완료</definedName>
    <definedName name="노임단가수정완료" localSheetId="20">'5-3. 공종별예산조서(3차)'!노임단가수정완료</definedName>
    <definedName name="노임단가수정완료" localSheetId="21">'5-3. 공종별예산조서(4차)'!노임단가수정완료</definedName>
    <definedName name="노임단가수정완료" localSheetId="24">'8-1. 철거발생품 예정조서(1차)'!노임단가수정완료</definedName>
    <definedName name="노임단가수정완료" localSheetId="25">'8-2. 철거발생품 예정조서(2차)'!노임단가수정완료</definedName>
    <definedName name="노임단가수정완료" localSheetId="26">'8-3. 철거발생품 예정조서(3차)'!노임단가수정완료</definedName>
    <definedName name="노임단가수정완료" localSheetId="27">'8-4. 철거발생품 예정조서(4차)'!노임단가수정완료</definedName>
    <definedName name="노즐공" localSheetId="28">#REF!</definedName>
    <definedName name="노즐공">#REF!</definedName>
    <definedName name="논산" localSheetId="28">#REF!</definedName>
    <definedName name="논산">#REF!</definedName>
    <definedName name="녾" localSheetId="28" hidden="1">{#N/A,#N/A,FALSE,"명세표"}</definedName>
    <definedName name="녾" hidden="1">{#N/A,#N/A,FALSE,"명세표"}</definedName>
    <definedName name="녿ㄱㄹㅇ" localSheetId="28" hidden="1">{#N/A,#N/A,FALSE,"명세표"}</definedName>
    <definedName name="녿ㄱㄹㅇ" hidden="1">{#N/A,#N/A,FALSE,"명세표"}</definedName>
    <definedName name="녿ㅇㄹ" localSheetId="28" hidden="1">{#N/A,#N/A,FALSE,"명세표"}</definedName>
    <definedName name="녿ㅇㄹ" hidden="1">{#N/A,#N/A,FALSE,"명세표"}</definedName>
    <definedName name="농림">#REF!</definedName>
    <definedName name="놓ㅁㅈ" localSheetId="28" hidden="1">{#N/A,#N/A,FALSE,"명세표"}</definedName>
    <definedName name="놓ㅁㅈ" hidden="1">{#N/A,#N/A,FALSE,"명세표"}</definedName>
    <definedName name="누계" localSheetId="2">'1-1. 설계설명서(1차)'!누계</definedName>
    <definedName name="누계" localSheetId="3">'1-1. 설계설명서(2차)'!누계</definedName>
    <definedName name="누계" localSheetId="4">'1-1. 설계설명서(3차)'!누계</definedName>
    <definedName name="누계" localSheetId="5">'1-1. 설계설명서(4차)'!누계</definedName>
    <definedName name="누계" localSheetId="8">'3-1. 예정공정표(1차)'!누계</definedName>
    <definedName name="누계" localSheetId="9">'3-2. 예정공정표(2차)'!누계</definedName>
    <definedName name="누계" localSheetId="10">'3-3. 예정공정표(3차)'!누계</definedName>
    <definedName name="누계" localSheetId="11">'3-4. 예정공정표(4차)'!누계</definedName>
    <definedName name="누계" localSheetId="13">'4-1. 예산내역서(1차)'!누계</definedName>
    <definedName name="누계" localSheetId="14">'4-2. 예산내역서(2차)'!누계</definedName>
    <definedName name="누계" localSheetId="15">'4-3. 예산내역서(3차)'!누계</definedName>
    <definedName name="누계" localSheetId="16">'4-4. 예산내역서(4차)'!누계</definedName>
    <definedName name="누계" localSheetId="18">'5-1. 공종별예산조서(1차)'!누계</definedName>
    <definedName name="누계" localSheetId="19">'5-2. 공종별예산조서(2차)'!누계</definedName>
    <definedName name="누계" localSheetId="20">'5-3. 공종별예산조서(3차)'!누계</definedName>
    <definedName name="누계" localSheetId="21">'5-3. 공종별예산조서(4차)'!누계</definedName>
    <definedName name="누계" localSheetId="24">'8-1. 철거발생품 예정조서(1차)'!누계</definedName>
    <definedName name="누계" localSheetId="25">'8-2. 철거발생품 예정조서(2차)'!누계</definedName>
    <definedName name="누계" localSheetId="26">'8-3. 철거발생품 예정조서(3차)'!누계</definedName>
    <definedName name="누계" localSheetId="27">'8-4. 철거발생품 예정조서(4차)'!누계</definedName>
    <definedName name="누계전류1">#REF!</definedName>
    <definedName name="누계전류2" localSheetId="28">#REF!</definedName>
    <definedName name="누계전류2">#REF!</definedName>
    <definedName name="누계전류3" localSheetId="28">#REF!</definedName>
    <definedName name="누계전류3">#REF!</definedName>
    <definedName name="누계전류4" localSheetId="28">#REF!</definedName>
    <definedName name="누계전류4">#REF!</definedName>
    <definedName name="누ㅠㄹ" localSheetId="28" hidden="1">{#N/A,#N/A,FALSE,"명세표"}</definedName>
    <definedName name="누ㅠㄹ" hidden="1">{#N/A,#N/A,FALSE,"명세표"}</definedName>
    <definedName name="눈">#REF!</definedName>
    <definedName name="니" localSheetId="28">#REF!</definedName>
    <definedName name="니">#REF!</definedName>
    <definedName name="니미럴" localSheetId="28">#REF!</definedName>
    <definedName name="니미럴">#REF!</definedName>
    <definedName name="님" localSheetId="28">#REF!</definedName>
    <definedName name="님">#REF!</definedName>
    <definedName name="ㄶ" localSheetId="28" hidden="1">{#N/A,#N/A,FALSE,"명세표"}</definedName>
    <definedName name="ㄶ" hidden="1">{#N/A,#N/A,FALSE,"명세표"}</definedName>
    <definedName name="ㄶㄷㄱㅎㅇㄹ" localSheetId="28" hidden="1">{#N/A,#N/A,FALSE,"명세표"}</definedName>
    <definedName name="ㄶㄷㄱㅎㅇㄹ" hidden="1">{#N/A,#N/A,FALSE,"명세표"}</definedName>
    <definedName name="ㄶㄷㅇ" localSheetId="28" hidden="1">{#N/A,#N/A,FALSE,"명세표"}</definedName>
    <definedName name="ㄶㄷㅇ" hidden="1">{#N/A,#N/A,FALSE,"명세표"}</definedName>
    <definedName name="ㄷ">#REF!</definedName>
    <definedName name="ㄷ6ㅓ" localSheetId="2">{"'용역비'!$A$4:$C$8"}</definedName>
    <definedName name="ㄷ6ㅓ" localSheetId="3">{"'용역비'!$A$4:$C$8"}</definedName>
    <definedName name="ㄷ6ㅓ" localSheetId="4">{"'용역비'!$A$4:$C$8"}</definedName>
    <definedName name="ㄷ6ㅓ" localSheetId="5">{"'용역비'!$A$4:$C$8"}</definedName>
    <definedName name="ㄷ6ㅓ" localSheetId="8">{"'용역비'!$A$4:$C$8"}</definedName>
    <definedName name="ㄷ6ㅓ" localSheetId="9">{"'용역비'!$A$4:$C$8"}</definedName>
    <definedName name="ㄷ6ㅓ" localSheetId="10">{"'용역비'!$A$4:$C$8"}</definedName>
    <definedName name="ㄷ6ㅓ" localSheetId="11">{"'용역비'!$A$4:$C$8"}</definedName>
    <definedName name="ㄷ6ㅓ" localSheetId="13">{"'용역비'!$A$4:$C$8"}</definedName>
    <definedName name="ㄷ6ㅓ" localSheetId="14">{"'용역비'!$A$4:$C$8"}</definedName>
    <definedName name="ㄷ6ㅓ" localSheetId="15">{"'용역비'!$A$4:$C$8"}</definedName>
    <definedName name="ㄷ6ㅓ" localSheetId="16">{"'용역비'!$A$4:$C$8"}</definedName>
    <definedName name="ㄷ6ㅓ" localSheetId="18">{"'용역비'!$A$4:$C$8"}</definedName>
    <definedName name="ㄷ6ㅓ" localSheetId="19">{"'용역비'!$A$4:$C$8"}</definedName>
    <definedName name="ㄷ6ㅓ" localSheetId="20">{"'용역비'!$A$4:$C$8"}</definedName>
    <definedName name="ㄷ6ㅓ" localSheetId="21">{"'용역비'!$A$4:$C$8"}</definedName>
    <definedName name="ㄷ6ㅓ" localSheetId="24">{"'용역비'!$A$4:$C$8"}</definedName>
    <definedName name="ㄷ6ㅓ" localSheetId="25">{"'용역비'!$A$4:$C$8"}</definedName>
    <definedName name="ㄷ6ㅓ" localSheetId="26">{"'용역비'!$A$4:$C$8"}</definedName>
    <definedName name="ㄷ6ㅓ" localSheetId="27">{"'용역비'!$A$4:$C$8"}</definedName>
    <definedName name="ㄷ6ㅓ">{"'용역비'!$A$4:$C$8"}</definedName>
    <definedName name="ㄷㄱ" localSheetId="28">#REF!</definedName>
    <definedName name="ㄷㄱ">#REF!</definedName>
    <definedName name="ㄷㄱㄹㅇ" localSheetId="28" hidden="1">{#N/A,#N/A,FALSE,"명세표"}</definedName>
    <definedName name="ㄷㄱㄹㅇ" hidden="1">{#N/A,#N/A,FALSE,"명세표"}</definedName>
    <definedName name="ㄷㄱㅈ" localSheetId="2">'1-1. 설계설명서(1차)'!ㄷㄱㅈ</definedName>
    <definedName name="ㄷㄱㅈ" localSheetId="3">'1-1. 설계설명서(2차)'!ㄷㄱㅈ</definedName>
    <definedName name="ㄷㄱㅈ" localSheetId="4">'1-1. 설계설명서(3차)'!ㄷㄱㅈ</definedName>
    <definedName name="ㄷㄱㅈ" localSheetId="5">'1-1. 설계설명서(4차)'!ㄷㄱㅈ</definedName>
    <definedName name="ㄷㄱㅈ" localSheetId="8">'3-1. 예정공정표(1차)'!ㄷㄱㅈ</definedName>
    <definedName name="ㄷㄱㅈ" localSheetId="9">'3-2. 예정공정표(2차)'!ㄷㄱㅈ</definedName>
    <definedName name="ㄷㄱㅈ" localSheetId="10">'3-3. 예정공정표(3차)'!ㄷㄱㅈ</definedName>
    <definedName name="ㄷㄱㅈ" localSheetId="11">'3-4. 예정공정표(4차)'!ㄷㄱㅈ</definedName>
    <definedName name="ㄷㄱㅈ" localSheetId="13">'4-1. 예산내역서(1차)'!ㄷㄱㅈ</definedName>
    <definedName name="ㄷㄱㅈ" localSheetId="14">'4-2. 예산내역서(2차)'!ㄷㄱㅈ</definedName>
    <definedName name="ㄷㄱㅈ" localSheetId="15">'4-3. 예산내역서(3차)'!ㄷㄱㅈ</definedName>
    <definedName name="ㄷㄱㅈ" localSheetId="16">'4-4. 예산내역서(4차)'!ㄷㄱㅈ</definedName>
    <definedName name="ㄷㄱㅈ" localSheetId="18">'5-1. 공종별예산조서(1차)'!ㄷㄱㅈ</definedName>
    <definedName name="ㄷㄱㅈ" localSheetId="19">'5-2. 공종별예산조서(2차)'!ㄷㄱㅈ</definedName>
    <definedName name="ㄷㄱㅈ" localSheetId="20">'5-3. 공종별예산조서(3차)'!ㄷㄱㅈ</definedName>
    <definedName name="ㄷㄱㅈ" localSheetId="21">'5-3. 공종별예산조서(4차)'!ㄷㄱㅈ</definedName>
    <definedName name="ㄷㄱㅈ" localSheetId="24">'8-1. 철거발생품 예정조서(1차)'!ㄷㄱㅈ</definedName>
    <definedName name="ㄷㄱㅈ" localSheetId="25">'8-2. 철거발생품 예정조서(2차)'!ㄷㄱㅈ</definedName>
    <definedName name="ㄷㄱㅈ" localSheetId="26">'8-3. 철거발생품 예정조서(3차)'!ㄷㄱㅈ</definedName>
    <definedName name="ㄷㄱㅈ" localSheetId="27">'8-4. 철거발생품 예정조서(4차)'!ㄷㄱㅈ</definedName>
    <definedName name="ㄷㄷ" localSheetId="28" hidden="1">{#N/A,#N/A,FALSE,"명세표"}</definedName>
    <definedName name="ㄷㄷ" hidden="1">{#N/A,#N/A,FALSE,"명세표"}</definedName>
    <definedName name="ㄷㄷㄷ">#REF!</definedName>
    <definedName name="ㄷㄻㅇㄴ" localSheetId="28" hidden="1">{#N/A,#N/A,FALSE,"명세표"}</definedName>
    <definedName name="ㄷㄻㅇㄴ" hidden="1">{#N/A,#N/A,FALSE,"명세표"}</definedName>
    <definedName name="ㄷㅁㄴㄴㅇ" localSheetId="28" hidden="1">{#N/A,#N/A,FALSE,"명세표"}</definedName>
    <definedName name="ㄷㅁㄴㄴㅇ" hidden="1">{#N/A,#N/A,FALSE,"명세표"}</definedName>
    <definedName name="ㄷㅇㅊㅌ" localSheetId="28" hidden="1">{#N/A,#N/A,FALSE,"명세표"}</definedName>
    <definedName name="ㄷㅇㅊㅌ" hidden="1">{#N/A,#N/A,FALSE,"명세표"}</definedName>
    <definedName name="ㄷㅈㅅㄷㄳ">#REF!</definedName>
    <definedName name="ㄷㅍㅂ" localSheetId="2">{"'용역비'!$A$4:$C$8"}</definedName>
    <definedName name="ㄷㅍㅂ" localSheetId="3">{"'용역비'!$A$4:$C$8"}</definedName>
    <definedName name="ㄷㅍㅂ" localSheetId="4">{"'용역비'!$A$4:$C$8"}</definedName>
    <definedName name="ㄷㅍㅂ" localSheetId="5">{"'용역비'!$A$4:$C$8"}</definedName>
    <definedName name="ㄷㅍㅂ" localSheetId="8">{"'용역비'!$A$4:$C$8"}</definedName>
    <definedName name="ㄷㅍㅂ" localSheetId="9">{"'용역비'!$A$4:$C$8"}</definedName>
    <definedName name="ㄷㅍㅂ" localSheetId="10">{"'용역비'!$A$4:$C$8"}</definedName>
    <definedName name="ㄷㅍㅂ" localSheetId="11">{"'용역비'!$A$4:$C$8"}</definedName>
    <definedName name="ㄷㅍㅂ" localSheetId="13">{"'용역비'!$A$4:$C$8"}</definedName>
    <definedName name="ㄷㅍㅂ" localSheetId="14">{"'용역비'!$A$4:$C$8"}</definedName>
    <definedName name="ㄷㅍㅂ" localSheetId="15">{"'용역비'!$A$4:$C$8"}</definedName>
    <definedName name="ㄷㅍㅂ" localSheetId="16">{"'용역비'!$A$4:$C$8"}</definedName>
    <definedName name="ㄷㅍㅂ" localSheetId="18">{"'용역비'!$A$4:$C$8"}</definedName>
    <definedName name="ㄷㅍㅂ" localSheetId="19">{"'용역비'!$A$4:$C$8"}</definedName>
    <definedName name="ㄷㅍㅂ" localSheetId="20">{"'용역비'!$A$4:$C$8"}</definedName>
    <definedName name="ㄷㅍㅂ" localSheetId="21">{"'용역비'!$A$4:$C$8"}</definedName>
    <definedName name="ㄷㅍㅂ" localSheetId="24">{"'용역비'!$A$4:$C$8"}</definedName>
    <definedName name="ㄷㅍㅂ" localSheetId="25">{"'용역비'!$A$4:$C$8"}</definedName>
    <definedName name="ㄷㅍㅂ" localSheetId="26">{"'용역비'!$A$4:$C$8"}</definedName>
    <definedName name="ㄷㅍㅂ" localSheetId="27">{"'용역비'!$A$4:$C$8"}</definedName>
    <definedName name="ㄷㅍㅂ">{"'용역비'!$A$4:$C$8"}</definedName>
    <definedName name="ㄷㅎㄹ" localSheetId="28" hidden="1">{#N/A,#N/A,FALSE,"명세표"}</definedName>
    <definedName name="ㄷㅎㄹ" hidden="1">{#N/A,#N/A,FALSE,"명세표"}</definedName>
    <definedName name="다">#REF!</definedName>
    <definedName name="다라" localSheetId="2">'1-1. 설계설명서(1차)'!다라</definedName>
    <definedName name="다라" localSheetId="3">'1-1. 설계설명서(2차)'!다라</definedName>
    <definedName name="다라" localSheetId="4">'1-1. 설계설명서(3차)'!다라</definedName>
    <definedName name="다라" localSheetId="5">'1-1. 설계설명서(4차)'!다라</definedName>
    <definedName name="다라" localSheetId="8">'3-1. 예정공정표(1차)'!다라</definedName>
    <definedName name="다라" localSheetId="9">'3-2. 예정공정표(2차)'!다라</definedName>
    <definedName name="다라" localSheetId="10">'3-3. 예정공정표(3차)'!다라</definedName>
    <definedName name="다라" localSheetId="11">'3-4. 예정공정표(4차)'!다라</definedName>
    <definedName name="다라" localSheetId="13">'4-1. 예산내역서(1차)'!다라</definedName>
    <definedName name="다라" localSheetId="14">'4-2. 예산내역서(2차)'!다라</definedName>
    <definedName name="다라" localSheetId="15">'4-3. 예산내역서(3차)'!다라</definedName>
    <definedName name="다라" localSheetId="16">'4-4. 예산내역서(4차)'!다라</definedName>
    <definedName name="다라" localSheetId="18">'5-1. 공종별예산조서(1차)'!다라</definedName>
    <definedName name="다라" localSheetId="19">'5-2. 공종별예산조서(2차)'!다라</definedName>
    <definedName name="다라" localSheetId="20">'5-3. 공종별예산조서(3차)'!다라</definedName>
    <definedName name="다라" localSheetId="21">'5-3. 공종별예산조서(4차)'!다라</definedName>
    <definedName name="다라" localSheetId="24">'8-1. 철거발생품 예정조서(1차)'!다라</definedName>
    <definedName name="다라" localSheetId="25">'8-2. 철거발생품 예정조서(2차)'!다라</definedName>
    <definedName name="다라" localSheetId="26">'8-3. 철거발생품 예정조서(3차)'!다라</definedName>
    <definedName name="다라" localSheetId="27">'8-4. 철거발생품 예정조서(4차)'!다라</definedName>
    <definedName name="다목" localSheetId="28">#REF!</definedName>
    <definedName name="다목">#REF!</definedName>
    <definedName name="다산" localSheetId="28">#REF!</definedName>
    <definedName name="다산">#REF!</definedName>
    <definedName name="닥트공" localSheetId="28">#REF!</definedName>
    <definedName name="닥트공">#REF!</definedName>
    <definedName name="단" localSheetId="28">#REF!</definedName>
    <definedName name="단">#REF!</definedName>
    <definedName name="단01" localSheetId="28">#REF!</definedName>
    <definedName name="단01">#REF!</definedName>
    <definedName name="단015" localSheetId="28">#REF!</definedName>
    <definedName name="단015">#REF!</definedName>
    <definedName name="단016" localSheetId="28">#REF!</definedName>
    <definedName name="단016">#REF!</definedName>
    <definedName name="단017" localSheetId="28">#REF!</definedName>
    <definedName name="단017">#REF!</definedName>
    <definedName name="단018" localSheetId="28">#REF!</definedName>
    <definedName name="단018">#REF!</definedName>
    <definedName name="단06" localSheetId="28">#REF!</definedName>
    <definedName name="단06">#REF!</definedName>
    <definedName name="단10" localSheetId="28">#REF!</definedName>
    <definedName name="단10">#REF!</definedName>
    <definedName name="단11" localSheetId="28">#REF!</definedName>
    <definedName name="단11">#REF!</definedName>
    <definedName name="단12" localSheetId="28">#REF!</definedName>
    <definedName name="단12">#REF!</definedName>
    <definedName name="단13" localSheetId="28">#REF!</definedName>
    <definedName name="단13">#REF!</definedName>
    <definedName name="단14" localSheetId="28">#REF!</definedName>
    <definedName name="단14">#REF!</definedName>
    <definedName name="단19" localSheetId="28">#REF!</definedName>
    <definedName name="단19">#REF!</definedName>
    <definedName name="단2" localSheetId="28">#REF!</definedName>
    <definedName name="단2">#REF!</definedName>
    <definedName name="단20" localSheetId="28">#REF!</definedName>
    <definedName name="단20">#REF!</definedName>
    <definedName name="단21" localSheetId="28">#REF!</definedName>
    <definedName name="단21">#REF!</definedName>
    <definedName name="단22" localSheetId="28">#REF!</definedName>
    <definedName name="단22">#REF!</definedName>
    <definedName name="단23" localSheetId="28">#REF!</definedName>
    <definedName name="단23">#REF!</definedName>
    <definedName name="단24" localSheetId="28">#REF!</definedName>
    <definedName name="단24">#REF!</definedName>
    <definedName name="단25" localSheetId="28">#REF!</definedName>
    <definedName name="단25">#REF!</definedName>
    <definedName name="단26" localSheetId="28">#REF!</definedName>
    <definedName name="단26">#REF!</definedName>
    <definedName name="단27" localSheetId="28">#REF!</definedName>
    <definedName name="단27">#REF!</definedName>
    <definedName name="단28" localSheetId="28">#REF!</definedName>
    <definedName name="단28">#REF!</definedName>
    <definedName name="단29" localSheetId="28">#REF!</definedName>
    <definedName name="단29">#REF!</definedName>
    <definedName name="단3" localSheetId="28">#REF!</definedName>
    <definedName name="단3">#REF!</definedName>
    <definedName name="단30" localSheetId="28">#REF!</definedName>
    <definedName name="단30">#REF!</definedName>
    <definedName name="단31" localSheetId="28">#REF!</definedName>
    <definedName name="단31">#REF!</definedName>
    <definedName name="단4" localSheetId="28">#REF!</definedName>
    <definedName name="단4">#REF!</definedName>
    <definedName name="단5" localSheetId="28">#REF!</definedName>
    <definedName name="단5">#REF!</definedName>
    <definedName name="단7" localSheetId="28">#REF!</definedName>
    <definedName name="단7">#REF!</definedName>
    <definedName name="단8" localSheetId="28">#REF!</definedName>
    <definedName name="단8">#REF!</definedName>
    <definedName name="단9" localSheetId="28">#REF!</definedName>
    <definedName name="단9">#REF!</definedName>
    <definedName name="단가" localSheetId="28">#REF!</definedName>
    <definedName name="단가">#REF!</definedName>
    <definedName name="단가22" localSheetId="28">#REF!</definedName>
    <definedName name="단가22">#REF!</definedName>
    <definedName name="단가48" localSheetId="28">#REF!</definedName>
    <definedName name="단가48">#REF!</definedName>
    <definedName name="단가49" localSheetId="28">#REF!</definedName>
    <definedName name="단가49">#REF!</definedName>
    <definedName name="단가기초" localSheetId="28">#REF!</definedName>
    <definedName name="단가기초">#REF!</definedName>
    <definedName name="단가대비" localSheetId="28">#REF!</definedName>
    <definedName name="단가대비">#REF!</definedName>
    <definedName name="단가비교" localSheetId="28">#REF!</definedName>
    <definedName name="단가비교">#REF!</definedName>
    <definedName name="단가비교표" localSheetId="28">#REF!,#REF!</definedName>
    <definedName name="단가비교표">#REF!,#REF!</definedName>
    <definedName name="단가테이블" localSheetId="28">#REF!</definedName>
    <definedName name="단가테이블">#REF!</definedName>
    <definedName name="단가표지" localSheetId="28">#REF!</definedName>
    <definedName name="단가표지">#REF!</definedName>
    <definedName name="단가표지2" localSheetId="2">'1-1. 설계설명서(1차)'!단가표지2</definedName>
    <definedName name="단가표지2" localSheetId="3">'1-1. 설계설명서(2차)'!단가표지2</definedName>
    <definedName name="단가표지2" localSheetId="4">'1-1. 설계설명서(3차)'!단가표지2</definedName>
    <definedName name="단가표지2" localSheetId="5">'1-1. 설계설명서(4차)'!단가표지2</definedName>
    <definedName name="단가표지2" localSheetId="8">'3-1. 예정공정표(1차)'!단가표지2</definedName>
    <definedName name="단가표지2" localSheetId="9">'3-2. 예정공정표(2차)'!단가표지2</definedName>
    <definedName name="단가표지2" localSheetId="10">'3-3. 예정공정표(3차)'!단가표지2</definedName>
    <definedName name="단가표지2" localSheetId="11">'3-4. 예정공정표(4차)'!단가표지2</definedName>
    <definedName name="단가표지2" localSheetId="13">'4-1. 예산내역서(1차)'!단가표지2</definedName>
    <definedName name="단가표지2" localSheetId="14">'4-2. 예산내역서(2차)'!단가표지2</definedName>
    <definedName name="단가표지2" localSheetId="15">'4-3. 예산내역서(3차)'!단가표지2</definedName>
    <definedName name="단가표지2" localSheetId="16">'4-4. 예산내역서(4차)'!단가표지2</definedName>
    <definedName name="단가표지2" localSheetId="18">'5-1. 공종별예산조서(1차)'!단가표지2</definedName>
    <definedName name="단가표지2" localSheetId="19">'5-2. 공종별예산조서(2차)'!단가표지2</definedName>
    <definedName name="단가표지2" localSheetId="20">'5-3. 공종별예산조서(3차)'!단가표지2</definedName>
    <definedName name="단가표지2" localSheetId="21">'5-3. 공종별예산조서(4차)'!단가표지2</definedName>
    <definedName name="단가표지2" localSheetId="24">'8-1. 철거발생품 예정조서(1차)'!단가표지2</definedName>
    <definedName name="단가표지2" localSheetId="25">'8-2. 철거발생품 예정조서(2차)'!단가표지2</definedName>
    <definedName name="단가표지2" localSheetId="26">'8-3. 철거발생품 예정조서(3차)'!단가표지2</definedName>
    <definedName name="단가표지2" localSheetId="27">'8-4. 철거발생품 예정조서(4차)'!단가표지2</definedName>
    <definedName name="단단단" localSheetId="28">#REF!</definedName>
    <definedName name="단단단">#REF!</definedName>
    <definedName name="단동기" localSheetId="28">#REF!</definedName>
    <definedName name="단동기">#REF!</definedName>
    <definedName name="대가" localSheetId="28">#REF!</definedName>
    <definedName name="대가">#REF!</definedName>
    <definedName name="대가단가범위" localSheetId="28">#REF!</definedName>
    <definedName name="대가단가범위">#REF!</definedName>
    <definedName name="대가목록" localSheetId="28">#REF!</definedName>
    <definedName name="대가목록">#REF!</definedName>
    <definedName name="대가집계표" localSheetId="28">#REF!</definedName>
    <definedName name="대가집계표">#REF!</definedName>
    <definedName name="대화상자표시" localSheetId="2">'1-1. 설계설명서(1차)'!대화상자표시</definedName>
    <definedName name="대화상자표시" localSheetId="3">'1-1. 설계설명서(2차)'!대화상자표시</definedName>
    <definedName name="대화상자표시" localSheetId="4">'1-1. 설계설명서(3차)'!대화상자표시</definedName>
    <definedName name="대화상자표시" localSheetId="5">'1-1. 설계설명서(4차)'!대화상자표시</definedName>
    <definedName name="대화상자표시" localSheetId="8">'3-1. 예정공정표(1차)'!대화상자표시</definedName>
    <definedName name="대화상자표시" localSheetId="9">'3-2. 예정공정표(2차)'!대화상자표시</definedName>
    <definedName name="대화상자표시" localSheetId="10">'3-3. 예정공정표(3차)'!대화상자표시</definedName>
    <definedName name="대화상자표시" localSheetId="11">'3-4. 예정공정표(4차)'!대화상자표시</definedName>
    <definedName name="대화상자표시" localSheetId="13">'4-1. 예산내역서(1차)'!대화상자표시</definedName>
    <definedName name="대화상자표시" localSheetId="14">'4-2. 예산내역서(2차)'!대화상자표시</definedName>
    <definedName name="대화상자표시" localSheetId="15">'4-3. 예산내역서(3차)'!대화상자표시</definedName>
    <definedName name="대화상자표시" localSheetId="16">'4-4. 예산내역서(4차)'!대화상자표시</definedName>
    <definedName name="대화상자표시" localSheetId="18">'5-1. 공종별예산조서(1차)'!대화상자표시</definedName>
    <definedName name="대화상자표시" localSheetId="19">'5-2. 공종별예산조서(2차)'!대화상자표시</definedName>
    <definedName name="대화상자표시" localSheetId="20">'5-3. 공종별예산조서(3차)'!대화상자표시</definedName>
    <definedName name="대화상자표시" localSheetId="21">'5-3. 공종별예산조서(4차)'!대화상자표시</definedName>
    <definedName name="대화상자표시" localSheetId="24">'8-1. 철거발생품 예정조서(1차)'!대화상자표시</definedName>
    <definedName name="대화상자표시" localSheetId="25">'8-2. 철거발생품 예정조서(2차)'!대화상자표시</definedName>
    <definedName name="대화상자표시" localSheetId="26">'8-3. 철거발생품 예정조서(3차)'!대화상자표시</definedName>
    <definedName name="대화상자표시" localSheetId="27">'8-4. 철거발생품 예정조서(4차)'!대화상자표시</definedName>
    <definedName name="더">{"'자리배치도'!$AG$1:$CI$28"}</definedName>
    <definedName name="덕" localSheetId="28">#REF!</definedName>
    <definedName name="덕">#REF!</definedName>
    <definedName name="덕_내" localSheetId="28">#REF!</definedName>
    <definedName name="덕_내">#REF!</definedName>
    <definedName name="덕1" localSheetId="28">#REF!</definedName>
    <definedName name="덕1">#REF!</definedName>
    <definedName name="덕내" localSheetId="28">#REF!</definedName>
    <definedName name="덕내">#REF!</definedName>
    <definedName name="덕정" localSheetId="28">#REF!</definedName>
    <definedName name="덕정">#REF!</definedName>
    <definedName name="덕정1" localSheetId="28">#REF!</definedName>
    <definedName name="덕정1">#REF!</definedName>
    <definedName name="데져" localSheetId="28">#REF!</definedName>
    <definedName name="데져">#REF!</definedName>
    <definedName name="도" localSheetId="28" hidden="1">{#N/A,#N/A,FALSE,"명세표"}</definedName>
    <definedName name="도" hidden="1">{#N/A,#N/A,FALSE,"명세표"}</definedName>
    <definedName name="도가">#REF!</definedName>
    <definedName name="도가니" localSheetId="28">#REF!</definedName>
    <definedName name="도가니">#REF!</definedName>
    <definedName name="도급" localSheetId="28">#REF!</definedName>
    <definedName name="도급">#REF!</definedName>
    <definedName name="도급공사비" localSheetId="28">#REF!</definedName>
    <definedName name="도급공사비">#REF!</definedName>
    <definedName name="도급단가" localSheetId="28">#REF!</definedName>
    <definedName name="도급단가">#REF!</definedName>
    <definedName name="도급예산" localSheetId="28">#REF!</definedName>
    <definedName name="도급예산">#REF!</definedName>
    <definedName name="도급예산내역서총괄표공구손료" localSheetId="28">#REF!</definedName>
    <definedName name="도급예산내역서총괄표공구손료">#REF!</definedName>
    <definedName name="도급예산내역서총괄표공비" localSheetId="28">#REF!</definedName>
    <definedName name="도급예산내역서총괄표공비">#REF!</definedName>
    <definedName name="도급예산내역서총괄표재료비" localSheetId="28">#REF!</definedName>
    <definedName name="도급예산내역서총괄표재료비">#REF!</definedName>
    <definedName name="도면목록" localSheetId="28">#REF!</definedName>
    <definedName name="도면목록">#REF!</definedName>
    <definedName name="도목수" localSheetId="28">#REF!</definedName>
    <definedName name="도목수">#REF!</definedName>
    <definedName name="도배공" localSheetId="28">#REF!</definedName>
    <definedName name="도배공">#REF!</definedName>
    <definedName name="도장공" localSheetId="28">#REF!</definedName>
    <definedName name="도장공">#REF!</definedName>
    <definedName name="도편수" localSheetId="28">#REF!</definedName>
    <definedName name="도편수">#REF!</definedName>
    <definedName name="동" localSheetId="28">#REF!</definedName>
    <definedName name="동">#REF!</definedName>
    <definedName name="동_보" localSheetId="28">#REF!</definedName>
    <definedName name="동_보">#REF!</definedName>
    <definedName name="동1" localSheetId="28">#REF!</definedName>
    <definedName name="동1">#REF!</definedName>
    <definedName name="동2" localSheetId="28">#REF!</definedName>
    <definedName name="동2">#REF!</definedName>
    <definedName name="동두" localSheetId="28">#REF!</definedName>
    <definedName name="동두">#REF!</definedName>
    <definedName name="동두1" localSheetId="28">#REF!</definedName>
    <definedName name="동두1">#REF!</definedName>
    <definedName name="동두천" localSheetId="28">#REF!</definedName>
    <definedName name="동두천">#REF!</definedName>
    <definedName name="동두천1" localSheetId="28">#REF!</definedName>
    <definedName name="동두천1">#REF!</definedName>
    <definedName name="동ㄹ" localSheetId="28" hidden="1">{#N/A,#N/A,FALSE,"명세표"}</definedName>
    <definedName name="동ㄹ" hidden="1">{#N/A,#N/A,FALSE,"명세표"}</definedName>
    <definedName name="동력산출" localSheetId="2">'1-1. 설계설명서(1차)'!동력산출</definedName>
    <definedName name="동력산출" localSheetId="3">'1-1. 설계설명서(2차)'!동력산출</definedName>
    <definedName name="동력산출" localSheetId="4">'1-1. 설계설명서(3차)'!동력산출</definedName>
    <definedName name="동력산출" localSheetId="5">'1-1. 설계설명서(4차)'!동력산출</definedName>
    <definedName name="동력산출" localSheetId="8">'3-1. 예정공정표(1차)'!동력산출</definedName>
    <definedName name="동력산출" localSheetId="9">'3-2. 예정공정표(2차)'!동력산출</definedName>
    <definedName name="동력산출" localSheetId="10">'3-3. 예정공정표(3차)'!동력산출</definedName>
    <definedName name="동력산출" localSheetId="11">'3-4. 예정공정표(4차)'!동력산출</definedName>
    <definedName name="동력산출" localSheetId="13">'4-1. 예산내역서(1차)'!동력산출</definedName>
    <definedName name="동력산출" localSheetId="14">'4-2. 예산내역서(2차)'!동력산출</definedName>
    <definedName name="동력산출" localSheetId="15">'4-3. 예산내역서(3차)'!동력산출</definedName>
    <definedName name="동력산출" localSheetId="16">'4-4. 예산내역서(4차)'!동력산출</definedName>
    <definedName name="동력산출" localSheetId="18">'5-1. 공종별예산조서(1차)'!동력산출</definedName>
    <definedName name="동력산출" localSheetId="19">'5-2. 공종별예산조서(2차)'!동력산출</definedName>
    <definedName name="동력산출" localSheetId="20">'5-3. 공종별예산조서(3차)'!동력산출</definedName>
    <definedName name="동력산출" localSheetId="21">'5-3. 공종별예산조서(4차)'!동력산출</definedName>
    <definedName name="동력산출" localSheetId="24">'8-1. 철거발생품 예정조서(1차)'!동력산출</definedName>
    <definedName name="동력산출" localSheetId="25">'8-2. 철거발생품 예정조서(2차)'!동력산출</definedName>
    <definedName name="동력산출" localSheetId="26">'8-3. 철거발생품 예정조서(3차)'!동력산출</definedName>
    <definedName name="동력산출" localSheetId="27">'8-4. 철거발생품 예정조서(4차)'!동력산출</definedName>
    <definedName name="동발공">#REF!</definedName>
    <definedName name="동발공_터널" localSheetId="28">#REF!</definedName>
    <definedName name="동발공_터널">#REF!</definedName>
    <definedName name="동안" localSheetId="28">#REF!</definedName>
    <definedName name="동안">#REF!</definedName>
    <definedName name="동안1" localSheetId="28">#REF!</definedName>
    <definedName name="동안1">#REF!</definedName>
    <definedName name="동안역" localSheetId="28">#REF!</definedName>
    <definedName name="동안역">#REF!</definedName>
    <definedName name="동원" localSheetId="28">#REF!</definedName>
    <definedName name="동원">#REF!</definedName>
    <definedName name="동원1" localSheetId="28">#REF!</definedName>
    <definedName name="동원1">#REF!</definedName>
    <definedName name="동원2" localSheetId="28">#REF!</definedName>
    <definedName name="동원2">#REF!</definedName>
    <definedName name="동원22" localSheetId="28">#REF!</definedName>
    <definedName name="동원22">#REF!</definedName>
    <definedName name="동익산" localSheetId="28">#REF!</definedName>
    <definedName name="동익산">#REF!</definedName>
    <definedName name="동준">{"'Firr(선)'!$AS$1:$AY$62","'Firr(사)'!$AS$1:$AY$62","'Firr(회)'!$AS$1:$AY$62","'Firr(선)'!$L$1:$V$62","'Firr(사)'!$L$1:$V$62","'Firr(회)'!$L$1:$V$62"}</definedName>
    <definedName name="두마리" localSheetId="28" hidden="1">{#N/A,#N/A,FALSE,"명세표"}</definedName>
    <definedName name="두마리" hidden="1">{#N/A,#N/A,FALSE,"명세표"}</definedName>
    <definedName name="두부">#REF!</definedName>
    <definedName name="둘" localSheetId="28">#REF!</definedName>
    <definedName name="둘">#REF!</definedName>
    <definedName name="드" localSheetId="28">#REF!</definedName>
    <definedName name="드">#REF!</definedName>
    <definedName name="드레" localSheetId="28">#REF!</definedName>
    <definedName name="드레">#REF!</definedName>
    <definedName name="드잡이공" localSheetId="28">#REF!</definedName>
    <definedName name="드잡이공">#REF!</definedName>
    <definedName name="드침" localSheetId="28">#REF!</definedName>
    <definedName name="드침">#REF!</definedName>
    <definedName name="디" localSheetId="28">#REF!</definedName>
    <definedName name="디">#REF!</definedName>
    <definedName name="디루라" localSheetId="28">#REF!</definedName>
    <definedName name="디루라">#REF!</definedName>
    <definedName name="ㄹ" localSheetId="28" hidden="1">{#N/A,#N/A,FALSE,"명세표"}</definedName>
    <definedName name="ㄹ" hidden="1">{#N/A,#N/A,FALSE,"명세표"}</definedName>
    <definedName name="ㄹㄴㄷㄹ">#REF!</definedName>
    <definedName name="ㄹㄴㅀ" localSheetId="28" hidden="1">{#N/A,#N/A,FALSE,"명세표"}</definedName>
    <definedName name="ㄹㄴㅀ" hidden="1">{#N/A,#N/A,FALSE,"명세표"}</definedName>
    <definedName name="ㄹㄴㅁㄹㅇㄴ">{"'Sheet1'!$D$19","'Sheet1'!$B$22:$E$22"}</definedName>
    <definedName name="ㄹㄴㅇㄹ">{"'5국공정'!$A$1:$E$128"}</definedName>
    <definedName name="ㄹㄹㄹ" localSheetId="28" hidden="1">{#N/A,#N/A,FALSE,"명세표"}</definedName>
    <definedName name="ㄹㄹㄹ" hidden="1">{#N/A,#N/A,FALSE,"명세표"}</definedName>
    <definedName name="ㄹㄹㅇ" localSheetId="28" hidden="1">{#N/A,#N/A,FALSE,"명세표"}</definedName>
    <definedName name="ㄹㄹㅇ" hidden="1">{#N/A,#N/A,FALSE,"명세표"}</definedName>
    <definedName name="ㄹ밀ㅇ" localSheetId="28" hidden="1">{#N/A,#N/A,FALSE,"명세표"}</definedName>
    <definedName name="ㄹ밀ㅇ" hidden="1">{#N/A,#N/A,FALSE,"명세표"}</definedName>
    <definedName name="ㄹㅇ">#REF!</definedName>
    <definedName name="ㄹㅇㄴ" localSheetId="28" hidden="1">{#N/A,#N/A,FALSE,"명세표"}</definedName>
    <definedName name="ㄹㅇㄴ" hidden="1">{#N/A,#N/A,FALSE,"명세표"}</definedName>
    <definedName name="ㄹㅇㄴㅀ" localSheetId="28" hidden="1">{#N/A,#N/A,FALSE,"명세표"}</definedName>
    <definedName name="ㄹㅇㄴㅀ" hidden="1">{#N/A,#N/A,FALSE,"명세표"}</definedName>
    <definedName name="ㄹㅇㄶ" localSheetId="28" hidden="1">{#N/A,#N/A,FALSE,"명세표"}</definedName>
    <definedName name="ㄹㅇㄶ" hidden="1">{#N/A,#N/A,FALSE,"명세표"}</definedName>
    <definedName name="ㄹㅇㄶㅁㅇ" localSheetId="28" hidden="1">{#N/A,#N/A,FALSE,"명세표"}</definedName>
    <definedName name="ㄹㅇㄶㅁㅇ" hidden="1">{#N/A,#N/A,FALSE,"명세표"}</definedName>
    <definedName name="ㄹㅇㄹ호" localSheetId="28" hidden="1">{#N/A,#N/A,FALSE,"명세표"}</definedName>
    <definedName name="ㄹㅇㄹ호" hidden="1">{#N/A,#N/A,FALSE,"명세표"}</definedName>
    <definedName name="ㄹㅇㅁㄴㄹ" localSheetId="28" hidden="1">{#N/A,#N/A,FALSE,"명세표"}</definedName>
    <definedName name="ㄹㅇㅁㄴㄹ" hidden="1">{#N/A,#N/A,FALSE,"명세표"}</definedName>
    <definedName name="ㄹㅇㅇㄹ노" localSheetId="28" hidden="1">{#N/A,#N/A,FALSE,"명세표"}</definedName>
    <definedName name="ㄹㅇㅇㄹ노" hidden="1">{#N/A,#N/A,FALSE,"명세표"}</definedName>
    <definedName name="ㄹㅇㅇ로ㅓㄹ" localSheetId="28" hidden="1">{#N/A,#N/A,FALSE,"명세표"}</definedName>
    <definedName name="ㄹㅇㅇ로ㅓㄹ" hidden="1">{#N/A,#N/A,FALSE,"명세표"}</definedName>
    <definedName name="ㄹㅇㅎㄱ" localSheetId="28" hidden="1">{#N/A,#N/A,FALSE,"명세표"}</definedName>
    <definedName name="ㄹㅇㅎㄱ" hidden="1">{#N/A,#N/A,FALSE,"명세표"}</definedName>
    <definedName name="ㄹㅇㅎㄱㄹㅇㅎㄱ" localSheetId="28" hidden="1">{#N/A,#N/A,FALSE,"명세표"}</definedName>
    <definedName name="ㄹㅇㅎㄱㄹㅇㅎㄱ" hidden="1">{#N/A,#N/A,FALSE,"명세표"}</definedName>
    <definedName name="ㄹㅇㅎㄱㅇㅀ" localSheetId="28" hidden="1">{#N/A,#N/A,FALSE,"명세표"}</definedName>
    <definedName name="ㄹㅇㅎㄱㅇㅀ" hidden="1">{#N/A,#N/A,FALSE,"명세표"}</definedName>
    <definedName name="ㄹㅇㅎㄴ" localSheetId="28" hidden="1">{#N/A,#N/A,FALSE,"명세표"}</definedName>
    <definedName name="ㄹㅇㅎㄴ" hidden="1">{#N/A,#N/A,FALSE,"명세표"}</definedName>
    <definedName name="ㄹㅇㅎㄴㄱ호" localSheetId="28" hidden="1">{#N/A,#N/A,FALSE,"명세표"}</definedName>
    <definedName name="ㄹㅇㅎㄴㄱ호" hidden="1">{#N/A,#N/A,FALSE,"명세표"}</definedName>
    <definedName name="ㄹㅇㅎㄴㄹ" localSheetId="28" hidden="1">{#N/A,#N/A,FALSE,"명세표"}</definedName>
    <definedName name="ㄹㅇㅎㄴㄹ" hidden="1">{#N/A,#N/A,FALSE,"명세표"}</definedName>
    <definedName name="ㄹㅇㅎㄴ록" localSheetId="28" hidden="1">{#N/A,#N/A,FALSE,"명세표"}</definedName>
    <definedName name="ㄹㅇㅎㄴ록" hidden="1">{#N/A,#N/A,FALSE,"명세표"}</definedName>
    <definedName name="ㄹㅇㅎㄴㅀ" localSheetId="28" hidden="1">{#N/A,#N/A,FALSE,"명세표"}</definedName>
    <definedName name="ㄹㅇㅎㄴㅀ" hidden="1">{#N/A,#N/A,FALSE,"명세표"}</definedName>
    <definedName name="ㄹㅇㅎㄴㅇ" localSheetId="28" hidden="1">{#N/A,#N/A,FALSE,"명세표"}</definedName>
    <definedName name="ㄹㅇㅎㄴㅇ" hidden="1">{#N/A,#N/A,FALSE,"명세표"}</definedName>
    <definedName name="ㄹㅇㅎㄴㅇㄹ" localSheetId="28" hidden="1">{#N/A,#N/A,FALSE,"명세표"}</definedName>
    <definedName name="ㄹㅇㅎㄴㅇㄹ" hidden="1">{#N/A,#N/A,FALSE,"명세표"}</definedName>
    <definedName name="ㄹㅇㅎㄶ" localSheetId="28" hidden="1">{#N/A,#N/A,FALSE,"명세표"}</definedName>
    <definedName name="ㄹㅇㅎㄶ" hidden="1">{#N/A,#N/A,FALSE,"명세표"}</definedName>
    <definedName name="ㄹㅇㅎㄷ" localSheetId="28" hidden="1">{#N/A,#N/A,FALSE,"명세표"}</definedName>
    <definedName name="ㄹㅇㅎㄷ" hidden="1">{#N/A,#N/A,FALSE,"명세표"}</definedName>
    <definedName name="ㄹㅇㅎㄷㄱ" localSheetId="28" hidden="1">{#N/A,#N/A,FALSE,"명세표"}</definedName>
    <definedName name="ㄹㅇㅎㄷㄱ" hidden="1">{#N/A,#N/A,FALSE,"명세표"}</definedName>
    <definedName name="ㄹㅇㅎㄹㅇㄴ" localSheetId="28" hidden="1">{#N/A,#N/A,FALSE,"명세표"}</definedName>
    <definedName name="ㄹㅇㅎㄹㅇㄴ" hidden="1">{#N/A,#N/A,FALSE,"명세표"}</definedName>
    <definedName name="ㄹㅇㅎㅁ" localSheetId="28" hidden="1">{#N/A,#N/A,FALSE,"명세표"}</definedName>
    <definedName name="ㄹㅇㅎㅁ" hidden="1">{#N/A,#N/A,FALSE,"명세표"}</definedName>
    <definedName name="ㄹㅇㅎㅇㅀ" localSheetId="28" hidden="1">{#N/A,#N/A,FALSE,"명세표"}</definedName>
    <definedName name="ㄹㅇㅎㅇㅀ" hidden="1">{#N/A,#N/A,FALSE,"명세표"}</definedName>
    <definedName name="ㄹㅇㅎㅇㅀㄱ" localSheetId="28" hidden="1">{#N/A,#N/A,FALSE,"명세표"}</definedName>
    <definedName name="ㄹㅇㅎㅇㅀㄱ" hidden="1">{#N/A,#N/A,FALSE,"명세표"}</definedName>
    <definedName name="ㄹㅇㅎㅊㅇ" localSheetId="28" hidden="1">{#N/A,#N/A,FALSE,"명세표"}</definedName>
    <definedName name="ㄹㅇㅎㅊㅇ" hidden="1">{#N/A,#N/A,FALSE,"명세표"}</definedName>
    <definedName name="ㄹㅇㅎㅊㅍ" localSheetId="28" hidden="1">{#N/A,#N/A,FALSE,"명세표"}</definedName>
    <definedName name="ㄹㅇㅎㅊㅍ" hidden="1">{#N/A,#N/A,FALSE,"명세표"}</definedName>
    <definedName name="ㄹㅇ호" localSheetId="28" hidden="1">{#N/A,#N/A,FALSE,"명세표"}</definedName>
    <definedName name="ㄹㅇ호" hidden="1">{#N/A,#N/A,FALSE,"명세표"}</definedName>
    <definedName name="ㄹㅇ혼" localSheetId="28" hidden="1">{#N/A,#N/A,FALSE,"명세표"}</definedName>
    <definedName name="ㄹㅇ혼" hidden="1">{#N/A,#N/A,FALSE,"명세표"}</definedName>
    <definedName name="ㄹ어미ㅏㄹ">{"'Sheet1'!$D$19","'Sheet1'!$B$22:$E$22"}</definedName>
    <definedName name="ㄹ어ㅣ챠ㅕ" localSheetId="28" hidden="1">{#N/A,#N/A,FALSE,"명세표"}</definedName>
    <definedName name="ㄹ어ㅣ챠ㅕ" hidden="1">{#N/A,#N/A,FALSE,"명세표"}</definedName>
    <definedName name="ㄹ얷" localSheetId="28" hidden="1">{#N/A,#N/A,FALSE,"명세표"}</definedName>
    <definedName name="ㄹ얷" hidden="1">{#N/A,#N/A,FALSE,"명세표"}</definedName>
    <definedName name="ㄹ오" localSheetId="28" hidden="1">{#N/A,#N/A,FALSE,"명세표"}</definedName>
    <definedName name="ㄹ오" hidden="1">{#N/A,#N/A,FALSE,"명세표"}</definedName>
    <definedName name="ㄹ오헐ㅇ" localSheetId="28" hidden="1">{#N/A,#N/A,FALSE,"명세표"}</definedName>
    <definedName name="ㄹ오헐ㅇ" hidden="1">{#N/A,#N/A,FALSE,"명세표"}</definedName>
    <definedName name="ㄹ오헢ㅇ" localSheetId="28" hidden="1">{#N/A,#N/A,FALSE,"명세표"}</definedName>
    <definedName name="ㄹ오헢ㅇ" hidden="1">{#N/A,#N/A,FALSE,"명세표"}</definedName>
    <definedName name="ㄹ온ㅇㄹ" localSheetId="28" hidden="1">{#N/A,#N/A,FALSE,"명세표"}</definedName>
    <definedName name="ㄹ온ㅇㄹ" hidden="1">{#N/A,#N/A,FALSE,"명세표"}</definedName>
    <definedName name="ㄹ옳" localSheetId="28" hidden="1">{#N/A,#N/A,FALSE,"명세표"}</definedName>
    <definedName name="ㄹ옳" hidden="1">{#N/A,#N/A,FALSE,"명세표"}</definedName>
    <definedName name="ㄹ옿ㅅ4ㄱ" localSheetId="28" hidden="1">{#N/A,#N/A,FALSE,"명세표"}</definedName>
    <definedName name="ㄹ옿ㅅ4ㄱ" hidden="1">{#N/A,#N/A,FALSE,"명세표"}</definedName>
    <definedName name="ㄹㅎ퓨" localSheetId="0">[0]!FFF</definedName>
    <definedName name="ㄹㅎ퓨" localSheetId="2">[0]!FFF</definedName>
    <definedName name="ㄹㅎ퓨" localSheetId="3">[0]!FFF</definedName>
    <definedName name="ㄹㅎ퓨" localSheetId="4">[0]!FFF</definedName>
    <definedName name="ㄹㅎ퓨" localSheetId="5">[0]!FFF</definedName>
    <definedName name="ㄹㅎ퓨" localSheetId="8">[0]!FFF</definedName>
    <definedName name="ㄹㅎ퓨" localSheetId="9">[0]!FFF</definedName>
    <definedName name="ㄹㅎ퓨" localSheetId="10">[0]!FFF</definedName>
    <definedName name="ㄹㅎ퓨" localSheetId="11">[0]!FFF</definedName>
    <definedName name="ㄹㅎ퓨" localSheetId="13">[0]!FFF</definedName>
    <definedName name="ㄹㅎ퓨" localSheetId="14">[0]!FFF</definedName>
    <definedName name="ㄹㅎ퓨" localSheetId="15">[0]!FFF</definedName>
    <definedName name="ㄹㅎ퓨" localSheetId="16">[0]!FFF</definedName>
    <definedName name="ㄹㅎ퓨" localSheetId="18">[0]!FFF</definedName>
    <definedName name="ㄹㅎ퓨" localSheetId="19">[0]!FFF</definedName>
    <definedName name="ㄹㅎ퓨" localSheetId="20">[0]!FFF</definedName>
    <definedName name="ㄹㅎ퓨" localSheetId="21">[0]!FFF</definedName>
    <definedName name="ㄹㅎ퓨" localSheetId="24">[0]!FFF</definedName>
    <definedName name="ㄹㅎ퓨" localSheetId="25">[0]!FFF</definedName>
    <definedName name="ㄹㅎ퓨" localSheetId="26">[0]!FFF</definedName>
    <definedName name="ㄹㅎ퓨" localSheetId="27">[0]!FFF</definedName>
    <definedName name="ㄹ헉ㄷㅀ" localSheetId="28" hidden="1">{#N/A,#N/A,FALSE,"명세표"}</definedName>
    <definedName name="ㄹ헉ㄷㅀ" hidden="1">{#N/A,#N/A,FALSE,"명세표"}</definedName>
    <definedName name="ㄹ헉ㅀ" localSheetId="28" hidden="1">{#N/A,#N/A,FALSE,"명세표"}</definedName>
    <definedName name="ㄹ헉ㅀ" hidden="1">{#N/A,#N/A,FALSE,"명세표"}</definedName>
    <definedName name="ㄹ호" localSheetId="28" hidden="1">{#N/A,#N/A,FALSE,"명세표"}</definedName>
    <definedName name="ㄹ호" hidden="1">{#N/A,#N/A,FALSE,"명세표"}</definedName>
    <definedName name="ㄹ호ㅓㄹㅇㄹㅇ" localSheetId="28" hidden="1">{#N/A,#N/A,FALSE,"명세표"}</definedName>
    <definedName name="ㄹ호ㅓㄹㅇㄹㅇ" hidden="1">{#N/A,#N/A,FALSE,"명세표"}</definedName>
    <definedName name="ㄹ홀" localSheetId="28" hidden="1">{#N/A,#N/A,FALSE,"명세표"}</definedName>
    <definedName name="ㄹ홀" hidden="1">{#N/A,#N/A,FALSE,"명세표"}</definedName>
    <definedName name="ㄹ홓ㄹ" localSheetId="28" hidden="1">{#N/A,#N/A,FALSE,"명세표"}</definedName>
    <definedName name="ㄹ홓ㄹ" hidden="1">{#N/A,#N/A,FALSE,"명세표"}</definedName>
    <definedName name="ㄹ활ㅇㄹㅇ" localSheetId="28" hidden="1">{#N/A,#N/A,FALSE,"명세표"}</definedName>
    <definedName name="ㄹ활ㅇㄹㅇ" hidden="1">{#N/A,#N/A,FALSE,"명세표"}</definedName>
    <definedName name="ㄹ흉ㄹㄴㅇ" localSheetId="28" hidden="1">{#N/A,#N/A,FALSE,"명세표"}</definedName>
    <definedName name="ㄹ흉ㄹㄴㅇ" hidden="1">{#N/A,#N/A,FALSE,"명세표"}</definedName>
    <definedName name="라">#REF!</definedName>
    <definedName name="라마바" localSheetId="28">#REF!</definedName>
    <definedName name="라마바">#REF!</definedName>
    <definedName name="랑" localSheetId="28">#REF!</definedName>
    <definedName name="랑">#REF!</definedName>
    <definedName name="램머Q간재" localSheetId="28">#REF!</definedName>
    <definedName name="램머Q간재">#REF!</definedName>
    <definedName name="램머Q간재10" localSheetId="28">#REF!</definedName>
    <definedName name="램머Q간재10">#REF!</definedName>
    <definedName name="램머Q간재야간" localSheetId="28">#REF!</definedName>
    <definedName name="램머Q간재야간">#REF!</definedName>
    <definedName name="램머Q노무" localSheetId="28">#REF!</definedName>
    <definedName name="램머Q노무">#REF!</definedName>
    <definedName name="램머Q노무10" localSheetId="28">#REF!</definedName>
    <definedName name="램머Q노무10">#REF!</definedName>
    <definedName name="램머Q노무야간" localSheetId="28">#REF!</definedName>
    <definedName name="램머Q노무야간">#REF!</definedName>
    <definedName name="램머Q손료" localSheetId="28">#REF!</definedName>
    <definedName name="램머Q손료">#REF!</definedName>
    <definedName name="램머Q손료10" localSheetId="28">#REF!</definedName>
    <definedName name="램머Q손료10">#REF!</definedName>
    <definedName name="램머Q손료야간" localSheetId="28">#REF!</definedName>
    <definedName name="램머Q손료야간">#REF!</definedName>
    <definedName name="램머간재" localSheetId="28">#REF!</definedName>
    <definedName name="램머간재">#REF!</definedName>
    <definedName name="램머노무" localSheetId="28">#REF!</definedName>
    <definedName name="램머노무">#REF!</definedName>
    <definedName name="램머노무야간" localSheetId="28">#REF!</definedName>
    <definedName name="램머노무야간">#REF!</definedName>
    <definedName name="램머손료" localSheetId="28">#REF!</definedName>
    <definedName name="램머손료">#REF!</definedName>
    <definedName name="러">{"'자리배치도'!$AG$1:$CI$28"}</definedName>
    <definedName name="러ㅗㄴ머ㅏㄹ" localSheetId="28">#REF!</definedName>
    <definedName name="러ㅗㄴ머ㅏㄹ">#REF!</definedName>
    <definedName name="럭ㅎ" localSheetId="28" hidden="1">{#N/A,#N/A,FALSE,"명세표"}</definedName>
    <definedName name="럭ㅎ" hidden="1">{#N/A,#N/A,FALSE,"명세표"}</definedName>
    <definedName name="론ㅀ" localSheetId="28" hidden="1">{#N/A,#N/A,FALSE,"명세표"}</definedName>
    <definedName name="론ㅀ" hidden="1">{#N/A,#N/A,FALSE,"명세표"}</definedName>
    <definedName name="롬ㄷㄱ" localSheetId="28" hidden="1">{#N/A,#N/A,FALSE,"명세표"}</definedName>
    <definedName name="롬ㄷㄱ" hidden="1">{#N/A,#N/A,FALSE,"명세표"}</definedName>
    <definedName name="롱ㄺ" localSheetId="28" hidden="1">{#N/A,#N/A,FALSE,"명세표"}</definedName>
    <definedName name="롱ㄺ" hidden="1">{#N/A,#N/A,FALSE,"명세표"}</definedName>
    <definedName name="롷ㄹ" localSheetId="28" hidden="1">{#N/A,#N/A,FALSE,"명세표"}</definedName>
    <definedName name="롷ㄹ" hidden="1">{#N/A,#N/A,FALSE,"명세표"}</definedName>
    <definedName name="롷ㄹㄴ" localSheetId="28" hidden="1">{#N/A,#N/A,FALSE,"명세표"}</definedName>
    <definedName name="롷ㄹㄴ" hidden="1">{#N/A,#N/A,FALSE,"명세표"}</definedName>
    <definedName name="료" localSheetId="2">{"'용역비'!$A$4:$C$8"}</definedName>
    <definedName name="료" localSheetId="3">{"'용역비'!$A$4:$C$8"}</definedName>
    <definedName name="료" localSheetId="4">{"'용역비'!$A$4:$C$8"}</definedName>
    <definedName name="료" localSheetId="5">{"'용역비'!$A$4:$C$8"}</definedName>
    <definedName name="료" localSheetId="8">{"'용역비'!$A$4:$C$8"}</definedName>
    <definedName name="료" localSheetId="9">{"'용역비'!$A$4:$C$8"}</definedName>
    <definedName name="료" localSheetId="10">{"'용역비'!$A$4:$C$8"}</definedName>
    <definedName name="료" localSheetId="11">{"'용역비'!$A$4:$C$8"}</definedName>
    <definedName name="료" localSheetId="13">{"'용역비'!$A$4:$C$8"}</definedName>
    <definedName name="료" localSheetId="14">{"'용역비'!$A$4:$C$8"}</definedName>
    <definedName name="료" localSheetId="15">{"'용역비'!$A$4:$C$8"}</definedName>
    <definedName name="료" localSheetId="16">{"'용역비'!$A$4:$C$8"}</definedName>
    <definedName name="료" localSheetId="18">{"'용역비'!$A$4:$C$8"}</definedName>
    <definedName name="료" localSheetId="19">{"'용역비'!$A$4:$C$8"}</definedName>
    <definedName name="료" localSheetId="20">{"'용역비'!$A$4:$C$8"}</definedName>
    <definedName name="료" localSheetId="21">{"'용역비'!$A$4:$C$8"}</definedName>
    <definedName name="료" localSheetId="24">{"'용역비'!$A$4:$C$8"}</definedName>
    <definedName name="료" localSheetId="25">{"'용역비'!$A$4:$C$8"}</definedName>
    <definedName name="료" localSheetId="26">{"'용역비'!$A$4:$C$8"}</definedName>
    <definedName name="료" localSheetId="27">{"'용역비'!$A$4:$C$8"}</definedName>
    <definedName name="료">{"'용역비'!$A$4:$C$8"}</definedName>
    <definedName name="루루">#REF!</definedName>
    <definedName name="류">#N/A</definedName>
    <definedName name="류효정">{"'Firr(선)'!$AS$1:$AY$62","'Firr(사)'!$AS$1:$AY$62","'Firr(회)'!$AS$1:$AY$62","'Firr(선)'!$L$1:$V$62","'Firr(사)'!$L$1:$V$62","'Firr(회)'!$L$1:$V$62"}</definedName>
    <definedName name="를" localSheetId="28">#REF!</definedName>
    <definedName name="를">#REF!</definedName>
    <definedName name="리" localSheetId="28">#REF!</definedName>
    <definedName name="리">#REF!</definedName>
    <definedName name="리리리" localSheetId="28">#REF!,#REF!,#REF!</definedName>
    <definedName name="리리리">#REF!,#REF!,#REF!</definedName>
    <definedName name="리임" localSheetId="28">#REF!</definedName>
    <definedName name="리임">#REF!</definedName>
    <definedName name="ㄺㄹㅊㅎ" localSheetId="28" hidden="1">{#N/A,#N/A,FALSE,"명세표"}</definedName>
    <definedName name="ㄺㄹㅊㅎ" hidden="1">{#N/A,#N/A,FALSE,"명세표"}</definedName>
    <definedName name="ㄺㅎㄱㅎ" localSheetId="28" hidden="1">{#N/A,#N/A,FALSE,"명세표"}</definedName>
    <definedName name="ㄺㅎㄱㅎ" hidden="1">{#N/A,#N/A,FALSE,"명세표"}</definedName>
    <definedName name="ㄻㄹㄻㅈㄷ" localSheetId="28" hidden="1">{#N/A,#N/A,FALSE,"명세표"}</definedName>
    <definedName name="ㄻㄹㄻㅈㄷ" hidden="1">{#N/A,#N/A,FALSE,"명세표"}</definedName>
    <definedName name="ㅀㄴㄱ" localSheetId="28" hidden="1">{#N/A,#N/A,FALSE,"명세표"}</definedName>
    <definedName name="ㅀㄴㄱ" hidden="1">{#N/A,#N/A,FALSE,"명세표"}</definedName>
    <definedName name="ㅀㄴㄹ" localSheetId="28" hidden="1">{#N/A,#N/A,FALSE,"명세표"}</definedName>
    <definedName name="ㅀㄴㄹ" hidden="1">{#N/A,#N/A,FALSE,"명세표"}</definedName>
    <definedName name="ㅀ노2" localSheetId="28" hidden="1">{#N/A,#N/A,FALSE,"명세표"}</definedName>
    <definedName name="ㅀ노2" hidden="1">{#N/A,#N/A,FALSE,"명세표"}</definedName>
    <definedName name="ㅀㄶ곻" localSheetId="28" hidden="1">{#N/A,#N/A,FALSE,"명세표"}</definedName>
    <definedName name="ㅀㄶ곻" hidden="1">{#N/A,#N/A,FALSE,"명세표"}</definedName>
    <definedName name="ㅀㅀ">{"'Firr(선)'!$AS$1:$AY$62","'Firr(사)'!$AS$1:$AY$62","'Firr(회)'!$AS$1:$AY$62","'Firr(선)'!$L$1:$V$62","'Firr(사)'!$L$1:$V$62","'Firr(회)'!$L$1:$V$62"}</definedName>
    <definedName name="ㅀㅀㄱㄹ" localSheetId="28" hidden="1">{#N/A,#N/A,FALSE,"명세표"}</definedName>
    <definedName name="ㅀㅀㄱㄹ" hidden="1">{#N/A,#N/A,FALSE,"명세표"}</definedName>
    <definedName name="ㅀㅁㅇㅀ" localSheetId="28" hidden="1">{#N/A,#N/A,FALSE,"명세표"}</definedName>
    <definedName name="ㅀㅁㅇㅀ" hidden="1">{#N/A,#N/A,FALSE,"명세표"}</definedName>
    <definedName name="ㅀㅊㅍㅇ" localSheetId="28" hidden="1">{#N/A,#N/A,FALSE,"명세표"}</definedName>
    <definedName name="ㅀㅊㅍㅇ" hidden="1">{#N/A,#N/A,FALSE,"명세표"}</definedName>
    <definedName name="ㅀㅎㅇ로ㅓ" localSheetId="28" hidden="1">{#N/A,#N/A,FALSE,"명세표"}</definedName>
    <definedName name="ㅀㅎㅇ로ㅓ" hidden="1">{#N/A,#N/A,FALSE,"명세표"}</definedName>
    <definedName name="ㅁ" localSheetId="28" hidden="1">{#N/A,#N/A,FALSE,"명세표"}</definedName>
    <definedName name="ㅁ" hidden="1">{#N/A,#N/A,FALSE,"명세표"}</definedName>
    <definedName name="ㅁ\A1759">#REF!</definedName>
    <definedName name="ㅁ1" localSheetId="28">#REF!</definedName>
    <definedName name="ㅁ1">#REF!</definedName>
    <definedName name="ㅁ101" localSheetId="28">#REF!</definedName>
    <definedName name="ㅁ101">#REF!</definedName>
    <definedName name="ㅁ19ㅇㄴㄹ1" localSheetId="28">#REF!</definedName>
    <definedName name="ㅁ19ㅇㄴㄹ1">#REF!</definedName>
    <definedName name="ㅁ201" localSheetId="28">#REF!</definedName>
    <definedName name="ㅁ201">#REF!</definedName>
    <definedName name="ㅁ500" localSheetId="28">#REF!</definedName>
    <definedName name="ㅁ500">#REF!</definedName>
    <definedName name="ㅁ545" localSheetId="28">#REF!</definedName>
    <definedName name="ㅁ545">#REF!</definedName>
    <definedName name="ㅁ636" localSheetId="28">#REF!</definedName>
    <definedName name="ㅁ636">#REF!</definedName>
    <definedName name="ㅁㄴ" localSheetId="28" hidden="1">{#N/A,#N/A,FALSE,"명세표"}</definedName>
    <definedName name="ㅁㄴ" hidden="1">{#N/A,#N/A,FALSE,"명세표"}</definedName>
    <definedName name="ㅁㄴㄷ" localSheetId="28" hidden="1">{#N/A,#N/A,FALSE,"명세표"}</definedName>
    <definedName name="ㅁㄴㄷ" hidden="1">{#N/A,#N/A,FALSE,"명세표"}</definedName>
    <definedName name="ㅁㄴㄹ">#REF!</definedName>
    <definedName name="ㅁㄴㅁㄴㅇㅁ" localSheetId="28">#REF!</definedName>
    <definedName name="ㅁㄴㅁㄴㅇㅁ">#REF!</definedName>
    <definedName name="ㅁㄴㅇ" localSheetId="28">#REF!</definedName>
    <definedName name="ㅁㄴㅇ">#REF!</definedName>
    <definedName name="ㅁㄴㅇㅁ" localSheetId="23">{"'용역비'!$A$4:$C$8"}</definedName>
    <definedName name="ㅁㄴㅇㅁ" localSheetId="24">{"'용역비'!$A$4:$C$8"}</definedName>
    <definedName name="ㅁㄴㅇㅁ" localSheetId="25">{"'용역비'!$A$4:$C$8"}</definedName>
    <definedName name="ㅁㄴㅇㅁ" localSheetId="26">{"'용역비'!$A$4:$C$8"}</definedName>
    <definedName name="ㅁㄴㅇㅁ" localSheetId="27">{"'용역비'!$A$4:$C$8"}</definedName>
    <definedName name="ㅁㄴㅇㅁㄴㅇㅁ" localSheetId="28">#REF!</definedName>
    <definedName name="ㅁㄴㅇㅁㄴㅇㅁ">#REF!</definedName>
    <definedName name="ㅁㄴㅇㅎ" localSheetId="28" hidden="1">{#N/A,#N/A,FALSE,"명세표"}</definedName>
    <definedName name="ㅁㄴㅇㅎ" hidden="1">{#N/A,#N/A,FALSE,"명세표"}</definedName>
    <definedName name="ㅁㄴㅇㅎ11" localSheetId="2">'1-1. 설계설명서(1차)'!ㅁㄴㅇㅎ11</definedName>
    <definedName name="ㅁㄴㅇㅎ11" localSheetId="3">'1-1. 설계설명서(2차)'!ㅁㄴㅇㅎ11</definedName>
    <definedName name="ㅁㄴㅇㅎ11" localSheetId="4">'1-1. 설계설명서(3차)'!ㅁㄴㅇㅎ11</definedName>
    <definedName name="ㅁㄴㅇㅎ11" localSheetId="5">'1-1. 설계설명서(4차)'!ㅁㄴㅇㅎ11</definedName>
    <definedName name="ㅁㄴㅇㅎ11" localSheetId="8">'3-1. 예정공정표(1차)'!ㅁㄴㅇㅎ11</definedName>
    <definedName name="ㅁㄴㅇㅎ11" localSheetId="9">'3-2. 예정공정표(2차)'!ㅁㄴㅇㅎ11</definedName>
    <definedName name="ㅁㄴㅇㅎ11" localSheetId="10">'3-3. 예정공정표(3차)'!ㅁㄴㅇㅎ11</definedName>
    <definedName name="ㅁㄴㅇㅎ11" localSheetId="11">'3-4. 예정공정표(4차)'!ㅁㄴㅇㅎ11</definedName>
    <definedName name="ㅁㄴㅇㅎ11" localSheetId="13">'4-1. 예산내역서(1차)'!ㅁㄴㅇㅎ11</definedName>
    <definedName name="ㅁㄴㅇㅎ11" localSheetId="14">'4-2. 예산내역서(2차)'!ㅁㄴㅇㅎ11</definedName>
    <definedName name="ㅁㄴㅇㅎ11" localSheetId="15">'4-3. 예산내역서(3차)'!ㅁㄴㅇㅎ11</definedName>
    <definedName name="ㅁㄴㅇㅎ11" localSheetId="16">'4-4. 예산내역서(4차)'!ㅁㄴㅇㅎ11</definedName>
    <definedName name="ㅁㄴㅇㅎ11" localSheetId="18">'5-1. 공종별예산조서(1차)'!ㅁㄴㅇㅎ11</definedName>
    <definedName name="ㅁㄴㅇㅎ11" localSheetId="19">'5-2. 공종별예산조서(2차)'!ㅁㄴㅇㅎ11</definedName>
    <definedName name="ㅁㄴㅇㅎ11" localSheetId="20">'5-3. 공종별예산조서(3차)'!ㅁㄴㅇㅎ11</definedName>
    <definedName name="ㅁㄴㅇㅎ11" localSheetId="21">'5-3. 공종별예산조서(4차)'!ㅁㄴㅇㅎ11</definedName>
    <definedName name="ㅁㄴㅇㅎ11" localSheetId="28">#N/A</definedName>
    <definedName name="ㅁㄴㅇㅎ11" localSheetId="24">'8-1. 철거발생품 예정조서(1차)'!ㅁㄴㅇㅎ11</definedName>
    <definedName name="ㅁㄴㅇㅎ11" localSheetId="25">'8-2. 철거발생품 예정조서(2차)'!ㅁㄴㅇㅎ11</definedName>
    <definedName name="ㅁㄴㅇㅎ11" localSheetId="26">'8-3. 철거발생품 예정조서(3차)'!ㅁㄴㅇㅎ11</definedName>
    <definedName name="ㅁㄴㅇㅎ11" localSheetId="27">'8-4. 철거발생품 예정조서(4차)'!ㅁㄴㅇㅎ11</definedName>
    <definedName name="ㅁㄴㅇㅎ11">#N/A</definedName>
    <definedName name="ㅁㄴㅌㄴ">{"'자리배치도'!$AG$1:$CI$28"}</definedName>
    <definedName name="ㅁ노" localSheetId="28">#REF!</definedName>
    <definedName name="ㅁ노">#REF!</definedName>
    <definedName name="ㅁㄶㅈㄷㄹ" localSheetId="28" hidden="1">{#N/A,#N/A,FALSE,"명세표"}</definedName>
    <definedName name="ㅁㄶㅈㄷㄹ" hidden="1">{#N/A,#N/A,FALSE,"명세표"}</definedName>
    <definedName name="ㅁㄹ홈ㄱ" localSheetId="28" hidden="1">{#N/A,#N/A,FALSE,"명세표"}</definedName>
    <definedName name="ㅁㄹ홈ㄱ" hidden="1">{#N/A,#N/A,FALSE,"명세표"}</definedName>
    <definedName name="ㅁㄻㄷㅍ" localSheetId="28" hidden="1">{#N/A,#N/A,FALSE,"명세표"}</definedName>
    <definedName name="ㅁㄻㄷㅍ" hidden="1">{#N/A,#N/A,FALSE,"명세표"}</definedName>
    <definedName name="ㅁㄻㄹ" localSheetId="2">'1-1. 설계설명서(1차)'!ㅁㄻㄹ</definedName>
    <definedName name="ㅁㄻㄹ" localSheetId="3">'1-1. 설계설명서(2차)'!ㅁㄻㄹ</definedName>
    <definedName name="ㅁㄻㄹ" localSheetId="4">'1-1. 설계설명서(3차)'!ㅁㄻㄹ</definedName>
    <definedName name="ㅁㄻㄹ" localSheetId="5">'1-1. 설계설명서(4차)'!ㅁㄻㄹ</definedName>
    <definedName name="ㅁㄻㄹ" localSheetId="8">'3-1. 예정공정표(1차)'!ㅁㄻㄹ</definedName>
    <definedName name="ㅁㄻㄹ" localSheetId="9">'3-2. 예정공정표(2차)'!ㅁㄻㄹ</definedName>
    <definedName name="ㅁㄻㄹ" localSheetId="10">'3-3. 예정공정표(3차)'!ㅁㄻㄹ</definedName>
    <definedName name="ㅁㄻㄹ" localSheetId="11">'3-4. 예정공정표(4차)'!ㅁㄻㄹ</definedName>
    <definedName name="ㅁㄻㄹ" localSheetId="13">'4-1. 예산내역서(1차)'!ㅁㄻㄹ</definedName>
    <definedName name="ㅁㄻㄹ" localSheetId="14">'4-2. 예산내역서(2차)'!ㅁㄻㄹ</definedName>
    <definedName name="ㅁㄻㄹ" localSheetId="15">'4-3. 예산내역서(3차)'!ㅁㄻㄹ</definedName>
    <definedName name="ㅁㄻㄹ" localSheetId="16">'4-4. 예산내역서(4차)'!ㅁㄻㄹ</definedName>
    <definedName name="ㅁㄻㄹ" localSheetId="18">'5-1. 공종별예산조서(1차)'!ㅁㄻㄹ</definedName>
    <definedName name="ㅁㄻㄹ" localSheetId="19">'5-2. 공종별예산조서(2차)'!ㅁㄻㄹ</definedName>
    <definedName name="ㅁㄻㄹ" localSheetId="20">'5-3. 공종별예산조서(3차)'!ㅁㄻㄹ</definedName>
    <definedName name="ㅁㄻㄹ" localSheetId="21">'5-3. 공종별예산조서(4차)'!ㅁㄻㄹ</definedName>
    <definedName name="ㅁㄻㄹ" localSheetId="28">#N/A</definedName>
    <definedName name="ㅁㄻㄹ" localSheetId="24">'8-1. 철거발생품 예정조서(1차)'!ㅁㄻㄹ</definedName>
    <definedName name="ㅁㄻㄹ" localSheetId="25">'8-2. 철거발생품 예정조서(2차)'!ㅁㄻㄹ</definedName>
    <definedName name="ㅁㄻㄹ" localSheetId="26">'8-3. 철거발생품 예정조서(3차)'!ㅁㄻㄹ</definedName>
    <definedName name="ㅁㄻㄹ" localSheetId="27">'8-4. 철거발생품 예정조서(4차)'!ㅁㄻㄹ</definedName>
    <definedName name="ㅁㄻㄹ">#N/A</definedName>
    <definedName name="ㅁㅁ" localSheetId="28" hidden="1">{#N/A,#N/A,FALSE,"명세표"}</definedName>
    <definedName name="ㅁㅁ" hidden="1">{#N/A,#N/A,FALSE,"명세표"}</definedName>
    <definedName name="ㅁㅁㅁ">#REF!</definedName>
    <definedName name="ㅁㅁㅁㅁㅁ" localSheetId="2">{"'용역비'!$A$4:$C$8"}</definedName>
    <definedName name="ㅁㅁㅁㅁㅁ" localSheetId="3">{"'용역비'!$A$4:$C$8"}</definedName>
    <definedName name="ㅁㅁㅁㅁㅁ" localSheetId="4">{"'용역비'!$A$4:$C$8"}</definedName>
    <definedName name="ㅁㅁㅁㅁㅁ" localSheetId="5">{"'용역비'!$A$4:$C$8"}</definedName>
    <definedName name="ㅁㅁㅁㅁㅁ" localSheetId="8">{"'용역비'!$A$4:$C$8"}</definedName>
    <definedName name="ㅁㅁㅁㅁㅁ" localSheetId="9">{"'용역비'!$A$4:$C$8"}</definedName>
    <definedName name="ㅁㅁㅁㅁㅁ" localSheetId="10">{"'용역비'!$A$4:$C$8"}</definedName>
    <definedName name="ㅁㅁㅁㅁㅁ" localSheetId="11">{"'용역비'!$A$4:$C$8"}</definedName>
    <definedName name="ㅁㅁㅁㅁㅁ" localSheetId="13">{"'용역비'!$A$4:$C$8"}</definedName>
    <definedName name="ㅁㅁㅁㅁㅁ" localSheetId="14">{"'용역비'!$A$4:$C$8"}</definedName>
    <definedName name="ㅁㅁㅁㅁㅁ" localSheetId="15">{"'용역비'!$A$4:$C$8"}</definedName>
    <definedName name="ㅁㅁㅁㅁㅁ" localSheetId="16">{"'용역비'!$A$4:$C$8"}</definedName>
    <definedName name="ㅁㅁㅁㅁㅁ" localSheetId="18">{"'용역비'!$A$4:$C$8"}</definedName>
    <definedName name="ㅁㅁㅁㅁㅁ" localSheetId="19">{"'용역비'!$A$4:$C$8"}</definedName>
    <definedName name="ㅁㅁㅁㅁㅁ" localSheetId="20">{"'용역비'!$A$4:$C$8"}</definedName>
    <definedName name="ㅁㅁㅁㅁㅁ" localSheetId="21">{"'용역비'!$A$4:$C$8"}</definedName>
    <definedName name="ㅁㅁㅁㅁㅁ" localSheetId="28">#REF!</definedName>
    <definedName name="ㅁㅁㅁㅁㅁ" localSheetId="24">{"'용역비'!$A$4:$C$8"}</definedName>
    <definedName name="ㅁㅁㅁㅁㅁ" localSheetId="25">{"'용역비'!$A$4:$C$8"}</definedName>
    <definedName name="ㅁㅁㅁㅁㅁ" localSheetId="26">{"'용역비'!$A$4:$C$8"}</definedName>
    <definedName name="ㅁㅁㅁㅁㅁ" localSheetId="27">{"'용역비'!$A$4:$C$8"}</definedName>
    <definedName name="ㅁㅁㅁㅁㅁ">{"'용역비'!$A$4:$C$8"}</definedName>
    <definedName name="ㅁㅂㅇ노ㅠ" localSheetId="28" hidden="1">{#N/A,#N/A,FALSE,"명세표"}</definedName>
    <definedName name="ㅁㅂㅇ노ㅠ" hidden="1">{#N/A,#N/A,FALSE,"명세표"}</definedName>
    <definedName name="ㅁㅇ">#REF!</definedName>
    <definedName name="ㅁㅇㄴㅀㅁㄴ" localSheetId="28" hidden="1">{#N/A,#N/A,FALSE,"명세표"}</definedName>
    <definedName name="ㅁㅇㄴㅀㅁㄴ" hidden="1">{#N/A,#N/A,FALSE,"명세표"}</definedName>
    <definedName name="ㅁㅇㄶㄹㅇㅎ" localSheetId="28" hidden="1">{#N/A,#N/A,FALSE,"명세표"}</definedName>
    <definedName name="ㅁㅇㄶㄹㅇㅎ" hidden="1">{#N/A,#N/A,FALSE,"명세표"}</definedName>
    <definedName name="ㅁㅇㄹㄴㄻ">{"'Sheet1'!$D$19","'Sheet1'!$B$22:$E$22"}</definedName>
    <definedName name="ㅁㅇㄹ호" localSheetId="28" hidden="1">{#N/A,#N/A,FALSE,"명세표"}</definedName>
    <definedName name="ㅁㅇㄹ호" hidden="1">{#N/A,#N/A,FALSE,"명세표"}</definedName>
    <definedName name="ㅁㅇㅀ" localSheetId="28" hidden="1">{#N/A,#N/A,FALSE,"명세표"}</definedName>
    <definedName name="ㅁㅇㅀ" hidden="1">{#N/A,#N/A,FALSE,"명세표"}</definedName>
    <definedName name="ㅁㅇㅀㄹㅇㅎ" localSheetId="28" hidden="1">{#N/A,#N/A,FALSE,"명세표"}</definedName>
    <definedName name="ㅁㅇㅀㄹㅇㅎ" hidden="1">{#N/A,#N/A,FALSE,"명세표"}</definedName>
    <definedName name="ㅁㅇㅀㅁㅇㅎ" localSheetId="28" hidden="1">{#N/A,#N/A,FALSE,"명세표"}</definedName>
    <definedName name="ㅁㅇㅀㅁㅇㅎ" hidden="1">{#N/A,#N/A,FALSE,"명세표"}</definedName>
    <definedName name="ㅁㅇㅁㄴㅇ">#REF!</definedName>
    <definedName name="ㅁㅇㅁㄴㅇㅁㄴㅇㅁㅇㄴ" localSheetId="28">#REF!</definedName>
    <definedName name="ㅁㅇㅁㄴㅇㅁㄴㅇㅁㅇㄴ">#REF!</definedName>
    <definedName name="ㅁㅇㅈㄷ" localSheetId="28" hidden="1">{#N/A,#N/A,FALSE,"명세표"}</definedName>
    <definedName name="ㅁㅇㅈㄷ" hidden="1">{#N/A,#N/A,FALSE,"명세표"}</definedName>
    <definedName name="ㅁㅇㅌㅌ" localSheetId="28" hidden="1">{#N/A,#N/A,FALSE,"명세표"}</definedName>
    <definedName name="ㅁㅇㅌㅌ" hidden="1">{#N/A,#N/A,FALSE,"명세표"}</definedName>
    <definedName name="ㅁㅇㅎㄹ" localSheetId="28" hidden="1">{#N/A,#N/A,FALSE,"명세표"}</definedName>
    <definedName name="ㅁㅇㅎㄹ" hidden="1">{#N/A,#N/A,FALSE,"명세표"}</definedName>
    <definedName name="ㅁㅇㅎㄹㅇ" localSheetId="28" hidden="1">{#N/A,#N/A,FALSE,"명세표"}</definedName>
    <definedName name="ㅁㅇㅎㄹㅇ" hidden="1">{#N/A,#N/A,FALSE,"명세표"}</definedName>
    <definedName name="ㅁㅇㅎㄻㅎ" localSheetId="28" hidden="1">{#N/A,#N/A,FALSE,"명세표"}</definedName>
    <definedName name="ㅁㅇㅎㄻㅎ" hidden="1">{#N/A,#N/A,FALSE,"명세표"}</definedName>
    <definedName name="ㅁㅇㅎㅇㄹ" localSheetId="28" hidden="1">{#N/A,#N/A,FALSE,"명세표"}</definedName>
    <definedName name="ㅁㅇㅎㅇㄹ" hidden="1">{#N/A,#N/A,FALSE,"명세표"}</definedName>
    <definedName name="ㅁㅇㅎㅇㅁㄹ" localSheetId="28" hidden="1">{#N/A,#N/A,FALSE,"명세표"}</definedName>
    <definedName name="ㅁㅇㅎㅇㅁㄹ" hidden="1">{#N/A,#N/A,FALSE,"명세표"}</definedName>
    <definedName name="ㅁ욀" localSheetId="28" hidden="1">{#N/A,#N/A,FALSE,"명세표"}</definedName>
    <definedName name="ㅁ욀" hidden="1">{#N/A,#N/A,FALSE,"명세표"}</definedName>
    <definedName name="ㅁㅈㄱㅇㄴ" localSheetId="28" hidden="1">{#N/A,#N/A,FALSE,"명세표"}</definedName>
    <definedName name="ㅁㅈㄱㅇㄴ" hidden="1">{#N/A,#N/A,FALSE,"명세표"}</definedName>
    <definedName name="ㅁㅈㄴㅇ" localSheetId="28" hidden="1">{#N/A,#N/A,FALSE,"명세표"}</definedName>
    <definedName name="ㅁㅈㄴㅇ" hidden="1">{#N/A,#N/A,FALSE,"명세표"}</definedName>
    <definedName name="ㅁㅈㄷㄹㅇ" localSheetId="28" hidden="1">{#N/A,#N/A,FALSE,"명세표"}</definedName>
    <definedName name="ㅁㅈㄷㄹㅇ" hidden="1">{#N/A,#N/A,FALSE,"명세표"}</definedName>
    <definedName name="ㅁㅈㄷㅇ" localSheetId="28" hidden="1">{#N/A,#N/A,FALSE,"명세표"}</definedName>
    <definedName name="ㅁㅈㄷㅇ" hidden="1">{#N/A,#N/A,FALSE,"명세표"}</definedName>
    <definedName name="ㅁㅈㄷㅇㅇㅇ" localSheetId="28" hidden="1">{#N/A,#N/A,FALSE,"명세표"}</definedName>
    <definedName name="ㅁㅈㄷㅇㅇㅇ" hidden="1">{#N/A,#N/A,FALSE,"명세표"}</definedName>
    <definedName name="ㅁㅎ" localSheetId="28" hidden="1">{#N/A,#N/A,FALSE,"명세표"}</definedName>
    <definedName name="ㅁㅎ" hidden="1">{#N/A,#N/A,FALSE,"명세표"}</definedName>
    <definedName name="ㅁㅎㄱㄷ" localSheetId="28" hidden="1">{#N/A,#N/A,FALSE,"명세표"}</definedName>
    <definedName name="ㅁㅎㄱㄷ" hidden="1">{#N/A,#N/A,FALSE,"명세표"}</definedName>
    <definedName name="ㅁㅎㄷㄱ" localSheetId="28" hidden="1">{#N/A,#N/A,FALSE,"명세표"}</definedName>
    <definedName name="ㅁㅎㄷㄱ" hidden="1">{#N/A,#N/A,FALSE,"명세표"}</definedName>
    <definedName name="ㅁㅎㄷㄴ" localSheetId="28" hidden="1">{#N/A,#N/A,FALSE,"명세표"}</definedName>
    <definedName name="ㅁㅎㄷㄴ" hidden="1">{#N/A,#N/A,FALSE,"명세표"}</definedName>
    <definedName name="ㅁ홎" localSheetId="28" hidden="1">{#N/A,#N/A,FALSE,"명세표"}</definedName>
    <definedName name="ㅁ홎" hidden="1">{#N/A,#N/A,FALSE,"명세표"}</definedName>
    <definedName name="마">#REF!</definedName>
    <definedName name="마_덕" localSheetId="28">#REF!</definedName>
    <definedName name="마_덕">#REF!</definedName>
    <definedName name="마1" localSheetId="28">#REF!</definedName>
    <definedName name="마1">#REF!</definedName>
    <definedName name="마덕" localSheetId="28">#REF!</definedName>
    <definedName name="마덕">#REF!</definedName>
    <definedName name="마전리" localSheetId="28">#REF!</definedName>
    <definedName name="마전리">#REF!</definedName>
    <definedName name="마전리1" localSheetId="28">#REF!</definedName>
    <definedName name="마전리1">#REF!</definedName>
    <definedName name="망" localSheetId="28">#REF!</definedName>
    <definedName name="망">#REF!</definedName>
    <definedName name="망작부" localSheetId="28">#REF!</definedName>
    <definedName name="망작부">#REF!</definedName>
    <definedName name="매각비" localSheetId="28">#REF!</definedName>
    <definedName name="매각비">#REF!</definedName>
    <definedName name="머" localSheetId="28" hidden="1">{#N/A,#N/A,FALSE,"명세표"}</definedName>
    <definedName name="머" hidden="1">{#N/A,#N/A,FALSE,"명세표"}</definedName>
    <definedName name="멍청이">#REF!</definedName>
    <definedName name="메" localSheetId="28">#REF!</definedName>
    <definedName name="메">#REF!</definedName>
    <definedName name="명세ㅅ" localSheetId="28">#REF!</definedName>
    <definedName name="명세ㅅ">#REF!</definedName>
    <definedName name="명세서_철거" localSheetId="28">#REF!</definedName>
    <definedName name="명세서_철거">#REF!</definedName>
    <definedName name="모" localSheetId="28" hidden="1">{#N/A,#N/A,FALSE,"명세표"}</definedName>
    <definedName name="모" hidden="1">{#N/A,#N/A,FALSE,"명세표"}</definedName>
    <definedName name="모두" localSheetId="2">{"'용역비'!$A$4:$C$8"}</definedName>
    <definedName name="모두" localSheetId="3">{"'용역비'!$A$4:$C$8"}</definedName>
    <definedName name="모두" localSheetId="4">{"'용역비'!$A$4:$C$8"}</definedName>
    <definedName name="모두" localSheetId="5">{"'용역비'!$A$4:$C$8"}</definedName>
    <definedName name="모두" localSheetId="8">{"'용역비'!$A$4:$C$8"}</definedName>
    <definedName name="모두" localSheetId="9">{"'용역비'!$A$4:$C$8"}</definedName>
    <definedName name="모두" localSheetId="10">{"'용역비'!$A$4:$C$8"}</definedName>
    <definedName name="모두" localSheetId="11">{"'용역비'!$A$4:$C$8"}</definedName>
    <definedName name="모두" localSheetId="13">{"'용역비'!$A$4:$C$8"}</definedName>
    <definedName name="모두" localSheetId="14">{"'용역비'!$A$4:$C$8"}</definedName>
    <definedName name="모두" localSheetId="15">{"'용역비'!$A$4:$C$8"}</definedName>
    <definedName name="모두" localSheetId="16">{"'용역비'!$A$4:$C$8"}</definedName>
    <definedName name="모두" localSheetId="18">{"'용역비'!$A$4:$C$8"}</definedName>
    <definedName name="모두" localSheetId="19">{"'용역비'!$A$4:$C$8"}</definedName>
    <definedName name="모두" localSheetId="20">{"'용역비'!$A$4:$C$8"}</definedName>
    <definedName name="모두" localSheetId="21">{"'용역비'!$A$4:$C$8"}</definedName>
    <definedName name="모두" localSheetId="24">{"'용역비'!$A$4:$C$8"}</definedName>
    <definedName name="모두" localSheetId="25">{"'용역비'!$A$4:$C$8"}</definedName>
    <definedName name="모두" localSheetId="26">{"'용역비'!$A$4:$C$8"}</definedName>
    <definedName name="모두" localSheetId="27">{"'용역비'!$A$4:$C$8"}</definedName>
    <definedName name="모두">{"'용역비'!$A$4:$C$8"}</definedName>
    <definedName name="모림">#REF!</definedName>
    <definedName name="모림2" localSheetId="28">#REF!</definedName>
    <definedName name="모림2">#REF!</definedName>
    <definedName name="모림3" localSheetId="28">#REF!</definedName>
    <definedName name="모림3">#REF!</definedName>
    <definedName name="모림4" localSheetId="28">#REF!</definedName>
    <definedName name="모림4">#REF!</definedName>
    <definedName name="모어리" localSheetId="28" hidden="1">{#N/A,#N/A,FALSE,"명세표"}</definedName>
    <definedName name="모어리" hidden="1">{#N/A,#N/A,FALSE,"명세표"}</definedName>
    <definedName name="모휴" localSheetId="28" hidden="1">{#N/A,#N/A,FALSE,"명세표"}</definedName>
    <definedName name="모휴" hidden="1">{#N/A,#N/A,FALSE,"명세표"}</definedName>
    <definedName name="모ㅠㄹㅇ" localSheetId="28" hidden="1">{#N/A,#N/A,FALSE,"명세표"}</definedName>
    <definedName name="모ㅠㄹㅇ" hidden="1">{#N/A,#N/A,FALSE,"명세표"}</definedName>
    <definedName name="목">#REF!</definedName>
    <definedName name="목도" localSheetId="28">#REF!</definedName>
    <definedName name="목도">#REF!</definedName>
    <definedName name="목조각공" localSheetId="28">#REF!</definedName>
    <definedName name="목조각공">#REF!</definedName>
    <definedName name="목차">#N/A</definedName>
    <definedName name="목차1" localSheetId="2">'1-1. 설계설명서(1차)'!목차1</definedName>
    <definedName name="목차1" localSheetId="3">'1-1. 설계설명서(2차)'!목차1</definedName>
    <definedName name="목차1" localSheetId="4">'1-1. 설계설명서(3차)'!목차1</definedName>
    <definedName name="목차1" localSheetId="5">'1-1. 설계설명서(4차)'!목차1</definedName>
    <definedName name="목차1" localSheetId="8">'3-1. 예정공정표(1차)'!목차1</definedName>
    <definedName name="목차1" localSheetId="9">'3-2. 예정공정표(2차)'!목차1</definedName>
    <definedName name="목차1" localSheetId="10">'3-3. 예정공정표(3차)'!목차1</definedName>
    <definedName name="목차1" localSheetId="11">'3-4. 예정공정표(4차)'!목차1</definedName>
    <definedName name="목차1" localSheetId="13">'4-1. 예산내역서(1차)'!목차1</definedName>
    <definedName name="목차1" localSheetId="14">'4-2. 예산내역서(2차)'!목차1</definedName>
    <definedName name="목차1" localSheetId="15">'4-3. 예산내역서(3차)'!목차1</definedName>
    <definedName name="목차1" localSheetId="16">'4-4. 예산내역서(4차)'!목차1</definedName>
    <definedName name="목차1" localSheetId="18">'5-1. 공종별예산조서(1차)'!목차1</definedName>
    <definedName name="목차1" localSheetId="19">'5-2. 공종별예산조서(2차)'!목차1</definedName>
    <definedName name="목차1" localSheetId="20">'5-3. 공종별예산조서(3차)'!목차1</definedName>
    <definedName name="목차1" localSheetId="21">'5-3. 공종별예산조서(4차)'!목차1</definedName>
    <definedName name="목차1" localSheetId="24">'8-1. 철거발생품 예정조서(1차)'!목차1</definedName>
    <definedName name="목차1" localSheetId="25">'8-2. 철거발생품 예정조서(2차)'!목차1</definedName>
    <definedName name="목차1" localSheetId="26">'8-3. 철거발생품 예정조서(3차)'!목차1</definedName>
    <definedName name="목차1" localSheetId="27">'8-4. 철거발생품 예정조서(4차)'!목차1</definedName>
    <definedName name="몰" localSheetId="28" hidden="1">{#N/A,#N/A,FALSE,"명세표"}</definedName>
    <definedName name="몰" hidden="1">{#N/A,#N/A,FALSE,"명세표"}</definedName>
    <definedName name="몰5">#REF!</definedName>
    <definedName name="몰50" localSheetId="28">#REF!</definedName>
    <definedName name="몰50">#REF!</definedName>
    <definedName name="몰6" localSheetId="28">#REF!</definedName>
    <definedName name="몰6">#REF!</definedName>
    <definedName name="몰60" localSheetId="28">#REF!</definedName>
    <definedName name="몰60">#REF!</definedName>
    <definedName name="몰라" localSheetId="28" hidden="1">{#N/A,#N/A,FALSE,"명세표"}</definedName>
    <definedName name="몰라" hidden="1">{#N/A,#N/A,FALSE,"명세표"}</definedName>
    <definedName name="몸ㅇ" localSheetId="28" hidden="1">{#N/A,#N/A,FALSE,"명세표"}</definedName>
    <definedName name="몸ㅇ" hidden="1">{#N/A,#N/A,FALSE,"명세표"}</definedName>
    <definedName name="몾ㅇ" localSheetId="28" hidden="1">{#N/A,#N/A,FALSE,"명세표"}</definedName>
    <definedName name="몾ㅇ" hidden="1">{#N/A,#N/A,FALSE,"명세표"}</definedName>
    <definedName name="뫃ㅈㄷ" localSheetId="28" hidden="1">{#N/A,#N/A,FALSE,"명세표"}</definedName>
    <definedName name="뫃ㅈㄷ" hidden="1">{#N/A,#N/A,FALSE,"명세표"}</definedName>
    <definedName name="무">#REF!</definedName>
    <definedName name="무선설비기사2급" localSheetId="28">#REF!</definedName>
    <definedName name="무선설비기사2급">#REF!</definedName>
    <definedName name="무선안테나공" localSheetId="28">#REF!</definedName>
    <definedName name="무선안테나공">#REF!</definedName>
    <definedName name="문" localSheetId="28">#REF!</definedName>
    <definedName name="문">#REF!</definedName>
    <definedName name="문서의_나중" localSheetId="28">#REF!</definedName>
    <definedName name="문서의_나중">#REF!</definedName>
    <definedName name="문서의_처음" localSheetId="28">#REF!</definedName>
    <definedName name="문서의_처음">#REF!</definedName>
    <definedName name="물" localSheetId="28">#REF!</definedName>
    <definedName name="물">#REF!</definedName>
    <definedName name="물가" localSheetId="28">#REF!</definedName>
    <definedName name="물가">#REF!</definedName>
    <definedName name="물량표_철거" localSheetId="28">#REF!</definedName>
    <definedName name="물량표_철거">#REF!</definedName>
    <definedName name="뮨" localSheetId="28" hidden="1">{#N/A,#N/A,FALSE,"명세표"}</definedName>
    <definedName name="뮨" hidden="1">{#N/A,#N/A,FALSE,"명세표"}</definedName>
    <definedName name="뮺ㄷ" localSheetId="28" hidden="1">{#N/A,#N/A,FALSE,"명세표"}</definedName>
    <definedName name="뮺ㄷ" hidden="1">{#N/A,#N/A,FALSE,"명세표"}</definedName>
    <definedName name="뮻">{"'자리배치도'!$AG$1:$CI$28"}</definedName>
    <definedName name="미나">#REF!</definedName>
    <definedName name="미장공" localSheetId="28">#REF!</definedName>
    <definedName name="미장공">#REF!</definedName>
    <definedName name="미친것" localSheetId="28">#REF!</definedName>
    <definedName name="미친것">#REF!</definedName>
    <definedName name="미ㅗㅇ너로" localSheetId="28" hidden="1">{#N/A,#N/A,FALSE,"명세표"}</definedName>
    <definedName name="미ㅗㅇ너로" hidden="1">{#N/A,#N/A,FALSE,"명세표"}</definedName>
    <definedName name="밍렆처" localSheetId="28" hidden="1">{#N/A,#N/A,FALSE,"명세표"}</definedName>
    <definedName name="밍렆처" hidden="1">{#N/A,#N/A,FALSE,"명세표"}</definedName>
    <definedName name="ㅂ">#REF!</definedName>
    <definedName name="ㅂㅁㅋ" localSheetId="28">#REF!</definedName>
    <definedName name="ㅂㅁㅋ">#REF!</definedName>
    <definedName name="ㅂㅂ" localSheetId="23">'7. 철거발생품 예정조서'!ㅂㅂ</definedName>
    <definedName name="ㅂㅂ" localSheetId="28" hidden="1">{#N/A,#N/A,FALSE,"명세표"}</definedName>
    <definedName name="ㅂㅂ" localSheetId="24">'8-1. 철거발생품 예정조서(1차)'!ㅂㅂ</definedName>
    <definedName name="ㅂㅂ" localSheetId="25">'8-2. 철거발생품 예정조서(2차)'!ㅂㅂ</definedName>
    <definedName name="ㅂㅂ" localSheetId="26">'8-3. 철거발생품 예정조서(3차)'!ㅂㅂ</definedName>
    <definedName name="ㅂㅂ" localSheetId="27">'8-4. 철거발생품 예정조서(4차)'!ㅂㅂ</definedName>
    <definedName name="ㅂㅂ" hidden="1">{#N/A,#N/A,FALSE,"명세표"}</definedName>
    <definedName name="ㅂㅂㅂ">#REF!</definedName>
    <definedName name="ㅂㅂㅂㅂ" localSheetId="28" hidden="1">{#N/A,#N/A,FALSE,"명세표"}</definedName>
    <definedName name="ㅂㅂㅂㅂ" hidden="1">{#N/A,#N/A,FALSE,"명세표"}</definedName>
    <definedName name="ㅂㅂㅂㅂㅂㅂ" localSheetId="2">{"'용역비'!$A$4:$C$8"}</definedName>
    <definedName name="ㅂㅂㅂㅂㅂㅂ" localSheetId="3">{"'용역비'!$A$4:$C$8"}</definedName>
    <definedName name="ㅂㅂㅂㅂㅂㅂ" localSheetId="4">{"'용역비'!$A$4:$C$8"}</definedName>
    <definedName name="ㅂㅂㅂㅂㅂㅂ" localSheetId="5">{"'용역비'!$A$4:$C$8"}</definedName>
    <definedName name="ㅂㅂㅂㅂㅂㅂ" localSheetId="8">{"'용역비'!$A$4:$C$8"}</definedName>
    <definedName name="ㅂㅂㅂㅂㅂㅂ" localSheetId="9">{"'용역비'!$A$4:$C$8"}</definedName>
    <definedName name="ㅂㅂㅂㅂㅂㅂ" localSheetId="10">{"'용역비'!$A$4:$C$8"}</definedName>
    <definedName name="ㅂㅂㅂㅂㅂㅂ" localSheetId="11">{"'용역비'!$A$4:$C$8"}</definedName>
    <definedName name="ㅂㅂㅂㅂㅂㅂ" localSheetId="13">{"'용역비'!$A$4:$C$8"}</definedName>
    <definedName name="ㅂㅂㅂㅂㅂㅂ" localSheetId="14">{"'용역비'!$A$4:$C$8"}</definedName>
    <definedName name="ㅂㅂㅂㅂㅂㅂ" localSheetId="15">{"'용역비'!$A$4:$C$8"}</definedName>
    <definedName name="ㅂㅂㅂㅂㅂㅂ" localSheetId="16">{"'용역비'!$A$4:$C$8"}</definedName>
    <definedName name="ㅂㅂㅂㅂㅂㅂ" localSheetId="18">{"'용역비'!$A$4:$C$8"}</definedName>
    <definedName name="ㅂㅂㅂㅂㅂㅂ" localSheetId="19">{"'용역비'!$A$4:$C$8"}</definedName>
    <definedName name="ㅂㅂㅂㅂㅂㅂ" localSheetId="20">{"'용역비'!$A$4:$C$8"}</definedName>
    <definedName name="ㅂㅂㅂㅂㅂㅂ" localSheetId="21">{"'용역비'!$A$4:$C$8"}</definedName>
    <definedName name="ㅂㅂㅂㅂㅂㅂ" localSheetId="24">{"'용역비'!$A$4:$C$8"}</definedName>
    <definedName name="ㅂㅂㅂㅂㅂㅂ" localSheetId="25">{"'용역비'!$A$4:$C$8"}</definedName>
    <definedName name="ㅂㅂㅂㅂㅂㅂ" localSheetId="26">{"'용역비'!$A$4:$C$8"}</definedName>
    <definedName name="ㅂㅂㅂㅂㅂㅂ" localSheetId="27">{"'용역비'!$A$4:$C$8"}</definedName>
    <definedName name="ㅂㅂㅂㅂㅂㅂ">{"'용역비'!$A$4:$C$8"}</definedName>
    <definedName name="ㅂㅂㅂㅂㅂㅂㅂ" localSheetId="28" hidden="1">{#N/A,#N/A,FALSE,"명세표"}</definedName>
    <definedName name="ㅂㅂㅂㅂㅂㅂㅂ" hidden="1">{#N/A,#N/A,FALSE,"명세표"}</definedName>
    <definedName name="ㅂㅂㅂㅂㅂㅂㅂㅂ">#REF!</definedName>
    <definedName name="ㅂㅂㅈㅈㅈㅈ" localSheetId="28">#REF!</definedName>
    <definedName name="ㅂㅂㅈㅈㅈㅈ">#REF!</definedName>
    <definedName name="ㅂㅈ" localSheetId="28" hidden="1">{#N/A,#N/A,FALSE,"명세표"}</definedName>
    <definedName name="ㅂㅈ" hidden="1">{#N/A,#N/A,FALSE,"명세표"}</definedName>
    <definedName name="ㅂㅈㄷㄱ">#REF!</definedName>
    <definedName name="ㅂㅈㄷㅇ" localSheetId="28" hidden="1">{#N/A,#N/A,FALSE,"명세표"}</definedName>
    <definedName name="ㅂㅈㄷㅇ" hidden="1">{#N/A,#N/A,FALSE,"명세표"}</definedName>
    <definedName name="바">#REF!</definedName>
    <definedName name="바바바바바" localSheetId="28">#REF!</definedName>
    <definedName name="바바바바바">#REF!</definedName>
    <definedName name="바보신호기" localSheetId="2">'1-1. 설계설명서(1차)'!바보신호기</definedName>
    <definedName name="바보신호기" localSheetId="3">'1-1. 설계설명서(2차)'!바보신호기</definedName>
    <definedName name="바보신호기" localSheetId="4">'1-1. 설계설명서(3차)'!바보신호기</definedName>
    <definedName name="바보신호기" localSheetId="5">'1-1. 설계설명서(4차)'!바보신호기</definedName>
    <definedName name="바보신호기" localSheetId="8">'3-1. 예정공정표(1차)'!바보신호기</definedName>
    <definedName name="바보신호기" localSheetId="9">'3-2. 예정공정표(2차)'!바보신호기</definedName>
    <definedName name="바보신호기" localSheetId="10">'3-3. 예정공정표(3차)'!바보신호기</definedName>
    <definedName name="바보신호기" localSheetId="11">'3-4. 예정공정표(4차)'!바보신호기</definedName>
    <definedName name="바보신호기" localSheetId="13">'4-1. 예산내역서(1차)'!바보신호기</definedName>
    <definedName name="바보신호기" localSheetId="14">'4-2. 예산내역서(2차)'!바보신호기</definedName>
    <definedName name="바보신호기" localSheetId="15">'4-3. 예산내역서(3차)'!바보신호기</definedName>
    <definedName name="바보신호기" localSheetId="16">'4-4. 예산내역서(4차)'!바보신호기</definedName>
    <definedName name="바보신호기" localSheetId="18">'5-1. 공종별예산조서(1차)'!바보신호기</definedName>
    <definedName name="바보신호기" localSheetId="19">'5-2. 공종별예산조서(2차)'!바보신호기</definedName>
    <definedName name="바보신호기" localSheetId="20">'5-3. 공종별예산조서(3차)'!바보신호기</definedName>
    <definedName name="바보신호기" localSheetId="21">'5-3. 공종별예산조서(4차)'!바보신호기</definedName>
    <definedName name="바보신호기" localSheetId="28">#N/A</definedName>
    <definedName name="바보신호기" localSheetId="24">'8-1. 철거발생품 예정조서(1차)'!바보신호기</definedName>
    <definedName name="바보신호기" localSheetId="25">'8-2. 철거발생품 예정조서(2차)'!바보신호기</definedName>
    <definedName name="바보신호기" localSheetId="26">'8-3. 철거발생품 예정조서(3차)'!바보신호기</definedName>
    <definedName name="바보신호기" localSheetId="27">'8-4. 철거발생품 예정조서(4차)'!바보신호기</definedName>
    <definedName name="바보신호기">#N/A</definedName>
    <definedName name="바보철거" localSheetId="2">'1-1. 설계설명서(1차)'!바보철거</definedName>
    <definedName name="바보철거" localSheetId="3">'1-1. 설계설명서(2차)'!바보철거</definedName>
    <definedName name="바보철거" localSheetId="4">'1-1. 설계설명서(3차)'!바보철거</definedName>
    <definedName name="바보철거" localSheetId="5">'1-1. 설계설명서(4차)'!바보철거</definedName>
    <definedName name="바보철거" localSheetId="8">'3-1. 예정공정표(1차)'!바보철거</definedName>
    <definedName name="바보철거" localSheetId="9">'3-2. 예정공정표(2차)'!바보철거</definedName>
    <definedName name="바보철거" localSheetId="10">'3-3. 예정공정표(3차)'!바보철거</definedName>
    <definedName name="바보철거" localSheetId="11">'3-4. 예정공정표(4차)'!바보철거</definedName>
    <definedName name="바보철거" localSheetId="13">'4-1. 예산내역서(1차)'!바보철거</definedName>
    <definedName name="바보철거" localSheetId="14">'4-2. 예산내역서(2차)'!바보철거</definedName>
    <definedName name="바보철거" localSheetId="15">'4-3. 예산내역서(3차)'!바보철거</definedName>
    <definedName name="바보철거" localSheetId="16">'4-4. 예산내역서(4차)'!바보철거</definedName>
    <definedName name="바보철거" localSheetId="18">'5-1. 공종별예산조서(1차)'!바보철거</definedName>
    <definedName name="바보철거" localSheetId="19">'5-2. 공종별예산조서(2차)'!바보철거</definedName>
    <definedName name="바보철거" localSheetId="20">'5-3. 공종별예산조서(3차)'!바보철거</definedName>
    <definedName name="바보철거" localSheetId="21">'5-3. 공종별예산조서(4차)'!바보철거</definedName>
    <definedName name="바보철거" localSheetId="28">#N/A</definedName>
    <definedName name="바보철거" localSheetId="24">'8-1. 철거발생품 예정조서(1차)'!바보철거</definedName>
    <definedName name="바보철거" localSheetId="25">'8-2. 철거발생품 예정조서(2차)'!바보철거</definedName>
    <definedName name="바보철거" localSheetId="26">'8-3. 철거발생품 예정조서(3차)'!바보철거</definedName>
    <definedName name="바보철거" localSheetId="27">'8-4. 철거발생품 예정조서(4차)'!바보철거</definedName>
    <definedName name="바보철거">#N/A</definedName>
    <definedName name="바보철거공" localSheetId="2">'1-1. 설계설명서(1차)'!바보철거공</definedName>
    <definedName name="바보철거공" localSheetId="3">'1-1. 설계설명서(2차)'!바보철거공</definedName>
    <definedName name="바보철거공" localSheetId="4">'1-1. 설계설명서(3차)'!바보철거공</definedName>
    <definedName name="바보철거공" localSheetId="5">'1-1. 설계설명서(4차)'!바보철거공</definedName>
    <definedName name="바보철거공" localSheetId="8">'3-1. 예정공정표(1차)'!바보철거공</definedName>
    <definedName name="바보철거공" localSheetId="9">'3-2. 예정공정표(2차)'!바보철거공</definedName>
    <definedName name="바보철거공" localSheetId="10">'3-3. 예정공정표(3차)'!바보철거공</definedName>
    <definedName name="바보철거공" localSheetId="11">'3-4. 예정공정표(4차)'!바보철거공</definedName>
    <definedName name="바보철거공" localSheetId="13">'4-1. 예산내역서(1차)'!바보철거공</definedName>
    <definedName name="바보철거공" localSheetId="14">'4-2. 예산내역서(2차)'!바보철거공</definedName>
    <definedName name="바보철거공" localSheetId="15">'4-3. 예산내역서(3차)'!바보철거공</definedName>
    <definedName name="바보철거공" localSheetId="16">'4-4. 예산내역서(4차)'!바보철거공</definedName>
    <definedName name="바보철거공" localSheetId="18">'5-1. 공종별예산조서(1차)'!바보철거공</definedName>
    <definedName name="바보철거공" localSheetId="19">'5-2. 공종별예산조서(2차)'!바보철거공</definedName>
    <definedName name="바보철거공" localSheetId="20">'5-3. 공종별예산조서(3차)'!바보철거공</definedName>
    <definedName name="바보철거공" localSheetId="21">'5-3. 공종별예산조서(4차)'!바보철거공</definedName>
    <definedName name="바보철거공" localSheetId="28">#N/A</definedName>
    <definedName name="바보철거공" localSheetId="24">'8-1. 철거발생품 예정조서(1차)'!바보철거공</definedName>
    <definedName name="바보철거공" localSheetId="25">'8-2. 철거발생품 예정조서(2차)'!바보철거공</definedName>
    <definedName name="바보철거공" localSheetId="26">'8-3. 철거발생품 예정조서(3차)'!바보철거공</definedName>
    <definedName name="바보철거공" localSheetId="27">'8-4. 철거발생품 예정조서(4차)'!바보철거공</definedName>
    <definedName name="바보철거공">#N/A</definedName>
    <definedName name="바보철거공1" localSheetId="2">'1-1. 설계설명서(1차)'!바보철거공1</definedName>
    <definedName name="바보철거공1" localSheetId="3">'1-1. 설계설명서(2차)'!바보철거공1</definedName>
    <definedName name="바보철거공1" localSheetId="4">'1-1. 설계설명서(3차)'!바보철거공1</definedName>
    <definedName name="바보철거공1" localSheetId="5">'1-1. 설계설명서(4차)'!바보철거공1</definedName>
    <definedName name="바보철거공1" localSheetId="8">'3-1. 예정공정표(1차)'!바보철거공1</definedName>
    <definedName name="바보철거공1" localSheetId="9">'3-2. 예정공정표(2차)'!바보철거공1</definedName>
    <definedName name="바보철거공1" localSheetId="10">'3-3. 예정공정표(3차)'!바보철거공1</definedName>
    <definedName name="바보철거공1" localSheetId="11">'3-4. 예정공정표(4차)'!바보철거공1</definedName>
    <definedName name="바보철거공1" localSheetId="13">'4-1. 예산내역서(1차)'!바보철거공1</definedName>
    <definedName name="바보철거공1" localSheetId="14">'4-2. 예산내역서(2차)'!바보철거공1</definedName>
    <definedName name="바보철거공1" localSheetId="15">'4-3. 예산내역서(3차)'!바보철거공1</definedName>
    <definedName name="바보철거공1" localSheetId="16">'4-4. 예산내역서(4차)'!바보철거공1</definedName>
    <definedName name="바보철거공1" localSheetId="18">'5-1. 공종별예산조서(1차)'!바보철거공1</definedName>
    <definedName name="바보철거공1" localSheetId="19">'5-2. 공종별예산조서(2차)'!바보철거공1</definedName>
    <definedName name="바보철거공1" localSheetId="20">'5-3. 공종별예산조서(3차)'!바보철거공1</definedName>
    <definedName name="바보철거공1" localSheetId="21">'5-3. 공종별예산조서(4차)'!바보철거공1</definedName>
    <definedName name="바보철거공1" localSheetId="28">#N/A</definedName>
    <definedName name="바보철거공1" localSheetId="24">'8-1. 철거발생품 예정조서(1차)'!바보철거공1</definedName>
    <definedName name="바보철거공1" localSheetId="25">'8-2. 철거발생품 예정조서(2차)'!바보철거공1</definedName>
    <definedName name="바보철거공1" localSheetId="26">'8-3. 철거발생품 예정조서(3차)'!바보철거공1</definedName>
    <definedName name="바보철거공1" localSheetId="27">'8-4. 철거발생품 예정조서(4차)'!바보철거공1</definedName>
    <definedName name="바보철거공1">#N/A</definedName>
    <definedName name="바부" localSheetId="28">#REF!</definedName>
    <definedName name="바부">#REF!</definedName>
    <definedName name="바이브레타공" localSheetId="28">#REF!</definedName>
    <definedName name="바이브레타공">#REF!</definedName>
    <definedName name="바탕원본표1" localSheetId="28">#REF!</definedName>
    <definedName name="바탕원본표1">#REF!</definedName>
    <definedName name="바하" localSheetId="28">#REF!</definedName>
    <definedName name="바하">#REF!</definedName>
    <definedName name="박상조" localSheetId="28">#REF!</definedName>
    <definedName name="박상조">#REF!</definedName>
    <definedName name="박진영" localSheetId="2">'1-1. 설계설명서(1차)'!박진영</definedName>
    <definedName name="박진영" localSheetId="3">'1-1. 설계설명서(2차)'!박진영</definedName>
    <definedName name="박진영" localSheetId="4">'1-1. 설계설명서(3차)'!박진영</definedName>
    <definedName name="박진영" localSheetId="5">'1-1. 설계설명서(4차)'!박진영</definedName>
    <definedName name="박진영" localSheetId="8">'3-1. 예정공정표(1차)'!박진영</definedName>
    <definedName name="박진영" localSheetId="9">'3-2. 예정공정표(2차)'!박진영</definedName>
    <definedName name="박진영" localSheetId="10">'3-3. 예정공정표(3차)'!박진영</definedName>
    <definedName name="박진영" localSheetId="11">'3-4. 예정공정표(4차)'!박진영</definedName>
    <definedName name="박진영" localSheetId="13">'4-1. 예산내역서(1차)'!박진영</definedName>
    <definedName name="박진영" localSheetId="14">'4-2. 예산내역서(2차)'!박진영</definedName>
    <definedName name="박진영" localSheetId="15">'4-3. 예산내역서(3차)'!박진영</definedName>
    <definedName name="박진영" localSheetId="16">'4-4. 예산내역서(4차)'!박진영</definedName>
    <definedName name="박진영" localSheetId="18">'5-1. 공종별예산조서(1차)'!박진영</definedName>
    <definedName name="박진영" localSheetId="19">'5-2. 공종별예산조서(2차)'!박진영</definedName>
    <definedName name="박진영" localSheetId="20">'5-3. 공종별예산조서(3차)'!박진영</definedName>
    <definedName name="박진영" localSheetId="21">'5-3. 공종별예산조서(4차)'!박진영</definedName>
    <definedName name="박진영" localSheetId="24">'8-1. 철거발생품 예정조서(1차)'!박진영</definedName>
    <definedName name="박진영" localSheetId="25">'8-2. 철거발생품 예정조서(2차)'!박진영</definedName>
    <definedName name="박진영" localSheetId="26">'8-3. 철거발생품 예정조서(3차)'!박진영</definedName>
    <definedName name="박진영" localSheetId="27">'8-4. 철거발생품 예정조서(4차)'!박진영</definedName>
    <definedName name="반여수량" localSheetId="28">#REF!</definedName>
    <definedName name="반여수량">#REF!</definedName>
    <definedName name="발1" localSheetId="28">#REF!</definedName>
    <definedName name="발1">#REF!</definedName>
    <definedName name="발10" localSheetId="28">#REF!</definedName>
    <definedName name="발10">#REF!</definedName>
    <definedName name="발5" localSheetId="28">#REF!</definedName>
    <definedName name="발5">#REF!</definedName>
    <definedName name="발생내역1" localSheetId="28">#REF!</definedName>
    <definedName name="발생내역1">#REF!</definedName>
    <definedName name="발생내역2" localSheetId="28">#REF!</definedName>
    <definedName name="발생내역2">#REF!</definedName>
    <definedName name="방" localSheetId="28">#REF!</definedName>
    <definedName name="방">#REF!</definedName>
    <definedName name="방송" localSheetId="28">#REF!</definedName>
    <definedName name="방송">#REF!</definedName>
    <definedName name="방송설비" localSheetId="28">#REF!</definedName>
    <definedName name="방송설비">#REF!</definedName>
    <definedName name="방수공" localSheetId="28">#REF!</definedName>
    <definedName name="방수공">#REF!</definedName>
    <definedName name="방호" localSheetId="28">#REF!</definedName>
    <definedName name="방호">#REF!</definedName>
    <definedName name="방호4" localSheetId="28">#REF!</definedName>
    <definedName name="방호4">#REF!</definedName>
    <definedName name="방호5" localSheetId="28">#REF!</definedName>
    <definedName name="방호5">#REF!</definedName>
    <definedName name="방호6" localSheetId="28">#REF!</definedName>
    <definedName name="방호6">#REF!</definedName>
    <definedName name="방호산출2" localSheetId="28">#REF!</definedName>
    <definedName name="방호산출2">#REF!</definedName>
    <definedName name="배" localSheetId="28">#REF!</definedName>
    <definedName name="배">#REF!</definedName>
    <definedName name="배관공" localSheetId="28">#REF!</definedName>
    <definedName name="배관공">#REF!</definedName>
    <definedName name="배관및굴착">{"'자리배치도'!$AG$1:$CI$28"}</definedName>
    <definedName name="배전야" localSheetId="28">#REF!</definedName>
    <definedName name="배전야">#REF!</definedName>
    <definedName name="배전전공" localSheetId="28">#REF!</definedName>
    <definedName name="배전전공">#REF!</definedName>
    <definedName name="배전주" localSheetId="28">#REF!</definedName>
    <definedName name="배전주">#REF!</definedName>
    <definedName name="배전활선전공" localSheetId="28">#REF!</definedName>
    <definedName name="배전활선전공">#REF!</definedName>
    <definedName name="백02간재" localSheetId="28">#REF!</definedName>
    <definedName name="백02간재">#REF!</definedName>
    <definedName name="백02간재티스제외" localSheetId="28">#REF!</definedName>
    <definedName name="백02간재티스제외">#REF!</definedName>
    <definedName name="백02노무" localSheetId="28">#REF!</definedName>
    <definedName name="백02노무">#REF!</definedName>
    <definedName name="백02노무야간" localSheetId="28">#REF!</definedName>
    <definedName name="백02노무야간">#REF!</definedName>
    <definedName name="백02손료" localSheetId="28">#REF!</definedName>
    <definedName name="백02손료">#REF!</definedName>
    <definedName name="백04간재" localSheetId="28">#REF!</definedName>
    <definedName name="백04간재">#REF!</definedName>
    <definedName name="백04간재티스제외" localSheetId="28">#REF!</definedName>
    <definedName name="백04간재티스제외">#REF!</definedName>
    <definedName name="백04노무" localSheetId="28">#REF!</definedName>
    <definedName name="백04노무">#REF!</definedName>
    <definedName name="백04노무야간" localSheetId="28">#REF!</definedName>
    <definedName name="백04노무야간">#REF!</definedName>
    <definedName name="백04손료" localSheetId="28">#REF!</definedName>
    <definedName name="백04손료">#REF!</definedName>
    <definedName name="백07간재" localSheetId="28">#REF!</definedName>
    <definedName name="백07간재">#REF!</definedName>
    <definedName name="백07노무" localSheetId="28">#REF!</definedName>
    <definedName name="백07노무">#REF!</definedName>
    <definedName name="백07손료" localSheetId="28">#REF!</definedName>
    <definedName name="백07손료">#REF!</definedName>
    <definedName name="벌목부" localSheetId="28">#REF!</definedName>
    <definedName name="벌목부">#REF!</definedName>
    <definedName name="베" localSheetId="28">#REF!</definedName>
    <definedName name="베">#REF!</definedName>
    <definedName name="벽돌_블럭_제작공" localSheetId="28">#REF!</definedName>
    <definedName name="벽돌_블럭_제작공">#REF!</definedName>
    <definedName name="벽돌제작공" localSheetId="28">#REF!</definedName>
    <definedName name="벽돌제작공">#REF!</definedName>
    <definedName name="변전전공" localSheetId="28">#REF!</definedName>
    <definedName name="변전전공">#REF!</definedName>
    <definedName name="보" localSheetId="28">#REF!</definedName>
    <definedName name="보">#REF!</definedName>
    <definedName name="보_동" localSheetId="28">#REF!</definedName>
    <definedName name="보_동">#REF!</definedName>
    <definedName name="보1" localSheetId="28">#REF!</definedName>
    <definedName name="보1">#REF!</definedName>
    <definedName name="보링공_지질조사" localSheetId="28">#REF!</definedName>
    <definedName name="보링공_지질조사">#REF!</definedName>
    <definedName name="보산" localSheetId="28">#REF!</definedName>
    <definedName name="보산">#REF!</definedName>
    <definedName name="보산1" localSheetId="28">#REF!</definedName>
    <definedName name="보산1">#REF!</definedName>
    <definedName name="보안공" localSheetId="28">#REF!</definedName>
    <definedName name="보안공">#REF!</definedName>
    <definedName name="보온공" localSheetId="28">#REF!</definedName>
    <definedName name="보온공">#REF!</definedName>
    <definedName name="보일러공" localSheetId="28">#REF!</definedName>
    <definedName name="보일러공">#REF!</definedName>
    <definedName name="보침" localSheetId="28">#REF!</definedName>
    <definedName name="보침">#REF!</definedName>
    <definedName name="보통선원" localSheetId="28">#REF!</definedName>
    <definedName name="보통선원">#REF!</definedName>
    <definedName name="보통야" localSheetId="28">#REF!</definedName>
    <definedName name="보통야">#REF!</definedName>
    <definedName name="보통인부" localSheetId="28">#REF!</definedName>
    <definedName name="보통인부">#REF!</definedName>
    <definedName name="보통주" localSheetId="28">#REF!</definedName>
    <definedName name="보통주">#REF!</definedName>
    <definedName name="본역사경비" localSheetId="28">#REF!</definedName>
    <definedName name="본역사경비">#REF!</definedName>
    <definedName name="본역사노무비" localSheetId="28">#REF!</definedName>
    <definedName name="본역사노무비">#REF!</definedName>
    <definedName name="본역사재료비" localSheetId="28">#REF!</definedName>
    <definedName name="본역사재료비">#REF!</definedName>
    <definedName name="봄가을" localSheetId="28">#REF!</definedName>
    <definedName name="봄가을">#REF!</definedName>
    <definedName name="뵤" localSheetId="28">#REF!</definedName>
    <definedName name="뵤">#REF!</definedName>
    <definedName name="부" localSheetId="28">#REF!</definedName>
    <definedName name="부">#REF!</definedName>
    <definedName name="부가가치세" localSheetId="28">#REF!</definedName>
    <definedName name="부가가치세">#REF!</definedName>
    <definedName name="부강역구내" localSheetId="28">#REF!</definedName>
    <definedName name="부강역구내">#REF!</definedName>
    <definedName name="부대비" localSheetId="28">#REF!</definedName>
    <definedName name="부대비">#REF!</definedName>
    <definedName name="부하_부하명" localSheetId="28">#REF!</definedName>
    <definedName name="부하_부하명">#REF!</definedName>
    <definedName name="부하용량" localSheetId="28">#REF!</definedName>
    <definedName name="부하용량">#REF!</definedName>
    <definedName name="분전반제조총괄표">{"'건축내역'!$A$1:$L$413"}</definedName>
    <definedName name="분전함신설합계" localSheetId="28">#REF!</definedName>
    <definedName name="분전함신설합계">#REF!</definedName>
    <definedName name="브" localSheetId="28">#REF!</definedName>
    <definedName name="브">#REF!</definedName>
    <definedName name="브02간재구조물" localSheetId="28">#REF!</definedName>
    <definedName name="브02간재구조물">#REF!</definedName>
    <definedName name="브02노무" localSheetId="28">#REF!</definedName>
    <definedName name="브02노무">#REF!</definedName>
    <definedName name="브02노무야간" localSheetId="28">#REF!</definedName>
    <definedName name="브02노무야간">#REF!</definedName>
    <definedName name="브02손료" localSheetId="28">#REF!</definedName>
    <definedName name="브02손료">#REF!</definedName>
    <definedName name="브04간재구조물" localSheetId="28">#REF!</definedName>
    <definedName name="브04간재구조물">#REF!</definedName>
    <definedName name="브04노무" localSheetId="28">#REF!</definedName>
    <definedName name="브04노무">#REF!</definedName>
    <definedName name="브04노무야간" localSheetId="28">#REF!</definedName>
    <definedName name="브04노무야간">#REF!</definedName>
    <definedName name="브04손료" localSheetId="28">#REF!</definedName>
    <definedName name="브04손료">#REF!</definedName>
    <definedName name="브레이드" localSheetId="28">#REF!</definedName>
    <definedName name="브레이드">#REF!</definedName>
    <definedName name="비" localSheetId="28">#REF!</definedName>
    <definedName name="비">#REF!</definedName>
    <definedName name="비계공" localSheetId="28">#REF!</definedName>
    <definedName name="비계공">#REF!</definedName>
    <definedName name="비목군분류표" localSheetId="28">#REF!</definedName>
    <definedName name="비목군분류표">#REF!</definedName>
    <definedName name="비상전등1">{"'Sheet1'!$D$19","'Sheet1'!$B$22:$E$22"}</definedName>
    <definedName name="비용" localSheetId="28">#REF!</definedName>
    <definedName name="비용">#REF!</definedName>
    <definedName name="빔제작단가개정표준도적용">{"'자리배치도'!$AG$1:$CI$28"}</definedName>
    <definedName name="ㅄㅍㅇ" localSheetId="28" hidden="1">{#N/A,#N/A,FALSE,"명세표"}</definedName>
    <definedName name="ㅄㅍㅇ" hidden="1">{#N/A,#N/A,FALSE,"명세표"}</definedName>
    <definedName name="ㅅ">#REF!</definedName>
    <definedName name="ㅅㅅㅅ" localSheetId="28">#REF!</definedName>
    <definedName name="ㅅㅅㅅ">#REF!</definedName>
    <definedName name="ㅅㅊㄴ" localSheetId="28" hidden="1">{#N/A,#N/A,FALSE,"명세표"}</definedName>
    <definedName name="ㅅㅊㄴ" hidden="1">{#N/A,#N/A,FALSE,"명세표"}</definedName>
    <definedName name="ㅅㅍㅂㅇ" localSheetId="28" hidden="1">{#N/A,#N/A,FALSE,"명세표"}</definedName>
    <definedName name="ㅅㅍㅂㅇ" hidden="1">{#N/A,#N/A,FALSE,"명세표"}</definedName>
    <definedName name="사">#REF!</definedName>
    <definedName name="사미자" localSheetId="28">#REF!</definedName>
    <definedName name="사미자">#REF!</definedName>
    <definedName name="사오육" localSheetId="28">#REF!</definedName>
    <definedName name="사오육">#REF!</definedName>
    <definedName name="사용재료" localSheetId="28">#REF!</definedName>
    <definedName name="사용재료">#REF!</definedName>
    <definedName name="산" localSheetId="28">#REF!</definedName>
    <definedName name="산">#REF!</definedName>
    <definedName name="산업폐기물중량산출" localSheetId="2">'1-1. 설계설명서(1차)'!산업폐기물중량산출</definedName>
    <definedName name="산업폐기물중량산출" localSheetId="3">'1-1. 설계설명서(2차)'!산업폐기물중량산출</definedName>
    <definedName name="산업폐기물중량산출" localSheetId="4">'1-1. 설계설명서(3차)'!산업폐기물중량산출</definedName>
    <definedName name="산업폐기물중량산출" localSheetId="5">'1-1. 설계설명서(4차)'!산업폐기물중량산출</definedName>
    <definedName name="산업폐기물중량산출" localSheetId="8">'3-1. 예정공정표(1차)'!산업폐기물중량산출</definedName>
    <definedName name="산업폐기물중량산출" localSheetId="9">'3-2. 예정공정표(2차)'!산업폐기물중량산출</definedName>
    <definedName name="산업폐기물중량산출" localSheetId="10">'3-3. 예정공정표(3차)'!산업폐기물중량산출</definedName>
    <definedName name="산업폐기물중량산출" localSheetId="11">'3-4. 예정공정표(4차)'!산업폐기물중량산출</definedName>
    <definedName name="산업폐기물중량산출" localSheetId="13">'4-1. 예산내역서(1차)'!산업폐기물중량산출</definedName>
    <definedName name="산업폐기물중량산출" localSheetId="14">'4-2. 예산내역서(2차)'!산업폐기물중량산출</definedName>
    <definedName name="산업폐기물중량산출" localSheetId="15">'4-3. 예산내역서(3차)'!산업폐기물중량산출</definedName>
    <definedName name="산업폐기물중량산출" localSheetId="16">'4-4. 예산내역서(4차)'!산업폐기물중량산출</definedName>
    <definedName name="산업폐기물중량산출" localSheetId="18">'5-1. 공종별예산조서(1차)'!산업폐기물중량산출</definedName>
    <definedName name="산업폐기물중량산출" localSheetId="19">'5-2. 공종별예산조서(2차)'!산업폐기물중량산출</definedName>
    <definedName name="산업폐기물중량산출" localSheetId="20">'5-3. 공종별예산조서(3차)'!산업폐기물중량산출</definedName>
    <definedName name="산업폐기물중량산출" localSheetId="21">'5-3. 공종별예산조서(4차)'!산업폐기물중량산출</definedName>
    <definedName name="산업폐기물중량산출" localSheetId="24">'8-1. 철거발생품 예정조서(1차)'!산업폐기물중량산출</definedName>
    <definedName name="산업폐기물중량산출" localSheetId="25">'8-2. 철거발생품 예정조서(2차)'!산업폐기물중량산출</definedName>
    <definedName name="산업폐기물중량산출" localSheetId="26">'8-3. 철거발생품 예정조서(3차)'!산업폐기물중량산출</definedName>
    <definedName name="산업폐기물중량산출" localSheetId="27">'8-4. 철거발생품 예정조서(4차)'!산업폐기물중량산출</definedName>
    <definedName name="산재" localSheetId="28">#REF!</definedName>
    <definedName name="산재">#REF!</definedName>
    <definedName name="산재보험료" localSheetId="28">#REF!</definedName>
    <definedName name="산재보험료">#REF!</definedName>
    <definedName name="산출" localSheetId="28">#REF!</definedName>
    <definedName name="산출">#REF!</definedName>
    <definedName name="산출0" localSheetId="28">#REF!</definedName>
    <definedName name="산출0">#REF!</definedName>
    <definedName name="산출근거" localSheetId="28">#REF!</definedName>
    <definedName name="산출근거">#REF!</definedName>
    <definedName name="산출내역" localSheetId="28">#REF!</definedName>
    <definedName name="산출내역">#REF!</definedName>
    <definedName name="산표" localSheetId="28">#REF!</definedName>
    <definedName name="산표">#REF!</definedName>
    <definedName name="삼국지" localSheetId="28">#REF!</definedName>
    <definedName name="삼국지">#REF!</definedName>
    <definedName name="삼정" localSheetId="2">'1-1. 설계설명서(1차)'!삼정</definedName>
    <definedName name="삼정" localSheetId="3">'1-1. 설계설명서(2차)'!삼정</definedName>
    <definedName name="삼정" localSheetId="4">'1-1. 설계설명서(3차)'!삼정</definedName>
    <definedName name="삼정" localSheetId="5">'1-1. 설계설명서(4차)'!삼정</definedName>
    <definedName name="삼정" localSheetId="8">'3-1. 예정공정표(1차)'!삼정</definedName>
    <definedName name="삼정" localSheetId="9">'3-2. 예정공정표(2차)'!삼정</definedName>
    <definedName name="삼정" localSheetId="10">'3-3. 예정공정표(3차)'!삼정</definedName>
    <definedName name="삼정" localSheetId="11">'3-4. 예정공정표(4차)'!삼정</definedName>
    <definedName name="삼정" localSheetId="13">'4-1. 예산내역서(1차)'!삼정</definedName>
    <definedName name="삼정" localSheetId="14">'4-2. 예산내역서(2차)'!삼정</definedName>
    <definedName name="삼정" localSheetId="15">'4-3. 예산내역서(3차)'!삼정</definedName>
    <definedName name="삼정" localSheetId="16">'4-4. 예산내역서(4차)'!삼정</definedName>
    <definedName name="삼정" localSheetId="18">'5-1. 공종별예산조서(1차)'!삼정</definedName>
    <definedName name="삼정" localSheetId="19">'5-2. 공종별예산조서(2차)'!삼정</definedName>
    <definedName name="삼정" localSheetId="20">'5-3. 공종별예산조서(3차)'!삼정</definedName>
    <definedName name="삼정" localSheetId="21">'5-3. 공종별예산조서(4차)'!삼정</definedName>
    <definedName name="삼정" localSheetId="28">#N/A</definedName>
    <definedName name="삼정" localSheetId="24">'8-1. 철거발생품 예정조서(1차)'!삼정</definedName>
    <definedName name="삼정" localSheetId="25">'8-2. 철거발생품 예정조서(2차)'!삼정</definedName>
    <definedName name="삼정" localSheetId="26">'8-3. 철거발생품 예정조서(3차)'!삼정</definedName>
    <definedName name="삼정" localSheetId="27">'8-4. 철거발생품 예정조서(4차)'!삼정</definedName>
    <definedName name="삼정">#N/A</definedName>
    <definedName name="삽" localSheetId="28">#REF!</definedName>
    <definedName name="삽">#REF!</definedName>
    <definedName name="상급원자력기술자" localSheetId="28">#REF!</definedName>
    <definedName name="상급원자력기술자">#REF!</definedName>
    <definedName name="상차비사석20" localSheetId="28">#REF!</definedName>
    <definedName name="상차비사석20">#REF!</definedName>
    <definedName name="상차비토사20" localSheetId="28">#REF!</definedName>
    <definedName name="상차비토사20">#REF!</definedName>
    <definedName name="상호" localSheetId="2">'1-1. 설계설명서(1차)'!상호</definedName>
    <definedName name="상호" localSheetId="3">'1-1. 설계설명서(2차)'!상호</definedName>
    <definedName name="상호" localSheetId="4">'1-1. 설계설명서(3차)'!상호</definedName>
    <definedName name="상호" localSheetId="5">'1-1. 설계설명서(4차)'!상호</definedName>
    <definedName name="상호" localSheetId="8">'3-1. 예정공정표(1차)'!상호</definedName>
    <definedName name="상호" localSheetId="9">'3-2. 예정공정표(2차)'!상호</definedName>
    <definedName name="상호" localSheetId="10">'3-3. 예정공정표(3차)'!상호</definedName>
    <definedName name="상호" localSheetId="11">'3-4. 예정공정표(4차)'!상호</definedName>
    <definedName name="상호" localSheetId="13">'4-1. 예산내역서(1차)'!상호</definedName>
    <definedName name="상호" localSheetId="14">'4-2. 예산내역서(2차)'!상호</definedName>
    <definedName name="상호" localSheetId="15">'4-3. 예산내역서(3차)'!상호</definedName>
    <definedName name="상호" localSheetId="16">'4-4. 예산내역서(4차)'!상호</definedName>
    <definedName name="상호" localSheetId="18">'5-1. 공종별예산조서(1차)'!상호</definedName>
    <definedName name="상호" localSheetId="19">'5-2. 공종별예산조서(2차)'!상호</definedName>
    <definedName name="상호" localSheetId="20">'5-3. 공종별예산조서(3차)'!상호</definedName>
    <definedName name="상호" localSheetId="21">'5-3. 공종별예산조서(4차)'!상호</definedName>
    <definedName name="상호" localSheetId="24">'8-1. 철거발생품 예정조서(1차)'!상호</definedName>
    <definedName name="상호" localSheetId="25">'8-2. 철거발생품 예정조서(2차)'!상호</definedName>
    <definedName name="상호" localSheetId="26">'8-3. 철거발생품 예정조서(3차)'!상호</definedName>
    <definedName name="상호" localSheetId="27">'8-4. 철거발생품 예정조서(4차)'!상호</definedName>
    <definedName name="새이르" localSheetId="28">#REF!</definedName>
    <definedName name="새이르">#REF!</definedName>
    <definedName name="새이름" localSheetId="28">#REF!</definedName>
    <definedName name="새이름">#REF!</definedName>
    <definedName name="샘플일위대가" localSheetId="28">#REF!</definedName>
    <definedName name="샘플일위대가">#REF!</definedName>
    <definedName name="샤" localSheetId="28">#REF!</definedName>
    <definedName name="샤">#REF!</definedName>
    <definedName name="샷시공" localSheetId="28">#REF!</definedName>
    <definedName name="샷시공">#REF!</definedName>
    <definedName name="서해" localSheetId="2">'1-1. 설계설명서(1차)'!서해</definedName>
    <definedName name="서해" localSheetId="3">'1-1. 설계설명서(2차)'!서해</definedName>
    <definedName name="서해" localSheetId="4">'1-1. 설계설명서(3차)'!서해</definedName>
    <definedName name="서해" localSheetId="5">'1-1. 설계설명서(4차)'!서해</definedName>
    <definedName name="서해" localSheetId="8">'3-1. 예정공정표(1차)'!서해</definedName>
    <definedName name="서해" localSheetId="9">'3-2. 예정공정표(2차)'!서해</definedName>
    <definedName name="서해" localSheetId="10">'3-3. 예정공정표(3차)'!서해</definedName>
    <definedName name="서해" localSheetId="11">'3-4. 예정공정표(4차)'!서해</definedName>
    <definedName name="서해" localSheetId="13">'4-1. 예산내역서(1차)'!서해</definedName>
    <definedName name="서해" localSheetId="14">'4-2. 예산내역서(2차)'!서해</definedName>
    <definedName name="서해" localSheetId="15">'4-3. 예산내역서(3차)'!서해</definedName>
    <definedName name="서해" localSheetId="16">'4-4. 예산내역서(4차)'!서해</definedName>
    <definedName name="서해" localSheetId="18">'5-1. 공종별예산조서(1차)'!서해</definedName>
    <definedName name="서해" localSheetId="19">'5-2. 공종별예산조서(2차)'!서해</definedName>
    <definedName name="서해" localSheetId="20">'5-3. 공종별예산조서(3차)'!서해</definedName>
    <definedName name="서해" localSheetId="21">'5-3. 공종별예산조서(4차)'!서해</definedName>
    <definedName name="서해" localSheetId="24">'8-1. 철거발생품 예정조서(1차)'!서해</definedName>
    <definedName name="서해" localSheetId="25">'8-2. 철거발생품 예정조서(2차)'!서해</definedName>
    <definedName name="서해" localSheetId="26">'8-3. 철거발생품 예정조서(3차)'!서해</definedName>
    <definedName name="서해" localSheetId="27">'8-4. 철거발생품 예정조서(4차)'!서해</definedName>
    <definedName name="석공" localSheetId="28">#REF!</definedName>
    <definedName name="석공">#REF!</definedName>
    <definedName name="석조각공" localSheetId="28">#REF!</definedName>
    <definedName name="석조각공">#REF!</definedName>
    <definedName name="석항" localSheetId="28" hidden="1">{#N/A,#N/A,FALSE,"명세표"}</definedName>
    <definedName name="석항" hidden="1">{#N/A,#N/A,FALSE,"명세표"}</definedName>
    <definedName name="선로">#REF!</definedName>
    <definedName name="선로단가" localSheetId="28">#REF!</definedName>
    <definedName name="선로단가">#REF!</definedName>
    <definedName name="선로단가1" localSheetId="28">#REF!</definedName>
    <definedName name="선로단가1">#REF!</definedName>
    <definedName name="선로물량" localSheetId="28">#REF!</definedName>
    <definedName name="선로물량">#REF!</definedName>
    <definedName name="선로물량1" localSheetId="28">#REF!</definedName>
    <definedName name="선로물량1">#REF!</definedName>
    <definedName name="선로수량" localSheetId="28">#REF!</definedName>
    <definedName name="선로수량">#REF!</definedName>
    <definedName name="선로신설" localSheetId="28">#REF!</definedName>
    <definedName name="선로신설">#REF!</definedName>
    <definedName name="선로인공" localSheetId="28">#REF!</definedName>
    <definedName name="선로인공">#REF!</definedName>
    <definedName name="선로인공1" localSheetId="28">#REF!</definedName>
    <definedName name="선로인공1">#REF!</definedName>
    <definedName name="선로집계" localSheetId="28">#REF!</definedName>
    <definedName name="선로집계">#REF!</definedName>
    <definedName name="선로철거" localSheetId="28">#REF!</definedName>
    <definedName name="선로철거">#REF!</definedName>
    <definedName name="선로철거단가" localSheetId="28">#REF!</definedName>
    <definedName name="선로철거단가">#REF!</definedName>
    <definedName name="선반공" localSheetId="28">#REF!</definedName>
    <definedName name="선반공">#REF!</definedName>
    <definedName name="선부" localSheetId="28">#REF!</definedName>
    <definedName name="선부">#REF!</definedName>
    <definedName name="설계" localSheetId="28">#REF!</definedName>
    <definedName name="설계">#REF!</definedName>
    <definedName name="설계공사" localSheetId="28">#REF!</definedName>
    <definedName name="설계공사">#REF!</definedName>
    <definedName name="설계내역" localSheetId="28">#REF!</definedName>
    <definedName name="설계내역">#REF!</definedName>
    <definedName name="설계서1" localSheetId="28">#REF!</definedName>
    <definedName name="설계서1">#REF!</definedName>
    <definedName name="설계서123" localSheetId="28">#REF!</definedName>
    <definedName name="설계서123">#REF!</definedName>
    <definedName name="설계서2" localSheetId="28">#REF!</definedName>
    <definedName name="설계서2">#REF!</definedName>
    <definedName name="설계서3" localSheetId="28">#REF!</definedName>
    <definedName name="설계서3">#REF!</definedName>
    <definedName name="설계설명서3" localSheetId="28">#REF!</definedName>
    <definedName name="설계설명서3">#REF!</definedName>
    <definedName name="설명서" localSheetId="28">#REF!</definedName>
    <definedName name="설명서">#REF!</definedName>
    <definedName name="설변일위대가" localSheetId="28">#REF!</definedName>
    <definedName name="설변일위대가">#REF!</definedName>
    <definedName name="성" localSheetId="28">#REF!</definedName>
    <definedName name="성">#REF!</definedName>
    <definedName name="소" localSheetId="28">#REF!</definedName>
    <definedName name="소">#REF!</definedName>
    <definedName name="소방감리" localSheetId="28">#REF!</definedName>
    <definedName name="소방감리">#REF!</definedName>
    <definedName name="소방설비" localSheetId="28">#REF!</definedName>
    <definedName name="소방설비">#REF!</definedName>
    <definedName name="소형B손료" localSheetId="28">#REF!</definedName>
    <definedName name="소형B손료">#REF!</definedName>
    <definedName name="송전전공" localSheetId="28">#REF!</definedName>
    <definedName name="송전전공">#REF!</definedName>
    <definedName name="송전활선전공" localSheetId="28">#REF!</definedName>
    <definedName name="송전활선전공">#REF!</definedName>
    <definedName name="송중AC집계" localSheetId="28">#REF!</definedName>
    <definedName name="송중AC집계">#REF!</definedName>
    <definedName name="송착" localSheetId="28">#REF!</definedName>
    <definedName name="송착">#REF!</definedName>
    <definedName name="수" localSheetId="28">#REF!</definedName>
    <definedName name="수">#REF!</definedName>
    <definedName name="수급인상호" localSheetId="28">#REF!</definedName>
    <definedName name="수급인상호">#REF!</definedName>
    <definedName name="수급인성명" localSheetId="28">#REF!</definedName>
    <definedName name="수급인성명">#REF!</definedName>
    <definedName name="수급인주소" localSheetId="28">#REF!</definedName>
    <definedName name="수급인주소">#REF!</definedName>
    <definedName name="수량">EVALUATE(!XFC1)</definedName>
    <definedName name="수량1" localSheetId="28">#REF!</definedName>
    <definedName name="수량1">#REF!</definedName>
    <definedName name="수량22" localSheetId="28">#REF!</definedName>
    <definedName name="수량22">#REF!</definedName>
    <definedName name="수량33" localSheetId="28">#REF!</definedName>
    <definedName name="수량33">#REF!</definedName>
    <definedName name="수량48" localSheetId="28">#REF!</definedName>
    <definedName name="수량48">#REF!</definedName>
    <definedName name="수량49" localSheetId="28">#REF!</definedName>
    <definedName name="수량49">#REF!</definedName>
    <definedName name="수량계산" localSheetId="28">#REF!</definedName>
    <definedName name="수량계산">#REF!</definedName>
    <definedName name="수량내역" localSheetId="28">#REF!</definedName>
    <definedName name="수량내역">#REF!</definedName>
    <definedName name="수량내역33" localSheetId="28">#REF!</definedName>
    <definedName name="수량내역33">#REF!</definedName>
    <definedName name="수량산산출" localSheetId="28">#REF!</definedName>
    <definedName name="수량산산출">#REF!</definedName>
    <definedName name="수량산출" localSheetId="28">#REF!</definedName>
    <definedName name="수량산출">#REF!</definedName>
    <definedName name="수량산출2" localSheetId="28">#REF!</definedName>
    <definedName name="수량산출2">#REF!</definedName>
    <definedName name="수량조서1" localSheetId="28">#REF!</definedName>
    <definedName name="수량조서1">#REF!</definedName>
    <definedName name="수량조서2" localSheetId="28">#REF!</definedName>
    <definedName name="수량조서2">#REF!</definedName>
    <definedName name="수량집계1" localSheetId="28">#REF!</definedName>
    <definedName name="수량집계1">#REF!</definedName>
    <definedName name="수량집계2" localSheetId="28">#REF!</definedName>
    <definedName name="수량집계2">#REF!</definedName>
    <definedName name="수량집계5" localSheetId="28">#REF!</definedName>
    <definedName name="수량집계5">#REF!</definedName>
    <definedName name="수입장비" localSheetId="28">#REF!</definedName>
    <definedName name="수입장비">#REF!</definedName>
    <definedName name="수입장비계" localSheetId="28">#REF!</definedName>
    <definedName name="수입장비계">#REF!</definedName>
    <definedName name="수작업반장" localSheetId="28">#REF!</definedName>
    <definedName name="수작업반장">#REF!</definedName>
    <definedName name="수정" localSheetId="28">#REF!</definedName>
    <definedName name="수정">#REF!</definedName>
    <definedName name="수조" localSheetId="28">#REF!</definedName>
    <definedName name="수조">#REF!</definedName>
    <definedName name="수조2" localSheetId="28">#REF!</definedName>
    <definedName name="수조2">#REF!</definedName>
    <definedName name="수현" localSheetId="2">'1-1. 설계설명서(1차)'!수현</definedName>
    <definedName name="수현" localSheetId="3">'1-1. 설계설명서(2차)'!수현</definedName>
    <definedName name="수현" localSheetId="4">'1-1. 설계설명서(3차)'!수현</definedName>
    <definedName name="수현" localSheetId="5">'1-1. 설계설명서(4차)'!수현</definedName>
    <definedName name="수현" localSheetId="8">'3-1. 예정공정표(1차)'!수현</definedName>
    <definedName name="수현" localSheetId="9">'3-2. 예정공정표(2차)'!수현</definedName>
    <definedName name="수현" localSheetId="10">'3-3. 예정공정표(3차)'!수현</definedName>
    <definedName name="수현" localSheetId="11">'3-4. 예정공정표(4차)'!수현</definedName>
    <definedName name="수현" localSheetId="13">'4-1. 예산내역서(1차)'!수현</definedName>
    <definedName name="수현" localSheetId="14">'4-2. 예산내역서(2차)'!수현</definedName>
    <definedName name="수현" localSheetId="15">'4-3. 예산내역서(3차)'!수현</definedName>
    <definedName name="수현" localSheetId="16">'4-4. 예산내역서(4차)'!수현</definedName>
    <definedName name="수현" localSheetId="18">'5-1. 공종별예산조서(1차)'!수현</definedName>
    <definedName name="수현" localSheetId="19">'5-2. 공종별예산조서(2차)'!수현</definedName>
    <definedName name="수현" localSheetId="20">'5-3. 공종별예산조서(3차)'!수현</definedName>
    <definedName name="수현" localSheetId="21">'5-3. 공종별예산조서(4차)'!수현</definedName>
    <definedName name="수현" localSheetId="24">'8-1. 철거발생품 예정조서(1차)'!수현</definedName>
    <definedName name="수현" localSheetId="25">'8-2. 철거발생품 예정조서(2차)'!수현</definedName>
    <definedName name="수현" localSheetId="26">'8-3. 철거발생품 예정조서(3차)'!수현</definedName>
    <definedName name="수현" localSheetId="27">'8-4. 철거발생품 예정조서(4차)'!수현</definedName>
    <definedName name="순공사비" localSheetId="28">#REF!</definedName>
    <definedName name="순공사비">#REF!</definedName>
    <definedName name="숧" localSheetId="28">#REF!</definedName>
    <definedName name="숧">#REF!</definedName>
    <definedName name="숫단" localSheetId="28">#REF!</definedName>
    <definedName name="숫단">#REF!</definedName>
    <definedName name="숫측" localSheetId="28">#REF!</definedName>
    <definedName name="숫측">#REF!</definedName>
    <definedName name="숫평" localSheetId="28">#REF!</definedName>
    <definedName name="숫평">#REF!</definedName>
    <definedName name="슌" localSheetId="28" hidden="1">{#N/A,#N/A,FALSE,"명세표"}</definedName>
    <definedName name="슌" hidden="1">{#N/A,#N/A,FALSE,"명세표"}</definedName>
    <definedName name="슠" localSheetId="28" hidden="1">{#N/A,#N/A,FALSE,"명세표"}</definedName>
    <definedName name="슠" hidden="1">{#N/A,#N/A,FALSE,"명세표"}</definedName>
    <definedName name="스테파넬">#REF!</definedName>
    <definedName name="슬레이트공" localSheetId="28">#REF!</definedName>
    <definedName name="슬레이트공">#REF!</definedName>
    <definedName name="승질" localSheetId="28">#REF!</definedName>
    <definedName name="승질">#REF!</definedName>
    <definedName name="승질나나다" localSheetId="28">#REF!</definedName>
    <definedName name="승질나나다">#REF!</definedName>
    <definedName name="승호" localSheetId="2">'1-1. 설계설명서(1차)'!MMK</definedName>
    <definedName name="승호" localSheetId="3">'1-1. 설계설명서(2차)'!MMK</definedName>
    <definedName name="승호" localSheetId="4">'1-1. 설계설명서(3차)'!MMK</definedName>
    <definedName name="승호" localSheetId="5">'1-1. 설계설명서(4차)'!MMK</definedName>
    <definedName name="승호" localSheetId="8">'3-1. 예정공정표(1차)'!MMK</definedName>
    <definedName name="승호" localSheetId="9">'3-2. 예정공정표(2차)'!MMK</definedName>
    <definedName name="승호" localSheetId="10">'3-3. 예정공정표(3차)'!MMK</definedName>
    <definedName name="승호" localSheetId="11">'3-4. 예정공정표(4차)'!MMK</definedName>
    <definedName name="승호" localSheetId="13">'4-1. 예산내역서(1차)'!MMK</definedName>
    <definedName name="승호" localSheetId="14">'4-2. 예산내역서(2차)'!MMK</definedName>
    <definedName name="승호" localSheetId="15">'4-3. 예산내역서(3차)'!MMK</definedName>
    <definedName name="승호" localSheetId="16">'4-4. 예산내역서(4차)'!MMK</definedName>
    <definedName name="승호" localSheetId="18">'5-1. 공종별예산조서(1차)'!MMK</definedName>
    <definedName name="승호" localSheetId="19">'5-2. 공종별예산조서(2차)'!MMK</definedName>
    <definedName name="승호" localSheetId="20">'5-3. 공종별예산조서(3차)'!MMK</definedName>
    <definedName name="승호" localSheetId="21">'5-3. 공종별예산조서(4차)'!MMK</definedName>
    <definedName name="승호" localSheetId="24">'8-1. 철거발생품 예정조서(1차)'!MMK</definedName>
    <definedName name="승호" localSheetId="25">'8-2. 철거발생품 예정조서(2차)'!MMK</definedName>
    <definedName name="승호" localSheetId="26">'8-3. 철거발생품 예정조서(3차)'!MMK</definedName>
    <definedName name="승호" localSheetId="27">'8-4. 철거발생품 예정조서(4차)'!MMK</definedName>
    <definedName name="시" localSheetId="28">#REF!</definedName>
    <definedName name="시">#REF!</definedName>
    <definedName name="시공측량사" localSheetId="28">#REF!</definedName>
    <definedName name="시공측량사">#REF!</definedName>
    <definedName name="시공측량사조수" localSheetId="28">#REF!</definedName>
    <definedName name="시공측량사조수">#REF!</definedName>
    <definedName name="시러" localSheetId="28">#REF!</definedName>
    <definedName name="시러">#REF!</definedName>
    <definedName name="시방11" localSheetId="28">#REF!</definedName>
    <definedName name="시방11">#REF!</definedName>
    <definedName name="시방서" localSheetId="28">#REF!</definedName>
    <definedName name="시방서">#REF!</definedName>
    <definedName name="시방서비고" localSheetId="28">#REF!</definedName>
    <definedName name="시방서비고">#REF!</definedName>
    <definedName name="시방서이름" localSheetId="28">#REF!</definedName>
    <definedName name="시방서이름">#REF!</definedName>
    <definedName name="시점" localSheetId="28">#REF!</definedName>
    <definedName name="시점">#REF!</definedName>
    <definedName name="시점명" localSheetId="28">#REF!</definedName>
    <definedName name="시점명">#REF!</definedName>
    <definedName name="시중단가">{"'단계별시설공사비'!$A$3:$K$51"}</definedName>
    <definedName name="시트" localSheetId="28">#REF!</definedName>
    <definedName name="시트">#REF!</definedName>
    <definedName name="시행청" localSheetId="28">#REF!</definedName>
    <definedName name="시행청">#REF!</definedName>
    <definedName name="시험관련기사" localSheetId="28">#REF!</definedName>
    <definedName name="시험관련기사">#REF!</definedName>
    <definedName name="시험관련산업기사" localSheetId="28">#REF!</definedName>
    <definedName name="시험관련산업기사">#REF!</definedName>
    <definedName name="시험보조수" localSheetId="28">#REF!</definedName>
    <definedName name="시험보조수">#REF!</definedName>
    <definedName name="신" localSheetId="2">'1-1. 설계설명서(1차)'!신</definedName>
    <definedName name="신" localSheetId="3">'1-1. 설계설명서(2차)'!신</definedName>
    <definedName name="신" localSheetId="4">'1-1. 설계설명서(3차)'!신</definedName>
    <definedName name="신" localSheetId="5">'1-1. 설계설명서(4차)'!신</definedName>
    <definedName name="신" localSheetId="8">'3-1. 예정공정표(1차)'!신</definedName>
    <definedName name="신" localSheetId="9">'3-2. 예정공정표(2차)'!신</definedName>
    <definedName name="신" localSheetId="10">'3-3. 예정공정표(3차)'!신</definedName>
    <definedName name="신" localSheetId="11">'3-4. 예정공정표(4차)'!신</definedName>
    <definedName name="신" localSheetId="13">'4-1. 예산내역서(1차)'!신</definedName>
    <definedName name="신" localSheetId="14">'4-2. 예산내역서(2차)'!신</definedName>
    <definedName name="신" localSheetId="15">'4-3. 예산내역서(3차)'!신</definedName>
    <definedName name="신" localSheetId="16">'4-4. 예산내역서(4차)'!신</definedName>
    <definedName name="신" localSheetId="18">'5-1. 공종별예산조서(1차)'!신</definedName>
    <definedName name="신" localSheetId="19">'5-2. 공종별예산조서(2차)'!신</definedName>
    <definedName name="신" localSheetId="20">'5-3. 공종별예산조서(3차)'!신</definedName>
    <definedName name="신" localSheetId="21">'5-3. 공종별예산조서(4차)'!신</definedName>
    <definedName name="신" localSheetId="28">#N/A</definedName>
    <definedName name="신" localSheetId="24">'8-1. 철거발생품 예정조서(1차)'!신</definedName>
    <definedName name="신" localSheetId="25">'8-2. 철거발생품 예정조서(2차)'!신</definedName>
    <definedName name="신" localSheetId="26">'8-3. 철거발생품 예정조서(3차)'!신</definedName>
    <definedName name="신" localSheetId="27">'8-4. 철거발생품 예정조서(4차)'!신</definedName>
    <definedName name="신">#N/A</definedName>
    <definedName name="신내역단가" localSheetId="28">#REF!</definedName>
    <definedName name="신내역단가">#REF!</definedName>
    <definedName name="신설" localSheetId="28">#REF!</definedName>
    <definedName name="신설">#REF!</definedName>
    <definedName name="신설단가" localSheetId="28">#REF!</definedName>
    <definedName name="신설단가">#REF!</definedName>
    <definedName name="신설신설" localSheetId="28">#REF!</definedName>
    <definedName name="신설신설">#REF!</definedName>
    <definedName name="신설자재" localSheetId="28">#REF!</definedName>
    <definedName name="신설자재">#REF!</definedName>
    <definedName name="신신" localSheetId="28">#REF!</definedName>
    <definedName name="신신">#REF!</definedName>
    <definedName name="신촌" localSheetId="28">#REF!</definedName>
    <definedName name="신촌">#REF!</definedName>
    <definedName name="신축" localSheetId="28">#REF!</definedName>
    <definedName name="신축">#REF!</definedName>
    <definedName name="신축12" localSheetId="28">#REF!</definedName>
    <definedName name="신축12">#REF!</definedName>
    <definedName name="신축공사">{"'단계별시설공사비'!$A$3:$K$51"}</definedName>
    <definedName name="신축철거1" localSheetId="28">#REF!</definedName>
    <definedName name="신축철거1">#REF!</definedName>
    <definedName name="신호기" localSheetId="2">'1-1. 설계설명서(1차)'!신호기</definedName>
    <definedName name="신호기" localSheetId="3">'1-1. 설계설명서(2차)'!신호기</definedName>
    <definedName name="신호기" localSheetId="4">'1-1. 설계설명서(3차)'!신호기</definedName>
    <definedName name="신호기" localSheetId="5">'1-1. 설계설명서(4차)'!신호기</definedName>
    <definedName name="신호기" localSheetId="8">'3-1. 예정공정표(1차)'!신호기</definedName>
    <definedName name="신호기" localSheetId="9">'3-2. 예정공정표(2차)'!신호기</definedName>
    <definedName name="신호기" localSheetId="10">'3-3. 예정공정표(3차)'!신호기</definedName>
    <definedName name="신호기" localSheetId="11">'3-4. 예정공정표(4차)'!신호기</definedName>
    <definedName name="신호기" localSheetId="13">'4-1. 예산내역서(1차)'!신호기</definedName>
    <definedName name="신호기" localSheetId="14">'4-2. 예산내역서(2차)'!신호기</definedName>
    <definedName name="신호기" localSheetId="15">'4-3. 예산내역서(3차)'!신호기</definedName>
    <definedName name="신호기" localSheetId="16">'4-4. 예산내역서(4차)'!신호기</definedName>
    <definedName name="신호기" localSheetId="18">'5-1. 공종별예산조서(1차)'!신호기</definedName>
    <definedName name="신호기" localSheetId="19">'5-2. 공종별예산조서(2차)'!신호기</definedName>
    <definedName name="신호기" localSheetId="20">'5-3. 공종별예산조서(3차)'!신호기</definedName>
    <definedName name="신호기" localSheetId="21">'5-3. 공종별예산조서(4차)'!신호기</definedName>
    <definedName name="신호기" localSheetId="28">#N/A</definedName>
    <definedName name="신호기" localSheetId="24">'8-1. 철거발생품 예정조서(1차)'!신호기</definedName>
    <definedName name="신호기" localSheetId="25">'8-2. 철거발생품 예정조서(2차)'!신호기</definedName>
    <definedName name="신호기" localSheetId="26">'8-3. 철거발생품 예정조서(3차)'!신호기</definedName>
    <definedName name="신호기" localSheetId="27">'8-4. 철거발생품 예정조서(4차)'!신호기</definedName>
    <definedName name="신호기">#N/A</definedName>
    <definedName name="실내" localSheetId="28">#REF!</definedName>
    <definedName name="실내">#REF!</definedName>
    <definedName name="씨발" localSheetId="28">#REF!</definedName>
    <definedName name="씨발">#REF!</definedName>
    <definedName name="씨부럴" localSheetId="28">#REF!</definedName>
    <definedName name="씨부럴">#REF!</definedName>
    <definedName name="씨불" localSheetId="28">#REF!</definedName>
    <definedName name="씨불">#REF!</definedName>
    <definedName name="ㅇ" localSheetId="28">#REF!</definedName>
    <definedName name="ㅇ">#REF!</definedName>
    <definedName name="ㅇ곻" localSheetId="28" hidden="1">{#N/A,#N/A,FALSE,"명세표"}</definedName>
    <definedName name="ㅇ곻" hidden="1">{#N/A,#N/A,FALSE,"명세표"}</definedName>
    <definedName name="ㅇㄴㄹ" localSheetId="28" hidden="1">{#N/A,#N/A,FALSE,"명세표"}</definedName>
    <definedName name="ㅇㄴㄹ" hidden="1">{#N/A,#N/A,FALSE,"명세표"}</definedName>
    <definedName name="ㅇㄴㄹㄴㅇㄹ" localSheetId="28" hidden="1">{#N/A,#N/A,FALSE,"명세표"}</definedName>
    <definedName name="ㅇㄴㄹㄴㅇㄹ" hidden="1">{#N/A,#N/A,FALSE,"명세표"}</definedName>
    <definedName name="ㅇㄴㄹㅇ" localSheetId="28" hidden="1">{#N/A,#N/A,FALSE,"명세표"}</definedName>
    <definedName name="ㅇㄴㄹㅇ" hidden="1">{#N/A,#N/A,FALSE,"명세표"}</definedName>
    <definedName name="ㅇㄴㄹㅇㄴ" localSheetId="28" hidden="1">{#N/A,#N/A,FALSE,"명세표"}</definedName>
    <definedName name="ㅇㄴㄹㅇㄴ" hidden="1">{#N/A,#N/A,FALSE,"명세표"}</definedName>
    <definedName name="ㅇㄴ륭" localSheetId="28" hidden="1">{#N/A,#N/A,FALSE,"명세표"}</definedName>
    <definedName name="ㅇㄴ륭" hidden="1">{#N/A,#N/A,FALSE,"명세표"}</definedName>
    <definedName name="ㅇㄴㄻ" localSheetId="28" hidden="1">{#N/A,#N/A,FALSE,"명세표"}</definedName>
    <definedName name="ㅇㄴㄻ" hidden="1">{#N/A,#N/A,FALSE,"명세표"}</definedName>
    <definedName name="ㅇㄴㄻㅇㄻㄴㄹㅇㅁㄴㅇㄹ">{"'용역비'!$A$4:$C$8"}</definedName>
    <definedName name="ㅇㄴㄻㅎㅈㄷㅈㄷㄴ">{"'Sheet1'!$D$19","'Sheet1'!$B$22:$E$22"}</definedName>
    <definedName name="ㅇㄴㅀㄴ" localSheetId="28" hidden="1">{#N/A,#N/A,FALSE,"명세표"}</definedName>
    <definedName name="ㅇㄴㅀㄴ" hidden="1">{#N/A,#N/A,FALSE,"명세표"}</definedName>
    <definedName name="ㅇㄴㅀㄷㄱ" localSheetId="28" hidden="1">{#N/A,#N/A,FALSE,"명세표"}</definedName>
    <definedName name="ㅇㄴㅀㄷㄱ" hidden="1">{#N/A,#N/A,FALSE,"명세표"}</definedName>
    <definedName name="ㅇㄴㅀㅇㄹ" localSheetId="28" hidden="1">{#N/A,#N/A,FALSE,"명세표"}</definedName>
    <definedName name="ㅇㄴㅀㅇㄹ" hidden="1">{#N/A,#N/A,FALSE,"명세표"}</definedName>
    <definedName name="ㅇㄴㅁㄹ" localSheetId="28" hidden="1">{#N/A,#N/A,FALSE,"명세표"}</definedName>
    <definedName name="ㅇㄴㅁㄹ" hidden="1">{#N/A,#N/A,FALSE,"명세표"}</definedName>
    <definedName name="ㅇㄴㅁㅀ" localSheetId="28" hidden="1">{#N/A,#N/A,FALSE,"명세표"}</definedName>
    <definedName name="ㅇㄴㅁㅀ" hidden="1">{#N/A,#N/A,FALSE,"명세표"}</definedName>
    <definedName name="ㅇㄴㅁㅎㅁㄱ" localSheetId="28" hidden="1">{#N/A,#N/A,FALSE,"명세표"}</definedName>
    <definedName name="ㅇㄴㅁㅎㅁㄱ" hidden="1">{#N/A,#N/A,FALSE,"명세표"}</definedName>
    <definedName name="ㅇㄴ묄" localSheetId="28" hidden="1">{#N/A,#N/A,FALSE,"명세표"}</definedName>
    <definedName name="ㅇㄴ묄" hidden="1">{#N/A,#N/A,FALSE,"명세표"}</definedName>
    <definedName name="ㅇㄴ미ㅗㄹ" localSheetId="28" hidden="1">{#N/A,#N/A,FALSE,"명세표"}</definedName>
    <definedName name="ㅇㄴ미ㅗㄹ" hidden="1">{#N/A,#N/A,FALSE,"명세표"}</definedName>
    <definedName name="ㅇㄴㅇ">{"'자리배치도'!$AG$1:$CI$28"}</definedName>
    <definedName name="ㅇㄴㅌㄷㅈㄷ" localSheetId="28" hidden="1">{#N/A,#N/A,FALSE,"명세표"}</definedName>
    <definedName name="ㅇㄴㅌㄷㅈㄷ" hidden="1">{#N/A,#N/A,FALSE,"명세표"}</definedName>
    <definedName name="ㅇㄴㅍ" localSheetId="28" hidden="1">{#N/A,#N/A,FALSE,"명세표"}</definedName>
    <definedName name="ㅇㄴㅍ" hidden="1">{#N/A,#N/A,FALSE,"명세표"}</definedName>
    <definedName name="ㅇ남러이">#REF!</definedName>
    <definedName name="ㅇ너밀" localSheetId="28" hidden="1">{#N/A,#N/A,FALSE,"명세표"}</definedName>
    <definedName name="ㅇ너밀" hidden="1">{#N/A,#N/A,FALSE,"명세표"}</definedName>
    <definedName name="ㅇ너ㅚㅇ너" localSheetId="28" hidden="1">{#N/A,#N/A,FALSE,"명세표"}</definedName>
    <definedName name="ㅇ너ㅚㅇ너" hidden="1">{#N/A,#N/A,FALSE,"명세표"}</definedName>
    <definedName name="ㅇ널미ㅏ" localSheetId="28" hidden="1">{#N/A,#N/A,FALSE,"명세표"}</definedName>
    <definedName name="ㅇ널미ㅏ" hidden="1">{#N/A,#N/A,FALSE,"명세표"}</definedName>
    <definedName name="ㅇ노ㅓㄷㄹ" localSheetId="28" hidden="1">{#N/A,#N/A,FALSE,"명세표"}</definedName>
    <definedName name="ㅇ노ㅓㄷㄹ" hidden="1">{#N/A,#N/A,FALSE,"명세표"}</definedName>
    <definedName name="ㅇㄶㄹㅇㅇ" localSheetId="28" hidden="1">{#N/A,#N/A,FALSE,"명세표"}</definedName>
    <definedName name="ㅇㄶㄹㅇㅇ" hidden="1">{#N/A,#N/A,FALSE,"명세표"}</definedName>
    <definedName name="ㅇㄹㄴㅇㅎ">#REF!</definedName>
    <definedName name="ㅇㄹㄶ" localSheetId="28" hidden="1">{#N/A,#N/A,FALSE,"명세표"}</definedName>
    <definedName name="ㅇㄹㄶ" hidden="1">{#N/A,#N/A,FALSE,"명세표"}</definedName>
    <definedName name="ㅇㄹㄶㅇㄹ" localSheetId="28" hidden="1">{#N/A,#N/A,FALSE,"명세표"}</definedName>
    <definedName name="ㅇㄹㄶㅇㄹ" hidden="1">{#N/A,#N/A,FALSE,"명세표"}</definedName>
    <definedName name="ㅇㄹㅀㅁㄷ" localSheetId="28" hidden="1">{#N/A,#N/A,FALSE,"명세표"}</definedName>
    <definedName name="ㅇㄹㅀㅁㄷ" hidden="1">{#N/A,#N/A,FALSE,"명세표"}</definedName>
    <definedName name="ㅇㄹㅊ" localSheetId="28" hidden="1">{#N/A,#N/A,FALSE,"명세표"}</definedName>
    <definedName name="ㅇㄹㅊ" hidden="1">{#N/A,#N/A,FALSE,"명세표"}</definedName>
    <definedName name="ㅇㄹ혼ㅇ" localSheetId="28" hidden="1">{#N/A,#N/A,FALSE,"명세표"}</definedName>
    <definedName name="ㅇㄹ혼ㅇ" hidden="1">{#N/A,#N/A,FALSE,"명세표"}</definedName>
    <definedName name="ㅇㄹ홍">#REF!</definedName>
    <definedName name="ㅇ로헐ㅇ" localSheetId="28" hidden="1">{#N/A,#N/A,FALSE,"명세표"}</definedName>
    <definedName name="ㅇ로헐ㅇ" hidden="1">{#N/A,#N/A,FALSE,"명세표"}</definedName>
    <definedName name="ㅇ로헝ㅊ" localSheetId="28" hidden="1">{#N/A,#N/A,FALSE,"명세표"}</definedName>
    <definedName name="ㅇ로헝ㅊ" hidden="1">{#N/A,#N/A,FALSE,"명세표"}</definedName>
    <definedName name="ㅇ롷ㄴㅇㅀ" localSheetId="28" hidden="1">{#N/A,#N/A,FALSE,"명세표"}</definedName>
    <definedName name="ㅇ롷ㄴㅇㅀ" hidden="1">{#N/A,#N/A,FALSE,"명세표"}</definedName>
    <definedName name="ㅇ뢺" localSheetId="28" hidden="1">{#N/A,#N/A,FALSE,"명세표"}</definedName>
    <definedName name="ㅇ뢺" hidden="1">{#N/A,#N/A,FALSE,"명세표"}</definedName>
    <definedName name="ㅇ리멍라">#REF!</definedName>
    <definedName name="ㅇㄻㅎㅈㄷ" localSheetId="28" hidden="1">{#N/A,#N/A,FALSE,"명세표"}</definedName>
    <definedName name="ㅇㄻㅎㅈㄷ" hidden="1">{#N/A,#N/A,FALSE,"명세표"}</definedName>
    <definedName name="ㅇㅀ" localSheetId="28" hidden="1">{#N/A,#N/A,FALSE,"명세표"}</definedName>
    <definedName name="ㅇㅀ" hidden="1">{#N/A,#N/A,FALSE,"명세표"}</definedName>
    <definedName name="ㅇㅀ4ㄱㄹㅇㅎ" localSheetId="28" hidden="1">{#N/A,#N/A,FALSE,"명세표"}</definedName>
    <definedName name="ㅇㅀ4ㄱㄹㅇㅎ" hidden="1">{#N/A,#N/A,FALSE,"명세표"}</definedName>
    <definedName name="ㅇㅀㄴ" localSheetId="28" hidden="1">{#N/A,#N/A,FALSE,"명세표"}</definedName>
    <definedName name="ㅇㅀㄴ" hidden="1">{#N/A,#N/A,FALSE,"명세표"}</definedName>
    <definedName name="ㅇㅀㄴㄱ" localSheetId="28" hidden="1">{#N/A,#N/A,FALSE,"명세표"}</definedName>
    <definedName name="ㅇㅀㄴㄱ" hidden="1">{#N/A,#N/A,FALSE,"명세표"}</definedName>
    <definedName name="ㅇㅀㄴㅀ" localSheetId="28" hidden="1">{#N/A,#N/A,FALSE,"명세표"}</definedName>
    <definedName name="ㅇㅀㄴㅀ" hidden="1">{#N/A,#N/A,FALSE,"명세표"}</definedName>
    <definedName name="ㅇㅀㄴㅇㄹ" localSheetId="28" hidden="1">{#N/A,#N/A,FALSE,"명세표"}</definedName>
    <definedName name="ㅇㅀㄴㅇㄹ" hidden="1">{#N/A,#N/A,FALSE,"명세표"}</definedName>
    <definedName name="ㅇㅀㄴㅇㅀ" localSheetId="28" hidden="1">{#N/A,#N/A,FALSE,"명세표"}</definedName>
    <definedName name="ㅇㅀㄴㅇㅀ" hidden="1">{#N/A,#N/A,FALSE,"명세표"}</definedName>
    <definedName name="ㅇㅀㄷ" localSheetId="28" hidden="1">{#N/A,#N/A,FALSE,"명세표"}</definedName>
    <definedName name="ㅇㅀㄷ" hidden="1">{#N/A,#N/A,FALSE,"명세표"}</definedName>
    <definedName name="ㅇㅀㄻㄷㅈ" localSheetId="28" hidden="1">{#N/A,#N/A,FALSE,"명세표"}</definedName>
    <definedName name="ㅇㅀㄻㄷㅈ" hidden="1">{#N/A,#N/A,FALSE,"명세표"}</definedName>
    <definedName name="ㅇㅀㅇㅇㄹ" localSheetId="28" hidden="1">{#N/A,#N/A,FALSE,"명세표"}</definedName>
    <definedName name="ㅇㅀㅇㅇㄹ" hidden="1">{#N/A,#N/A,FALSE,"명세표"}</definedName>
    <definedName name="ㅇㅀㅈㄷ" localSheetId="28" hidden="1">{#N/A,#N/A,FALSE,"명세표"}</definedName>
    <definedName name="ㅇㅀㅈㄷ" hidden="1">{#N/A,#N/A,FALSE,"명세표"}</definedName>
    <definedName name="ㅇㅁ">#REF!</definedName>
    <definedName name="ㅇㅁㄴㄹㄴㅁㅇㄹ" localSheetId="28" hidden="1">{#N/A,#N/A,FALSE,"명세표"}</definedName>
    <definedName name="ㅇㅁㄴㄹㄴㅁㅇㄹ" hidden="1">{#N/A,#N/A,FALSE,"명세표"}</definedName>
    <definedName name="ㅇㅁ너ㅚㅗ" localSheetId="28" hidden="1">{#N/A,#N/A,FALSE,"명세표"}</definedName>
    <definedName name="ㅇㅁ너ㅚㅗ" hidden="1">{#N/A,#N/A,FALSE,"명세표"}</definedName>
    <definedName name="ㅇㅁ뇔" localSheetId="28" hidden="1">{#N/A,#N/A,FALSE,"명세표"}</definedName>
    <definedName name="ㅇㅁ뇔" hidden="1">{#N/A,#N/A,FALSE,"명세표"}</definedName>
    <definedName name="ㅇㅁ뢰" localSheetId="28" hidden="1">{#N/A,#N/A,FALSE,"명세표"}</definedName>
    <definedName name="ㅇㅁ뢰" hidden="1">{#N/A,#N/A,FALSE,"명세표"}</definedName>
    <definedName name="ㅇㅁ리" localSheetId="28" hidden="1">{#N/A,#N/A,FALSE,"명세표"}</definedName>
    <definedName name="ㅇㅁ리" hidden="1">{#N/A,#N/A,FALSE,"명세표"}</definedName>
    <definedName name="ㅇㅁㅀㅁㅎ" localSheetId="28" hidden="1">{#N/A,#N/A,FALSE,"명세표"}</definedName>
    <definedName name="ㅇㅁㅀㅁㅎ" hidden="1">{#N/A,#N/A,FALSE,"명세표"}</definedName>
    <definedName name="ㅇㅁㅇㅊㅌ" localSheetId="28" hidden="1">{#N/A,#N/A,FALSE,"명세표"}</definedName>
    <definedName name="ㅇㅁㅇㅊㅌ" hidden="1">{#N/A,#N/A,FALSE,"명세표"}</definedName>
    <definedName name="ㅇㅁㅌ" localSheetId="28" hidden="1">{#N/A,#N/A,FALSE,"명세표"}</definedName>
    <definedName name="ㅇㅁㅌ" hidden="1">{#N/A,#N/A,FALSE,"명세표"}</definedName>
    <definedName name="ㅇㅁㅎㄹㅇ" localSheetId="28" hidden="1">{#N/A,#N/A,FALSE,"명세표"}</definedName>
    <definedName name="ㅇㅁㅎㄹㅇ" hidden="1">{#N/A,#N/A,FALSE,"명세표"}</definedName>
    <definedName name="ㅇ머ㅣㄹㅊ" localSheetId="28" hidden="1">{#N/A,#N/A,FALSE,"명세표"}</definedName>
    <definedName name="ㅇ머ㅣㄹㅊ" hidden="1">{#N/A,#N/A,FALSE,"명세표"}</definedName>
    <definedName name="ㅇ뫼" localSheetId="28" hidden="1">{#N/A,#N/A,FALSE,"명세표"}</definedName>
    <definedName name="ㅇ뫼" hidden="1">{#N/A,#N/A,FALSE,"명세표"}</definedName>
    <definedName name="ㅇ묄" localSheetId="28" hidden="1">{#N/A,#N/A,FALSE,"명세표"}</definedName>
    <definedName name="ㅇ묄" hidden="1">{#N/A,#N/A,FALSE,"명세표"}</definedName>
    <definedName name="ㅇ묄ㅇ" localSheetId="28" hidden="1">{#N/A,#N/A,FALSE,"명세표"}</definedName>
    <definedName name="ㅇ묄ㅇ" hidden="1">{#N/A,#N/A,FALSE,"명세표"}</definedName>
    <definedName name="ㅇ뮐" localSheetId="28" hidden="1">{#N/A,#N/A,FALSE,"명세표"}</definedName>
    <definedName name="ㅇ뮐" hidden="1">{#N/A,#N/A,FALSE,"명세표"}</definedName>
    <definedName name="ㅇ미ㅗㅇ너ㅗ" localSheetId="28" hidden="1">{#N/A,#N/A,FALSE,"명세표"}</definedName>
    <definedName name="ㅇ미ㅗㅇ너ㅗ" hidden="1">{#N/A,#N/A,FALSE,"명세표"}</definedName>
    <definedName name="ㅇㅇ">#REF!</definedName>
    <definedName name="ㅇㅇㅇ" localSheetId="28">#REF!,#REF!</definedName>
    <definedName name="ㅇㅇㅇ">#REF!,#REF!</definedName>
    <definedName name="ㅇㅇㅇㅇ" localSheetId="28">#REF!</definedName>
    <definedName name="ㅇㅇㅇㅇ">#REF!</definedName>
    <definedName name="ㅇ아앙" localSheetId="28">#REF!</definedName>
    <definedName name="ㅇ아앙">#REF!</definedName>
    <definedName name="ㅇ자ㅣ" localSheetId="28">#REF!</definedName>
    <definedName name="ㅇ자ㅣ">#REF!</definedName>
    <definedName name="ㅇㅊㄴㅀ" localSheetId="28" hidden="1">{#N/A,#N/A,FALSE,"명세표"}</definedName>
    <definedName name="ㅇㅊㄴㅀ" hidden="1">{#N/A,#N/A,FALSE,"명세표"}</definedName>
    <definedName name="ㅇㅌㅊ" localSheetId="28" hidden="1">{#N/A,#N/A,FALSE,"명세표"}</definedName>
    <definedName name="ㅇㅌㅊ" hidden="1">{#N/A,#N/A,FALSE,"명세표"}</definedName>
    <definedName name="ㅇㅎ" localSheetId="28" hidden="1">{#N/A,#N/A,FALSE,"명세표"}</definedName>
    <definedName name="ㅇㅎ" hidden="1">{#N/A,#N/A,FALSE,"명세표"}</definedName>
    <definedName name="ㅇㅎㄱㄷㄹ" localSheetId="28" hidden="1">{#N/A,#N/A,FALSE,"명세표"}</definedName>
    <definedName name="ㅇㅎㄱㄷㄹ" hidden="1">{#N/A,#N/A,FALSE,"명세표"}</definedName>
    <definedName name="ㅇㅎㄴㅇㅎ">#REF!</definedName>
    <definedName name="ㅇㅎㄶㄹ" localSheetId="28" hidden="1">{#N/A,#N/A,FALSE,"명세표"}</definedName>
    <definedName name="ㅇㅎㄶㄹ" hidden="1">{#N/A,#N/A,FALSE,"명세표"}</definedName>
    <definedName name="ㅇㅎㄷㄱㅇㄴ" localSheetId="28" hidden="1">{#N/A,#N/A,FALSE,"명세표"}</definedName>
    <definedName name="ㅇㅎㄷㄱㅇㄴ" hidden="1">{#N/A,#N/A,FALSE,"명세표"}</definedName>
    <definedName name="ㅇㅎㄹㅇㅊ" localSheetId="28" hidden="1">{#N/A,#N/A,FALSE,"명세표"}</definedName>
    <definedName name="ㅇㅎㄹㅇㅊ" hidden="1">{#N/A,#N/A,FALSE,"명세표"}</definedName>
    <definedName name="ㅇㅎ로" localSheetId="28" hidden="1">{#N/A,#N/A,FALSE,"명세표"}</definedName>
    <definedName name="ㅇㅎ로" hidden="1">{#N/A,#N/A,FALSE,"명세표"}</definedName>
    <definedName name="ㅇㅎ롱ㄹㅇ" localSheetId="28" hidden="1">{#N/A,#N/A,FALSE,"명세표"}</definedName>
    <definedName name="ㅇㅎ롱ㄹㅇ" hidden="1">{#N/A,#N/A,FALSE,"명세표"}</definedName>
    <definedName name="ㅇㅎㄺㄷㅇㄹ" localSheetId="28" hidden="1">{#N/A,#N/A,FALSE,"명세표"}</definedName>
    <definedName name="ㅇㅎㄺㄷㅇㄹ" hidden="1">{#N/A,#N/A,FALSE,"명세표"}</definedName>
    <definedName name="ㅇㅎㅁㄱ" localSheetId="28" hidden="1">{#N/A,#N/A,FALSE,"명세표"}</definedName>
    <definedName name="ㅇㅎㅁㄱ" hidden="1">{#N/A,#N/A,FALSE,"명세표"}</definedName>
    <definedName name="ㅇㅎㅁㄹ" localSheetId="28" hidden="1">{#N/A,#N/A,FALSE,"명세표"}</definedName>
    <definedName name="ㅇㅎㅁㄹ" hidden="1">{#N/A,#N/A,FALSE,"명세표"}</definedName>
    <definedName name="ㅇㅎㅁㄹㅇㅌㄴ" localSheetId="28" hidden="1">{#N/A,#N/A,FALSE,"명세표"}</definedName>
    <definedName name="ㅇㅎㅁㄹㅇㅌㄴ" hidden="1">{#N/A,#N/A,FALSE,"명세표"}</definedName>
    <definedName name="ㅇㅎㅎㅇㅇ" localSheetId="28" hidden="1">{#N/A,#N/A,FALSE,"명세표"}</definedName>
    <definedName name="ㅇㅎㅎㅇㅇ" hidden="1">{#N/A,#N/A,FALSE,"명세표"}</definedName>
    <definedName name="ㅇ호" localSheetId="2">{"'용역비'!$A$4:$C$8"}</definedName>
    <definedName name="ㅇ호" localSheetId="3">{"'용역비'!$A$4:$C$8"}</definedName>
    <definedName name="ㅇ호" localSheetId="4">{"'용역비'!$A$4:$C$8"}</definedName>
    <definedName name="ㅇ호" localSheetId="5">{"'용역비'!$A$4:$C$8"}</definedName>
    <definedName name="ㅇ호" localSheetId="8">{"'용역비'!$A$4:$C$8"}</definedName>
    <definedName name="ㅇ호" localSheetId="9">{"'용역비'!$A$4:$C$8"}</definedName>
    <definedName name="ㅇ호" localSheetId="10">{"'용역비'!$A$4:$C$8"}</definedName>
    <definedName name="ㅇ호" localSheetId="11">{"'용역비'!$A$4:$C$8"}</definedName>
    <definedName name="ㅇ호" localSheetId="13">{"'용역비'!$A$4:$C$8"}</definedName>
    <definedName name="ㅇ호" localSheetId="14">{"'용역비'!$A$4:$C$8"}</definedName>
    <definedName name="ㅇ호" localSheetId="15">{"'용역비'!$A$4:$C$8"}</definedName>
    <definedName name="ㅇ호" localSheetId="16">{"'용역비'!$A$4:$C$8"}</definedName>
    <definedName name="ㅇ호" localSheetId="18">{"'용역비'!$A$4:$C$8"}</definedName>
    <definedName name="ㅇ호" localSheetId="19">{"'용역비'!$A$4:$C$8"}</definedName>
    <definedName name="ㅇ호" localSheetId="20">{"'용역비'!$A$4:$C$8"}</definedName>
    <definedName name="ㅇ호" localSheetId="21">{"'용역비'!$A$4:$C$8"}</definedName>
    <definedName name="ㅇ호" localSheetId="24">{"'용역비'!$A$4:$C$8"}</definedName>
    <definedName name="ㅇ호" localSheetId="25">{"'용역비'!$A$4:$C$8"}</definedName>
    <definedName name="ㅇ호" localSheetId="26">{"'용역비'!$A$4:$C$8"}</definedName>
    <definedName name="ㅇ호" localSheetId="27">{"'용역비'!$A$4:$C$8"}</definedName>
    <definedName name="ㅇ호">{"'용역비'!$A$4:$C$8"}</definedName>
    <definedName name="ㅇ호ㅓ" localSheetId="2">{"'용역비'!$A$4:$C$8"}</definedName>
    <definedName name="ㅇ호ㅓ" localSheetId="3">{"'용역비'!$A$4:$C$8"}</definedName>
    <definedName name="ㅇ호ㅓ" localSheetId="4">{"'용역비'!$A$4:$C$8"}</definedName>
    <definedName name="ㅇ호ㅓ" localSheetId="5">{"'용역비'!$A$4:$C$8"}</definedName>
    <definedName name="ㅇ호ㅓ" localSheetId="8">{"'용역비'!$A$4:$C$8"}</definedName>
    <definedName name="ㅇ호ㅓ" localSheetId="9">{"'용역비'!$A$4:$C$8"}</definedName>
    <definedName name="ㅇ호ㅓ" localSheetId="10">{"'용역비'!$A$4:$C$8"}</definedName>
    <definedName name="ㅇ호ㅓ" localSheetId="11">{"'용역비'!$A$4:$C$8"}</definedName>
    <definedName name="ㅇ호ㅓ" localSheetId="13">{"'용역비'!$A$4:$C$8"}</definedName>
    <definedName name="ㅇ호ㅓ" localSheetId="14">{"'용역비'!$A$4:$C$8"}</definedName>
    <definedName name="ㅇ호ㅓ" localSheetId="15">{"'용역비'!$A$4:$C$8"}</definedName>
    <definedName name="ㅇ호ㅓ" localSheetId="16">{"'용역비'!$A$4:$C$8"}</definedName>
    <definedName name="ㅇ호ㅓ" localSheetId="18">{"'용역비'!$A$4:$C$8"}</definedName>
    <definedName name="ㅇ호ㅓ" localSheetId="19">{"'용역비'!$A$4:$C$8"}</definedName>
    <definedName name="ㅇ호ㅓ" localSheetId="20">{"'용역비'!$A$4:$C$8"}</definedName>
    <definedName name="ㅇ호ㅓ" localSheetId="21">{"'용역비'!$A$4:$C$8"}</definedName>
    <definedName name="ㅇ호ㅓ" localSheetId="24">{"'용역비'!$A$4:$C$8"}</definedName>
    <definedName name="ㅇ호ㅓ" localSheetId="25">{"'용역비'!$A$4:$C$8"}</definedName>
    <definedName name="ㅇ호ㅓ" localSheetId="26">{"'용역비'!$A$4:$C$8"}</definedName>
    <definedName name="ㅇ호ㅓ" localSheetId="27">{"'용역비'!$A$4:$C$8"}</definedName>
    <definedName name="ㅇ호ㅓ">{"'용역비'!$A$4:$C$8"}</definedName>
    <definedName name="ㅇ호ㅓㅇㅎ" localSheetId="2">{"'용역비'!$A$4:$C$8"}</definedName>
    <definedName name="ㅇ호ㅓㅇㅎ" localSheetId="3">{"'용역비'!$A$4:$C$8"}</definedName>
    <definedName name="ㅇ호ㅓㅇㅎ" localSheetId="4">{"'용역비'!$A$4:$C$8"}</definedName>
    <definedName name="ㅇ호ㅓㅇㅎ" localSheetId="5">{"'용역비'!$A$4:$C$8"}</definedName>
    <definedName name="ㅇ호ㅓㅇㅎ" localSheetId="8">{"'용역비'!$A$4:$C$8"}</definedName>
    <definedName name="ㅇ호ㅓㅇㅎ" localSheetId="9">{"'용역비'!$A$4:$C$8"}</definedName>
    <definedName name="ㅇ호ㅓㅇㅎ" localSheetId="10">{"'용역비'!$A$4:$C$8"}</definedName>
    <definedName name="ㅇ호ㅓㅇㅎ" localSheetId="11">{"'용역비'!$A$4:$C$8"}</definedName>
    <definedName name="ㅇ호ㅓㅇㅎ" localSheetId="13">{"'용역비'!$A$4:$C$8"}</definedName>
    <definedName name="ㅇ호ㅓㅇㅎ" localSheetId="14">{"'용역비'!$A$4:$C$8"}</definedName>
    <definedName name="ㅇ호ㅓㅇㅎ" localSheetId="15">{"'용역비'!$A$4:$C$8"}</definedName>
    <definedName name="ㅇ호ㅓㅇㅎ" localSheetId="16">{"'용역비'!$A$4:$C$8"}</definedName>
    <definedName name="ㅇ호ㅓㅇㅎ" localSheetId="18">{"'용역비'!$A$4:$C$8"}</definedName>
    <definedName name="ㅇ호ㅓㅇㅎ" localSheetId="19">{"'용역비'!$A$4:$C$8"}</definedName>
    <definedName name="ㅇ호ㅓㅇㅎ" localSheetId="20">{"'용역비'!$A$4:$C$8"}</definedName>
    <definedName name="ㅇ호ㅓㅇㅎ" localSheetId="21">{"'용역비'!$A$4:$C$8"}</definedName>
    <definedName name="ㅇ호ㅓㅇㅎ" localSheetId="24">{"'용역비'!$A$4:$C$8"}</definedName>
    <definedName name="ㅇ호ㅓㅇㅎ" localSheetId="25">{"'용역비'!$A$4:$C$8"}</definedName>
    <definedName name="ㅇ호ㅓㅇㅎ" localSheetId="26">{"'용역비'!$A$4:$C$8"}</definedName>
    <definedName name="ㅇ호ㅓㅇㅎ" localSheetId="27">{"'용역비'!$A$4:$C$8"}</definedName>
    <definedName name="ㅇ호ㅓㅇㅎ">{"'용역비'!$A$4:$C$8"}</definedName>
    <definedName name="ㅇ호ㅓㅇ호ㅓ" localSheetId="2">{"'용역비'!$A$4:$C$8"}</definedName>
    <definedName name="ㅇ호ㅓㅇ호ㅓ" localSheetId="3">{"'용역비'!$A$4:$C$8"}</definedName>
    <definedName name="ㅇ호ㅓㅇ호ㅓ" localSheetId="4">{"'용역비'!$A$4:$C$8"}</definedName>
    <definedName name="ㅇ호ㅓㅇ호ㅓ" localSheetId="5">{"'용역비'!$A$4:$C$8"}</definedName>
    <definedName name="ㅇ호ㅓㅇ호ㅓ" localSheetId="8">{"'용역비'!$A$4:$C$8"}</definedName>
    <definedName name="ㅇ호ㅓㅇ호ㅓ" localSheetId="9">{"'용역비'!$A$4:$C$8"}</definedName>
    <definedName name="ㅇ호ㅓㅇ호ㅓ" localSheetId="10">{"'용역비'!$A$4:$C$8"}</definedName>
    <definedName name="ㅇ호ㅓㅇ호ㅓ" localSheetId="11">{"'용역비'!$A$4:$C$8"}</definedName>
    <definedName name="ㅇ호ㅓㅇ호ㅓ" localSheetId="13">{"'용역비'!$A$4:$C$8"}</definedName>
    <definedName name="ㅇ호ㅓㅇ호ㅓ" localSheetId="14">{"'용역비'!$A$4:$C$8"}</definedName>
    <definedName name="ㅇ호ㅓㅇ호ㅓ" localSheetId="15">{"'용역비'!$A$4:$C$8"}</definedName>
    <definedName name="ㅇ호ㅓㅇ호ㅓ" localSheetId="16">{"'용역비'!$A$4:$C$8"}</definedName>
    <definedName name="ㅇ호ㅓㅇ호ㅓ" localSheetId="18">{"'용역비'!$A$4:$C$8"}</definedName>
    <definedName name="ㅇ호ㅓㅇ호ㅓ" localSheetId="19">{"'용역비'!$A$4:$C$8"}</definedName>
    <definedName name="ㅇ호ㅓㅇ호ㅓ" localSheetId="20">{"'용역비'!$A$4:$C$8"}</definedName>
    <definedName name="ㅇ호ㅓㅇ호ㅓ" localSheetId="21">{"'용역비'!$A$4:$C$8"}</definedName>
    <definedName name="ㅇ호ㅓㅇ호ㅓ" localSheetId="24">{"'용역비'!$A$4:$C$8"}</definedName>
    <definedName name="ㅇ호ㅓㅇ호ㅓ" localSheetId="25">{"'용역비'!$A$4:$C$8"}</definedName>
    <definedName name="ㅇ호ㅓㅇ호ㅓ" localSheetId="26">{"'용역비'!$A$4:$C$8"}</definedName>
    <definedName name="ㅇ호ㅓㅇ호ㅓ" localSheetId="27">{"'용역비'!$A$4:$C$8"}</definedName>
    <definedName name="ㅇ호ㅓㅇ호ㅓ">{"'용역비'!$A$4:$C$8"}</definedName>
    <definedName name="ㅇ호ㅓㅎ" localSheetId="2">{"'용역비'!$A$4:$C$8"}</definedName>
    <definedName name="ㅇ호ㅓㅎ" localSheetId="3">{"'용역비'!$A$4:$C$8"}</definedName>
    <definedName name="ㅇ호ㅓㅎ" localSheetId="4">{"'용역비'!$A$4:$C$8"}</definedName>
    <definedName name="ㅇ호ㅓㅎ" localSheetId="5">{"'용역비'!$A$4:$C$8"}</definedName>
    <definedName name="ㅇ호ㅓㅎ" localSheetId="8">{"'용역비'!$A$4:$C$8"}</definedName>
    <definedName name="ㅇ호ㅓㅎ" localSheetId="9">{"'용역비'!$A$4:$C$8"}</definedName>
    <definedName name="ㅇ호ㅓㅎ" localSheetId="10">{"'용역비'!$A$4:$C$8"}</definedName>
    <definedName name="ㅇ호ㅓㅎ" localSheetId="11">{"'용역비'!$A$4:$C$8"}</definedName>
    <definedName name="ㅇ호ㅓㅎ" localSheetId="13">{"'용역비'!$A$4:$C$8"}</definedName>
    <definedName name="ㅇ호ㅓㅎ" localSheetId="14">{"'용역비'!$A$4:$C$8"}</definedName>
    <definedName name="ㅇ호ㅓㅎ" localSheetId="15">{"'용역비'!$A$4:$C$8"}</definedName>
    <definedName name="ㅇ호ㅓㅎ" localSheetId="16">{"'용역비'!$A$4:$C$8"}</definedName>
    <definedName name="ㅇ호ㅓㅎ" localSheetId="18">{"'용역비'!$A$4:$C$8"}</definedName>
    <definedName name="ㅇ호ㅓㅎ" localSheetId="19">{"'용역비'!$A$4:$C$8"}</definedName>
    <definedName name="ㅇ호ㅓㅎ" localSheetId="20">{"'용역비'!$A$4:$C$8"}</definedName>
    <definedName name="ㅇ호ㅓㅎ" localSheetId="21">{"'용역비'!$A$4:$C$8"}</definedName>
    <definedName name="ㅇ호ㅓㅎ" localSheetId="24">{"'용역비'!$A$4:$C$8"}</definedName>
    <definedName name="ㅇ호ㅓㅎ" localSheetId="25">{"'용역비'!$A$4:$C$8"}</definedName>
    <definedName name="ㅇ호ㅓㅎ" localSheetId="26">{"'용역비'!$A$4:$C$8"}</definedName>
    <definedName name="ㅇ호ㅓㅎ" localSheetId="27">{"'용역비'!$A$4:$C$8"}</definedName>
    <definedName name="ㅇ호ㅓㅎ">{"'용역비'!$A$4:$C$8"}</definedName>
    <definedName name="ㅇ호ㅓ호ㅓ" localSheetId="2">{"'용역비'!$A$4:$C$8"}</definedName>
    <definedName name="ㅇ호ㅓ호ㅓ" localSheetId="3">{"'용역비'!$A$4:$C$8"}</definedName>
    <definedName name="ㅇ호ㅓ호ㅓ" localSheetId="4">{"'용역비'!$A$4:$C$8"}</definedName>
    <definedName name="ㅇ호ㅓ호ㅓ" localSheetId="5">{"'용역비'!$A$4:$C$8"}</definedName>
    <definedName name="ㅇ호ㅓ호ㅓ" localSheetId="8">{"'용역비'!$A$4:$C$8"}</definedName>
    <definedName name="ㅇ호ㅓ호ㅓ" localSheetId="9">{"'용역비'!$A$4:$C$8"}</definedName>
    <definedName name="ㅇ호ㅓ호ㅓ" localSheetId="10">{"'용역비'!$A$4:$C$8"}</definedName>
    <definedName name="ㅇ호ㅓ호ㅓ" localSheetId="11">{"'용역비'!$A$4:$C$8"}</definedName>
    <definedName name="ㅇ호ㅓ호ㅓ" localSheetId="13">{"'용역비'!$A$4:$C$8"}</definedName>
    <definedName name="ㅇ호ㅓ호ㅓ" localSheetId="14">{"'용역비'!$A$4:$C$8"}</definedName>
    <definedName name="ㅇ호ㅓ호ㅓ" localSheetId="15">{"'용역비'!$A$4:$C$8"}</definedName>
    <definedName name="ㅇ호ㅓ호ㅓ" localSheetId="16">{"'용역비'!$A$4:$C$8"}</definedName>
    <definedName name="ㅇ호ㅓ호ㅓ" localSheetId="18">{"'용역비'!$A$4:$C$8"}</definedName>
    <definedName name="ㅇ호ㅓ호ㅓ" localSheetId="19">{"'용역비'!$A$4:$C$8"}</definedName>
    <definedName name="ㅇ호ㅓ호ㅓ" localSheetId="20">{"'용역비'!$A$4:$C$8"}</definedName>
    <definedName name="ㅇ호ㅓ호ㅓ" localSheetId="21">{"'용역비'!$A$4:$C$8"}</definedName>
    <definedName name="ㅇ호ㅓ호ㅓ" localSheetId="24">{"'용역비'!$A$4:$C$8"}</definedName>
    <definedName name="ㅇ호ㅓ호ㅓ" localSheetId="25">{"'용역비'!$A$4:$C$8"}</definedName>
    <definedName name="ㅇ호ㅓ호ㅓ" localSheetId="26">{"'용역비'!$A$4:$C$8"}</definedName>
    <definedName name="ㅇ호ㅓ호ㅓ" localSheetId="27">{"'용역비'!$A$4:$C$8"}</definedName>
    <definedName name="ㅇ호ㅓ호ㅓ">{"'용역비'!$A$4:$C$8"}</definedName>
    <definedName name="아">#REF!</definedName>
    <definedName name="아까라치쵸코나비아" localSheetId="28">#REF!</definedName>
    <definedName name="아까라치쵸코나비아">#REF!</definedName>
    <definedName name="아뇨" localSheetId="28">#REF!</definedName>
    <definedName name="아뇨">#REF!</definedName>
    <definedName name="아니" localSheetId="28">#REF!</definedName>
    <definedName name="아니">#REF!</definedName>
    <definedName name="아니꼬" localSheetId="28">#REF!</definedName>
    <definedName name="아니꼬">#REF!</definedName>
    <definedName name="아니다" localSheetId="28">#REF!</definedName>
    <definedName name="아니다">#REF!</definedName>
    <definedName name="아니아" localSheetId="28">#REF!</definedName>
    <definedName name="아니아">#REF!</definedName>
    <definedName name="아니아니" localSheetId="28">#REF!</definedName>
    <definedName name="아니아니">#REF!</definedName>
    <definedName name="아니요" localSheetId="28">#REF!</definedName>
    <definedName name="아니요">#REF!</definedName>
    <definedName name="아다" localSheetId="28">#REF!</definedName>
    <definedName name="아다">#REF!</definedName>
    <definedName name="아라" localSheetId="28">#REF!</definedName>
    <definedName name="아라">#REF!</definedName>
    <definedName name="아러ㅏ러">{"'Firr(선)'!$AS$1:$AY$62","'Firr(사)'!$AS$1:$AY$62","'Firr(회)'!$AS$1:$AY$62","'Firr(선)'!$L$1:$V$62","'Firr(사)'!$L$1:$V$62","'Firr(회)'!$L$1:$V$62"}</definedName>
    <definedName name="아루" localSheetId="28">#REF!</definedName>
    <definedName name="아루">#REF!</definedName>
    <definedName name="아모레" localSheetId="28">#REF!</definedName>
    <definedName name="아모레">#REF!</definedName>
    <definedName name="아브라함" localSheetId="28">#REF!</definedName>
    <definedName name="아브라함">#REF!</definedName>
    <definedName name="아세" localSheetId="28">#REF!</definedName>
    <definedName name="아세">#REF!</definedName>
    <definedName name="아아아" localSheetId="28">#REF!</definedName>
    <definedName name="아아아">#REF!</definedName>
    <definedName name="아아아아앙" localSheetId="28">#REF!</definedName>
    <definedName name="아아아아앙">#REF!</definedName>
    <definedName name="아아앙" localSheetId="28">#REF!</definedName>
    <definedName name="아아앙">#REF!</definedName>
    <definedName name="아하마니다" localSheetId="28">#REF!</definedName>
    <definedName name="아하마니다">#REF!</definedName>
    <definedName name="아휴" localSheetId="28">#REF!</definedName>
    <definedName name="아휴">#REF!</definedName>
    <definedName name="아ㅓ아어" localSheetId="28">#REF!</definedName>
    <definedName name="아ㅓ아어">#REF!</definedName>
    <definedName name="아ㅓㅣㅏㄴ" localSheetId="28">#REF!</definedName>
    <definedName name="아ㅓㅣㅏㄴ">#REF!</definedName>
    <definedName name="안" localSheetId="28">#REF!</definedName>
    <definedName name="안">#REF!</definedName>
    <definedName name="안전" localSheetId="28">#REF!</definedName>
    <definedName name="안전">#REF!</definedName>
    <definedName name="안전관리비" localSheetId="28">#REF!</definedName>
    <definedName name="안전관리비">#REF!</definedName>
    <definedName name="안평역사총집계" localSheetId="28">#REF!</definedName>
    <definedName name="안평역사총집계">#REF!</definedName>
    <definedName name="알12" localSheetId="28">#REF!</definedName>
    <definedName name="알12">#REF!</definedName>
    <definedName name="압" localSheetId="28">#REF!</definedName>
    <definedName name="압">#REF!</definedName>
    <definedName name="압입시공" localSheetId="28">#REF!</definedName>
    <definedName name="압입시공">#REF!</definedName>
    <definedName name="압후" localSheetId="28">#REF!</definedName>
    <definedName name="압후">#REF!</definedName>
    <definedName name="앙" localSheetId="28">#REF!</definedName>
    <definedName name="앙">#REF!</definedName>
    <definedName name="야" localSheetId="28">#REF!</definedName>
    <definedName name="야">#REF!</definedName>
    <definedName name="야쿠" localSheetId="28">#REF!</definedName>
    <definedName name="야쿠">#REF!</definedName>
    <definedName name="어" localSheetId="2">{"'용역비'!$A$4:$C$8"}</definedName>
    <definedName name="어" localSheetId="3">{"'용역비'!$A$4:$C$8"}</definedName>
    <definedName name="어" localSheetId="4">{"'용역비'!$A$4:$C$8"}</definedName>
    <definedName name="어" localSheetId="5">{"'용역비'!$A$4:$C$8"}</definedName>
    <definedName name="어" localSheetId="8">{"'용역비'!$A$4:$C$8"}</definedName>
    <definedName name="어" localSheetId="9">{"'용역비'!$A$4:$C$8"}</definedName>
    <definedName name="어" localSheetId="10">{"'용역비'!$A$4:$C$8"}</definedName>
    <definedName name="어" localSheetId="11">{"'용역비'!$A$4:$C$8"}</definedName>
    <definedName name="어" localSheetId="13">{"'용역비'!$A$4:$C$8"}</definedName>
    <definedName name="어" localSheetId="14">{"'용역비'!$A$4:$C$8"}</definedName>
    <definedName name="어" localSheetId="15">{"'용역비'!$A$4:$C$8"}</definedName>
    <definedName name="어" localSheetId="16">{"'용역비'!$A$4:$C$8"}</definedName>
    <definedName name="어" localSheetId="18">{"'용역비'!$A$4:$C$8"}</definedName>
    <definedName name="어" localSheetId="19">{"'용역비'!$A$4:$C$8"}</definedName>
    <definedName name="어" localSheetId="20">{"'용역비'!$A$4:$C$8"}</definedName>
    <definedName name="어" localSheetId="21">{"'용역비'!$A$4:$C$8"}</definedName>
    <definedName name="어" localSheetId="28">#REF!</definedName>
    <definedName name="어" localSheetId="24">{"'용역비'!$A$4:$C$8"}</definedName>
    <definedName name="어" localSheetId="25">{"'용역비'!$A$4:$C$8"}</definedName>
    <definedName name="어" localSheetId="26">{"'용역비'!$A$4:$C$8"}</definedName>
    <definedName name="어" localSheetId="27">{"'용역비'!$A$4:$C$8"}</definedName>
    <definedName name="어">{"'용역비'!$A$4:$C$8"}</definedName>
    <definedName name="어라" localSheetId="28">#REF!</definedName>
    <definedName name="어라">#REF!</definedName>
    <definedName name="어어ㅣ아너" localSheetId="28">#REF!</definedName>
    <definedName name="어어ㅣ아너">#REF!</definedName>
    <definedName name="어ㅗㄷㄱㄹ" localSheetId="28" hidden="1">{#N/A,#N/A,FALSE,"명세표"}</definedName>
    <definedName name="어ㅗㄷㄱㄹ" hidden="1">{#N/A,#N/A,FALSE,"명세표"}</definedName>
    <definedName name="어ㅗ링" localSheetId="28" hidden="1">{#N/A,#N/A,FALSE,"명세표"}</definedName>
    <definedName name="어ㅗ링" hidden="1">{#N/A,#N/A,FALSE,"명세표"}</definedName>
    <definedName name="얻ㄱㄹㅇ" localSheetId="28" hidden="1">{#N/A,#N/A,FALSE,"명세표"}</definedName>
    <definedName name="얻ㄱㄹㅇ" hidden="1">{#N/A,#N/A,FALSE,"명세표"}</definedName>
    <definedName name="업체단가">#REF!</definedName>
    <definedName name="에반게리온" localSheetId="28">#REF!</definedName>
    <definedName name="에반게리온">#REF!</definedName>
    <definedName name="에반에셀" localSheetId="28">#REF!</definedName>
    <definedName name="에반에셀">#REF!</definedName>
    <definedName name="에이스" localSheetId="28">#REF!</definedName>
    <definedName name="에이스">#REF!</definedName>
    <definedName name="여름" localSheetId="28">#REF!</definedName>
    <definedName name="여름">#REF!</definedName>
    <definedName name="여비" localSheetId="28">#REF!</definedName>
    <definedName name="여비">#REF!</definedName>
    <definedName name="역1" localSheetId="28">#REF!</definedName>
    <definedName name="역1">#REF!</definedName>
    <definedName name="역간" localSheetId="28">#REF!</definedName>
    <definedName name="역간">#REF!</definedName>
    <definedName name="역명표" localSheetId="28">#REF!</definedName>
    <definedName name="역명표">#REF!</definedName>
    <definedName name="역사_동익산" localSheetId="28">#REF!</definedName>
    <definedName name="역사_동익산">#REF!</definedName>
    <definedName name="역삼" localSheetId="28">#REF!</definedName>
    <definedName name="역삼">#REF!</definedName>
    <definedName name="역수11" localSheetId="28">#REF!</definedName>
    <definedName name="역수11">#REF!</definedName>
    <definedName name="역수량1" localSheetId="28">#REF!</definedName>
    <definedName name="역수량1">#REF!</definedName>
    <definedName name="역수량11" localSheetId="28">#REF!</definedName>
    <definedName name="역수량11">#REF!</definedName>
    <definedName name="역수량2" localSheetId="28">#REF!</definedName>
    <definedName name="역수량2">#REF!</definedName>
    <definedName name="역집계" localSheetId="28">#REF!</definedName>
    <definedName name="역집계">#REF!</definedName>
    <definedName name="연" localSheetId="28">#REF!</definedName>
    <definedName name="연">#REF!</definedName>
    <definedName name="연마공" localSheetId="28">#REF!</definedName>
    <definedName name="연마공">#REF!</definedName>
    <definedName name="연습9" localSheetId="28">#REF!</definedName>
    <definedName name="연습9">#REF!</definedName>
    <definedName name="연습99" localSheetId="28">#REF!</definedName>
    <definedName name="연습99">#REF!</definedName>
    <definedName name="연접물량" localSheetId="2">'1-1. 설계설명서(1차)'!연접물량</definedName>
    <definedName name="연접물량" localSheetId="3">'1-1. 설계설명서(2차)'!연접물량</definedName>
    <definedName name="연접물량" localSheetId="4">'1-1. 설계설명서(3차)'!연접물량</definedName>
    <definedName name="연접물량" localSheetId="5">'1-1. 설계설명서(4차)'!연접물량</definedName>
    <definedName name="연접물량" localSheetId="8">'3-1. 예정공정표(1차)'!연접물량</definedName>
    <definedName name="연접물량" localSheetId="9">'3-2. 예정공정표(2차)'!연접물량</definedName>
    <definedName name="연접물량" localSheetId="10">'3-3. 예정공정표(3차)'!연접물량</definedName>
    <definedName name="연접물량" localSheetId="11">'3-4. 예정공정표(4차)'!연접물량</definedName>
    <definedName name="연접물량" localSheetId="13">'4-1. 예산내역서(1차)'!연접물량</definedName>
    <definedName name="연접물량" localSheetId="14">'4-2. 예산내역서(2차)'!연접물량</definedName>
    <definedName name="연접물량" localSheetId="15">'4-3. 예산내역서(3차)'!연접물량</definedName>
    <definedName name="연접물량" localSheetId="16">'4-4. 예산내역서(4차)'!연접물량</definedName>
    <definedName name="연접물량" localSheetId="18">'5-1. 공종별예산조서(1차)'!연접물량</definedName>
    <definedName name="연접물량" localSheetId="19">'5-2. 공종별예산조서(2차)'!연접물량</definedName>
    <definedName name="연접물량" localSheetId="20">'5-3. 공종별예산조서(3차)'!연접물량</definedName>
    <definedName name="연접물량" localSheetId="21">'5-3. 공종별예산조서(4차)'!연접물량</definedName>
    <definedName name="연접물량" localSheetId="28">#N/A</definedName>
    <definedName name="연접물량" localSheetId="24">'8-1. 철거발생품 예정조서(1차)'!연접물량</definedName>
    <definedName name="연접물량" localSheetId="25">'8-2. 철거발생품 예정조서(2차)'!연접물량</definedName>
    <definedName name="연접물량" localSheetId="26">'8-3. 철거발생품 예정조서(3차)'!연접물량</definedName>
    <definedName name="연접물량" localSheetId="27">'8-4. 철거발생품 예정조서(4차)'!연접물량</definedName>
    <definedName name="연접물량">#N/A</definedName>
    <definedName name="연험" localSheetId="28">#REF!</definedName>
    <definedName name="연험">#REF!</definedName>
    <definedName name="연후" localSheetId="28">#REF!</definedName>
    <definedName name="연후">#REF!</definedName>
    <definedName name="열" localSheetId="28">#REF!</definedName>
    <definedName name="열">#REF!</definedName>
    <definedName name="열차무선전화설비" localSheetId="28">#REF!</definedName>
    <definedName name="열차무선전화설비">#REF!</definedName>
    <definedName name="영동보수기지" localSheetId="28">#REF!</definedName>
    <definedName name="영동보수기지">#REF!</definedName>
    <definedName name="영림기사" localSheetId="28">#REF!</definedName>
    <definedName name="영림기사">#REF!</definedName>
    <definedName name="영터" localSheetId="28">#REF!</definedName>
    <definedName name="영터">#REF!</definedName>
    <definedName name="예" localSheetId="28">#REF!</definedName>
    <definedName name="예">#REF!</definedName>
    <definedName name="예3" localSheetId="28">#REF!</definedName>
    <definedName name="예3">#REF!</definedName>
    <definedName name="예55" localSheetId="28">#REF!</definedName>
    <definedName name="예55">#REF!</definedName>
    <definedName name="예산" localSheetId="28">#REF!</definedName>
    <definedName name="예산">#REF!</definedName>
    <definedName name="예산조서2" localSheetId="28">#REF!</definedName>
    <definedName name="예산조서2">#REF!</definedName>
    <definedName name="오리" localSheetId="28" hidden="1">{#N/A,#N/A,FALSE,"명세표"}</definedName>
    <definedName name="오리" hidden="1">{#N/A,#N/A,FALSE,"명세표"}</definedName>
    <definedName name="옥외등신설공구손료">#REF!</definedName>
    <definedName name="옥외등신설공비" localSheetId="28">#REF!</definedName>
    <definedName name="옥외등신설공비">#REF!</definedName>
    <definedName name="옥외등신설재료비" localSheetId="28">#REF!</definedName>
    <definedName name="옥외등신설재료비">#REF!</definedName>
    <definedName name="옥외등철거공구손료" localSheetId="28">#REF!</definedName>
    <definedName name="옥외등철거공구손료">#REF!</definedName>
    <definedName name="옥외등철거공비" localSheetId="28">#REF!</definedName>
    <definedName name="옥외등철거공비">#REF!</definedName>
    <definedName name="온돌공" localSheetId="28">#REF!</definedName>
    <definedName name="온돌공">#REF!</definedName>
    <definedName name="옫ㄱㄹㅇ" localSheetId="28" hidden="1">{#N/A,#N/A,FALSE,"명세표"}</definedName>
    <definedName name="옫ㄱㄹㅇ" hidden="1">{#N/A,#N/A,FALSE,"명세표"}</definedName>
    <definedName name="올호" localSheetId="28" hidden="1">{#N/A,#N/A,FALSE,"명세표"}</definedName>
    <definedName name="올호" hidden="1">{#N/A,#N/A,FALSE,"명세표"}</definedName>
    <definedName name="와밀" localSheetId="28" hidden="1">{#N/A,#N/A,FALSE,"명세표"}</definedName>
    <definedName name="와밀" hidden="1">{#N/A,#N/A,FALSE,"명세표"}</definedName>
    <definedName name="왜그래">#REF!</definedName>
    <definedName name="왜이러니" localSheetId="28">#REF!</definedName>
    <definedName name="왜이러니">#REF!</definedName>
    <definedName name="외료펴" localSheetId="28" hidden="1">{#N/A,#N/A,FALSE,"명세표"}</definedName>
    <definedName name="외료펴" hidden="1">{#N/A,#N/A,FALSE,"명세표"}</definedName>
    <definedName name="외주산출">{"'용역비'!$A$4:$C$8"}</definedName>
    <definedName name="외주집계">{"'용역비'!$A$4:$C$8"}</definedName>
    <definedName name="요금">#REF!</definedName>
    <definedName name="용" localSheetId="28">#REF!</definedName>
    <definedName name="용">#REF!</definedName>
    <definedName name="용50" localSheetId="28">#REF!</definedName>
    <definedName name="용50">#REF!</definedName>
    <definedName name="용5경" localSheetId="28">#REF!</definedName>
    <definedName name="용5경">#REF!</definedName>
    <definedName name="용60" localSheetId="28">#REF!</definedName>
    <definedName name="용60">#REF!</definedName>
    <definedName name="용경5" localSheetId="28">#REF!</definedName>
    <definedName name="용경5">#REF!</definedName>
    <definedName name="용동" localSheetId="28">#REF!</definedName>
    <definedName name="용동">#REF!</definedName>
    <definedName name="용신10" localSheetId="28">#REF!</definedName>
    <definedName name="용신10">#REF!</definedName>
    <definedName name="용신20" localSheetId="28">#REF!</definedName>
    <definedName name="용신20">#REF!</definedName>
    <definedName name="용접공" localSheetId="28">#REF!</definedName>
    <definedName name="용접공">#REF!</definedName>
    <definedName name="용접공_일반" localSheetId="28">#REF!</definedName>
    <definedName name="용접공_일반">#REF!</definedName>
    <definedName name="용접공_철도" localSheetId="28">#REF!</definedName>
    <definedName name="용접공_철도">#REF!</definedName>
    <definedName name="용표" localSheetId="28">#REF!</definedName>
    <definedName name="용표">#REF!</definedName>
    <definedName name="우너가총괄">{"'5국공정'!$A$1:$E$128"}</definedName>
    <definedName name="우리나라" localSheetId="28">#N/A</definedName>
    <definedName name="우리나라">#N/A</definedName>
    <definedName name="우물공" localSheetId="28">#REF!</definedName>
    <definedName name="우물공">#REF!</definedName>
    <definedName name="우씨" localSheetId="28">#REF!</definedName>
    <definedName name="우씨">#REF!</definedName>
    <definedName name="우우" localSheetId="28">#REF!</definedName>
    <definedName name="우우">#REF!</definedName>
    <definedName name="우우우우" localSheetId="28">#REF!</definedName>
    <definedName name="우우우우">#REF!</definedName>
    <definedName name="우휴" localSheetId="28">#REF!</definedName>
    <definedName name="우휴">#REF!</definedName>
    <definedName name="우ㅜㅜㅜ" localSheetId="28">#REF!</definedName>
    <definedName name="우ㅜㅜㅜ">#REF!</definedName>
    <definedName name="운반" localSheetId="28" hidden="1">{#N/A,#N/A,FALSE,"명세표"}</definedName>
    <definedName name="운반" hidden="1">{#N/A,#N/A,FALSE,"명세표"}</definedName>
    <definedName name="운반2">#REF!</definedName>
    <definedName name="운반구간" localSheetId="28">#REF!</definedName>
    <definedName name="운반구간">#REF!</definedName>
    <definedName name="운반비" localSheetId="28">#REF!</definedName>
    <definedName name="운반비">#REF!</definedName>
    <definedName name="운반비2" localSheetId="28">#REF!</definedName>
    <definedName name="운반비2">#REF!</definedName>
    <definedName name="운반비산출" localSheetId="28">#REF!</definedName>
    <definedName name="운반비산출">#REF!</definedName>
    <definedName name="운반비신설명세4" localSheetId="28" hidden="1">{#N/A,#N/A,FALSE,"명세표"}</definedName>
    <definedName name="운반비신설명세4" hidden="1">{#N/A,#N/A,FALSE,"명세표"}</definedName>
    <definedName name="운반비신설명세표3" localSheetId="28" hidden="1">{#N/A,#N/A,FALSE,"명세표"}</definedName>
    <definedName name="운반비신설명세표3" hidden="1">{#N/A,#N/A,FALSE,"명세표"}</definedName>
    <definedName name="운잔">#REF!</definedName>
    <definedName name="운전사_기계" localSheetId="28">#REF!</definedName>
    <definedName name="운전사_기계">#REF!</definedName>
    <definedName name="운전사_운반" localSheetId="28">#REF!</definedName>
    <definedName name="운전사_운반">#REF!</definedName>
    <definedName name="운전사_운반차" localSheetId="28">#REF!</definedName>
    <definedName name="운전사_운반차">#REF!</definedName>
    <definedName name="운진" localSheetId="28">#REF!</definedName>
    <definedName name="운진">#REF!</definedName>
    <definedName name="울울울" localSheetId="28">#REF!</definedName>
    <definedName name="울울울">#REF!</definedName>
    <definedName name="원" localSheetId="28">#REF!</definedName>
    <definedName name="원">#REF!</definedName>
    <definedName name="원2" localSheetId="28">#REF!</definedName>
    <definedName name="원2">#REF!</definedName>
    <definedName name="원가" localSheetId="28">#N/A</definedName>
    <definedName name="원가">#N/A</definedName>
    <definedName name="원가_단가">{"'5국공정'!$A$1:$E$128"}</definedName>
    <definedName name="원가1" localSheetId="28">#REF!</definedName>
    <definedName name="원가1">#REF!</definedName>
    <definedName name="원가계산" localSheetId="28">#REF!,#REF!,#REF!</definedName>
    <definedName name="원가계산">#REF!,#REF!,#REF!</definedName>
    <definedName name="원가계산1" localSheetId="28">#REF!</definedName>
    <definedName name="원가계산1">#REF!</definedName>
    <definedName name="원가계산서" localSheetId="28">#REF!</definedName>
    <definedName name="원가계산서">#REF!</definedName>
    <definedName name="원가계산서갑종" localSheetId="28">#REF!</definedName>
    <definedName name="원가계산서갑종">#REF!</definedName>
    <definedName name="원가변경" localSheetId="28">#REF!</definedName>
    <definedName name="원가변경">#REF!</definedName>
    <definedName name="원자력계장공" localSheetId="28">#REF!</definedName>
    <definedName name="원자력계장공">#REF!</definedName>
    <definedName name="원자력기계설치공" localSheetId="28">#REF!</definedName>
    <definedName name="원자력기계설치공">#REF!</definedName>
    <definedName name="원자력기술자" localSheetId="28">#REF!</definedName>
    <definedName name="원자력기술자">#REF!</definedName>
    <definedName name="원자력덕트공" localSheetId="28">#REF!</definedName>
    <definedName name="원자력덕트공">#REF!</definedName>
    <definedName name="원자력배관공" localSheetId="28">#REF!</definedName>
    <definedName name="원자력배관공">#REF!</definedName>
    <definedName name="원자력보온공" localSheetId="28">#REF!</definedName>
    <definedName name="원자력보온공">#REF!</definedName>
    <definedName name="원자력용접공" localSheetId="28">#REF!</definedName>
    <definedName name="원자력용접공">#REF!</definedName>
    <definedName name="원자력제관공" localSheetId="28">#REF!</definedName>
    <definedName name="원자력제관공">#REF!</definedName>
    <definedName name="원자력케이블전공" localSheetId="28">#REF!</definedName>
    <definedName name="원자력케이블전공">#REF!</definedName>
    <definedName name="원자력특별인부" localSheetId="28">#REF!</definedName>
    <definedName name="원자력특별인부">#REF!</definedName>
    <definedName name="원자력품질관리사" localSheetId="28">#REF!</definedName>
    <definedName name="원자력품질관리사">#REF!</definedName>
    <definedName name="원자력플랜트전공" localSheetId="28">#REF!</definedName>
    <definedName name="원자력플랜트전공">#REF!</definedName>
    <definedName name="위생공" localSheetId="28">#REF!</definedName>
    <definedName name="위생공">#REF!</definedName>
    <definedName name="유리공" localSheetId="28">#REF!</definedName>
    <definedName name="유리공">#REF!</definedName>
    <definedName name="유모레스크" localSheetId="28">#REF!</definedName>
    <definedName name="유모레스크">#REF!</definedName>
    <definedName name="은파" localSheetId="28">#REF!</definedName>
    <definedName name="은파">#REF!</definedName>
    <definedName name="을부담" localSheetId="28">#REF!</definedName>
    <definedName name="을부담">#REF!</definedName>
    <definedName name="을부담자재" localSheetId="28">#REF!</definedName>
    <definedName name="을부담자재">#REF!</definedName>
    <definedName name="을부담품목별중량계" localSheetId="28">#REF!</definedName>
    <definedName name="을부담품목별중량계">#REF!</definedName>
    <definedName name="응" localSheetId="28">#REF!</definedName>
    <definedName name="응">#REF!</definedName>
    <definedName name="의" localSheetId="28">#REF!</definedName>
    <definedName name="의">#REF!</definedName>
    <definedName name="의_주" localSheetId="28">#REF!</definedName>
    <definedName name="의_주">#REF!</definedName>
    <definedName name="의1" localSheetId="28">#REF!</definedName>
    <definedName name="의1">#REF!</definedName>
    <definedName name="의정부" localSheetId="28">#REF!</definedName>
    <definedName name="의정부">#REF!</definedName>
    <definedName name="의정부1" localSheetId="28">#REF!</definedName>
    <definedName name="의정부1">#REF!</definedName>
    <definedName name="의주" localSheetId="28">#REF!</definedName>
    <definedName name="의주">#REF!</definedName>
    <definedName name="이" localSheetId="28" hidden="1">{#N/A,#N/A,FALSE,"명세표"}</definedName>
    <definedName name="이" hidden="1">{#N/A,#N/A,FALSE,"명세표"}</definedName>
    <definedName name="이가">{"'Firr(선)'!$AS$1:$AY$62","'Firr(사)'!$AS$1:$AY$62","'Firr(회)'!$AS$1:$AY$62","'Firr(선)'!$L$1:$V$62","'Firr(사)'!$L$1:$V$62","'Firr(회)'!$L$1:$V$62"}</definedName>
    <definedName name="이광훈13" localSheetId="2">'1-1. 설계설명서(1차)'!이광훈13</definedName>
    <definedName name="이광훈13" localSheetId="3">'1-1. 설계설명서(2차)'!이광훈13</definedName>
    <definedName name="이광훈13" localSheetId="4">'1-1. 설계설명서(3차)'!이광훈13</definedName>
    <definedName name="이광훈13" localSheetId="5">'1-1. 설계설명서(4차)'!이광훈13</definedName>
    <definedName name="이광훈13" localSheetId="8">'3-1. 예정공정표(1차)'!이광훈13</definedName>
    <definedName name="이광훈13" localSheetId="9">'3-2. 예정공정표(2차)'!이광훈13</definedName>
    <definedName name="이광훈13" localSheetId="10">'3-3. 예정공정표(3차)'!이광훈13</definedName>
    <definedName name="이광훈13" localSheetId="11">'3-4. 예정공정표(4차)'!이광훈13</definedName>
    <definedName name="이광훈13" localSheetId="13">'4-1. 예산내역서(1차)'!이광훈13</definedName>
    <definedName name="이광훈13" localSheetId="14">'4-2. 예산내역서(2차)'!이광훈13</definedName>
    <definedName name="이광훈13" localSheetId="15">'4-3. 예산내역서(3차)'!이광훈13</definedName>
    <definedName name="이광훈13" localSheetId="16">'4-4. 예산내역서(4차)'!이광훈13</definedName>
    <definedName name="이광훈13" localSheetId="18">'5-1. 공종별예산조서(1차)'!이광훈13</definedName>
    <definedName name="이광훈13" localSheetId="19">'5-2. 공종별예산조서(2차)'!이광훈13</definedName>
    <definedName name="이광훈13" localSheetId="20">'5-3. 공종별예산조서(3차)'!이광훈13</definedName>
    <definedName name="이광훈13" localSheetId="21">'5-3. 공종별예산조서(4차)'!이광훈13</definedName>
    <definedName name="이광훈13" localSheetId="24">'8-1. 철거발생품 예정조서(1차)'!이광훈13</definedName>
    <definedName name="이광훈13" localSheetId="25">'8-2. 철거발생품 예정조서(2차)'!이광훈13</definedName>
    <definedName name="이광훈13" localSheetId="26">'8-3. 철거발생품 예정조서(3차)'!이광훈13</definedName>
    <definedName name="이광훈13" localSheetId="27">'8-4. 철거발생품 예정조서(4차)'!이광훈13</definedName>
    <definedName name="이광훈3" localSheetId="2">'1-1. 설계설명서(1차)'!이광훈3</definedName>
    <definedName name="이광훈3" localSheetId="3">'1-1. 설계설명서(2차)'!이광훈3</definedName>
    <definedName name="이광훈3" localSheetId="4">'1-1. 설계설명서(3차)'!이광훈3</definedName>
    <definedName name="이광훈3" localSheetId="5">'1-1. 설계설명서(4차)'!이광훈3</definedName>
    <definedName name="이광훈3" localSheetId="8">'3-1. 예정공정표(1차)'!이광훈3</definedName>
    <definedName name="이광훈3" localSheetId="9">'3-2. 예정공정표(2차)'!이광훈3</definedName>
    <definedName name="이광훈3" localSheetId="10">'3-3. 예정공정표(3차)'!이광훈3</definedName>
    <definedName name="이광훈3" localSheetId="11">'3-4. 예정공정표(4차)'!이광훈3</definedName>
    <definedName name="이광훈3" localSheetId="13">'4-1. 예산내역서(1차)'!이광훈3</definedName>
    <definedName name="이광훈3" localSheetId="14">'4-2. 예산내역서(2차)'!이광훈3</definedName>
    <definedName name="이광훈3" localSheetId="15">'4-3. 예산내역서(3차)'!이광훈3</definedName>
    <definedName name="이광훈3" localSheetId="16">'4-4. 예산내역서(4차)'!이광훈3</definedName>
    <definedName name="이광훈3" localSheetId="18">'5-1. 공종별예산조서(1차)'!이광훈3</definedName>
    <definedName name="이광훈3" localSheetId="19">'5-2. 공종별예산조서(2차)'!이광훈3</definedName>
    <definedName name="이광훈3" localSheetId="20">'5-3. 공종별예산조서(3차)'!이광훈3</definedName>
    <definedName name="이광훈3" localSheetId="21">'5-3. 공종별예산조서(4차)'!이광훈3</definedName>
    <definedName name="이광훈3" localSheetId="24">'8-1. 철거발생품 예정조서(1차)'!이광훈3</definedName>
    <definedName name="이광훈3" localSheetId="25">'8-2. 철거발생품 예정조서(2차)'!이광훈3</definedName>
    <definedName name="이광훈3" localSheetId="26">'8-3. 철거발생품 예정조서(3차)'!이광훈3</definedName>
    <definedName name="이광훈3" localSheetId="27">'8-4. 철거발생품 예정조서(4차)'!이광훈3</definedName>
    <definedName name="이광훈5" localSheetId="2">'1-1. 설계설명서(1차)'!이광훈5</definedName>
    <definedName name="이광훈5" localSheetId="3">'1-1. 설계설명서(2차)'!이광훈5</definedName>
    <definedName name="이광훈5" localSheetId="4">'1-1. 설계설명서(3차)'!이광훈5</definedName>
    <definedName name="이광훈5" localSheetId="5">'1-1. 설계설명서(4차)'!이광훈5</definedName>
    <definedName name="이광훈5" localSheetId="8">'3-1. 예정공정표(1차)'!이광훈5</definedName>
    <definedName name="이광훈5" localSheetId="9">'3-2. 예정공정표(2차)'!이광훈5</definedName>
    <definedName name="이광훈5" localSheetId="10">'3-3. 예정공정표(3차)'!이광훈5</definedName>
    <definedName name="이광훈5" localSheetId="11">'3-4. 예정공정표(4차)'!이광훈5</definedName>
    <definedName name="이광훈5" localSheetId="13">'4-1. 예산내역서(1차)'!이광훈5</definedName>
    <definedName name="이광훈5" localSheetId="14">'4-2. 예산내역서(2차)'!이광훈5</definedName>
    <definedName name="이광훈5" localSheetId="15">'4-3. 예산내역서(3차)'!이광훈5</definedName>
    <definedName name="이광훈5" localSheetId="16">'4-4. 예산내역서(4차)'!이광훈5</definedName>
    <definedName name="이광훈5" localSheetId="18">'5-1. 공종별예산조서(1차)'!이광훈5</definedName>
    <definedName name="이광훈5" localSheetId="19">'5-2. 공종별예산조서(2차)'!이광훈5</definedName>
    <definedName name="이광훈5" localSheetId="20">'5-3. 공종별예산조서(3차)'!이광훈5</definedName>
    <definedName name="이광훈5" localSheetId="21">'5-3. 공종별예산조서(4차)'!이광훈5</definedName>
    <definedName name="이광훈5" localSheetId="24">'8-1. 철거발생품 예정조서(1차)'!이광훈5</definedName>
    <definedName name="이광훈5" localSheetId="25">'8-2. 철거발생품 예정조서(2차)'!이광훈5</definedName>
    <definedName name="이광훈5" localSheetId="26">'8-3. 철거발생품 예정조서(3차)'!이광훈5</definedName>
    <definedName name="이광훈5" localSheetId="27">'8-4. 철거발생품 예정조서(4차)'!이광훈5</definedName>
    <definedName name="이나">#REF!</definedName>
    <definedName name="이다" localSheetId="28">#REF!</definedName>
    <definedName name="이다">#REF!</definedName>
    <definedName name="이름" localSheetId="28">#REF!</definedName>
    <definedName name="이름">#REF!</definedName>
    <definedName name="이름1" localSheetId="28" hidden="1">{#N/A,#N/A,FALSE,"명세표"}</definedName>
    <definedName name="이름1" hidden="1">{#N/A,#N/A,FALSE,"명세표"}</definedName>
    <definedName name="이성원">#REF!</definedName>
    <definedName name="이윤" localSheetId="28">#REF!</definedName>
    <definedName name="이윤">#REF!</definedName>
    <definedName name="이읍" localSheetId="2">'1-1. 설계설명서(1차)'!이읍</definedName>
    <definedName name="이읍" localSheetId="3">'1-1. 설계설명서(2차)'!이읍</definedName>
    <definedName name="이읍" localSheetId="4">'1-1. 설계설명서(3차)'!이읍</definedName>
    <definedName name="이읍" localSheetId="5">'1-1. 설계설명서(4차)'!이읍</definedName>
    <definedName name="이읍" localSheetId="8">'3-1. 예정공정표(1차)'!이읍</definedName>
    <definedName name="이읍" localSheetId="9">'3-2. 예정공정표(2차)'!이읍</definedName>
    <definedName name="이읍" localSheetId="10">'3-3. 예정공정표(3차)'!이읍</definedName>
    <definedName name="이읍" localSheetId="11">'3-4. 예정공정표(4차)'!이읍</definedName>
    <definedName name="이읍" localSheetId="13">'4-1. 예산내역서(1차)'!이읍</definedName>
    <definedName name="이읍" localSheetId="14">'4-2. 예산내역서(2차)'!이읍</definedName>
    <definedName name="이읍" localSheetId="15">'4-3. 예산내역서(3차)'!이읍</definedName>
    <definedName name="이읍" localSheetId="16">'4-4. 예산내역서(4차)'!이읍</definedName>
    <definedName name="이읍" localSheetId="18">'5-1. 공종별예산조서(1차)'!이읍</definedName>
    <definedName name="이읍" localSheetId="19">'5-2. 공종별예산조서(2차)'!이읍</definedName>
    <definedName name="이읍" localSheetId="20">'5-3. 공종별예산조서(3차)'!이읍</definedName>
    <definedName name="이읍" localSheetId="21">'5-3. 공종별예산조서(4차)'!이읍</definedName>
    <definedName name="이읍" localSheetId="24">'8-1. 철거발생품 예정조서(1차)'!이읍</definedName>
    <definedName name="이읍" localSheetId="25">'8-2. 철거발생품 예정조서(2차)'!이읍</definedName>
    <definedName name="이읍" localSheetId="26">'8-3. 철거발생품 예정조서(3차)'!이읍</definedName>
    <definedName name="이읍" localSheetId="27">'8-4. 철거발생품 예정조서(4차)'!이읍</definedName>
    <definedName name="이제마" localSheetId="28">#REF!</definedName>
    <definedName name="이제마">#REF!</definedName>
    <definedName name="이형우" localSheetId="28">#REF!</definedName>
    <definedName name="이형우">#REF!</definedName>
    <definedName name="이ㅏㄹ" localSheetId="28">#REF!</definedName>
    <definedName name="이ㅏㄹ">#REF!</definedName>
    <definedName name="이ㅓㄻ" localSheetId="28" hidden="1">{#N/A,#N/A,FALSE,"명세표"}</definedName>
    <definedName name="이ㅓㄻ" hidden="1">{#N/A,#N/A,FALSE,"명세표"}</definedName>
    <definedName name="이ㅗㄴㄹㅇ" localSheetId="28" hidden="1">{#N/A,#N/A,FALSE,"명세표"}</definedName>
    <definedName name="이ㅗㄴㄹㅇ" hidden="1">{#N/A,#N/A,FALSE,"명세표"}</definedName>
    <definedName name="인가번호">#REF!</definedName>
    <definedName name="인건낙찰율" localSheetId="28">#REF!</definedName>
    <definedName name="인건낙찰율">#REF!</definedName>
    <definedName name="인건비" localSheetId="28">#REF!</definedName>
    <definedName name="인건비">#REF!</definedName>
    <definedName name="인공" localSheetId="28">#REF!</definedName>
    <definedName name="인공">#REF!</definedName>
    <definedName name="인공1" localSheetId="28">#REF!</definedName>
    <definedName name="인공1">#REF!</definedName>
    <definedName name="인력품" localSheetId="28">#REF!</definedName>
    <definedName name="인력품">#REF!</definedName>
    <definedName name="일" localSheetId="28">#REF!</definedName>
    <definedName name="일">#REF!</definedName>
    <definedName name="일반관리비" localSheetId="28">#REF!</definedName>
    <definedName name="일반관리비">#REF!</definedName>
    <definedName name="일반통신설비" localSheetId="28">#REF!</definedName>
    <definedName name="일반통신설비">#REF!</definedName>
    <definedName name="일본" localSheetId="2">'1-1. 설계설명서(1차)'!sfd</definedName>
    <definedName name="일본" localSheetId="3">'1-1. 설계설명서(2차)'!sfd</definedName>
    <definedName name="일본" localSheetId="4">'1-1. 설계설명서(3차)'!sfd</definedName>
    <definedName name="일본" localSheetId="5">'1-1. 설계설명서(4차)'!sfd</definedName>
    <definedName name="일본" localSheetId="8">'3-1. 예정공정표(1차)'!sfd</definedName>
    <definedName name="일본" localSheetId="9">'3-2. 예정공정표(2차)'!sfd</definedName>
    <definedName name="일본" localSheetId="10">'3-3. 예정공정표(3차)'!sfd</definedName>
    <definedName name="일본" localSheetId="11">'3-4. 예정공정표(4차)'!sfd</definedName>
    <definedName name="일본" localSheetId="13">'4-1. 예산내역서(1차)'!sfd</definedName>
    <definedName name="일본" localSheetId="14">'4-2. 예산내역서(2차)'!sfd</definedName>
    <definedName name="일본" localSheetId="15">'4-3. 예산내역서(3차)'!sfd</definedName>
    <definedName name="일본" localSheetId="16">'4-4. 예산내역서(4차)'!sfd</definedName>
    <definedName name="일본" localSheetId="18">'5-1. 공종별예산조서(1차)'!sfd</definedName>
    <definedName name="일본" localSheetId="19">'5-2. 공종별예산조서(2차)'!sfd</definedName>
    <definedName name="일본" localSheetId="20">'5-3. 공종별예산조서(3차)'!sfd</definedName>
    <definedName name="일본" localSheetId="21">'5-3. 공종별예산조서(4차)'!sfd</definedName>
    <definedName name="일본" localSheetId="24">'8-1. 철거발생품 예정조서(1차)'!sfd</definedName>
    <definedName name="일본" localSheetId="25">'8-2. 철거발생품 예정조서(2차)'!sfd</definedName>
    <definedName name="일본" localSheetId="26">'8-3. 철거발생품 예정조서(3차)'!sfd</definedName>
    <definedName name="일본" localSheetId="27">'8-4. 철거발생품 예정조서(4차)'!sfd</definedName>
    <definedName name="일우위" localSheetId="28">#REF!</definedName>
    <definedName name="일우위">#REF!</definedName>
    <definedName name="일위0" localSheetId="28">#REF!</definedName>
    <definedName name="일위0">#REF!</definedName>
    <definedName name="일위1" localSheetId="28">#REF!</definedName>
    <definedName name="일위1">#REF!</definedName>
    <definedName name="일위11" localSheetId="28">#REF!</definedName>
    <definedName name="일위11">#REF!</definedName>
    <definedName name="일위2" localSheetId="28">#REF!</definedName>
    <definedName name="일위2">#REF!</definedName>
    <definedName name="일위22" localSheetId="28">#REF!</definedName>
    <definedName name="일위22">#REF!</definedName>
    <definedName name="일위222" localSheetId="28">#REF!</definedName>
    <definedName name="일위222">#REF!</definedName>
    <definedName name="일위3" localSheetId="28">#REF!</definedName>
    <definedName name="일위3">#REF!</definedName>
    <definedName name="일위대" localSheetId="28">#REF!</definedName>
    <definedName name="일위대">#REF!</definedName>
    <definedName name="일위대11" localSheetId="28">#REF!</definedName>
    <definedName name="일위대11">#REF!</definedName>
    <definedName name="일위대가" localSheetId="28">#REF!</definedName>
    <definedName name="일위대가">#REF!</definedName>
    <definedName name="일위대가1" localSheetId="28">#REF!</definedName>
    <definedName name="일위대가1">#REF!</definedName>
    <definedName name="일위대가2" localSheetId="28">#REF!</definedName>
    <definedName name="일위대가2">#REF!</definedName>
    <definedName name="일위대가가" localSheetId="28">#REF!</definedName>
    <definedName name="일위대가가">#REF!</definedName>
    <definedName name="일위대가호표" localSheetId="28" hidden="1">#REF!</definedName>
    <definedName name="일위대가호표" hidden="1">#REF!</definedName>
    <definedName name="일위목록" localSheetId="28">#REF!</definedName>
    <definedName name="일위목록">#REF!</definedName>
    <definedName name="일위목록2" localSheetId="28">#REF!</definedName>
    <definedName name="일위목록2">#REF!</definedName>
    <definedName name="일위산출" localSheetId="28">#REF!</definedName>
    <definedName name="일위산출">#REF!</definedName>
    <definedName name="일위산출1" localSheetId="28">#REF!</definedName>
    <definedName name="일위산출1">#REF!</definedName>
    <definedName name="일위수량" localSheetId="28">#REF!</definedName>
    <definedName name="일위수량">#REF!</definedName>
    <definedName name="일이삼" localSheetId="28">#REF!</definedName>
    <definedName name="일이삼">#REF!</definedName>
    <definedName name="읾" localSheetId="28" hidden="1">{#N/A,#N/A,FALSE,"명세표"}</definedName>
    <definedName name="읾" hidden="1">{#N/A,#N/A,FALSE,"명세표"}</definedName>
    <definedName name="임ㄴ" localSheetId="2">{"'공사부문'!$A$6:$A$32"}</definedName>
    <definedName name="임ㄴ" localSheetId="3">{"'공사부문'!$A$6:$A$32"}</definedName>
    <definedName name="임ㄴ" localSheetId="4">{"'공사부문'!$A$6:$A$32"}</definedName>
    <definedName name="임ㄴ" localSheetId="5">{"'공사부문'!$A$6:$A$32"}</definedName>
    <definedName name="임ㄴ" localSheetId="8">{"'공사부문'!$A$6:$A$32"}</definedName>
    <definedName name="임ㄴ" localSheetId="9">{"'공사부문'!$A$6:$A$32"}</definedName>
    <definedName name="임ㄴ" localSheetId="10">{"'공사부문'!$A$6:$A$32"}</definedName>
    <definedName name="임ㄴ" localSheetId="11">{"'공사부문'!$A$6:$A$32"}</definedName>
    <definedName name="임ㄴ" localSheetId="13">{"'공사부문'!$A$6:$A$32"}</definedName>
    <definedName name="임ㄴ" localSheetId="14">{"'공사부문'!$A$6:$A$32"}</definedName>
    <definedName name="임ㄴ" localSheetId="15">{"'공사부문'!$A$6:$A$32"}</definedName>
    <definedName name="임ㄴ" localSheetId="16">{"'공사부문'!$A$6:$A$32"}</definedName>
    <definedName name="임ㄴ" localSheetId="18">{"'공사부문'!$A$6:$A$32"}</definedName>
    <definedName name="임ㄴ" localSheetId="19">{"'공사부문'!$A$6:$A$32"}</definedName>
    <definedName name="임ㄴ" localSheetId="20">{"'공사부문'!$A$6:$A$32"}</definedName>
    <definedName name="임ㄴ" localSheetId="21">{"'공사부문'!$A$6:$A$32"}</definedName>
    <definedName name="임ㄴ" localSheetId="23">{"'공사부문'!$A$6:$A$32"}</definedName>
    <definedName name="임ㄴ" localSheetId="28">{"'공사부문'!$A$6:$A$32"}</definedName>
    <definedName name="임ㄴ" localSheetId="24">{"'공사부문'!$A$6:$A$32"}</definedName>
    <definedName name="임ㄴ" localSheetId="25">{"'공사부문'!$A$6:$A$32"}</definedName>
    <definedName name="임ㄴ" localSheetId="26">{"'공사부문'!$A$6:$A$32"}</definedName>
    <definedName name="임ㄴ" localSheetId="27">{"'공사부문'!$A$6:$A$32"}</definedName>
    <definedName name="임ㄴ">{"'공사부문'!$A$6:$A$32"}</definedName>
    <definedName name="임벌스">#REF!</definedName>
    <definedName name="임시" localSheetId="2">'1-1. 설계설명서(1차)'!임시</definedName>
    <definedName name="임시" localSheetId="3">'1-1. 설계설명서(2차)'!임시</definedName>
    <definedName name="임시" localSheetId="4">'1-1. 설계설명서(3차)'!임시</definedName>
    <definedName name="임시" localSheetId="5">'1-1. 설계설명서(4차)'!임시</definedName>
    <definedName name="임시" localSheetId="8">'3-1. 예정공정표(1차)'!임시</definedName>
    <definedName name="임시" localSheetId="9">'3-2. 예정공정표(2차)'!임시</definedName>
    <definedName name="임시" localSheetId="10">'3-3. 예정공정표(3차)'!임시</definedName>
    <definedName name="임시" localSheetId="11">'3-4. 예정공정표(4차)'!임시</definedName>
    <definedName name="임시" localSheetId="13">'4-1. 예산내역서(1차)'!임시</definedName>
    <definedName name="임시" localSheetId="14">'4-2. 예산내역서(2차)'!임시</definedName>
    <definedName name="임시" localSheetId="15">'4-3. 예산내역서(3차)'!임시</definedName>
    <definedName name="임시" localSheetId="16">'4-4. 예산내역서(4차)'!임시</definedName>
    <definedName name="임시" localSheetId="18">'5-1. 공종별예산조서(1차)'!임시</definedName>
    <definedName name="임시" localSheetId="19">'5-2. 공종별예산조서(2차)'!임시</definedName>
    <definedName name="임시" localSheetId="20">'5-3. 공종별예산조서(3차)'!임시</definedName>
    <definedName name="임시" localSheetId="21">'5-3. 공종별예산조서(4차)'!임시</definedName>
    <definedName name="임시" localSheetId="24">'8-1. 철거발생품 예정조서(1차)'!임시</definedName>
    <definedName name="임시" localSheetId="25">'8-2. 철거발생품 예정조서(2차)'!임시</definedName>
    <definedName name="임시" localSheetId="26">'8-3. 철거발생품 예정조서(3차)'!임시</definedName>
    <definedName name="임시" localSheetId="27">'8-4. 철거발생품 예정조서(4차)'!임시</definedName>
    <definedName name="임시AFC" localSheetId="28">#REF!</definedName>
    <definedName name="임시AFC">#REF!</definedName>
    <definedName name="임시CCTV" localSheetId="28">#REF!</definedName>
    <definedName name="임시CCTV">#REF!</definedName>
    <definedName name="임시tv" localSheetId="28">#REF!</definedName>
    <definedName name="임시tv">#REF!</definedName>
    <definedName name="임시방송" localSheetId="28">#REF!</definedName>
    <definedName name="임시방송">#REF!</definedName>
    <definedName name="임시장애자" localSheetId="28">#REF!</definedName>
    <definedName name="임시장애자">#REF!</definedName>
    <definedName name="임시전화" localSheetId="28">#REF!</definedName>
    <definedName name="임시전화">#REF!</definedName>
    <definedName name="임시통신선로" localSheetId="28">#REF!</definedName>
    <definedName name="임시통신선로">#REF!</definedName>
    <definedName name="임시행선안내" localSheetId="28">#REF!</definedName>
    <definedName name="임시행선안내">#REF!</definedName>
    <definedName name="임실" localSheetId="28">#REF!</definedName>
    <definedName name="임실">#REF!</definedName>
    <definedName name="임실34" localSheetId="28">#REF!</definedName>
    <definedName name="임실34">#REF!</definedName>
    <definedName name="임파" localSheetId="28">#REF!</definedName>
    <definedName name="임파">#REF!</definedName>
    <definedName name="입력" localSheetId="28">#REF!</definedName>
    <definedName name="입력">#REF!</definedName>
    <definedName name="입력일" localSheetId="28">#REF!</definedName>
    <definedName name="입력일">#REF!</definedName>
    <definedName name="입력일1" localSheetId="28">#REF!</definedName>
    <definedName name="입력일1">#REF!</definedName>
    <definedName name="입력일자" localSheetId="28">#REF!</definedName>
    <definedName name="입력일자">#REF!</definedName>
    <definedName name="입찰봉" localSheetId="28">#REF!</definedName>
    <definedName name="입찰봉">#REF!</definedName>
    <definedName name="입찰봉투" localSheetId="28">#REF!</definedName>
    <definedName name="입찰봉투">#REF!</definedName>
    <definedName name="ㅈ" localSheetId="28" hidden="1">{#N/A,#N/A,FALSE,"명세표"}</definedName>
    <definedName name="ㅈ" hidden="1">{#N/A,#N/A,FALSE,"명세표"}</definedName>
    <definedName name="ㅈ56ㅕ" localSheetId="2">{"'용역비'!$A$4:$C$8"}</definedName>
    <definedName name="ㅈ56ㅕ" localSheetId="3">{"'용역비'!$A$4:$C$8"}</definedName>
    <definedName name="ㅈ56ㅕ" localSheetId="4">{"'용역비'!$A$4:$C$8"}</definedName>
    <definedName name="ㅈ56ㅕ" localSheetId="5">{"'용역비'!$A$4:$C$8"}</definedName>
    <definedName name="ㅈ56ㅕ" localSheetId="8">{"'용역비'!$A$4:$C$8"}</definedName>
    <definedName name="ㅈ56ㅕ" localSheetId="9">{"'용역비'!$A$4:$C$8"}</definedName>
    <definedName name="ㅈ56ㅕ" localSheetId="10">{"'용역비'!$A$4:$C$8"}</definedName>
    <definedName name="ㅈ56ㅕ" localSheetId="11">{"'용역비'!$A$4:$C$8"}</definedName>
    <definedName name="ㅈ56ㅕ" localSheetId="13">{"'용역비'!$A$4:$C$8"}</definedName>
    <definedName name="ㅈ56ㅕ" localSheetId="14">{"'용역비'!$A$4:$C$8"}</definedName>
    <definedName name="ㅈ56ㅕ" localSheetId="15">{"'용역비'!$A$4:$C$8"}</definedName>
    <definedName name="ㅈ56ㅕ" localSheetId="16">{"'용역비'!$A$4:$C$8"}</definedName>
    <definedName name="ㅈ56ㅕ" localSheetId="18">{"'용역비'!$A$4:$C$8"}</definedName>
    <definedName name="ㅈ56ㅕ" localSheetId="19">{"'용역비'!$A$4:$C$8"}</definedName>
    <definedName name="ㅈ56ㅕ" localSheetId="20">{"'용역비'!$A$4:$C$8"}</definedName>
    <definedName name="ㅈ56ㅕ" localSheetId="21">{"'용역비'!$A$4:$C$8"}</definedName>
    <definedName name="ㅈ56ㅕ" localSheetId="24">{"'용역비'!$A$4:$C$8"}</definedName>
    <definedName name="ㅈ56ㅕ" localSheetId="25">{"'용역비'!$A$4:$C$8"}</definedName>
    <definedName name="ㅈ56ㅕ" localSheetId="26">{"'용역비'!$A$4:$C$8"}</definedName>
    <definedName name="ㅈ56ㅕ" localSheetId="27">{"'용역비'!$A$4:$C$8"}</definedName>
    <definedName name="ㅈ56ㅕ">{"'용역비'!$A$4:$C$8"}</definedName>
    <definedName name="ㅈㄴ" localSheetId="28" hidden="1">{#N/A,#N/A,FALSE,"명세표"}</definedName>
    <definedName name="ㅈㄴ" hidden="1">{#N/A,#N/A,FALSE,"명세표"}</definedName>
    <definedName name="ㅈㄴㅁ" localSheetId="28" hidden="1">{#N/A,#N/A,FALSE,"명세표"}</definedName>
    <definedName name="ㅈㄴㅁ" hidden="1">{#N/A,#N/A,FALSE,"명세표"}</definedName>
    <definedName name="ㅈㄴㅇㄹ" localSheetId="28" hidden="1">{#N/A,#N/A,FALSE,"명세표"}</definedName>
    <definedName name="ㅈㄴㅇㄹ" hidden="1">{#N/A,#N/A,FALSE,"명세표"}</definedName>
    <definedName name="ㅈㄷㄱㄷㄱㄷ" localSheetId="2">{"'용역비'!$A$4:$C$8"}</definedName>
    <definedName name="ㅈㄷㄱㄷㄱㄷ" localSheetId="3">{"'용역비'!$A$4:$C$8"}</definedName>
    <definedName name="ㅈㄷㄱㄷㄱㄷ" localSheetId="4">{"'용역비'!$A$4:$C$8"}</definedName>
    <definedName name="ㅈㄷㄱㄷㄱㄷ" localSheetId="5">{"'용역비'!$A$4:$C$8"}</definedName>
    <definedName name="ㅈㄷㄱㄷㄱㄷ" localSheetId="8">{"'용역비'!$A$4:$C$8"}</definedName>
    <definedName name="ㅈㄷㄱㄷㄱㄷ" localSheetId="9">{"'용역비'!$A$4:$C$8"}</definedName>
    <definedName name="ㅈㄷㄱㄷㄱㄷ" localSheetId="10">{"'용역비'!$A$4:$C$8"}</definedName>
    <definedName name="ㅈㄷㄱㄷㄱㄷ" localSheetId="11">{"'용역비'!$A$4:$C$8"}</definedName>
    <definedName name="ㅈㄷㄱㄷㄱㄷ" localSheetId="13">{"'용역비'!$A$4:$C$8"}</definedName>
    <definedName name="ㅈㄷㄱㄷㄱㄷ" localSheetId="14">{"'용역비'!$A$4:$C$8"}</definedName>
    <definedName name="ㅈㄷㄱㄷㄱㄷ" localSheetId="15">{"'용역비'!$A$4:$C$8"}</definedName>
    <definedName name="ㅈㄷㄱㄷㄱㄷ" localSheetId="16">{"'용역비'!$A$4:$C$8"}</definedName>
    <definedName name="ㅈㄷㄱㄷㄱㄷ" localSheetId="18">{"'용역비'!$A$4:$C$8"}</definedName>
    <definedName name="ㅈㄷㄱㄷㄱㄷ" localSheetId="19">{"'용역비'!$A$4:$C$8"}</definedName>
    <definedName name="ㅈㄷㄱㄷㄱㄷ" localSheetId="20">{"'용역비'!$A$4:$C$8"}</definedName>
    <definedName name="ㅈㄷㄱㄷㄱㄷ" localSheetId="21">{"'용역비'!$A$4:$C$8"}</definedName>
    <definedName name="ㅈㄷㄱㄷㄱㄷ" localSheetId="24">{"'용역비'!$A$4:$C$8"}</definedName>
    <definedName name="ㅈㄷㄱㄷㄱㄷ" localSheetId="25">{"'용역비'!$A$4:$C$8"}</definedName>
    <definedName name="ㅈㄷㄱㄷㄱㄷ" localSheetId="26">{"'용역비'!$A$4:$C$8"}</definedName>
    <definedName name="ㅈㄷㄱㄷㄱㄷ" localSheetId="27">{"'용역비'!$A$4:$C$8"}</definedName>
    <definedName name="ㅈㄷㄱㄷㄱㄷ">{"'용역비'!$A$4:$C$8"}</definedName>
    <definedName name="ㅈㄷㄹㅇ" localSheetId="28" hidden="1">{#N/A,#N/A,FALSE,"명세표"}</definedName>
    <definedName name="ㅈㄷㄹㅇ" hidden="1">{#N/A,#N/A,FALSE,"명세표"}</definedName>
    <definedName name="ㅈㄷㄻ" localSheetId="28" hidden="1">{#N/A,#N/A,FALSE,"명세표"}</definedName>
    <definedName name="ㅈㄷㄻ" hidden="1">{#N/A,#N/A,FALSE,"명세표"}</definedName>
    <definedName name="ㅈㄷㅀ" localSheetId="28" hidden="1">{#N/A,#N/A,FALSE,"명세표"}</definedName>
    <definedName name="ㅈㄷㅀ" hidden="1">{#N/A,#N/A,FALSE,"명세표"}</definedName>
    <definedName name="ㅈㄷㅁㄹㅇ" localSheetId="28" hidden="1">{#N/A,#N/A,FALSE,"명세표"}</definedName>
    <definedName name="ㅈㄷㅁㄹㅇ" hidden="1">{#N/A,#N/A,FALSE,"명세표"}</definedName>
    <definedName name="ㅈㄷㅇ" localSheetId="28" hidden="1">{#N/A,#N/A,FALSE,"명세표"}</definedName>
    <definedName name="ㅈㄷㅇ" hidden="1">{#N/A,#N/A,FALSE,"명세표"}</definedName>
    <definedName name="ㅈㄷㅇㄴ" localSheetId="28" hidden="1">{#N/A,#N/A,FALSE,"명세표"}</definedName>
    <definedName name="ㅈㄷㅇㄴ" hidden="1">{#N/A,#N/A,FALSE,"명세표"}</definedName>
    <definedName name="ㅈㄷㅇㄹ" localSheetId="28" hidden="1">{#N/A,#N/A,FALSE,"명세표"}</definedName>
    <definedName name="ㅈㄷㅇㄹ" hidden="1">{#N/A,#N/A,FALSE,"명세표"}</definedName>
    <definedName name="ㅈㄷㅎㄹ" localSheetId="28" hidden="1">{#N/A,#N/A,FALSE,"명세표"}</definedName>
    <definedName name="ㅈㄷㅎㄹ" hidden="1">{#N/A,#N/A,FALSE,"명세표"}</definedName>
    <definedName name="ㅈㄷㅎㅇ" localSheetId="28" hidden="1">{#N/A,#N/A,FALSE,"명세표"}</definedName>
    <definedName name="ㅈㄷㅎㅇ" hidden="1">{#N/A,#N/A,FALSE,"명세표"}</definedName>
    <definedName name="ㅈㅁㅇㅎ" localSheetId="28" hidden="1">{#N/A,#N/A,FALSE,"명세표"}</definedName>
    <definedName name="ㅈㅁㅇㅎ" hidden="1">{#N/A,#N/A,FALSE,"명세표"}</definedName>
    <definedName name="ㅈㅂ">#REF!</definedName>
    <definedName name="ㅈㅇ" localSheetId="2">{"'용역비'!$A$4:$C$8"}</definedName>
    <definedName name="ㅈㅇ" localSheetId="3">{"'용역비'!$A$4:$C$8"}</definedName>
    <definedName name="ㅈㅇ" localSheetId="4">{"'용역비'!$A$4:$C$8"}</definedName>
    <definedName name="ㅈㅇ" localSheetId="5">{"'용역비'!$A$4:$C$8"}</definedName>
    <definedName name="ㅈㅇ" localSheetId="8">{"'용역비'!$A$4:$C$8"}</definedName>
    <definedName name="ㅈㅇ" localSheetId="9">{"'용역비'!$A$4:$C$8"}</definedName>
    <definedName name="ㅈㅇ" localSheetId="10">{"'용역비'!$A$4:$C$8"}</definedName>
    <definedName name="ㅈㅇ" localSheetId="11">{"'용역비'!$A$4:$C$8"}</definedName>
    <definedName name="ㅈㅇ" localSheetId="13">{"'용역비'!$A$4:$C$8"}</definedName>
    <definedName name="ㅈㅇ" localSheetId="14">{"'용역비'!$A$4:$C$8"}</definedName>
    <definedName name="ㅈㅇ" localSheetId="15">{"'용역비'!$A$4:$C$8"}</definedName>
    <definedName name="ㅈㅇ" localSheetId="16">{"'용역비'!$A$4:$C$8"}</definedName>
    <definedName name="ㅈㅇ" localSheetId="18">{"'용역비'!$A$4:$C$8"}</definedName>
    <definedName name="ㅈㅇ" localSheetId="19">{"'용역비'!$A$4:$C$8"}</definedName>
    <definedName name="ㅈㅇ" localSheetId="20">{"'용역비'!$A$4:$C$8"}</definedName>
    <definedName name="ㅈㅇ" localSheetId="21">{"'용역비'!$A$4:$C$8"}</definedName>
    <definedName name="ㅈㅇ" localSheetId="28" hidden="1">{#N/A,#N/A,FALSE,"명세표"}</definedName>
    <definedName name="ㅈㅇ" localSheetId="24">{"'용역비'!$A$4:$C$8"}</definedName>
    <definedName name="ㅈㅇ" localSheetId="25">{"'용역비'!$A$4:$C$8"}</definedName>
    <definedName name="ㅈㅇ" localSheetId="26">{"'용역비'!$A$4:$C$8"}</definedName>
    <definedName name="ㅈㅇ" localSheetId="27">{"'용역비'!$A$4:$C$8"}</definedName>
    <definedName name="ㅈㅇ">{"'용역비'!$A$4:$C$8"}</definedName>
    <definedName name="ㅈㅇㄴㄹ" localSheetId="28" hidden="1">{#N/A,#N/A,FALSE,"명세표"}</definedName>
    <definedName name="ㅈㅇㄴㄹ" hidden="1">{#N/A,#N/A,FALSE,"명세표"}</definedName>
    <definedName name="ㅈㅇㅀ" localSheetId="28" hidden="1">{#N/A,#N/A,FALSE,"명세표"}</definedName>
    <definedName name="ㅈㅇㅀ" hidden="1">{#N/A,#N/A,FALSE,"명세표"}</definedName>
    <definedName name="ㅈㅈ">#REF!</definedName>
    <definedName name="ㅈㅈㄷㅈㄷ" localSheetId="28">#REF!</definedName>
    <definedName name="ㅈㅈㄷㅈㄷ">#REF!</definedName>
    <definedName name="ㅈㅈㅈ" localSheetId="2">{"'용역비'!$A$4:$C$8"}</definedName>
    <definedName name="ㅈㅈㅈ" localSheetId="3">{"'용역비'!$A$4:$C$8"}</definedName>
    <definedName name="ㅈㅈㅈ" localSheetId="4">{"'용역비'!$A$4:$C$8"}</definedName>
    <definedName name="ㅈㅈㅈ" localSheetId="5">{"'용역비'!$A$4:$C$8"}</definedName>
    <definedName name="ㅈㅈㅈ" localSheetId="8">{"'용역비'!$A$4:$C$8"}</definedName>
    <definedName name="ㅈㅈㅈ" localSheetId="9">{"'용역비'!$A$4:$C$8"}</definedName>
    <definedName name="ㅈㅈㅈ" localSheetId="10">{"'용역비'!$A$4:$C$8"}</definedName>
    <definedName name="ㅈㅈㅈ" localSheetId="11">{"'용역비'!$A$4:$C$8"}</definedName>
    <definedName name="ㅈㅈㅈ" localSheetId="13">{"'용역비'!$A$4:$C$8"}</definedName>
    <definedName name="ㅈㅈㅈ" localSheetId="14">{"'용역비'!$A$4:$C$8"}</definedName>
    <definedName name="ㅈㅈㅈ" localSheetId="15">{"'용역비'!$A$4:$C$8"}</definedName>
    <definedName name="ㅈㅈㅈ" localSheetId="16">{"'용역비'!$A$4:$C$8"}</definedName>
    <definedName name="ㅈㅈㅈ" localSheetId="18">{"'용역비'!$A$4:$C$8"}</definedName>
    <definedName name="ㅈㅈㅈ" localSheetId="19">{"'용역비'!$A$4:$C$8"}</definedName>
    <definedName name="ㅈㅈㅈ" localSheetId="20">{"'용역비'!$A$4:$C$8"}</definedName>
    <definedName name="ㅈㅈㅈ" localSheetId="21">{"'용역비'!$A$4:$C$8"}</definedName>
    <definedName name="ㅈㅈㅈ" localSheetId="24">{"'용역비'!$A$4:$C$8"}</definedName>
    <definedName name="ㅈㅈㅈ" localSheetId="25">{"'용역비'!$A$4:$C$8"}</definedName>
    <definedName name="ㅈㅈㅈ" localSheetId="26">{"'용역비'!$A$4:$C$8"}</definedName>
    <definedName name="ㅈㅈㅈ" localSheetId="27">{"'용역비'!$A$4:$C$8"}</definedName>
    <definedName name="ㅈㅈㅈ">{"'용역비'!$A$4:$C$8"}</definedName>
    <definedName name="ㅈㅈㅈㅈ" localSheetId="28" hidden="1">{#N/A,#N/A,FALSE,"명세표"}</definedName>
    <definedName name="ㅈㅈㅈㅈ" hidden="1">{#N/A,#N/A,FALSE,"명세표"}</definedName>
    <definedName name="ㅈㅈㅈㅈㅈ" localSheetId="28" hidden="1">{#N/A,#N/A,FALSE,"명세표"}</definedName>
    <definedName name="ㅈㅈㅈㅈㅈ" hidden="1">{#N/A,#N/A,FALSE,"명세표"}</definedName>
    <definedName name="ㅈㅈㅈㅈㅈㅈ" localSheetId="2">{"'용역비'!$A$4:$C$8"}</definedName>
    <definedName name="ㅈㅈㅈㅈㅈㅈ" localSheetId="3">{"'용역비'!$A$4:$C$8"}</definedName>
    <definedName name="ㅈㅈㅈㅈㅈㅈ" localSheetId="4">{"'용역비'!$A$4:$C$8"}</definedName>
    <definedName name="ㅈㅈㅈㅈㅈㅈ" localSheetId="5">{"'용역비'!$A$4:$C$8"}</definedName>
    <definedName name="ㅈㅈㅈㅈㅈㅈ" localSheetId="8">{"'용역비'!$A$4:$C$8"}</definedName>
    <definedName name="ㅈㅈㅈㅈㅈㅈ" localSheetId="9">{"'용역비'!$A$4:$C$8"}</definedName>
    <definedName name="ㅈㅈㅈㅈㅈㅈ" localSheetId="10">{"'용역비'!$A$4:$C$8"}</definedName>
    <definedName name="ㅈㅈㅈㅈㅈㅈ" localSheetId="11">{"'용역비'!$A$4:$C$8"}</definedName>
    <definedName name="ㅈㅈㅈㅈㅈㅈ" localSheetId="13">{"'용역비'!$A$4:$C$8"}</definedName>
    <definedName name="ㅈㅈㅈㅈㅈㅈ" localSheetId="14">{"'용역비'!$A$4:$C$8"}</definedName>
    <definedName name="ㅈㅈㅈㅈㅈㅈ" localSheetId="15">{"'용역비'!$A$4:$C$8"}</definedName>
    <definedName name="ㅈㅈㅈㅈㅈㅈ" localSheetId="16">{"'용역비'!$A$4:$C$8"}</definedName>
    <definedName name="ㅈㅈㅈㅈㅈㅈ" localSheetId="18">{"'용역비'!$A$4:$C$8"}</definedName>
    <definedName name="ㅈㅈㅈㅈㅈㅈ" localSheetId="19">{"'용역비'!$A$4:$C$8"}</definedName>
    <definedName name="ㅈㅈㅈㅈㅈㅈ" localSheetId="20">{"'용역비'!$A$4:$C$8"}</definedName>
    <definedName name="ㅈㅈㅈㅈㅈㅈ" localSheetId="21">{"'용역비'!$A$4:$C$8"}</definedName>
    <definedName name="ㅈㅈㅈㅈㅈㅈ" localSheetId="24">{"'용역비'!$A$4:$C$8"}</definedName>
    <definedName name="ㅈㅈㅈㅈㅈㅈ" localSheetId="25">{"'용역비'!$A$4:$C$8"}</definedName>
    <definedName name="ㅈㅈㅈㅈㅈㅈ" localSheetId="26">{"'용역비'!$A$4:$C$8"}</definedName>
    <definedName name="ㅈㅈㅈㅈㅈㅈ" localSheetId="27">{"'용역비'!$A$4:$C$8"}</definedName>
    <definedName name="ㅈㅈㅈㅈㅈㅈ">{"'용역비'!$A$4:$C$8"}</definedName>
    <definedName name="ㅈㅈㅈㅈㅈㅈㅈㅈㅈ">#REF!</definedName>
    <definedName name="ㅈㅈㅈㅈㅈㅈㅈㅈㅈㅈㅈ" localSheetId="28">#REF!</definedName>
    <definedName name="ㅈㅈㅈㅈㅈㅈㅈㅈㅈㅈㅈ">#REF!</definedName>
    <definedName name="ㅈㅈㅈㅈㅈㅈㅈㅈㅈㅈㅈㅈㅈㅈㅈ" localSheetId="28">#REF!</definedName>
    <definedName name="ㅈㅈㅈㅈㅈㅈㅈㅈㅈㅈㅈㅈㅈㅈㅈ">#REF!</definedName>
    <definedName name="ㅈㅈㅈㅈㅈㅈㅈㅈㅈㅈㅈㅈㅈㅈㅈㅈㅈㅈㅈㅈ" localSheetId="28">#REF!</definedName>
    <definedName name="ㅈㅈㅈㅈㅈㅈㅈㅈㅈㅈㅈㅈㅈㅈㅈㅈㅈㅈㅈㅈ">#REF!</definedName>
    <definedName name="ㅈㅈㅈㅋㅌ" localSheetId="28">#REF!</definedName>
    <definedName name="ㅈㅈㅈㅋㅌ">#REF!</definedName>
    <definedName name="자" localSheetId="28">#REF!</definedName>
    <definedName name="자">#REF!</definedName>
    <definedName name="자단" localSheetId="28">#REF!</definedName>
    <definedName name="자단">#REF!</definedName>
    <definedName name="자동안내방송설비" localSheetId="28">#REF!</definedName>
    <definedName name="자동안내방송설비">#REF!</definedName>
    <definedName name="자동화재탐지설비" localSheetId="28">#REF!</definedName>
    <definedName name="자동화재탐지설비">#REF!</definedName>
    <definedName name="자미" localSheetId="28" hidden="1">{#N/A,#N/A,FALSE,"명세표"}</definedName>
    <definedName name="자미" hidden="1">{#N/A,#N/A,FALSE,"명세표"}</definedName>
    <definedName name="자재">#REF!</definedName>
    <definedName name="자재11" localSheetId="28">#REF!</definedName>
    <definedName name="자재11">#REF!</definedName>
    <definedName name="자재내역">{"'5국공정'!$A$1:$E$128"}</definedName>
    <definedName name="자재단" localSheetId="28">#REF!</definedName>
    <definedName name="자재단">#REF!</definedName>
    <definedName name="자재단11" localSheetId="28">#REF!</definedName>
    <definedName name="자재단11">#REF!</definedName>
    <definedName name="자재단가" localSheetId="28">#REF!</definedName>
    <definedName name="자재단가">#REF!</definedName>
    <definedName name="자재단가1" localSheetId="28">#REF!</definedName>
    <definedName name="자재단가1">#REF!</definedName>
    <definedName name="자재단가가" localSheetId="28">#REF!</definedName>
    <definedName name="자재단가가">#REF!</definedName>
    <definedName name="자재단가수정완료" localSheetId="2">'1-1. 설계설명서(1차)'!자재단가수정완료</definedName>
    <definedName name="자재단가수정완료" localSheetId="3">'1-1. 설계설명서(2차)'!자재단가수정완료</definedName>
    <definedName name="자재단가수정완료" localSheetId="4">'1-1. 설계설명서(3차)'!자재단가수정완료</definedName>
    <definedName name="자재단가수정완료" localSheetId="5">'1-1. 설계설명서(4차)'!자재단가수정완료</definedName>
    <definedName name="자재단가수정완료" localSheetId="8">'3-1. 예정공정표(1차)'!자재단가수정완료</definedName>
    <definedName name="자재단가수정완료" localSheetId="9">'3-2. 예정공정표(2차)'!자재단가수정완료</definedName>
    <definedName name="자재단가수정완료" localSheetId="10">'3-3. 예정공정표(3차)'!자재단가수정완료</definedName>
    <definedName name="자재단가수정완료" localSheetId="11">'3-4. 예정공정표(4차)'!자재단가수정완료</definedName>
    <definedName name="자재단가수정완료" localSheetId="13">'4-1. 예산내역서(1차)'!자재단가수정완료</definedName>
    <definedName name="자재단가수정완료" localSheetId="14">'4-2. 예산내역서(2차)'!자재단가수정완료</definedName>
    <definedName name="자재단가수정완료" localSheetId="15">'4-3. 예산내역서(3차)'!자재단가수정완료</definedName>
    <definedName name="자재단가수정완료" localSheetId="16">'4-4. 예산내역서(4차)'!자재단가수정완료</definedName>
    <definedName name="자재단가수정완료" localSheetId="18">'5-1. 공종별예산조서(1차)'!자재단가수정완료</definedName>
    <definedName name="자재단가수정완료" localSheetId="19">'5-2. 공종별예산조서(2차)'!자재단가수정완료</definedName>
    <definedName name="자재단가수정완료" localSheetId="20">'5-3. 공종별예산조서(3차)'!자재단가수정완료</definedName>
    <definedName name="자재단가수정완료" localSheetId="21">'5-3. 공종별예산조서(4차)'!자재단가수정완료</definedName>
    <definedName name="자재단가수정완료" localSheetId="24">'8-1. 철거발생품 예정조서(1차)'!자재단가수정완료</definedName>
    <definedName name="자재단가수정완료" localSheetId="25">'8-2. 철거발생품 예정조서(2차)'!자재단가수정완료</definedName>
    <definedName name="자재단가수정완료" localSheetId="26">'8-3. 철거발생품 예정조서(3차)'!자재단가수정완료</definedName>
    <definedName name="자재단가수정완료" localSheetId="27">'8-4. 철거발생품 예정조서(4차)'!자재단가수정완료</definedName>
    <definedName name="자재단가표" localSheetId="28">#REF!</definedName>
    <definedName name="자재단가표">#REF!</definedName>
    <definedName name="자재사정" localSheetId="28">#REF!</definedName>
    <definedName name="자재사정">#REF!</definedName>
    <definedName name="자재재" localSheetId="28">#REF!</definedName>
    <definedName name="자재재">#REF!</definedName>
    <definedName name="자재집계" localSheetId="28">#REF!</definedName>
    <definedName name="자재집계">#REF!</definedName>
    <definedName name="자재코드" localSheetId="28">#REF!</definedName>
    <definedName name="자재코드">#REF!</definedName>
    <definedName name="작" localSheetId="28">#REF!</definedName>
    <definedName name="작">#REF!</definedName>
    <definedName name="작부쿼리" localSheetId="28">#REF!</definedName>
    <definedName name="작부쿼리">#REF!</definedName>
    <definedName name="작성" localSheetId="28">#REF!</definedName>
    <definedName name="작성">#REF!</definedName>
    <definedName name="작성1" localSheetId="28">#REF!</definedName>
    <definedName name="작성1">#REF!</definedName>
    <definedName name="작성2" localSheetId="28">#REF!</definedName>
    <definedName name="작성2">#REF!</definedName>
    <definedName name="작성일" localSheetId="28">#REF!</definedName>
    <definedName name="작성일">#REF!</definedName>
    <definedName name="작업반장" localSheetId="28">#REF!</definedName>
    <definedName name="작업반장">#REF!</definedName>
    <definedName name="잔토Q135사석불량" localSheetId="28">#REF!</definedName>
    <definedName name="잔토Q135사석불량">#REF!</definedName>
    <definedName name="잔토Q135사석실가동불량" localSheetId="28">#REF!</definedName>
    <definedName name="잔토Q135사석실가동불량">#REF!</definedName>
    <definedName name="잔토Q135토사불량" localSheetId="28">#REF!</definedName>
    <definedName name="잔토Q135토사불량">#REF!</definedName>
    <definedName name="잔토Q135토사실가동불량" localSheetId="28">#REF!</definedName>
    <definedName name="잔토Q135토사실가동불량">#REF!</definedName>
    <definedName name="잔토Q45사석불량" localSheetId="28">#REF!</definedName>
    <definedName name="잔토Q45사석불량">#REF!</definedName>
    <definedName name="잔토Q45사석실가동불량" localSheetId="28">#REF!</definedName>
    <definedName name="잔토Q45사석실가동불량">#REF!</definedName>
    <definedName name="잔토Q45토사불량" localSheetId="28">#REF!</definedName>
    <definedName name="잔토Q45토사불량">#REF!</definedName>
    <definedName name="잔토Q45토사실가동불량" localSheetId="28">#REF!</definedName>
    <definedName name="잔토Q45토사실가동불량">#REF!</definedName>
    <definedName name="잔토Q90사석" localSheetId="28">#REF!</definedName>
    <definedName name="잔토Q90사석">#REF!</definedName>
    <definedName name="잔토Q90사석불량" localSheetId="28">#REF!</definedName>
    <definedName name="잔토Q90사석불량">#REF!</definedName>
    <definedName name="잔토Q90사석실가동" localSheetId="28">#REF!</definedName>
    <definedName name="잔토Q90사석실가동">#REF!</definedName>
    <definedName name="잔토Q90사석실가동불량" localSheetId="28">#REF!</definedName>
    <definedName name="잔토Q90사석실가동불량">#REF!</definedName>
    <definedName name="잔토Q90토사" localSheetId="28">#REF!</definedName>
    <definedName name="잔토Q90토사">#REF!</definedName>
    <definedName name="잔토Q90토사불량" localSheetId="28">#REF!</definedName>
    <definedName name="잔토Q90토사불량">#REF!</definedName>
    <definedName name="잔토Q90토사실가동" localSheetId="28">#REF!</definedName>
    <definedName name="잔토Q90토사실가동">#REF!</definedName>
    <definedName name="잔토Q90토사실가동불량" localSheetId="28">#REF!</definedName>
    <definedName name="잔토Q90토사실가동불량">#REF!</definedName>
    <definedName name="잔토Q인력사석불량" localSheetId="28">#REF!</definedName>
    <definedName name="잔토Q인력사석불량">#REF!</definedName>
    <definedName name="잔토Q인력사석실가동불량" localSheetId="28">#REF!</definedName>
    <definedName name="잔토Q인력사석실가동불량">#REF!</definedName>
    <definedName name="잔토Q인력토사불량" localSheetId="28">#REF!</definedName>
    <definedName name="잔토Q인력토사불량">#REF!</definedName>
    <definedName name="잔토Q인력토사실가동불량" localSheetId="28">#REF!</definedName>
    <definedName name="잔토Q인력토사실가동불량">#REF!</definedName>
    <definedName name="잠수부" localSheetId="28">#REF!</definedName>
    <definedName name="잠수부">#REF!</definedName>
    <definedName name="잠항공" localSheetId="28">#REF!</definedName>
    <definedName name="잠항공">#REF!</definedName>
    <definedName name="잡자재" localSheetId="28">#REF!</definedName>
    <definedName name="잡자재">#REF!</definedName>
    <definedName name="잡자재비" localSheetId="28">#REF!</definedName>
    <definedName name="잡자재비">#REF!</definedName>
    <definedName name="장애자" localSheetId="28">#REF!</definedName>
    <definedName name="장애자">#REF!</definedName>
    <definedName name="재" localSheetId="28">#REF!</definedName>
    <definedName name="재">#REF!</definedName>
    <definedName name="재015" localSheetId="28">#REF!</definedName>
    <definedName name="재015">#REF!</definedName>
    <definedName name="재016" localSheetId="28">#REF!</definedName>
    <definedName name="재016">#REF!</definedName>
    <definedName name="재017" localSheetId="28">#REF!</definedName>
    <definedName name="재017">#REF!</definedName>
    <definedName name="재018" localSheetId="28">#REF!</definedName>
    <definedName name="재018">#REF!</definedName>
    <definedName name="재06" localSheetId="28">#REF!</definedName>
    <definedName name="재06">#REF!</definedName>
    <definedName name="재1" localSheetId="28">#REF!</definedName>
    <definedName name="재1">#REF!</definedName>
    <definedName name="재10" localSheetId="28">#REF!</definedName>
    <definedName name="재10">#REF!</definedName>
    <definedName name="재11" localSheetId="28">#REF!</definedName>
    <definedName name="재11">#REF!</definedName>
    <definedName name="재12" localSheetId="28">#REF!</definedName>
    <definedName name="재12">#REF!</definedName>
    <definedName name="재13" localSheetId="28">#REF!</definedName>
    <definedName name="재13">#REF!</definedName>
    <definedName name="재14" localSheetId="28">#REF!</definedName>
    <definedName name="재14">#REF!</definedName>
    <definedName name="재19" localSheetId="28">#REF!</definedName>
    <definedName name="재19">#REF!</definedName>
    <definedName name="재2" localSheetId="28">#REF!</definedName>
    <definedName name="재2">#REF!</definedName>
    <definedName name="재20" localSheetId="28">#REF!</definedName>
    <definedName name="재20">#REF!</definedName>
    <definedName name="재21" localSheetId="28">#REF!</definedName>
    <definedName name="재21">#REF!</definedName>
    <definedName name="재22" localSheetId="28">#REF!</definedName>
    <definedName name="재22">#REF!</definedName>
    <definedName name="재23" localSheetId="28">#REF!</definedName>
    <definedName name="재23">#REF!</definedName>
    <definedName name="재24" localSheetId="28">#REF!</definedName>
    <definedName name="재24">#REF!</definedName>
    <definedName name="재25" localSheetId="28">#REF!</definedName>
    <definedName name="재25">#REF!</definedName>
    <definedName name="재26" localSheetId="28">#REF!</definedName>
    <definedName name="재26">#REF!</definedName>
    <definedName name="재27" localSheetId="28">#REF!</definedName>
    <definedName name="재27">#REF!</definedName>
    <definedName name="재28" localSheetId="28">#REF!</definedName>
    <definedName name="재28">#REF!</definedName>
    <definedName name="재29" localSheetId="28">#REF!</definedName>
    <definedName name="재29">#REF!</definedName>
    <definedName name="재3" localSheetId="28">#REF!</definedName>
    <definedName name="재3">#REF!</definedName>
    <definedName name="재30" localSheetId="28">#REF!</definedName>
    <definedName name="재30">#REF!</definedName>
    <definedName name="재31" localSheetId="28">#REF!</definedName>
    <definedName name="재31">#REF!</definedName>
    <definedName name="재4" localSheetId="28">#REF!</definedName>
    <definedName name="재4">#REF!</definedName>
    <definedName name="재5" localSheetId="28">#REF!</definedName>
    <definedName name="재5">#REF!</definedName>
    <definedName name="재7" localSheetId="28">#REF!</definedName>
    <definedName name="재7">#REF!</definedName>
    <definedName name="재8" localSheetId="28">#REF!</definedName>
    <definedName name="재8">#REF!</definedName>
    <definedName name="재9" localSheetId="28">#REF!</definedName>
    <definedName name="재9">#REF!</definedName>
    <definedName name="재료비" localSheetId="28">#REF!</definedName>
    <definedName name="재료비">#REF!</definedName>
    <definedName name="재료비요율">1</definedName>
    <definedName name="재료산출내역1" localSheetId="28">#REF!</definedName>
    <definedName name="재료산출내역1">#REF!</definedName>
    <definedName name="재료집계3" localSheetId="28">#REF!</definedName>
    <definedName name="재료집계3">#REF!</definedName>
    <definedName name="재수너" localSheetId="28">#REF!</definedName>
    <definedName name="재수너">#REF!</definedName>
    <definedName name="재수어으므니다루" localSheetId="28">#REF!</definedName>
    <definedName name="재수어으므니다루">#REF!</definedName>
    <definedName name="저" localSheetId="28">#REF!</definedName>
    <definedName name="저">#REF!</definedName>
    <definedName name="저3" localSheetId="28">#REF!</definedName>
    <definedName name="저3">#REF!</definedName>
    <definedName name="저거" localSheetId="28">#REF!</definedName>
    <definedName name="저거">#REF!</definedName>
    <definedName name="저압케이블전공" localSheetId="28">#REF!</definedName>
    <definedName name="저압케이블전공">#REF!</definedName>
    <definedName name="저케CV22신설공구손료" localSheetId="28">#REF!</definedName>
    <definedName name="저케CV22신설공구손료">#REF!</definedName>
    <definedName name="저케CV22신설공비" localSheetId="28">#REF!</definedName>
    <definedName name="저케CV22신설공비">#REF!</definedName>
    <definedName name="저케CV22신설재료비" localSheetId="28">#REF!</definedName>
    <definedName name="저케CV22신설재료비">#REF!</definedName>
    <definedName name="저케CV38신설공구손료" localSheetId="28">#REF!</definedName>
    <definedName name="저케CV38신설공구손료">#REF!</definedName>
    <definedName name="저케CV38신설공비" localSheetId="28">#REF!</definedName>
    <definedName name="저케CV38신설공비">#REF!</definedName>
    <definedName name="저케CV38신설재료비" localSheetId="28">#REF!</definedName>
    <definedName name="저케CV38신설재료비">#REF!</definedName>
    <definedName name="저케CV8신설공구손료" localSheetId="28">#REF!</definedName>
    <definedName name="저케CV8신설공구손료">#REF!</definedName>
    <definedName name="저케CV8신설공비" localSheetId="28">#REF!</definedName>
    <definedName name="저케CV8신설공비">#REF!</definedName>
    <definedName name="저케CV8신설재료비" localSheetId="28">#REF!</definedName>
    <definedName name="저케CV8신설재료비">#REF!</definedName>
    <definedName name="적간" localSheetId="28">#REF!</definedName>
    <definedName name="적간">#REF!</definedName>
    <definedName name="적공" localSheetId="28">#REF!</definedName>
    <definedName name="적공">#REF!</definedName>
    <definedName name="적기" localSheetId="28">#REF!</definedName>
    <definedName name="적기">#REF!</definedName>
    <definedName name="적부" localSheetId="28">#REF!</definedName>
    <definedName name="적부">#REF!</definedName>
    <definedName name="적산" localSheetId="28">#REF!</definedName>
    <definedName name="적산">#REF!</definedName>
    <definedName name="적소" localSheetId="28">#REF!</definedName>
    <definedName name="적소">#REF!</definedName>
    <definedName name="적안" localSheetId="28">#REF!</definedName>
    <definedName name="적안">#REF!</definedName>
    <definedName name="적용거리" localSheetId="28">#REF!</definedName>
    <definedName name="적용거리">#REF!</definedName>
    <definedName name="적용단가1" localSheetId="28">#REF!</definedName>
    <definedName name="적용단가1">#REF!</definedName>
    <definedName name="적용대가산출표" localSheetId="28">#REF!</definedName>
    <definedName name="적용대가산출표">#REF!</definedName>
    <definedName name="적용속도" localSheetId="28">#REF!</definedName>
    <definedName name="적용속도">#REF!</definedName>
    <definedName name="적용톤수" localSheetId="28">#REF!</definedName>
    <definedName name="적용톤수">#REF!</definedName>
    <definedName name="적이" localSheetId="28">#REF!</definedName>
    <definedName name="적이">#REF!</definedName>
    <definedName name="적일" localSheetId="28">#REF!</definedName>
    <definedName name="적일">#REF!</definedName>
    <definedName name="적합" localSheetId="28">#REF!</definedName>
    <definedName name="적합">#REF!</definedName>
    <definedName name="전기" localSheetId="28">#REF!</definedName>
    <definedName name="전기">#REF!</definedName>
    <definedName name="전기공사기사" localSheetId="28">#REF!</definedName>
    <definedName name="전기공사기사">#REF!</definedName>
    <definedName name="전기공사기사1급" localSheetId="28">#REF!</definedName>
    <definedName name="전기공사기사1급">#REF!</definedName>
    <definedName name="전기공사기사2급" localSheetId="28">#REF!</definedName>
    <definedName name="전기공사기사2급">#REF!</definedName>
    <definedName name="전기공사산업기사" localSheetId="28">#REF!</definedName>
    <definedName name="전기공사산업기사">#REF!</definedName>
    <definedName name="전기일위목록" localSheetId="28">#REF!</definedName>
    <definedName name="전기일위목록">#REF!</definedName>
    <definedName name="전등" localSheetId="28">#REF!</definedName>
    <definedName name="전등">#REF!</definedName>
    <definedName name="전등단가" localSheetId="28">#REF!</definedName>
    <definedName name="전등단가">#REF!</definedName>
    <definedName name="전등단가2" localSheetId="28">#REF!</definedName>
    <definedName name="전등단가2">#REF!</definedName>
    <definedName name="전등수량" localSheetId="28">#REF!</definedName>
    <definedName name="전등수량">#REF!</definedName>
    <definedName name="전등수량2" localSheetId="28">#REF!</definedName>
    <definedName name="전등수량2">#REF!</definedName>
    <definedName name="전등신설" localSheetId="28">#REF!</definedName>
    <definedName name="전등신설">#REF!</definedName>
    <definedName name="전등신설1" localSheetId="28">#REF!</definedName>
    <definedName name="전등신설1">#REF!</definedName>
    <definedName name="전등전력" localSheetId="28">#REF!</definedName>
    <definedName name="전등전력">#REF!</definedName>
    <definedName name="전등중계" localSheetId="28">#REF!</definedName>
    <definedName name="전등중계">#REF!</definedName>
    <definedName name="전등철거단가" localSheetId="28">#REF!</definedName>
    <definedName name="전등철거단가">#REF!</definedName>
    <definedName name="전라선개정" localSheetId="28">#REF!</definedName>
    <definedName name="전라선개정">#REF!</definedName>
    <definedName name="전력" localSheetId="28">#REF!</definedName>
    <definedName name="전력">#REF!</definedName>
    <definedName name="전력기기" localSheetId="28">#REF!</definedName>
    <definedName name="전력기기">#REF!</definedName>
    <definedName name="전력중계" localSheetId="28">#REF!</definedName>
    <definedName name="전력중계">#REF!</definedName>
    <definedName name="전류" localSheetId="28">#REF!</definedName>
    <definedName name="전류">#REF!</definedName>
    <definedName name="전류2" localSheetId="28">#REF!</definedName>
    <definedName name="전류2">#REF!</definedName>
    <definedName name="전류3" localSheetId="28">#REF!</definedName>
    <definedName name="전류3">#REF!</definedName>
    <definedName name="전류4" localSheetId="28">#REF!</definedName>
    <definedName name="전류4">#REF!</definedName>
    <definedName name="전선" localSheetId="28">#REF!</definedName>
    <definedName name="전선">#REF!</definedName>
    <definedName name="전선관" localSheetId="28">#REF!</definedName>
    <definedName name="전선관">#REF!</definedName>
    <definedName name="전선관부속품비" localSheetId="28">#REF!</definedName>
    <definedName name="전선관부속품비">#REF!</definedName>
    <definedName name="전선상선철거" localSheetId="28">#REF!*2</definedName>
    <definedName name="전선상선철거">#REF!*2</definedName>
    <definedName name="전선신설" localSheetId="28">3*#REF!</definedName>
    <definedName name="전선신설">3*#REF!</definedName>
    <definedName name="전선철거" localSheetId="28">#REF!*3</definedName>
    <definedName name="전선철거">#REF!*3</definedName>
    <definedName name="전열" localSheetId="28">#REF!</definedName>
    <definedName name="전열">#REF!</definedName>
    <definedName name="전전" localSheetId="28">#REF!</definedName>
    <definedName name="전전">#REF!</definedName>
    <definedName name="전체제조총괄표">{"'건축내역'!$A$1:$L$413"}</definedName>
    <definedName name="전화" localSheetId="28">#REF!</definedName>
    <definedName name="전화">#REF!</definedName>
    <definedName name="전화및TV공시청설비" localSheetId="28">#REF!</definedName>
    <definedName name="전화및TV공시청설비">#REF!</definedName>
    <definedName name="절단공" localSheetId="28">#REF!</definedName>
    <definedName name="절단공">#REF!</definedName>
    <definedName name="절연철거3" localSheetId="28">#REF!</definedName>
    <definedName name="절연철거3">#REF!</definedName>
    <definedName name="점멸기입력" localSheetId="2">'1-1. 설계설명서(1차)'!점멸기입력</definedName>
    <definedName name="점멸기입력" localSheetId="3">'1-1. 설계설명서(2차)'!점멸기입력</definedName>
    <definedName name="점멸기입력" localSheetId="4">'1-1. 설계설명서(3차)'!점멸기입력</definedName>
    <definedName name="점멸기입력" localSheetId="5">'1-1. 설계설명서(4차)'!점멸기입력</definedName>
    <definedName name="점멸기입력" localSheetId="8">'3-1. 예정공정표(1차)'!점멸기입력</definedName>
    <definedName name="점멸기입력" localSheetId="9">'3-2. 예정공정표(2차)'!점멸기입력</definedName>
    <definedName name="점멸기입력" localSheetId="10">'3-3. 예정공정표(3차)'!점멸기입력</definedName>
    <definedName name="점멸기입력" localSheetId="11">'3-4. 예정공정표(4차)'!점멸기입력</definedName>
    <definedName name="점멸기입력" localSheetId="13">'4-1. 예산내역서(1차)'!점멸기입력</definedName>
    <definedName name="점멸기입력" localSheetId="14">'4-2. 예산내역서(2차)'!점멸기입력</definedName>
    <definedName name="점멸기입력" localSheetId="15">'4-3. 예산내역서(3차)'!점멸기입력</definedName>
    <definedName name="점멸기입력" localSheetId="16">'4-4. 예산내역서(4차)'!점멸기입력</definedName>
    <definedName name="점멸기입력" localSheetId="18">'5-1. 공종별예산조서(1차)'!점멸기입력</definedName>
    <definedName name="점멸기입력" localSheetId="19">'5-2. 공종별예산조서(2차)'!점멸기입력</definedName>
    <definedName name="점멸기입력" localSheetId="20">'5-3. 공종별예산조서(3차)'!점멸기입력</definedName>
    <definedName name="점멸기입력" localSheetId="21">'5-3. 공종별예산조서(4차)'!점멸기입력</definedName>
    <definedName name="점멸기입력" localSheetId="28">#N/A</definedName>
    <definedName name="점멸기입력" localSheetId="24">'8-1. 철거발생품 예정조서(1차)'!점멸기입력</definedName>
    <definedName name="점멸기입력" localSheetId="25">'8-2. 철거발생품 예정조서(2차)'!점멸기입력</definedName>
    <definedName name="점멸기입력" localSheetId="26">'8-3. 철거발생품 예정조서(3차)'!점멸기입력</definedName>
    <definedName name="점멸기입력" localSheetId="27">'8-4. 철거발생품 예정조서(4차)'!점멸기입력</definedName>
    <definedName name="점멸기입력">#N/A</definedName>
    <definedName name="접지1종합계" localSheetId="28">#REF!</definedName>
    <definedName name="접지1종합계">#REF!</definedName>
    <definedName name="접지3종공구손료" localSheetId="28">#REF!</definedName>
    <definedName name="접지3종공구손료">#REF!</definedName>
    <definedName name="접지3종공비" localSheetId="28">#REF!</definedName>
    <definedName name="접지3종공비">#REF!</definedName>
    <definedName name="접지3종재료비" localSheetId="28">#REF!</definedName>
    <definedName name="접지3종재료비">#REF!</definedName>
    <definedName name="정웅하">{"'광피스표'!$A$3:$N$54"}</definedName>
    <definedName name="제" localSheetId="28">#REF!</definedName>
    <definedName name="제">#REF!</definedName>
    <definedName name="제기나" localSheetId="28">#REF!</definedName>
    <definedName name="제기나">#REF!</definedName>
    <definedName name="제길" localSheetId="28">#REF!</definedName>
    <definedName name="제길">#REF!</definedName>
    <definedName name="제도사" localSheetId="28">#REF!</definedName>
    <definedName name="제도사">#REF!</definedName>
    <definedName name="제록스" localSheetId="28">#REF!</definedName>
    <definedName name="제록스">#REF!</definedName>
    <definedName name="제제제제제제비" localSheetId="28">#REF!</definedName>
    <definedName name="제제제제제제비">#REF!</definedName>
    <definedName name="제철축로공" localSheetId="28">#REF!</definedName>
    <definedName name="제철축로공">#REF!</definedName>
    <definedName name="조" localSheetId="28">#REF!</definedName>
    <definedName name="조">#REF!</definedName>
    <definedName name="조경공" localSheetId="28">#REF!</definedName>
    <definedName name="조경공">#REF!</definedName>
    <definedName name="조도계산" localSheetId="2">'1-1. 설계설명서(1차)'!조도계산</definedName>
    <definedName name="조도계산" localSheetId="3">'1-1. 설계설명서(2차)'!조도계산</definedName>
    <definedName name="조도계산" localSheetId="4">'1-1. 설계설명서(3차)'!조도계산</definedName>
    <definedName name="조도계산" localSheetId="5">'1-1. 설계설명서(4차)'!조도계산</definedName>
    <definedName name="조도계산" localSheetId="8">'3-1. 예정공정표(1차)'!조도계산</definedName>
    <definedName name="조도계산" localSheetId="9">'3-2. 예정공정표(2차)'!조도계산</definedName>
    <definedName name="조도계산" localSheetId="10">'3-3. 예정공정표(3차)'!조도계산</definedName>
    <definedName name="조도계산" localSheetId="11">'3-4. 예정공정표(4차)'!조도계산</definedName>
    <definedName name="조도계산" localSheetId="13">'4-1. 예산내역서(1차)'!조도계산</definedName>
    <definedName name="조도계산" localSheetId="14">'4-2. 예산내역서(2차)'!조도계산</definedName>
    <definedName name="조도계산" localSheetId="15">'4-3. 예산내역서(3차)'!조도계산</definedName>
    <definedName name="조도계산" localSheetId="16">'4-4. 예산내역서(4차)'!조도계산</definedName>
    <definedName name="조도계산" localSheetId="18">'5-1. 공종별예산조서(1차)'!조도계산</definedName>
    <definedName name="조도계산" localSheetId="19">'5-2. 공종별예산조서(2차)'!조도계산</definedName>
    <definedName name="조도계산" localSheetId="20">'5-3. 공종별예산조서(3차)'!조도계산</definedName>
    <definedName name="조도계산" localSheetId="21">'5-3. 공종별예산조서(4차)'!조도계산</definedName>
    <definedName name="조도계산" localSheetId="24">'8-1. 철거발생품 예정조서(1차)'!조도계산</definedName>
    <definedName name="조도계산" localSheetId="25">'8-2. 철거발생품 예정조서(2차)'!조도계산</definedName>
    <definedName name="조도계산" localSheetId="26">'8-3. 철거발생품 예정조서(3차)'!조도계산</definedName>
    <definedName name="조도계산" localSheetId="27">'8-4. 철거발생품 예정조서(4차)'!조도계산</definedName>
    <definedName name="조도계산2" localSheetId="2">'1-1. 설계설명서(1차)'!조도계산2</definedName>
    <definedName name="조도계산2" localSheetId="3">'1-1. 설계설명서(2차)'!조도계산2</definedName>
    <definedName name="조도계산2" localSheetId="4">'1-1. 설계설명서(3차)'!조도계산2</definedName>
    <definedName name="조도계산2" localSheetId="5">'1-1. 설계설명서(4차)'!조도계산2</definedName>
    <definedName name="조도계산2" localSheetId="8">'3-1. 예정공정표(1차)'!조도계산2</definedName>
    <definedName name="조도계산2" localSheetId="9">'3-2. 예정공정표(2차)'!조도계산2</definedName>
    <definedName name="조도계산2" localSheetId="10">'3-3. 예정공정표(3차)'!조도계산2</definedName>
    <definedName name="조도계산2" localSheetId="11">'3-4. 예정공정표(4차)'!조도계산2</definedName>
    <definedName name="조도계산2" localSheetId="13">'4-1. 예산내역서(1차)'!조도계산2</definedName>
    <definedName name="조도계산2" localSheetId="14">'4-2. 예산내역서(2차)'!조도계산2</definedName>
    <definedName name="조도계산2" localSheetId="15">'4-3. 예산내역서(3차)'!조도계산2</definedName>
    <definedName name="조도계산2" localSheetId="16">'4-4. 예산내역서(4차)'!조도계산2</definedName>
    <definedName name="조도계산2" localSheetId="18">'5-1. 공종별예산조서(1차)'!조도계산2</definedName>
    <definedName name="조도계산2" localSheetId="19">'5-2. 공종별예산조서(2차)'!조도계산2</definedName>
    <definedName name="조도계산2" localSheetId="20">'5-3. 공종별예산조서(3차)'!조도계산2</definedName>
    <definedName name="조도계산2" localSheetId="21">'5-3. 공종별예산조서(4차)'!조도계산2</definedName>
    <definedName name="조도계산2" localSheetId="24">'8-1. 철거발생품 예정조서(1차)'!조도계산2</definedName>
    <definedName name="조도계산2" localSheetId="25">'8-2. 철거발생품 예정조서(2차)'!조도계산2</definedName>
    <definedName name="조도계산2" localSheetId="26">'8-3. 철거발생품 예정조서(3차)'!조도계산2</definedName>
    <definedName name="조도계산2" localSheetId="27">'8-4. 철거발생품 예정조서(4차)'!조도계산2</definedName>
    <definedName name="조도계산3" localSheetId="2">'1-1. 설계설명서(1차)'!조도계산3</definedName>
    <definedName name="조도계산3" localSheetId="3">'1-1. 설계설명서(2차)'!조도계산3</definedName>
    <definedName name="조도계산3" localSheetId="4">'1-1. 설계설명서(3차)'!조도계산3</definedName>
    <definedName name="조도계산3" localSheetId="5">'1-1. 설계설명서(4차)'!조도계산3</definedName>
    <definedName name="조도계산3" localSheetId="8">'3-1. 예정공정표(1차)'!조도계산3</definedName>
    <definedName name="조도계산3" localSheetId="9">'3-2. 예정공정표(2차)'!조도계산3</definedName>
    <definedName name="조도계산3" localSheetId="10">'3-3. 예정공정표(3차)'!조도계산3</definedName>
    <definedName name="조도계산3" localSheetId="11">'3-4. 예정공정표(4차)'!조도계산3</definedName>
    <definedName name="조도계산3" localSheetId="13">'4-1. 예산내역서(1차)'!조도계산3</definedName>
    <definedName name="조도계산3" localSheetId="14">'4-2. 예산내역서(2차)'!조도계산3</definedName>
    <definedName name="조도계산3" localSheetId="15">'4-3. 예산내역서(3차)'!조도계산3</definedName>
    <definedName name="조도계산3" localSheetId="16">'4-4. 예산내역서(4차)'!조도계산3</definedName>
    <definedName name="조도계산3" localSheetId="18">'5-1. 공종별예산조서(1차)'!조도계산3</definedName>
    <definedName name="조도계산3" localSheetId="19">'5-2. 공종별예산조서(2차)'!조도계산3</definedName>
    <definedName name="조도계산3" localSheetId="20">'5-3. 공종별예산조서(3차)'!조도계산3</definedName>
    <definedName name="조도계산3" localSheetId="21">'5-3. 공종별예산조서(4차)'!조도계산3</definedName>
    <definedName name="조도계산3" localSheetId="24">'8-1. 철거발생품 예정조서(1차)'!조도계산3</definedName>
    <definedName name="조도계산3" localSheetId="25">'8-2. 철거발생품 예정조서(2차)'!조도계산3</definedName>
    <definedName name="조도계산3" localSheetId="26">'8-3. 철거발생품 예정조서(3차)'!조도계산3</definedName>
    <definedName name="조도계산3" localSheetId="27">'8-4. 철거발생품 예정조서(4차)'!조도계산3</definedName>
    <definedName name="조력공" localSheetId="28">#REF!</definedName>
    <definedName name="조력공">#REF!</definedName>
    <definedName name="조림인부" localSheetId="28">#REF!</definedName>
    <definedName name="조림인부">#REF!</definedName>
    <definedName name="조수" localSheetId="28">#REF!</definedName>
    <definedName name="조수">#REF!</definedName>
    <definedName name="조수야" localSheetId="28">#REF!</definedName>
    <definedName name="조수야">#REF!</definedName>
    <definedName name="조수주" localSheetId="28">#REF!</definedName>
    <definedName name="조수주">#REF!</definedName>
    <definedName name="조장" localSheetId="28">#REF!</definedName>
    <definedName name="조장">#REF!</definedName>
    <definedName name="조장야" localSheetId="28">#REF!</definedName>
    <definedName name="조장야">#REF!</definedName>
    <definedName name="조장주" localSheetId="28">#REF!</definedName>
    <definedName name="조장주">#REF!</definedName>
    <definedName name="조적공" localSheetId="28">#REF!</definedName>
    <definedName name="조적공">#REF!</definedName>
    <definedName name="조정" localSheetId="28">#REF!</definedName>
    <definedName name="조정">#REF!</definedName>
    <definedName name="조차장" localSheetId="28" hidden="1">{#N/A,#N/A,FALSE,"명세표"}</definedName>
    <definedName name="조차장" hidden="1">{#N/A,#N/A,FALSE,"명세표"}</definedName>
    <definedName name="조효">{"'Firr(선)'!$AS$1:$AY$62","'Firr(사)'!$AS$1:$AY$62","'Firr(회)'!$AS$1:$AY$62","'Firr(선)'!$L$1:$V$62","'Firr(사)'!$L$1:$V$62","'Firr(회)'!$L$1:$V$62"}</definedName>
    <definedName name="조효석">{"'Firr(선)'!$AS$1:$AY$62","'Firr(사)'!$AS$1:$AY$62","'Firr(회)'!$AS$1:$AY$62","'Firr(선)'!$L$1:$V$62","'Firr(사)'!$L$1:$V$62","'Firr(회)'!$L$1:$V$62"}</definedName>
    <definedName name="종목수">#REF!</definedName>
    <definedName name="죠" localSheetId="28">#REF!</definedName>
    <definedName name="죠">#REF!</definedName>
    <definedName name="죷ㅇ" localSheetId="28" hidden="1">{#N/A,#N/A,FALSE,"명세표"}</definedName>
    <definedName name="죷ㅇ" hidden="1">{#N/A,#N/A,FALSE,"명세표"}</definedName>
    <definedName name="주">#REF!</definedName>
    <definedName name="주_마" localSheetId="28">#REF!</definedName>
    <definedName name="주_마">#REF!</definedName>
    <definedName name="주1" localSheetId="28">#REF!</definedName>
    <definedName name="주1">#REF!</definedName>
    <definedName name="주내" localSheetId="28">#REF!</definedName>
    <definedName name="주내">#REF!</definedName>
    <definedName name="주내1" localSheetId="28">#REF!</definedName>
    <definedName name="주내1">#REF!</definedName>
    <definedName name="주내역" localSheetId="28">#REF!</definedName>
    <definedName name="주내역">#REF!</definedName>
    <definedName name="주산" localSheetId="28">#REF!</definedName>
    <definedName name="주산">#REF!</definedName>
    <definedName name="주생" localSheetId="28">#REF!</definedName>
    <definedName name="주생">#REF!</definedName>
    <definedName name="주요자재내역">{"'5국공정'!$A$1:$E$128"}</definedName>
    <definedName name="주주생" localSheetId="28">#REF!</definedName>
    <definedName name="주주생">#REF!</definedName>
    <definedName name="죽어" localSheetId="28">#REF!</definedName>
    <definedName name="죽어">#REF!</definedName>
    <definedName name="준공감독자" localSheetId="28">#REF!</definedName>
    <definedName name="준공감독자">#REF!</definedName>
    <definedName name="준공검사자" localSheetId="28">#REF!</definedName>
    <definedName name="준공검사자">#REF!</definedName>
    <definedName name="준공년월일" localSheetId="28">#REF!</definedName>
    <definedName name="준공년월일">#REF!</definedName>
    <definedName name="준공예정일" localSheetId="28">#REF!</definedName>
    <definedName name="준공예정일">#REF!</definedName>
    <definedName name="준설선기관사" localSheetId="28">#REF!</definedName>
    <definedName name="준설선기관사">#REF!</definedName>
    <definedName name="준설선기관장" localSheetId="28">#REF!</definedName>
    <definedName name="준설선기관장">#REF!</definedName>
    <definedName name="준설선선장" localSheetId="28">#REF!</definedName>
    <definedName name="준설선선장">#REF!</definedName>
    <definedName name="준설선운전사" localSheetId="28">#REF!</definedName>
    <definedName name="준설선운전사">#REF!</definedName>
    <definedName name="준설선전기사" localSheetId="28">#REF!</definedName>
    <definedName name="준설선전기사">#REF!</definedName>
    <definedName name="줄눈공" localSheetId="28">#REF!</definedName>
    <definedName name="줄눈공">#REF!</definedName>
    <definedName name="중급원자력기술자" localSheetId="28">#REF!</definedName>
    <definedName name="중급원자력기술자">#REF!</definedName>
    <definedName name="중기운전기사" localSheetId="28">#REF!</definedName>
    <definedName name="중기운전기사">#REF!</definedName>
    <definedName name="중량" localSheetId="28">#REF!</definedName>
    <definedName name="중량">#REF!</definedName>
    <definedName name="즈" localSheetId="28">#REF!</definedName>
    <definedName name="즈">#REF!</definedName>
    <definedName name="지" localSheetId="28">#REF!</definedName>
    <definedName name="지">#REF!</definedName>
    <definedName name="지겨" localSheetId="28">#REF!</definedName>
    <definedName name="지겨">#REF!</definedName>
    <definedName name="지겨워" localSheetId="28">#REF!</definedName>
    <definedName name="지겨워">#REF!</definedName>
    <definedName name="지급자재조서" localSheetId="28">#REF!</definedName>
    <definedName name="지급자재조서">#REF!</definedName>
    <definedName name="지붕잇기공" localSheetId="28">#REF!</definedName>
    <definedName name="지붕잇기공">#REF!</definedName>
    <definedName name="지은" localSheetId="28">#REF!</definedName>
    <definedName name="지은">#REF!</definedName>
    <definedName name="지은바보" localSheetId="28">#REF!</definedName>
    <definedName name="지은바보">#REF!</definedName>
    <definedName name="지장선로" localSheetId="28">#REF!</definedName>
    <definedName name="지장선로">#REF!</definedName>
    <definedName name="지적기능사" localSheetId="28">#REF!</definedName>
    <definedName name="지적기능사">#REF!</definedName>
    <definedName name="지적기능산업기사" localSheetId="28">#REF!</definedName>
    <definedName name="지적기능산업기사">#REF!</definedName>
    <definedName name="지적기사" localSheetId="28">#REF!</definedName>
    <definedName name="지적기사">#REF!</definedName>
    <definedName name="지적산업기사" localSheetId="28">#REF!</definedName>
    <definedName name="지적산업기사">#REF!</definedName>
    <definedName name="지지우개" localSheetId="28">#REF!</definedName>
    <definedName name="지지우개">#REF!</definedName>
    <definedName name="지표" localSheetId="28">#REF!</definedName>
    <definedName name="지표">#REF!</definedName>
    <definedName name="직접노무비" localSheetId="28">#REF!</definedName>
    <definedName name="직접노무비">#REF!</definedName>
    <definedName name="직접재료비" localSheetId="28">#REF!</definedName>
    <definedName name="직접재료비">#REF!</definedName>
    <definedName name="진로표시기" localSheetId="28">#REF!</definedName>
    <definedName name="진로표시기">#REF!</definedName>
    <definedName name="집" localSheetId="28">#REF!</definedName>
    <definedName name="집">#REF!</definedName>
    <definedName name="집계" localSheetId="28" hidden="1">{#N/A,#N/A,FALSE,"명세표"}</definedName>
    <definedName name="집계" hidden="1">{#N/A,#N/A,FALSE,"명세표"}</definedName>
    <definedName name="집계2">#REF!</definedName>
    <definedName name="짜증" localSheetId="28">#REF!</definedName>
    <definedName name="짜증">#REF!</definedName>
    <definedName name="짜증1" localSheetId="28">#REF!</definedName>
    <definedName name="짜증1">#REF!</definedName>
    <definedName name="찡니" localSheetId="28">#REF!</definedName>
    <definedName name="찡니">#REF!</definedName>
    <definedName name="ㅊ" localSheetId="28">#REF!</definedName>
    <definedName name="ㅊ">#REF!</definedName>
    <definedName name="ㅊ1555" localSheetId="28">#REF!</definedName>
    <definedName name="ㅊ1555">#REF!</definedName>
    <definedName name="ㅊㅁㄷ" localSheetId="28" hidden="1">{#N/A,#N/A,FALSE,"명세표"}</definedName>
    <definedName name="ㅊㅁㄷ" hidden="1">{#N/A,#N/A,FALSE,"명세표"}</definedName>
    <definedName name="ㅊㅊ">#REF!</definedName>
    <definedName name="ㅊㅊㅊ" localSheetId="28">#REF!</definedName>
    <definedName name="ㅊㅊㅊ">#REF!</definedName>
    <definedName name="ㅊㅌㅍ" localSheetId="28" hidden="1">{#N/A,#N/A,FALSE,"명세표"}</definedName>
    <definedName name="ㅊㅌㅍ" hidden="1">{#N/A,#N/A,FALSE,"명세표"}</definedName>
    <definedName name="ㅊㅍㅊㅍ">#REF!</definedName>
    <definedName name="ㅊㅍㅌ" localSheetId="28" hidden="1">{#N/A,#N/A,FALSE,"명세표"}</definedName>
    <definedName name="ㅊㅍㅌ" hidden="1">{#N/A,#N/A,FALSE,"명세표"}</definedName>
    <definedName name="차" localSheetId="28" hidden="1">{#N/A,#N/A,FALSE,"명세표"}</definedName>
    <definedName name="차" hidden="1">{#N/A,#N/A,FALSE,"명세표"}</definedName>
    <definedName name="차량가격">#REF!</definedName>
    <definedName name="차례">#N/A</definedName>
    <definedName name="차례1" localSheetId="2">'1-1. 설계설명서(1차)'!차례1</definedName>
    <definedName name="차례1" localSheetId="3">'1-1. 설계설명서(2차)'!차례1</definedName>
    <definedName name="차례1" localSheetId="4">'1-1. 설계설명서(3차)'!차례1</definedName>
    <definedName name="차례1" localSheetId="5">'1-1. 설계설명서(4차)'!차례1</definedName>
    <definedName name="차례1" localSheetId="8">'3-1. 예정공정표(1차)'!차례1</definedName>
    <definedName name="차례1" localSheetId="9">'3-2. 예정공정표(2차)'!차례1</definedName>
    <definedName name="차례1" localSheetId="10">'3-3. 예정공정표(3차)'!차례1</definedName>
    <definedName name="차례1" localSheetId="11">'3-4. 예정공정표(4차)'!차례1</definedName>
    <definedName name="차례1" localSheetId="13">'4-1. 예산내역서(1차)'!차례1</definedName>
    <definedName name="차례1" localSheetId="14">'4-2. 예산내역서(2차)'!차례1</definedName>
    <definedName name="차례1" localSheetId="15">'4-3. 예산내역서(3차)'!차례1</definedName>
    <definedName name="차례1" localSheetId="16">'4-4. 예산내역서(4차)'!차례1</definedName>
    <definedName name="차례1" localSheetId="18">'5-1. 공종별예산조서(1차)'!차례1</definedName>
    <definedName name="차례1" localSheetId="19">'5-2. 공종별예산조서(2차)'!차례1</definedName>
    <definedName name="차례1" localSheetId="20">'5-3. 공종별예산조서(3차)'!차례1</definedName>
    <definedName name="차례1" localSheetId="21">'5-3. 공종별예산조서(4차)'!차례1</definedName>
    <definedName name="차례1" localSheetId="24">'8-1. 철거발생품 예정조서(1차)'!차례1</definedName>
    <definedName name="차례1" localSheetId="25">'8-2. 철거발생품 예정조서(2차)'!차례1</definedName>
    <definedName name="차례1" localSheetId="26">'8-3. 철거발생품 예정조서(3차)'!차례1</definedName>
    <definedName name="차례1" localSheetId="27">'8-4. 철거발생품 예정조서(4차)'!차례1</definedName>
    <definedName name="착공기한" localSheetId="28">#REF!</definedName>
    <definedName name="착공기한">#REF!</definedName>
    <definedName name="착공년월일" localSheetId="28">#REF!</definedName>
    <definedName name="착공년월일">#REF!</definedName>
    <definedName name="착공일" localSheetId="28">#REF!</definedName>
    <definedName name="착공일">#REF!</definedName>
    <definedName name="착암공" localSheetId="28">#REF!</definedName>
    <definedName name="착암공">#REF!</definedName>
    <definedName name="참고">{"'Sheet1'!$A$1:$E$59"}</definedName>
    <definedName name="참조">{"'Sheet1'!$A$1:$E$59"}</definedName>
    <definedName name="창호목공" localSheetId="28">#REF!</definedName>
    <definedName name="창호목공">#REF!</definedName>
    <definedName name="창호목수" localSheetId="28">#REF!</definedName>
    <definedName name="창호목수">#REF!</definedName>
    <definedName name="채운" localSheetId="28">#REF!</definedName>
    <definedName name="채운">#REF!</definedName>
    <definedName name="처리비" localSheetId="28">#REF!</definedName>
    <definedName name="처리비">#REF!</definedName>
    <definedName name="천낙찰률" localSheetId="28">#REF!</definedName>
    <definedName name="천낙찰률">#REF!</definedName>
    <definedName name="철거구간" localSheetId="28">#REF!</definedName>
    <definedName name="철거구간">#REF!</definedName>
    <definedName name="철거구간1" localSheetId="28">#REF!</definedName>
    <definedName name="철거구간1">#REF!</definedName>
    <definedName name="철거발생" localSheetId="28">#REF!</definedName>
    <definedName name="철거발생">#REF!</definedName>
    <definedName name="철거수량1" localSheetId="28">#REF!</definedName>
    <definedName name="철거수량1">#REF!</definedName>
    <definedName name="철거수량2" localSheetId="28">#REF!</definedName>
    <definedName name="철거수량2">#REF!</definedName>
    <definedName name="철거역" localSheetId="28">#REF!</definedName>
    <definedName name="철거역">#REF!</definedName>
    <definedName name="철거역1" localSheetId="28">#REF!</definedName>
    <definedName name="철거역1">#REF!</definedName>
    <definedName name="철거역수량1" localSheetId="28">#REF!</definedName>
    <definedName name="철거역수량1">#REF!</definedName>
    <definedName name="철거역수량2" localSheetId="28">#REF!</definedName>
    <definedName name="철거역수량2">#REF!</definedName>
    <definedName name="철거자재" localSheetId="28">#REF!</definedName>
    <definedName name="철거자재">#REF!</definedName>
    <definedName name="철거전등단가" localSheetId="28">#REF!</definedName>
    <definedName name="철거전등단가">#REF!</definedName>
    <definedName name="철거조서" localSheetId="28">#REF!</definedName>
    <definedName name="철거조서">#REF!</definedName>
    <definedName name="철거집계" localSheetId="28">#REF!</definedName>
    <definedName name="철거집계">#REF!</definedName>
    <definedName name="철골공" localSheetId="28">#REF!</definedName>
    <definedName name="철골공">#REF!</definedName>
    <definedName name="철골야" localSheetId="28">#REF!</definedName>
    <definedName name="철골야">#REF!</definedName>
    <definedName name="철골주" localSheetId="28">#REF!</definedName>
    <definedName name="철골주">#REF!</definedName>
    <definedName name="철공" localSheetId="28">#REF!</definedName>
    <definedName name="철공">#REF!</definedName>
    <definedName name="철근공" localSheetId="28">#REF!</definedName>
    <definedName name="철근공">#REF!</definedName>
    <definedName name="철근야" localSheetId="28">#REF!</definedName>
    <definedName name="철근야">#REF!</definedName>
    <definedName name="철근주" localSheetId="28">#REF!</definedName>
    <definedName name="철근주">#REF!</definedName>
    <definedName name="철도신호공" localSheetId="28">#REF!</definedName>
    <definedName name="철도신호공">#REF!</definedName>
    <definedName name="철도청" localSheetId="28">#REF!</definedName>
    <definedName name="철도청">#REF!</definedName>
    <definedName name="철주신설공구손료" localSheetId="28">#REF!</definedName>
    <definedName name="철주신설공구손료">#REF!</definedName>
    <definedName name="철주신설공비" localSheetId="28">#REF!</definedName>
    <definedName name="철주신설공비">#REF!</definedName>
    <definedName name="철주신설재료비" localSheetId="28">#REF!</definedName>
    <definedName name="철주신설재료비">#REF!</definedName>
    <definedName name="철판공" localSheetId="28">#REF!</definedName>
    <definedName name="철판공">#REF!</definedName>
    <definedName name="체" localSheetId="28">#REF!</definedName>
    <definedName name="체">#REF!</definedName>
    <definedName name="총" localSheetId="28">#REF!</definedName>
    <definedName name="총">#REF!</definedName>
    <definedName name="총1" localSheetId="28">#REF!</definedName>
    <definedName name="총1">#REF!</definedName>
    <definedName name="총괄" localSheetId="28">#REF!</definedName>
    <definedName name="총괄">#REF!</definedName>
    <definedName name="총괄쵸1" localSheetId="2">'1-1. 설계설명서(1차)'!총괄쵸1</definedName>
    <definedName name="총괄쵸1" localSheetId="3">'1-1. 설계설명서(2차)'!총괄쵸1</definedName>
    <definedName name="총괄쵸1" localSheetId="4">'1-1. 설계설명서(3차)'!총괄쵸1</definedName>
    <definedName name="총괄쵸1" localSheetId="5">'1-1. 설계설명서(4차)'!총괄쵸1</definedName>
    <definedName name="총괄쵸1" localSheetId="8">'3-1. 예정공정표(1차)'!총괄쵸1</definedName>
    <definedName name="총괄쵸1" localSheetId="9">'3-2. 예정공정표(2차)'!총괄쵸1</definedName>
    <definedName name="총괄쵸1" localSheetId="10">'3-3. 예정공정표(3차)'!총괄쵸1</definedName>
    <definedName name="총괄쵸1" localSheetId="11">'3-4. 예정공정표(4차)'!총괄쵸1</definedName>
    <definedName name="총괄쵸1" localSheetId="13">'4-1. 예산내역서(1차)'!총괄쵸1</definedName>
    <definedName name="총괄쵸1" localSheetId="14">'4-2. 예산내역서(2차)'!총괄쵸1</definedName>
    <definedName name="총괄쵸1" localSheetId="15">'4-3. 예산내역서(3차)'!총괄쵸1</definedName>
    <definedName name="총괄쵸1" localSheetId="16">'4-4. 예산내역서(4차)'!총괄쵸1</definedName>
    <definedName name="총괄쵸1" localSheetId="18">'5-1. 공종별예산조서(1차)'!총괄쵸1</definedName>
    <definedName name="총괄쵸1" localSheetId="19">'5-2. 공종별예산조서(2차)'!총괄쵸1</definedName>
    <definedName name="총괄쵸1" localSheetId="20">'5-3. 공종별예산조서(3차)'!총괄쵸1</definedName>
    <definedName name="총괄쵸1" localSheetId="21">'5-3. 공종별예산조서(4차)'!총괄쵸1</definedName>
    <definedName name="총괄쵸1" localSheetId="24">'8-1. 철거발생품 예정조서(1차)'!총괄쵸1</definedName>
    <definedName name="총괄쵸1" localSheetId="25">'8-2. 철거발생품 예정조서(2차)'!총괄쵸1</definedName>
    <definedName name="총괄쵸1" localSheetId="26">'8-3. 철거발생품 예정조서(3차)'!총괄쵸1</definedName>
    <definedName name="총괄쵸1" localSheetId="27">'8-4. 철거발생품 예정조서(4차)'!총괄쵸1</definedName>
    <definedName name="총괄표" localSheetId="28">#REF!</definedName>
    <definedName name="총괄표">#REF!</definedName>
    <definedName name="총괄표2" localSheetId="28">#REF!,#REF!,#REF!</definedName>
    <definedName name="총괄표2">#REF!,#REF!,#REF!</definedName>
    <definedName name="총물량" localSheetId="28">#REF!</definedName>
    <definedName name="총물량">#REF!</definedName>
    <definedName name="총물량2" localSheetId="28">#REF!</definedName>
    <definedName name="총물량2">#REF!</definedName>
    <definedName name="총물량표" localSheetId="28">#REF!</definedName>
    <definedName name="총물량표">#REF!</definedName>
    <definedName name="총원가" localSheetId="28">#REF!</definedName>
    <definedName name="총원가">#REF!</definedName>
    <definedName name="최영석" localSheetId="28">#REF!</definedName>
    <definedName name="최영석">#REF!</definedName>
    <definedName name="최주호" localSheetId="28">#REF!</definedName>
    <definedName name="최주호">#REF!</definedName>
    <definedName name="쵸" localSheetId="28">#REF!</definedName>
    <definedName name="쵸">#REF!</definedName>
    <definedName name="출충" localSheetId="28">#REF!</definedName>
    <definedName name="출충">#REF!</definedName>
    <definedName name="충" localSheetId="28" hidden="1">{#N/A,#N/A,FALSE,"명세표"}</definedName>
    <definedName name="충" hidden="1">{#N/A,#N/A,FALSE,"명세표"}</definedName>
    <definedName name="충산대" localSheetId="2">'1-1. 설계설명서(1차)'!VGF</definedName>
    <definedName name="충산대" localSheetId="3">'1-1. 설계설명서(2차)'!VGF</definedName>
    <definedName name="충산대" localSheetId="4">'1-1. 설계설명서(3차)'!VGF</definedName>
    <definedName name="충산대" localSheetId="5">'1-1. 설계설명서(4차)'!VGF</definedName>
    <definedName name="충산대" localSheetId="8">'3-1. 예정공정표(1차)'!VGF</definedName>
    <definedName name="충산대" localSheetId="9">'3-2. 예정공정표(2차)'!VGF</definedName>
    <definedName name="충산대" localSheetId="10">'3-3. 예정공정표(3차)'!VGF</definedName>
    <definedName name="충산대" localSheetId="11">'3-4. 예정공정표(4차)'!VGF</definedName>
    <definedName name="충산대" localSheetId="13">'4-1. 예산내역서(1차)'!VGF</definedName>
    <definedName name="충산대" localSheetId="14">'4-2. 예산내역서(2차)'!VGF</definedName>
    <definedName name="충산대" localSheetId="15">'4-3. 예산내역서(3차)'!VGF</definedName>
    <definedName name="충산대" localSheetId="16">'4-4. 예산내역서(4차)'!VGF</definedName>
    <definedName name="충산대" localSheetId="18">'5-1. 공종별예산조서(1차)'!VGF</definedName>
    <definedName name="충산대" localSheetId="19">'5-2. 공종별예산조서(2차)'!VGF</definedName>
    <definedName name="충산대" localSheetId="20">'5-3. 공종별예산조서(3차)'!VGF</definedName>
    <definedName name="충산대" localSheetId="21">'5-3. 공종별예산조서(4차)'!VGF</definedName>
    <definedName name="충산대" localSheetId="24">'8-1. 철거발생품 예정조서(1차)'!VGF</definedName>
    <definedName name="충산대" localSheetId="25">'8-2. 철거발생품 예정조서(2차)'!VGF</definedName>
    <definedName name="충산대" localSheetId="26">'8-3. 철거발생품 예정조서(3차)'!VGF</definedName>
    <definedName name="충산대" localSheetId="27">'8-4. 철거발생품 예정조서(4차)'!VGF</definedName>
    <definedName name="충용자재">#N/A</definedName>
    <definedName name="츉ㄴ" localSheetId="28" hidden="1">{#N/A,#N/A,FALSE,"명세표"}</definedName>
    <definedName name="츉ㄴ" hidden="1">{#N/A,#N/A,FALSE,"명세표"}</definedName>
    <definedName name="측부">#REF!</definedName>
    <definedName name="치장벽돌공" localSheetId="28">#REF!</definedName>
    <definedName name="치장벽돌공">#REF!</definedName>
    <definedName name="치치" localSheetId="28">#REF!</definedName>
    <definedName name="치치">#REF!</definedName>
    <definedName name="칠팔구" localSheetId="28">#REF!</definedName>
    <definedName name="칠팔구">#REF!</definedName>
    <definedName name="ㅋ" localSheetId="28" hidden="1">{#N/A,#N/A,FALSE,"명세표"}</definedName>
    <definedName name="ㅋ" hidden="1">{#N/A,#N/A,FALSE,"명세표"}</definedName>
    <definedName name="ㅋ1">#REF!</definedName>
    <definedName name="ㅋㅁ" localSheetId="28" hidden="1">{#N/A,#N/A,FALSE,"명세표"}</definedName>
    <definedName name="ㅋㅁ" hidden="1">{#N/A,#N/A,FALSE,"명세표"}</definedName>
    <definedName name="ㅋㅇㅁㅇ" localSheetId="2">{"'공사부문'!$A$6:$A$32"}</definedName>
    <definedName name="ㅋㅇㅁㅇ" localSheetId="3">{"'공사부문'!$A$6:$A$32"}</definedName>
    <definedName name="ㅋㅇㅁㅇ" localSheetId="4">{"'공사부문'!$A$6:$A$32"}</definedName>
    <definedName name="ㅋㅇㅁㅇ" localSheetId="5">{"'공사부문'!$A$6:$A$32"}</definedName>
    <definedName name="ㅋㅇㅁㅇ" localSheetId="8">{"'공사부문'!$A$6:$A$32"}</definedName>
    <definedName name="ㅋㅇㅁㅇ" localSheetId="9">{"'공사부문'!$A$6:$A$32"}</definedName>
    <definedName name="ㅋㅇㅁㅇ" localSheetId="10">{"'공사부문'!$A$6:$A$32"}</definedName>
    <definedName name="ㅋㅇㅁㅇ" localSheetId="11">{"'공사부문'!$A$6:$A$32"}</definedName>
    <definedName name="ㅋㅇㅁㅇ" localSheetId="13">{"'공사부문'!$A$6:$A$32"}</definedName>
    <definedName name="ㅋㅇㅁㅇ" localSheetId="14">{"'공사부문'!$A$6:$A$32"}</definedName>
    <definedName name="ㅋㅇㅁㅇ" localSheetId="15">{"'공사부문'!$A$6:$A$32"}</definedName>
    <definedName name="ㅋㅇㅁㅇ" localSheetId="16">{"'공사부문'!$A$6:$A$32"}</definedName>
    <definedName name="ㅋㅇㅁㅇ" localSheetId="18">{"'공사부문'!$A$6:$A$32"}</definedName>
    <definedName name="ㅋㅇㅁㅇ" localSheetId="19">{"'공사부문'!$A$6:$A$32"}</definedName>
    <definedName name="ㅋㅇㅁㅇ" localSheetId="20">{"'공사부문'!$A$6:$A$32"}</definedName>
    <definedName name="ㅋㅇㅁㅇ" localSheetId="21">{"'공사부문'!$A$6:$A$32"}</definedName>
    <definedName name="ㅋㅇㅁㅇ" localSheetId="23">{"'공사부문'!$A$6:$A$32"}</definedName>
    <definedName name="ㅋㅇㅁㅇ" localSheetId="28">{"'공사부문'!$A$6:$A$32"}</definedName>
    <definedName name="ㅋㅇㅁㅇ" localSheetId="24">{"'공사부문'!$A$6:$A$32"}</definedName>
    <definedName name="ㅋㅇㅁㅇ" localSheetId="25">{"'공사부문'!$A$6:$A$32"}</definedName>
    <definedName name="ㅋㅇㅁㅇ" localSheetId="26">{"'공사부문'!$A$6:$A$32"}</definedName>
    <definedName name="ㅋㅇㅁㅇ" localSheetId="27">{"'공사부문'!$A$6:$A$32"}</definedName>
    <definedName name="ㅋㅇㅁㅇ">{"'공사부문'!$A$6:$A$32"}</definedName>
    <definedName name="ㅋㅊㅌ" localSheetId="28" hidden="1">{#N/A,#N/A,FALSE,"명세표"}</definedName>
    <definedName name="ㅋㅊㅌ" hidden="1">{#N/A,#N/A,FALSE,"명세표"}</definedName>
    <definedName name="ㅋㅋ" localSheetId="28" hidden="1">{#N/A,#N/A,FALSE,"명세표"}</definedName>
    <definedName name="ㅋㅋ" hidden="1">{#N/A,#N/A,FALSE,"명세표"}</definedName>
    <definedName name="ㅋㅋㅋ" localSheetId="28" hidden="1">{#N/A,#N/A,FALSE,"명세표"}</definedName>
    <definedName name="ㅋㅋㅋ" hidden="1">{#N/A,#N/A,FALSE,"명세표"}</definedName>
    <definedName name="ㅋㅌㅊ" localSheetId="2">'1-1. 설계설명서(1차)'!ㅋㅌㅊ</definedName>
    <definedName name="ㅋㅌㅊ" localSheetId="3">'1-1. 설계설명서(2차)'!ㅋㅌㅊ</definedName>
    <definedName name="ㅋㅌㅊ" localSheetId="4">'1-1. 설계설명서(3차)'!ㅋㅌㅊ</definedName>
    <definedName name="ㅋㅌㅊ" localSheetId="5">'1-1. 설계설명서(4차)'!ㅋㅌㅊ</definedName>
    <definedName name="ㅋㅌㅊ" localSheetId="8">'3-1. 예정공정표(1차)'!ㅋㅌㅊ</definedName>
    <definedName name="ㅋㅌㅊ" localSheetId="9">'3-2. 예정공정표(2차)'!ㅋㅌㅊ</definedName>
    <definedName name="ㅋㅌㅊ" localSheetId="10">'3-3. 예정공정표(3차)'!ㅋㅌㅊ</definedName>
    <definedName name="ㅋㅌㅊ" localSheetId="11">'3-4. 예정공정표(4차)'!ㅋㅌㅊ</definedName>
    <definedName name="ㅋㅌㅊ" localSheetId="13">'4-1. 예산내역서(1차)'!ㅋㅌㅊ</definedName>
    <definedName name="ㅋㅌㅊ" localSheetId="14">'4-2. 예산내역서(2차)'!ㅋㅌㅊ</definedName>
    <definedName name="ㅋㅌㅊ" localSheetId="15">'4-3. 예산내역서(3차)'!ㅋㅌㅊ</definedName>
    <definedName name="ㅋㅌㅊ" localSheetId="16">'4-4. 예산내역서(4차)'!ㅋㅌㅊ</definedName>
    <definedName name="ㅋㅌㅊ" localSheetId="18">'5-1. 공종별예산조서(1차)'!ㅋㅌㅊ</definedName>
    <definedName name="ㅋㅌㅊ" localSheetId="19">'5-2. 공종별예산조서(2차)'!ㅋㅌㅊ</definedName>
    <definedName name="ㅋㅌㅊ" localSheetId="20">'5-3. 공종별예산조서(3차)'!ㅋㅌㅊ</definedName>
    <definedName name="ㅋㅌㅊ" localSheetId="21">'5-3. 공종별예산조서(4차)'!ㅋㅌㅊ</definedName>
    <definedName name="ㅋㅌㅊ" localSheetId="24">'8-1. 철거발생품 예정조서(1차)'!ㅋㅌㅊ</definedName>
    <definedName name="ㅋㅌㅊ" localSheetId="25">'8-2. 철거발생품 예정조서(2차)'!ㅋㅌㅊ</definedName>
    <definedName name="ㅋㅌㅊ" localSheetId="26">'8-3. 철거발생품 예정조서(3차)'!ㅋㅌㅊ</definedName>
    <definedName name="ㅋㅌㅊ" localSheetId="27">'8-4. 철거발생품 예정조서(4차)'!ㅋㅌㅊ</definedName>
    <definedName name="ㅋㅌㅍㄱㄷ" localSheetId="28" hidden="1">{#N/A,#N/A,FALSE,"명세표"}</definedName>
    <definedName name="ㅋㅌㅍㄱㄷ" hidden="1">{#N/A,#N/A,FALSE,"명세표"}</definedName>
    <definedName name="ㅋㅎㄷ" localSheetId="28" hidden="1">{#N/A,#N/A,FALSE,"명세표"}</definedName>
    <definedName name="ㅋㅎㄷ" hidden="1">{#N/A,#N/A,FALSE,"명세표"}</definedName>
    <definedName name="카">#REF!</definedName>
    <definedName name="카세트" localSheetId="28">#REF!</definedName>
    <definedName name="카세트">#REF!</definedName>
    <definedName name="캇타간재" localSheetId="28">#REF!</definedName>
    <definedName name="캇타간재">#REF!</definedName>
    <definedName name="캇타노무" localSheetId="28">#REF!</definedName>
    <definedName name="캇타노무">#REF!</definedName>
    <definedName name="캇타손료" localSheetId="28">#REF!</definedName>
    <definedName name="캇타손료">#REF!</definedName>
    <definedName name="코" localSheetId="28">#REF!</definedName>
    <definedName name="코">#REF!</definedName>
    <definedName name="코끼리" localSheetId="28">#REF!</definedName>
    <definedName name="코끼리">#REF!</definedName>
    <definedName name="코드" localSheetId="28">#REF!</definedName>
    <definedName name="코드">#REF!</definedName>
    <definedName name="코킹공" localSheetId="28">#REF!</definedName>
    <definedName name="코킹공">#REF!</definedName>
    <definedName name="콘" localSheetId="28">#REF!</definedName>
    <definedName name="콘">#REF!</definedName>
    <definedName name="콘주철거공구손료" localSheetId="28">#REF!</definedName>
    <definedName name="콘주철거공구손료">#REF!</definedName>
    <definedName name="콘주철거공비" localSheetId="28">#REF!</definedName>
    <definedName name="콘주철거공비">#REF!</definedName>
    <definedName name="콘주철거합계" localSheetId="28">#REF!</definedName>
    <definedName name="콘주철거합계">#REF!</definedName>
    <definedName name="콘크리트2" localSheetId="28" hidden="1">#REF!</definedName>
    <definedName name="콘크리트2" hidden="1">#REF!</definedName>
    <definedName name="콘크리트공" localSheetId="28">#REF!</definedName>
    <definedName name="콘크리트공">#REF!</definedName>
    <definedName name="콘크리트공_광의" localSheetId="28">#REF!</definedName>
    <definedName name="콘크리트공_광의">#REF!</definedName>
    <definedName name="콘크야" localSheetId="28">#REF!</definedName>
    <definedName name="콘크야">#REF!</definedName>
    <definedName name="콘크주" localSheetId="28">#REF!</definedName>
    <definedName name="콘크주">#REF!</definedName>
    <definedName name="쿄" localSheetId="28">#REF!</definedName>
    <definedName name="쿄">#REF!</definedName>
    <definedName name="쿄니아" localSheetId="28">#REF!</definedName>
    <definedName name="쿄니아">#REF!</definedName>
    <definedName name="쿄로" localSheetId="28">#REF!</definedName>
    <definedName name="쿄로">#REF!</definedName>
    <definedName name="쿄쿄" localSheetId="28">#REF!</definedName>
    <definedName name="쿄쿄">#REF!</definedName>
    <definedName name="쿠쿠" localSheetId="28">#REF!</definedName>
    <definedName name="쿠쿠">#REF!</definedName>
    <definedName name="ㅌ" localSheetId="28">#REF!</definedName>
    <definedName name="ㅌ">#REF!</definedName>
    <definedName name="ㅌ1121" localSheetId="28">#REF!</definedName>
    <definedName name="ㅌ1121">#REF!</definedName>
    <definedName name="ㅌㄷ" localSheetId="28" hidden="1">{#N/A,#N/A,FALSE,"명세표"}</definedName>
    <definedName name="ㅌㄷ" hidden="1">{#N/A,#N/A,FALSE,"명세표"}</definedName>
    <definedName name="ㅌㄻㅈ" localSheetId="28" hidden="1">{#N/A,#N/A,FALSE,"명세표"}</definedName>
    <definedName name="ㅌㄻㅈ" hidden="1">{#N/A,#N/A,FALSE,"명세표"}</definedName>
    <definedName name="ㅌㅊㅌ">#REF!</definedName>
    <definedName name="타" localSheetId="28">#REF!</definedName>
    <definedName name="타">#REF!</definedName>
    <definedName name="타일공" localSheetId="28">#REF!</definedName>
    <definedName name="타일공">#REF!</definedName>
    <definedName name="터파기" localSheetId="28">#REF!</definedName>
    <definedName name="터파기">#REF!</definedName>
    <definedName name="텅" localSheetId="28">#REF!</definedName>
    <definedName name="텅">#REF!</definedName>
    <definedName name="테스트" localSheetId="28">#REF!</definedName>
    <definedName name="테스트">#REF!</definedName>
    <definedName name="토목1" localSheetId="28">#REF!</definedName>
    <definedName name="토목1">#REF!</definedName>
    <definedName name="통신감리" localSheetId="28">#REF!</definedName>
    <definedName name="통신감리">#REF!</definedName>
    <definedName name="통신관련기능사" localSheetId="28">#REF!</definedName>
    <definedName name="통신관련기능사">#REF!</definedName>
    <definedName name="통신관련기사" localSheetId="28">#REF!</definedName>
    <definedName name="통신관련기사">#REF!</definedName>
    <definedName name="통신관련산업기사" localSheetId="28">#REF!</definedName>
    <definedName name="통신관련산업기사">#REF!</definedName>
    <definedName name="통신기사1급" localSheetId="28">#REF!</definedName>
    <definedName name="통신기사1급">#REF!</definedName>
    <definedName name="통신기사2급" localSheetId="28">#REF!</definedName>
    <definedName name="통신기사2급">#REF!</definedName>
    <definedName name="통신내선공" localSheetId="28">#REF!</definedName>
    <definedName name="통신내선공">#REF!</definedName>
    <definedName name="통신선로" localSheetId="28">#REF!</definedName>
    <definedName name="통신선로">#REF!</definedName>
    <definedName name="통신설비공" localSheetId="28">#REF!</definedName>
    <definedName name="통신설비공">#REF!</definedName>
    <definedName name="통신외선공" localSheetId="28">#REF!</definedName>
    <definedName name="통신외선공">#REF!</definedName>
    <definedName name="통신케이블공" localSheetId="28">#REF!</definedName>
    <definedName name="통신케이블공">#REF!</definedName>
    <definedName name="통합" localSheetId="2">'1-1. 설계설명서(1차)'!통합</definedName>
    <definedName name="통합" localSheetId="3">'1-1. 설계설명서(2차)'!통합</definedName>
    <definedName name="통합" localSheetId="4">'1-1. 설계설명서(3차)'!통합</definedName>
    <definedName name="통합" localSheetId="5">'1-1. 설계설명서(4차)'!통합</definedName>
    <definedName name="통합" localSheetId="8">'3-1. 예정공정표(1차)'!통합</definedName>
    <definedName name="통합" localSheetId="9">'3-2. 예정공정표(2차)'!통합</definedName>
    <definedName name="통합" localSheetId="10">'3-3. 예정공정표(3차)'!통합</definedName>
    <definedName name="통합" localSheetId="11">'3-4. 예정공정표(4차)'!통합</definedName>
    <definedName name="통합" localSheetId="13">'4-1. 예산내역서(1차)'!통합</definedName>
    <definedName name="통합" localSheetId="14">'4-2. 예산내역서(2차)'!통합</definedName>
    <definedName name="통합" localSheetId="15">'4-3. 예산내역서(3차)'!통합</definedName>
    <definedName name="통합" localSheetId="16">'4-4. 예산내역서(4차)'!통합</definedName>
    <definedName name="통합" localSheetId="18">'5-1. 공종별예산조서(1차)'!통합</definedName>
    <definedName name="통합" localSheetId="19">'5-2. 공종별예산조서(2차)'!통합</definedName>
    <definedName name="통합" localSheetId="20">'5-3. 공종별예산조서(3차)'!통합</definedName>
    <definedName name="통합" localSheetId="21">'5-3. 공종별예산조서(4차)'!통합</definedName>
    <definedName name="통합" localSheetId="28">#N/A</definedName>
    <definedName name="통합" localSheetId="24">'8-1. 철거발생품 예정조서(1차)'!통합</definedName>
    <definedName name="통합" localSheetId="25">'8-2. 철거발생품 예정조서(2차)'!통합</definedName>
    <definedName name="통합" localSheetId="26">'8-3. 철거발생품 예정조서(3차)'!통합</definedName>
    <definedName name="통합" localSheetId="27">'8-4. 철거발생품 예정조서(4차)'!통합</definedName>
    <definedName name="통합">#N/A</definedName>
    <definedName name="통합갑지총계" localSheetId="28">#REF!</definedName>
    <definedName name="통합갑지총계">#REF!</definedName>
    <definedName name="통합시행청" localSheetId="28">#REF!</definedName>
    <definedName name="통합시행청">#REF!</definedName>
    <definedName name="통합표지" localSheetId="28">#REF!</definedName>
    <definedName name="통합표지">#REF!</definedName>
    <definedName name="통합품목" localSheetId="28">#REF!</definedName>
    <definedName name="통합품목">#REF!</definedName>
    <definedName name="통합헤드커텐1" localSheetId="28">#REF!</definedName>
    <definedName name="통합헤드커텐1">#REF!</definedName>
    <definedName name="통합현수막" localSheetId="28">#REF!</definedName>
    <definedName name="통합현수막">#REF!</definedName>
    <definedName name="툔" localSheetId="28" hidden="1">{#N/A,#N/A,FALSE,"명세표"}</definedName>
    <definedName name="툔" hidden="1">{#N/A,#N/A,FALSE,"명세표"}</definedName>
    <definedName name="트">#REF!</definedName>
    <definedName name="특고압케이블전공" localSheetId="28">#REF!</definedName>
    <definedName name="특고압케이블전공">#REF!</definedName>
    <definedName name="특급원자력비파괴시험공" localSheetId="28">#REF!</definedName>
    <definedName name="특급원자력비파괴시험공">#REF!</definedName>
    <definedName name="특별고압케이블전공" localSheetId="28">#REF!</definedName>
    <definedName name="특별고압케이블전공">#REF!</definedName>
    <definedName name="특별인부" localSheetId="28">#REF!</definedName>
    <definedName name="특별인부">#REF!</definedName>
    <definedName name="특수비계공" localSheetId="28">#REF!</definedName>
    <definedName name="특수비계공">#REF!</definedName>
    <definedName name="특수화공" localSheetId="28">#REF!</definedName>
    <definedName name="특수화공">#REF!</definedName>
    <definedName name="ㅍ" localSheetId="28" hidden="1">{#N/A,#N/A,FALSE,"명세표"}</definedName>
    <definedName name="ㅍ" hidden="1">{#N/A,#N/A,FALSE,"명세표"}</definedName>
    <definedName name="ㅍㄴㅇㄹ" localSheetId="28" hidden="1">{#N/A,#N/A,FALSE,"명세표"}</definedName>
    <definedName name="ㅍㄴㅇㄹ" hidden="1">{#N/A,#N/A,FALSE,"명세표"}</definedName>
    <definedName name="ㅍㅊ폰" localSheetId="28" hidden="1">{#N/A,#N/A,FALSE,"명세표"}</definedName>
    <definedName name="ㅍㅊ폰" hidden="1">{#N/A,#N/A,FALSE,"명세표"}</definedName>
    <definedName name="ㅍㅌㅊㅍㄷ" localSheetId="28" hidden="1">{#N/A,#N/A,FALSE,"명세표"}</definedName>
    <definedName name="ㅍㅌㅊㅍㄷ" hidden="1">{#N/A,#N/A,FALSE,"명세표"}</definedName>
    <definedName name="ㅍㅍ">#REF!</definedName>
    <definedName name="파" localSheetId="28">#REF!</definedName>
    <definedName name="파">#REF!</definedName>
    <definedName name="파일" localSheetId="28" hidden="1">#REF!</definedName>
    <definedName name="파일" hidden="1">#REF!</definedName>
    <definedName name="파파" localSheetId="28">#REF!</definedName>
    <definedName name="파파">#REF!</definedName>
    <definedName name="판넬">{"'단계별시설공사비'!$A$3:$K$51"}</definedName>
    <definedName name="판넬조립공" localSheetId="28">#REF!</definedName>
    <definedName name="판넬조립공">#REF!</definedName>
    <definedName name="팡" localSheetId="28">#REF!</definedName>
    <definedName name="팡">#REF!</definedName>
    <definedName name="펕ㅇ" localSheetId="28" hidden="1">{#N/A,#N/A,FALSE,"명세표"}</definedName>
    <definedName name="펕ㅇ" hidden="1">{#N/A,#N/A,FALSE,"명세표"}</definedName>
    <definedName name="페이지">{"'Firr(선)'!$AS$1:$AY$62","'Firr(사)'!$AS$1:$AY$62","'Firr(회)'!$AS$1:$AY$62","'Firr(선)'!$L$1:$V$62","'Firr(사)'!$L$1:$V$62","'Firr(회)'!$L$1:$V$62"}</definedName>
    <definedName name="폐기">#REF!</definedName>
    <definedName name="폐기물" localSheetId="28">#REF!</definedName>
    <definedName name="폐기물">#REF!</definedName>
    <definedName name="폐기물처리비2" localSheetId="28">#REF!</definedName>
    <definedName name="폐기물처리비2">#REF!</definedName>
    <definedName name="폐기쿼리" localSheetId="28">#REF!</definedName>
    <definedName name="폐기쿼리">#REF!</definedName>
    <definedName name="포설공" localSheetId="28">#REF!</definedName>
    <definedName name="포설공">#REF!</definedName>
    <definedName name="포장공" localSheetId="28">#REF!</definedName>
    <definedName name="포장공">#REF!</definedName>
    <definedName name="표" localSheetId="28">#REF!</definedName>
    <definedName name="표">#REF!</definedName>
    <definedName name="표1" localSheetId="28">#REF!</definedName>
    <definedName name="표1">#REF!</definedName>
    <definedName name="표주" localSheetId="28">#REF!</definedName>
    <definedName name="표주">#REF!</definedName>
    <definedName name="표주설치" localSheetId="28">#REF!</definedName>
    <definedName name="표주설치">#REF!</definedName>
    <definedName name="표주설치치" localSheetId="28">#REF!</definedName>
    <definedName name="표주설치치">#REF!</definedName>
    <definedName name="표지" localSheetId="28">#REF!</definedName>
    <definedName name="표지">#REF!</definedName>
    <definedName name="표지1" localSheetId="28">#REF!</definedName>
    <definedName name="표지1">#REF!</definedName>
    <definedName name="표지11" localSheetId="28">#REF!</definedName>
    <definedName name="표지11">#REF!</definedName>
    <definedName name="표지2" localSheetId="2">'1-1. 설계설명서(1차)'!표지2</definedName>
    <definedName name="표지2" localSheetId="3">'1-1. 설계설명서(2차)'!표지2</definedName>
    <definedName name="표지2" localSheetId="4">'1-1. 설계설명서(3차)'!표지2</definedName>
    <definedName name="표지2" localSheetId="5">'1-1. 설계설명서(4차)'!표지2</definedName>
    <definedName name="표지2" localSheetId="8">'3-1. 예정공정표(1차)'!표지2</definedName>
    <definedName name="표지2" localSheetId="9">'3-2. 예정공정표(2차)'!표지2</definedName>
    <definedName name="표지2" localSheetId="10">'3-3. 예정공정표(3차)'!표지2</definedName>
    <definedName name="표지2" localSheetId="11">'3-4. 예정공정표(4차)'!표지2</definedName>
    <definedName name="표지2" localSheetId="13">'4-1. 예산내역서(1차)'!표지2</definedName>
    <definedName name="표지2" localSheetId="14">'4-2. 예산내역서(2차)'!표지2</definedName>
    <definedName name="표지2" localSheetId="15">'4-3. 예산내역서(3차)'!표지2</definedName>
    <definedName name="표지2" localSheetId="16">'4-4. 예산내역서(4차)'!표지2</definedName>
    <definedName name="표지2" localSheetId="18">'5-1. 공종별예산조서(1차)'!표지2</definedName>
    <definedName name="표지2" localSheetId="19">'5-2. 공종별예산조서(2차)'!표지2</definedName>
    <definedName name="표지2" localSheetId="20">'5-3. 공종별예산조서(3차)'!표지2</definedName>
    <definedName name="표지2" localSheetId="21">'5-3. 공종별예산조서(4차)'!표지2</definedName>
    <definedName name="표지2" localSheetId="28">#REF!</definedName>
    <definedName name="표지2" localSheetId="24">'8-1. 철거발생품 예정조서(1차)'!표지2</definedName>
    <definedName name="표지2" localSheetId="25">'8-2. 철거발생품 예정조서(2차)'!표지2</definedName>
    <definedName name="표지2" localSheetId="26">'8-3. 철거발생품 예정조서(3차)'!표지2</definedName>
    <definedName name="표지2" localSheetId="27">'8-4. 철거발생품 예정조서(4차)'!표지2</definedName>
    <definedName name="표지2">#REF!</definedName>
    <definedName name="표지22" localSheetId="28">#REF!</definedName>
    <definedName name="표지22">#REF!</definedName>
    <definedName name="표지3" localSheetId="28">#REF!</definedName>
    <definedName name="표지3">#REF!</definedName>
    <definedName name="표지44" localSheetId="28">#REF!</definedName>
    <definedName name="표지44">#REF!</definedName>
    <definedName name="표지6" localSheetId="28">#REF!</definedName>
    <definedName name="표지6">#REF!</definedName>
    <definedName name="표지7" localSheetId="28">#REF!</definedName>
    <definedName name="표지7">#REF!</definedName>
    <definedName name="표지8" localSheetId="28">#REF!</definedName>
    <definedName name="표지8">#REF!</definedName>
    <definedName name="표지9" localSheetId="28" hidden="1">#REF!</definedName>
    <definedName name="표지9" hidden="1">#REF!</definedName>
    <definedName name="표지90" localSheetId="28">#REF!</definedName>
    <definedName name="표지90">#REF!</definedName>
    <definedName name="표징1" localSheetId="28">#REF!</definedName>
    <definedName name="표징1">#REF!</definedName>
    <definedName name="표표배" localSheetId="28">#REF!</definedName>
    <definedName name="표표배">#REF!</definedName>
    <definedName name="푸" localSheetId="28">#REF!</definedName>
    <definedName name="푸">#REF!</definedName>
    <definedName name="풀" localSheetId="28">#REF!</definedName>
    <definedName name="풀">#REF!</definedName>
    <definedName name="품목" localSheetId="28">#REF!</definedName>
    <definedName name="품목">#REF!</definedName>
    <definedName name="품신" localSheetId="28">#REF!</definedName>
    <definedName name="품신">#REF!</definedName>
    <definedName name="퓨" localSheetId="28" hidden="1">{#N/A,#N/A,FALSE,"명세표"}</definedName>
    <definedName name="퓨" hidden="1">{#N/A,#N/A,FALSE,"명세표"}</definedName>
    <definedName name="퓨ㅐㅑㅗ" localSheetId="28" hidden="1">{#N/A,#N/A,FALSE,"명세표"}</definedName>
    <definedName name="퓨ㅐㅑㅗ" hidden="1">{#N/A,#N/A,FALSE,"명세표"}</definedName>
    <definedName name="프">#REF!</definedName>
    <definedName name="플랜야" localSheetId="28">#REF!</definedName>
    <definedName name="플랜야">#REF!</definedName>
    <definedName name="플랜주" localSheetId="28">#REF!</definedName>
    <definedName name="플랜주">#REF!</definedName>
    <definedName name="플랜트기계설치공" localSheetId="28">#REF!</definedName>
    <definedName name="플랜트기계설치공">#REF!</definedName>
    <definedName name="플랜트배관공" localSheetId="28">#REF!</definedName>
    <definedName name="플랜트배관공">#REF!</definedName>
    <definedName name="플랜트용접공" localSheetId="28">#REF!</definedName>
    <definedName name="플랜트용접공">#REF!</definedName>
    <definedName name="플랜트전공" localSheetId="28">#REF!</definedName>
    <definedName name="플랜트전공">#REF!</definedName>
    <definedName name="플랜트제관공" localSheetId="28">#REF!</definedName>
    <definedName name="플랜트제관공">#REF!</definedName>
    <definedName name="플랜트특수용접공" localSheetId="28">#REF!</definedName>
    <definedName name="플랜트특수용접공">#REF!</definedName>
    <definedName name="플주" localSheetId="28">#REF!</definedName>
    <definedName name="플주">#REF!</definedName>
    <definedName name="피스표" localSheetId="28">#REF!</definedName>
    <definedName name="피스표">#REF!</definedName>
    <definedName name="ㅎ" localSheetId="28">#REF!</definedName>
    <definedName name="ㅎ">#REF!</definedName>
    <definedName name="ㅎㄴ" localSheetId="28" hidden="1">{#N/A,#N/A,FALSE,"명세표"}</definedName>
    <definedName name="ㅎㄴ" hidden="1">{#N/A,#N/A,FALSE,"명세표"}</definedName>
    <definedName name="ㅎㄴ4ㄱㅎ" localSheetId="28" hidden="1">{#N/A,#N/A,FALSE,"명세표"}</definedName>
    <definedName name="ㅎㄴ4ㄱㅎ" hidden="1">{#N/A,#N/A,FALSE,"명세표"}</definedName>
    <definedName name="ㅎㄴㅇ" localSheetId="28" hidden="1">{#N/A,#N/A,FALSE,"명세표"}</definedName>
    <definedName name="ㅎㄴㅇ" hidden="1">{#N/A,#N/A,FALSE,"명세표"}</definedName>
    <definedName name="ㅎㄷㅈ" localSheetId="28" hidden="1">{#N/A,#N/A,FALSE,"명세표"}</definedName>
    <definedName name="ㅎㄷㅈ" hidden="1">{#N/A,#N/A,FALSE,"명세표"}</definedName>
    <definedName name="ㅎㄹㄴㄺ" localSheetId="28" hidden="1">{#N/A,#N/A,FALSE,"명세표"}</definedName>
    <definedName name="ㅎㄹㄴㄺ" hidden="1">{#N/A,#N/A,FALSE,"명세표"}</definedName>
    <definedName name="ㅎㄹㄹ" localSheetId="2">{"'용역비'!$A$4:$C$8"}</definedName>
    <definedName name="ㅎㄹㄹ" localSheetId="3">{"'용역비'!$A$4:$C$8"}</definedName>
    <definedName name="ㅎㄹㄹ" localSheetId="4">{"'용역비'!$A$4:$C$8"}</definedName>
    <definedName name="ㅎㄹㄹ" localSheetId="5">{"'용역비'!$A$4:$C$8"}</definedName>
    <definedName name="ㅎㄹㄹ" localSheetId="8">{"'용역비'!$A$4:$C$8"}</definedName>
    <definedName name="ㅎㄹㄹ" localSheetId="9">{"'용역비'!$A$4:$C$8"}</definedName>
    <definedName name="ㅎㄹㄹ" localSheetId="10">{"'용역비'!$A$4:$C$8"}</definedName>
    <definedName name="ㅎㄹㄹ" localSheetId="11">{"'용역비'!$A$4:$C$8"}</definedName>
    <definedName name="ㅎㄹㄹ" localSheetId="13">{"'용역비'!$A$4:$C$8"}</definedName>
    <definedName name="ㅎㄹㄹ" localSheetId="14">{"'용역비'!$A$4:$C$8"}</definedName>
    <definedName name="ㅎㄹㄹ" localSheetId="15">{"'용역비'!$A$4:$C$8"}</definedName>
    <definedName name="ㅎㄹㄹ" localSheetId="16">{"'용역비'!$A$4:$C$8"}</definedName>
    <definedName name="ㅎㄹㄹ" localSheetId="18">{"'용역비'!$A$4:$C$8"}</definedName>
    <definedName name="ㅎㄹㄹ" localSheetId="19">{"'용역비'!$A$4:$C$8"}</definedName>
    <definedName name="ㅎㄹㄹ" localSheetId="20">{"'용역비'!$A$4:$C$8"}</definedName>
    <definedName name="ㅎㄹㄹ" localSheetId="21">{"'용역비'!$A$4:$C$8"}</definedName>
    <definedName name="ㅎㄹㄹ" localSheetId="24">{"'용역비'!$A$4:$C$8"}</definedName>
    <definedName name="ㅎㄹㄹ" localSheetId="25">{"'용역비'!$A$4:$C$8"}</definedName>
    <definedName name="ㅎㄹㄹ" localSheetId="26">{"'용역비'!$A$4:$C$8"}</definedName>
    <definedName name="ㅎㄹㄹ" localSheetId="27">{"'용역비'!$A$4:$C$8"}</definedName>
    <definedName name="ㅎㄹㄹ">{"'용역비'!$A$4:$C$8"}</definedName>
    <definedName name="ㅎ로" localSheetId="28" hidden="1">{#N/A,#N/A,FALSE,"명세표"}</definedName>
    <definedName name="ㅎ로" hidden="1">{#N/A,#N/A,FALSE,"명세표"}</definedName>
    <definedName name="ㅎ롣ㄹㅇ" localSheetId="28" hidden="1">{#N/A,#N/A,FALSE,"명세표"}</definedName>
    <definedName name="ㅎ롣ㄹㅇ" hidden="1">{#N/A,#N/A,FALSE,"명세표"}</definedName>
    <definedName name="ㅎ롯" localSheetId="28" hidden="1">{#N/A,#N/A,FALSE,"명세표"}</definedName>
    <definedName name="ㅎ롯" hidden="1">{#N/A,#N/A,FALSE,"명세표"}</definedName>
    <definedName name="ㅎ류" localSheetId="2">'1-1. 설계설명서(1차)'!SDRFE</definedName>
    <definedName name="ㅎ류" localSheetId="3">'1-1. 설계설명서(2차)'!SDRFE</definedName>
    <definedName name="ㅎ류" localSheetId="4">'1-1. 설계설명서(3차)'!SDRFE</definedName>
    <definedName name="ㅎ류" localSheetId="5">'1-1. 설계설명서(4차)'!SDRFE</definedName>
    <definedName name="ㅎ류" localSheetId="8">'3-1. 예정공정표(1차)'!SDRFE</definedName>
    <definedName name="ㅎ류" localSheetId="9">'3-2. 예정공정표(2차)'!SDRFE</definedName>
    <definedName name="ㅎ류" localSheetId="10">'3-3. 예정공정표(3차)'!SDRFE</definedName>
    <definedName name="ㅎ류" localSheetId="11">'3-4. 예정공정표(4차)'!SDRFE</definedName>
    <definedName name="ㅎ류" localSheetId="13">'4-1. 예산내역서(1차)'!SDRFE</definedName>
    <definedName name="ㅎ류" localSheetId="14">'4-2. 예산내역서(2차)'!SDRFE</definedName>
    <definedName name="ㅎ류" localSheetId="15">'4-3. 예산내역서(3차)'!SDRFE</definedName>
    <definedName name="ㅎ류" localSheetId="16">'4-4. 예산내역서(4차)'!SDRFE</definedName>
    <definedName name="ㅎ류" localSheetId="18">'5-1. 공종별예산조서(1차)'!SDRFE</definedName>
    <definedName name="ㅎ류" localSheetId="19">'5-2. 공종별예산조서(2차)'!SDRFE</definedName>
    <definedName name="ㅎ류" localSheetId="20">'5-3. 공종별예산조서(3차)'!SDRFE</definedName>
    <definedName name="ㅎ류" localSheetId="21">'5-3. 공종별예산조서(4차)'!SDRFE</definedName>
    <definedName name="ㅎ류" localSheetId="24">'8-1. 철거발생품 예정조서(1차)'!SDRFE</definedName>
    <definedName name="ㅎ류" localSheetId="25">'8-2. 철거발생품 예정조서(2차)'!SDRFE</definedName>
    <definedName name="ㅎ류" localSheetId="26">'8-3. 철거발생품 예정조서(3차)'!SDRFE</definedName>
    <definedName name="ㅎ류" localSheetId="27">'8-4. 철거발생품 예정조서(4차)'!SDRFE</definedName>
    <definedName name="ㅎㄿ" localSheetId="28" hidden="1">{#N/A,#N/A,FALSE,"명세표"}</definedName>
    <definedName name="ㅎㄿ" hidden="1">{#N/A,#N/A,FALSE,"명세표"}</definedName>
    <definedName name="ㅎㅁㄱ" localSheetId="28" hidden="1">{#N/A,#N/A,FALSE,"명세표"}</definedName>
    <definedName name="ㅎㅁㄱ" hidden="1">{#N/A,#N/A,FALSE,"명세표"}</definedName>
    <definedName name="ㅎㅁㄹㅇ" localSheetId="28" hidden="1">{#N/A,#N/A,FALSE,"명세표"}</definedName>
    <definedName name="ㅎㅁㄹㅇ" hidden="1">{#N/A,#N/A,FALSE,"명세표"}</definedName>
    <definedName name="ㅎㅇ" localSheetId="2">{"'용역비'!$A$4:$C$8"}</definedName>
    <definedName name="ㅎㅇ" localSheetId="3">{"'용역비'!$A$4:$C$8"}</definedName>
    <definedName name="ㅎㅇ" localSheetId="4">{"'용역비'!$A$4:$C$8"}</definedName>
    <definedName name="ㅎㅇ" localSheetId="5">{"'용역비'!$A$4:$C$8"}</definedName>
    <definedName name="ㅎㅇ" localSheetId="8">{"'용역비'!$A$4:$C$8"}</definedName>
    <definedName name="ㅎㅇ" localSheetId="9">{"'용역비'!$A$4:$C$8"}</definedName>
    <definedName name="ㅎㅇ" localSheetId="10">{"'용역비'!$A$4:$C$8"}</definedName>
    <definedName name="ㅎㅇ" localSheetId="11">{"'용역비'!$A$4:$C$8"}</definedName>
    <definedName name="ㅎㅇ" localSheetId="13">{"'용역비'!$A$4:$C$8"}</definedName>
    <definedName name="ㅎㅇ" localSheetId="14">{"'용역비'!$A$4:$C$8"}</definedName>
    <definedName name="ㅎㅇ" localSheetId="15">{"'용역비'!$A$4:$C$8"}</definedName>
    <definedName name="ㅎㅇ" localSheetId="16">{"'용역비'!$A$4:$C$8"}</definedName>
    <definedName name="ㅎㅇ" localSheetId="18">{"'용역비'!$A$4:$C$8"}</definedName>
    <definedName name="ㅎㅇ" localSheetId="19">{"'용역비'!$A$4:$C$8"}</definedName>
    <definedName name="ㅎㅇ" localSheetId="20">{"'용역비'!$A$4:$C$8"}</definedName>
    <definedName name="ㅎㅇ" localSheetId="21">{"'용역비'!$A$4:$C$8"}</definedName>
    <definedName name="ㅎㅇ" localSheetId="24">{"'용역비'!$A$4:$C$8"}</definedName>
    <definedName name="ㅎㅇ" localSheetId="25">{"'용역비'!$A$4:$C$8"}</definedName>
    <definedName name="ㅎㅇ" localSheetId="26">{"'용역비'!$A$4:$C$8"}</definedName>
    <definedName name="ㅎㅇ" localSheetId="27">{"'용역비'!$A$4:$C$8"}</definedName>
    <definedName name="ㅎㅇ">{"'용역비'!$A$4:$C$8"}</definedName>
    <definedName name="ㅎㅇㄴ" localSheetId="28" hidden="1">{#N/A,#N/A,FALSE,"명세표"}</definedName>
    <definedName name="ㅎㅇㄴ" hidden="1">{#N/A,#N/A,FALSE,"명세표"}</definedName>
    <definedName name="ㅎㅇㄴㄻ" localSheetId="28" hidden="1">{#N/A,#N/A,FALSE,"명세표"}</definedName>
    <definedName name="ㅎㅇㄴㄻ" hidden="1">{#N/A,#N/A,FALSE,"명세표"}</definedName>
    <definedName name="ㅎㅇㄹ" localSheetId="28" hidden="1">{#N/A,#N/A,FALSE,"명세표"}</definedName>
    <definedName name="ㅎㅇㄹ" hidden="1">{#N/A,#N/A,FALSE,"명세표"}</definedName>
    <definedName name="ㅎ오" localSheetId="2">{"'용역비'!$A$4:$C$8"}</definedName>
    <definedName name="ㅎ오" localSheetId="3">{"'용역비'!$A$4:$C$8"}</definedName>
    <definedName name="ㅎ오" localSheetId="4">{"'용역비'!$A$4:$C$8"}</definedName>
    <definedName name="ㅎ오" localSheetId="5">{"'용역비'!$A$4:$C$8"}</definedName>
    <definedName name="ㅎ오" localSheetId="8">{"'용역비'!$A$4:$C$8"}</definedName>
    <definedName name="ㅎ오" localSheetId="9">{"'용역비'!$A$4:$C$8"}</definedName>
    <definedName name="ㅎ오" localSheetId="10">{"'용역비'!$A$4:$C$8"}</definedName>
    <definedName name="ㅎ오" localSheetId="11">{"'용역비'!$A$4:$C$8"}</definedName>
    <definedName name="ㅎ오" localSheetId="13">{"'용역비'!$A$4:$C$8"}</definedName>
    <definedName name="ㅎ오" localSheetId="14">{"'용역비'!$A$4:$C$8"}</definedName>
    <definedName name="ㅎ오" localSheetId="15">{"'용역비'!$A$4:$C$8"}</definedName>
    <definedName name="ㅎ오" localSheetId="16">{"'용역비'!$A$4:$C$8"}</definedName>
    <definedName name="ㅎ오" localSheetId="18">{"'용역비'!$A$4:$C$8"}</definedName>
    <definedName name="ㅎ오" localSheetId="19">{"'용역비'!$A$4:$C$8"}</definedName>
    <definedName name="ㅎ오" localSheetId="20">{"'용역비'!$A$4:$C$8"}</definedName>
    <definedName name="ㅎ오" localSheetId="21">{"'용역비'!$A$4:$C$8"}</definedName>
    <definedName name="ㅎ오" localSheetId="24">{"'용역비'!$A$4:$C$8"}</definedName>
    <definedName name="ㅎ오" localSheetId="25">{"'용역비'!$A$4:$C$8"}</definedName>
    <definedName name="ㅎ오" localSheetId="26">{"'용역비'!$A$4:$C$8"}</definedName>
    <definedName name="ㅎ오" localSheetId="27">{"'용역비'!$A$4:$C$8"}</definedName>
    <definedName name="ㅎ오">{"'용역비'!$A$4:$C$8"}</definedName>
    <definedName name="ㅎㅈㄷㅇ" localSheetId="28" hidden="1">{#N/A,#N/A,FALSE,"명세표"}</definedName>
    <definedName name="ㅎㅈㄷㅇ" hidden="1">{#N/A,#N/A,FALSE,"명세표"}</definedName>
    <definedName name="ㅎㅈㄷㅇㄴ" localSheetId="28" hidden="1">{#N/A,#N/A,FALSE,"명세표"}</definedName>
    <definedName name="ㅎㅈㄷㅇㄴ" hidden="1">{#N/A,#N/A,FALSE,"명세표"}</definedName>
    <definedName name="ㅎㅋㄷ" localSheetId="28" hidden="1">{#N/A,#N/A,FALSE,"명세표"}</definedName>
    <definedName name="ㅎㅋㄷ" hidden="1">{#N/A,#N/A,FALSE,"명세표"}</definedName>
    <definedName name="ㅎㅎ">#REF!</definedName>
    <definedName name="ㅎㅎㅎㅎ" localSheetId="28">#REF!</definedName>
    <definedName name="ㅎㅎㅎㅎ">#REF!</definedName>
    <definedName name="ㅎㅎㅎㅎㅎ" localSheetId="28">#REF!</definedName>
    <definedName name="ㅎㅎㅎㅎㅎ">#REF!</definedName>
    <definedName name="ㅎㅎㅎㅎㅎㅎㅎㅎㅎㅎㅎㅎ" localSheetId="28" hidden="1">{#N/A,#N/A,FALSE,"명세표"}</definedName>
    <definedName name="ㅎㅎㅎㅎㅎㅎㅎㅎㅎㅎㅎㅎ" hidden="1">{#N/A,#N/A,FALSE,"명세표"}</definedName>
    <definedName name="ㅎ호" localSheetId="28" hidden="1">{#N/A,#N/A,FALSE,"명세표"}</definedName>
    <definedName name="ㅎ호" hidden="1">{#N/A,#N/A,FALSE,"명세표"}</definedName>
    <definedName name="하">#REF!</definedName>
    <definedName name="하하하" localSheetId="28" hidden="1">{#N/A,#N/A,FALSE,"명세표"}</definedName>
    <definedName name="하하하" hidden="1">{#N/A,#N/A,FALSE,"명세표"}</definedName>
    <definedName name="하후">#REF!</definedName>
    <definedName name="하ㅓㅏ" localSheetId="28">#REF!</definedName>
    <definedName name="하ㅓㅏ">#REF!</definedName>
    <definedName name="한강" localSheetId="28">#REF!</definedName>
    <definedName name="한강">#REF!</definedName>
    <definedName name="한국통신" localSheetId="28">#REF!</definedName>
    <definedName name="한국통신">#REF!</definedName>
    <definedName name="한식목공" localSheetId="28">#REF!</definedName>
    <definedName name="한식목공">#REF!</definedName>
    <definedName name="한식목공조공" localSheetId="28">#REF!</definedName>
    <definedName name="한식목공조공">#REF!</definedName>
    <definedName name="한식미장공" localSheetId="28">#REF!</definedName>
    <definedName name="한식미장공">#REF!</definedName>
    <definedName name="한식와공" localSheetId="28">#REF!</definedName>
    <definedName name="한식와공">#REF!</definedName>
    <definedName name="한식와공조공" localSheetId="28">#REF!</definedName>
    <definedName name="한식와공조공">#REF!</definedName>
    <definedName name="할석공" localSheetId="28">#REF!</definedName>
    <definedName name="할석공">#REF!</definedName>
    <definedName name="할증" localSheetId="28">#REF!</definedName>
    <definedName name="할증">#REF!</definedName>
    <definedName name="함석공" localSheetId="28">#REF!</definedName>
    <definedName name="함석공">#REF!</definedName>
    <definedName name="함열" localSheetId="28">#REF!</definedName>
    <definedName name="함열">#REF!</definedName>
    <definedName name="합" localSheetId="28">#REF!</definedName>
    <definedName name="합">#REF!</definedName>
    <definedName name="합01" localSheetId="28">#REF!</definedName>
    <definedName name="합01">#REF!</definedName>
    <definedName name="합015" localSheetId="28">#REF!</definedName>
    <definedName name="합015">#REF!</definedName>
    <definedName name="합016" localSheetId="28">#REF!</definedName>
    <definedName name="합016">#REF!</definedName>
    <definedName name="합017" localSheetId="28">#REF!</definedName>
    <definedName name="합017">#REF!</definedName>
    <definedName name="합018" localSheetId="28">#REF!</definedName>
    <definedName name="합018">#REF!</definedName>
    <definedName name="합06" localSheetId="28">#REF!</definedName>
    <definedName name="합06">#REF!</definedName>
    <definedName name="합10" localSheetId="28">#REF!</definedName>
    <definedName name="합10">#REF!</definedName>
    <definedName name="합11" localSheetId="28">#REF!</definedName>
    <definedName name="합11">#REF!</definedName>
    <definedName name="합12" localSheetId="28">#REF!</definedName>
    <definedName name="합12">#REF!</definedName>
    <definedName name="합13" localSheetId="28">#REF!</definedName>
    <definedName name="합13">#REF!</definedName>
    <definedName name="합14" localSheetId="28">#REF!</definedName>
    <definedName name="합14">#REF!</definedName>
    <definedName name="합19" localSheetId="28">#REF!</definedName>
    <definedName name="합19">#REF!</definedName>
    <definedName name="합2" localSheetId="28">#REF!</definedName>
    <definedName name="합2">#REF!</definedName>
    <definedName name="합20" localSheetId="28">#REF!</definedName>
    <definedName name="합20">#REF!</definedName>
    <definedName name="합21" localSheetId="28">#REF!</definedName>
    <definedName name="합21">#REF!</definedName>
    <definedName name="합22" localSheetId="28">#REF!</definedName>
    <definedName name="합22">#REF!</definedName>
    <definedName name="합23" localSheetId="28">#REF!</definedName>
    <definedName name="합23">#REF!</definedName>
    <definedName name="합24" localSheetId="28">#REF!</definedName>
    <definedName name="합24">#REF!</definedName>
    <definedName name="합25" localSheetId="28">#REF!</definedName>
    <definedName name="합25">#REF!</definedName>
    <definedName name="합26" localSheetId="28">#REF!</definedName>
    <definedName name="합26">#REF!</definedName>
    <definedName name="합27" localSheetId="28">#REF!</definedName>
    <definedName name="합27">#REF!</definedName>
    <definedName name="합28" localSheetId="28">#REF!</definedName>
    <definedName name="합28">#REF!</definedName>
    <definedName name="합29" localSheetId="28">#REF!</definedName>
    <definedName name="합29">#REF!</definedName>
    <definedName name="합3" localSheetId="28">#REF!</definedName>
    <definedName name="합3">#REF!</definedName>
    <definedName name="합30" localSheetId="28">#REF!</definedName>
    <definedName name="합30">#REF!</definedName>
    <definedName name="합31" localSheetId="28">#REF!</definedName>
    <definedName name="합31">#REF!</definedName>
    <definedName name="합4" localSheetId="28">#REF!</definedName>
    <definedName name="합4">#REF!</definedName>
    <definedName name="합5" localSheetId="28">#REF!</definedName>
    <definedName name="합5">#REF!</definedName>
    <definedName name="합7" localSheetId="28">#REF!</definedName>
    <definedName name="합7">#REF!</definedName>
    <definedName name="합8" localSheetId="28">#REF!</definedName>
    <definedName name="합8">#REF!</definedName>
    <definedName name="합9" localSheetId="28">#REF!</definedName>
    <definedName name="합9">#REF!</definedName>
    <definedName name="합계" localSheetId="28">#REF!</definedName>
    <definedName name="합계">#REF!</definedName>
    <definedName name="행선안내" localSheetId="28">#REF!</definedName>
    <definedName name="행선안내">#REF!</definedName>
    <definedName name="행선안내게시기설비" localSheetId="28">#REF!</definedName>
    <definedName name="행선안내게시기설비">#REF!</definedName>
    <definedName name="허팡" localSheetId="2">'1-1. 설계설명서(1차)'!dgh</definedName>
    <definedName name="허팡" localSheetId="3">'1-1. 설계설명서(2차)'!dgh</definedName>
    <definedName name="허팡" localSheetId="4">'1-1. 설계설명서(3차)'!dgh</definedName>
    <definedName name="허팡" localSheetId="5">'1-1. 설계설명서(4차)'!dgh</definedName>
    <definedName name="허팡" localSheetId="8">'3-1. 예정공정표(1차)'!dgh</definedName>
    <definedName name="허팡" localSheetId="9">'3-2. 예정공정표(2차)'!dgh</definedName>
    <definedName name="허팡" localSheetId="10">'3-3. 예정공정표(3차)'!dgh</definedName>
    <definedName name="허팡" localSheetId="11">'3-4. 예정공정표(4차)'!dgh</definedName>
    <definedName name="허팡" localSheetId="13">'4-1. 예산내역서(1차)'!dgh</definedName>
    <definedName name="허팡" localSheetId="14">'4-2. 예산내역서(2차)'!dgh</definedName>
    <definedName name="허팡" localSheetId="15">'4-3. 예산내역서(3차)'!dgh</definedName>
    <definedName name="허팡" localSheetId="16">'4-4. 예산내역서(4차)'!dgh</definedName>
    <definedName name="허팡" localSheetId="18">'5-1. 공종별예산조서(1차)'!dgh</definedName>
    <definedName name="허팡" localSheetId="19">'5-2. 공종별예산조서(2차)'!dgh</definedName>
    <definedName name="허팡" localSheetId="20">'5-3. 공종별예산조서(3차)'!dgh</definedName>
    <definedName name="허팡" localSheetId="21">'5-3. 공종별예산조서(4차)'!dgh</definedName>
    <definedName name="허팡" localSheetId="24">'8-1. 철거발생품 예정조서(1차)'!dgh</definedName>
    <definedName name="허팡" localSheetId="25">'8-2. 철거발생품 예정조서(2차)'!dgh</definedName>
    <definedName name="허팡" localSheetId="26">'8-3. 철거발생품 예정조서(3차)'!dgh</definedName>
    <definedName name="허팡" localSheetId="27">'8-4. 철거발생품 예정조서(4차)'!dgh</definedName>
    <definedName name="헝" localSheetId="28">#REF!</definedName>
    <definedName name="헝">#REF!</definedName>
    <definedName name="현도사" localSheetId="28">#REF!</definedName>
    <definedName name="현도사">#REF!</definedName>
    <definedName name="현리간">{"'광피스표'!$A$3:$N$54"}</definedName>
    <definedName name="현영" localSheetId="28">#REF!</definedName>
    <definedName name="현영">#REF!</definedName>
    <definedName name="현장대리인" localSheetId="28">#REF!</definedName>
    <definedName name="현장대리인">#REF!</definedName>
    <definedName name="형" localSheetId="28">#REF!</definedName>
    <definedName name="형">#REF!</definedName>
    <definedName name="형틀목공" localSheetId="28">#REF!</definedName>
    <definedName name="형틀목공">#REF!</definedName>
    <definedName name="형틀목수" localSheetId="28">#REF!</definedName>
    <definedName name="형틀목수">#REF!</definedName>
    <definedName name="형틀야" localSheetId="28">#REF!</definedName>
    <definedName name="형틀야">#REF!</definedName>
    <definedName name="형틀주" localSheetId="28">#REF!</definedName>
    <definedName name="형틀주">#REF!</definedName>
    <definedName name="호남" localSheetId="2">'1-1. 설계설명서(1차)'!bvvc</definedName>
    <definedName name="호남" localSheetId="3">'1-1. 설계설명서(2차)'!bvvc</definedName>
    <definedName name="호남" localSheetId="4">'1-1. 설계설명서(3차)'!bvvc</definedName>
    <definedName name="호남" localSheetId="5">'1-1. 설계설명서(4차)'!bvvc</definedName>
    <definedName name="호남" localSheetId="8">'3-1. 예정공정표(1차)'!bvvc</definedName>
    <definedName name="호남" localSheetId="9">'3-2. 예정공정표(2차)'!bvvc</definedName>
    <definedName name="호남" localSheetId="10">'3-3. 예정공정표(3차)'!bvvc</definedName>
    <definedName name="호남" localSheetId="11">'3-4. 예정공정표(4차)'!bvvc</definedName>
    <definedName name="호남" localSheetId="13">'4-1. 예산내역서(1차)'!bvvc</definedName>
    <definedName name="호남" localSheetId="14">'4-2. 예산내역서(2차)'!bvvc</definedName>
    <definedName name="호남" localSheetId="15">'4-3. 예산내역서(3차)'!bvvc</definedName>
    <definedName name="호남" localSheetId="16">'4-4. 예산내역서(4차)'!bvvc</definedName>
    <definedName name="호남" localSheetId="18">'5-1. 공종별예산조서(1차)'!bvvc</definedName>
    <definedName name="호남" localSheetId="19">'5-2. 공종별예산조서(2차)'!bvvc</definedName>
    <definedName name="호남" localSheetId="20">'5-3. 공종별예산조서(3차)'!bvvc</definedName>
    <definedName name="호남" localSheetId="21">'5-3. 공종별예산조서(4차)'!bvvc</definedName>
    <definedName name="호남" localSheetId="24">'8-1. 철거발생품 예정조서(1차)'!bvvc</definedName>
    <definedName name="호남" localSheetId="25">'8-2. 철거발생품 예정조서(2차)'!bvvc</definedName>
    <definedName name="호남" localSheetId="26">'8-3. 철거발생품 예정조서(3차)'!bvvc</definedName>
    <definedName name="호남" localSheetId="27">'8-4. 철거발생품 예정조서(4차)'!bvvc</definedName>
    <definedName name="호랑이" localSheetId="28">#REF!</definedName>
    <definedName name="호랑이">#REF!</definedName>
    <definedName name="호숏ㅅ" localSheetId="28" hidden="1">{#N/A,#N/A,FALSE,"명세표"}</definedName>
    <definedName name="호숏ㅅ" hidden="1">{#N/A,#N/A,FALSE,"명세표"}</definedName>
    <definedName name="호진" localSheetId="2">'1-1. 설계설명서(1차)'!BNH</definedName>
    <definedName name="호진" localSheetId="3">'1-1. 설계설명서(2차)'!BNH</definedName>
    <definedName name="호진" localSheetId="4">'1-1. 설계설명서(3차)'!BNH</definedName>
    <definedName name="호진" localSheetId="5">'1-1. 설계설명서(4차)'!BNH</definedName>
    <definedName name="호진" localSheetId="8">'3-1. 예정공정표(1차)'!BNH</definedName>
    <definedName name="호진" localSheetId="9">'3-2. 예정공정표(2차)'!BNH</definedName>
    <definedName name="호진" localSheetId="10">'3-3. 예정공정표(3차)'!BNH</definedName>
    <definedName name="호진" localSheetId="11">'3-4. 예정공정표(4차)'!BNH</definedName>
    <definedName name="호진" localSheetId="13">'4-1. 예산내역서(1차)'!BNH</definedName>
    <definedName name="호진" localSheetId="14">'4-2. 예산내역서(2차)'!BNH</definedName>
    <definedName name="호진" localSheetId="15">'4-3. 예산내역서(3차)'!BNH</definedName>
    <definedName name="호진" localSheetId="16">'4-4. 예산내역서(4차)'!BNH</definedName>
    <definedName name="호진" localSheetId="18">'5-1. 공종별예산조서(1차)'!BNH</definedName>
    <definedName name="호진" localSheetId="19">'5-2. 공종별예산조서(2차)'!BNH</definedName>
    <definedName name="호진" localSheetId="20">'5-3. 공종별예산조서(3차)'!BNH</definedName>
    <definedName name="호진" localSheetId="21">'5-3. 공종별예산조서(4차)'!BNH</definedName>
    <definedName name="호진" localSheetId="24">'8-1. 철거발생품 예정조서(1차)'!BNH</definedName>
    <definedName name="호진" localSheetId="25">'8-2. 철거발생품 예정조서(2차)'!BNH</definedName>
    <definedName name="호진" localSheetId="26">'8-3. 철거발생품 예정조서(3차)'!BNH</definedName>
    <definedName name="호진" localSheetId="27">'8-4. 철거발생품 예정조서(4차)'!BNH</definedName>
    <definedName name="호표">#REF!</definedName>
    <definedName name="호호호" localSheetId="28" hidden="1">{#N/A,#N/A,FALSE,"명세표"}</definedName>
    <definedName name="호호호" hidden="1">{#N/A,#N/A,FALSE,"명세표"}</definedName>
    <definedName name="호ㅓ" localSheetId="2">{"'용역비'!$A$4:$C$8"}</definedName>
    <definedName name="호ㅓ" localSheetId="3">{"'용역비'!$A$4:$C$8"}</definedName>
    <definedName name="호ㅓ" localSheetId="4">{"'용역비'!$A$4:$C$8"}</definedName>
    <definedName name="호ㅓ" localSheetId="5">{"'용역비'!$A$4:$C$8"}</definedName>
    <definedName name="호ㅓ" localSheetId="8">{"'용역비'!$A$4:$C$8"}</definedName>
    <definedName name="호ㅓ" localSheetId="9">{"'용역비'!$A$4:$C$8"}</definedName>
    <definedName name="호ㅓ" localSheetId="10">{"'용역비'!$A$4:$C$8"}</definedName>
    <definedName name="호ㅓ" localSheetId="11">{"'용역비'!$A$4:$C$8"}</definedName>
    <definedName name="호ㅓ" localSheetId="13">{"'용역비'!$A$4:$C$8"}</definedName>
    <definedName name="호ㅓ" localSheetId="14">{"'용역비'!$A$4:$C$8"}</definedName>
    <definedName name="호ㅓ" localSheetId="15">{"'용역비'!$A$4:$C$8"}</definedName>
    <definedName name="호ㅓ" localSheetId="16">{"'용역비'!$A$4:$C$8"}</definedName>
    <definedName name="호ㅓ" localSheetId="18">{"'용역비'!$A$4:$C$8"}</definedName>
    <definedName name="호ㅓ" localSheetId="19">{"'용역비'!$A$4:$C$8"}</definedName>
    <definedName name="호ㅓ" localSheetId="20">{"'용역비'!$A$4:$C$8"}</definedName>
    <definedName name="호ㅓ" localSheetId="21">{"'용역비'!$A$4:$C$8"}</definedName>
    <definedName name="호ㅓ" localSheetId="24">{"'용역비'!$A$4:$C$8"}</definedName>
    <definedName name="호ㅓ" localSheetId="25">{"'용역비'!$A$4:$C$8"}</definedName>
    <definedName name="호ㅓ" localSheetId="26">{"'용역비'!$A$4:$C$8"}</definedName>
    <definedName name="호ㅓ" localSheetId="27">{"'용역비'!$A$4:$C$8"}</definedName>
    <definedName name="호ㅓ">{"'용역비'!$A$4:$C$8"}</definedName>
    <definedName name="혹시">#REF!</definedName>
    <definedName name="홋ㅅㅅ" localSheetId="28" hidden="1">{#N/A,#N/A,FALSE,"명세표"}</definedName>
    <definedName name="홋ㅅㅅ" hidden="1">{#N/A,#N/A,FALSE,"명세표"}</definedName>
    <definedName name="홍ㅇ호" localSheetId="2">{"'용역비'!$A$4:$C$8"}</definedName>
    <definedName name="홍ㅇ호" localSheetId="3">{"'용역비'!$A$4:$C$8"}</definedName>
    <definedName name="홍ㅇ호" localSheetId="4">{"'용역비'!$A$4:$C$8"}</definedName>
    <definedName name="홍ㅇ호" localSheetId="5">{"'용역비'!$A$4:$C$8"}</definedName>
    <definedName name="홍ㅇ호" localSheetId="8">{"'용역비'!$A$4:$C$8"}</definedName>
    <definedName name="홍ㅇ호" localSheetId="9">{"'용역비'!$A$4:$C$8"}</definedName>
    <definedName name="홍ㅇ호" localSheetId="10">{"'용역비'!$A$4:$C$8"}</definedName>
    <definedName name="홍ㅇ호" localSheetId="11">{"'용역비'!$A$4:$C$8"}</definedName>
    <definedName name="홍ㅇ호" localSheetId="13">{"'용역비'!$A$4:$C$8"}</definedName>
    <definedName name="홍ㅇ호" localSheetId="14">{"'용역비'!$A$4:$C$8"}</definedName>
    <definedName name="홍ㅇ호" localSheetId="15">{"'용역비'!$A$4:$C$8"}</definedName>
    <definedName name="홍ㅇ호" localSheetId="16">{"'용역비'!$A$4:$C$8"}</definedName>
    <definedName name="홍ㅇ호" localSheetId="18">{"'용역비'!$A$4:$C$8"}</definedName>
    <definedName name="홍ㅇ호" localSheetId="19">{"'용역비'!$A$4:$C$8"}</definedName>
    <definedName name="홍ㅇ호" localSheetId="20">{"'용역비'!$A$4:$C$8"}</definedName>
    <definedName name="홍ㅇ호" localSheetId="21">{"'용역비'!$A$4:$C$8"}</definedName>
    <definedName name="홍ㅇ호" localSheetId="24">{"'용역비'!$A$4:$C$8"}</definedName>
    <definedName name="홍ㅇ호" localSheetId="25">{"'용역비'!$A$4:$C$8"}</definedName>
    <definedName name="홍ㅇ호" localSheetId="26">{"'용역비'!$A$4:$C$8"}</definedName>
    <definedName name="홍ㅇ호" localSheetId="27">{"'용역비'!$A$4:$C$8"}</definedName>
    <definedName name="홍ㅇ호">{"'용역비'!$A$4:$C$8"}</definedName>
    <definedName name="홍ㅎ" localSheetId="28" hidden="1">{#N/A,#N/A,FALSE,"명세표"}</definedName>
    <definedName name="홍ㅎ" hidden="1">{#N/A,#N/A,FALSE,"명세표"}</definedName>
    <definedName name="화">{"'Sheet1'!$A$1:$E$59"}</definedName>
    <definedName name="화공">#REF!</definedName>
    <definedName name="화약취급공" localSheetId="28">#REF!</definedName>
    <definedName name="화약취급공">#REF!</definedName>
    <definedName name="환률" localSheetId="28">#REF!</definedName>
    <definedName name="환률">#REF!</definedName>
    <definedName name="환율" localSheetId="28">#REF!</definedName>
    <definedName name="환율">#REF!</definedName>
    <definedName name="황" localSheetId="2">'1-1. 설계설명서(1차)'!황</definedName>
    <definedName name="황" localSheetId="3">'1-1. 설계설명서(2차)'!황</definedName>
    <definedName name="황" localSheetId="4">'1-1. 설계설명서(3차)'!황</definedName>
    <definedName name="황" localSheetId="5">'1-1. 설계설명서(4차)'!황</definedName>
    <definedName name="황" localSheetId="8">'3-1. 예정공정표(1차)'!황</definedName>
    <definedName name="황" localSheetId="9">'3-2. 예정공정표(2차)'!황</definedName>
    <definedName name="황" localSheetId="10">'3-3. 예정공정표(3차)'!황</definedName>
    <definedName name="황" localSheetId="11">'3-4. 예정공정표(4차)'!황</definedName>
    <definedName name="황" localSheetId="13">'4-1. 예산내역서(1차)'!황</definedName>
    <definedName name="황" localSheetId="14">'4-2. 예산내역서(2차)'!황</definedName>
    <definedName name="황" localSheetId="15">'4-3. 예산내역서(3차)'!황</definedName>
    <definedName name="황" localSheetId="16">'4-4. 예산내역서(4차)'!황</definedName>
    <definedName name="황" localSheetId="18">'5-1. 공종별예산조서(1차)'!황</definedName>
    <definedName name="황" localSheetId="19">'5-2. 공종별예산조서(2차)'!황</definedName>
    <definedName name="황" localSheetId="20">'5-3. 공종별예산조서(3차)'!황</definedName>
    <definedName name="황" localSheetId="21">'5-3. 공종별예산조서(4차)'!황</definedName>
    <definedName name="황" localSheetId="28">#N/A</definedName>
    <definedName name="황" localSheetId="24">'8-1. 철거발생품 예정조서(1차)'!황</definedName>
    <definedName name="황" localSheetId="25">'8-2. 철거발생품 예정조서(2차)'!황</definedName>
    <definedName name="황" localSheetId="26">'8-3. 철거발생품 예정조서(3차)'!황</definedName>
    <definedName name="황" localSheetId="27">'8-4. 철거발생품 예정조서(4차)'!황</definedName>
    <definedName name="황">#N/A</definedName>
    <definedName name="황동" localSheetId="28">#REF!</definedName>
    <definedName name="황동">#REF!</definedName>
    <definedName name="회기본수량집계" localSheetId="28">#REF!</definedName>
    <definedName name="회기본수량집계">#REF!</definedName>
    <definedName name="회기임시수량집계" localSheetId="28">#REF!</definedName>
    <definedName name="회기임시수량집계">#REF!</definedName>
    <definedName name="회덕산출" localSheetId="28">#REF!</definedName>
    <definedName name="회덕산출">#REF!</definedName>
    <definedName name="효" localSheetId="28">#REF!</definedName>
    <definedName name="효">#REF!</definedName>
    <definedName name="효석">{"'Firr(선)'!$AS$1:$AY$62","'Firr(사)'!$AS$1:$AY$62","'Firr(회)'!$AS$1:$AY$62","'Firr(선)'!$L$1:$V$62","'Firr(사)'!$L$1:$V$62","'Firr(회)'!$L$1:$V$62"}</definedName>
    <definedName name="후렉시블">{"'자리배치도'!$AG$1:$CI$28"}</definedName>
    <definedName name="휘발" localSheetId="28">#REF!</definedName>
    <definedName name="휘발">#REF!</definedName>
    <definedName name="휘발유" localSheetId="28">#REF!</definedName>
    <definedName name="휘발유">1669.3</definedName>
    <definedName name="희정" localSheetId="2">'1-1. 설계설명서(1차)'!sfd</definedName>
    <definedName name="희정" localSheetId="3">'1-1. 설계설명서(2차)'!sfd</definedName>
    <definedName name="희정" localSheetId="4">'1-1. 설계설명서(3차)'!sfd</definedName>
    <definedName name="희정" localSheetId="5">'1-1. 설계설명서(4차)'!sfd</definedName>
    <definedName name="희정" localSheetId="8">'3-1. 예정공정표(1차)'!sfd</definedName>
    <definedName name="희정" localSheetId="9">'3-2. 예정공정표(2차)'!sfd</definedName>
    <definedName name="희정" localSheetId="10">'3-3. 예정공정표(3차)'!sfd</definedName>
    <definedName name="희정" localSheetId="11">'3-4. 예정공정표(4차)'!sfd</definedName>
    <definedName name="희정" localSheetId="13">'4-1. 예산내역서(1차)'!sfd</definedName>
    <definedName name="희정" localSheetId="14">'4-2. 예산내역서(2차)'!sfd</definedName>
    <definedName name="희정" localSheetId="15">'4-3. 예산내역서(3차)'!sfd</definedName>
    <definedName name="희정" localSheetId="16">'4-4. 예산내역서(4차)'!sfd</definedName>
    <definedName name="희정" localSheetId="18">'5-1. 공종별예산조서(1차)'!sfd</definedName>
    <definedName name="희정" localSheetId="19">'5-2. 공종별예산조서(2차)'!sfd</definedName>
    <definedName name="희정" localSheetId="20">'5-3. 공종별예산조서(3차)'!sfd</definedName>
    <definedName name="희정" localSheetId="21">'5-3. 공종별예산조서(4차)'!sfd</definedName>
    <definedName name="희정" localSheetId="24">'8-1. 철거발생품 예정조서(1차)'!sfd</definedName>
    <definedName name="희정" localSheetId="25">'8-2. 철거발생품 예정조서(2차)'!sfd</definedName>
    <definedName name="희정" localSheetId="26">'8-3. 철거발생품 예정조서(3차)'!sfd</definedName>
    <definedName name="희정" localSheetId="27">'8-4. 철거발생품 예정조서(4차)'!sfd</definedName>
    <definedName name="ㅏ" localSheetId="28">#REF!</definedName>
    <definedName name="ㅏ">#REF!</definedName>
    <definedName name="ㅏ96" localSheetId="28">#REF!</definedName>
    <definedName name="ㅏ96">#REF!</definedName>
    <definedName name="ㅏㄹ" localSheetId="28" hidden="1">{#N/A,#N/A,FALSE,"명세표"}</definedName>
    <definedName name="ㅏㄹ" hidden="1">{#N/A,#N/A,FALSE,"명세표"}</definedName>
    <definedName name="ㅏ솧ㄹ" localSheetId="28" hidden="1">{#N/A,#N/A,FALSE,"명세표"}</definedName>
    <definedName name="ㅏ솧ㄹ" hidden="1">{#N/A,#N/A,FALSE,"명세표"}</definedName>
    <definedName name="ㅏㅏ">#REF!</definedName>
    <definedName name="ㅏㅏㅇ라너" localSheetId="28">#REF!</definedName>
    <definedName name="ㅏㅏㅇ라너">#REF!</definedName>
    <definedName name="ㅏㅏㅏ" localSheetId="28" hidden="1">{#N/A,#N/A,FALSE,"명세표"}</definedName>
    <definedName name="ㅏㅏㅏ" hidden="1">{#N/A,#N/A,FALSE,"명세표"}</definedName>
    <definedName name="ㅏㅏㅏ1" localSheetId="28" hidden="1">{#N/A,#N/A,FALSE,"명세표"}</definedName>
    <definedName name="ㅏㅏㅏ1" hidden="1">{#N/A,#N/A,FALSE,"명세표"}</definedName>
    <definedName name="ㅏㅏㅏㅏ">#REF!</definedName>
    <definedName name="ㅏㅏㅏㅏㅏ" localSheetId="28">#REF!</definedName>
    <definedName name="ㅏㅏㅏㅏㅏ">#REF!</definedName>
    <definedName name="ㅏㅏㅏㅏㅏㅏ" localSheetId="28">#REF!</definedName>
    <definedName name="ㅏㅏㅏㅏㅏㅏ">#REF!</definedName>
    <definedName name="ㅏㅓ" localSheetId="28">#REF!</definedName>
    <definedName name="ㅏㅓ">#REF!</definedName>
    <definedName name="ㅏㅛ" localSheetId="28">#REF!</definedName>
    <definedName name="ㅏㅛ">#REF!</definedName>
    <definedName name="ㅏㅣㅓㅣ" localSheetId="28">#REF!</definedName>
    <definedName name="ㅏㅣㅓㅣ">#REF!</definedName>
    <definedName name="ㅐ15" localSheetId="28">#REF!</definedName>
    <definedName name="ㅐ15">#REF!</definedName>
    <definedName name="ㅐㅐ" localSheetId="28">#REF!</definedName>
    <definedName name="ㅐㅐ">#REF!</definedName>
    <definedName name="ㅑㅑ" localSheetId="28">#REF!</definedName>
    <definedName name="ㅑㅑ">#REF!</definedName>
    <definedName name="ㅑㅑㅑㅑㅑ" localSheetId="28">#REF!</definedName>
    <definedName name="ㅑㅑㅑㅑㅑ">#REF!</definedName>
    <definedName name="ㅑㅑㅑㅑㅑㅑ" localSheetId="28">#REF!</definedName>
    <definedName name="ㅑㅑㅑㅑㅑㅑ">#REF!</definedName>
    <definedName name="ㅓ" localSheetId="28">#REF!</definedName>
    <definedName name="ㅓ">#REF!</definedName>
    <definedName name="ㅓㄷㄱㄹ" localSheetId="28" hidden="1">{#N/A,#N/A,FALSE,"명세표"}</definedName>
    <definedName name="ㅓㄷㄱㄹ" hidden="1">{#N/A,#N/A,FALSE,"명세표"}</definedName>
    <definedName name="ㅓㄷㄹㅇ" localSheetId="28" hidden="1">{#N/A,#N/A,FALSE,"명세표"}</definedName>
    <definedName name="ㅓㄷㄹㅇ" hidden="1">{#N/A,#N/A,FALSE,"명세표"}</definedName>
    <definedName name="ㅓㄹㅊ" localSheetId="28" hidden="1">{#N/A,#N/A,FALSE,"명세표"}</definedName>
    <definedName name="ㅓㄹㅊ" hidden="1">{#N/A,#N/A,FALSE,"명세표"}</definedName>
    <definedName name="ㅓㅅㄱ" localSheetId="28" hidden="1">{#N/A,#N/A,FALSE,"명세표"}</definedName>
    <definedName name="ㅓㅅㄱ" hidden="1">{#N/A,#N/A,FALSE,"명세표"}</definedName>
    <definedName name="ㅓㅎㄹ" localSheetId="28" hidden="1">{#N/A,#N/A,FALSE,"명세표"}</definedName>
    <definedName name="ㅓㅎㄹ" hidden="1">{#N/A,#N/A,FALSE,"명세표"}</definedName>
    <definedName name="ㅓㅏ" localSheetId="28" hidden="1">{#N/A,#N/A,FALSE,"명세표"}</definedName>
    <definedName name="ㅓㅏ" hidden="1">{#N/A,#N/A,FALSE,"명세표"}</definedName>
    <definedName name="ㅓㅏㅓ">#REF!</definedName>
    <definedName name="ㅓㅏㅓㅏ" localSheetId="28">#REF!</definedName>
    <definedName name="ㅓㅏㅓㅏ">#REF!</definedName>
    <definedName name="ㅓㅕ" localSheetId="28">#REF!</definedName>
    <definedName name="ㅓㅕ">#REF!</definedName>
    <definedName name="ㅓㅗㄷㄱ" localSheetId="28" hidden="1">{#N/A,#N/A,FALSE,"명세표"}</definedName>
    <definedName name="ㅓㅗㄷㄱ" hidden="1">{#N/A,#N/A,FALSE,"명세표"}</definedName>
    <definedName name="ㅓㅗㄹ" localSheetId="28" hidden="1">{#N/A,#N/A,FALSE,"명세표"}</definedName>
    <definedName name="ㅓㅗㄹ" hidden="1">{#N/A,#N/A,FALSE,"명세표"}</definedName>
    <definedName name="ㅓㅗㅡ" localSheetId="2">'1-1. 설계설명서(1차)'!DGRT</definedName>
    <definedName name="ㅓㅗㅡ" localSheetId="3">'1-1. 설계설명서(2차)'!DGRT</definedName>
    <definedName name="ㅓㅗㅡ" localSheetId="4">'1-1. 설계설명서(3차)'!DGRT</definedName>
    <definedName name="ㅓㅗㅡ" localSheetId="5">'1-1. 설계설명서(4차)'!DGRT</definedName>
    <definedName name="ㅓㅗㅡ" localSheetId="8">'3-1. 예정공정표(1차)'!DGRT</definedName>
    <definedName name="ㅓㅗㅡ" localSheetId="9">'3-2. 예정공정표(2차)'!DGRT</definedName>
    <definedName name="ㅓㅗㅡ" localSheetId="10">'3-3. 예정공정표(3차)'!DGRT</definedName>
    <definedName name="ㅓㅗㅡ" localSheetId="11">'3-4. 예정공정표(4차)'!DGRT</definedName>
    <definedName name="ㅓㅗㅡ" localSheetId="13">'4-1. 예산내역서(1차)'!DGRT</definedName>
    <definedName name="ㅓㅗㅡ" localSheetId="14">'4-2. 예산내역서(2차)'!DGRT</definedName>
    <definedName name="ㅓㅗㅡ" localSheetId="15">'4-3. 예산내역서(3차)'!DGRT</definedName>
    <definedName name="ㅓㅗㅡ" localSheetId="16">'4-4. 예산내역서(4차)'!DGRT</definedName>
    <definedName name="ㅓㅗㅡ" localSheetId="18">'5-1. 공종별예산조서(1차)'!DGRT</definedName>
    <definedName name="ㅓㅗㅡ" localSheetId="19">'5-2. 공종별예산조서(2차)'!DGRT</definedName>
    <definedName name="ㅓㅗㅡ" localSheetId="20">'5-3. 공종별예산조서(3차)'!DGRT</definedName>
    <definedName name="ㅓㅗㅡ" localSheetId="21">'5-3. 공종별예산조서(4차)'!DGRT</definedName>
    <definedName name="ㅓㅗㅡ" localSheetId="24">'8-1. 철거발생품 예정조서(1차)'!DGRT</definedName>
    <definedName name="ㅓㅗㅡ" localSheetId="25">'8-2. 철거발생품 예정조서(2차)'!DGRT</definedName>
    <definedName name="ㅓㅗㅡ" localSheetId="26">'8-3. 철거발생품 예정조서(3차)'!DGRT</definedName>
    <definedName name="ㅓㅗㅡ" localSheetId="27">'8-4. 철거발생품 예정조서(4차)'!DGRT</definedName>
    <definedName name="ㅓㅚㅁㄻ" localSheetId="28" hidden="1">{#N/A,#N/A,FALSE,"명세표"}</definedName>
    <definedName name="ㅓㅚㅁㄻ" hidden="1">{#N/A,#N/A,FALSE,"명세표"}</definedName>
    <definedName name="ㅔ">#REF!</definedName>
    <definedName name="ㅔㅔ" localSheetId="28" hidden="1">{#N/A,#N/A,FALSE,"명세표"}</definedName>
    <definedName name="ㅔㅔ" hidden="1">{#N/A,#N/A,FALSE,"명세표"}</definedName>
    <definedName name="ㅔㅔㅔ">#REF!</definedName>
    <definedName name="ㅔㅔㅔㅔㅔ" localSheetId="28">#REF!</definedName>
    <definedName name="ㅔㅔㅔㅔㅔ">#REF!</definedName>
    <definedName name="ㅕㅇ뉴" localSheetId="28" hidden="1">{#N/A,#N/A,FALSE,"명세표"}</definedName>
    <definedName name="ㅕㅇ뉴" hidden="1">{#N/A,#N/A,FALSE,"명세표"}</definedName>
    <definedName name="ㅕㅋㅂ" localSheetId="28" hidden="1">{#N/A,#N/A,FALSE,"명세표"}</definedName>
    <definedName name="ㅕㅋㅂ" hidden="1">{#N/A,#N/A,FALSE,"명세표"}</definedName>
    <definedName name="ㅖ">#REF!</definedName>
    <definedName name="ㅗ" localSheetId="28">#REF!</definedName>
    <definedName name="ㅗ">#REF!</definedName>
    <definedName name="ㅗ1019" localSheetId="28">#REF!</definedName>
    <definedName name="ㅗ1019">#REF!</definedName>
    <definedName name="ㅗㄴ" localSheetId="28" hidden="1">{#N/A,#N/A,FALSE,"명세표"}</definedName>
    <definedName name="ㅗㄴ" hidden="1">{#N/A,#N/A,FALSE,"명세표"}</definedName>
    <definedName name="ㅗ뉴" localSheetId="2">'1-1. 설계설명서(1차)'!HGG</definedName>
    <definedName name="ㅗ뉴" localSheetId="3">'1-1. 설계설명서(2차)'!HGG</definedName>
    <definedName name="ㅗ뉴" localSheetId="4">'1-1. 설계설명서(3차)'!HGG</definedName>
    <definedName name="ㅗ뉴" localSheetId="5">'1-1. 설계설명서(4차)'!HGG</definedName>
    <definedName name="ㅗ뉴" localSheetId="8">'3-1. 예정공정표(1차)'!HGG</definedName>
    <definedName name="ㅗ뉴" localSheetId="9">'3-2. 예정공정표(2차)'!HGG</definedName>
    <definedName name="ㅗ뉴" localSheetId="10">'3-3. 예정공정표(3차)'!HGG</definedName>
    <definedName name="ㅗ뉴" localSheetId="11">'3-4. 예정공정표(4차)'!HGG</definedName>
    <definedName name="ㅗ뉴" localSheetId="13">'4-1. 예산내역서(1차)'!HGG</definedName>
    <definedName name="ㅗ뉴" localSheetId="14">'4-2. 예산내역서(2차)'!HGG</definedName>
    <definedName name="ㅗ뉴" localSheetId="15">'4-3. 예산내역서(3차)'!HGG</definedName>
    <definedName name="ㅗ뉴" localSheetId="16">'4-4. 예산내역서(4차)'!HGG</definedName>
    <definedName name="ㅗ뉴" localSheetId="18">'5-1. 공종별예산조서(1차)'!HGG</definedName>
    <definedName name="ㅗ뉴" localSheetId="19">'5-2. 공종별예산조서(2차)'!HGG</definedName>
    <definedName name="ㅗ뉴" localSheetId="20">'5-3. 공종별예산조서(3차)'!HGG</definedName>
    <definedName name="ㅗ뉴" localSheetId="21">'5-3. 공종별예산조서(4차)'!HGG</definedName>
    <definedName name="ㅗ뉴" localSheetId="24">'8-1. 철거발생품 예정조서(1차)'!HGG</definedName>
    <definedName name="ㅗ뉴" localSheetId="25">'8-2. 철거발생품 예정조서(2차)'!HGG</definedName>
    <definedName name="ㅗ뉴" localSheetId="26">'8-3. 철거발생품 예정조서(3차)'!HGG</definedName>
    <definedName name="ㅗ뉴" localSheetId="27">'8-4. 철거발생품 예정조서(4차)'!HGG</definedName>
    <definedName name="ㅗㄷㄱㄹ" localSheetId="28" hidden="1">{#N/A,#N/A,FALSE,"명세표"}</definedName>
    <definedName name="ㅗㄷㄱㄹ" hidden="1">{#N/A,#N/A,FALSE,"명세표"}</definedName>
    <definedName name="ㅗㄷㄴㅇ" localSheetId="28" hidden="1">{#N/A,#N/A,FALSE,"명세표"}</definedName>
    <definedName name="ㅗㄷㄴㅇ" hidden="1">{#N/A,#N/A,FALSE,"명세표"}</definedName>
    <definedName name="ㅗㄷㄹ" localSheetId="28" hidden="1">{#N/A,#N/A,FALSE,"명세표"}</definedName>
    <definedName name="ㅗㄷㄹ" hidden="1">{#N/A,#N/A,FALSE,"명세표"}</definedName>
    <definedName name="ㅗㄷㅇㄹ" localSheetId="28" hidden="1">{#N/A,#N/A,FALSE,"명세표"}</definedName>
    <definedName name="ㅗㄷㅇㄹ" hidden="1">{#N/A,#N/A,FALSE,"명세표"}</definedName>
    <definedName name="ㅗㄹㄴㄹ" localSheetId="28" hidden="1">{#N/A,#N/A,FALSE,"명세표"}</definedName>
    <definedName name="ㅗㄹㄴㄹ" hidden="1">{#N/A,#N/A,FALSE,"명세표"}</definedName>
    <definedName name="ㅗㄹㅇ" localSheetId="28" hidden="1">{#N/A,#N/A,FALSE,"명세표"}</definedName>
    <definedName name="ㅗㄹㅇ" hidden="1">{#N/A,#N/A,FALSE,"명세표"}</definedName>
    <definedName name="ㅗ밍ㄹ" localSheetId="28" hidden="1">{#N/A,#N/A,FALSE,"명세표"}</definedName>
    <definedName name="ㅗ밍ㄹ" hidden="1">{#N/A,#N/A,FALSE,"명세표"}</definedName>
    <definedName name="ㅗㅇㄿ" localSheetId="28" hidden="1">{#N/A,#N/A,FALSE,"명세표"}</definedName>
    <definedName name="ㅗㅇㄿ" hidden="1">{#N/A,#N/A,FALSE,"명세표"}</definedName>
    <definedName name="ㅗㅈㅇㄹ" localSheetId="28" hidden="1">{#N/A,#N/A,FALSE,"명세표"}</definedName>
    <definedName name="ㅗㅈㅇㄹ" hidden="1">{#N/A,#N/A,FALSE,"명세표"}</definedName>
    <definedName name="ㅗㅈㅇㅇㄹ" localSheetId="28" hidden="1">{#N/A,#N/A,FALSE,"명세표"}</definedName>
    <definedName name="ㅗㅈㅇㅇㄹ" hidden="1">{#N/A,#N/A,FALSE,"명세표"}</definedName>
    <definedName name="ㅗㅊㄱ" localSheetId="28" hidden="1">{#N/A,#N/A,FALSE,"명세표"}</definedName>
    <definedName name="ㅗㅊㄱ" hidden="1">{#N/A,#N/A,FALSE,"명세표"}</definedName>
    <definedName name="ㅗㅎㄱ" localSheetId="28" hidden="1">{#N/A,#N/A,FALSE,"명세표"}</definedName>
    <definedName name="ㅗㅎㄱ" hidden="1">{#N/A,#N/A,FALSE,"명세표"}</definedName>
    <definedName name="ㅗㅎㄹ" localSheetId="28" hidden="1">{#N/A,#N/A,FALSE,"명세표"}</definedName>
    <definedName name="ㅗㅎㄹ" hidden="1">{#N/A,#N/A,FALSE,"명세표"}</definedName>
    <definedName name="ㅗㅎ류" localSheetId="28" hidden="1">{#N/A,#N/A,FALSE,"명세표"}</definedName>
    <definedName name="ㅗㅎ류" hidden="1">{#N/A,#N/A,FALSE,"명세표"}</definedName>
    <definedName name="ㅗㅎㅁㅈㄷ" localSheetId="28" hidden="1">{#N/A,#N/A,FALSE,"명세표"}</definedName>
    <definedName name="ㅗㅎㅁㅈㄷ" hidden="1">{#N/A,#N/A,FALSE,"명세표"}</definedName>
    <definedName name="ㅗㅎㅅ" localSheetId="2">{"'공사부문'!$A$6:$A$32"}</definedName>
    <definedName name="ㅗㅎㅅ" localSheetId="3">{"'공사부문'!$A$6:$A$32"}</definedName>
    <definedName name="ㅗㅎㅅ" localSheetId="4">{"'공사부문'!$A$6:$A$32"}</definedName>
    <definedName name="ㅗㅎㅅ" localSheetId="5">{"'공사부문'!$A$6:$A$32"}</definedName>
    <definedName name="ㅗㅎㅅ" localSheetId="8">{"'공사부문'!$A$6:$A$32"}</definedName>
    <definedName name="ㅗㅎㅅ" localSheetId="9">{"'공사부문'!$A$6:$A$32"}</definedName>
    <definedName name="ㅗㅎㅅ" localSheetId="10">{"'공사부문'!$A$6:$A$32"}</definedName>
    <definedName name="ㅗㅎㅅ" localSheetId="11">{"'공사부문'!$A$6:$A$32"}</definedName>
    <definedName name="ㅗㅎㅅ" localSheetId="13">{"'공사부문'!$A$6:$A$32"}</definedName>
    <definedName name="ㅗㅎㅅ" localSheetId="14">{"'공사부문'!$A$6:$A$32"}</definedName>
    <definedName name="ㅗㅎㅅ" localSheetId="15">{"'공사부문'!$A$6:$A$32"}</definedName>
    <definedName name="ㅗㅎㅅ" localSheetId="16">{"'공사부문'!$A$6:$A$32"}</definedName>
    <definedName name="ㅗㅎㅅ" localSheetId="18">{"'공사부문'!$A$6:$A$32"}</definedName>
    <definedName name="ㅗㅎㅅ" localSheetId="19">{"'공사부문'!$A$6:$A$32"}</definedName>
    <definedName name="ㅗㅎㅅ" localSheetId="20">{"'공사부문'!$A$6:$A$32"}</definedName>
    <definedName name="ㅗㅎㅅ" localSheetId="21">{"'공사부문'!$A$6:$A$32"}</definedName>
    <definedName name="ㅗㅎㅅ" localSheetId="23">{"'공사부문'!$A$6:$A$32"}</definedName>
    <definedName name="ㅗㅎㅅ" localSheetId="28">{"'공사부문'!$A$6:$A$32"}</definedName>
    <definedName name="ㅗㅎㅅ" localSheetId="24">{"'공사부문'!$A$6:$A$32"}</definedName>
    <definedName name="ㅗㅎㅅ" localSheetId="25">{"'공사부문'!$A$6:$A$32"}</definedName>
    <definedName name="ㅗㅎㅅ" localSheetId="26">{"'공사부문'!$A$6:$A$32"}</definedName>
    <definedName name="ㅗㅎㅅ" localSheetId="27">{"'공사부문'!$A$6:$A$32"}</definedName>
    <definedName name="ㅗㅎㅅ">{"'공사부문'!$A$6:$A$32"}</definedName>
    <definedName name="ㅗㅎㅈㅁ" localSheetId="28" hidden="1">{#N/A,#N/A,FALSE,"명세표"}</definedName>
    <definedName name="ㅗㅎㅈㅁ" hidden="1">{#N/A,#N/A,FALSE,"명세표"}</definedName>
    <definedName name="ㅗㅓ">#REF!</definedName>
    <definedName name="ㅗㅓㅇㄹ미ㅗ" localSheetId="28" hidden="1">{#N/A,#N/A,FALSE,"명세표"}</definedName>
    <definedName name="ㅗㅓㅇㄹ미ㅗ" hidden="1">{#N/A,#N/A,FALSE,"명세표"}</definedName>
    <definedName name="ㅗㅓㅎ" localSheetId="28" hidden="1">{#N/A,#N/A,FALSE,"명세표"}</definedName>
    <definedName name="ㅗㅓㅎ" hidden="1">{#N/A,#N/A,FALSE,"명세표"}</definedName>
    <definedName name="ㅗㅓㅏㅗ">#REF!</definedName>
    <definedName name="ㅗㅗ" localSheetId="28" hidden="1">{#N/A,#N/A,FALSE,"명세표"}</definedName>
    <definedName name="ㅗㅗ" hidden="1">{#N/A,#N/A,FALSE,"명세표"}</definedName>
    <definedName name="ㅗㅠ" localSheetId="28" hidden="1">{#N/A,#N/A,FALSE,"명세표"}</definedName>
    <definedName name="ㅗㅠ" hidden="1">{#N/A,#N/A,FALSE,"명세표"}</definedName>
    <definedName name="ㅚㅇㄴㅁ" localSheetId="28" hidden="1">{#N/A,#N/A,FALSE,"명세표"}</definedName>
    <definedName name="ㅚㅇㄴㅁ" hidden="1">{#N/A,#N/A,FALSE,"명세표"}</definedName>
    <definedName name="ㅛ" localSheetId="28" hidden="1">{#N/A,#N/A,FALSE,"명세표"}</definedName>
    <definedName name="ㅛ" hidden="1">{#N/A,#N/A,FALSE,"명세표"}</definedName>
    <definedName name="ㅛㅊㅈㄱ" localSheetId="28" hidden="1">{#N/A,#N/A,FALSE,"명세표"}</definedName>
    <definedName name="ㅛㅊㅈㄱ" hidden="1">{#N/A,#N/A,FALSE,"명세표"}</definedName>
    <definedName name="ㅛㅊㅌㅋ" localSheetId="28" hidden="1">{#N/A,#N/A,FALSE,"명세표"}</definedName>
    <definedName name="ㅛㅊㅌㅋ" hidden="1">{#N/A,#N/A,FALSE,"명세표"}</definedName>
    <definedName name="ㅛㅛㅛ">#REF!</definedName>
    <definedName name="ㅛㅛㅛㅛㅛ" localSheetId="28">#REF!</definedName>
    <definedName name="ㅛㅛㅛㅛㅛ">#REF!</definedName>
    <definedName name="ㅜ" localSheetId="28" hidden="1">{#N/A,#N/A,FALSE,"명세표"}</definedName>
    <definedName name="ㅜ" hidden="1">{#N/A,#N/A,FALSE,"명세표"}</definedName>
    <definedName name="ㅜㅜㅜㅜㅜㅜㅜㅜㅜㅜㅜㅜㅜㅜㅜㅜㅜㅜㅜㅜㅜ">#REF!</definedName>
    <definedName name="ㅜㅠㅡㅗㅎ" localSheetId="28" hidden="1">{#N/A,#N/A,FALSE,"명세표"}</definedName>
    <definedName name="ㅜㅠㅡㅗㅎ" hidden="1">{#N/A,#N/A,FALSE,"명세표"}</definedName>
    <definedName name="ㅠ" localSheetId="28" hidden="1">{#N/A,#N/A,FALSE,"명세표"}</definedName>
    <definedName name="ㅠ" hidden="1">{#N/A,#N/A,FALSE,"명세표"}</definedName>
    <definedName name="ㅠㄱ" localSheetId="2">{"'용역비'!$A$4:$C$8"}</definedName>
    <definedName name="ㅠㄱ" localSheetId="3">{"'용역비'!$A$4:$C$8"}</definedName>
    <definedName name="ㅠㄱ" localSheetId="4">{"'용역비'!$A$4:$C$8"}</definedName>
    <definedName name="ㅠㄱ" localSheetId="5">{"'용역비'!$A$4:$C$8"}</definedName>
    <definedName name="ㅠㄱ" localSheetId="8">{"'용역비'!$A$4:$C$8"}</definedName>
    <definedName name="ㅠㄱ" localSheetId="9">{"'용역비'!$A$4:$C$8"}</definedName>
    <definedName name="ㅠㄱ" localSheetId="10">{"'용역비'!$A$4:$C$8"}</definedName>
    <definedName name="ㅠㄱ" localSheetId="11">{"'용역비'!$A$4:$C$8"}</definedName>
    <definedName name="ㅠㄱ" localSheetId="13">{"'용역비'!$A$4:$C$8"}</definedName>
    <definedName name="ㅠㄱ" localSheetId="14">{"'용역비'!$A$4:$C$8"}</definedName>
    <definedName name="ㅠㄱ" localSheetId="15">{"'용역비'!$A$4:$C$8"}</definedName>
    <definedName name="ㅠㄱ" localSheetId="16">{"'용역비'!$A$4:$C$8"}</definedName>
    <definedName name="ㅠㄱ" localSheetId="18">{"'용역비'!$A$4:$C$8"}</definedName>
    <definedName name="ㅠㄱ" localSheetId="19">{"'용역비'!$A$4:$C$8"}</definedName>
    <definedName name="ㅠㄱ" localSheetId="20">{"'용역비'!$A$4:$C$8"}</definedName>
    <definedName name="ㅠㄱ" localSheetId="21">{"'용역비'!$A$4:$C$8"}</definedName>
    <definedName name="ㅠㄱ" localSheetId="28" hidden="1">{#N/A,#N/A,FALSE,"명세표"}</definedName>
    <definedName name="ㅠㄱ" localSheetId="24">{"'용역비'!$A$4:$C$8"}</definedName>
    <definedName name="ㅠㄱ" localSheetId="25">{"'용역비'!$A$4:$C$8"}</definedName>
    <definedName name="ㅠㄱ" localSheetId="26">{"'용역비'!$A$4:$C$8"}</definedName>
    <definedName name="ㅠㄱ" localSheetId="27">{"'용역비'!$A$4:$C$8"}</definedName>
    <definedName name="ㅠㄱ">{"'용역비'!$A$4:$C$8"}</definedName>
    <definedName name="ㅠㄱㅈㄷㄹㅇ" localSheetId="28" hidden="1">{#N/A,#N/A,FALSE,"명세표"}</definedName>
    <definedName name="ㅠㄱㅈㄷㄹㅇ" hidden="1">{#N/A,#N/A,FALSE,"명세표"}</definedName>
    <definedName name="ㅠㄴㅇㄴ" localSheetId="28" hidden="1">{#N/A,#N/A,FALSE,"명세표"}</definedName>
    <definedName name="ㅠㄴㅇㄴ" hidden="1">{#N/A,#N/A,FALSE,"명세표"}</definedName>
    <definedName name="ㅠㄷㅈ" localSheetId="28" hidden="1">{#N/A,#N/A,FALSE,"명세표"}</definedName>
    <definedName name="ㅠㄷㅈ" hidden="1">{#N/A,#N/A,FALSE,"명세표"}</definedName>
    <definedName name="ㅠㅊ" localSheetId="28" hidden="1">{#N/A,#N/A,FALSE,"명세표"}</definedName>
    <definedName name="ㅠㅊ" hidden="1">{#N/A,#N/A,FALSE,"명세표"}</definedName>
    <definedName name="ㅡ" localSheetId="28" hidden="1">{#N/A,#N/A,FALSE,"명세표"}</definedName>
    <definedName name="ㅡ" hidden="1">{#N/A,#N/A,FALSE,"명세표"}</definedName>
    <definedName name="ㅡㅁㅊ개" localSheetId="28">#N/A</definedName>
    <definedName name="ㅡㅁㅊ개">#N/A</definedName>
    <definedName name="ㅡㅗㅓ" localSheetId="28" hidden="1">{#N/A,#N/A,FALSE,"명세표"}</definedName>
    <definedName name="ㅡㅗㅓ" hidden="1">{#N/A,#N/A,FALSE,"명세표"}</definedName>
    <definedName name="ㅡㅡ" localSheetId="28" hidden="1">{#N/A,#N/A,FALSE,"명세표"}</definedName>
    <definedName name="ㅡㅡ" hidden="1">{#N/A,#N/A,FALSE,"명세표"}</definedName>
    <definedName name="ㅣ">#REF!</definedName>
    <definedName name="ㅣ175" localSheetId="28">#REF!</definedName>
    <definedName name="ㅣ175">#REF!</definedName>
    <definedName name="ㅣㅇㅁㄴ로" localSheetId="28" hidden="1">{#N/A,#N/A,FALSE,"명세표"}</definedName>
    <definedName name="ㅣㅇㅁㄴ로" hidden="1">{#N/A,#N/A,FALSE,"명세표"}</definedName>
    <definedName name="ㅣㅏㅗㅎ" localSheetId="28" hidden="1">{#N/A,#N/A,FALSE,"명세표"}</definedName>
    <definedName name="ㅣㅏㅗㅎ" hidden="1">{#N/A,#N/A,FALSE,"명세표"}</definedName>
    <definedName name="ㅣㅓㅏㅗ" localSheetId="28" hidden="1">{#N/A,#N/A,FALSE,"명세표"}</definedName>
    <definedName name="ㅣㅓㅏㅗ" hidden="1">{#N/A,#N/A,FALSE,"명세표"}</definedName>
    <definedName name="ㅣㅓㅗㄹ이" localSheetId="28" hidden="1">{#N/A,#N/A,FALSE,"명세표"}</definedName>
    <definedName name="ㅣㅓㅗㄹ이" hidden="1">{#N/A,#N/A,FALSE,"명세표"}</definedName>
  </definedNames>
  <calcPr calcId="152511"/>
  <fileRecoveryPr autoRecover="0"/>
</workbook>
</file>

<file path=xl/calcChain.xml><?xml version="1.0" encoding="utf-8"?>
<calcChain xmlns="http://schemas.openxmlformats.org/spreadsheetml/2006/main">
  <c r="H12" i="90" l="1"/>
  <c r="E3027" i="127" l="1"/>
  <c r="E3029" i="127" s="1"/>
  <c r="D3027" i="127"/>
  <c r="D3029" i="127" s="1"/>
  <c r="C3027" i="127"/>
  <c r="C3029" i="127" s="1"/>
  <c r="B3027" i="127"/>
  <c r="E3003" i="127"/>
  <c r="E3005" i="127" s="1"/>
  <c r="D3003" i="127"/>
  <c r="D3005" i="127" s="1"/>
  <c r="C3003" i="127"/>
  <c r="C3005" i="127" s="1"/>
  <c r="B3003" i="127"/>
  <c r="E2979" i="127"/>
  <c r="E2981" i="127" s="1"/>
  <c r="D2979" i="127"/>
  <c r="D2981" i="127" s="1"/>
  <c r="C2979" i="127"/>
  <c r="C2981" i="127" s="1"/>
  <c r="B2979" i="127"/>
  <c r="E2955" i="127"/>
  <c r="E2957" i="127" s="1"/>
  <c r="D2955" i="127"/>
  <c r="D2957" i="127" s="1"/>
  <c r="C2955" i="127"/>
  <c r="C2957" i="127" s="1"/>
  <c r="B2955" i="127"/>
  <c r="E2931" i="127"/>
  <c r="E2933" i="127" s="1"/>
  <c r="D2931" i="127"/>
  <c r="D2933" i="127" s="1"/>
  <c r="C2931" i="127"/>
  <c r="C2933" i="127" s="1"/>
  <c r="B2931" i="127"/>
  <c r="E2907" i="127"/>
  <c r="E2909" i="127" s="1"/>
  <c r="E2910" i="127" s="1"/>
  <c r="D2907" i="127"/>
  <c r="D2909" i="127" s="1"/>
  <c r="D2910" i="127" s="1"/>
  <c r="C2907" i="127"/>
  <c r="C2909" i="127" s="1"/>
  <c r="B2907" i="127"/>
  <c r="E2883" i="127"/>
  <c r="E2885" i="127" s="1"/>
  <c r="D2883" i="127"/>
  <c r="D2885" i="127" s="1"/>
  <c r="C2883" i="127"/>
  <c r="C2885" i="127" s="1"/>
  <c r="B2883" i="127"/>
  <c r="E2859" i="127"/>
  <c r="D2859" i="127"/>
  <c r="D2861" i="127" s="1"/>
  <c r="D2862" i="127" s="1"/>
  <c r="D2863" i="127" s="1"/>
  <c r="D2864" i="127" s="1"/>
  <c r="D2865" i="127" s="1"/>
  <c r="D2866" i="127" s="1"/>
  <c r="C2859" i="127"/>
  <c r="C2861" i="127" s="1"/>
  <c r="C2862" i="127" s="1"/>
  <c r="C2863" i="127" s="1"/>
  <c r="C2864" i="127" s="1"/>
  <c r="C2865" i="127" s="1"/>
  <c r="C2866" i="127" s="1"/>
  <c r="B2859" i="127"/>
  <c r="E2835" i="127"/>
  <c r="E2837" i="127" s="1"/>
  <c r="D2835" i="127"/>
  <c r="D2837" i="127" s="1"/>
  <c r="C2835" i="127"/>
  <c r="C2837" i="127" s="1"/>
  <c r="B2835" i="127"/>
  <c r="E2811" i="127"/>
  <c r="E2813" i="127" s="1"/>
  <c r="D2811" i="127"/>
  <c r="D2813" i="127" s="1"/>
  <c r="C2811" i="127"/>
  <c r="C2813" i="127" s="1"/>
  <c r="B2811" i="127"/>
  <c r="E2787" i="127"/>
  <c r="E2789" i="127" s="1"/>
  <c r="D2787" i="127"/>
  <c r="D2789" i="127" s="1"/>
  <c r="C2787" i="127"/>
  <c r="C2789" i="127" s="1"/>
  <c r="B2787" i="127"/>
  <c r="E2763" i="127"/>
  <c r="E2765" i="127" s="1"/>
  <c r="D2763" i="127"/>
  <c r="D2765" i="127" s="1"/>
  <c r="C2763" i="127"/>
  <c r="C2765" i="127" s="1"/>
  <c r="B2763" i="127"/>
  <c r="E2739" i="127"/>
  <c r="E2741" i="127" s="1"/>
  <c r="D2739" i="127"/>
  <c r="D2741" i="127" s="1"/>
  <c r="C2739" i="127"/>
  <c r="C2741" i="127" s="1"/>
  <c r="B2739" i="127"/>
  <c r="E2715" i="127"/>
  <c r="E2717" i="127" s="1"/>
  <c r="D2715" i="127"/>
  <c r="D2717" i="127" s="1"/>
  <c r="C2715" i="127"/>
  <c r="C2717" i="127" s="1"/>
  <c r="B2715" i="127"/>
  <c r="E2691" i="127"/>
  <c r="E2693" i="127" s="1"/>
  <c r="D2691" i="127"/>
  <c r="D2693" i="127" s="1"/>
  <c r="C2691" i="127"/>
  <c r="C2693" i="127" s="1"/>
  <c r="B2691" i="127"/>
  <c r="E2667" i="127"/>
  <c r="E2669" i="127" s="1"/>
  <c r="D2667" i="127"/>
  <c r="D2669" i="127" s="1"/>
  <c r="C2667" i="127"/>
  <c r="C2669" i="127" s="1"/>
  <c r="B2667" i="127"/>
  <c r="E2643" i="127"/>
  <c r="E2645" i="127" s="1"/>
  <c r="D2643" i="127"/>
  <c r="D2645" i="127" s="1"/>
  <c r="C2643" i="127"/>
  <c r="C2645" i="127" s="1"/>
  <c r="B2643" i="127"/>
  <c r="E2619" i="127"/>
  <c r="E2621" i="127" s="1"/>
  <c r="D2619" i="127"/>
  <c r="D2621" i="127" s="1"/>
  <c r="C2619" i="127"/>
  <c r="C2621" i="127" s="1"/>
  <c r="B2619" i="127"/>
  <c r="E2595" i="127"/>
  <c r="E2597" i="127" s="1"/>
  <c r="D2595" i="127"/>
  <c r="D2597" i="127" s="1"/>
  <c r="C2595" i="127"/>
  <c r="C2597" i="127" s="1"/>
  <c r="B2595" i="127"/>
  <c r="E2571" i="127"/>
  <c r="E2573" i="127" s="1"/>
  <c r="D2571" i="127"/>
  <c r="D2573" i="127" s="1"/>
  <c r="C2571" i="127"/>
  <c r="C2573" i="127" s="1"/>
  <c r="B2571" i="127"/>
  <c r="E2547" i="127"/>
  <c r="E2549" i="127" s="1"/>
  <c r="D2547" i="127"/>
  <c r="D2549" i="127" s="1"/>
  <c r="C2547" i="127"/>
  <c r="C2549" i="127" s="1"/>
  <c r="B2547" i="127"/>
  <c r="E2523" i="127"/>
  <c r="E2525" i="127" s="1"/>
  <c r="D2523" i="127"/>
  <c r="D2525" i="127" s="1"/>
  <c r="C2523" i="127"/>
  <c r="C2525" i="127" s="1"/>
  <c r="B2523" i="127"/>
  <c r="E2499" i="127"/>
  <c r="E2501" i="127" s="1"/>
  <c r="D2499" i="127"/>
  <c r="D2501" i="127" s="1"/>
  <c r="C2499" i="127"/>
  <c r="C2501" i="127" s="1"/>
  <c r="B2499" i="127"/>
  <c r="E2475" i="127"/>
  <c r="E2477" i="127" s="1"/>
  <c r="E2478" i="127" s="1"/>
  <c r="D2475" i="127"/>
  <c r="D2477" i="127" s="1"/>
  <c r="D2478" i="127" s="1"/>
  <c r="C2475" i="127"/>
  <c r="C2477" i="127" s="1"/>
  <c r="B2475" i="127"/>
  <c r="E2451" i="127"/>
  <c r="E2453" i="127" s="1"/>
  <c r="D2451" i="127"/>
  <c r="D2453" i="127" s="1"/>
  <c r="C2451" i="127"/>
  <c r="C2453" i="127" s="1"/>
  <c r="B2451" i="127"/>
  <c r="E2427" i="127"/>
  <c r="E2429" i="127" s="1"/>
  <c r="D2427" i="127"/>
  <c r="D2429" i="127" s="1"/>
  <c r="C2427" i="127"/>
  <c r="C2429" i="127" s="1"/>
  <c r="B2427" i="127"/>
  <c r="E2403" i="127"/>
  <c r="E2405" i="127" s="1"/>
  <c r="D2403" i="127"/>
  <c r="D2405" i="127" s="1"/>
  <c r="C2403" i="127"/>
  <c r="C2405" i="127" s="1"/>
  <c r="B2403" i="127"/>
  <c r="E2379" i="127"/>
  <c r="E2381" i="127" s="1"/>
  <c r="D2379" i="127"/>
  <c r="D2381" i="127" s="1"/>
  <c r="C2379" i="127"/>
  <c r="C2381" i="127" s="1"/>
  <c r="B2379" i="127"/>
  <c r="E2355" i="127"/>
  <c r="E2357" i="127" s="1"/>
  <c r="D2355" i="127"/>
  <c r="D2357" i="127" s="1"/>
  <c r="C2355" i="127"/>
  <c r="C2357" i="127" s="1"/>
  <c r="B2355" i="127"/>
  <c r="E2331" i="127"/>
  <c r="E2333" i="127" s="1"/>
  <c r="D2331" i="127"/>
  <c r="D2333" i="127" s="1"/>
  <c r="C2331" i="127"/>
  <c r="C2333" i="127" s="1"/>
  <c r="B2331" i="127"/>
  <c r="E2307" i="127"/>
  <c r="E2309" i="127" s="1"/>
  <c r="D2307" i="127"/>
  <c r="D2309" i="127" s="1"/>
  <c r="C2307" i="127"/>
  <c r="C2309" i="127" s="1"/>
  <c r="B2307" i="127"/>
  <c r="E2283" i="127"/>
  <c r="E2285" i="127" s="1"/>
  <c r="D2283" i="127"/>
  <c r="D2285" i="127" s="1"/>
  <c r="C2283" i="127"/>
  <c r="C2285" i="127" s="1"/>
  <c r="B2283" i="127"/>
  <c r="E2259" i="127"/>
  <c r="E2261" i="127" s="1"/>
  <c r="D2259" i="127"/>
  <c r="D2261" i="127" s="1"/>
  <c r="C2259" i="127"/>
  <c r="C2261" i="127" s="1"/>
  <c r="B2259" i="127"/>
  <c r="E2235" i="127"/>
  <c r="E2237" i="127" s="1"/>
  <c r="D2235" i="127"/>
  <c r="D2237" i="127" s="1"/>
  <c r="C2235" i="127"/>
  <c r="C2237" i="127" s="1"/>
  <c r="B2235" i="127"/>
  <c r="E2211" i="127"/>
  <c r="E2213" i="127" s="1"/>
  <c r="D2211" i="127"/>
  <c r="D2213" i="127" s="1"/>
  <c r="C2211" i="127"/>
  <c r="C2213" i="127" s="1"/>
  <c r="B2211" i="127"/>
  <c r="E2187" i="127"/>
  <c r="E2189" i="127" s="1"/>
  <c r="D2187" i="127"/>
  <c r="D2189" i="127" s="1"/>
  <c r="C2187" i="127"/>
  <c r="C2189" i="127" s="1"/>
  <c r="B2187" i="127"/>
  <c r="E2163" i="127"/>
  <c r="E2165" i="127" s="1"/>
  <c r="D2163" i="127"/>
  <c r="D2165" i="127" s="1"/>
  <c r="C2163" i="127"/>
  <c r="C2165" i="127" s="1"/>
  <c r="B2163" i="127"/>
  <c r="E2139" i="127"/>
  <c r="E2141" i="127" s="1"/>
  <c r="D2139" i="127"/>
  <c r="D2141" i="127" s="1"/>
  <c r="C2139" i="127"/>
  <c r="C2141" i="127" s="1"/>
  <c r="B2139" i="127"/>
  <c r="E2115" i="127"/>
  <c r="E2117" i="127" s="1"/>
  <c r="D2115" i="127"/>
  <c r="D2117" i="127" s="1"/>
  <c r="C2115" i="127"/>
  <c r="C2117" i="127" s="1"/>
  <c r="B2115" i="127"/>
  <c r="E1659" i="127"/>
  <c r="E1661" i="127" s="1"/>
  <c r="D1659" i="127"/>
  <c r="D1661" i="127" s="1"/>
  <c r="C1659" i="127"/>
  <c r="C1661" i="127" s="1"/>
  <c r="B1659" i="127"/>
  <c r="E1635" i="127" l="1"/>
  <c r="E1637" i="127" s="1"/>
  <c r="D1635" i="127"/>
  <c r="D1637" i="127" s="1"/>
  <c r="C1635" i="127"/>
  <c r="C1637" i="127" s="1"/>
  <c r="B1635" i="127"/>
  <c r="E1611" i="127"/>
  <c r="E1613" i="127" s="1"/>
  <c r="D1611" i="127"/>
  <c r="D1613" i="127" s="1"/>
  <c r="C1611" i="127"/>
  <c r="C1613" i="127" s="1"/>
  <c r="B1611" i="127"/>
  <c r="E1587" i="127"/>
  <c r="E1589" i="127" s="1"/>
  <c r="D1587" i="127"/>
  <c r="D1589" i="127" s="1"/>
  <c r="C1587" i="127"/>
  <c r="C1589" i="127" s="1"/>
  <c r="B1587" i="127"/>
  <c r="E675" i="127" l="1"/>
  <c r="E677" i="127" s="1"/>
  <c r="D675" i="127"/>
  <c r="D677" i="127" s="1"/>
  <c r="C675" i="127"/>
  <c r="C677" i="127" s="1"/>
  <c r="B675" i="127"/>
  <c r="E651" i="127" l="1"/>
  <c r="E653" i="127" s="1"/>
  <c r="D651" i="127"/>
  <c r="D653" i="127" s="1"/>
  <c r="C651" i="127"/>
  <c r="C653" i="127" s="1"/>
  <c r="B651" i="127"/>
  <c r="E627" i="127" l="1"/>
  <c r="E629" i="127" s="1"/>
  <c r="D627" i="127"/>
  <c r="D629" i="127" s="1"/>
  <c r="C627" i="127"/>
  <c r="C629" i="127" s="1"/>
  <c r="B627" i="127"/>
  <c r="E603" i="127"/>
  <c r="E605" i="127" s="1"/>
  <c r="D603" i="127"/>
  <c r="D605" i="127" s="1"/>
  <c r="C603" i="127"/>
  <c r="C605" i="127" s="1"/>
  <c r="B603" i="127"/>
  <c r="E579" i="127"/>
  <c r="E581" i="127" s="1"/>
  <c r="D579" i="127"/>
  <c r="D581" i="127" s="1"/>
  <c r="C579" i="127"/>
  <c r="C581" i="127" s="1"/>
  <c r="B579" i="127"/>
  <c r="E555" i="127"/>
  <c r="E557" i="127" s="1"/>
  <c r="D555" i="127"/>
  <c r="D557" i="127" s="1"/>
  <c r="C555" i="127"/>
  <c r="C557" i="127" s="1"/>
  <c r="B555" i="127"/>
  <c r="E531" i="127"/>
  <c r="E533" i="127" s="1"/>
  <c r="D531" i="127"/>
  <c r="D533" i="127" s="1"/>
  <c r="C531" i="127"/>
  <c r="C533" i="127" s="1"/>
  <c r="B531" i="127"/>
  <c r="E507" i="127"/>
  <c r="E509" i="127" s="1"/>
  <c r="D507" i="127"/>
  <c r="D509" i="127" s="1"/>
  <c r="C507" i="127"/>
  <c r="C509" i="127" s="1"/>
  <c r="B507" i="127"/>
  <c r="E483" i="127"/>
  <c r="E485" i="127" s="1"/>
  <c r="D483" i="127"/>
  <c r="D485" i="127" s="1"/>
  <c r="C483" i="127"/>
  <c r="C485" i="127" s="1"/>
  <c r="B483" i="127"/>
  <c r="E459" i="127"/>
  <c r="E461" i="127" s="1"/>
  <c r="D459" i="127"/>
  <c r="D461" i="127" s="1"/>
  <c r="C459" i="127"/>
  <c r="C461" i="127" s="1"/>
  <c r="B459" i="127"/>
  <c r="E435" i="127"/>
  <c r="E437" i="127" s="1"/>
  <c r="D435" i="127"/>
  <c r="D437" i="127" s="1"/>
  <c r="C435" i="127"/>
  <c r="C437" i="127" s="1"/>
  <c r="B435" i="127"/>
  <c r="E411" i="127"/>
  <c r="E413" i="127" s="1"/>
  <c r="D411" i="127"/>
  <c r="D413" i="127" s="1"/>
  <c r="C411" i="127"/>
  <c r="C413" i="127" s="1"/>
  <c r="B411" i="127"/>
  <c r="H11" i="90"/>
  <c r="H10" i="90" l="1"/>
  <c r="H9" i="90"/>
  <c r="H8" i="90"/>
  <c r="E2091" i="127" l="1"/>
  <c r="E2093" i="127" s="1"/>
  <c r="D2091" i="127"/>
  <c r="D2093" i="127" s="1"/>
  <c r="D2094" i="127" s="1"/>
  <c r="C2091" i="127"/>
  <c r="C2093" i="127" s="1"/>
  <c r="B2091" i="127"/>
  <c r="E1971" i="127"/>
  <c r="E1973" i="127" s="1"/>
  <c r="D1971" i="127"/>
  <c r="D1973" i="127" s="1"/>
  <c r="C1971" i="127"/>
  <c r="C1973" i="127" s="1"/>
  <c r="B1971" i="127"/>
  <c r="E1875" i="127"/>
  <c r="E1877" i="127" s="1"/>
  <c r="D1875" i="127"/>
  <c r="D1877" i="127" s="1"/>
  <c r="C1875" i="127"/>
  <c r="C1877" i="127" s="1"/>
  <c r="B1875" i="127"/>
  <c r="E1803" i="127"/>
  <c r="E1805" i="127" s="1"/>
  <c r="D1803" i="127"/>
  <c r="D1805" i="127" s="1"/>
  <c r="C1803" i="127"/>
  <c r="C1805" i="127" s="1"/>
  <c r="B1803" i="127"/>
  <c r="B1731" i="127"/>
  <c r="E1707" i="127"/>
  <c r="E1709" i="127" s="1"/>
  <c r="C1683" i="127"/>
  <c r="C1685" i="127" s="1"/>
  <c r="D1683" i="127"/>
  <c r="D1685" i="127" s="1"/>
  <c r="E1683" i="127"/>
  <c r="E1685" i="127" s="1"/>
  <c r="B1683" i="127"/>
  <c r="C1707" i="127"/>
  <c r="C1709" i="127" s="1"/>
  <c r="D1707" i="127"/>
  <c r="D1709" i="127" s="1"/>
  <c r="B1707" i="127"/>
  <c r="C1731" i="127"/>
  <c r="C1733" i="127" s="1"/>
  <c r="D1731" i="127"/>
  <c r="D1733" i="127" s="1"/>
  <c r="E1731" i="127"/>
  <c r="E1733" i="127" s="1"/>
  <c r="E2067" i="127" l="1"/>
  <c r="E2069" i="127" s="1"/>
  <c r="E2070" i="127" s="1"/>
  <c r="E2071" i="127" s="1"/>
  <c r="E2072" i="127" s="1"/>
  <c r="E2073" i="127" s="1"/>
  <c r="D2067" i="127"/>
  <c r="D2069" i="127" s="1"/>
  <c r="C2067" i="127"/>
  <c r="C2069" i="127" s="1"/>
  <c r="B2067" i="127"/>
  <c r="E2043" i="127"/>
  <c r="E2045" i="127" s="1"/>
  <c r="D2043" i="127"/>
  <c r="D2045" i="127" s="1"/>
  <c r="C2043" i="127"/>
  <c r="C2045" i="127" s="1"/>
  <c r="B2043" i="127"/>
  <c r="E1995" i="127"/>
  <c r="E1997" i="127" s="1"/>
  <c r="D1995" i="127"/>
  <c r="D1997" i="127" s="1"/>
  <c r="C1995" i="127"/>
  <c r="C1997" i="127" s="1"/>
  <c r="B1995" i="127"/>
  <c r="E1947" i="127"/>
  <c r="E1949" i="127" s="1"/>
  <c r="D1947" i="127"/>
  <c r="D1949" i="127" s="1"/>
  <c r="C1947" i="127"/>
  <c r="C1949" i="127" s="1"/>
  <c r="B1947" i="127"/>
  <c r="E1923" i="127"/>
  <c r="E1925" i="127" s="1"/>
  <c r="D1923" i="127"/>
  <c r="D1925" i="127" s="1"/>
  <c r="C1923" i="127"/>
  <c r="C1925" i="127" s="1"/>
  <c r="B1923" i="127"/>
  <c r="E1899" i="127"/>
  <c r="E1901" i="127" s="1"/>
  <c r="D1899" i="127"/>
  <c r="D1901" i="127" s="1"/>
  <c r="C1899" i="127"/>
  <c r="C1901" i="127" s="1"/>
  <c r="B1899" i="127"/>
  <c r="E1851" i="127"/>
  <c r="E1853" i="127" s="1"/>
  <c r="D1851" i="127"/>
  <c r="D1853" i="127" s="1"/>
  <c r="C1851" i="127"/>
  <c r="C1853" i="127" s="1"/>
  <c r="B1851" i="127"/>
  <c r="E1827" i="127"/>
  <c r="E1829" i="127" s="1"/>
  <c r="D1827" i="127"/>
  <c r="D1829" i="127" s="1"/>
  <c r="C1827" i="127"/>
  <c r="C1829" i="127" s="1"/>
  <c r="B1827" i="127"/>
  <c r="E2019" i="127"/>
  <c r="E2021" i="127" s="1"/>
  <c r="D2019" i="127"/>
  <c r="D2021" i="127" s="1"/>
  <c r="C2019" i="127"/>
  <c r="C2021" i="127" s="1"/>
  <c r="B2019" i="127"/>
  <c r="E1779" i="127"/>
  <c r="E1781" i="127" s="1"/>
  <c r="E1782" i="127" s="1"/>
  <c r="D1779" i="127"/>
  <c r="D1781" i="127" s="1"/>
  <c r="D1782" i="127" s="1"/>
  <c r="C1779" i="127"/>
  <c r="C1781" i="127" s="1"/>
  <c r="B1779" i="127"/>
  <c r="C1755" i="127"/>
  <c r="C1757" i="127" s="1"/>
  <c r="D1755" i="127"/>
  <c r="D1757" i="127" s="1"/>
  <c r="E1755" i="127"/>
  <c r="E1757" i="127" s="1"/>
  <c r="B1755" i="127"/>
  <c r="E1563" i="127"/>
  <c r="E1565" i="127" s="1"/>
  <c r="D1563" i="127"/>
  <c r="D1565" i="127" s="1"/>
  <c r="C1563" i="127"/>
  <c r="C1565" i="127" s="1"/>
  <c r="B1563" i="127"/>
  <c r="E1539" i="127"/>
  <c r="E1541" i="127" s="1"/>
  <c r="E1542" i="127" s="1"/>
  <c r="D1539" i="127"/>
  <c r="D1541" i="127" s="1"/>
  <c r="D1542" i="127" s="1"/>
  <c r="C1539" i="127"/>
  <c r="C1541" i="127" s="1"/>
  <c r="B1539" i="127"/>
  <c r="E1515" i="127"/>
  <c r="E1517" i="127" s="1"/>
  <c r="D1515" i="127"/>
  <c r="D1517" i="127" s="1"/>
  <c r="C1515" i="127"/>
  <c r="C1517" i="127" s="1"/>
  <c r="B1515" i="127"/>
  <c r="E1491" i="127"/>
  <c r="E1493" i="127" s="1"/>
  <c r="D1491" i="127"/>
  <c r="D1493" i="127" s="1"/>
  <c r="C1491" i="127"/>
  <c r="C1493" i="127" s="1"/>
  <c r="B1491" i="127"/>
  <c r="E1467" i="127"/>
  <c r="E1469" i="127" s="1"/>
  <c r="D1467" i="127"/>
  <c r="D1469" i="127" s="1"/>
  <c r="C1467" i="127"/>
  <c r="C1469" i="127" s="1"/>
  <c r="B1467" i="127"/>
  <c r="E1419" i="127"/>
  <c r="E1421" i="127" s="1"/>
  <c r="D1419" i="127"/>
  <c r="D1421" i="127" s="1"/>
  <c r="C1419" i="127"/>
  <c r="C1421" i="127" s="1"/>
  <c r="B1419" i="127"/>
  <c r="E1395" i="127"/>
  <c r="E1397" i="127" s="1"/>
  <c r="D1395" i="127"/>
  <c r="D1397" i="127" s="1"/>
  <c r="C1395" i="127"/>
  <c r="C1397" i="127" s="1"/>
  <c r="B1395" i="127"/>
  <c r="E1371" i="127"/>
  <c r="E1373" i="127" s="1"/>
  <c r="D1371" i="127"/>
  <c r="D1373" i="127" s="1"/>
  <c r="C1371" i="127"/>
  <c r="C1373" i="127" s="1"/>
  <c r="B1371" i="127"/>
  <c r="E1299" i="127"/>
  <c r="E1301" i="127" s="1"/>
  <c r="D1299" i="127"/>
  <c r="D1301" i="127" s="1"/>
  <c r="C1299" i="127"/>
  <c r="C1301" i="127" s="1"/>
  <c r="B1299" i="127"/>
  <c r="E1251" i="127"/>
  <c r="E1253" i="127" s="1"/>
  <c r="D1251" i="127"/>
  <c r="D1253" i="127" s="1"/>
  <c r="C1251" i="127"/>
  <c r="C1253" i="127" s="1"/>
  <c r="B1251" i="127"/>
  <c r="E1227" i="127"/>
  <c r="E1229" i="127" s="1"/>
  <c r="D1227" i="127"/>
  <c r="D1229" i="127" s="1"/>
  <c r="C1227" i="127"/>
  <c r="C1229" i="127" s="1"/>
  <c r="B1227" i="127"/>
  <c r="E1443" i="127"/>
  <c r="D1443" i="127"/>
  <c r="D1445" i="127" s="1"/>
  <c r="D1446" i="127" s="1"/>
  <c r="D1447" i="127" s="1"/>
  <c r="D1448" i="127" s="1"/>
  <c r="D1449" i="127" s="1"/>
  <c r="D1450" i="127" s="1"/>
  <c r="C1443" i="127"/>
  <c r="C1445" i="127" s="1"/>
  <c r="C1446" i="127" s="1"/>
  <c r="B1443" i="127"/>
  <c r="E1347" i="127"/>
  <c r="E1349" i="127" s="1"/>
  <c r="D1347" i="127"/>
  <c r="D1349" i="127" s="1"/>
  <c r="C1347" i="127"/>
  <c r="C1349" i="127" s="1"/>
  <c r="B1347" i="127"/>
  <c r="E1323" i="127"/>
  <c r="E1325" i="127" s="1"/>
  <c r="D1323" i="127"/>
  <c r="D1325" i="127" s="1"/>
  <c r="C1323" i="127"/>
  <c r="C1325" i="127" s="1"/>
  <c r="B1323" i="127"/>
  <c r="E1275" i="127"/>
  <c r="E1277" i="127" s="1"/>
  <c r="D1275" i="127"/>
  <c r="D1277" i="127" s="1"/>
  <c r="C1275" i="127"/>
  <c r="C1277" i="127" s="1"/>
  <c r="B1275" i="127"/>
  <c r="E1179" i="127"/>
  <c r="E1181" i="127" s="1"/>
  <c r="D1179" i="127"/>
  <c r="D1181" i="127" s="1"/>
  <c r="C1179" i="127"/>
  <c r="C1181" i="127" s="1"/>
  <c r="B1179" i="127"/>
  <c r="E1155" i="127"/>
  <c r="E1157" i="127" s="1"/>
  <c r="D1155" i="127"/>
  <c r="D1157" i="127" s="1"/>
  <c r="C1155" i="127"/>
  <c r="C1157" i="127" s="1"/>
  <c r="B1155" i="127"/>
  <c r="E1131" i="127"/>
  <c r="E1133" i="127" s="1"/>
  <c r="D1131" i="127"/>
  <c r="D1133" i="127" s="1"/>
  <c r="C1131" i="127"/>
  <c r="C1133" i="127" s="1"/>
  <c r="B1131" i="127"/>
  <c r="C1448" i="127" l="1"/>
  <c r="C1450" i="127" s="1"/>
  <c r="C1447" i="127"/>
  <c r="C1449" i="127" s="1"/>
  <c r="E1107" i="127"/>
  <c r="E1109" i="127" s="1"/>
  <c r="D1107" i="127"/>
  <c r="D1109" i="127" s="1"/>
  <c r="C1107" i="127"/>
  <c r="C1109" i="127" s="1"/>
  <c r="B1107" i="127"/>
  <c r="E1203" i="127"/>
  <c r="E1205" i="127" s="1"/>
  <c r="D1203" i="127"/>
  <c r="D1205" i="127" s="1"/>
  <c r="C1203" i="127"/>
  <c r="C1205" i="127" s="1"/>
  <c r="B1203" i="127"/>
  <c r="E1083" i="127"/>
  <c r="E1085" i="127" s="1"/>
  <c r="D1083" i="127"/>
  <c r="D1085" i="127" s="1"/>
  <c r="C1083" i="127"/>
  <c r="C1085" i="127" s="1"/>
  <c r="B1083" i="127"/>
  <c r="E1059" i="127"/>
  <c r="E1061" i="127" s="1"/>
  <c r="D1059" i="127"/>
  <c r="D1061" i="127" s="1"/>
  <c r="C1059" i="127"/>
  <c r="C1061" i="127" s="1"/>
  <c r="B1059" i="127"/>
  <c r="E1035" i="127"/>
  <c r="E1037" i="127" s="1"/>
  <c r="E1038" i="127" s="1"/>
  <c r="D1035" i="127"/>
  <c r="D1037" i="127" s="1"/>
  <c r="D1038" i="127" s="1"/>
  <c r="C1035" i="127"/>
  <c r="C1037" i="127" s="1"/>
  <c r="B1035" i="127"/>
  <c r="E1011" i="127"/>
  <c r="E1013" i="127" s="1"/>
  <c r="D1011" i="127"/>
  <c r="D1013" i="127" s="1"/>
  <c r="C1011" i="127"/>
  <c r="C1013" i="127" s="1"/>
  <c r="B1011" i="127"/>
  <c r="E987" i="127"/>
  <c r="E989" i="127" s="1"/>
  <c r="D987" i="127"/>
  <c r="D989" i="127" s="1"/>
  <c r="C987" i="127"/>
  <c r="C989" i="127" s="1"/>
  <c r="B987" i="127"/>
  <c r="E963" i="127"/>
  <c r="E965" i="127" s="1"/>
  <c r="E966" i="127" s="1"/>
  <c r="E967" i="127" s="1"/>
  <c r="D963" i="127"/>
  <c r="D965" i="127" s="1"/>
  <c r="D966" i="127" s="1"/>
  <c r="D967" i="127" s="1"/>
  <c r="C963" i="127"/>
  <c r="B963" i="127"/>
  <c r="E939" i="127"/>
  <c r="E941" i="127" s="1"/>
  <c r="E942" i="127" s="1"/>
  <c r="D939" i="127"/>
  <c r="D941" i="127" s="1"/>
  <c r="D942" i="127" s="1"/>
  <c r="C939" i="127"/>
  <c r="C941" i="127" s="1"/>
  <c r="B939" i="127"/>
  <c r="E915" i="127"/>
  <c r="E917" i="127" s="1"/>
  <c r="D915" i="127"/>
  <c r="D917" i="127" s="1"/>
  <c r="C915" i="127"/>
  <c r="C917" i="127" s="1"/>
  <c r="B915" i="127"/>
  <c r="E891" i="127"/>
  <c r="E893" i="127" s="1"/>
  <c r="D891" i="127"/>
  <c r="D893" i="127" s="1"/>
  <c r="C891" i="127"/>
  <c r="C893" i="127" s="1"/>
  <c r="B891" i="127"/>
  <c r="E867" i="127"/>
  <c r="E869" i="127" s="1"/>
  <c r="D867" i="127"/>
  <c r="D869" i="127" s="1"/>
  <c r="C867" i="127"/>
  <c r="C869" i="127" s="1"/>
  <c r="B867" i="127"/>
  <c r="E843" i="127"/>
  <c r="E845" i="127" s="1"/>
  <c r="D843" i="127"/>
  <c r="D845" i="127" s="1"/>
  <c r="C843" i="127"/>
  <c r="C845" i="127" s="1"/>
  <c r="B843" i="127"/>
  <c r="E819" i="127"/>
  <c r="E821" i="127" s="1"/>
  <c r="D819" i="127"/>
  <c r="D821" i="127" s="1"/>
  <c r="C819" i="127"/>
  <c r="C821" i="127" s="1"/>
  <c r="B819" i="127"/>
  <c r="E795" i="127"/>
  <c r="E797" i="127" s="1"/>
  <c r="D795" i="127"/>
  <c r="D797" i="127" s="1"/>
  <c r="C795" i="127"/>
  <c r="C797" i="127" s="1"/>
  <c r="B795" i="127"/>
  <c r="E771" i="127"/>
  <c r="E773" i="127" s="1"/>
  <c r="D771" i="127"/>
  <c r="D773" i="127" s="1"/>
  <c r="C771" i="127"/>
  <c r="C773" i="127" s="1"/>
  <c r="B771" i="127"/>
  <c r="E747" i="127"/>
  <c r="E749" i="127" s="1"/>
  <c r="D747" i="127"/>
  <c r="D749" i="127" s="1"/>
  <c r="C747" i="127"/>
  <c r="C749" i="127" s="1"/>
  <c r="B747" i="127"/>
  <c r="C723" i="127"/>
  <c r="C725" i="127" s="1"/>
  <c r="D723" i="127"/>
  <c r="D725" i="127" s="1"/>
  <c r="E723" i="127"/>
  <c r="E725" i="127" s="1"/>
  <c r="B723" i="127"/>
  <c r="B699" i="127"/>
  <c r="C699" i="127"/>
  <c r="C701" i="127" s="1"/>
  <c r="D699" i="127"/>
  <c r="D701" i="127" s="1"/>
  <c r="E699" i="127"/>
  <c r="E701" i="127" s="1"/>
  <c r="C387" i="127"/>
  <c r="C389" i="127" s="1"/>
  <c r="D387" i="127"/>
  <c r="D389" i="127" s="1"/>
  <c r="E387" i="127"/>
  <c r="E389" i="127" s="1"/>
  <c r="B387" i="127"/>
  <c r="C363" i="127"/>
  <c r="C365" i="127" s="1"/>
  <c r="D363" i="127"/>
  <c r="D365" i="127" s="1"/>
  <c r="E363" i="127"/>
  <c r="E365" i="127" s="1"/>
  <c r="B363" i="127"/>
  <c r="C339" i="127"/>
  <c r="C341" i="127" s="1"/>
  <c r="D339" i="127"/>
  <c r="D341" i="127" s="1"/>
  <c r="E339" i="127"/>
  <c r="E341" i="127" s="1"/>
  <c r="B339" i="127"/>
  <c r="C315" i="127"/>
  <c r="C317" i="127" s="1"/>
  <c r="D315" i="127"/>
  <c r="D317" i="127" s="1"/>
  <c r="E315" i="127"/>
  <c r="E317" i="127" s="1"/>
  <c r="B315" i="127"/>
  <c r="C291" i="127"/>
  <c r="C293" i="127" s="1"/>
  <c r="D291" i="127"/>
  <c r="D293" i="127" s="1"/>
  <c r="E291" i="127"/>
  <c r="E293" i="127" s="1"/>
  <c r="B291" i="127"/>
  <c r="E267" i="127"/>
  <c r="E269" i="127" s="1"/>
  <c r="C267" i="127"/>
  <c r="C269" i="127" s="1"/>
  <c r="D267" i="127"/>
  <c r="D269" i="127" s="1"/>
  <c r="B267" i="127"/>
  <c r="C243" i="127"/>
  <c r="C245" i="127" s="1"/>
  <c r="D243" i="127"/>
  <c r="D245" i="127" s="1"/>
  <c r="E243" i="127"/>
  <c r="E245" i="127" s="1"/>
  <c r="B243" i="127"/>
  <c r="C219" i="127"/>
  <c r="C221" i="127" s="1"/>
  <c r="D219" i="127"/>
  <c r="D221" i="127" s="1"/>
  <c r="E219" i="127"/>
  <c r="E221" i="127" s="1"/>
  <c r="B219" i="127"/>
  <c r="C195" i="127"/>
  <c r="C197" i="127" s="1"/>
  <c r="D195" i="127"/>
  <c r="D197" i="127" s="1"/>
  <c r="E195" i="127"/>
  <c r="E197" i="127" s="1"/>
  <c r="B195" i="127"/>
  <c r="C171" i="127"/>
  <c r="C173" i="127" s="1"/>
  <c r="D171" i="127"/>
  <c r="D173" i="127" s="1"/>
  <c r="E171" i="127"/>
  <c r="E173" i="127" s="1"/>
  <c r="B171" i="127"/>
  <c r="C147" i="127"/>
  <c r="C149" i="127" s="1"/>
  <c r="D147" i="127"/>
  <c r="D149" i="127" s="1"/>
  <c r="E147" i="127"/>
  <c r="E149" i="127" s="1"/>
  <c r="B147" i="127"/>
  <c r="C123" i="127"/>
  <c r="C125" i="127" s="1"/>
  <c r="D123" i="127"/>
  <c r="D125" i="127" s="1"/>
  <c r="E123" i="127"/>
  <c r="E125" i="127" s="1"/>
  <c r="B123" i="127"/>
  <c r="C99" i="127"/>
  <c r="C101" i="127" s="1"/>
  <c r="D99" i="127"/>
  <c r="D101" i="127" s="1"/>
  <c r="E99" i="127"/>
  <c r="E101" i="127" s="1"/>
  <c r="B99" i="127"/>
  <c r="C75" i="127"/>
  <c r="C77" i="127" s="1"/>
  <c r="D75" i="127"/>
  <c r="D77" i="127" s="1"/>
  <c r="E75" i="127"/>
  <c r="E77" i="127" s="1"/>
  <c r="B75" i="127"/>
  <c r="C51" i="127"/>
  <c r="C53" i="127" s="1"/>
  <c r="D51" i="127"/>
  <c r="D53" i="127" s="1"/>
  <c r="E51" i="127"/>
  <c r="E53" i="127" s="1"/>
  <c r="B51" i="127"/>
  <c r="C27" i="127"/>
  <c r="C29" i="127" s="1"/>
  <c r="D27" i="127"/>
  <c r="D29" i="127" s="1"/>
  <c r="E27" i="127"/>
  <c r="E29" i="127" s="1"/>
  <c r="B27" i="127"/>
  <c r="C3" i="127"/>
  <c r="C5" i="127" s="1"/>
  <c r="D3" i="127"/>
  <c r="D5" i="127" s="1"/>
  <c r="E3" i="127"/>
  <c r="E5" i="127" s="1"/>
  <c r="B3" i="127"/>
  <c r="H7" i="90" l="1"/>
  <c r="H6" i="90"/>
  <c r="D19" i="83" l="1"/>
  <c r="A2" i="109" l="1"/>
  <c r="B17" i="93"/>
  <c r="B18" i="93"/>
  <c r="F10" i="109" l="1"/>
  <c r="H10" i="109" s="1"/>
  <c r="F9" i="109"/>
  <c r="F8" i="109"/>
  <c r="H8" i="109" s="1"/>
  <c r="D12" i="120"/>
  <c r="D11" i="120"/>
  <c r="F26" i="109" l="1"/>
  <c r="H9" i="109"/>
  <c r="H26" i="109" s="1"/>
  <c r="D19" i="122"/>
  <c r="D19" i="121"/>
  <c r="A21" i="115"/>
  <c r="A19" i="115"/>
  <c r="A17" i="115"/>
  <c r="A15" i="115"/>
  <c r="A13" i="115"/>
  <c r="A11" i="115"/>
  <c r="A9" i="115"/>
  <c r="A7" i="115"/>
  <c r="A23" i="114"/>
  <c r="A21" i="114"/>
  <c r="A19" i="114"/>
  <c r="A17" i="114"/>
  <c r="A15" i="114"/>
  <c r="A13" i="114"/>
  <c r="A11" i="114"/>
  <c r="A9" i="114"/>
  <c r="A7" i="114"/>
  <c r="A17" i="116"/>
  <c r="A15" i="116"/>
  <c r="A13" i="116"/>
  <c r="A11" i="116"/>
  <c r="A9" i="116"/>
  <c r="A7" i="116"/>
  <c r="E4" i="116"/>
  <c r="F4" i="116" s="1"/>
  <c r="G4" i="116" s="1"/>
  <c r="H4" i="116" s="1"/>
  <c r="I4" i="116" s="1"/>
  <c r="E4" i="115"/>
  <c r="F4" i="115" s="1"/>
  <c r="G4" i="115" s="1"/>
  <c r="H4" i="115" s="1"/>
  <c r="I4" i="115" s="1"/>
  <c r="E4" i="114"/>
  <c r="F4" i="114" s="1"/>
  <c r="G4" i="114" s="1"/>
  <c r="H4" i="114" s="1"/>
  <c r="I4" i="114" s="1"/>
  <c r="J4" i="114" s="1"/>
  <c r="A17" i="98" l="1"/>
  <c r="A15" i="98"/>
  <c r="A13" i="98"/>
  <c r="A11" i="98"/>
  <c r="A9" i="98"/>
  <c r="A7" i="98"/>
  <c r="D19" i="99" l="1"/>
  <c r="E4" i="80" l="1"/>
  <c r="D10" i="120" l="1"/>
  <c r="D19" i="120" s="1"/>
</calcChain>
</file>

<file path=xl/sharedStrings.xml><?xml version="1.0" encoding="utf-8"?>
<sst xmlns="http://schemas.openxmlformats.org/spreadsheetml/2006/main" count="4464" uniqueCount="1186">
  <si>
    <t>2.</t>
  </si>
  <si>
    <t>4.</t>
  </si>
  <si>
    <t>5.</t>
  </si>
  <si>
    <t>단위</t>
  </si>
  <si>
    <t>공 사 종  류</t>
  </si>
  <si>
    <t>수량</t>
  </si>
  <si>
    <t>식</t>
  </si>
  <si>
    <t>총 공 사 비</t>
  </si>
  <si>
    <t>규     격</t>
  </si>
  <si>
    <t>수  량</t>
  </si>
  <si>
    <t>단  가</t>
  </si>
  <si>
    <t>금  액</t>
  </si>
  <si>
    <t>기  사</t>
  </si>
  <si>
    <t>가.</t>
  </si>
  <si>
    <t>:</t>
  </si>
  <si>
    <t>나.</t>
  </si>
  <si>
    <t>다.</t>
  </si>
  <si>
    <t>라.</t>
  </si>
  <si>
    <t>마.</t>
  </si>
  <si>
    <t>바.</t>
  </si>
  <si>
    <t>입찰자격</t>
  </si>
  <si>
    <t>1.</t>
  </si>
  <si>
    <t>8.</t>
  </si>
  <si>
    <t>9.</t>
  </si>
  <si>
    <t>목             차</t>
  </si>
  <si>
    <t>공사명</t>
  </si>
  <si>
    <t>위치</t>
  </si>
  <si>
    <t>목적</t>
  </si>
  <si>
    <t>공사개요</t>
  </si>
  <si>
    <t>설   계   설   명   서</t>
    <phoneticPr fontId="2" type="noConversion"/>
  </si>
  <si>
    <t>공   사   시   방   서</t>
    <phoneticPr fontId="2" type="noConversion"/>
  </si>
  <si>
    <t>예정공정표</t>
    <phoneticPr fontId="2" type="noConversion"/>
  </si>
  <si>
    <t>설계예산내역서</t>
    <phoneticPr fontId="2" type="noConversion"/>
  </si>
  <si>
    <t>공종별예산조서</t>
    <phoneticPr fontId="2" type="noConversion"/>
  </si>
  <si>
    <t>공사기간</t>
    <phoneticPr fontId="3" type="noConversion"/>
  </si>
  <si>
    <t>기 사</t>
    <phoneticPr fontId="3" type="noConversion"/>
  </si>
  <si>
    <t xml:space="preserve"> 도 급 공 사 비</t>
    <phoneticPr fontId="3" type="noConversion"/>
  </si>
  <si>
    <t>별봉</t>
  </si>
  <si>
    <t>3.</t>
    <phoneticPr fontId="3" type="noConversion"/>
  </si>
  <si>
    <t>6.</t>
    <phoneticPr fontId="3" type="noConversion"/>
  </si>
  <si>
    <t xml:space="preserve"> 사 원 급</t>
    <phoneticPr fontId="3" type="noConversion"/>
  </si>
  <si>
    <t>7.</t>
    <phoneticPr fontId="3" type="noConversion"/>
  </si>
  <si>
    <t xml:space="preserve"> 조 달 수 수 료</t>
    <phoneticPr fontId="3" type="noConversion"/>
  </si>
  <si>
    <t xml:space="preserve"> 인 지 세</t>
    <phoneticPr fontId="3" type="noConversion"/>
  </si>
  <si>
    <t>공 사 종 류</t>
    <phoneticPr fontId="3" type="noConversion"/>
  </si>
  <si>
    <t>-------------------------------------------------</t>
    <phoneticPr fontId="2" type="noConversion"/>
  </si>
  <si>
    <t>간접노무비</t>
  </si>
  <si>
    <t>기타경비</t>
  </si>
  <si>
    <t>산재보험료</t>
  </si>
  <si>
    <t>고용보험료</t>
  </si>
  <si>
    <t>일반관리비</t>
  </si>
  <si>
    <t>이윤</t>
  </si>
  <si>
    <t>자재번호</t>
  </si>
  <si>
    <t>자재내역</t>
  </si>
  <si>
    <t>수 량</t>
  </si>
  <si>
    <t>발생내역</t>
  </si>
  <si>
    <t>기 사</t>
  </si>
  <si>
    <t>사용가능</t>
  </si>
  <si>
    <t>사용불가</t>
  </si>
  <si>
    <t>(충용)</t>
  </si>
  <si>
    <t>(공단이관)</t>
  </si>
  <si>
    <t>(폐기)</t>
  </si>
  <si>
    <t>(반납)</t>
    <phoneticPr fontId="2" type="noConversion"/>
  </si>
  <si>
    <t>(감손)</t>
  </si>
  <si>
    <t>내선전공</t>
  </si>
  <si>
    <t>합계</t>
  </si>
  <si>
    <t>산업안전관리비</t>
  </si>
  <si>
    <t>공급가액</t>
  </si>
  <si>
    <t>부가가치세</t>
  </si>
  <si>
    <t>2. 공 사 시 방 서</t>
    <phoneticPr fontId="2" type="noConversion"/>
  </si>
  <si>
    <t>※ 시방서 별첨 참조</t>
    <phoneticPr fontId="2" type="noConversion"/>
  </si>
  <si>
    <t xml:space="preserve"> 지 급 자 재 비(당기 조달품)</t>
    <phoneticPr fontId="3" type="noConversion"/>
  </si>
  <si>
    <t xml:space="preserve"> 지 급 자 재 비(전년도 조달품)</t>
    <phoneticPr fontId="3" type="noConversion"/>
  </si>
  <si>
    <t xml:space="preserve"> 지 급 자 재 비(중 고 품)</t>
    <phoneticPr fontId="3" type="noConversion"/>
  </si>
  <si>
    <t xml:space="preserve"> 지 급 자 재 비(레미콘, 충용품)</t>
    <phoneticPr fontId="3" type="noConversion"/>
  </si>
  <si>
    <t>면</t>
  </si>
  <si>
    <t>한국철도공사 부산경남본부장</t>
    <phoneticPr fontId="2" type="noConversion"/>
  </si>
  <si>
    <t>설        계        서</t>
    <phoneticPr fontId="2" type="noConversion"/>
  </si>
  <si>
    <t>(회  계)</t>
  </si>
  <si>
    <t>사원급내역서</t>
    <phoneticPr fontId="2" type="noConversion"/>
  </si>
  <si>
    <t>-</t>
    <phoneticPr fontId="2" type="noConversion"/>
  </si>
  <si>
    <t>-</t>
    <phoneticPr fontId="3" type="noConversion"/>
  </si>
  <si>
    <t>금  액</t>
    <phoneticPr fontId="2" type="noConversion"/>
  </si>
  <si>
    <t>공사명</t>
    <phoneticPr fontId="2" type="noConversion"/>
  </si>
  <si>
    <t xml:space="preserve"> (도면, 산출서 참고)</t>
    <phoneticPr fontId="2" type="noConversion"/>
  </si>
  <si>
    <t>개</t>
  </si>
  <si>
    <t>식</t>
    <phoneticPr fontId="2" type="noConversion"/>
  </si>
  <si>
    <t>품                     명</t>
    <phoneticPr fontId="2" type="noConversion"/>
  </si>
  <si>
    <t>규                     격</t>
    <phoneticPr fontId="2" type="noConversion"/>
  </si>
  <si>
    <t>수     량</t>
    <phoneticPr fontId="2" type="noConversion"/>
  </si>
  <si>
    <t>단     가</t>
    <phoneticPr fontId="2" type="noConversion"/>
  </si>
  <si>
    <t>금      액</t>
    <phoneticPr fontId="2" type="noConversion"/>
  </si>
  <si>
    <t>비    고</t>
    <phoneticPr fontId="2" type="noConversion"/>
  </si>
  <si>
    <t>1</t>
    <phoneticPr fontId="2" type="noConversion"/>
  </si>
  <si>
    <t>경질비닐전선관</t>
  </si>
  <si>
    <t>개소</t>
  </si>
  <si>
    <t>설   계   서</t>
    <phoneticPr fontId="2" type="noConversion"/>
  </si>
  <si>
    <t>건강보험료</t>
  </si>
  <si>
    <t>연금보험료</t>
  </si>
  <si>
    <t>노인장기요양보험료</t>
  </si>
  <si>
    <t>퇴직공제부금비</t>
  </si>
  <si>
    <t>(직접노무비)x2.30%</t>
    <phoneticPr fontId="2" type="noConversion"/>
  </si>
  <si>
    <t>(노무비+경비+일반관리비)x15%</t>
    <phoneticPr fontId="2" type="noConversion"/>
  </si>
  <si>
    <t>m</t>
  </si>
  <si>
    <t>70㎟</t>
  </si>
  <si>
    <t>16㎟</t>
  </si>
  <si>
    <t>50㎟</t>
  </si>
  <si>
    <t>120㎟</t>
  </si>
  <si>
    <t>(노무비)x3.70%</t>
    <phoneticPr fontId="2" type="noConversion"/>
  </si>
  <si>
    <t>(직접노무비)x4.50%</t>
    <phoneticPr fontId="2" type="noConversion"/>
  </si>
  <si>
    <t>1. 옥외 전기설비공사</t>
    <phoneticPr fontId="2" type="noConversion"/>
  </si>
  <si>
    <t>3. 전력간선설비공사</t>
    <phoneticPr fontId="2" type="noConversion"/>
  </si>
  <si>
    <t>6. 전열 설비공사</t>
    <phoneticPr fontId="2" type="noConversion"/>
  </si>
  <si>
    <t>LV-REC</t>
  </si>
  <si>
    <t>합    계</t>
  </si>
  <si>
    <t>단   위</t>
    <phoneticPr fontId="2" type="noConversion"/>
  </si>
  <si>
    <t>UTP 케이블</t>
  </si>
  <si>
    <t>8각 54㎜</t>
  </si>
  <si>
    <t>200×200×100</t>
  </si>
  <si>
    <t>압착단자</t>
  </si>
  <si>
    <t>25㎟</t>
  </si>
  <si>
    <t>35㎟</t>
  </si>
  <si>
    <t>대기전력차단콘센트</t>
  </si>
  <si>
    <t>케이블트레이</t>
  </si>
  <si>
    <t>케이블트레이부속품</t>
  </si>
  <si>
    <t>LED 40W</t>
  </si>
  <si>
    <t>접지단자함</t>
  </si>
  <si>
    <t>㎥</t>
  </si>
  <si>
    <t>95㎟</t>
  </si>
  <si>
    <t>조</t>
  </si>
  <si>
    <t>일괄소등 스위치</t>
  </si>
  <si>
    <t>관로구방수</t>
  </si>
  <si>
    <t>합  계</t>
  </si>
  <si>
    <t>10㎟</t>
  </si>
  <si>
    <t>피뢰침</t>
  </si>
  <si>
    <t>BONDING JUMPER, 35㎟</t>
  </si>
  <si>
    <t>SHANK BOLT &amp; NUT, 아연도</t>
  </si>
  <si>
    <t>(노무비)x1.01%</t>
    <phoneticPr fontId="2" type="noConversion"/>
  </si>
  <si>
    <t>(재료비+직노+도급자관급)x1.2%+3250000</t>
    <phoneticPr fontId="2" type="noConversion"/>
  </si>
  <si>
    <t>운반비</t>
  </si>
  <si>
    <t>가설공사비</t>
  </si>
  <si>
    <t>(재료비+노무비+경비)x5.5%</t>
    <phoneticPr fontId="2" type="noConversion"/>
  </si>
  <si>
    <t>안전관리자</t>
    <phoneticPr fontId="2" type="noConversion"/>
  </si>
  <si>
    <t xml:space="preserve"> 사용전검사 수수료</t>
    <phoneticPr fontId="3" type="noConversion"/>
  </si>
  <si>
    <t xml:space="preserve">공 사 명: </t>
    <phoneticPr fontId="2" type="noConversion"/>
  </si>
  <si>
    <t>공사기간</t>
    <phoneticPr fontId="3" type="noConversion"/>
  </si>
  <si>
    <t>착공지정일로부터 7개월 이내</t>
    <phoneticPr fontId="2" type="noConversion"/>
  </si>
  <si>
    <t>공  사  기 간(착공일로 부터 210일)</t>
    <phoneticPr fontId="2" type="noConversion"/>
  </si>
  <si>
    <t>기 사</t>
    <phoneticPr fontId="3" type="noConversion"/>
  </si>
  <si>
    <t>현지 답사 및 재료준비</t>
    <phoneticPr fontId="3" type="noConversion"/>
  </si>
  <si>
    <t xml:space="preserve"> 지 급 자 재 비(전년도 조달품)</t>
    <phoneticPr fontId="3" type="noConversion"/>
  </si>
  <si>
    <t>-</t>
    <phoneticPr fontId="2" type="noConversion"/>
  </si>
  <si>
    <t>-</t>
    <phoneticPr fontId="2" type="noConversion"/>
  </si>
  <si>
    <t xml:space="preserve"> 지 급 자 재 비(레미콘, 충용품)</t>
    <phoneticPr fontId="3" type="noConversion"/>
  </si>
  <si>
    <t>-</t>
    <phoneticPr fontId="3" type="noConversion"/>
  </si>
  <si>
    <t xml:space="preserve"> 사 원 급</t>
    <phoneticPr fontId="3" type="noConversion"/>
  </si>
  <si>
    <t>7.</t>
    <phoneticPr fontId="3" type="noConversion"/>
  </si>
  <si>
    <t xml:space="preserve"> 사용전검사 수수료</t>
    <phoneticPr fontId="3" type="noConversion"/>
  </si>
  <si>
    <t xml:space="preserve"> 조 달 수 수 료</t>
    <phoneticPr fontId="3" type="noConversion"/>
  </si>
  <si>
    <t xml:space="preserve"> 인 지 세</t>
    <phoneticPr fontId="3" type="noConversion"/>
  </si>
  <si>
    <t>2. 열차감시원</t>
    <phoneticPr fontId="2" type="noConversion"/>
  </si>
  <si>
    <t>3. 경비산출</t>
    <phoneticPr fontId="2" type="noConversion"/>
  </si>
  <si>
    <t>3-1. 가설사무소 비용</t>
    <phoneticPr fontId="2" type="noConversion"/>
  </si>
  <si>
    <t>3-2. 안전관리자</t>
    <phoneticPr fontId="2" type="noConversion"/>
  </si>
  <si>
    <t>(반납)</t>
    <phoneticPr fontId="2" type="noConversion"/>
  </si>
  <si>
    <t>- 해당사항 없음 -</t>
    <phoneticPr fontId="2" type="noConversion"/>
  </si>
  <si>
    <t>1. 설  계  설  명  서(1차)</t>
    <phoneticPr fontId="3" type="noConversion"/>
  </si>
  <si>
    <t>(직접노무비)x12.1%</t>
    <phoneticPr fontId="2" type="noConversion"/>
  </si>
  <si>
    <t xml:space="preserve">공사코드 : </t>
    <phoneticPr fontId="2" type="noConversion"/>
  </si>
  <si>
    <t>경부선 밀양역 구내</t>
    <phoneticPr fontId="3" type="noConversion"/>
  </si>
  <si>
    <t>2. 수변전설비 공사</t>
    <phoneticPr fontId="2" type="noConversion"/>
  </si>
  <si>
    <t>2. 전력간선설비공사</t>
    <phoneticPr fontId="2" type="noConversion"/>
  </si>
  <si>
    <t>3. 동력설비공사</t>
    <phoneticPr fontId="2" type="noConversion"/>
  </si>
  <si>
    <t>4. CABLE TRAY 설비공사</t>
    <phoneticPr fontId="2" type="noConversion"/>
  </si>
  <si>
    <t>5. 전등 설비공사</t>
    <phoneticPr fontId="2" type="noConversion"/>
  </si>
  <si>
    <t>파상형폴리에틸렌전선관(야간)</t>
  </si>
  <si>
    <t>30㎜</t>
  </si>
  <si>
    <t>M</t>
  </si>
  <si>
    <t>40㎜</t>
  </si>
  <si>
    <t>80㎜</t>
  </si>
  <si>
    <t>125㎜</t>
  </si>
  <si>
    <t>저독성 난연 전력케이블(야간)</t>
  </si>
  <si>
    <t>0.6/1kv HFCO 2C×6㎟</t>
  </si>
  <si>
    <t>0.6/1kv HFCO 2C×10㎟</t>
  </si>
  <si>
    <t>0.6/1kv HFCO 1C×70㎟</t>
  </si>
  <si>
    <t>0.6/1kv HFCO 1C×150㎟</t>
  </si>
  <si>
    <t>접지용비닐절연전선(F-GV)(야간)</t>
  </si>
  <si>
    <t>6㎟</t>
  </si>
  <si>
    <t>핸드홀(야간)</t>
  </si>
  <si>
    <t>1,000*1,000*1,000</t>
  </si>
  <si>
    <t>ø50, 2개설치</t>
  </si>
  <si>
    <t>2개</t>
  </si>
  <si>
    <t>ø30, 2개설치</t>
  </si>
  <si>
    <t>ø80</t>
  </si>
  <si>
    <t>ø125, 2개설치</t>
  </si>
  <si>
    <t>풀박스</t>
  </si>
  <si>
    <t>100×100×50</t>
  </si>
  <si>
    <t>R형동선 나압착 35 ㎟</t>
  </si>
  <si>
    <t>R형동선 나압착 70 ㎟</t>
  </si>
  <si>
    <t>R형동선 나압착 150 ㎟</t>
  </si>
  <si>
    <t>러그단자</t>
  </si>
  <si>
    <t>동관단자 2 HOLE 16 ㎟</t>
  </si>
  <si>
    <t>동관단자 2 HOLE 35 ㎟</t>
  </si>
  <si>
    <t>LED 70W/1</t>
  </si>
  <si>
    <t>조명기구(TYPE-J)-지급자재</t>
  </si>
  <si>
    <t>가로등 건주 기계화 시공</t>
  </si>
  <si>
    <t>일반 5m-7m</t>
  </si>
  <si>
    <t>외등기초(매입)</t>
  </si>
  <si>
    <t>3m~6m미만(W/접지봉)</t>
  </si>
  <si>
    <t>3m미만(W/접지봉)</t>
  </si>
  <si>
    <t>기계터파기(야간)</t>
  </si>
  <si>
    <t>보통토사(0.6㎥)</t>
  </si>
  <si>
    <t>기계되메우기(야간)</t>
  </si>
  <si>
    <t>MCCB 설치(야간)</t>
  </si>
  <si>
    <t>4P 250/175AT</t>
  </si>
  <si>
    <t>대</t>
  </si>
  <si>
    <t>4P 250/200AT</t>
  </si>
  <si>
    <t>케이블 표지시트(야간)</t>
  </si>
  <si>
    <t>0.23*300</t>
  </si>
  <si>
    <t>제 13호</t>
  </si>
  <si>
    <t>제 14호</t>
  </si>
  <si>
    <t>제 15호</t>
  </si>
  <si>
    <t>제 16호</t>
  </si>
  <si>
    <t>제 65호</t>
  </si>
  <si>
    <t>제 66호</t>
  </si>
  <si>
    <t>제 60호</t>
  </si>
  <si>
    <t>제 63호</t>
  </si>
  <si>
    <t>제 45호</t>
  </si>
  <si>
    <t>제 47호</t>
  </si>
  <si>
    <t>제 49호</t>
  </si>
  <si>
    <t>제 52호</t>
  </si>
  <si>
    <t>제 207호</t>
  </si>
  <si>
    <t>제 195호</t>
  </si>
  <si>
    <t>제 194호</t>
  </si>
  <si>
    <t>제 196호</t>
  </si>
  <si>
    <t>제 197호</t>
  </si>
  <si>
    <t>제 26호</t>
  </si>
  <si>
    <t>제 110호</t>
  </si>
  <si>
    <t>제 112호</t>
  </si>
  <si>
    <t>제 114호</t>
  </si>
  <si>
    <t>제 103호</t>
  </si>
  <si>
    <t>제 105호</t>
  </si>
  <si>
    <t>제 154호</t>
  </si>
  <si>
    <t>제 173호</t>
  </si>
  <si>
    <t>제 191호</t>
  </si>
  <si>
    <t>제 190호</t>
  </si>
  <si>
    <t>제 189호</t>
  </si>
  <si>
    <t>종합적산661</t>
  </si>
  <si>
    <t>제 218호</t>
  </si>
  <si>
    <t>제 219호</t>
  </si>
  <si>
    <t>접지용비닐절연전선(F-GV)</t>
  </si>
  <si>
    <t>저독성 난연 전력케이블</t>
  </si>
  <si>
    <t>23KV 동심 중성선 케이블</t>
  </si>
  <si>
    <t>22.9kV,CN/CO,수밀형,1×60㎟</t>
  </si>
  <si>
    <t>케이블 단말접속자재</t>
  </si>
  <si>
    <t>자기수축,23kV 3Cx70 ㎟</t>
  </si>
  <si>
    <t>SUS, 15 CCT</t>
  </si>
  <si>
    <t>동관단자 2 HOLE 25 ㎟</t>
  </si>
  <si>
    <t>동관단자 2 HOLE 120 ㎟</t>
  </si>
  <si>
    <t>제 50호</t>
  </si>
  <si>
    <t>제 51호</t>
  </si>
  <si>
    <t>제 56호</t>
  </si>
  <si>
    <t>제 84호</t>
  </si>
  <si>
    <t>제 101호</t>
  </si>
  <si>
    <t>제 100호</t>
  </si>
  <si>
    <t>제 104호</t>
  </si>
  <si>
    <t>제 107호</t>
  </si>
  <si>
    <t>강제전선관(노출)</t>
  </si>
  <si>
    <t>아연도 36 mm</t>
  </si>
  <si>
    <t>아연도 42 mm</t>
  </si>
  <si>
    <t>아연도 54 mm</t>
  </si>
  <si>
    <t>아연도 70 mm</t>
  </si>
  <si>
    <t>아연도 82 mm</t>
  </si>
  <si>
    <t>강재전선관용 부품</t>
  </si>
  <si>
    <t>노말밴드, 아연도 36 mm</t>
  </si>
  <si>
    <t>노말밴드, 아연도 42 mm</t>
  </si>
  <si>
    <t>노말밴드, 아연도 54 mm</t>
  </si>
  <si>
    <t>노말밴드, 아연도 70 mm</t>
  </si>
  <si>
    <t>노말밴드, 아연도 82 mm</t>
  </si>
  <si>
    <t>0.6/1kv HFCO 4C×10㎟</t>
  </si>
  <si>
    <t>0.6/1kv HFCO 4C×16㎟</t>
  </si>
  <si>
    <t>0.6/1kv HFCO 4C×25㎟</t>
  </si>
  <si>
    <t>0.6/1kv HFCO 4C×35㎟</t>
  </si>
  <si>
    <t>0.6/1kv HFCO 1C×50㎟</t>
  </si>
  <si>
    <t>소방용내화전선(F-FR-8)</t>
  </si>
  <si>
    <t>1C×95㎟</t>
  </si>
  <si>
    <t>R형동선 나압착 16 ㎟</t>
  </si>
  <si>
    <t>R형동선 나압착 25 ㎟</t>
  </si>
  <si>
    <t>R형동선 나압착 50 ㎟</t>
  </si>
  <si>
    <t>R형동선 나압착 95 ㎟</t>
  </si>
  <si>
    <t>동관단자 2 HOLE 50 ㎟</t>
  </si>
  <si>
    <t>분전반</t>
  </si>
  <si>
    <t>PN-1</t>
  </si>
  <si>
    <t>LN-1</t>
  </si>
  <si>
    <t>LN-1-B</t>
  </si>
  <si>
    <t>LP-1A</t>
  </si>
  <si>
    <t>LP-2A</t>
  </si>
  <si>
    <t>LP-3A</t>
  </si>
  <si>
    <t>EV-3L</t>
  </si>
  <si>
    <t>ES-3</t>
  </si>
  <si>
    <t>MCPH-2</t>
  </si>
  <si>
    <t>LP-1B</t>
  </si>
  <si>
    <t>LP-1T</t>
  </si>
  <si>
    <t>LP-2B</t>
  </si>
  <si>
    <t>LP-3B</t>
  </si>
  <si>
    <t>LP-3GD</t>
  </si>
  <si>
    <t>LP-3TC</t>
  </si>
  <si>
    <t>MCPA-3R</t>
  </si>
  <si>
    <t>MCPH-3R</t>
  </si>
  <si>
    <t>LN-A</t>
  </si>
  <si>
    <t>LN-B</t>
  </si>
  <si>
    <t>파이프행가</t>
  </si>
  <si>
    <t>36 C</t>
  </si>
  <si>
    <t>42 C</t>
  </si>
  <si>
    <t>70 C</t>
  </si>
  <si>
    <t>82 C</t>
  </si>
  <si>
    <t>제 4호</t>
  </si>
  <si>
    <t>제 5호</t>
  </si>
  <si>
    <t>제 6호</t>
  </si>
  <si>
    <t>제 7호</t>
  </si>
  <si>
    <t>제 8호</t>
  </si>
  <si>
    <t>제 46호</t>
  </si>
  <si>
    <t>제 48호</t>
  </si>
  <si>
    <t>제 53호</t>
  </si>
  <si>
    <t>제 72호</t>
  </si>
  <si>
    <t>제 73호</t>
  </si>
  <si>
    <t>제 74호</t>
  </si>
  <si>
    <t>제 75호</t>
  </si>
  <si>
    <t>제 59호</t>
  </si>
  <si>
    <t>제 77호</t>
  </si>
  <si>
    <t>제 27호</t>
  </si>
  <si>
    <t>제 108호</t>
  </si>
  <si>
    <t>제 109호</t>
  </si>
  <si>
    <t>제 111호</t>
  </si>
  <si>
    <t>제 113호</t>
  </si>
  <si>
    <t>제 106호</t>
  </si>
  <si>
    <t>제 148호</t>
  </si>
  <si>
    <t>제 133호</t>
  </si>
  <si>
    <t>제 132호</t>
  </si>
  <si>
    <t>제 136호</t>
  </si>
  <si>
    <t>제 139호</t>
  </si>
  <si>
    <t>제 141호</t>
  </si>
  <si>
    <t>제 131호</t>
  </si>
  <si>
    <t>제 130호</t>
  </si>
  <si>
    <t>제 146호</t>
  </si>
  <si>
    <t>제 137호</t>
  </si>
  <si>
    <t>제 138호</t>
  </si>
  <si>
    <t>제 140호</t>
  </si>
  <si>
    <t>제 142호</t>
  </si>
  <si>
    <t>제 143호</t>
  </si>
  <si>
    <t>제 144호</t>
  </si>
  <si>
    <t>제 145호</t>
  </si>
  <si>
    <t>제 147호</t>
  </si>
  <si>
    <t>제 134호</t>
  </si>
  <si>
    <t>제 135호</t>
  </si>
  <si>
    <t>제 211호</t>
  </si>
  <si>
    <t>제 212호</t>
  </si>
  <si>
    <t>제 214호</t>
  </si>
  <si>
    <t>제 215호</t>
  </si>
  <si>
    <t>합성수지제 가요전선관</t>
  </si>
  <si>
    <t>CD-난연성 16㎜</t>
  </si>
  <si>
    <t>CD-난연성 22㎜</t>
  </si>
  <si>
    <t>450/750V 내열비닐절연전선</t>
  </si>
  <si>
    <t>HFIX 2.25mm(4㎟)</t>
  </si>
  <si>
    <t>Cat.5E 0.5mm 4P</t>
  </si>
  <si>
    <t>0.6/1kv HFCO 2C×4㎟</t>
  </si>
  <si>
    <t>54 C</t>
  </si>
  <si>
    <t>제 10호</t>
  </si>
  <si>
    <t>제 11호</t>
  </si>
  <si>
    <t>제 41호</t>
  </si>
  <si>
    <t>제 85호</t>
  </si>
  <si>
    <t>제 64호</t>
  </si>
  <si>
    <t>제 213호</t>
  </si>
  <si>
    <t>CD-난연성 28㎜</t>
  </si>
  <si>
    <t>HI 36mm, 매입, 공동주택,교실</t>
  </si>
  <si>
    <t>아연도 22 mm</t>
  </si>
  <si>
    <t>아연도 28 mm</t>
  </si>
  <si>
    <t>1종금속제가요전선관</t>
  </si>
  <si>
    <t>16 mm 일반-방수</t>
  </si>
  <si>
    <t>28 mm 일반-방수</t>
  </si>
  <si>
    <t>36 mm 일반-방수</t>
  </si>
  <si>
    <t>노말밴드, 아연도 28 mm</t>
  </si>
  <si>
    <t>경질비닐전선관용 부품</t>
  </si>
  <si>
    <t>노말밴드, 36 mm</t>
  </si>
  <si>
    <t>ACF 케이블 450V/750V</t>
  </si>
  <si>
    <t>4sq(단선)/3c</t>
  </si>
  <si>
    <t>0.6/1kv HFCO 3C×4㎟</t>
  </si>
  <si>
    <t>0.6/1kv HFCO 4C×4㎟</t>
  </si>
  <si>
    <t>0.6/1kv HFCO 4C×6㎟</t>
  </si>
  <si>
    <t>스위치박스</t>
  </si>
  <si>
    <t>1 개용 54 mm</t>
  </si>
  <si>
    <t>아우트렛박스</t>
  </si>
  <si>
    <t>아우트렛박스 커버</t>
  </si>
  <si>
    <t>커버, 4각,1개용S/W (오목)</t>
  </si>
  <si>
    <t>커버, 8각, 평형</t>
  </si>
  <si>
    <t>콘센트</t>
  </si>
  <si>
    <t>둥근형(매입),250V2구접지</t>
  </si>
  <si>
    <t>연결박스</t>
  </si>
  <si>
    <t>4각 44㎜</t>
  </si>
  <si>
    <t>28 C</t>
  </si>
  <si>
    <t>제 12호</t>
  </si>
  <si>
    <t>제 9호</t>
  </si>
  <si>
    <t>제 3호</t>
  </si>
  <si>
    <t>제 2호</t>
  </si>
  <si>
    <t>제 17호</t>
  </si>
  <si>
    <t>제 18호</t>
  </si>
  <si>
    <t>제 19호</t>
  </si>
  <si>
    <t>제 44호</t>
  </si>
  <si>
    <t>제 79호</t>
  </si>
  <si>
    <t>제 68호</t>
  </si>
  <si>
    <t>제 70호</t>
  </si>
  <si>
    <t>제 71호</t>
  </si>
  <si>
    <t>제 22호</t>
  </si>
  <si>
    <t>제 20호</t>
  </si>
  <si>
    <t>제 93호</t>
  </si>
  <si>
    <t>제 24호</t>
  </si>
  <si>
    <t>제 210호</t>
  </si>
  <si>
    <t>STRAIGHT,St W300x100Hx2.3t</t>
  </si>
  <si>
    <t>STRAIGHT,St W500x100Hx2.3t</t>
  </si>
  <si>
    <t>STRAIGHT,St W600x100Hx2.3t</t>
  </si>
  <si>
    <t>H. ELBOW, St,W300x100Hx2.3t</t>
  </si>
  <si>
    <t>V. ELBOW, St,W300x100Hx2.3t</t>
  </si>
  <si>
    <t>H. TEE, St, W300x100Hx2.3t</t>
  </si>
  <si>
    <t>H. ELBOW, St,W500x100Hx2.3t</t>
  </si>
  <si>
    <t>H. ELBOW, St,W600x100Hx2.3t</t>
  </si>
  <si>
    <t>V. ELBOW, St,W600x100Hx2.3t</t>
  </si>
  <si>
    <t>H. TEE, St, W600x100Hx2.3t</t>
  </si>
  <si>
    <t>JOINT CONNEC.아연도100Hx2.3</t>
  </si>
  <si>
    <t>케이블트레이지지대</t>
  </si>
  <si>
    <t>W300, 인서트 시공</t>
  </si>
  <si>
    <t>W500, 인서트 시공</t>
  </si>
  <si>
    <t>W600, 인서트 시공</t>
  </si>
  <si>
    <t>제 30호</t>
  </si>
  <si>
    <t>제 31호</t>
  </si>
  <si>
    <t>제 32호</t>
  </si>
  <si>
    <t>제 33호</t>
  </si>
  <si>
    <t>제 36호</t>
  </si>
  <si>
    <t>제 38호</t>
  </si>
  <si>
    <t>제 34호</t>
  </si>
  <si>
    <t>제 35호</t>
  </si>
  <si>
    <t>제 37호</t>
  </si>
  <si>
    <t>제 39호</t>
  </si>
  <si>
    <t>제 198호</t>
  </si>
  <si>
    <t>제 199호</t>
  </si>
  <si>
    <t>아연도 16 mm</t>
  </si>
  <si>
    <t>2.5sq(단선)/3c</t>
  </si>
  <si>
    <t>2.5sq(단선)/4c</t>
  </si>
  <si>
    <t>2.5sq(단선)/5c</t>
  </si>
  <si>
    <t>2.5sq(단선)/6c</t>
  </si>
  <si>
    <t>ACF 케이블 450V/750V재사용설치</t>
  </si>
  <si>
    <t>ACF 케이블 450V/750V재사용철거</t>
  </si>
  <si>
    <t>HFIX 1.78mm(2.5㎟)</t>
  </si>
  <si>
    <t>폴리에틸렌 난연케이블</t>
  </si>
  <si>
    <t>0.6/1kv F-CV 2C×2.5㎟</t>
  </si>
  <si>
    <t>2.5㎟</t>
  </si>
  <si>
    <t>중형4각 54㎜</t>
  </si>
  <si>
    <t>2 개용 54 mm</t>
  </si>
  <si>
    <t>커버, 4각, 평형</t>
  </si>
  <si>
    <t>커버, 4각,2개용S/W (오목)</t>
  </si>
  <si>
    <t>와이드 스위치</t>
  </si>
  <si>
    <t>90 WIDE,  250V 1로1구</t>
  </si>
  <si>
    <t>90 WIDE,  250V 1로2구</t>
  </si>
  <si>
    <t>90 WIDE,  250V 1로3구</t>
  </si>
  <si>
    <t>90 WIDE,  250V 3로1구</t>
  </si>
  <si>
    <t>250V 16A</t>
  </si>
  <si>
    <t>조명기구(TYPE-A)-지급자재</t>
  </si>
  <si>
    <t>평판등 매입형 LED 50W</t>
  </si>
  <si>
    <t>조명기구(TYPE-A1)-지급자재</t>
  </si>
  <si>
    <t>조명기구(TYPE-B)-지급자재</t>
  </si>
  <si>
    <t>레이스웨이 LED 38W</t>
  </si>
  <si>
    <t>조명기구(TYPE-C)-지급자재</t>
  </si>
  <si>
    <t>평판등 매입형 LED 60W</t>
  </si>
  <si>
    <t>조명기구(TYPE-C1)-지급자재</t>
  </si>
  <si>
    <t>평판등 매입형 LED 60W(비상등)</t>
  </si>
  <si>
    <t>조명기구(TYPE-D)-지급자재</t>
  </si>
  <si>
    <t>벽부등 LED 10W</t>
  </si>
  <si>
    <t>조명기구(TYPE-E)-지급자재</t>
  </si>
  <si>
    <t>다운라이트 LED 20W</t>
  </si>
  <si>
    <t>조명기구(TYPE-E1)-지급자재</t>
  </si>
  <si>
    <t>다운라이트 LED 20W(비상등)</t>
  </si>
  <si>
    <t>조명기구(TYPE-E2)-지급자재</t>
  </si>
  <si>
    <t>조명기구(TYPE-F)-지급자재</t>
  </si>
  <si>
    <t>다운라이트 LED 10W</t>
  </si>
  <si>
    <t>조명기구(TYPE-F1)-지급자재</t>
  </si>
  <si>
    <t>다운라이트 LED 10W(비상등)</t>
  </si>
  <si>
    <t>조명기구(TYPE-G)-지급자재</t>
  </si>
  <si>
    <t>센서등 LED 10W</t>
  </si>
  <si>
    <t>조명기구(TYPE-I1)-지급자재</t>
  </si>
  <si>
    <t>계단 센서등 LED 20W</t>
  </si>
  <si>
    <t>투광등 LED 100W</t>
  </si>
  <si>
    <t>조명기구(TYPE-LT1)</t>
  </si>
  <si>
    <t>다운라이트 LED 12.5W</t>
  </si>
  <si>
    <t>조명기구(TYPE-LT2)</t>
  </si>
  <si>
    <t>다운라이트 LED 17W</t>
  </si>
  <si>
    <t>조명기구(TYPE-LT3)</t>
  </si>
  <si>
    <t>다운라이트 LED 7W</t>
  </si>
  <si>
    <t>조명기구(TYPE-LT4)</t>
  </si>
  <si>
    <t>다운라이트 LED 24W</t>
  </si>
  <si>
    <t>조명기구(TYPE-LT5)</t>
  </si>
  <si>
    <t>LED LINER LIGHT 18W</t>
  </si>
  <si>
    <t>조명기구(TYPE-LT6)</t>
  </si>
  <si>
    <t>LED T5 20W</t>
  </si>
  <si>
    <t>조명기구(TYPE-LT7)</t>
  </si>
  <si>
    <t>벽부형 LED 9W</t>
  </si>
  <si>
    <t>방습등 재사용설치</t>
  </si>
  <si>
    <t>방습등 재사용 철거</t>
  </si>
  <si>
    <t>레이스웨이</t>
  </si>
  <si>
    <t>BODY, 70 x 40</t>
  </si>
  <si>
    <t>COVER, 70 x 40</t>
  </si>
  <si>
    <t>JOINER, 70 x 40</t>
  </si>
  <si>
    <t>JUNC.BOX - 3 방, 70x 40</t>
  </si>
  <si>
    <t>기구용금구, 70 x 40</t>
  </si>
  <si>
    <t>ELBOW, 70 x 40</t>
  </si>
  <si>
    <t>END CAP, 70 x 40</t>
  </si>
  <si>
    <t>A형 HANGER, 70 x 40</t>
  </si>
  <si>
    <t>RACE WAY 행거</t>
  </si>
  <si>
    <t>70x40</t>
  </si>
  <si>
    <t>22 C</t>
  </si>
  <si>
    <t>제 1호</t>
  </si>
  <si>
    <t>제 78호</t>
  </si>
  <si>
    <t>제 80호</t>
  </si>
  <si>
    <t>제 81호</t>
  </si>
  <si>
    <t>제 82호</t>
  </si>
  <si>
    <t>제 120호</t>
  </si>
  <si>
    <t>제 121호</t>
  </si>
  <si>
    <t>제 40호</t>
  </si>
  <si>
    <t>제 58호</t>
  </si>
  <si>
    <t>제 42호</t>
  </si>
  <si>
    <t>제 21호</t>
  </si>
  <si>
    <t>제 23호</t>
  </si>
  <si>
    <t>제 86호</t>
  </si>
  <si>
    <t>제 87호</t>
  </si>
  <si>
    <t>제 88호</t>
  </si>
  <si>
    <t>제 89호</t>
  </si>
  <si>
    <t>제 90호</t>
  </si>
  <si>
    <t>제 159호</t>
  </si>
  <si>
    <t>제 160호</t>
  </si>
  <si>
    <t>제 161호</t>
  </si>
  <si>
    <t>제 162호</t>
  </si>
  <si>
    <t>제 163호</t>
  </si>
  <si>
    <t>제 164호</t>
  </si>
  <si>
    <t>제 165호</t>
  </si>
  <si>
    <t>제 166호</t>
  </si>
  <si>
    <t>제 167호</t>
  </si>
  <si>
    <t>제 168호</t>
  </si>
  <si>
    <t>제 169호</t>
  </si>
  <si>
    <t>제 170호</t>
  </si>
  <si>
    <t>제 171호</t>
  </si>
  <si>
    <t>제 172호</t>
  </si>
  <si>
    <t>제 174호</t>
  </si>
  <si>
    <t>제 175호</t>
  </si>
  <si>
    <t>제 176호</t>
  </si>
  <si>
    <t>제 177호</t>
  </si>
  <si>
    <t>제 178호</t>
  </si>
  <si>
    <t>제 179호</t>
  </si>
  <si>
    <t>제 180호</t>
  </si>
  <si>
    <t>제 181호</t>
  </si>
  <si>
    <t>제 126호</t>
  </si>
  <si>
    <t>제 127호</t>
  </si>
  <si>
    <t>제 28호</t>
  </si>
  <si>
    <t>제 29호</t>
  </si>
  <si>
    <t>제 209호</t>
  </si>
  <si>
    <t>난연제어케이블</t>
  </si>
  <si>
    <t>F-CVV-S, 2Cx1.5㎟</t>
  </si>
  <si>
    <t>파상형 폴리에틸렌 전선관</t>
  </si>
  <si>
    <t>0.6/1kv HFCO 3C×6㎟</t>
  </si>
  <si>
    <t>기계터파기</t>
  </si>
  <si>
    <t>기계되메우기</t>
  </si>
  <si>
    <t>제 69호</t>
  </si>
  <si>
    <t>4㎟</t>
  </si>
  <si>
    <t>둥근형(매입),250V1구접지</t>
  </si>
  <si>
    <t>방우콘센트</t>
  </si>
  <si>
    <t>매입-접지형, 250V 1구</t>
  </si>
  <si>
    <t>매입-접지형, 250V 2구</t>
  </si>
  <si>
    <t>시스템 박스</t>
  </si>
  <si>
    <t>ACCESS FLOOR 용</t>
  </si>
  <si>
    <t>매입형, 250V 3구</t>
  </si>
  <si>
    <t>시스템박스용</t>
  </si>
  <si>
    <t>16 C</t>
  </si>
  <si>
    <t>계량기 함</t>
  </si>
  <si>
    <t>SUS문짝, 1개용</t>
  </si>
  <si>
    <t>전력량계</t>
  </si>
  <si>
    <t>1P2W 220V, 30(10)A</t>
  </si>
  <si>
    <t>제 43호</t>
  </si>
  <si>
    <t>제 92호</t>
  </si>
  <si>
    <t>제 94호</t>
  </si>
  <si>
    <t>제 95호</t>
  </si>
  <si>
    <t>제 25호</t>
  </si>
  <si>
    <t>제 91호</t>
  </si>
  <si>
    <t>제 208호</t>
  </si>
  <si>
    <t>제 216호</t>
  </si>
  <si>
    <t>제 217호</t>
  </si>
  <si>
    <t>탄소접지봉</t>
  </si>
  <si>
    <t>G-2(260x1000)</t>
  </si>
  <si>
    <t>탄소탈(탄소접지 저감제)</t>
  </si>
  <si>
    <t>CG-TAR(20kg)</t>
  </si>
  <si>
    <t>전기용 연동연선(BC)</t>
  </si>
  <si>
    <t>접지슬리브 C형</t>
  </si>
  <si>
    <t>접지크램프</t>
  </si>
  <si>
    <t>구조체 접속</t>
  </si>
  <si>
    <t>SUS, 1 CCT</t>
  </si>
  <si>
    <t>SUS, 3 CCT</t>
  </si>
  <si>
    <t>SUS, 9 CCT</t>
  </si>
  <si>
    <t>수막처리동봉</t>
  </si>
  <si>
    <t>16㎟ x 300L x 100</t>
  </si>
  <si>
    <t>50㎟ x 300L x 100</t>
  </si>
  <si>
    <t>70㎟ x 300L x 100</t>
  </si>
  <si>
    <t>95㎟ x 300L x 100</t>
  </si>
  <si>
    <t>접지봉-통신</t>
  </si>
  <si>
    <t>14Φ×1000 mm</t>
  </si>
  <si>
    <t>낙뢰카운터</t>
  </si>
  <si>
    <t>주공용(STS)</t>
  </si>
  <si>
    <t>피뢰침 폴대</t>
  </si>
  <si>
    <t>STS-6</t>
  </si>
  <si>
    <t>피뢰 도선</t>
  </si>
  <si>
    <t>STS-8㎜</t>
  </si>
  <si>
    <t>피뢰 도선 지지금구</t>
  </si>
  <si>
    <t>STS 애자</t>
  </si>
  <si>
    <t>피뢰 도선 조인트</t>
  </si>
  <si>
    <t>'-" 자형</t>
  </si>
  <si>
    <t>'+" 자형</t>
  </si>
  <si>
    <t>EXPANSION JOINT</t>
  </si>
  <si>
    <t>38 x 400L, STS</t>
  </si>
  <si>
    <t>이질 분기 콘넥터</t>
  </si>
  <si>
    <t>STS + CU</t>
  </si>
  <si>
    <t>철근접지 크램프</t>
  </si>
  <si>
    <t>C형 슬리브</t>
  </si>
  <si>
    <t>본딩 블록</t>
  </si>
  <si>
    <t>그라룬드 패드</t>
  </si>
  <si>
    <t>동관단자 1 HOLE 50 ㎟</t>
  </si>
  <si>
    <t>제 97호</t>
  </si>
  <si>
    <t>제 183호</t>
  </si>
  <si>
    <t>제 57호</t>
  </si>
  <si>
    <t>제 157호</t>
  </si>
  <si>
    <t>제 158호</t>
  </si>
  <si>
    <t>제 98호</t>
  </si>
  <si>
    <t>제 99호</t>
  </si>
  <si>
    <t>제 156호</t>
  </si>
  <si>
    <t>제 54호</t>
  </si>
  <si>
    <t>제 55호</t>
  </si>
  <si>
    <t>제 150호</t>
  </si>
  <si>
    <t>제 151호</t>
  </si>
  <si>
    <t>제 152호</t>
  </si>
  <si>
    <t>제 153호</t>
  </si>
  <si>
    <t>제 96호</t>
  </si>
  <si>
    <t>제 188호</t>
  </si>
  <si>
    <t>제 184호</t>
  </si>
  <si>
    <t>제 187호</t>
  </si>
  <si>
    <t>제 186호</t>
  </si>
  <si>
    <t>제 185호</t>
  </si>
  <si>
    <t>제 123호</t>
  </si>
  <si>
    <t>제 155호</t>
  </si>
  <si>
    <t>제 182호</t>
  </si>
  <si>
    <t>제 122호</t>
  </si>
  <si>
    <t>제 129호</t>
  </si>
  <si>
    <t>제 102호</t>
  </si>
  <si>
    <t>매입 등기구 철거</t>
  </si>
  <si>
    <t>TYPE-A</t>
  </si>
  <si>
    <t>4각 직부등  철거</t>
  </si>
  <si>
    <t>TYPE-B</t>
  </si>
  <si>
    <t>다운라이트 철거</t>
  </si>
  <si>
    <t>TYPE-C</t>
  </si>
  <si>
    <t>방진방습등 철거</t>
  </si>
  <si>
    <t>TYPE-E</t>
  </si>
  <si>
    <t>분전반 철거</t>
  </si>
  <si>
    <t>0.6/1kV 저독성난연케이블 철거</t>
  </si>
  <si>
    <t>HFCO 1C - 70㎟</t>
  </si>
  <si>
    <t>HFCO 1C - 150㎟</t>
  </si>
  <si>
    <t>HFCO 1C - 38㎟</t>
  </si>
  <si>
    <t>HFCO 1C - 8㎟</t>
  </si>
  <si>
    <t>제 125호</t>
  </si>
  <si>
    <t>제 115호</t>
  </si>
  <si>
    <t>제 124호</t>
  </si>
  <si>
    <t>제 128호</t>
  </si>
  <si>
    <t>제 149호</t>
  </si>
  <si>
    <t>제 117호</t>
  </si>
  <si>
    <t>제 116호</t>
  </si>
  <si>
    <t>제 118호</t>
  </si>
  <si>
    <t>제 119호</t>
  </si>
  <si>
    <t>변압기반</t>
  </si>
  <si>
    <t>TR-1,2</t>
  </si>
  <si>
    <t>TR-3,4</t>
  </si>
  <si>
    <t>저압반</t>
  </si>
  <si>
    <t>LV-1</t>
  </si>
  <si>
    <t>LV-2</t>
  </si>
  <si>
    <t>LV-3</t>
  </si>
  <si>
    <t>LV-4</t>
  </si>
  <si>
    <t>정류기반</t>
  </si>
  <si>
    <t>LV-BAT</t>
  </si>
  <si>
    <t>지급자재</t>
    <phoneticPr fontId="2" type="noConversion"/>
  </si>
  <si>
    <t>제 83호</t>
  </si>
  <si>
    <t>대기전력차단 멀티탭-지급자재</t>
  </si>
  <si>
    <t>HFIX 16㎟</t>
  </si>
  <si>
    <t>재  료  비</t>
  </si>
  <si>
    <t>비고</t>
  </si>
  <si>
    <t>단가</t>
  </si>
  <si>
    <t>금액</t>
  </si>
  <si>
    <t>품          명</t>
  </si>
  <si>
    <t>규       격</t>
  </si>
  <si>
    <t>1. 관급자 설치 지급자재</t>
    <phoneticPr fontId="2" type="noConversion"/>
  </si>
  <si>
    <t>1-1. 수배전반</t>
    <phoneticPr fontId="2" type="noConversion"/>
  </si>
  <si>
    <t>현장설치도</t>
    <phoneticPr fontId="2" type="noConversion"/>
  </si>
  <si>
    <t>LV-1</t>
    <phoneticPr fontId="2" type="noConversion"/>
  </si>
  <si>
    <t>[ 소           계 ]</t>
    <phoneticPr fontId="2" type="noConversion"/>
  </si>
  <si>
    <t>4. 전등설비 공사</t>
    <phoneticPr fontId="2" type="noConversion"/>
  </si>
  <si>
    <t>3. CABLE TRAY설비 공사</t>
    <phoneticPr fontId="2" type="noConversion"/>
  </si>
  <si>
    <t>2. 동력설비 공사</t>
    <phoneticPr fontId="2" type="noConversion"/>
  </si>
  <si>
    <t>1. 전력간선설비 공사</t>
    <phoneticPr fontId="2" type="noConversion"/>
  </si>
  <si>
    <t>5. 조명제어설비 공사</t>
    <phoneticPr fontId="2" type="noConversion"/>
  </si>
  <si>
    <t>6. 전열설비 공사</t>
    <phoneticPr fontId="2" type="noConversion"/>
  </si>
  <si>
    <t>7. 피뢰 및 접지설비 공사</t>
    <phoneticPr fontId="2" type="noConversion"/>
  </si>
  <si>
    <t>8. 철거설비 공사</t>
    <phoneticPr fontId="2" type="noConversion"/>
  </si>
  <si>
    <t>1. 설  계  설  명  서(4차)</t>
    <phoneticPr fontId="3" type="noConversion"/>
  </si>
  <si>
    <t>1. 설  계  설  명  서(3차)</t>
    <phoneticPr fontId="3" type="noConversion"/>
  </si>
  <si>
    <t>2. 태양광설비 공사</t>
    <phoneticPr fontId="2" type="noConversion"/>
  </si>
  <si>
    <t>3. 동력설비 공사</t>
    <phoneticPr fontId="2" type="noConversion"/>
  </si>
  <si>
    <t>6. 조명제어설비 공사</t>
    <phoneticPr fontId="2" type="noConversion"/>
  </si>
  <si>
    <t>7. 안내사인전원설비 공사</t>
    <phoneticPr fontId="2" type="noConversion"/>
  </si>
  <si>
    <t>8. 전열설비 공사</t>
    <phoneticPr fontId="2" type="noConversion"/>
  </si>
  <si>
    <t>1. 설  계  설  명  서(2차)</t>
    <phoneticPr fontId="3" type="noConversion"/>
  </si>
  <si>
    <t>4. 동력설비공사</t>
    <phoneticPr fontId="2" type="noConversion"/>
  </si>
  <si>
    <t>5. CABLE TRAY 설비공사</t>
    <phoneticPr fontId="2" type="noConversion"/>
  </si>
  <si>
    <t>6. 전등 설비공사</t>
    <phoneticPr fontId="2" type="noConversion"/>
  </si>
  <si>
    <t>7. 조명제어 설비공사</t>
    <phoneticPr fontId="2" type="noConversion"/>
  </si>
  <si>
    <t>8. 안내사인설비 공사</t>
    <phoneticPr fontId="2" type="noConversion"/>
  </si>
  <si>
    <t>9. 전열 설비공사</t>
    <phoneticPr fontId="2" type="noConversion"/>
  </si>
  <si>
    <t>3-1. 예 정 공 정 표(1차)</t>
    <phoneticPr fontId="2" type="noConversion"/>
  </si>
  <si>
    <t>3-2. 예 정 공 정 표(2차)</t>
    <phoneticPr fontId="2" type="noConversion"/>
  </si>
  <si>
    <t>3-3. 예 정 공 정 표(3차)</t>
    <phoneticPr fontId="2" type="noConversion"/>
  </si>
  <si>
    <t>3-4. 예 정 공 정 표(4차)</t>
    <phoneticPr fontId="2" type="noConversion"/>
  </si>
  <si>
    <t>4-1. 설 계 예 산 내 역 서(1차)</t>
    <phoneticPr fontId="2" type="noConversion"/>
  </si>
  <si>
    <t>4-2. 설 계 예 산 내 역 서(2차)</t>
    <phoneticPr fontId="2" type="noConversion"/>
  </si>
  <si>
    <t>4-3. 설 계 예 산 내 역 서(3차)</t>
    <phoneticPr fontId="2" type="noConversion"/>
  </si>
  <si>
    <t>4-4. 설 계 예 산 내 역 서(4차)</t>
    <phoneticPr fontId="2" type="noConversion"/>
  </si>
  <si>
    <t>8-4. 철 거 발 생 품 예 정 조 서(4차)</t>
    <phoneticPr fontId="2" type="noConversion"/>
  </si>
  <si>
    <t>8-3. 철 거 발 생 품 예 정 조 서(3차)</t>
    <phoneticPr fontId="2" type="noConversion"/>
  </si>
  <si>
    <t>8-2. 철 거 발 생 품 예 정 조 서(2차)</t>
    <phoneticPr fontId="2" type="noConversion"/>
  </si>
  <si>
    <t>8-1. 철 거 발 생 품 예 정 조 서(1차)</t>
    <phoneticPr fontId="2" type="noConversion"/>
  </si>
  <si>
    <t>조명기구(TYPE-A1)</t>
  </si>
  <si>
    <t>조명기구(TYPE-B1)</t>
  </si>
  <si>
    <t>조명기구(TYPE-E1)</t>
  </si>
  <si>
    <t>조명기구(TYPE-E2)</t>
  </si>
  <si>
    <t>1-1.전기공사(1차)::1-1-2.전력간선설비공사</t>
    <phoneticPr fontId="2" type="noConversion"/>
  </si>
  <si>
    <t>1-1.전기공사(1차)::1-1-3.동력설비공사</t>
    <phoneticPr fontId="2" type="noConversion"/>
  </si>
  <si>
    <t>1-1.전기공사(1차)::1-1-4.CABLE TRAY 공사</t>
    <phoneticPr fontId="2" type="noConversion"/>
  </si>
  <si>
    <t>1-1.전기공사(1차)::1-1-5.전등설비 공사</t>
    <phoneticPr fontId="2" type="noConversion"/>
  </si>
  <si>
    <t>1-1.전기공사(1차)::1-1-6.전열설비 공사</t>
    <phoneticPr fontId="2" type="noConversion"/>
  </si>
  <si>
    <t>1-2.전기공사(2차)::1-2-1.옥외 전기공사</t>
    <phoneticPr fontId="2" type="noConversion"/>
  </si>
  <si>
    <t>제 206호</t>
  </si>
  <si>
    <t>제 193호</t>
  </si>
  <si>
    <t>옥외조명기구(TYPE-0)-지급자재</t>
  </si>
  <si>
    <t>1-2.전기공사(2차)::1-2-2.수변전설비 공사</t>
    <phoneticPr fontId="2" type="noConversion"/>
  </si>
  <si>
    <t>지급자재</t>
  </si>
  <si>
    <t>1-2.전기공사(2차)::1-2-3.전력간선설비공사</t>
    <phoneticPr fontId="2" type="noConversion"/>
  </si>
  <si>
    <t>1-2.전기공사(2차)::1-2-4.동력설비공사</t>
    <phoneticPr fontId="2" type="noConversion"/>
  </si>
  <si>
    <t>1-2.전기공사(2차)::1-2-5.CABLE TRAY 공사</t>
    <phoneticPr fontId="2" type="noConversion"/>
  </si>
  <si>
    <t>1-2.전기공사(2차)::1-2-6.전등설비 공사</t>
    <phoneticPr fontId="2" type="noConversion"/>
  </si>
  <si>
    <t>조명기구(TYPE-I1)</t>
  </si>
  <si>
    <t>1-2.전기공사(2차)::1-2-7.조명제어설비 공사</t>
    <phoneticPr fontId="2" type="noConversion"/>
  </si>
  <si>
    <t>1-2.전기공사(2차)::1-2-8.안내사인 전원설비 공사</t>
    <phoneticPr fontId="2" type="noConversion"/>
  </si>
  <si>
    <t>1-2.전기공사(2차)::1-2-9.전열설비 공사</t>
    <phoneticPr fontId="2" type="noConversion"/>
  </si>
  <si>
    <t>1-3.전기공사(3차)::1-3-1.전력간선설비공사</t>
    <phoneticPr fontId="2" type="noConversion"/>
  </si>
  <si>
    <t>1-3.전기공사(3차)::1-3-2.태양광설비 공사</t>
    <phoneticPr fontId="2" type="noConversion"/>
  </si>
  <si>
    <t>1-3.전기공사(3차)::1-3-3.동력설비공사</t>
    <phoneticPr fontId="2" type="noConversion"/>
  </si>
  <si>
    <t>1-3.전기공사(3차)::1-3-4.CABLE TRAY 공사</t>
    <phoneticPr fontId="2" type="noConversion"/>
  </si>
  <si>
    <t>1-3.전기공사(3차)::1-3-5.전등설비 공사</t>
    <phoneticPr fontId="2" type="noConversion"/>
  </si>
  <si>
    <t>1-3.전기공사(3차)::1-3-6.조명제어설비 공사</t>
    <phoneticPr fontId="2" type="noConversion"/>
  </si>
  <si>
    <t>1-3.전기공사(3차)::1-3-7.안내사인 전원설비 공사</t>
    <phoneticPr fontId="2" type="noConversion"/>
  </si>
  <si>
    <t>1-3.전기공사(3차)::1-3-8.전열설비 공사</t>
    <phoneticPr fontId="2" type="noConversion"/>
  </si>
  <si>
    <t>1-4.전기공사(4차)::1-4-1.전력간선설비공사</t>
    <phoneticPr fontId="2" type="noConversion"/>
  </si>
  <si>
    <t>1-4.전기공사(4차)::1-4-2.동력설비공사</t>
    <phoneticPr fontId="2" type="noConversion"/>
  </si>
  <si>
    <t>1-4.전기공사(4차)::1-4-3.CABLE TRAY 공사.</t>
    <phoneticPr fontId="2" type="noConversion"/>
  </si>
  <si>
    <t>1-4.전기공사(4차)::1-4-4.전등설비 공사</t>
    <phoneticPr fontId="2" type="noConversion"/>
  </si>
  <si>
    <t>1-4.전기공사(4차)::1-4-5.조명제어설비 공사</t>
    <phoneticPr fontId="2" type="noConversion"/>
  </si>
  <si>
    <t>1-4.전기공사(4차)::1-4-6.전열설비 공사</t>
    <phoneticPr fontId="2" type="noConversion"/>
  </si>
  <si>
    <t>1-4.전기공사(4차)::1-4-7.피뢰 및 접지설비 공사</t>
    <phoneticPr fontId="2" type="noConversion"/>
  </si>
  <si>
    <t>1-4.전기공사(4차)::1-4-8.철거 공사</t>
    <phoneticPr fontId="2" type="noConversion"/>
  </si>
  <si>
    <t>1-1. 공종별 예산조서(1차)</t>
    <phoneticPr fontId="3" type="noConversion"/>
  </si>
  <si>
    <t>1-2. 공종별 예산조서(2차)</t>
    <phoneticPr fontId="3" type="noConversion"/>
  </si>
  <si>
    <t>제 219호</t>
    <phoneticPr fontId="2" type="noConversion"/>
  </si>
  <si>
    <t>2. 경비산출</t>
    <phoneticPr fontId="2" type="noConversion"/>
  </si>
  <si>
    <t>2-1. 가설사무소 비용</t>
    <phoneticPr fontId="2" type="noConversion"/>
  </si>
  <si>
    <t>2-2. 안전관리자</t>
    <phoneticPr fontId="2" type="noConversion"/>
  </si>
  <si>
    <t>1-3. 공종별 예산조서(3차)</t>
    <phoneticPr fontId="3" type="noConversion"/>
  </si>
  <si>
    <t>1-4. 공종별 예산조서(4차)</t>
    <phoneticPr fontId="3" type="noConversion"/>
  </si>
  <si>
    <t>LP-3TC, 운전계장실</t>
  </si>
  <si>
    <t>1-1.전기공사(1차)::1-1-1.옥외 전기공사</t>
    <phoneticPr fontId="2" type="noConversion"/>
  </si>
  <si>
    <t>제 61호</t>
  </si>
  <si>
    <t>(직접노무비)x3.545%</t>
    <phoneticPr fontId="2" type="noConversion"/>
  </si>
  <si>
    <t>(건강보험료)x12.81%</t>
    <phoneticPr fontId="2" type="noConversion"/>
  </si>
  <si>
    <t>공  사  기 간(착공일로 부터 180일)</t>
    <phoneticPr fontId="2" type="noConversion"/>
  </si>
  <si>
    <t>공  사  기 간(착공일로 부터 160일)</t>
    <phoneticPr fontId="2" type="noConversion"/>
  </si>
  <si>
    <t>노후 된 밀양역사 본체 신축에 따른 건축 부대공사로 내부 전기공사를 시행하기 위함</t>
    <phoneticPr fontId="3" type="noConversion"/>
  </si>
  <si>
    <t>착공지정일로부터 5개월 이내</t>
    <phoneticPr fontId="2" type="noConversion"/>
  </si>
  <si>
    <t>전기공사업체</t>
    <phoneticPr fontId="2" type="noConversion"/>
  </si>
  <si>
    <t>착공지정일로부터 6개월 이내</t>
    <phoneticPr fontId="2" type="noConversion"/>
  </si>
  <si>
    <t>전기공사업체</t>
    <phoneticPr fontId="2" type="noConversion"/>
  </si>
  <si>
    <t>전기공사업체</t>
    <phoneticPr fontId="2" type="noConversion"/>
  </si>
  <si>
    <t>착공지정일로부터 6개월 이내</t>
    <phoneticPr fontId="2" type="noConversion"/>
  </si>
  <si>
    <t>(재료비+노무비)x1.63%</t>
    <phoneticPr fontId="2" type="noConversion"/>
  </si>
  <si>
    <t>(재료비+노무비)x1.63%</t>
    <phoneticPr fontId="2" type="noConversion"/>
  </si>
  <si>
    <t>경부선 밀양역 신축에 따른 전기공사(1차)</t>
    <phoneticPr fontId="2" type="noConversion"/>
  </si>
  <si>
    <t>경부선 밀양역 신축에 따른 전기공사(2차)</t>
    <phoneticPr fontId="2" type="noConversion"/>
  </si>
  <si>
    <t>경부선 밀양역 신축에 따른 전기공사(3차)</t>
    <phoneticPr fontId="2" type="noConversion"/>
  </si>
  <si>
    <t>경부선 밀양역 신축에 따른 전기공사(4차)</t>
    <phoneticPr fontId="2" type="noConversion"/>
  </si>
  <si>
    <t>4. 설 계 예 산 내 역 서</t>
    <phoneticPr fontId="2" type="noConversion"/>
  </si>
  <si>
    <t>kg</t>
    <phoneticPr fontId="2" type="noConversion"/>
  </si>
  <si>
    <t>TR-1</t>
    <phoneticPr fontId="2" type="noConversion"/>
  </si>
  <si>
    <t>TR-2</t>
    <phoneticPr fontId="2" type="noConversion"/>
  </si>
  <si>
    <t xml:space="preserve"> 지 급 자 재 비</t>
    <phoneticPr fontId="3" type="noConversion"/>
  </si>
  <si>
    <t xml:space="preserve"> 사 원 급</t>
    <phoneticPr fontId="2" type="noConversion"/>
  </si>
  <si>
    <t xml:space="preserve"> 사용전검사 수수료</t>
    <phoneticPr fontId="2" type="noConversion"/>
  </si>
  <si>
    <t xml:space="preserve"> 조 달 수 수 료</t>
    <phoneticPr fontId="2" type="noConversion"/>
  </si>
  <si>
    <t xml:space="preserve"> 인 지 세</t>
    <phoneticPr fontId="2" type="noConversion"/>
  </si>
  <si>
    <t>1. 설  계  설  명  서</t>
    <phoneticPr fontId="3" type="noConversion"/>
  </si>
  <si>
    <t>작업설, 부산물 등(▲)</t>
  </si>
  <si>
    <t>5. 공종별 예산조서</t>
    <phoneticPr fontId="3" type="noConversion"/>
  </si>
  <si>
    <t>7. 지 급 자 재 조 서</t>
    <phoneticPr fontId="2" type="noConversion"/>
  </si>
  <si>
    <t>2. 전열설비공사</t>
    <phoneticPr fontId="2" type="noConversion"/>
  </si>
  <si>
    <t>1. 전력간선공사</t>
    <phoneticPr fontId="2" type="noConversion"/>
  </si>
  <si>
    <t>3. 전등설비공사</t>
    <phoneticPr fontId="2" type="noConversion"/>
  </si>
  <si>
    <t>4. 냉난방(전원)설비공사</t>
    <phoneticPr fontId="2" type="noConversion"/>
  </si>
  <si>
    <t>1. 전력간선공사</t>
    <phoneticPr fontId="2" type="noConversion"/>
  </si>
  <si>
    <t>2. 전열설비공사</t>
    <phoneticPr fontId="2" type="noConversion"/>
  </si>
  <si>
    <t>2-1. 콘센트 철거</t>
  </si>
  <si>
    <t>3. 전등설비공사</t>
    <phoneticPr fontId="2" type="noConversion"/>
  </si>
  <si>
    <t>건강보험료</t>
    <phoneticPr fontId="2" type="noConversion"/>
  </si>
  <si>
    <t>연금보험료</t>
    <phoneticPr fontId="2" type="noConversion"/>
  </si>
  <si>
    <t>노인장기요양보험료</t>
    <phoneticPr fontId="2" type="noConversion"/>
  </si>
  <si>
    <t>철거발생품예정조서</t>
  </si>
  <si>
    <t>일위대가표</t>
  </si>
  <si>
    <t>7. 철 거 발 생 품 예 정 조 서</t>
    <phoneticPr fontId="2" type="noConversion"/>
  </si>
  <si>
    <t>8. 일 위 대 가 표</t>
    <phoneticPr fontId="2" type="noConversion"/>
  </si>
  <si>
    <t xml:space="preserve"> [ 고동 ]</t>
    <phoneticPr fontId="2" type="noConversion"/>
  </si>
  <si>
    <t>가. 재료비</t>
    <phoneticPr fontId="2" type="noConversion"/>
  </si>
  <si>
    <t>나. 노무비</t>
    <phoneticPr fontId="2" type="noConversion"/>
  </si>
  <si>
    <t>인</t>
    <phoneticPr fontId="2" type="noConversion"/>
  </si>
  <si>
    <t>다. 공구손료</t>
    <phoneticPr fontId="2" type="noConversion"/>
  </si>
  <si>
    <t>100*100*100</t>
  </si>
  <si>
    <t>전선관 부속품</t>
  </si>
  <si>
    <t>전선관의 10%</t>
  </si>
  <si>
    <t>450/750V 내열비닐절연전선(3열동시)</t>
  </si>
  <si>
    <t>콘센트 철거</t>
  </si>
  <si>
    <t>매입-접지형, 15A 250V 1구</t>
  </si>
  <si>
    <t>매입-접지형, 15A 250V 2구</t>
  </si>
  <si>
    <t>20*10</t>
  </si>
  <si>
    <t>4각 중형 54㎜</t>
  </si>
  <si>
    <t>1구, 54㎜</t>
  </si>
  <si>
    <t>LED 등기구 철거</t>
  </si>
  <si>
    <t>매입등, 1200*300</t>
  </si>
  <si>
    <t>스위치 철거</t>
  </si>
  <si>
    <t>단로, 1구</t>
  </si>
  <si>
    <t>단로, 2구</t>
  </si>
  <si>
    <t>단로, 3구</t>
  </si>
  <si>
    <t>LED 40W, 1200*300</t>
  </si>
  <si>
    <t>LED 15W</t>
  </si>
  <si>
    <t>250V, 단로 1구</t>
  </si>
  <si>
    <t>250V, 단로 2구</t>
  </si>
  <si>
    <t>250V, 단로 3구</t>
  </si>
  <si>
    <t>노출형, 250V</t>
  </si>
  <si>
    <t>전기공사업체(지역제한 : 부산광역시)</t>
    <phoneticPr fontId="2" type="noConversion"/>
  </si>
  <si>
    <t>설  계 도 면</t>
    <phoneticPr fontId="2" type="noConversion"/>
  </si>
  <si>
    <t>2024</t>
    <phoneticPr fontId="2" type="noConversion"/>
  </si>
  <si>
    <t>1-15. 케이블 신설</t>
  </si>
  <si>
    <t>2-2. 콘센트 철거</t>
  </si>
  <si>
    <t>2-10. 전선 신설</t>
  </si>
  <si>
    <t>2-13. 콘센트 신설</t>
  </si>
  <si>
    <t>3-2. LED 등기구 철거</t>
  </si>
  <si>
    <t>3-8. 스위치 철거</t>
  </si>
  <si>
    <t>인</t>
  </si>
  <si>
    <t>안전관리자</t>
    <phoneticPr fontId="2" type="noConversion"/>
  </si>
  <si>
    <t>식</t>
    <phoneticPr fontId="2" type="noConversion"/>
  </si>
  <si>
    <t>고소작업차 임대료</t>
    <phoneticPr fontId="2" type="noConversion"/>
  </si>
  <si>
    <t>식</t>
    <phoneticPr fontId="2" type="noConversion"/>
  </si>
  <si>
    <t>담당자</t>
    <phoneticPr fontId="2" type="noConversion"/>
  </si>
  <si>
    <t>전철팀장</t>
    <phoneticPr fontId="2" type="noConversion"/>
  </si>
  <si>
    <t>전기처장</t>
    <phoneticPr fontId="2" type="noConversion"/>
  </si>
  <si>
    <t>본부장</t>
    <phoneticPr fontId="2" type="noConversion"/>
  </si>
  <si>
    <t>부산역 4층(부고열소) 내부개수에 따른 전기공사</t>
    <phoneticPr fontId="2" type="noConversion"/>
  </si>
  <si>
    <t>부산역 4층(부고열소) 내부개수에 따른 시설 재배치로 건축 부대 전기공사를 시행하기 위함</t>
    <phoneticPr fontId="3" type="noConversion"/>
  </si>
  <si>
    <t>5. 임시전력간선공사</t>
    <phoneticPr fontId="2" type="noConversion"/>
  </si>
  <si>
    <t>6. 임시전열설비공사</t>
    <phoneticPr fontId="2" type="noConversion"/>
  </si>
  <si>
    <t>1-1. 케이블 철거</t>
    <phoneticPr fontId="2" type="noConversion"/>
  </si>
  <si>
    <t>0.6/1kV, F-CV 60SQ/1C 이하</t>
  </si>
  <si>
    <t>0.6/1kV, F-CV 60SQ/1C 이하</t>
    <phoneticPr fontId="2" type="noConversion"/>
  </si>
  <si>
    <t>1-2. 케이블 철거</t>
  </si>
  <si>
    <t>1-3. 케이블 철거</t>
  </si>
  <si>
    <t>1-4. 케이블 철거</t>
  </si>
  <si>
    <t>1-5. 접지선 철거</t>
  </si>
  <si>
    <t>1-6. 접지선 철거</t>
  </si>
  <si>
    <t>1-7. 분전반 철거</t>
  </si>
  <si>
    <t>1-8. 화인박스 철거</t>
  </si>
  <si>
    <t>1-9. 변압기(80KVA) 철거</t>
  </si>
  <si>
    <t>1-10. 분전반 중판 철거</t>
  </si>
  <si>
    <t>1-11. 기존 배선기구 및 케이블정리</t>
  </si>
  <si>
    <t>1-12. 1종금속제가요전선관 신설</t>
  </si>
  <si>
    <t>1-13. 강제전선관 신설</t>
  </si>
  <si>
    <t>1-14. 강제전선관 신설</t>
  </si>
  <si>
    <t>1-16. 케이블 신설</t>
  </si>
  <si>
    <t>1-17. 케이블 신설</t>
  </si>
  <si>
    <t>1-18. 케이블 신설</t>
  </si>
  <si>
    <t>1-19. 케이블 신설</t>
  </si>
  <si>
    <t>1-20. 접지선 신설</t>
  </si>
  <si>
    <t>1-21. 접지선 신설</t>
  </si>
  <si>
    <t>1-22. 분전반 신설</t>
  </si>
  <si>
    <t>1-23. 분전반 신설</t>
  </si>
  <si>
    <t>1-24. 풀박스 설치</t>
  </si>
  <si>
    <t>1-25. 풀박스 설치</t>
  </si>
  <si>
    <t>1-26. 코어 구멍뚫기</t>
  </si>
  <si>
    <t>1-27. 전선관 천장지지</t>
  </si>
  <si>
    <t>1-28. 전선관 천장지지</t>
  </si>
  <si>
    <t>1-29. 전선관 천장지지</t>
  </si>
  <si>
    <t>0.6/1kV, F-CV 38SQ/1C 이하</t>
  </si>
  <si>
    <t>0.6/1kV, F-GV 14SQ</t>
  </si>
  <si>
    <t>0.6/1kV, F-GV 5.5SQ</t>
  </si>
  <si>
    <t>열차승무사업소 PNL</t>
  </si>
  <si>
    <t>화인박스 철거</t>
  </si>
  <si>
    <t>변압기(80KVA) 철거</t>
  </si>
  <si>
    <t>L-4-C1 PNL 중판철거</t>
  </si>
  <si>
    <t>기존 배선기구 및 케이블정리</t>
  </si>
  <si>
    <t>방수, 36C</t>
  </si>
  <si>
    <t>아연도, 54C</t>
  </si>
  <si>
    <t>아연도, 42C</t>
  </si>
  <si>
    <t>0.6/1kV, F-CV 35SQ/1C</t>
  </si>
  <si>
    <t>0.6/1kV, F-CV 4SQ/4C</t>
  </si>
  <si>
    <t>0.6/1kV, F-CV 4SQ/2C</t>
  </si>
  <si>
    <t>0.6/1kV, F-GV 16SQ</t>
  </si>
  <si>
    <t>0.6/1kV, F-GV 4SQ</t>
  </si>
  <si>
    <t>L-4 PNL</t>
  </si>
  <si>
    <t>L-4-C1  PNL</t>
  </si>
  <si>
    <t>200*200*100</t>
  </si>
  <si>
    <t>75Φ</t>
  </si>
  <si>
    <t>ST 54C</t>
  </si>
  <si>
    <t>ST 42C-2L</t>
  </si>
  <si>
    <t>ST 42C</t>
  </si>
  <si>
    <t>2-3. 콘센트 철거</t>
  </si>
  <si>
    <t>방우형 콘센트 접지형, 15A 250V 2구</t>
  </si>
  <si>
    <t>2-4. 시스템박스 철거</t>
  </si>
  <si>
    <t>콘크리트용</t>
  </si>
  <si>
    <t>2-5. 화인박스 철거</t>
  </si>
  <si>
    <t>화인박스</t>
  </si>
  <si>
    <t>2-6. 1종금속제가요전선관 신설</t>
  </si>
  <si>
    <t>일반, 16C</t>
  </si>
  <si>
    <t>2-7. 합성수지제가요전선관 신설</t>
  </si>
  <si>
    <t>CD-난연성, 16C</t>
  </si>
  <si>
    <t>2-8. 합성수지몰드 신설</t>
  </si>
  <si>
    <t>2-9. 전선 신설</t>
  </si>
  <si>
    <t>HFIX, 2.5SQ</t>
  </si>
  <si>
    <t>HFIX, 4SQ</t>
  </si>
  <si>
    <t>2-11. 멀티와이어덕트(커버포함) 신설</t>
  </si>
  <si>
    <t>70*43(BODY)</t>
  </si>
  <si>
    <t>2-12. 멀티와이어덕트 부속품 신설</t>
  </si>
  <si>
    <t>유니트커버,붙임쇠,엔드캡</t>
  </si>
  <si>
    <t>2-14. 방우형 콘센트 신설</t>
  </si>
  <si>
    <t>2-15. 아우트렛박스(커버포함) 신설</t>
  </si>
  <si>
    <t>2-16. 스위치박스 신설</t>
  </si>
  <si>
    <t>3-1. LED 등기구 철거</t>
  </si>
  <si>
    <t>사각매입등, 600*600</t>
  </si>
  <si>
    <t>3-3. 형광등 철거</t>
  </si>
  <si>
    <t>매입등, 1200*300 (2등용)</t>
  </si>
  <si>
    <t>3-4. 형광등 철거</t>
  </si>
  <si>
    <t>매입등, 600*600 (3등용)</t>
  </si>
  <si>
    <t>3-5. 형광등 철거</t>
  </si>
  <si>
    <t>직부등, 600*600 (4등용)</t>
  </si>
  <si>
    <t>3-6. 백열등 철거</t>
  </si>
  <si>
    <t>원형직부등</t>
  </si>
  <si>
    <t>3-7. 백열등 철거</t>
  </si>
  <si>
    <t>다운라이트</t>
  </si>
  <si>
    <t>3-9. 스위치 철거</t>
  </si>
  <si>
    <t>3-10. 스위치 철거</t>
  </si>
  <si>
    <t>3-11. 스위치 철거</t>
  </si>
  <si>
    <t>단로, 4구</t>
  </si>
  <si>
    <t>3-12. 스위치 철거</t>
  </si>
  <si>
    <t>단로, 6구</t>
  </si>
  <si>
    <t>3-13. 합성수지제가요전선관 신설</t>
  </si>
  <si>
    <t>3-14. 1종금속제가요전선관 신설</t>
  </si>
  <si>
    <t>3-15. 1종금속제가요전선관 신설</t>
  </si>
  <si>
    <t>일반, 22C</t>
  </si>
  <si>
    <t>3-16. 전선 신설</t>
  </si>
  <si>
    <t>3-17. 등기구 신설</t>
  </si>
  <si>
    <t>3-18. 등기구 신설</t>
  </si>
  <si>
    <t>3-19. 등기구 신설</t>
  </si>
  <si>
    <t>3-20. 아우트렛박스(커버포함) 신설</t>
  </si>
  <si>
    <t>3-21. 스위치 신설</t>
  </si>
  <si>
    <t>3-22. 스위치 신설</t>
  </si>
  <si>
    <t>3-23. 스위치 신설</t>
  </si>
  <si>
    <t>3-24. 콘센트(휀용) 신설</t>
  </si>
  <si>
    <t>3-25. 스위치박스 신설</t>
  </si>
  <si>
    <t>4-1. 1종금속제가요전선관 신설</t>
  </si>
  <si>
    <t>4-2. 1종금속제가요전선관 신설</t>
  </si>
  <si>
    <t>4-3. 1종금속제가요전선관 신설</t>
  </si>
  <si>
    <t>방수, 54C</t>
  </si>
  <si>
    <t>4-4 강제전선관 신설</t>
  </si>
  <si>
    <t>4-5. 아우트렛박스(커버포함) 신설</t>
  </si>
  <si>
    <t>4-6. 스위치박스 신설</t>
  </si>
  <si>
    <t>4-7. 풀박스 신설</t>
  </si>
  <si>
    <t>4-8. 전선 신설</t>
  </si>
  <si>
    <t>4-9. 케이블 신설</t>
  </si>
  <si>
    <t>0.6/1kV, F-CV 6SQ/4C</t>
  </si>
  <si>
    <t>4-10. 케이블 신설</t>
  </si>
  <si>
    <t>0.6/1kV, F-CV 25SQ/4C</t>
  </si>
  <si>
    <t>4-11. 케이블 신설</t>
  </si>
  <si>
    <t>4-12. 접지선 신설</t>
  </si>
  <si>
    <t>0.6/1kV, F-GV 6SQ</t>
  </si>
  <si>
    <t>4-13. 접지선 신설</t>
  </si>
  <si>
    <t>4-14. 배선용차단기 신설</t>
  </si>
  <si>
    <t>4P 100AF 100AT</t>
  </si>
  <si>
    <t>4-15. 분전반 신설</t>
  </si>
  <si>
    <t>P-AC PNL</t>
  </si>
  <si>
    <t>4-16. 코어 구멍뚫기</t>
  </si>
  <si>
    <t>4-17. 전선관 천장지지</t>
  </si>
  <si>
    <t>4-18. P-AC 분전반 기초</t>
  </si>
  <si>
    <t>화강석 경계석(W:150H:150L:1000)</t>
  </si>
  <si>
    <t>5-1. 케이블 철거</t>
  </si>
  <si>
    <t>0.6/1kV, F-CV 10SQ/2C 이하</t>
  </si>
  <si>
    <t>5-2. 접지선 철거</t>
  </si>
  <si>
    <t>0.6/1kV, F-GV 10SQ</t>
  </si>
  <si>
    <t>5-3. 세대분전반 철거</t>
  </si>
  <si>
    <t>세대분전반 8회로용</t>
  </si>
  <si>
    <t>5-4 케이블 신설</t>
  </si>
  <si>
    <t>0.6/1kV, F-CV 10SQ/2C</t>
  </si>
  <si>
    <t>5-5. 접지선 신설</t>
  </si>
  <si>
    <t>5-6. 세대분전반 신설</t>
  </si>
  <si>
    <t>5-7. 코어 구멍뚫기</t>
  </si>
  <si>
    <t>50Φ</t>
  </si>
  <si>
    <t>6-1. 콘센트 철거</t>
  </si>
  <si>
    <t>6-2. 1종금속제가요전선관 철거</t>
  </si>
  <si>
    <t>6-3. PVC 노출 스위치박스1개용 철거</t>
  </si>
  <si>
    <t>PVC 노출 스위치박스1개용</t>
  </si>
  <si>
    <t>6-4 조인트박스 철거</t>
  </si>
  <si>
    <t>아우트렛 박스중형 4각54㎜ (커버포함)</t>
  </si>
  <si>
    <t>6-5 화인박스 철거</t>
  </si>
  <si>
    <t>6-6. 1종금속제가요전선관 신설</t>
  </si>
  <si>
    <t>6-7. 전선 신설</t>
  </si>
  <si>
    <t>6-8. 콘센트 신설</t>
  </si>
  <si>
    <t>6-9. 아우트렛박스(커버포함) 신설</t>
  </si>
  <si>
    <t>6-10. 스위치박스 신설</t>
  </si>
  <si>
    <t>PVC 노출 스위치박스</t>
  </si>
  <si>
    <t>7. 임시전등설비공사</t>
    <phoneticPr fontId="2" type="noConversion"/>
  </si>
  <si>
    <t>7-1. LED 등기구 재설치</t>
  </si>
  <si>
    <t>7-2. 형광등 재설치</t>
  </si>
  <si>
    <t>7-3. 형광등 재설치</t>
  </si>
  <si>
    <t>7-4. 1종금속제가요전선관 철거</t>
  </si>
  <si>
    <t>7-5. 1종금속제가요전선관 철거</t>
  </si>
  <si>
    <t>7-6. LED 등기구 철거</t>
  </si>
  <si>
    <t>벽부등</t>
  </si>
  <si>
    <t>7-7. PVC 노출 스위치박스1개용 철거</t>
  </si>
  <si>
    <t>7-8. PVC 노출 스위치박스2개용 철거</t>
  </si>
  <si>
    <t>PVC 노출 스위치박스1개용(커버포함)</t>
  </si>
  <si>
    <t>7-9. 아우트렛박스(커버포함) 철거</t>
  </si>
  <si>
    <t>7-10. 스위치 철거</t>
  </si>
  <si>
    <t>7-11. 스위치 철거</t>
  </si>
  <si>
    <t>7-12. 스위치 철거</t>
  </si>
  <si>
    <t>7-13. 1종금속제가요전선관 신설</t>
  </si>
  <si>
    <t>7-14. 1종금속제가요전선관 신설</t>
  </si>
  <si>
    <t>7-15. 전선 신설</t>
  </si>
  <si>
    <t>7-16. 등기구 신설</t>
  </si>
  <si>
    <t>LED 15W, 벽부등</t>
  </si>
  <si>
    <t>7-17. 아우트렛박스(커버포함) 신설</t>
  </si>
  <si>
    <t>7-18. PVC 노출 스위치박스 신설</t>
  </si>
  <si>
    <t>PVC 노출 스위치박스 1개용</t>
  </si>
  <si>
    <t>7-19. PVC 노출 스위치박스 신설</t>
  </si>
  <si>
    <t>PVC 노출 스위치박스 2개용</t>
  </si>
  <si>
    <t>7-20. 스위치 신설</t>
  </si>
  <si>
    <t>7-21. 스위치 신설</t>
  </si>
  <si>
    <t>7-22. 스위치 신설</t>
  </si>
  <si>
    <t>전력케이블 철거 0.6/1kV, F-CV 60SQ/1C</t>
    <phoneticPr fontId="2" type="noConversion"/>
  </si>
  <si>
    <t xml:space="preserve">전력케이블 철거 0.6/1kV, F-CV 38SQ/1C </t>
    <phoneticPr fontId="2" type="noConversion"/>
  </si>
  <si>
    <t xml:space="preserve">전력케이블 철거 0.6/1kV, F-CV 10SQ/2C </t>
    <phoneticPr fontId="2" type="noConversion"/>
  </si>
  <si>
    <t>접지선 철거 0.6/1kV, F-GV 14SQ</t>
    <phoneticPr fontId="2" type="noConversion"/>
  </si>
  <si>
    <t>접지선 철거 0.6/1kV, F-GV 5.5SQ</t>
    <phoneticPr fontId="2" type="noConversion"/>
  </si>
  <si>
    <t>접지선 철거 0.6/1kV, F-GV 10SQ</t>
    <phoneticPr fontId="2" type="noConversion"/>
  </si>
  <si>
    <t>전력케이블 철거(4열동시)</t>
    <phoneticPr fontId="2" type="noConversion"/>
  </si>
  <si>
    <t>전력케이블 철거(3열동시)</t>
    <phoneticPr fontId="2" type="noConversion"/>
  </si>
  <si>
    <t>전력케이블 철거(2열동시)</t>
    <phoneticPr fontId="2" type="noConversion"/>
  </si>
  <si>
    <t>접지선 철거</t>
    <phoneticPr fontId="2" type="noConversion"/>
  </si>
  <si>
    <t>분전반 철거</t>
    <phoneticPr fontId="2" type="noConversion"/>
  </si>
  <si>
    <t>화인박스 철거</t>
    <phoneticPr fontId="2" type="noConversion"/>
  </si>
  <si>
    <t>변압기(80KVA) 철거</t>
    <phoneticPr fontId="2" type="noConversion"/>
  </si>
  <si>
    <t>배전전공</t>
    <phoneticPr fontId="2" type="noConversion"/>
  </si>
  <si>
    <t>보통인부</t>
    <phoneticPr fontId="2" type="noConversion"/>
  </si>
  <si>
    <t>면</t>
    <phoneticPr fontId="2" type="noConversion"/>
  </si>
  <si>
    <t>분전반 중판 철거</t>
    <phoneticPr fontId="2" type="noConversion"/>
  </si>
  <si>
    <t>기존 배선기구 및 케이블정리</t>
    <phoneticPr fontId="2" type="noConversion"/>
  </si>
  <si>
    <t>1종금속제가요전선관</t>
    <phoneticPr fontId="2" type="noConversion"/>
  </si>
  <si>
    <t>강제전선관</t>
    <phoneticPr fontId="2" type="noConversion"/>
  </si>
  <si>
    <t>전력케이블(4열동시)</t>
    <phoneticPr fontId="2" type="noConversion"/>
  </si>
  <si>
    <t>전력케이블(2열동시)</t>
    <phoneticPr fontId="2" type="noConversion"/>
  </si>
  <si>
    <t>전력케이블</t>
    <phoneticPr fontId="2" type="noConversion"/>
  </si>
  <si>
    <t>접지선</t>
    <phoneticPr fontId="2" type="noConversion"/>
  </si>
  <si>
    <t>분전반 신설</t>
    <phoneticPr fontId="2" type="noConversion"/>
  </si>
  <si>
    <t>풀박스</t>
    <phoneticPr fontId="2" type="noConversion"/>
  </si>
  <si>
    <t>코어 구멍뚫기</t>
    <phoneticPr fontId="2" type="noConversion"/>
  </si>
  <si>
    <t>특별인부</t>
    <phoneticPr fontId="2" type="noConversion"/>
  </si>
  <si>
    <t>전선관 천장지지</t>
    <phoneticPr fontId="2" type="noConversion"/>
  </si>
  <si>
    <t>전산볼트</t>
    <phoneticPr fontId="2" type="noConversion"/>
  </si>
  <si>
    <t>스트롱앵커</t>
    <phoneticPr fontId="2" type="noConversion"/>
  </si>
  <si>
    <t>6각볼트</t>
    <phoneticPr fontId="2" type="noConversion"/>
  </si>
  <si>
    <t>강재전선관용부품</t>
    <phoneticPr fontId="2" type="noConversion"/>
  </si>
  <si>
    <t>3/8" [steel]</t>
  </si>
  <si>
    <t>3/8" [steel]</t>
    <phoneticPr fontId="2" type="noConversion"/>
  </si>
  <si>
    <t>M10(3/8")</t>
    <phoneticPr fontId="2" type="noConversion"/>
  </si>
  <si>
    <t>M10×20</t>
    <phoneticPr fontId="2" type="noConversion"/>
  </si>
  <si>
    <t>파이프행거, 54C</t>
    <phoneticPr fontId="2" type="noConversion"/>
  </si>
  <si>
    <t>개</t>
    <phoneticPr fontId="2" type="noConversion"/>
  </si>
  <si>
    <t>케이블트레이부속품</t>
    <phoneticPr fontId="2" type="noConversion"/>
  </si>
  <si>
    <t>U CHANNEL, 41x41x2.6t</t>
    <phoneticPr fontId="2" type="noConversion"/>
  </si>
  <si>
    <t>M</t>
    <phoneticPr fontId="2" type="noConversion"/>
  </si>
  <si>
    <t>중판신설</t>
    <phoneticPr fontId="2" type="noConversion"/>
  </si>
  <si>
    <t>6각너트</t>
    <phoneticPr fontId="2" type="noConversion"/>
  </si>
  <si>
    <t>스프링와셔</t>
    <phoneticPr fontId="2" type="noConversion"/>
  </si>
  <si>
    <t>강재전선관용 부품</t>
    <phoneticPr fontId="2" type="noConversion"/>
  </si>
  <si>
    <t>M10</t>
    <phoneticPr fontId="2" type="noConversion"/>
  </si>
  <si>
    <t>호칭경 10mm</t>
    <phoneticPr fontId="2" type="noConversion"/>
  </si>
  <si>
    <t>파이프크램프, 42 C</t>
    <phoneticPr fontId="2" type="noConversion"/>
  </si>
  <si>
    <t>시스템박스 철거</t>
    <phoneticPr fontId="2" type="noConversion"/>
  </si>
  <si>
    <t>합성수지제가요전선관</t>
    <phoneticPr fontId="2" type="noConversion"/>
  </si>
  <si>
    <t>합성수지몰드</t>
    <phoneticPr fontId="2" type="noConversion"/>
  </si>
  <si>
    <t>450/750V 내열비닐절연전선(3열동시)</t>
    <phoneticPr fontId="2" type="noConversion"/>
  </si>
  <si>
    <t>멀티와이어덕트</t>
    <phoneticPr fontId="2" type="noConversion"/>
  </si>
  <si>
    <t>70*43(COVER)</t>
    <phoneticPr fontId="2" type="noConversion"/>
  </si>
  <si>
    <t>멀티와이어덕트 부속품</t>
    <phoneticPr fontId="2" type="noConversion"/>
  </si>
  <si>
    <t>유니트커버</t>
    <phoneticPr fontId="2" type="noConversion"/>
  </si>
  <si>
    <t>붙임쇠</t>
    <phoneticPr fontId="2" type="noConversion"/>
  </si>
  <si>
    <t>엔드캡</t>
    <phoneticPr fontId="2" type="noConversion"/>
  </si>
  <si>
    <t>방우형 콘센트</t>
    <phoneticPr fontId="2" type="noConversion"/>
  </si>
  <si>
    <t>아우트렛박스</t>
    <phoneticPr fontId="2" type="noConversion"/>
  </si>
  <si>
    <t>박스커버</t>
    <phoneticPr fontId="2" type="noConversion"/>
  </si>
  <si>
    <t>4각 평형</t>
    <phoneticPr fontId="2" type="noConversion"/>
  </si>
  <si>
    <t>스위치박스</t>
    <phoneticPr fontId="2" type="noConversion"/>
  </si>
  <si>
    <t>LED 등기구 철거</t>
    <phoneticPr fontId="2" type="noConversion"/>
  </si>
  <si>
    <t>형광등 철거</t>
    <phoneticPr fontId="2" type="noConversion"/>
  </si>
  <si>
    <t>백열등 철거</t>
    <phoneticPr fontId="2" type="noConversion"/>
  </si>
  <si>
    <t>전선관 부속품</t>
    <phoneticPr fontId="2" type="noConversion"/>
  </si>
  <si>
    <t>전선관의 10%</t>
    <phoneticPr fontId="2" type="noConversion"/>
  </si>
  <si>
    <t>식</t>
    <phoneticPr fontId="2" type="noConversion"/>
  </si>
  <si>
    <t>450/750V 내열비닐절연전선(2열동시)</t>
    <phoneticPr fontId="2" type="noConversion"/>
  </si>
  <si>
    <t>450/750V 내열비닐절연전선(4열동시)</t>
    <phoneticPr fontId="2" type="noConversion"/>
  </si>
  <si>
    <t>450/750V 내열비닐절연전선(5열동시)</t>
    <phoneticPr fontId="2" type="noConversion"/>
  </si>
  <si>
    <t>450/750V 내열비닐절연전선(6열동시)</t>
    <phoneticPr fontId="2" type="noConversion"/>
  </si>
  <si>
    <t>450/750V 내열비닐절연전선(7열동시)</t>
    <phoneticPr fontId="2" type="noConversion"/>
  </si>
  <si>
    <t>LED평판조명</t>
    <phoneticPr fontId="2" type="noConversion"/>
  </si>
  <si>
    <t>LED다운라이트</t>
    <phoneticPr fontId="2" type="noConversion"/>
  </si>
  <si>
    <t>LED원형직부등</t>
    <phoneticPr fontId="2" type="noConversion"/>
  </si>
  <si>
    <t>매입스위치</t>
    <phoneticPr fontId="2" type="noConversion"/>
  </si>
  <si>
    <t>콘센트</t>
    <phoneticPr fontId="2" type="noConversion"/>
  </si>
  <si>
    <t>배선용차단기 설치</t>
    <phoneticPr fontId="2" type="noConversion"/>
  </si>
  <si>
    <t>P-AC 분전반 기초</t>
    <phoneticPr fontId="2" type="noConversion"/>
  </si>
  <si>
    <t>세트앵커(STS)</t>
    <phoneticPr fontId="2" type="noConversion"/>
  </si>
  <si>
    <t>세트앵커, M10*L75mm</t>
  </si>
  <si>
    <t>전력케이블 철거</t>
    <phoneticPr fontId="2" type="noConversion"/>
  </si>
  <si>
    <t>세대분전반 철거</t>
    <phoneticPr fontId="2" type="noConversion"/>
  </si>
  <si>
    <t>세대분전반 신설</t>
    <phoneticPr fontId="2" type="noConversion"/>
  </si>
  <si>
    <t>콘센트 철거</t>
    <phoneticPr fontId="2" type="noConversion"/>
  </si>
  <si>
    <t>내선전공</t>
    <phoneticPr fontId="2" type="noConversion"/>
  </si>
  <si>
    <t>1종금속제가요전선관 철거</t>
    <phoneticPr fontId="2" type="noConversion"/>
  </si>
  <si>
    <t>PVC 노출 스위치박스1개용 철거</t>
    <phoneticPr fontId="2" type="noConversion"/>
  </si>
  <si>
    <t>조인트박스 철거</t>
    <phoneticPr fontId="2" type="noConversion"/>
  </si>
  <si>
    <t>스위치박스 신설</t>
    <phoneticPr fontId="2" type="noConversion"/>
  </si>
  <si>
    <t>LED 등기구 재설치</t>
    <phoneticPr fontId="2" type="noConversion"/>
  </si>
  <si>
    <t>형광등 재설치</t>
    <phoneticPr fontId="2" type="noConversion"/>
  </si>
  <si>
    <t>PVC 노출 스위치박스2개용 철거</t>
    <phoneticPr fontId="2" type="noConversion"/>
  </si>
  <si>
    <t>아우트렛박스 철거</t>
    <phoneticPr fontId="2" type="noConversion"/>
  </si>
  <si>
    <t>스위치 철거</t>
    <phoneticPr fontId="2" type="noConversion"/>
  </si>
  <si>
    <t>LED 벽부등</t>
    <phoneticPr fontId="2" type="noConversion"/>
  </si>
  <si>
    <t>PVC 노출 스위치박스 신설</t>
    <phoneticPr fontId="2" type="noConversion"/>
  </si>
  <si>
    <t>저압케이블전공</t>
    <phoneticPr fontId="2" type="noConversion"/>
  </si>
  <si>
    <t>내선전공</t>
    <phoneticPr fontId="2" type="noConversion"/>
  </si>
  <si>
    <t>변압기(80KVA) 철거</t>
    <phoneticPr fontId="2" type="noConversion"/>
  </si>
  <si>
    <t>KR-CNA-24-043</t>
    <phoneticPr fontId="2" type="noConversion"/>
  </si>
  <si>
    <t>○ 예산관리센터 : 5002409[부산경남-고속여객(시설)-자본FC]</t>
    <phoneticPr fontId="2" type="noConversion"/>
  </si>
  <si>
    <t>○ 약  정  항  목 : 12020302[건물-건중공비]</t>
    <phoneticPr fontId="2" type="noConversion"/>
  </si>
  <si>
    <t>부산역 4층 부산고속철도열차승무사업소</t>
    <phoneticPr fontId="3" type="noConversion"/>
  </si>
  <si>
    <t>착공지정일로부터 100일 이내</t>
    <phoneticPr fontId="2" type="noConversion"/>
  </si>
  <si>
    <t>3. 예 정 공 정 표(총체)</t>
    <phoneticPr fontId="2" type="noConversion"/>
  </si>
  <si>
    <t>공  사  기 간(착공일로 부터100일)</t>
    <phoneticPr fontId="2" type="noConversion"/>
  </si>
  <si>
    <t>기 사</t>
    <phoneticPr fontId="3" type="noConversion"/>
  </si>
  <si>
    <t>현지답사 및 재료준비</t>
    <phoneticPr fontId="3" type="noConversion"/>
  </si>
  <si>
    <t>1. 임시전원 및 임시조명 설치작업</t>
    <phoneticPr fontId="3" type="noConversion"/>
  </si>
  <si>
    <t>2. 철거작업</t>
    <phoneticPr fontId="3" type="noConversion"/>
  </si>
  <si>
    <t>2. 배관작업</t>
    <phoneticPr fontId="3" type="noConversion"/>
  </si>
  <si>
    <t>3. 배선작업</t>
    <phoneticPr fontId="3" type="noConversion"/>
  </si>
  <si>
    <t>4. 배선기구 및 조명기구 설치작업</t>
    <phoneticPr fontId="3" type="noConversion"/>
  </si>
  <si>
    <t>5. 시험 및 조정</t>
    <phoneticPr fontId="3" type="noConversion"/>
  </si>
  <si>
    <t>공사 뒷정리</t>
    <phoneticPr fontId="3" type="noConversion"/>
  </si>
  <si>
    <t>별봉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</si>
</sst>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-* #,##0_-;&quot;₩&quot;\!\-* #,##0_-;_-* &quot;-&quot;_-;_-@_-"/>
    <numFmt numFmtId="177" formatCode="_-* #,##0_-;&quot;₩&quot;&quot;₩&quot;&quot;₩&quot;&quot;₩&quot;\!\!\!\!\-* #,##0_-;_-* &quot;-&quot;_-;_-@_-"/>
    <numFmt numFmtId="179" formatCode="0_);[Red]\(0\)"/>
    <numFmt numFmtId="180" formatCode="#,##0_ "/>
    <numFmt numFmtId="181" formatCode="0.00_);[Red]\(0.00\)"/>
    <numFmt numFmtId="182" formatCode="#,##0_);[Red]\(#,##0\)"/>
    <numFmt numFmtId="183" formatCode="@\ &quot;년&quot;&quot;도&quot;"/>
    <numFmt numFmtId="184" formatCode="_-* #,##0.00_-;\-* #,##0.00_-;_-* &quot;-&quot;_-;_-@_-"/>
    <numFmt numFmtId="185" formatCode="&quot;제 &quot;General&quot;호&quot;"/>
    <numFmt numFmtId="186" formatCode="_-* #,##0.000_-;\-* #,##0.000_-;_-* &quot;-&quot;_-;_-@_-"/>
    <numFmt numFmtId="187" formatCode="_ * #,##0_ ;_ * \-#,##0_ ;_ * &quot;-&quot;_ ;_ @_ "/>
    <numFmt numFmtId="188" formatCode="0.0%"/>
    <numFmt numFmtId="189" formatCode="_ * #,##0.00_ ;_ * \-#,##0.00_ ;_ * &quot;-&quot;??_ ;_ @_ "/>
    <numFmt numFmtId="190" formatCode="\~\ \ mm&quot;月&quot;dd&quot;日&quot;"/>
    <numFmt numFmtId="191" formatCode="m\/dd\ \ \ \ \ \ "/>
    <numFmt numFmtId="192" formatCode="General_)"/>
    <numFmt numFmtId="193" formatCode="_-[$€-2]* #,##0.00_-;\-[$€-2]* #,##0.00_-;_-[$€-2]* &quot;-&quot;??_-"/>
  </numFmts>
  <fonts count="72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굴림"/>
      <family val="3"/>
      <charset val="129"/>
    </font>
    <font>
      <sz val="10"/>
      <name val="굴림체"/>
      <family val="3"/>
      <charset val="129"/>
    </font>
    <font>
      <sz val="10"/>
      <name val="돋움체"/>
      <family val="3"/>
      <charset val="129"/>
    </font>
    <font>
      <sz val="10"/>
      <name val="맑은 고딕"/>
      <family val="3"/>
      <charset val="129"/>
    </font>
    <font>
      <sz val="11"/>
      <name val="HY헤드라인M"/>
      <family val="1"/>
      <charset val="129"/>
    </font>
    <font>
      <sz val="12"/>
      <name val="HY헤드라인M"/>
      <family val="1"/>
      <charset val="129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u/>
      <sz val="18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u/>
      <sz val="14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0"/>
      <name val="돋움"/>
      <family val="3"/>
      <charset val="129"/>
    </font>
    <font>
      <sz val="12"/>
      <name val="돋움체"/>
      <family val="3"/>
      <charset val="129"/>
    </font>
    <font>
      <b/>
      <sz val="16"/>
      <name val="돋움체"/>
      <family val="3"/>
      <charset val="129"/>
    </font>
    <font>
      <sz val="8"/>
      <name val="굴림체"/>
      <family val="3"/>
      <charset val="129"/>
    </font>
    <font>
      <b/>
      <sz val="11"/>
      <name val="돋움"/>
      <family val="3"/>
      <charset val="129"/>
    </font>
    <font>
      <sz val="11"/>
      <name val="돋움체"/>
      <family val="3"/>
      <charset val="129"/>
    </font>
    <font>
      <b/>
      <sz val="12"/>
      <name val="돋움체"/>
      <family val="3"/>
      <charset val="129"/>
    </font>
    <font>
      <sz val="14"/>
      <name val="맑은 고딕"/>
      <family val="3"/>
      <charset val="129"/>
      <scheme val="major"/>
    </font>
    <font>
      <b/>
      <sz val="20"/>
      <name val="돋움체"/>
      <family val="3"/>
      <charset val="129"/>
    </font>
    <font>
      <sz val="22"/>
      <name val="돋움체"/>
      <family val="3"/>
      <charset val="129"/>
    </font>
    <font>
      <b/>
      <u/>
      <sz val="32"/>
      <name val="돋움체"/>
      <family val="3"/>
      <charset val="129"/>
    </font>
    <font>
      <sz val="16"/>
      <name val="돋움체"/>
      <family val="3"/>
      <charset val="129"/>
    </font>
    <font>
      <u/>
      <sz val="18"/>
      <name val="돋움체"/>
      <family val="3"/>
      <charset val="129"/>
    </font>
    <font>
      <b/>
      <sz val="22"/>
      <name val="돋움체"/>
      <family val="3"/>
      <charset val="129"/>
    </font>
    <font>
      <sz val="16"/>
      <color rgb="FFFF0000"/>
      <name val="HY헤드라인M"/>
      <family val="1"/>
      <charset val="129"/>
    </font>
    <font>
      <sz val="11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8"/>
      <name val="굴림체"/>
      <family val="3"/>
      <charset val="129"/>
    </font>
    <font>
      <b/>
      <sz val="10"/>
      <name val="굴림체"/>
      <family val="3"/>
      <charset val="129"/>
    </font>
    <font>
      <b/>
      <sz val="11"/>
      <name val="굴림체"/>
      <family val="3"/>
      <charset val="129"/>
    </font>
    <font>
      <b/>
      <sz val="18"/>
      <name val="돋움체"/>
      <family val="3"/>
      <charset val="129"/>
    </font>
    <font>
      <sz val="8"/>
      <color theme="1"/>
      <name val="굴림체"/>
      <family val="3"/>
      <charset val="129"/>
    </font>
    <font>
      <sz val="11"/>
      <color rgb="FFFFFF00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sz val="16"/>
      <color rgb="FFFF0000"/>
      <name val="돋움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돋움"/>
      <family val="3"/>
      <charset val="129"/>
    </font>
    <font>
      <b/>
      <sz val="16"/>
      <color theme="1"/>
      <name val="돋움"/>
      <family val="3"/>
      <charset val="129"/>
    </font>
    <font>
      <sz val="16"/>
      <color theme="1"/>
      <name val="돋움"/>
      <family val="3"/>
      <charset val="129"/>
    </font>
    <font>
      <b/>
      <sz val="14"/>
      <color theme="1"/>
      <name val="돋움"/>
      <family val="3"/>
      <charset val="129"/>
    </font>
    <font>
      <b/>
      <sz val="12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sz val="12"/>
      <color theme="1"/>
      <name val="바탕"/>
      <family val="1"/>
      <charset val="129"/>
    </font>
    <font>
      <b/>
      <sz val="12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ajor"/>
    </font>
    <font>
      <sz val="11"/>
      <color rgb="FF000000"/>
      <name val="돋움"/>
      <family val="3"/>
      <charset val="129"/>
    </font>
    <font>
      <b/>
      <sz val="8"/>
      <color theme="1"/>
      <name val="굴림체"/>
      <family val="3"/>
      <charset val="129"/>
    </font>
    <font>
      <b/>
      <u/>
      <sz val="22"/>
      <color theme="1"/>
      <name val="돋움"/>
      <family val="3"/>
      <charset val="129"/>
    </font>
    <font>
      <b/>
      <u/>
      <sz val="14"/>
      <color theme="1"/>
      <name val="돋움"/>
      <family val="3"/>
      <charset val="129"/>
    </font>
    <font>
      <sz val="10"/>
      <name val="바탕"/>
      <family val="1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2"/>
      <name val="Courier"/>
      <family val="3"/>
    </font>
    <font>
      <u/>
      <sz val="9"/>
      <color indexed="36"/>
      <name val="돋움체"/>
      <family val="3"/>
      <charset val="129"/>
    </font>
    <font>
      <sz val="9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3">
    <xf numFmtId="0" fontId="0" fillId="0" borderId="0"/>
    <xf numFmtId="41" fontId="1" fillId="0" borderId="0" applyFont="0" applyFill="0" applyBorder="0" applyAlignment="0" applyProtection="0">
      <alignment vertical="center"/>
    </xf>
    <xf numFmtId="0" fontId="55" fillId="0" borderId="0"/>
    <xf numFmtId="41" fontId="1" fillId="0" borderId="0" applyFont="0" applyFill="0" applyBorder="0" applyAlignment="0" applyProtection="0">
      <alignment vertical="center"/>
    </xf>
    <xf numFmtId="0" fontId="1" fillId="0" borderId="0"/>
    <xf numFmtId="187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46" fillId="0" borderId="0">
      <alignment vertical="center"/>
    </xf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61" fillId="0" borderId="0"/>
    <xf numFmtId="187" fontId="62" fillId="0" borderId="0" applyFont="0" applyFill="0" applyBorder="0" applyAlignment="0" applyProtection="0"/>
    <xf numFmtId="189" fontId="62" fillId="0" borderId="0" applyFont="0" applyFill="0" applyBorder="0" applyAlignment="0" applyProtection="0"/>
    <xf numFmtId="190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38" fontId="63" fillId="2" borderId="0" applyNumberFormat="0" applyBorder="0" applyAlignment="0" applyProtection="0"/>
    <xf numFmtId="0" fontId="64" fillId="0" borderId="0">
      <alignment horizontal="left"/>
    </xf>
    <xf numFmtId="0" fontId="65" fillId="0" borderId="51" applyNumberFormat="0" applyAlignment="0" applyProtection="0">
      <alignment horizontal="left" vertical="center"/>
    </xf>
    <xf numFmtId="0" fontId="65" fillId="0" borderId="33">
      <alignment horizontal="left" vertical="center"/>
    </xf>
    <xf numFmtId="10" fontId="63" fillId="2" borderId="23" applyNumberFormat="0" applyBorder="0" applyAlignment="0" applyProtection="0"/>
    <xf numFmtId="0" fontId="66" fillId="0" borderId="2"/>
    <xf numFmtId="188" fontId="5" fillId="0" borderId="0"/>
    <xf numFmtId="0" fontId="60" fillId="0" borderId="0"/>
    <xf numFmtId="0" fontId="62" fillId="0" borderId="0"/>
    <xf numFmtId="10" fontId="62" fillId="0" borderId="0" applyFont="0" applyFill="0" applyBorder="0" applyAlignment="0" applyProtection="0"/>
    <xf numFmtId="0" fontId="66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192" fontId="67" fillId="0" borderId="0"/>
    <xf numFmtId="0" fontId="68" fillId="0" borderId="0" applyNumberFormat="0" applyFill="0" applyBorder="0" applyAlignment="0" applyProtection="0">
      <alignment vertical="top"/>
      <protection locked="0"/>
    </xf>
    <xf numFmtId="180" fontId="59" fillId="0" borderId="52">
      <alignment vertical="center"/>
    </xf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1" fontId="69" fillId="0" borderId="0" applyFont="0" applyFill="0" applyBorder="0" applyAlignment="0" applyProtection="0">
      <alignment vertical="center"/>
    </xf>
    <xf numFmtId="0" fontId="60" fillId="0" borderId="0"/>
    <xf numFmtId="19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62" fillId="0" borderId="0"/>
    <xf numFmtId="42" fontId="1" fillId="0" borderId="0" applyFont="0" applyFill="0" applyBorder="0" applyAlignment="0" applyProtection="0">
      <alignment vertical="center"/>
    </xf>
    <xf numFmtId="42" fontId="7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0" fillId="0" borderId="0">
      <alignment vertical="center"/>
    </xf>
    <xf numFmtId="0" fontId="71" fillId="0" borderId="0"/>
    <xf numFmtId="41" fontId="71" fillId="0" borderId="0" applyFont="0" applyFill="0" applyBorder="0" applyAlignment="0" applyProtection="0">
      <alignment vertical="center"/>
    </xf>
    <xf numFmtId="0" fontId="65" fillId="0" borderId="58">
      <alignment horizontal="left" vertical="center"/>
    </xf>
    <xf numFmtId="10" fontId="63" fillId="2" borderId="59" applyNumberFormat="0" applyBorder="0" applyAlignment="0" applyProtection="0"/>
    <xf numFmtId="10" fontId="63" fillId="2" borderId="57" applyNumberFormat="0" applyBorder="0" applyAlignment="0" applyProtection="0"/>
    <xf numFmtId="0" fontId="65" fillId="0" borderId="56">
      <alignment horizontal="left" vertical="center"/>
    </xf>
    <xf numFmtId="10" fontId="63" fillId="2" borderId="55" applyNumberFormat="0" applyBorder="0" applyAlignment="0" applyProtection="0"/>
    <xf numFmtId="0" fontId="65" fillId="0" borderId="54">
      <alignment horizontal="left" vertical="center"/>
    </xf>
    <xf numFmtId="10" fontId="63" fillId="2" borderId="61" applyNumberFormat="0" applyBorder="0" applyAlignment="0" applyProtection="0"/>
    <xf numFmtId="0" fontId="65" fillId="0" borderId="60">
      <alignment horizontal="left" vertical="center"/>
    </xf>
    <xf numFmtId="10" fontId="63" fillId="2" borderId="63" applyNumberFormat="0" applyBorder="0" applyAlignment="0" applyProtection="0"/>
    <xf numFmtId="0" fontId="65" fillId="0" borderId="62">
      <alignment horizontal="left" vertical="center"/>
    </xf>
  </cellStyleXfs>
  <cellXfs count="415">
    <xf numFmtId="0" fontId="0" fillId="0" borderId="0" xfId="0"/>
    <xf numFmtId="41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0" fontId="18" fillId="0" borderId="23" xfId="0" applyFont="1" applyBorder="1" applyAlignment="1">
      <alignment horizontal="center" vertical="center" shrinkToFit="1"/>
    </xf>
    <xf numFmtId="179" fontId="18" fillId="0" borderId="23" xfId="0" applyNumberFormat="1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179" fontId="18" fillId="0" borderId="25" xfId="0" applyNumberFormat="1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179" fontId="18" fillId="2" borderId="23" xfId="0" applyNumberFormat="1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left" vertical="center"/>
    </xf>
    <xf numFmtId="179" fontId="18" fillId="0" borderId="25" xfId="0" applyNumberFormat="1" applyFont="1" applyBorder="1" applyAlignment="1">
      <alignment horizontal="center" vertical="center" shrinkToFit="1"/>
    </xf>
    <xf numFmtId="0" fontId="18" fillId="0" borderId="25" xfId="0" applyFont="1" applyBorder="1" applyAlignment="1">
      <alignment horizontal="center" vertical="center" shrinkToFit="1"/>
    </xf>
    <xf numFmtId="179" fontId="18" fillId="2" borderId="23" xfId="0" applyNumberFormat="1" applyFont="1" applyFill="1" applyBorder="1" applyAlignment="1">
      <alignment horizontal="center" vertical="center" shrinkToFit="1"/>
    </xf>
    <xf numFmtId="0" fontId="18" fillId="2" borderId="23" xfId="0" applyFont="1" applyFill="1" applyBorder="1" applyAlignment="1">
      <alignment horizontal="center" vertical="center" shrinkToFit="1"/>
    </xf>
    <xf numFmtId="181" fontId="41" fillId="0" borderId="11" xfId="0" applyNumberFormat="1" applyFont="1" applyBorder="1" applyAlignment="1">
      <alignment horizontal="center" vertical="center" shrinkToFit="1"/>
    </xf>
    <xf numFmtId="41" fontId="10" fillId="0" borderId="5" xfId="0" applyNumberFormat="1" applyFont="1" applyBorder="1" applyAlignment="1">
      <alignment horizontal="center" vertical="center"/>
    </xf>
    <xf numFmtId="41" fontId="10" fillId="0" borderId="23" xfId="0" applyNumberFormat="1" applyFont="1" applyBorder="1" applyAlignment="1">
      <alignment horizontal="center" vertical="center"/>
    </xf>
    <xf numFmtId="185" fontId="10" fillId="0" borderId="8" xfId="0" applyNumberFormat="1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/>
    </xf>
    <xf numFmtId="0" fontId="12" fillId="0" borderId="0" xfId="0" applyFont="1"/>
    <xf numFmtId="0" fontId="12" fillId="3" borderId="0" xfId="0" applyFont="1" applyFill="1"/>
    <xf numFmtId="0" fontId="7" fillId="0" borderId="0" xfId="0" applyFont="1" applyAlignment="1">
      <alignment shrinkToFit="1"/>
    </xf>
    <xf numFmtId="0" fontId="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Continuous"/>
    </xf>
    <xf numFmtId="0" fontId="14" fillId="0" borderId="0" xfId="0" applyFont="1" applyAlignment="1">
      <alignment horizontal="center" vertical="center"/>
    </xf>
    <xf numFmtId="177" fontId="10" fillId="0" borderId="5" xfId="0" applyNumberFormat="1" applyFont="1" applyBorder="1" applyAlignment="1">
      <alignment horizontal="center" vertical="center"/>
    </xf>
    <xf numFmtId="177" fontId="10" fillId="0" borderId="8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2" fillId="0" borderId="4" xfId="0" applyFont="1" applyBorder="1"/>
    <xf numFmtId="0" fontId="13" fillId="0" borderId="3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4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0" borderId="0" xfId="0" applyFont="1"/>
    <xf numFmtId="182" fontId="14" fillId="0" borderId="0" xfId="0" applyNumberFormat="1" applyFont="1"/>
    <xf numFmtId="182" fontId="12" fillId="0" borderId="0" xfId="0" applyNumberFormat="1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shrinkToFit="1"/>
    </xf>
    <xf numFmtId="0" fontId="9" fillId="0" borderId="9" xfId="0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7" fontId="10" fillId="0" borderId="9" xfId="0" applyNumberFormat="1" applyFont="1" applyBorder="1" applyAlignment="1">
      <alignment horizontal="center" vertical="center" shrinkToFit="1"/>
    </xf>
    <xf numFmtId="0" fontId="7" fillId="0" borderId="0" xfId="0" applyFont="1"/>
    <xf numFmtId="0" fontId="8" fillId="0" borderId="0" xfId="0" applyFont="1"/>
    <xf numFmtId="181" fontId="18" fillId="0" borderId="11" xfId="0" applyNumberFormat="1" applyFont="1" applyBorder="1" applyAlignment="1">
      <alignment horizontal="center" vertical="center" shrinkToFit="1"/>
    </xf>
    <xf numFmtId="0" fontId="10" fillId="0" borderId="4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4" xfId="0" applyFont="1" applyBorder="1" applyAlignment="1">
      <alignment horizontal="center" vertical="center"/>
    </xf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7" fillId="0" borderId="0" xfId="0" applyFont="1"/>
    <xf numFmtId="0" fontId="10" fillId="0" borderId="11" xfId="0" applyFont="1" applyBorder="1" applyAlignment="1">
      <alignment horizontal="center" vertical="center"/>
    </xf>
    <xf numFmtId="41" fontId="9" fillId="3" borderId="8" xfId="0" applyNumberFormat="1" applyFont="1" applyFill="1" applyBorder="1" applyAlignment="1">
      <alignment horizontal="center" vertical="top"/>
    </xf>
    <xf numFmtId="0" fontId="10" fillId="2" borderId="11" xfId="0" applyFont="1" applyFill="1" applyBorder="1" applyAlignment="1">
      <alignment horizontal="left" vertical="center"/>
    </xf>
    <xf numFmtId="0" fontId="10" fillId="2" borderId="11" xfId="0" applyFont="1" applyFill="1" applyBorder="1" applyAlignment="1">
      <alignment horizontal="center" vertical="center"/>
    </xf>
    <xf numFmtId="179" fontId="10" fillId="2" borderId="11" xfId="0" applyNumberFormat="1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179" fontId="10" fillId="0" borderId="11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82" fontId="10" fillId="0" borderId="1" xfId="0" applyNumberFormat="1" applyFont="1" applyBorder="1" applyAlignment="1">
      <alignment horizontal="right" vertical="center"/>
    </xf>
    <xf numFmtId="49" fontId="10" fillId="0" borderId="11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top"/>
    </xf>
    <xf numFmtId="0" fontId="25" fillId="0" borderId="0" xfId="0" applyFont="1"/>
    <xf numFmtId="0" fontId="15" fillId="0" borderId="12" xfId="0" applyFont="1" applyBorder="1" applyAlignment="1">
      <alignment horizontal="centerContinuous" vertical="center"/>
    </xf>
    <xf numFmtId="0" fontId="13" fillId="0" borderId="12" xfId="0" applyFont="1" applyBorder="1" applyAlignment="1">
      <alignment horizontal="center" vertical="center"/>
    </xf>
    <xf numFmtId="0" fontId="13" fillId="0" borderId="12" xfId="0" applyFont="1" applyBorder="1" applyAlignment="1">
      <alignment vertical="center"/>
    </xf>
    <xf numFmtId="0" fontId="9" fillId="0" borderId="12" xfId="0" quotePrefix="1" applyFont="1" applyBorder="1" applyAlignment="1">
      <alignment horizontal="center" vertical="center"/>
    </xf>
    <xf numFmtId="0" fontId="9" fillId="0" borderId="12" xfId="0" applyFont="1" applyBorder="1" applyAlignment="1">
      <alignment horizontal="left" vertical="center"/>
    </xf>
    <xf numFmtId="0" fontId="9" fillId="0" borderId="12" xfId="0" applyFont="1" applyBorder="1" applyAlignment="1">
      <alignment horizontal="center" vertical="center"/>
    </xf>
    <xf numFmtId="177" fontId="9" fillId="0" borderId="12" xfId="0" applyNumberFormat="1" applyFont="1" applyBorder="1" applyAlignment="1">
      <alignment horizontal="center" vertical="center"/>
    </xf>
    <xf numFmtId="176" fontId="9" fillId="0" borderId="12" xfId="0" applyNumberFormat="1" applyFont="1" applyBorder="1" applyAlignment="1">
      <alignment horizontal="center" vertical="center"/>
    </xf>
    <xf numFmtId="0" fontId="12" fillId="0" borderId="3" xfId="0" applyFont="1" applyBorder="1"/>
    <xf numFmtId="0" fontId="10" fillId="2" borderId="12" xfId="0" applyFont="1" applyFill="1" applyBorder="1" applyAlignment="1">
      <alignment horizontal="left" vertical="center"/>
    </xf>
    <xf numFmtId="0" fontId="10" fillId="2" borderId="12" xfId="0" applyFont="1" applyFill="1" applyBorder="1" applyAlignment="1">
      <alignment horizontal="center" vertical="center"/>
    </xf>
    <xf numFmtId="179" fontId="10" fillId="2" borderId="1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83" fontId="26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/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18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23" fillId="0" borderId="19" xfId="0" applyFont="1" applyBorder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7" fillId="0" borderId="18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8" fillId="0" borderId="0" xfId="0" applyFont="1" applyAlignment="1">
      <alignment horizontal="centerContinuous" vertical="center"/>
    </xf>
    <xf numFmtId="0" fontId="23" fillId="0" borderId="0" xfId="0" applyFont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19" xfId="0" applyFont="1" applyBorder="1" applyAlignment="1">
      <alignment vertical="center"/>
    </xf>
    <xf numFmtId="179" fontId="23" fillId="0" borderId="0" xfId="0" applyNumberFormat="1" applyFont="1" applyAlignment="1">
      <alignment vertical="center"/>
    </xf>
    <xf numFmtId="0" fontId="23" fillId="0" borderId="0" xfId="0" applyFont="1" applyAlignment="1">
      <alignment horizontal="distributed" vertical="center"/>
    </xf>
    <xf numFmtId="0" fontId="23" fillId="0" borderId="0" xfId="0" applyFont="1" applyAlignment="1">
      <alignment horizontal="left" vertical="center"/>
    </xf>
    <xf numFmtId="0" fontId="23" fillId="0" borderId="20" xfId="0" applyFont="1" applyBorder="1" applyAlignment="1">
      <alignment vertical="center"/>
    </xf>
    <xf numFmtId="0" fontId="23" fillId="0" borderId="2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30" fillId="0" borderId="0" xfId="0" applyFont="1" applyAlignment="1">
      <alignment horizontal="centerContinuous" vertical="center"/>
    </xf>
    <xf numFmtId="0" fontId="23" fillId="0" borderId="0" xfId="0" applyFont="1" applyAlignment="1">
      <alignment horizontal="centerContinuous" vertical="center"/>
    </xf>
    <xf numFmtId="0" fontId="19" fillId="0" borderId="0" xfId="0" applyFont="1" applyAlignment="1">
      <alignment horizontal="right" vertical="center" indent="1"/>
    </xf>
    <xf numFmtId="0" fontId="19" fillId="0" borderId="2" xfId="0" applyFont="1" applyBorder="1" applyAlignment="1">
      <alignment horizontal="right" vertical="center" indent="1"/>
    </xf>
    <xf numFmtId="0" fontId="31" fillId="0" borderId="18" xfId="0" applyFont="1" applyBorder="1" applyAlignment="1">
      <alignment vertical="center" shrinkToFit="1"/>
    </xf>
    <xf numFmtId="0" fontId="31" fillId="0" borderId="19" xfId="0" applyFont="1" applyBorder="1" applyAlignment="1">
      <alignment vertical="center" shrinkToFit="1"/>
    </xf>
    <xf numFmtId="0" fontId="26" fillId="0" borderId="0" xfId="0" applyFont="1" applyAlignment="1">
      <alignment horizontal="right" vertical="center"/>
    </xf>
    <xf numFmtId="0" fontId="27" fillId="0" borderId="18" xfId="0" applyFont="1" applyBorder="1" applyAlignment="1">
      <alignment vertical="center" shrinkToFit="1"/>
    </xf>
    <xf numFmtId="0" fontId="27" fillId="0" borderId="19" xfId="0" applyFont="1" applyBorder="1" applyAlignment="1">
      <alignment vertical="center" shrinkToFit="1"/>
    </xf>
    <xf numFmtId="0" fontId="27" fillId="0" borderId="18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19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0" xfId="0" applyFont="1" applyAlignment="1">
      <alignment horizontal="left" vertical="center" indent="2"/>
    </xf>
    <xf numFmtId="41" fontId="9" fillId="3" borderId="25" xfId="0" applyNumberFormat="1" applyFont="1" applyFill="1" applyBorder="1" applyAlignment="1">
      <alignment horizontal="center"/>
    </xf>
    <xf numFmtId="0" fontId="10" fillId="2" borderId="23" xfId="0" applyFont="1" applyFill="1" applyBorder="1" applyAlignment="1">
      <alignment horizontal="center" vertical="center" shrinkToFit="1"/>
    </xf>
    <xf numFmtId="0" fontId="10" fillId="2" borderId="23" xfId="0" applyFont="1" applyFill="1" applyBorder="1" applyAlignment="1">
      <alignment horizontal="left" vertical="center" shrinkToFit="1"/>
    </xf>
    <xf numFmtId="179" fontId="10" fillId="2" borderId="23" xfId="0" applyNumberFormat="1" applyFont="1" applyFill="1" applyBorder="1" applyAlignment="1">
      <alignment horizontal="center" vertical="center" shrinkToFit="1"/>
    </xf>
    <xf numFmtId="0" fontId="10" fillId="0" borderId="25" xfId="0" applyFont="1" applyBorder="1" applyAlignment="1">
      <alignment horizontal="center" vertical="center" shrinkToFit="1"/>
    </xf>
    <xf numFmtId="179" fontId="10" fillId="0" borderId="25" xfId="0" applyNumberFormat="1" applyFont="1" applyBorder="1" applyAlignment="1">
      <alignment horizontal="center" vertical="center" shrinkToFit="1"/>
    </xf>
    <xf numFmtId="0" fontId="10" fillId="2" borderId="23" xfId="0" applyFont="1" applyFill="1" applyBorder="1" applyAlignment="1">
      <alignment horizontal="left" vertical="center"/>
    </xf>
    <xf numFmtId="0" fontId="10" fillId="2" borderId="23" xfId="0" applyFont="1" applyFill="1" applyBorder="1" applyAlignment="1">
      <alignment horizontal="center" vertical="center"/>
    </xf>
    <xf numFmtId="179" fontId="10" fillId="2" borderId="23" xfId="0" applyNumberFormat="1" applyFont="1" applyFill="1" applyBorder="1" applyAlignment="1">
      <alignment horizontal="center" vertical="center"/>
    </xf>
    <xf numFmtId="179" fontId="10" fillId="0" borderId="25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79" fontId="10" fillId="0" borderId="23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 shrinkToFit="1"/>
    </xf>
    <xf numFmtId="0" fontId="13" fillId="0" borderId="32" xfId="0" applyFont="1" applyBorder="1" applyAlignment="1">
      <alignment vertical="center"/>
    </xf>
    <xf numFmtId="0" fontId="34" fillId="0" borderId="0" xfId="0" applyFont="1" applyAlignment="1">
      <alignment horizontal="center" vertical="center" shrinkToFit="1"/>
    </xf>
    <xf numFmtId="0" fontId="34" fillId="0" borderId="23" xfId="0" applyFont="1" applyBorder="1" applyAlignment="1">
      <alignment horizontal="left" vertical="center" shrinkToFit="1"/>
    </xf>
    <xf numFmtId="0" fontId="13" fillId="0" borderId="23" xfId="0" applyFont="1" applyBorder="1" applyAlignment="1">
      <alignment vertical="center" wrapText="1"/>
    </xf>
    <xf numFmtId="0" fontId="10" fillId="0" borderId="23" xfId="0" applyFont="1" applyBorder="1" applyAlignment="1">
      <alignment horizontal="center" vertical="center" wrapText="1"/>
    </xf>
    <xf numFmtId="180" fontId="10" fillId="0" borderId="23" xfId="0" applyNumberFormat="1" applyFont="1" applyBorder="1" applyAlignment="1">
      <alignment horizontal="right" vertical="center" wrapText="1"/>
    </xf>
    <xf numFmtId="184" fontId="34" fillId="0" borderId="23" xfId="0" applyNumberFormat="1" applyFont="1" applyBorder="1" applyAlignment="1">
      <alignment horizontal="right" vertical="center" shrinkToFit="1"/>
    </xf>
    <xf numFmtId="0" fontId="34" fillId="3" borderId="23" xfId="0" applyFont="1" applyFill="1" applyBorder="1" applyAlignment="1">
      <alignment horizontal="center" vertical="center" shrinkToFit="1"/>
    </xf>
    <xf numFmtId="182" fontId="34" fillId="3" borderId="23" xfId="0" applyNumberFormat="1" applyFont="1" applyFill="1" applyBorder="1" applyAlignment="1">
      <alignment horizontal="center" vertical="center" shrinkToFit="1"/>
    </xf>
    <xf numFmtId="0" fontId="13" fillId="0" borderId="32" xfId="0" applyFont="1" applyBorder="1" applyAlignment="1">
      <alignment horizontal="center" vertical="center"/>
    </xf>
    <xf numFmtId="0" fontId="13" fillId="0" borderId="32" xfId="0" applyFont="1" applyBorder="1" applyAlignment="1">
      <alignment horizontal="right" vertical="center"/>
    </xf>
    <xf numFmtId="0" fontId="10" fillId="0" borderId="23" xfId="0" applyFont="1" applyBorder="1" applyAlignment="1">
      <alignment horizontal="left" vertical="center" wrapText="1"/>
    </xf>
    <xf numFmtId="49" fontId="10" fillId="0" borderId="23" xfId="0" applyNumberFormat="1" applyFont="1" applyBorder="1" applyAlignment="1">
      <alignment horizontal="center" vertical="center" wrapText="1"/>
    </xf>
    <xf numFmtId="182" fontId="10" fillId="0" borderId="23" xfId="0" applyNumberFormat="1" applyFont="1" applyBorder="1" applyAlignment="1">
      <alignment horizontal="right" vertical="center"/>
    </xf>
    <xf numFmtId="177" fontId="10" fillId="0" borderId="35" xfId="0" applyNumberFormat="1" applyFont="1" applyBorder="1" applyAlignment="1">
      <alignment horizontal="center" vertical="center" shrinkToFit="1"/>
    </xf>
    <xf numFmtId="49" fontId="10" fillId="0" borderId="0" xfId="0" applyNumberFormat="1" applyFont="1" applyAlignment="1">
      <alignment horizontal="center" vertical="center" wrapText="1"/>
    </xf>
    <xf numFmtId="182" fontId="10" fillId="0" borderId="0" xfId="0" applyNumberFormat="1" applyFont="1" applyAlignment="1">
      <alignment horizontal="right" vertical="center"/>
    </xf>
    <xf numFmtId="177" fontId="10" fillId="0" borderId="36" xfId="0" applyNumberFormat="1" applyFont="1" applyBorder="1" applyAlignment="1">
      <alignment horizontal="center" vertical="center" shrinkToFit="1"/>
    </xf>
    <xf numFmtId="177" fontId="10" fillId="0" borderId="37" xfId="0" applyNumberFormat="1" applyFont="1" applyBorder="1" applyAlignment="1">
      <alignment horizontal="center" vertical="center" shrinkToFit="1"/>
    </xf>
    <xf numFmtId="177" fontId="10" fillId="0" borderId="38" xfId="0" applyNumberFormat="1" applyFont="1" applyBorder="1" applyAlignment="1">
      <alignment horizontal="center" vertical="center" shrinkToFit="1"/>
    </xf>
    <xf numFmtId="177" fontId="10" fillId="0" borderId="39" xfId="0" applyNumberFormat="1" applyFont="1" applyBorder="1" applyAlignment="1">
      <alignment horizontal="center" vertical="center" shrinkToFit="1"/>
    </xf>
    <xf numFmtId="177" fontId="10" fillId="0" borderId="40" xfId="0" applyNumberFormat="1" applyFont="1" applyBorder="1" applyAlignment="1">
      <alignment horizontal="center" vertical="center" shrinkToFit="1"/>
    </xf>
    <xf numFmtId="177" fontId="10" fillId="0" borderId="41" xfId="0" applyNumberFormat="1" applyFont="1" applyBorder="1" applyAlignment="1">
      <alignment horizontal="center" vertical="center" shrinkToFit="1"/>
    </xf>
    <xf numFmtId="177" fontId="10" fillId="0" borderId="42" xfId="0" applyNumberFormat="1" applyFont="1" applyBorder="1" applyAlignment="1">
      <alignment horizontal="center" vertical="center" shrinkToFit="1"/>
    </xf>
    <xf numFmtId="177" fontId="10" fillId="0" borderId="43" xfId="0" applyNumberFormat="1" applyFont="1" applyBorder="1" applyAlignment="1">
      <alignment horizontal="center" vertical="center" shrinkToFit="1"/>
    </xf>
    <xf numFmtId="0" fontId="21" fillId="4" borderId="23" xfId="0" applyFont="1" applyFill="1" applyBorder="1" applyAlignment="1">
      <alignment vertical="center" shrinkToFit="1"/>
    </xf>
    <xf numFmtId="0" fontId="21" fillId="4" borderId="23" xfId="0" applyFont="1" applyFill="1" applyBorder="1" applyAlignment="1">
      <alignment horizontal="center" vertical="center"/>
    </xf>
    <xf numFmtId="0" fontId="21" fillId="4" borderId="23" xfId="0" applyFont="1" applyFill="1" applyBorder="1" applyAlignment="1">
      <alignment horizontal="center" vertical="center" shrinkToFit="1"/>
    </xf>
    <xf numFmtId="0" fontId="10" fillId="0" borderId="23" xfId="0" applyFont="1" applyBorder="1" applyAlignment="1">
      <alignment vertical="center" wrapText="1"/>
    </xf>
    <xf numFmtId="0" fontId="10" fillId="0" borderId="23" xfId="0" applyFont="1" applyBorder="1" applyAlignment="1">
      <alignment horizontal="left" vertical="center" indent="1" shrinkToFit="1"/>
    </xf>
    <xf numFmtId="0" fontId="36" fillId="4" borderId="23" xfId="0" applyFont="1" applyFill="1" applyBorder="1" applyAlignment="1">
      <alignment horizontal="left" vertical="center"/>
    </xf>
    <xf numFmtId="0" fontId="36" fillId="4" borderId="23" xfId="0" applyFont="1" applyFill="1" applyBorder="1" applyAlignment="1">
      <alignment horizontal="left" vertical="center" shrinkToFit="1"/>
    </xf>
    <xf numFmtId="41" fontId="36" fillId="4" borderId="23" xfId="0" applyNumberFormat="1" applyFont="1" applyFill="1" applyBorder="1" applyAlignment="1">
      <alignment horizontal="left" vertical="center"/>
    </xf>
    <xf numFmtId="41" fontId="21" fillId="4" borderId="23" xfId="0" applyNumberFormat="1" applyFont="1" applyFill="1" applyBorder="1" applyAlignment="1">
      <alignment vertical="center" shrinkToFit="1"/>
    </xf>
    <xf numFmtId="0" fontId="35" fillId="4" borderId="23" xfId="0" applyFont="1" applyFill="1" applyBorder="1" applyAlignment="1">
      <alignment horizontal="center" vertical="center" shrinkToFit="1"/>
    </xf>
    <xf numFmtId="41" fontId="21" fillId="4" borderId="23" xfId="0" applyNumberFormat="1" applyFont="1" applyFill="1" applyBorder="1" applyAlignment="1">
      <alignment horizontal="right" vertical="center" shrinkToFit="1"/>
    </xf>
    <xf numFmtId="0" fontId="36" fillId="4" borderId="23" xfId="0" applyFont="1" applyFill="1" applyBorder="1" applyAlignment="1">
      <alignment horizontal="center" vertical="center"/>
    </xf>
    <xf numFmtId="41" fontId="36" fillId="4" borderId="23" xfId="0" applyNumberFormat="1" applyFont="1" applyFill="1" applyBorder="1" applyAlignment="1">
      <alignment horizontal="center" vertical="center"/>
    </xf>
    <xf numFmtId="0" fontId="37" fillId="0" borderId="32" xfId="0" applyFont="1" applyBorder="1" applyAlignment="1">
      <alignment vertical="center"/>
    </xf>
    <xf numFmtId="0" fontId="36" fillId="0" borderId="32" xfId="0" applyFont="1" applyBorder="1" applyAlignment="1">
      <alignment vertical="center"/>
    </xf>
    <xf numFmtId="9" fontId="10" fillId="0" borderId="23" xfId="0" applyNumberFormat="1" applyFont="1" applyBorder="1" applyAlignment="1">
      <alignment horizontal="left" vertical="center" indent="1" shrinkToFit="1"/>
    </xf>
    <xf numFmtId="0" fontId="26" fillId="0" borderId="0" xfId="0" applyFont="1" applyAlignment="1">
      <alignment vertical="center" wrapText="1"/>
    </xf>
    <xf numFmtId="183" fontId="26" fillId="0" borderId="0" xfId="0" applyNumberFormat="1" applyFont="1" applyAlignment="1">
      <alignment horizontal="left" vertical="center"/>
    </xf>
    <xf numFmtId="0" fontId="20" fillId="0" borderId="0" xfId="0" applyFont="1" applyAlignment="1">
      <alignment vertical="distributed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 wrapText="1"/>
    </xf>
    <xf numFmtId="0" fontId="9" fillId="0" borderId="44" xfId="0" applyFont="1" applyBorder="1" applyAlignment="1">
      <alignment vertical="center"/>
    </xf>
    <xf numFmtId="0" fontId="9" fillId="0" borderId="24" xfId="0" applyFont="1" applyBorder="1" applyAlignment="1">
      <alignment vertical="center"/>
    </xf>
    <xf numFmtId="0" fontId="9" fillId="0" borderId="45" xfId="0" applyFont="1" applyBorder="1" applyAlignment="1">
      <alignment vertical="center"/>
    </xf>
    <xf numFmtId="0" fontId="9" fillId="0" borderId="35" xfId="0" applyFont="1" applyBorder="1" applyAlignment="1">
      <alignment horizontal="center" vertical="center" shrinkToFit="1"/>
    </xf>
    <xf numFmtId="177" fontId="10" fillId="0" borderId="46" xfId="0" applyNumberFormat="1" applyFont="1" applyBorder="1" applyAlignment="1">
      <alignment horizontal="center" vertical="center" shrinkToFit="1"/>
    </xf>
    <xf numFmtId="0" fontId="15" fillId="0" borderId="23" xfId="0" applyFont="1" applyBorder="1" applyAlignment="1">
      <alignment horizontal="centerContinuous" vertical="center"/>
    </xf>
    <xf numFmtId="0" fontId="13" fillId="0" borderId="23" xfId="0" applyFont="1" applyBorder="1" applyAlignment="1">
      <alignment horizontal="center" vertical="center"/>
    </xf>
    <xf numFmtId="0" fontId="13" fillId="0" borderId="23" xfId="0" applyFont="1" applyBorder="1" applyAlignment="1">
      <alignment vertical="center"/>
    </xf>
    <xf numFmtId="0" fontId="9" fillId="0" borderId="23" xfId="0" quotePrefix="1" applyFont="1" applyBorder="1" applyAlignment="1">
      <alignment horizontal="center" vertical="center"/>
    </xf>
    <xf numFmtId="0" fontId="9" fillId="0" borderId="23" xfId="0" applyFont="1" applyBorder="1" applyAlignment="1">
      <alignment horizontal="left" vertical="center"/>
    </xf>
    <xf numFmtId="177" fontId="9" fillId="0" borderId="23" xfId="0" applyNumberFormat="1" applyFont="1" applyBorder="1" applyAlignment="1">
      <alignment horizontal="center" vertical="center"/>
    </xf>
    <xf numFmtId="176" fontId="9" fillId="0" borderId="23" xfId="0" applyNumberFormat="1" applyFont="1" applyBorder="1" applyAlignment="1">
      <alignment horizontal="right" vertical="center"/>
    </xf>
    <xf numFmtId="176" fontId="9" fillId="0" borderId="23" xfId="0" applyNumberFormat="1" applyFont="1" applyBorder="1" applyAlignment="1">
      <alignment horizontal="center" vertical="center"/>
    </xf>
    <xf numFmtId="0" fontId="13" fillId="3" borderId="23" xfId="0" applyFont="1" applyFill="1" applyBorder="1" applyAlignment="1">
      <alignment horizontal="center" vertical="center"/>
    </xf>
    <xf numFmtId="181" fontId="18" fillId="0" borderId="23" xfId="0" applyNumberFormat="1" applyFont="1" applyBorder="1" applyAlignment="1">
      <alignment horizontal="center" vertical="center" shrinkToFit="1"/>
    </xf>
    <xf numFmtId="0" fontId="21" fillId="4" borderId="23" xfId="0" applyFont="1" applyFill="1" applyBorder="1" applyAlignment="1">
      <alignment horizontal="left" vertical="center" shrinkToFit="1"/>
    </xf>
    <xf numFmtId="0" fontId="4" fillId="4" borderId="23" xfId="0" applyFont="1" applyFill="1" applyBorder="1" applyAlignment="1">
      <alignment horizontal="left" vertical="center"/>
    </xf>
    <xf numFmtId="0" fontId="4" fillId="4" borderId="23" xfId="0" applyFont="1" applyFill="1" applyBorder="1" applyAlignment="1">
      <alignment horizontal="left" vertical="center" shrinkToFit="1"/>
    </xf>
    <xf numFmtId="41" fontId="4" fillId="4" borderId="23" xfId="0" applyNumberFormat="1" applyFont="1" applyFill="1" applyBorder="1" applyAlignment="1">
      <alignment horizontal="left" vertical="center"/>
    </xf>
    <xf numFmtId="0" fontId="4" fillId="4" borderId="23" xfId="0" applyFont="1" applyFill="1" applyBorder="1" applyAlignment="1">
      <alignment horizontal="center" vertical="center"/>
    </xf>
    <xf numFmtId="49" fontId="6" fillId="0" borderId="23" xfId="0" applyNumberFormat="1" applyFont="1" applyBorder="1" applyAlignment="1">
      <alignment horizontal="center" vertical="center"/>
    </xf>
    <xf numFmtId="41" fontId="4" fillId="4" borderId="23" xfId="0" applyNumberFormat="1" applyFont="1" applyFill="1" applyBorder="1" applyAlignment="1">
      <alignment horizontal="center" vertical="center"/>
    </xf>
    <xf numFmtId="0" fontId="12" fillId="0" borderId="32" xfId="0" applyFont="1" applyBorder="1" applyAlignment="1">
      <alignment vertical="center"/>
    </xf>
    <xf numFmtId="0" fontId="12" fillId="0" borderId="32" xfId="0" applyFont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distributed" vertical="center"/>
    </xf>
    <xf numFmtId="0" fontId="13" fillId="0" borderId="0" xfId="0" applyFont="1" applyAlignment="1">
      <alignment horizontal="left" vertical="center"/>
    </xf>
    <xf numFmtId="0" fontId="12" fillId="0" borderId="0" xfId="0" quotePrefix="1" applyFont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vertical="center"/>
    </xf>
    <xf numFmtId="0" fontId="9" fillId="0" borderId="5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13" fillId="0" borderId="6" xfId="0" applyFont="1" applyBorder="1" applyAlignment="1">
      <alignment horizontal="distributed" vertical="center"/>
    </xf>
    <xf numFmtId="0" fontId="13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vertical="center"/>
    </xf>
    <xf numFmtId="182" fontId="39" fillId="0" borderId="23" xfId="0" applyNumberFormat="1" applyFont="1" applyBorder="1" applyAlignment="1">
      <alignment horizontal="right" vertical="center" shrinkToFit="1"/>
    </xf>
    <xf numFmtId="182" fontId="39" fillId="0" borderId="23" xfId="0" applyNumberFormat="1" applyFont="1" applyBorder="1" applyAlignment="1">
      <alignment vertical="center" shrinkToFit="1"/>
    </xf>
    <xf numFmtId="0" fontId="39" fillId="0" borderId="23" xfId="0" applyFont="1" applyBorder="1" applyAlignment="1">
      <alignment horizontal="center" vertical="center" shrinkToFit="1"/>
    </xf>
    <xf numFmtId="0" fontId="42" fillId="0" borderId="0" xfId="0" applyFont="1"/>
    <xf numFmtId="0" fontId="43" fillId="0" borderId="0" xfId="0" applyFont="1"/>
    <xf numFmtId="0" fontId="42" fillId="0" borderId="0" xfId="0" applyFont="1" applyAlignment="1">
      <alignment horizontal="center"/>
    </xf>
    <xf numFmtId="41" fontId="42" fillId="0" borderId="0" xfId="0" applyNumberFormat="1" applyFont="1"/>
    <xf numFmtId="179" fontId="44" fillId="0" borderId="25" xfId="0" applyNumberFormat="1" applyFont="1" applyBorder="1" applyAlignment="1">
      <alignment horizontal="center" vertical="center" shrinkToFit="1"/>
    </xf>
    <xf numFmtId="0" fontId="44" fillId="0" borderId="25" xfId="0" applyFont="1" applyBorder="1" applyAlignment="1">
      <alignment horizontal="center" vertical="center"/>
    </xf>
    <xf numFmtId="0" fontId="44" fillId="2" borderId="23" xfId="0" applyFont="1" applyFill="1" applyBorder="1" applyAlignment="1">
      <alignment horizontal="center" vertical="center" shrinkToFit="1"/>
    </xf>
    <xf numFmtId="179" fontId="44" fillId="2" borderId="23" xfId="0" applyNumberFormat="1" applyFont="1" applyFill="1" applyBorder="1" applyAlignment="1">
      <alignment horizontal="center" vertical="center"/>
    </xf>
    <xf numFmtId="0" fontId="44" fillId="2" borderId="23" xfId="0" applyFont="1" applyFill="1" applyBorder="1" applyAlignment="1">
      <alignment horizontal="center" vertical="center"/>
    </xf>
    <xf numFmtId="0" fontId="44" fillId="2" borderId="23" xfId="0" applyFont="1" applyFill="1" applyBorder="1" applyAlignment="1">
      <alignment horizontal="left" vertical="center" shrinkToFit="1"/>
    </xf>
    <xf numFmtId="0" fontId="44" fillId="2" borderId="23" xfId="0" applyFont="1" applyFill="1" applyBorder="1" applyAlignment="1">
      <alignment horizontal="left" vertical="center"/>
    </xf>
    <xf numFmtId="0" fontId="45" fillId="2" borderId="23" xfId="0" applyFont="1" applyFill="1" applyBorder="1" applyAlignment="1">
      <alignment horizontal="center" vertical="center" shrinkToFit="1"/>
    </xf>
    <xf numFmtId="0" fontId="45" fillId="0" borderId="25" xfId="0" applyFont="1" applyBorder="1" applyAlignment="1">
      <alignment horizontal="center" vertical="center" shrinkToFit="1"/>
    </xf>
    <xf numFmtId="179" fontId="45" fillId="0" borderId="25" xfId="0" applyNumberFormat="1" applyFont="1" applyBorder="1" applyAlignment="1">
      <alignment horizontal="center" vertical="center" shrinkToFit="1"/>
    </xf>
    <xf numFmtId="0" fontId="45" fillId="2" borderId="23" xfId="0" applyFont="1" applyFill="1" applyBorder="1" applyAlignment="1">
      <alignment horizontal="left" vertical="center" shrinkToFit="1"/>
    </xf>
    <xf numFmtId="179" fontId="45" fillId="2" borderId="23" xfId="0" applyNumberFormat="1" applyFont="1" applyFill="1" applyBorder="1" applyAlignment="1">
      <alignment horizontal="center" vertical="center"/>
    </xf>
    <xf numFmtId="0" fontId="45" fillId="0" borderId="25" xfId="0" applyFont="1" applyBorder="1" applyAlignment="1">
      <alignment horizontal="center" vertical="center"/>
    </xf>
    <xf numFmtId="179" fontId="45" fillId="0" borderId="25" xfId="0" applyNumberFormat="1" applyFont="1" applyBorder="1" applyAlignment="1">
      <alignment horizontal="center" vertical="center"/>
    </xf>
    <xf numFmtId="0" fontId="45" fillId="2" borderId="23" xfId="0" applyFont="1" applyFill="1" applyBorder="1" applyAlignment="1">
      <alignment horizontal="left" vertical="center"/>
    </xf>
    <xf numFmtId="0" fontId="45" fillId="2" borderId="23" xfId="0" applyFont="1" applyFill="1" applyBorder="1" applyAlignment="1">
      <alignment horizontal="center" vertical="center"/>
    </xf>
    <xf numFmtId="0" fontId="46" fillId="0" borderId="0" xfId="0" applyFont="1"/>
    <xf numFmtId="0" fontId="48" fillId="0" borderId="0" xfId="0" applyFont="1"/>
    <xf numFmtId="41" fontId="49" fillId="0" borderId="23" xfId="0" applyNumberFormat="1" applyFont="1" applyBorder="1" applyAlignment="1">
      <alignment horizontal="center" vertical="center" shrinkToFit="1"/>
    </xf>
    <xf numFmtId="0" fontId="46" fillId="0" borderId="23" xfId="0" applyFont="1" applyBorder="1"/>
    <xf numFmtId="41" fontId="47" fillId="0" borderId="23" xfId="0" applyNumberFormat="1" applyFont="1" applyBorder="1" applyAlignment="1">
      <alignment vertical="center" shrinkToFit="1"/>
    </xf>
    <xf numFmtId="180" fontId="47" fillId="0" borderId="23" xfId="0" applyNumberFormat="1" applyFont="1" applyBorder="1" applyAlignment="1">
      <alignment vertical="center" shrinkToFit="1"/>
    </xf>
    <xf numFmtId="0" fontId="48" fillId="0" borderId="23" xfId="0" applyFont="1" applyBorder="1"/>
    <xf numFmtId="41" fontId="50" fillId="0" borderId="23" xfId="0" applyNumberFormat="1" applyFont="1" applyBorder="1" applyAlignment="1">
      <alignment vertical="center" shrinkToFit="1"/>
    </xf>
    <xf numFmtId="180" fontId="50" fillId="0" borderId="23" xfId="0" applyNumberFormat="1" applyFont="1" applyBorder="1" applyAlignment="1">
      <alignment vertical="center" shrinkToFit="1"/>
    </xf>
    <xf numFmtId="180" fontId="51" fillId="0" borderId="23" xfId="0" quotePrefix="1" applyNumberFormat="1" applyFont="1" applyBorder="1" applyAlignment="1">
      <alignment vertical="center" shrinkToFit="1"/>
    </xf>
    <xf numFmtId="180" fontId="51" fillId="0" borderId="23" xfId="0" quotePrefix="1" applyNumberFormat="1" applyFont="1" applyBorder="1" applyAlignment="1">
      <alignment horizontal="center" vertical="center" shrinkToFit="1"/>
    </xf>
    <xf numFmtId="41" fontId="51" fillId="0" borderId="23" xfId="0" applyNumberFormat="1" applyFont="1" applyBorder="1" applyAlignment="1">
      <alignment vertical="center"/>
    </xf>
    <xf numFmtId="41" fontId="51" fillId="0" borderId="23" xfId="0" applyNumberFormat="1" applyFont="1" applyBorder="1" applyAlignment="1">
      <alignment horizontal="center" vertical="center"/>
    </xf>
    <xf numFmtId="180" fontId="52" fillId="0" borderId="23" xfId="0" applyNumberFormat="1" applyFont="1" applyBorder="1" applyAlignment="1">
      <alignment vertical="center" shrinkToFit="1"/>
    </xf>
    <xf numFmtId="180" fontId="52" fillId="0" borderId="23" xfId="0" applyNumberFormat="1" applyFont="1" applyBorder="1" applyAlignment="1">
      <alignment horizontal="center" vertical="center" shrinkToFit="1"/>
    </xf>
    <xf numFmtId="41" fontId="52" fillId="0" borderId="23" xfId="0" applyNumberFormat="1" applyFont="1" applyBorder="1" applyAlignment="1">
      <alignment vertical="center"/>
    </xf>
    <xf numFmtId="41" fontId="53" fillId="0" borderId="23" xfId="0" applyNumberFormat="1" applyFont="1" applyBorder="1" applyAlignment="1">
      <alignment vertical="center"/>
    </xf>
    <xf numFmtId="180" fontId="52" fillId="0" borderId="32" xfId="0" applyNumberFormat="1" applyFont="1" applyBorder="1" applyAlignment="1">
      <alignment vertical="center" shrinkToFit="1"/>
    </xf>
    <xf numFmtId="180" fontId="52" fillId="0" borderId="33" xfId="0" applyNumberFormat="1" applyFont="1" applyBorder="1" applyAlignment="1">
      <alignment vertical="center" shrinkToFit="1"/>
    </xf>
    <xf numFmtId="180" fontId="52" fillId="0" borderId="34" xfId="0" applyNumberFormat="1" applyFont="1" applyBorder="1" applyAlignment="1">
      <alignment horizontal="center" vertical="center" shrinkToFit="1"/>
    </xf>
    <xf numFmtId="0" fontId="46" fillId="0" borderId="0" xfId="0" applyFont="1" applyAlignment="1">
      <alignment horizontal="center"/>
    </xf>
    <xf numFmtId="41" fontId="46" fillId="0" borderId="0" xfId="0" applyNumberFormat="1" applyFont="1"/>
    <xf numFmtId="41" fontId="54" fillId="3" borderId="8" xfId="0" applyNumberFormat="1" applyFont="1" applyFill="1" applyBorder="1" applyAlignment="1">
      <alignment horizontal="center" vertical="top"/>
    </xf>
    <xf numFmtId="41" fontId="54" fillId="3" borderId="25" xfId="0" applyNumberFormat="1" applyFont="1" applyFill="1" applyBorder="1" applyAlignment="1">
      <alignment horizontal="center"/>
    </xf>
    <xf numFmtId="0" fontId="40" fillId="0" borderId="0" xfId="0" applyFont="1" applyAlignment="1">
      <alignment horizontal="center" vertical="center"/>
    </xf>
    <xf numFmtId="41" fontId="21" fillId="0" borderId="23" xfId="0" applyNumberFormat="1" applyFont="1" applyBorder="1" applyAlignment="1">
      <alignment vertical="center" shrinkToFit="1"/>
    </xf>
    <xf numFmtId="0" fontId="36" fillId="3" borderId="23" xfId="0" applyFont="1" applyFill="1" applyBorder="1" applyAlignment="1">
      <alignment horizontal="left" vertical="center"/>
    </xf>
    <xf numFmtId="179" fontId="45" fillId="2" borderId="23" xfId="0" applyNumberFormat="1" applyFont="1" applyFill="1" applyBorder="1" applyAlignment="1">
      <alignment horizontal="right" vertical="center" shrinkToFit="1"/>
    </xf>
    <xf numFmtId="0" fontId="45" fillId="0" borderId="25" xfId="0" applyFont="1" applyBorder="1" applyAlignment="1">
      <alignment horizontal="right" vertical="center" shrinkToFit="1"/>
    </xf>
    <xf numFmtId="179" fontId="45" fillId="0" borderId="25" xfId="0" applyNumberFormat="1" applyFont="1" applyBorder="1" applyAlignment="1">
      <alignment horizontal="right" vertical="center" shrinkToFit="1"/>
    </xf>
    <xf numFmtId="179" fontId="45" fillId="2" borderId="23" xfId="0" applyNumberFormat="1" applyFont="1" applyFill="1" applyBorder="1" applyAlignment="1">
      <alignment horizontal="right" vertical="center"/>
    </xf>
    <xf numFmtId="0" fontId="45" fillId="0" borderId="25" xfId="0" applyFont="1" applyBorder="1" applyAlignment="1">
      <alignment horizontal="right" vertical="center"/>
    </xf>
    <xf numFmtId="179" fontId="45" fillId="0" borderId="25" xfId="0" applyNumberFormat="1" applyFont="1" applyBorder="1" applyAlignment="1">
      <alignment horizontal="right" vertical="center"/>
    </xf>
    <xf numFmtId="179" fontId="18" fillId="2" borderId="23" xfId="0" applyNumberFormat="1" applyFont="1" applyFill="1" applyBorder="1" applyAlignment="1">
      <alignment horizontal="right" vertical="center"/>
    </xf>
    <xf numFmtId="0" fontId="18" fillId="0" borderId="25" xfId="0" applyFont="1" applyBorder="1" applyAlignment="1">
      <alignment horizontal="right" vertical="center"/>
    </xf>
    <xf numFmtId="179" fontId="18" fillId="0" borderId="25" xfId="0" applyNumberFormat="1" applyFont="1" applyBorder="1" applyAlignment="1">
      <alignment horizontal="right" vertical="center"/>
    </xf>
    <xf numFmtId="181" fontId="45" fillId="0" borderId="11" xfId="0" applyNumberFormat="1" applyFont="1" applyBorder="1" applyAlignment="1">
      <alignment horizontal="left" vertical="center" shrinkToFit="1"/>
    </xf>
    <xf numFmtId="0" fontId="17" fillId="0" borderId="3" xfId="0" applyFont="1" applyBorder="1"/>
    <xf numFmtId="0" fontId="58" fillId="0" borderId="0" xfId="0" applyFont="1" applyAlignment="1">
      <alignment vertical="center" shrinkToFit="1"/>
    </xf>
    <xf numFmtId="177" fontId="10" fillId="0" borderId="47" xfId="0" applyNumberFormat="1" applyFont="1" applyBorder="1" applyAlignment="1">
      <alignment horizontal="center" vertical="center" shrinkToFit="1"/>
    </xf>
    <xf numFmtId="177" fontId="10" fillId="0" borderId="44" xfId="0" applyNumberFormat="1" applyFont="1" applyBorder="1" applyAlignment="1">
      <alignment horizontal="center" vertical="center" shrinkToFit="1"/>
    </xf>
    <xf numFmtId="177" fontId="10" fillId="0" borderId="48" xfId="0" applyNumberFormat="1" applyFont="1" applyBorder="1" applyAlignment="1">
      <alignment horizontal="center" vertical="center" shrinkToFit="1"/>
    </xf>
    <xf numFmtId="0" fontId="54" fillId="3" borderId="0" xfId="0" applyFont="1" applyFill="1" applyAlignment="1">
      <alignment horizontal="center" vertical="center" shrinkToFit="1"/>
    </xf>
    <xf numFmtId="186" fontId="34" fillId="0" borderId="0" xfId="0" applyNumberFormat="1" applyFont="1" applyAlignment="1">
      <alignment horizontal="right" vertical="center" shrinkToFit="1"/>
    </xf>
    <xf numFmtId="182" fontId="34" fillId="0" borderId="0" xfId="0" applyNumberFormat="1" applyFont="1" applyAlignment="1">
      <alignment horizontal="center" vertical="center" shrinkToFit="1"/>
    </xf>
    <xf numFmtId="0" fontId="56" fillId="0" borderId="23" xfId="0" applyFont="1" applyBorder="1" applyAlignment="1">
      <alignment horizontal="left" vertical="center" shrinkToFit="1"/>
    </xf>
    <xf numFmtId="0" fontId="56" fillId="0" borderId="23" xfId="0" applyFont="1" applyBorder="1" applyAlignment="1">
      <alignment horizontal="center" vertical="center" shrinkToFit="1"/>
    </xf>
    <xf numFmtId="186" fontId="56" fillId="0" borderId="23" xfId="0" applyNumberFormat="1" applyFont="1" applyBorder="1" applyAlignment="1">
      <alignment horizontal="right" vertical="center" shrinkToFit="1"/>
    </xf>
    <xf numFmtId="182" fontId="56" fillId="0" borderId="23" xfId="0" applyNumberFormat="1" applyFont="1" applyBorder="1" applyAlignment="1">
      <alignment horizontal="right" vertical="center" shrinkToFit="1"/>
    </xf>
    <xf numFmtId="182" fontId="56" fillId="0" borderId="23" xfId="0" applyNumberFormat="1" applyFont="1" applyBorder="1" applyAlignment="1">
      <alignment vertical="center" shrinkToFit="1"/>
    </xf>
    <xf numFmtId="0" fontId="39" fillId="0" borderId="23" xfId="0" applyFont="1" applyBorder="1" applyAlignment="1">
      <alignment horizontal="left" vertical="center" shrinkToFit="1"/>
    </xf>
    <xf numFmtId="186" fontId="39" fillId="0" borderId="23" xfId="0" applyNumberFormat="1" applyFont="1" applyBorder="1" applyAlignment="1">
      <alignment horizontal="left" vertical="center" shrinkToFit="1"/>
    </xf>
    <xf numFmtId="186" fontId="39" fillId="0" borderId="23" xfId="0" applyNumberFormat="1" applyFont="1" applyBorder="1" applyAlignment="1">
      <alignment horizontal="right" vertical="center" shrinkToFit="1"/>
    </xf>
    <xf numFmtId="182" fontId="39" fillId="0" borderId="23" xfId="0" applyNumberFormat="1" applyFont="1" applyBorder="1" applyAlignment="1">
      <alignment horizontal="center" vertical="center" shrinkToFit="1"/>
    </xf>
    <xf numFmtId="41" fontId="56" fillId="0" borderId="23" xfId="1" applyFont="1" applyBorder="1" applyAlignment="1">
      <alignment horizontal="right" vertical="center" shrinkToFit="1"/>
    </xf>
    <xf numFmtId="41" fontId="39" fillId="0" borderId="23" xfId="1" applyFont="1" applyBorder="1" applyAlignment="1">
      <alignment horizontal="left" vertical="center" shrinkToFit="1"/>
    </xf>
    <xf numFmtId="41" fontId="39" fillId="0" borderId="23" xfId="1" applyFont="1" applyBorder="1" applyAlignment="1">
      <alignment horizontal="right" vertical="center" shrinkToFit="1"/>
    </xf>
    <xf numFmtId="0" fontId="39" fillId="3" borderId="23" xfId="0" applyFont="1" applyFill="1" applyBorder="1" applyAlignment="1">
      <alignment horizontal="left" vertical="center" shrinkToFit="1"/>
    </xf>
    <xf numFmtId="41" fontId="39" fillId="0" borderId="23" xfId="0" applyNumberFormat="1" applyFont="1" applyBorder="1" applyAlignment="1">
      <alignment horizontal="right" vertical="center" shrinkToFit="1"/>
    </xf>
    <xf numFmtId="186" fontId="39" fillId="0" borderId="23" xfId="1" applyNumberFormat="1" applyFont="1" applyBorder="1" applyAlignment="1">
      <alignment horizontal="right" vertical="center" shrinkToFit="1"/>
    </xf>
    <xf numFmtId="0" fontId="12" fillId="0" borderId="4" xfId="0" applyFont="1" applyBorder="1" applyAlignment="1">
      <alignment vertical="center"/>
    </xf>
    <xf numFmtId="0" fontId="13" fillId="0" borderId="3" xfId="0" applyFont="1" applyBorder="1" applyAlignment="1">
      <alignment horizontal="right" vertical="center"/>
    </xf>
    <xf numFmtId="177" fontId="10" fillId="0" borderId="49" xfId="0" applyNumberFormat="1" applyFont="1" applyBorder="1" applyAlignment="1">
      <alignment horizontal="center" vertical="center" shrinkToFit="1"/>
    </xf>
    <xf numFmtId="177" fontId="10" fillId="0" borderId="50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86" fontId="39" fillId="0" borderId="63" xfId="0" applyNumberFormat="1" applyFont="1" applyBorder="1" applyAlignment="1">
      <alignment horizontal="left" vertical="center" shrinkToFit="1"/>
    </xf>
    <xf numFmtId="182" fontId="39" fillId="0" borderId="63" xfId="0" applyNumberFormat="1" applyFont="1" applyBorder="1" applyAlignment="1">
      <alignment vertical="center" shrinkToFit="1"/>
    </xf>
    <xf numFmtId="0" fontId="21" fillId="4" borderId="53" xfId="0" applyFont="1" applyFill="1" applyBorder="1" applyAlignment="1">
      <alignment vertical="center" shrinkToFit="1"/>
    </xf>
    <xf numFmtId="0" fontId="39" fillId="0" borderId="53" xfId="0" applyFont="1" applyBorder="1" applyAlignment="1">
      <alignment horizontal="center" vertical="center" shrinkToFit="1"/>
    </xf>
    <xf numFmtId="0" fontId="39" fillId="0" borderId="8" xfId="0" applyFont="1" applyBorder="1" applyAlignment="1">
      <alignment horizontal="left" vertical="center" shrinkToFit="1"/>
    </xf>
    <xf numFmtId="0" fontId="39" fillId="0" borderId="53" xfId="0" applyFont="1" applyBorder="1" applyAlignment="1">
      <alignment horizontal="left" vertical="center" shrinkToFit="1"/>
    </xf>
    <xf numFmtId="41" fontId="39" fillId="0" borderId="53" xfId="1" applyFont="1" applyBorder="1" applyAlignment="1">
      <alignment horizontal="right" vertical="center" shrinkToFit="1"/>
    </xf>
    <xf numFmtId="41" fontId="39" fillId="0" borderId="63" xfId="1" applyFont="1" applyBorder="1" applyAlignment="1">
      <alignment horizontal="right" vertical="center" shrinkToFit="1"/>
    </xf>
    <xf numFmtId="0" fontId="21" fillId="4" borderId="53" xfId="0" applyFont="1" applyFill="1" applyBorder="1" applyAlignment="1">
      <alignment horizontal="center" vertical="center"/>
    </xf>
    <xf numFmtId="41" fontId="21" fillId="4" borderId="53" xfId="0" applyNumberFormat="1" applyFont="1" applyFill="1" applyBorder="1" applyAlignment="1">
      <alignment vertical="center" shrinkToFit="1"/>
    </xf>
    <xf numFmtId="41" fontId="39" fillId="0" borderId="61" xfId="1" applyFont="1" applyBorder="1" applyAlignment="1">
      <alignment horizontal="right" vertical="center" shrinkToFit="1"/>
    </xf>
    <xf numFmtId="0" fontId="39" fillId="0" borderId="61" xfId="0" applyFont="1" applyBorder="1" applyAlignment="1">
      <alignment horizontal="left" vertical="center" shrinkToFit="1"/>
    </xf>
    <xf numFmtId="182" fontId="39" fillId="0" borderId="63" xfId="0" applyNumberFormat="1" applyFont="1" applyBorder="1" applyAlignment="1">
      <alignment horizontal="right" vertical="center" shrinkToFit="1"/>
    </xf>
    <xf numFmtId="186" fontId="39" fillId="0" borderId="63" xfId="0" applyNumberFormat="1" applyFont="1" applyBorder="1" applyAlignment="1">
      <alignment horizontal="right" vertical="center" shrinkToFit="1"/>
    </xf>
    <xf numFmtId="0" fontId="39" fillId="0" borderId="8" xfId="0" applyFont="1" applyBorder="1" applyAlignment="1">
      <alignment horizontal="center" vertical="center" shrinkToFit="1"/>
    </xf>
    <xf numFmtId="41" fontId="10" fillId="0" borderId="5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1" fontId="39" fillId="0" borderId="8" xfId="0" applyNumberFormat="1" applyFont="1" applyBorder="1" applyAlignment="1">
      <alignment horizontal="right" vertical="center" shrinkToFit="1"/>
    </xf>
    <xf numFmtId="41" fontId="39" fillId="0" borderId="23" xfId="0" applyNumberFormat="1" applyFont="1" applyBorder="1" applyAlignment="1">
      <alignment horizontal="center" vertical="center" shrinkToFit="1"/>
    </xf>
    <xf numFmtId="0" fontId="39" fillId="0" borderId="61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/>
    </xf>
    <xf numFmtId="0" fontId="39" fillId="0" borderId="63" xfId="0" applyFont="1" applyBorder="1" applyAlignment="1">
      <alignment horizontal="left" vertical="center" shrinkToFit="1"/>
    </xf>
    <xf numFmtId="0" fontId="56" fillId="0" borderId="63" xfId="0" applyFont="1" applyBorder="1" applyAlignment="1">
      <alignment horizontal="center" vertical="center" shrinkToFit="1"/>
    </xf>
    <xf numFmtId="182" fontId="39" fillId="0" borderId="63" xfId="0" applyNumberFormat="1" applyFont="1" applyBorder="1" applyAlignment="1">
      <alignment horizontal="center" vertical="center" shrinkToFit="1"/>
    </xf>
    <xf numFmtId="0" fontId="39" fillId="0" borderId="63" xfId="0" applyFont="1" applyBorder="1" applyAlignment="1">
      <alignment horizontal="center" vertical="center" shrinkToFit="1"/>
    </xf>
    <xf numFmtId="0" fontId="54" fillId="3" borderId="0" xfId="0" applyFont="1" applyFill="1" applyAlignment="1">
      <alignment horizontal="center" vertical="center" shrinkToFit="1"/>
    </xf>
    <xf numFmtId="0" fontId="10" fillId="0" borderId="25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63" xfId="0" applyFont="1" applyBorder="1" applyAlignment="1">
      <alignment horizontal="left" vertical="center" wrapText="1"/>
    </xf>
    <xf numFmtId="49" fontId="10" fillId="0" borderId="63" xfId="0" applyNumberFormat="1" applyFont="1" applyBorder="1" applyAlignment="1">
      <alignment horizontal="center" vertical="center" wrapText="1"/>
    </xf>
    <xf numFmtId="182" fontId="10" fillId="0" borderId="63" xfId="0" applyNumberFormat="1" applyFont="1" applyBorder="1" applyAlignment="1">
      <alignment horizontal="right" vertical="center"/>
    </xf>
    <xf numFmtId="0" fontId="10" fillId="0" borderId="63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9" fillId="0" borderId="0" xfId="0" applyFont="1" applyAlignment="1">
      <alignment horizontal="distributed" vertical="center" shrinkToFit="1"/>
    </xf>
    <xf numFmtId="0" fontId="19" fillId="0" borderId="0" xfId="0" quotePrefix="1" applyFont="1" applyAlignment="1">
      <alignment horizontal="left" vertical="center" indent="1"/>
    </xf>
    <xf numFmtId="0" fontId="19" fillId="0" borderId="2" xfId="0" applyFont="1" applyBorder="1" applyAlignment="1">
      <alignment horizontal="distributed" vertical="center"/>
    </xf>
    <xf numFmtId="0" fontId="29" fillId="0" borderId="2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distributed"/>
    </xf>
    <xf numFmtId="0" fontId="19" fillId="0" borderId="26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83" fontId="20" fillId="0" borderId="0" xfId="0" applyNumberFormat="1" applyFont="1" applyAlignment="1">
      <alignment horizontal="left" vertical="distributed"/>
    </xf>
    <xf numFmtId="0" fontId="32" fillId="0" borderId="23" xfId="0" applyFont="1" applyBorder="1" applyAlignment="1">
      <alignment horizontal="center" vertical="center"/>
    </xf>
    <xf numFmtId="0" fontId="38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shrinkToFit="1"/>
    </xf>
    <xf numFmtId="0" fontId="10" fillId="0" borderId="0" xfId="0" applyFont="1" applyAlignment="1">
      <alignment horizontal="left" vertical="center" wrapText="1"/>
    </xf>
    <xf numFmtId="0" fontId="33" fillId="0" borderId="0" xfId="0" applyFont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11" fillId="0" borderId="0" xfId="0" applyFont="1" applyAlignment="1">
      <alignment horizontal="center" vertical="top"/>
    </xf>
    <xf numFmtId="0" fontId="10" fillId="0" borderId="25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10" fillId="0" borderId="25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82" fontId="10" fillId="0" borderId="25" xfId="0" applyNumberFormat="1" applyFont="1" applyBorder="1" applyAlignment="1">
      <alignment horizontal="center" vertical="center"/>
    </xf>
    <xf numFmtId="182" fontId="10" fillId="0" borderId="8" xfId="0" applyNumberFormat="1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shrinkToFit="1"/>
    </xf>
    <xf numFmtId="0" fontId="9" fillId="0" borderId="62" xfId="0" applyFont="1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shrinkToFit="1"/>
    </xf>
    <xf numFmtId="0" fontId="16" fillId="0" borderId="22" xfId="0" applyFont="1" applyBorder="1" applyAlignment="1">
      <alignment horizontal="left" wrapText="1" indent="4"/>
    </xf>
    <xf numFmtId="0" fontId="16" fillId="0" borderId="14" xfId="0" applyFont="1" applyBorder="1" applyAlignment="1">
      <alignment horizontal="left" wrapText="1" indent="4"/>
    </xf>
    <xf numFmtId="0" fontId="16" fillId="0" borderId="15" xfId="0" applyFont="1" applyBorder="1" applyAlignment="1">
      <alignment horizontal="left" wrapText="1" indent="4"/>
    </xf>
    <xf numFmtId="0" fontId="11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6" fillId="0" borderId="44" xfId="0" applyFont="1" applyBorder="1" applyAlignment="1">
      <alignment horizontal="left" wrapText="1" indent="4"/>
    </xf>
    <xf numFmtId="0" fontId="16" fillId="0" borderId="24" xfId="0" applyFont="1" applyBorder="1" applyAlignment="1">
      <alignment horizontal="left" wrapText="1" indent="4"/>
    </xf>
    <xf numFmtId="0" fontId="16" fillId="0" borderId="45" xfId="0" applyFont="1" applyBorder="1" applyAlignment="1">
      <alignment horizontal="left" wrapText="1" indent="4"/>
    </xf>
    <xf numFmtId="0" fontId="11" fillId="0" borderId="6" xfId="0" applyFont="1" applyBorder="1" applyAlignment="1">
      <alignment horizontal="center" vertical="top"/>
    </xf>
    <xf numFmtId="180" fontId="47" fillId="0" borderId="32" xfId="0" applyNumberFormat="1" applyFont="1" applyBorder="1" applyAlignment="1">
      <alignment horizontal="left" vertical="center" shrinkToFit="1"/>
    </xf>
    <xf numFmtId="180" fontId="47" fillId="0" borderId="33" xfId="0" applyNumberFormat="1" applyFont="1" applyBorder="1" applyAlignment="1">
      <alignment horizontal="left" vertical="center" shrinkToFit="1"/>
    </xf>
    <xf numFmtId="180" fontId="47" fillId="0" borderId="34" xfId="0" applyNumberFormat="1" applyFont="1" applyBorder="1" applyAlignment="1">
      <alignment horizontal="left" vertical="center" shrinkToFit="1"/>
    </xf>
    <xf numFmtId="180" fontId="50" fillId="0" borderId="32" xfId="0" applyNumberFormat="1" applyFont="1" applyBorder="1" applyAlignment="1">
      <alignment horizontal="left" vertical="center" shrinkToFit="1"/>
    </xf>
    <xf numFmtId="180" fontId="50" fillId="0" borderId="33" xfId="0" applyNumberFormat="1" applyFont="1" applyBorder="1" applyAlignment="1">
      <alignment horizontal="left" vertical="center" shrinkToFit="1"/>
    </xf>
    <xf numFmtId="180" fontId="50" fillId="0" borderId="34" xfId="0" applyNumberFormat="1" applyFont="1" applyBorder="1" applyAlignment="1">
      <alignment horizontal="left" vertical="center" shrinkToFit="1"/>
    </xf>
    <xf numFmtId="41" fontId="49" fillId="0" borderId="23" xfId="0" applyNumberFormat="1" applyFont="1" applyBorder="1" applyAlignment="1">
      <alignment horizontal="center" vertical="center" shrinkToFit="1"/>
    </xf>
    <xf numFmtId="0" fontId="57" fillId="0" borderId="0" xfId="0" applyFont="1" applyAlignment="1">
      <alignment horizontal="center" vertical="center" shrinkToFit="1"/>
    </xf>
    <xf numFmtId="0" fontId="47" fillId="0" borderId="0" xfId="0" quotePrefix="1" applyFont="1" applyAlignment="1">
      <alignment vertical="center" shrinkToFit="1"/>
    </xf>
    <xf numFmtId="180" fontId="49" fillId="0" borderId="23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 wrapText="1"/>
    </xf>
    <xf numFmtId="41" fontId="9" fillId="3" borderId="23" xfId="0" applyNumberFormat="1" applyFont="1" applyFill="1" applyBorder="1" applyAlignment="1">
      <alignment horizontal="center" vertical="center"/>
    </xf>
    <xf numFmtId="0" fontId="9" fillId="2" borderId="32" xfId="0" quotePrefix="1" applyFont="1" applyFill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22" fillId="0" borderId="34" xfId="0" applyFont="1" applyBorder="1" applyAlignment="1">
      <alignment horizontal="center" vertical="center"/>
    </xf>
    <xf numFmtId="0" fontId="34" fillId="3" borderId="32" xfId="0" applyFont="1" applyFill="1" applyBorder="1" applyAlignment="1">
      <alignment horizontal="center" vertical="center" shrinkToFit="1"/>
    </xf>
    <xf numFmtId="0" fontId="34" fillId="3" borderId="34" xfId="0" applyFont="1" applyFill="1" applyBorder="1" applyAlignment="1">
      <alignment horizontal="center" vertical="center" shrinkToFit="1"/>
    </xf>
  </cellXfs>
  <cellStyles count="63">
    <cellStyle name="??&amp;O?&amp;H?_x0008_??_x0007__x0001__x0001_" xfId="43"/>
    <cellStyle name="category" xfId="10"/>
    <cellStyle name="Comma [0]_ SG&amp;A Bridge " xfId="11"/>
    <cellStyle name="Comma_ SG&amp;A Bridge " xfId="12"/>
    <cellStyle name="Currency [0]_ SG&amp;A Bridge " xfId="13"/>
    <cellStyle name="Currency_ SG&amp;A Bridge " xfId="14"/>
    <cellStyle name="Euro" xfId="44"/>
    <cellStyle name="Grey" xfId="15"/>
    <cellStyle name="HEADER" xfId="16"/>
    <cellStyle name="Header1" xfId="17"/>
    <cellStyle name="Header2" xfId="18"/>
    <cellStyle name="Header2 2" xfId="58"/>
    <cellStyle name="Header2 3" xfId="56"/>
    <cellStyle name="Header2 4" xfId="53"/>
    <cellStyle name="Header2 5" xfId="60"/>
    <cellStyle name="Header2 6" xfId="62"/>
    <cellStyle name="Input [yellow]" xfId="19"/>
    <cellStyle name="Input [yellow] 2" xfId="57"/>
    <cellStyle name="Input [yellow] 3" xfId="55"/>
    <cellStyle name="Input [yellow] 4" xfId="54"/>
    <cellStyle name="Input [yellow] 5" xfId="59"/>
    <cellStyle name="Input [yellow] 6" xfId="61"/>
    <cellStyle name="Model" xfId="20"/>
    <cellStyle name="Normal - Style1" xfId="21"/>
    <cellStyle name="Normal - 유형1" xfId="22"/>
    <cellStyle name="Normal_ SG&amp;A Bridge " xfId="23"/>
    <cellStyle name="Percent [2]" xfId="24"/>
    <cellStyle name="subhead" xfId="25"/>
    <cellStyle name="咬訌裝?INCOM1" xfId="26"/>
    <cellStyle name="咬訌裝?INCOM10" xfId="27"/>
    <cellStyle name="咬訌裝?INCOM2" xfId="28"/>
    <cellStyle name="咬訌裝?INCOM3" xfId="29"/>
    <cellStyle name="咬訌裝?INCOM4" xfId="30"/>
    <cellStyle name="咬訌裝?INCOM5" xfId="31"/>
    <cellStyle name="咬訌裝?INCOM6" xfId="32"/>
    <cellStyle name="咬訌裝?INCOM7" xfId="33"/>
    <cellStyle name="咬訌裝?INCOM8" xfId="34"/>
    <cellStyle name="咬訌裝?INCOM9" xfId="35"/>
    <cellStyle name="咬訌裝?PRIB11" xfId="36"/>
    <cellStyle name="뒤에 오는 하이퍼링크" xfId="37"/>
    <cellStyle name="설계서" xfId="38"/>
    <cellStyle name="쉼표 [0]" xfId="1" builtinId="6"/>
    <cellStyle name="쉼표 [0] 14" xfId="6"/>
    <cellStyle name="쉼표 [0] 2" xfId="3"/>
    <cellStyle name="쉼표 [0] 2 2" xfId="8"/>
    <cellStyle name="쉼표 [0] 3" xfId="42"/>
    <cellStyle name="쉼표 [0] 3 2" xfId="5"/>
    <cellStyle name="쉼표 [0] 4" xfId="45"/>
    <cellStyle name="쉼표 [0] 5" xfId="52"/>
    <cellStyle name="스타일 1" xfId="46"/>
    <cellStyle name="콤마 [0]_0004 MECH COST  " xfId="39"/>
    <cellStyle name="콤마_0004 MECH COST  " xfId="40"/>
    <cellStyle name="통화 [0] 2" xfId="9"/>
    <cellStyle name="통화 [0] 3" xfId="47"/>
    <cellStyle name="통화 [0] 4" xfId="48"/>
    <cellStyle name="표준" xfId="0" builtinId="0"/>
    <cellStyle name="표준 11" xfId="4"/>
    <cellStyle name="표준 16 10" xfId="7"/>
    <cellStyle name="표준 2" xfId="2"/>
    <cellStyle name="표준 2 2" xfId="41"/>
    <cellStyle name="표준 3" xfId="49"/>
    <cellStyle name="표준 4" xfId="50"/>
    <cellStyle name="표준 5" xfId="51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17</xdr:col>
      <xdr:colOff>504265</xdr:colOff>
      <xdr:row>13</xdr:row>
      <xdr:rowOff>224119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9894794" cy="59503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78"/>
  <sheetViews>
    <sheetView view="pageBreakPreview" zoomScale="70" zoomScaleNormal="100" zoomScaleSheetLayoutView="70" workbookViewId="0">
      <selection activeCell="T8" sqref="T8"/>
    </sheetView>
  </sheetViews>
  <sheetFormatPr defaultColWidth="8.88671875" defaultRowHeight="33.6" customHeight="1"/>
  <cols>
    <col min="1" max="1" width="5.109375" style="53" customWidth="1"/>
    <col min="2" max="2" width="15.77734375" style="53" customWidth="1"/>
    <col min="3" max="3" width="9.44140625" style="53" customWidth="1"/>
    <col min="4" max="15" width="4.88671875" style="53" customWidth="1"/>
    <col min="16" max="16" width="9.44140625" style="53" customWidth="1"/>
    <col min="17" max="17" width="11.77734375" style="53" customWidth="1"/>
    <col min="18" max="18" width="6.44140625" style="53" customWidth="1"/>
    <col min="19" max="16384" width="8.88671875" style="53"/>
  </cols>
  <sheetData>
    <row r="1" spans="1:19" s="28" customFormat="1" ht="33.6" customHeight="1">
      <c r="A1" s="97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9"/>
    </row>
    <row r="2" spans="1:19" s="28" customFormat="1" ht="33.6" customHeight="1">
      <c r="A2" s="100"/>
      <c r="B2" s="190" t="s">
        <v>862</v>
      </c>
      <c r="C2" s="94"/>
      <c r="D2" s="95"/>
      <c r="E2" s="95"/>
      <c r="F2" s="95"/>
      <c r="G2" s="95"/>
      <c r="H2" s="95"/>
      <c r="I2" s="95"/>
      <c r="J2" s="101"/>
      <c r="K2" s="101"/>
      <c r="L2" s="101"/>
      <c r="M2" s="101"/>
      <c r="N2" s="101"/>
      <c r="O2" s="101"/>
      <c r="P2" s="360"/>
      <c r="Q2" s="361"/>
      <c r="R2" s="102"/>
    </row>
    <row r="3" spans="1:19" s="28" customFormat="1" ht="17.45" customHeight="1">
      <c r="A3" s="100"/>
      <c r="B3" s="96"/>
      <c r="C3" s="95"/>
      <c r="D3" s="95"/>
      <c r="E3" s="95"/>
      <c r="F3" s="95"/>
      <c r="G3" s="95"/>
      <c r="H3" s="95"/>
      <c r="I3" s="95"/>
      <c r="J3" s="101"/>
      <c r="K3" s="101"/>
      <c r="L3" s="101"/>
      <c r="M3" s="101"/>
      <c r="N3" s="101"/>
      <c r="O3" s="101"/>
      <c r="P3" s="362"/>
      <c r="Q3" s="363"/>
      <c r="R3" s="102"/>
    </row>
    <row r="4" spans="1:19" s="28" customFormat="1" ht="33.6" customHeight="1">
      <c r="A4" s="100"/>
      <c r="B4" s="192" t="s">
        <v>168</v>
      </c>
      <c r="C4" s="218"/>
      <c r="D4" s="189"/>
      <c r="E4" s="189"/>
      <c r="F4" s="189"/>
      <c r="G4" s="189"/>
      <c r="H4" s="189"/>
      <c r="I4" s="95"/>
      <c r="J4" s="101"/>
      <c r="K4" s="101"/>
      <c r="L4" s="101"/>
      <c r="M4" s="101"/>
      <c r="N4" s="101"/>
      <c r="O4" s="101"/>
      <c r="P4" s="364"/>
      <c r="Q4" s="365"/>
      <c r="R4" s="102"/>
    </row>
    <row r="5" spans="1:19" s="28" customFormat="1" ht="33.6" customHeight="1">
      <c r="A5" s="100"/>
      <c r="B5" s="103"/>
      <c r="C5" s="104"/>
      <c r="D5" s="104"/>
      <c r="E5" s="104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2"/>
    </row>
    <row r="6" spans="1:19" s="28" customFormat="1" ht="59.45" customHeight="1">
      <c r="A6" s="125"/>
      <c r="B6" s="193" t="s">
        <v>144</v>
      </c>
      <c r="C6" s="368" t="s">
        <v>878</v>
      </c>
      <c r="D6" s="368"/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8"/>
      <c r="R6" s="126"/>
    </row>
    <row r="7" spans="1:19" s="28" customFormat="1" ht="33.6" customHeight="1">
      <c r="A7" s="107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9"/>
    </row>
    <row r="8" spans="1:19" s="28" customFormat="1" ht="33.6" customHeight="1">
      <c r="A8" s="100"/>
      <c r="B8" s="358" t="s">
        <v>77</v>
      </c>
      <c r="C8" s="358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8"/>
      <c r="P8" s="358"/>
      <c r="Q8" s="358"/>
      <c r="R8" s="102"/>
    </row>
    <row r="9" spans="1:19" s="28" customFormat="1" ht="29.25" customHeight="1">
      <c r="A9" s="10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02"/>
    </row>
    <row r="10" spans="1:19" s="28" customFormat="1" ht="33.6" customHeight="1">
      <c r="A10" s="100"/>
      <c r="B10" s="111"/>
      <c r="C10" s="111"/>
      <c r="D10" s="357" t="s">
        <v>874</v>
      </c>
      <c r="E10" s="357"/>
      <c r="F10" s="357"/>
      <c r="G10" s="357" t="s">
        <v>875</v>
      </c>
      <c r="H10" s="357"/>
      <c r="I10" s="357"/>
      <c r="J10" s="357" t="s">
        <v>876</v>
      </c>
      <c r="K10" s="357"/>
      <c r="L10" s="357"/>
      <c r="M10" s="357" t="s">
        <v>877</v>
      </c>
      <c r="N10" s="357"/>
      <c r="O10" s="357"/>
      <c r="P10" s="111"/>
      <c r="Q10" s="111"/>
      <c r="R10" s="102"/>
    </row>
    <row r="11" spans="1:19" s="29" customFormat="1" ht="59.45" customHeight="1">
      <c r="A11" s="112"/>
      <c r="B11" s="111"/>
      <c r="C11" s="111"/>
      <c r="D11" s="357"/>
      <c r="E11" s="357"/>
      <c r="F11" s="357"/>
      <c r="G11" s="357"/>
      <c r="H11" s="357"/>
      <c r="I11" s="357"/>
      <c r="J11" s="367"/>
      <c r="K11" s="367"/>
      <c r="L11" s="367"/>
      <c r="M11" s="357"/>
      <c r="N11" s="357"/>
      <c r="O11" s="357"/>
      <c r="P11" s="113"/>
      <c r="Q11" s="113"/>
      <c r="R11" s="114"/>
      <c r="S11" s="28"/>
    </row>
    <row r="12" spans="1:19" s="29" customFormat="1" ht="25.15" customHeight="1">
      <c r="A12" s="112"/>
      <c r="B12" s="111"/>
      <c r="C12" s="111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3"/>
      <c r="O12" s="113"/>
      <c r="P12" s="113"/>
      <c r="Q12" s="113"/>
      <c r="R12" s="114"/>
    </row>
    <row r="13" spans="1:19" s="29" customFormat="1" ht="33.6" customHeight="1">
      <c r="A13" s="112"/>
      <c r="B13" s="116"/>
      <c r="C13" s="116"/>
      <c r="D13" s="117"/>
      <c r="E13" s="117"/>
      <c r="F13" s="117"/>
      <c r="G13" s="117"/>
      <c r="H13" s="117"/>
      <c r="I13" s="117"/>
      <c r="J13" s="117"/>
      <c r="K13" s="117"/>
      <c r="L13" s="111"/>
      <c r="M13" s="111"/>
      <c r="N13" s="113"/>
      <c r="O13" s="113"/>
      <c r="P13" s="113"/>
      <c r="Q13" s="127" t="s">
        <v>76</v>
      </c>
      <c r="R13" s="114"/>
    </row>
    <row r="14" spans="1:19" s="28" customFormat="1" ht="23.85" customHeight="1" thickBot="1">
      <c r="A14" s="118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20"/>
      <c r="S14" s="29"/>
    </row>
    <row r="15" spans="1:19" s="28" customFormat="1" ht="33.6" customHeight="1">
      <c r="A15" s="97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9"/>
    </row>
    <row r="16" spans="1:19" s="28" customFormat="1" ht="33.6" customHeight="1">
      <c r="A16" s="100"/>
      <c r="B16" s="366" t="s">
        <v>862</v>
      </c>
      <c r="C16" s="366"/>
      <c r="D16" s="366"/>
      <c r="E16" s="133"/>
      <c r="F16" s="133"/>
      <c r="G16" s="133"/>
      <c r="H16" s="133"/>
      <c r="I16" s="133"/>
      <c r="J16" s="101"/>
      <c r="K16" s="101"/>
      <c r="L16" s="101"/>
      <c r="M16" s="101"/>
      <c r="N16" s="101"/>
      <c r="O16" s="101"/>
      <c r="P16" s="101"/>
      <c r="Q16" s="101"/>
      <c r="R16" s="102"/>
    </row>
    <row r="17" spans="1:19" s="28" customFormat="1" ht="33.6" customHeight="1">
      <c r="A17" s="100"/>
      <c r="B17" s="192" t="str">
        <f>"공사코드 : "&amp;C4</f>
        <v xml:space="preserve">공사코드 : </v>
      </c>
      <c r="C17" s="95" t="s">
        <v>1169</v>
      </c>
      <c r="D17" s="191"/>
      <c r="E17" s="133"/>
      <c r="F17" s="133"/>
      <c r="G17" s="133"/>
      <c r="H17" s="133"/>
      <c r="I17" s="133"/>
      <c r="J17" s="101"/>
      <c r="K17" s="101"/>
      <c r="L17" s="101"/>
      <c r="M17" s="101"/>
      <c r="N17" s="101"/>
      <c r="O17" s="101"/>
      <c r="P17" s="101"/>
      <c r="Q17" s="101"/>
      <c r="R17" s="102"/>
    </row>
    <row r="18" spans="1:19" s="28" customFormat="1" ht="33.6" customHeight="1">
      <c r="A18" s="100"/>
      <c r="B18" s="359" t="str">
        <f>"공 사 명 : "&amp;C6</f>
        <v>공 사 명 : 부산역 4층(부고열소) 내부개수에 따른 전기공사</v>
      </c>
      <c r="C18" s="359"/>
      <c r="D18" s="359"/>
      <c r="E18" s="359"/>
      <c r="F18" s="359"/>
      <c r="G18" s="359"/>
      <c r="H18" s="359"/>
      <c r="I18" s="359"/>
      <c r="J18" s="359"/>
      <c r="K18" s="359"/>
      <c r="L18" s="359"/>
      <c r="M18" s="359"/>
      <c r="N18" s="359"/>
      <c r="O18" s="359"/>
      <c r="P18" s="101"/>
      <c r="Q18" s="101"/>
      <c r="R18" s="102"/>
    </row>
    <row r="19" spans="1:19" s="28" customFormat="1" ht="33.6" customHeight="1">
      <c r="A19" s="100"/>
      <c r="B19" s="103"/>
      <c r="C19" s="104"/>
      <c r="D19" s="104"/>
      <c r="E19" s="104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2"/>
    </row>
    <row r="20" spans="1:19" s="28" customFormat="1" ht="33.6" customHeight="1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5"/>
      <c r="N20" s="106"/>
      <c r="O20" s="105"/>
      <c r="P20" s="106"/>
      <c r="Q20" s="106"/>
      <c r="R20" s="102"/>
    </row>
    <row r="21" spans="1:19" s="28" customFormat="1" ht="40.700000000000003" customHeight="1">
      <c r="A21" s="128"/>
      <c r="B21" s="358" t="s">
        <v>96</v>
      </c>
      <c r="C21" s="358"/>
      <c r="D21" s="358"/>
      <c r="E21" s="358"/>
      <c r="F21" s="358"/>
      <c r="G21" s="358"/>
      <c r="H21" s="358"/>
      <c r="I21" s="358"/>
      <c r="J21" s="358"/>
      <c r="K21" s="358"/>
      <c r="L21" s="358"/>
      <c r="M21" s="358"/>
      <c r="N21" s="358"/>
      <c r="O21" s="358"/>
      <c r="P21" s="358"/>
      <c r="Q21" s="358"/>
      <c r="R21" s="129"/>
    </row>
    <row r="22" spans="1:19" s="28" customFormat="1" ht="23.1" customHeight="1">
      <c r="A22" s="107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9"/>
    </row>
    <row r="23" spans="1:19" s="28" customFormat="1" ht="27.2" customHeight="1">
      <c r="A23" s="130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2"/>
    </row>
    <row r="24" spans="1:19" s="28" customFormat="1" ht="33.6" customHeight="1">
      <c r="A24" s="100"/>
      <c r="B24" s="54" t="s">
        <v>78</v>
      </c>
      <c r="C24" s="93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02"/>
    </row>
    <row r="25" spans="1:19" s="28" customFormat="1" ht="33.6" customHeight="1">
      <c r="A25" s="100"/>
      <c r="B25" s="134" t="s">
        <v>1170</v>
      </c>
      <c r="C25" s="13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3"/>
      <c r="P25" s="23"/>
      <c r="Q25" s="23"/>
      <c r="R25" s="102"/>
    </row>
    <row r="26" spans="1:19" s="28" customFormat="1" ht="33.6" customHeight="1">
      <c r="A26" s="100"/>
      <c r="B26" s="134" t="s">
        <v>1171</v>
      </c>
      <c r="C26" s="13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111"/>
      <c r="P26" s="111"/>
      <c r="Q26" s="111"/>
      <c r="R26" s="102"/>
    </row>
    <row r="27" spans="1:19" s="29" customFormat="1" ht="33.6" customHeight="1">
      <c r="A27" s="112"/>
      <c r="B27" s="134"/>
      <c r="C27" s="134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53"/>
      <c r="O27" s="113"/>
      <c r="P27" s="113"/>
      <c r="Q27" s="113"/>
      <c r="R27" s="114"/>
      <c r="S27" s="28"/>
    </row>
    <row r="28" spans="1:19" s="28" customFormat="1" ht="27.2" customHeight="1" thickBot="1">
      <c r="A28" s="118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0"/>
      <c r="S28" s="29"/>
    </row>
    <row r="29" spans="1:19" s="28" customFormat="1" ht="33.6" customHeight="1">
      <c r="A29" s="97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9"/>
    </row>
    <row r="30" spans="1:19" s="28" customFormat="1" ht="33.6" customHeight="1">
      <c r="A30" s="100"/>
      <c r="B30" s="121" t="s">
        <v>24</v>
      </c>
      <c r="C30" s="121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02"/>
    </row>
    <row r="31" spans="1:19" s="28" customFormat="1" ht="33.6" customHeight="1">
      <c r="A31" s="100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02"/>
    </row>
    <row r="32" spans="1:19" s="28" customFormat="1" ht="33.6" customHeight="1">
      <c r="A32" s="100"/>
      <c r="B32" s="123">
        <v>1</v>
      </c>
      <c r="C32" s="354" t="s">
        <v>29</v>
      </c>
      <c r="D32" s="354"/>
      <c r="E32" s="354"/>
      <c r="F32" s="354"/>
      <c r="G32" s="354"/>
      <c r="H32" s="354"/>
      <c r="I32" s="354"/>
      <c r="J32" s="355" t="s">
        <v>45</v>
      </c>
      <c r="K32" s="355"/>
      <c r="L32" s="355"/>
      <c r="M32" s="355"/>
      <c r="N32" s="355"/>
      <c r="O32" s="355"/>
      <c r="P32" s="355"/>
      <c r="Q32" s="111">
        <v>1</v>
      </c>
      <c r="R32" s="102"/>
    </row>
    <row r="33" spans="1:18" s="28" customFormat="1" ht="33.6" customHeight="1">
      <c r="A33" s="100"/>
      <c r="B33" s="123">
        <v>2</v>
      </c>
      <c r="C33" s="354" t="s">
        <v>30</v>
      </c>
      <c r="D33" s="354"/>
      <c r="E33" s="354"/>
      <c r="F33" s="354"/>
      <c r="G33" s="354"/>
      <c r="H33" s="354"/>
      <c r="I33" s="354"/>
      <c r="J33" s="355" t="s">
        <v>45</v>
      </c>
      <c r="K33" s="355"/>
      <c r="L33" s="355"/>
      <c r="M33" s="355"/>
      <c r="N33" s="355"/>
      <c r="O33" s="355"/>
      <c r="P33" s="355"/>
      <c r="Q33" s="111">
        <v>2</v>
      </c>
      <c r="R33" s="102"/>
    </row>
    <row r="34" spans="1:18" s="28" customFormat="1" ht="33.6" customHeight="1">
      <c r="A34" s="100"/>
      <c r="B34" s="123">
        <v>3</v>
      </c>
      <c r="C34" s="354" t="s">
        <v>31</v>
      </c>
      <c r="D34" s="354"/>
      <c r="E34" s="354"/>
      <c r="F34" s="354"/>
      <c r="G34" s="354"/>
      <c r="H34" s="354"/>
      <c r="I34" s="354"/>
      <c r="J34" s="355" t="s">
        <v>45</v>
      </c>
      <c r="K34" s="355"/>
      <c r="L34" s="355"/>
      <c r="M34" s="355"/>
      <c r="N34" s="355"/>
      <c r="O34" s="355"/>
      <c r="P34" s="355"/>
      <c r="Q34" s="111">
        <v>3</v>
      </c>
      <c r="R34" s="102"/>
    </row>
    <row r="35" spans="1:18" s="28" customFormat="1" ht="33.6" customHeight="1">
      <c r="A35" s="100"/>
      <c r="B35" s="123">
        <v>4</v>
      </c>
      <c r="C35" s="354" t="s">
        <v>32</v>
      </c>
      <c r="D35" s="354"/>
      <c r="E35" s="354"/>
      <c r="F35" s="354"/>
      <c r="G35" s="354"/>
      <c r="H35" s="354"/>
      <c r="I35" s="354"/>
      <c r="J35" s="355" t="s">
        <v>45</v>
      </c>
      <c r="K35" s="355"/>
      <c r="L35" s="355"/>
      <c r="M35" s="355"/>
      <c r="N35" s="355"/>
      <c r="O35" s="355"/>
      <c r="P35" s="355"/>
      <c r="Q35" s="111">
        <v>4</v>
      </c>
      <c r="R35" s="102"/>
    </row>
    <row r="36" spans="1:18" s="28" customFormat="1" ht="33.6" customHeight="1">
      <c r="A36" s="100"/>
      <c r="B36" s="123">
        <v>5</v>
      </c>
      <c r="C36" s="354" t="s">
        <v>33</v>
      </c>
      <c r="D36" s="354"/>
      <c r="E36" s="354"/>
      <c r="F36" s="354"/>
      <c r="G36" s="354"/>
      <c r="H36" s="354"/>
      <c r="I36" s="354"/>
      <c r="J36" s="355" t="s">
        <v>45</v>
      </c>
      <c r="K36" s="355"/>
      <c r="L36" s="355"/>
      <c r="M36" s="355"/>
      <c r="N36" s="355"/>
      <c r="O36" s="355"/>
      <c r="P36" s="355"/>
      <c r="Q36" s="111">
        <v>5</v>
      </c>
      <c r="R36" s="102"/>
    </row>
    <row r="37" spans="1:18" s="28" customFormat="1" ht="33.6" customHeight="1">
      <c r="A37" s="100"/>
      <c r="B37" s="123">
        <v>6</v>
      </c>
      <c r="C37" s="354" t="s">
        <v>79</v>
      </c>
      <c r="D37" s="354"/>
      <c r="E37" s="354"/>
      <c r="F37" s="354"/>
      <c r="G37" s="354"/>
      <c r="H37" s="354"/>
      <c r="I37" s="354"/>
      <c r="J37" s="355" t="s">
        <v>45</v>
      </c>
      <c r="K37" s="355"/>
      <c r="L37" s="355"/>
      <c r="M37" s="355"/>
      <c r="N37" s="355"/>
      <c r="O37" s="355"/>
      <c r="P37" s="355"/>
      <c r="Q37" s="111">
        <v>6</v>
      </c>
      <c r="R37" s="102"/>
    </row>
    <row r="38" spans="1:18" s="28" customFormat="1" ht="33.6" customHeight="1">
      <c r="A38" s="100"/>
      <c r="B38" s="123">
        <v>7</v>
      </c>
      <c r="C38" s="354" t="s">
        <v>829</v>
      </c>
      <c r="D38" s="354"/>
      <c r="E38" s="354"/>
      <c r="F38" s="354"/>
      <c r="G38" s="354"/>
      <c r="H38" s="354"/>
      <c r="I38" s="354"/>
      <c r="J38" s="355" t="s">
        <v>45</v>
      </c>
      <c r="K38" s="355"/>
      <c r="L38" s="355"/>
      <c r="M38" s="355"/>
      <c r="N38" s="355"/>
      <c r="O38" s="355"/>
      <c r="P38" s="355"/>
      <c r="Q38" s="111">
        <v>7</v>
      </c>
      <c r="R38" s="102"/>
    </row>
    <row r="39" spans="1:18" s="28" customFormat="1" ht="33.6" customHeight="1">
      <c r="A39" s="100"/>
      <c r="B39" s="123">
        <v>8</v>
      </c>
      <c r="C39" s="354" t="s">
        <v>830</v>
      </c>
      <c r="D39" s="354"/>
      <c r="E39" s="354"/>
      <c r="F39" s="354"/>
      <c r="G39" s="354"/>
      <c r="H39" s="354"/>
      <c r="I39" s="354"/>
      <c r="J39" s="355" t="s">
        <v>45</v>
      </c>
      <c r="K39" s="355"/>
      <c r="L39" s="355"/>
      <c r="M39" s="355"/>
      <c r="N39" s="355"/>
      <c r="O39" s="355"/>
      <c r="P39" s="355"/>
      <c r="Q39" s="111">
        <v>8</v>
      </c>
      <c r="R39" s="102"/>
    </row>
    <row r="40" spans="1:18" s="28" customFormat="1" ht="33.6" customHeight="1">
      <c r="A40" s="100"/>
      <c r="B40" s="123">
        <v>9</v>
      </c>
      <c r="C40" s="354" t="s">
        <v>861</v>
      </c>
      <c r="D40" s="354"/>
      <c r="E40" s="354"/>
      <c r="F40" s="354"/>
      <c r="G40" s="354"/>
      <c r="H40" s="354"/>
      <c r="I40" s="354"/>
      <c r="J40" s="355" t="s">
        <v>45</v>
      </c>
      <c r="K40" s="355"/>
      <c r="L40" s="355"/>
      <c r="M40" s="355"/>
      <c r="N40" s="355"/>
      <c r="O40" s="355"/>
      <c r="P40" s="355"/>
      <c r="Q40" s="111">
        <v>9</v>
      </c>
      <c r="R40" s="102"/>
    </row>
    <row r="41" spans="1:18" s="28" customFormat="1" ht="33.6" customHeight="1">
      <c r="A41" s="100"/>
      <c r="B41" s="123"/>
      <c r="C41" s="354"/>
      <c r="D41" s="354"/>
      <c r="E41" s="354"/>
      <c r="F41" s="354"/>
      <c r="G41" s="354"/>
      <c r="H41" s="354"/>
      <c r="I41" s="354"/>
      <c r="J41" s="355"/>
      <c r="K41" s="355"/>
      <c r="L41" s="355"/>
      <c r="M41" s="355"/>
      <c r="N41" s="355"/>
      <c r="O41" s="355"/>
      <c r="P41" s="355"/>
      <c r="Q41" s="111"/>
      <c r="R41" s="102"/>
    </row>
    <row r="42" spans="1:18" s="28" customFormat="1" ht="33.6" customHeight="1" thickBot="1">
      <c r="A42" s="118"/>
      <c r="B42" s="124"/>
      <c r="C42" s="124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119"/>
      <c r="O42" s="119"/>
      <c r="P42" s="119"/>
      <c r="Q42" s="119"/>
      <c r="R42" s="120"/>
    </row>
    <row r="43" spans="1:18" s="28" customFormat="1" ht="33.6" customHeight="1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</row>
    <row r="44" spans="1:18" s="28" customFormat="1" ht="33.6" customHeight="1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</row>
    <row r="45" spans="1:18" s="28" customFormat="1" ht="33.6" customHeight="1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</row>
    <row r="46" spans="1:18" s="28" customFormat="1" ht="33.6" customHeight="1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</row>
    <row r="47" spans="1:18" s="28" customFormat="1" ht="33.6" customHeight="1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</row>
    <row r="48" spans="1:18" s="28" customFormat="1" ht="33.6" customHeight="1">
      <c r="A48" s="111"/>
      <c r="B48" s="111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</row>
    <row r="49" spans="1:18" s="28" customFormat="1" ht="33.6" customHeight="1">
      <c r="A49" s="111"/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</row>
    <row r="50" spans="1:18" s="28" customFormat="1" ht="33.6" customHeight="1">
      <c r="A50" s="111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</row>
    <row r="51" spans="1:18" s="28" customFormat="1" ht="33.6" customHeight="1">
      <c r="A51" s="111"/>
      <c r="B51" s="111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</row>
    <row r="52" spans="1:18" s="28" customFormat="1" ht="33.6" customHeight="1">
      <c r="A52" s="111"/>
      <c r="B52" s="111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</row>
    <row r="53" spans="1:18" s="28" customFormat="1" ht="33.6" customHeight="1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</row>
    <row r="54" spans="1:18" s="28" customFormat="1" ht="33.6" customHeight="1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</row>
    <row r="55" spans="1:18" s="28" customFormat="1" ht="33.6" customHeight="1"/>
    <row r="56" spans="1:18" s="28" customFormat="1" ht="33.6" customHeight="1"/>
    <row r="57" spans="1:18" s="28" customFormat="1" ht="33.6" customHeight="1"/>
    <row r="58" spans="1:18" s="28" customFormat="1" ht="33.6" customHeight="1"/>
    <row r="59" spans="1:18" s="28" customFormat="1" ht="33.6" customHeight="1"/>
    <row r="60" spans="1:18" s="28" customFormat="1" ht="33.6" customHeight="1"/>
    <row r="61" spans="1:18" s="28" customFormat="1" ht="33.6" customHeight="1"/>
    <row r="62" spans="1:18" s="28" customFormat="1" ht="33.6" customHeight="1"/>
    <row r="63" spans="1:18" s="28" customFormat="1" ht="33.6" customHeight="1"/>
    <row r="64" spans="1:18" s="28" customFormat="1" ht="33.6" customHeight="1"/>
    <row r="65" s="28" customFormat="1" ht="33.6" customHeight="1"/>
    <row r="66" s="28" customFormat="1" ht="33.6" customHeight="1"/>
    <row r="67" s="28" customFormat="1" ht="33.6" customHeight="1"/>
    <row r="68" s="28" customFormat="1" ht="33.6" customHeight="1"/>
    <row r="69" s="28" customFormat="1" ht="33.6" customHeight="1"/>
    <row r="70" s="28" customFormat="1" ht="33.6" customHeight="1"/>
    <row r="71" s="28" customFormat="1" ht="33.6" customHeight="1"/>
    <row r="72" s="28" customFormat="1" ht="33.6" customHeight="1"/>
    <row r="73" s="28" customFormat="1" ht="33.6" customHeight="1"/>
    <row r="74" s="28" customFormat="1" ht="33.6" customHeight="1"/>
    <row r="75" s="28" customFormat="1" ht="33.6" customHeight="1"/>
    <row r="76" s="28" customFormat="1" ht="33.6" customHeight="1"/>
    <row r="77" s="28" customFormat="1" ht="33.6" customHeight="1"/>
    <row r="78" s="28" customFormat="1" ht="33.6" customHeight="1"/>
    <row r="79" s="28" customFormat="1" ht="33.6" customHeight="1"/>
    <row r="80" s="28" customFormat="1" ht="33.6" customHeight="1"/>
    <row r="81" s="28" customFormat="1" ht="33.6" customHeight="1"/>
    <row r="82" s="28" customFormat="1" ht="33.6" customHeight="1"/>
    <row r="83" s="28" customFormat="1" ht="33.6" customHeight="1"/>
    <row r="84" s="28" customFormat="1" ht="33.6" customHeight="1"/>
    <row r="85" s="28" customFormat="1" ht="33.6" customHeight="1"/>
    <row r="86" s="28" customFormat="1" ht="33.6" customHeight="1"/>
    <row r="87" s="28" customFormat="1" ht="33.6" customHeight="1"/>
    <row r="88" s="28" customFormat="1" ht="33.6" customHeight="1"/>
    <row r="89" s="28" customFormat="1" ht="33.6" customHeight="1"/>
    <row r="90" s="28" customFormat="1" ht="33.6" customHeight="1"/>
    <row r="91" s="28" customFormat="1" ht="33.6" customHeight="1"/>
    <row r="92" s="28" customFormat="1" ht="33.6" customHeight="1"/>
    <row r="93" s="28" customFormat="1" ht="33.6" customHeight="1"/>
    <row r="94" s="28" customFormat="1" ht="33.6" customHeight="1"/>
    <row r="95" s="28" customFormat="1" ht="33.6" customHeight="1"/>
    <row r="96" s="28" customFormat="1" ht="33.6" customHeight="1"/>
    <row r="97" s="28" customFormat="1" ht="33.6" customHeight="1"/>
    <row r="98" s="28" customFormat="1" ht="33.6" customHeight="1"/>
    <row r="99" s="28" customFormat="1" ht="33.6" customHeight="1"/>
    <row r="100" s="28" customFormat="1" ht="33.6" customHeight="1"/>
    <row r="101" s="28" customFormat="1" ht="33.6" customHeight="1"/>
    <row r="102" s="28" customFormat="1" ht="33.6" customHeight="1"/>
    <row r="103" s="28" customFormat="1" ht="33.6" customHeight="1"/>
    <row r="104" s="28" customFormat="1" ht="33.6" customHeight="1"/>
    <row r="105" s="28" customFormat="1" ht="33.6" customHeight="1"/>
    <row r="106" s="28" customFormat="1" ht="33.6" customHeight="1"/>
    <row r="107" s="28" customFormat="1" ht="33.6" customHeight="1"/>
    <row r="108" s="28" customFormat="1" ht="33.6" customHeight="1"/>
    <row r="109" s="28" customFormat="1" ht="33.6" customHeight="1"/>
    <row r="110" s="28" customFormat="1" ht="33.6" customHeight="1"/>
    <row r="111" s="28" customFormat="1" ht="33.6" customHeight="1"/>
    <row r="112" s="28" customFormat="1" ht="33.6" customHeight="1"/>
    <row r="113" s="28" customFormat="1" ht="33.6" customHeight="1"/>
    <row r="114" s="28" customFormat="1" ht="33.6" customHeight="1"/>
    <row r="115" s="28" customFormat="1" ht="33.6" customHeight="1"/>
    <row r="116" s="28" customFormat="1" ht="33.6" customHeight="1"/>
    <row r="117" s="28" customFormat="1" ht="33.6" customHeight="1"/>
    <row r="118" s="28" customFormat="1" ht="33.6" customHeight="1"/>
    <row r="119" s="28" customFormat="1" ht="33.6" customHeight="1"/>
    <row r="120" s="28" customFormat="1" ht="33.6" customHeight="1"/>
    <row r="121" s="28" customFormat="1" ht="33.6" customHeight="1"/>
    <row r="122" s="28" customFormat="1" ht="33.6" customHeight="1"/>
    <row r="123" s="28" customFormat="1" ht="33.6" customHeight="1"/>
    <row r="124" s="28" customFormat="1" ht="33.6" customHeight="1"/>
    <row r="125" s="28" customFormat="1" ht="33.6" customHeight="1"/>
    <row r="126" s="28" customFormat="1" ht="33.6" customHeight="1"/>
    <row r="127" s="28" customFormat="1" ht="33.6" customHeight="1"/>
    <row r="128" s="28" customFormat="1" ht="33.6" customHeight="1"/>
    <row r="129" s="28" customFormat="1" ht="33.6" customHeight="1"/>
    <row r="130" s="28" customFormat="1" ht="33.6" customHeight="1"/>
    <row r="131" s="28" customFormat="1" ht="33.6" customHeight="1"/>
    <row r="132" s="28" customFormat="1" ht="33.6" customHeight="1"/>
    <row r="133" s="28" customFormat="1" ht="33.6" customHeight="1"/>
    <row r="134" s="28" customFormat="1" ht="33.6" customHeight="1"/>
    <row r="135" s="28" customFormat="1" ht="33.6" customHeight="1"/>
    <row r="136" s="28" customFormat="1" ht="33.6" customHeight="1"/>
    <row r="137" s="28" customFormat="1" ht="33.6" customHeight="1"/>
    <row r="138" s="28" customFormat="1" ht="33.6" customHeight="1"/>
    <row r="139" s="28" customFormat="1" ht="33.6" customHeight="1"/>
    <row r="140" s="28" customFormat="1" ht="33.6" customHeight="1"/>
    <row r="141" s="28" customFormat="1" ht="33.6" customHeight="1"/>
    <row r="142" s="28" customFormat="1" ht="33.6" customHeight="1"/>
    <row r="143" s="28" customFormat="1" ht="33.6" customHeight="1"/>
    <row r="144" s="28" customFormat="1" ht="33.6" customHeight="1"/>
    <row r="145" s="28" customFormat="1" ht="33.6" customHeight="1"/>
    <row r="146" s="28" customFormat="1" ht="33.6" customHeight="1"/>
    <row r="147" s="28" customFormat="1" ht="33.6" customHeight="1"/>
    <row r="148" s="28" customFormat="1" ht="33.6" customHeight="1"/>
    <row r="149" s="28" customFormat="1" ht="33.6" customHeight="1"/>
    <row r="150" s="28" customFormat="1" ht="33.6" customHeight="1"/>
    <row r="151" s="28" customFormat="1" ht="33.6" customHeight="1"/>
    <row r="152" s="28" customFormat="1" ht="33.6" customHeight="1"/>
    <row r="153" s="28" customFormat="1" ht="33.6" customHeight="1"/>
    <row r="154" s="28" customFormat="1" ht="33.6" customHeight="1"/>
    <row r="155" s="28" customFormat="1" ht="33.6" customHeight="1"/>
    <row r="156" s="28" customFormat="1" ht="33.6" customHeight="1"/>
    <row r="157" s="28" customFormat="1" ht="33.6" customHeight="1"/>
    <row r="158" s="28" customFormat="1" ht="33.6" customHeight="1"/>
    <row r="159" s="28" customFormat="1" ht="33.6" customHeight="1"/>
    <row r="160" s="28" customFormat="1" ht="33.6" customHeight="1"/>
    <row r="161" spans="19:19" s="28" customFormat="1" ht="33.6" customHeight="1"/>
    <row r="162" spans="19:19" ht="33.6" customHeight="1">
      <c r="S162" s="28"/>
    </row>
    <row r="178" spans="1:1" ht="33.6" customHeight="1">
      <c r="A178" s="27"/>
    </row>
  </sheetData>
  <mergeCells count="36">
    <mergeCell ref="B18:O18"/>
    <mergeCell ref="P2:Q4"/>
    <mergeCell ref="B16:D16"/>
    <mergeCell ref="J11:L11"/>
    <mergeCell ref="M11:O11"/>
    <mergeCell ref="B8:Q8"/>
    <mergeCell ref="D10:F10"/>
    <mergeCell ref="G10:I10"/>
    <mergeCell ref="J10:L10"/>
    <mergeCell ref="M10:O10"/>
    <mergeCell ref="C6:Q6"/>
    <mergeCell ref="D42:M42"/>
    <mergeCell ref="D11:F11"/>
    <mergeCell ref="C41:I41"/>
    <mergeCell ref="J41:P41"/>
    <mergeCell ref="C39:I39"/>
    <mergeCell ref="J39:P39"/>
    <mergeCell ref="C32:I32"/>
    <mergeCell ref="J32:P32"/>
    <mergeCell ref="C33:I33"/>
    <mergeCell ref="J33:P33"/>
    <mergeCell ref="C34:I34"/>
    <mergeCell ref="J34:P34"/>
    <mergeCell ref="G11:I11"/>
    <mergeCell ref="C40:I40"/>
    <mergeCell ref="J40:P40"/>
    <mergeCell ref="B21:Q21"/>
    <mergeCell ref="D27:N27"/>
    <mergeCell ref="C35:I35"/>
    <mergeCell ref="C38:I38"/>
    <mergeCell ref="J38:P38"/>
    <mergeCell ref="J35:P35"/>
    <mergeCell ref="C36:I36"/>
    <mergeCell ref="J36:P36"/>
    <mergeCell ref="C37:I37"/>
    <mergeCell ref="J37:P37"/>
  </mergeCells>
  <phoneticPr fontId="2" type="noConversion"/>
  <printOptions horizontalCentered="1" verticalCentered="1"/>
  <pageMargins left="1.1811023622047245" right="0.59055118110236227" top="0.78740157480314965" bottom="0.78740157480314965" header="0.39370078740157483" footer="0.39370078740157483"/>
  <pageSetup paperSize="9" scale="94" orientation="landscape" r:id="rId1"/>
  <headerFooter alignWithMargins="0"/>
  <rowBreaks count="2" manualBreakCount="2">
    <brk id="14" max="17" man="1"/>
    <brk id="28" max="1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tabSelected="1" view="pageBreakPreview" zoomScaleNormal="100" zoomScaleSheetLayoutView="100" workbookViewId="0">
      <selection activeCell="C4" sqref="C4"/>
    </sheetView>
  </sheetViews>
  <sheetFormatPr defaultColWidth="8.88671875" defaultRowHeight="21.2" customHeight="1"/>
  <cols>
    <col min="1" max="1" width="6.77734375" style="25" customWidth="1"/>
    <col min="2" max="2" width="3.21875" style="25" customWidth="1"/>
    <col min="3" max="3" width="10.77734375" style="25" customWidth="1"/>
    <col min="4" max="4" width="3.21875" style="25" customWidth="1"/>
    <col min="5" max="5" width="2.6640625" style="25" bestFit="1" customWidth="1"/>
    <col min="6" max="6" width="37.21875" style="25" customWidth="1"/>
    <col min="7" max="8" width="7.77734375" style="25" customWidth="1"/>
    <col min="9" max="9" width="29.88671875" style="25" customWidth="1"/>
    <col min="10" max="10" width="4.6640625" style="25" customWidth="1"/>
    <col min="11" max="14" width="8.109375" style="25" customWidth="1"/>
    <col min="15" max="16384" width="8.88671875" style="25"/>
  </cols>
  <sheetData>
    <row r="1" spans="1:10" ht="24.95" customHeight="1">
      <c r="A1" s="30" t="s">
        <v>814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/>
    <row r="3" spans="1:10" ht="13.9" customHeight="1">
      <c r="A3" s="194"/>
      <c r="B3" s="195"/>
      <c r="C3" s="195"/>
      <c r="D3" s="195"/>
      <c r="E3" s="195"/>
      <c r="F3" s="195"/>
      <c r="G3" s="195"/>
      <c r="H3" s="195"/>
      <c r="I3" s="195"/>
      <c r="J3" s="196"/>
    </row>
    <row r="4" spans="1:10" ht="18" customHeight="1">
      <c r="A4" s="38"/>
      <c r="B4" s="219" t="s">
        <v>13</v>
      </c>
      <c r="C4" s="220" t="s">
        <v>25</v>
      </c>
      <c r="D4" s="224" t="s">
        <v>14</v>
      </c>
      <c r="E4" s="369" t="str">
        <f>'0. 설계서'!C6</f>
        <v>부산역 4층(부고열소) 내부개수에 따른 전기공사</v>
      </c>
      <c r="F4" s="369"/>
      <c r="G4" s="369"/>
      <c r="H4" s="369"/>
      <c r="I4" s="369"/>
      <c r="J4" s="40"/>
    </row>
    <row r="5" spans="1:10" ht="13.9" customHeight="1">
      <c r="A5" s="38"/>
      <c r="B5" s="219"/>
      <c r="C5" s="220"/>
      <c r="D5" s="224"/>
      <c r="E5" s="221"/>
      <c r="F5" s="221"/>
      <c r="G5" s="221"/>
      <c r="H5" s="221"/>
      <c r="I5" s="221"/>
      <c r="J5" s="315"/>
    </row>
    <row r="6" spans="1:10" ht="18" customHeight="1">
      <c r="A6" s="38"/>
      <c r="B6" s="219" t="s">
        <v>15</v>
      </c>
      <c r="C6" s="220" t="s">
        <v>26</v>
      </c>
      <c r="D6" s="224" t="s">
        <v>14</v>
      </c>
      <c r="E6" s="369" t="s">
        <v>1172</v>
      </c>
      <c r="F6" s="369"/>
      <c r="G6" s="369"/>
      <c r="H6" s="369"/>
      <c r="I6" s="369"/>
      <c r="J6" s="315"/>
    </row>
    <row r="7" spans="1:10" ht="13.9" customHeight="1">
      <c r="A7" s="316"/>
      <c r="B7" s="219"/>
      <c r="C7" s="220"/>
      <c r="D7" s="224"/>
      <c r="E7" s="370"/>
      <c r="F7" s="370"/>
      <c r="G7" s="370"/>
      <c r="H7" s="370"/>
      <c r="I7" s="370"/>
      <c r="J7" s="315"/>
    </row>
    <row r="8" spans="1:10" ht="18" customHeight="1">
      <c r="A8" s="316"/>
      <c r="B8" s="219" t="s">
        <v>16</v>
      </c>
      <c r="C8" s="220" t="s">
        <v>27</v>
      </c>
      <c r="D8" s="224" t="s">
        <v>14</v>
      </c>
      <c r="E8" s="369" t="s">
        <v>879</v>
      </c>
      <c r="F8" s="369"/>
      <c r="G8" s="369"/>
      <c r="H8" s="369"/>
      <c r="I8" s="369"/>
      <c r="J8" s="315"/>
    </row>
    <row r="9" spans="1:10" ht="13.9" customHeight="1">
      <c r="A9" s="60"/>
      <c r="B9" s="219"/>
      <c r="C9" s="220"/>
      <c r="D9" s="58"/>
      <c r="E9" s="371"/>
      <c r="F9" s="371"/>
      <c r="G9" s="371"/>
      <c r="H9" s="371"/>
      <c r="I9" s="371"/>
      <c r="J9" s="56"/>
    </row>
    <row r="10" spans="1:10" ht="13.9" customHeight="1">
      <c r="A10" s="60"/>
      <c r="B10" s="219"/>
      <c r="C10" s="220"/>
      <c r="D10" s="58"/>
      <c r="E10" s="370"/>
      <c r="F10" s="370"/>
      <c r="G10" s="370"/>
      <c r="H10" s="370"/>
      <c r="I10" s="370"/>
      <c r="J10" s="56"/>
    </row>
    <row r="11" spans="1:10" ht="22.9" customHeight="1">
      <c r="A11" s="60"/>
      <c r="B11" s="219" t="s">
        <v>17</v>
      </c>
      <c r="C11" s="220" t="s">
        <v>28</v>
      </c>
      <c r="D11" s="58" t="s">
        <v>14</v>
      </c>
      <c r="E11" s="222"/>
      <c r="F11" s="22" t="s">
        <v>819</v>
      </c>
      <c r="G11" s="223" t="s">
        <v>86</v>
      </c>
      <c r="H11" s="77" t="s">
        <v>93</v>
      </c>
      <c r="I11" s="223" t="s">
        <v>84</v>
      </c>
      <c r="J11" s="56"/>
    </row>
    <row r="12" spans="1:10" s="31" customFormat="1" ht="22.9" customHeight="1">
      <c r="A12" s="60"/>
      <c r="B12" s="219"/>
      <c r="C12" s="220"/>
      <c r="D12" s="224"/>
      <c r="E12" s="222"/>
      <c r="F12" s="22" t="s">
        <v>818</v>
      </c>
      <c r="G12" s="223" t="s">
        <v>86</v>
      </c>
      <c r="H12" s="77" t="s">
        <v>93</v>
      </c>
      <c r="I12" s="223" t="s">
        <v>84</v>
      </c>
      <c r="J12" s="61"/>
    </row>
    <row r="13" spans="1:10" s="31" customFormat="1" ht="22.9" customHeight="1">
      <c r="A13" s="60"/>
      <c r="B13" s="219"/>
      <c r="C13" s="220"/>
      <c r="D13" s="224"/>
      <c r="E13" s="222"/>
      <c r="F13" s="22" t="s">
        <v>820</v>
      </c>
      <c r="G13" s="223" t="s">
        <v>86</v>
      </c>
      <c r="H13" s="77" t="s">
        <v>93</v>
      </c>
      <c r="I13" s="223" t="s">
        <v>84</v>
      </c>
      <c r="J13" s="61"/>
    </row>
    <row r="14" spans="1:10" s="31" customFormat="1" ht="22.9" customHeight="1">
      <c r="A14" s="60"/>
      <c r="B14" s="219"/>
      <c r="C14" s="220"/>
      <c r="D14" s="224"/>
      <c r="E14" s="222"/>
      <c r="F14" s="22" t="s">
        <v>821</v>
      </c>
      <c r="G14" s="223" t="s">
        <v>86</v>
      </c>
      <c r="H14" s="77" t="s">
        <v>93</v>
      </c>
      <c r="I14" s="223" t="s">
        <v>84</v>
      </c>
      <c r="J14" s="61"/>
    </row>
    <row r="15" spans="1:10" s="31" customFormat="1" ht="22.9" customHeight="1">
      <c r="A15" s="60"/>
      <c r="B15" s="219"/>
      <c r="C15" s="220"/>
      <c r="D15" s="224"/>
      <c r="E15" s="222"/>
      <c r="F15" s="319" t="s">
        <v>880</v>
      </c>
      <c r="G15" s="223" t="s">
        <v>86</v>
      </c>
      <c r="H15" s="77" t="s">
        <v>93</v>
      </c>
      <c r="I15" s="223" t="s">
        <v>84</v>
      </c>
      <c r="J15" s="61"/>
    </row>
    <row r="16" spans="1:10" s="31" customFormat="1" ht="22.9" customHeight="1">
      <c r="A16" s="60"/>
      <c r="B16" s="219"/>
      <c r="C16" s="220"/>
      <c r="D16" s="224"/>
      <c r="E16" s="222"/>
      <c r="F16" s="319" t="s">
        <v>881</v>
      </c>
      <c r="G16" s="223" t="s">
        <v>86</v>
      </c>
      <c r="H16" s="77" t="s">
        <v>93</v>
      </c>
      <c r="I16" s="223" t="s">
        <v>84</v>
      </c>
      <c r="J16" s="61"/>
    </row>
    <row r="17" spans="1:10" s="31" customFormat="1" ht="22.9" customHeight="1">
      <c r="A17" s="60"/>
      <c r="B17" s="219"/>
      <c r="C17" s="220"/>
      <c r="D17" s="224"/>
      <c r="E17" s="222"/>
      <c r="F17" s="319" t="s">
        <v>1038</v>
      </c>
      <c r="G17" s="223" t="s">
        <v>86</v>
      </c>
      <c r="H17" s="77" t="s">
        <v>93</v>
      </c>
      <c r="I17" s="223" t="s">
        <v>84</v>
      </c>
      <c r="J17" s="61"/>
    </row>
    <row r="18" spans="1:10" s="31" customFormat="1" ht="22.9" customHeight="1">
      <c r="A18" s="60"/>
      <c r="B18" s="219"/>
      <c r="C18" s="220"/>
      <c r="D18" s="224"/>
      <c r="E18" s="222"/>
      <c r="F18" s="22"/>
      <c r="G18" s="223"/>
      <c r="H18" s="77"/>
      <c r="I18" s="223"/>
      <c r="J18" s="61"/>
    </row>
    <row r="19" spans="1:10" s="31" customFormat="1" ht="22.9" customHeight="1">
      <c r="A19" s="60"/>
      <c r="B19" s="219"/>
      <c r="C19" s="220"/>
      <c r="D19" s="224"/>
      <c r="E19" s="222"/>
      <c r="F19" s="22"/>
      <c r="G19" s="223"/>
      <c r="H19" s="77"/>
      <c r="I19" s="223"/>
      <c r="J19" s="61"/>
    </row>
    <row r="20" spans="1:10" s="31" customFormat="1" ht="22.9" customHeight="1">
      <c r="A20" s="60"/>
      <c r="B20" s="219"/>
      <c r="C20" s="220"/>
      <c r="D20" s="224"/>
      <c r="E20" s="222"/>
      <c r="F20" s="22"/>
      <c r="G20" s="223"/>
      <c r="H20" s="77"/>
      <c r="I20" s="223"/>
      <c r="J20" s="61"/>
    </row>
    <row r="21" spans="1:10" s="31" customFormat="1" ht="22.9" customHeight="1">
      <c r="A21" s="60"/>
      <c r="B21" s="219"/>
      <c r="C21" s="220"/>
      <c r="D21" s="224"/>
      <c r="E21" s="222"/>
      <c r="F21" s="22"/>
      <c r="G21" s="223"/>
      <c r="H21" s="77"/>
      <c r="I21" s="223"/>
      <c r="J21" s="61"/>
    </row>
    <row r="22" spans="1:10" s="31" customFormat="1" ht="13.9" customHeight="1">
      <c r="A22" s="60"/>
      <c r="B22" s="219"/>
      <c r="C22" s="220"/>
      <c r="D22" s="224"/>
      <c r="E22" s="222"/>
      <c r="F22" s="22"/>
      <c r="G22" s="22"/>
      <c r="H22" s="225"/>
      <c r="I22" s="226"/>
      <c r="J22" s="61"/>
    </row>
    <row r="23" spans="1:10" s="31" customFormat="1" ht="13.9" customHeight="1">
      <c r="A23" s="60"/>
      <c r="B23" s="219" t="s">
        <v>18</v>
      </c>
      <c r="C23" s="220" t="s">
        <v>34</v>
      </c>
      <c r="D23" s="224" t="s">
        <v>14</v>
      </c>
      <c r="E23" s="369" t="s">
        <v>1173</v>
      </c>
      <c r="F23" s="369"/>
      <c r="G23" s="369"/>
      <c r="H23" s="369"/>
      <c r="I23" s="369"/>
      <c r="J23" s="61"/>
    </row>
    <row r="24" spans="1:10" ht="13.9" customHeight="1">
      <c r="A24" s="60"/>
      <c r="B24" s="219"/>
      <c r="C24" s="220"/>
      <c r="D24" s="224"/>
      <c r="E24" s="22"/>
      <c r="F24" s="22"/>
      <c r="G24" s="22"/>
      <c r="H24" s="22"/>
      <c r="I24" s="22"/>
      <c r="J24" s="56"/>
    </row>
    <row r="25" spans="1:10" ht="13.9" customHeight="1">
      <c r="A25" s="60"/>
      <c r="B25" s="219" t="s">
        <v>19</v>
      </c>
      <c r="C25" s="220" t="s">
        <v>20</v>
      </c>
      <c r="D25" s="224" t="s">
        <v>14</v>
      </c>
      <c r="E25" s="369" t="s">
        <v>860</v>
      </c>
      <c r="F25" s="369"/>
      <c r="G25" s="369"/>
      <c r="H25" s="369"/>
      <c r="I25" s="369"/>
      <c r="J25" s="56"/>
    </row>
    <row r="26" spans="1:10" ht="21.2" customHeight="1">
      <c r="A26" s="62"/>
      <c r="B26" s="63"/>
      <c r="C26" s="63"/>
      <c r="D26" s="63"/>
      <c r="E26" s="63"/>
      <c r="F26" s="63"/>
      <c r="G26" s="63"/>
      <c r="H26" s="63"/>
      <c r="I26" s="63"/>
      <c r="J26" s="64"/>
    </row>
  </sheetData>
  <mergeCells count="8">
    <mergeCell ref="E25:I25"/>
    <mergeCell ref="E23:I23"/>
    <mergeCell ref="E8:I8"/>
    <mergeCell ref="E4:I4"/>
    <mergeCell ref="E6:I6"/>
    <mergeCell ref="E7:I7"/>
    <mergeCell ref="E9:I9"/>
    <mergeCell ref="E10:I10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27"/>
  <sheetViews>
    <sheetView view="pageBreakPreview" zoomScaleNormal="100" zoomScaleSheetLayoutView="100" workbookViewId="0">
      <selection activeCell="F20" sqref="F20"/>
    </sheetView>
  </sheetViews>
  <sheetFormatPr defaultColWidth="8.88671875" defaultRowHeight="21.2" customHeight="1"/>
  <cols>
    <col min="1" max="1" width="6.77734375" style="25" customWidth="1"/>
    <col min="2" max="2" width="3.21875" style="25" customWidth="1"/>
    <col min="3" max="3" width="10.77734375" style="25" customWidth="1"/>
    <col min="4" max="4" width="3.21875" style="25" customWidth="1"/>
    <col min="5" max="5" width="2.6640625" style="25" bestFit="1" customWidth="1"/>
    <col min="6" max="6" width="37.21875" style="25" customWidth="1"/>
    <col min="7" max="8" width="7.77734375" style="25" customWidth="1"/>
    <col min="9" max="9" width="29.88671875" style="25" customWidth="1"/>
    <col min="10" max="10" width="4.6640625" style="25" customWidth="1"/>
    <col min="11" max="14" width="8.109375" style="25" customWidth="1"/>
    <col min="15" max="16384" width="8.88671875" style="25"/>
  </cols>
  <sheetData>
    <row r="1" spans="1:10" ht="24.95" customHeight="1">
      <c r="A1" s="30" t="s">
        <v>166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/>
    <row r="3" spans="1:10" ht="13.9" customHeight="1">
      <c r="A3" s="194"/>
      <c r="B3" s="195"/>
      <c r="C3" s="195"/>
      <c r="D3" s="195"/>
      <c r="E3" s="195"/>
      <c r="F3" s="195"/>
      <c r="G3" s="195"/>
      <c r="H3" s="195"/>
      <c r="I3" s="195"/>
      <c r="J3" s="196"/>
    </row>
    <row r="4" spans="1:10" ht="13.9" customHeight="1">
      <c r="A4" s="57"/>
      <c r="B4" s="219" t="s">
        <v>13</v>
      </c>
      <c r="C4" s="220" t="s">
        <v>83</v>
      </c>
      <c r="D4" s="58" t="s">
        <v>14</v>
      </c>
      <c r="E4" s="369" t="s">
        <v>801</v>
      </c>
      <c r="F4" s="369"/>
      <c r="G4" s="369"/>
      <c r="H4" s="369"/>
      <c r="I4" s="369"/>
      <c r="J4" s="59"/>
    </row>
    <row r="5" spans="1:10" ht="13.9" customHeight="1">
      <c r="A5" s="57"/>
      <c r="B5" s="219"/>
      <c r="C5" s="220"/>
      <c r="D5" s="58"/>
      <c r="E5" s="221"/>
      <c r="F5" s="221"/>
      <c r="G5" s="221"/>
      <c r="H5" s="221"/>
      <c r="I5" s="221"/>
      <c r="J5" s="56"/>
    </row>
    <row r="6" spans="1:10" ht="13.9" customHeight="1">
      <c r="A6" s="57"/>
      <c r="B6" s="219" t="s">
        <v>15</v>
      </c>
      <c r="C6" s="220" t="s">
        <v>26</v>
      </c>
      <c r="D6" s="58" t="s">
        <v>14</v>
      </c>
      <c r="E6" s="369" t="s">
        <v>169</v>
      </c>
      <c r="F6" s="369"/>
      <c r="G6" s="369"/>
      <c r="H6" s="369"/>
      <c r="I6" s="369"/>
      <c r="J6" s="56"/>
    </row>
    <row r="7" spans="1:10" ht="13.9" customHeight="1">
      <c r="A7" s="60"/>
      <c r="B7" s="219"/>
      <c r="C7" s="220"/>
      <c r="D7" s="58"/>
      <c r="E7" s="370"/>
      <c r="F7" s="370"/>
      <c r="G7" s="370"/>
      <c r="H7" s="370"/>
      <c r="I7" s="370"/>
      <c r="J7" s="56"/>
    </row>
    <row r="8" spans="1:10" ht="13.9" customHeight="1">
      <c r="A8" s="60"/>
      <c r="B8" s="219" t="s">
        <v>16</v>
      </c>
      <c r="C8" s="220" t="s">
        <v>27</v>
      </c>
      <c r="D8" s="58" t="s">
        <v>14</v>
      </c>
      <c r="E8" s="369" t="s">
        <v>792</v>
      </c>
      <c r="F8" s="369"/>
      <c r="G8" s="369"/>
      <c r="H8" s="369"/>
      <c r="I8" s="369"/>
      <c r="J8" s="56"/>
    </row>
    <row r="9" spans="1:10" ht="13.9" customHeight="1">
      <c r="A9" s="60"/>
      <c r="B9" s="219"/>
      <c r="C9" s="220"/>
      <c r="D9" s="58"/>
      <c r="E9" s="371"/>
      <c r="F9" s="371"/>
      <c r="G9" s="371"/>
      <c r="H9" s="371"/>
      <c r="I9" s="371"/>
      <c r="J9" s="56"/>
    </row>
    <row r="10" spans="1:10" ht="13.9" customHeight="1">
      <c r="A10" s="60"/>
      <c r="B10" s="219"/>
      <c r="C10" s="220"/>
      <c r="D10" s="58"/>
      <c r="E10" s="370"/>
      <c r="F10" s="370"/>
      <c r="G10" s="370"/>
      <c r="H10" s="370"/>
      <c r="I10" s="370"/>
      <c r="J10" s="56"/>
    </row>
    <row r="11" spans="1:10" ht="22.9" customHeight="1">
      <c r="A11" s="60"/>
      <c r="B11" s="219" t="s">
        <v>17</v>
      </c>
      <c r="C11" s="220" t="s">
        <v>28</v>
      </c>
      <c r="D11" s="58" t="s">
        <v>14</v>
      </c>
      <c r="E11" s="222"/>
      <c r="F11" s="22" t="s">
        <v>110</v>
      </c>
      <c r="G11" s="223" t="s">
        <v>86</v>
      </c>
      <c r="H11" s="77" t="s">
        <v>93</v>
      </c>
      <c r="I11" s="223" t="s">
        <v>84</v>
      </c>
      <c r="J11" s="56"/>
    </row>
    <row r="12" spans="1:10" s="31" customFormat="1" ht="22.9" customHeight="1">
      <c r="A12" s="60"/>
      <c r="B12" s="219"/>
      <c r="C12" s="220"/>
      <c r="D12" s="224"/>
      <c r="E12" s="222"/>
      <c r="F12" s="22" t="s">
        <v>171</v>
      </c>
      <c r="G12" s="223" t="s">
        <v>86</v>
      </c>
      <c r="H12" s="77" t="s">
        <v>93</v>
      </c>
      <c r="I12" s="223" t="s">
        <v>84</v>
      </c>
      <c r="J12" s="61"/>
    </row>
    <row r="13" spans="1:10" s="31" customFormat="1" ht="22.9" customHeight="1">
      <c r="A13" s="60"/>
      <c r="B13" s="219"/>
      <c r="C13" s="220"/>
      <c r="D13" s="224"/>
      <c r="E13" s="222"/>
      <c r="F13" s="22" t="s">
        <v>172</v>
      </c>
      <c r="G13" s="223" t="s">
        <v>86</v>
      </c>
      <c r="H13" s="77" t="s">
        <v>93</v>
      </c>
      <c r="I13" s="223" t="s">
        <v>84</v>
      </c>
      <c r="J13" s="61"/>
    </row>
    <row r="14" spans="1:10" s="31" customFormat="1" ht="22.9" customHeight="1">
      <c r="A14" s="60"/>
      <c r="B14" s="219"/>
      <c r="C14" s="220"/>
      <c r="D14" s="224"/>
      <c r="E14" s="222"/>
      <c r="F14" s="22" t="s">
        <v>173</v>
      </c>
      <c r="G14" s="223" t="s">
        <v>86</v>
      </c>
      <c r="H14" s="77" t="s">
        <v>93</v>
      </c>
      <c r="I14" s="223" t="s">
        <v>84</v>
      </c>
      <c r="J14" s="61"/>
    </row>
    <row r="15" spans="1:10" s="31" customFormat="1" ht="22.9" customHeight="1">
      <c r="A15" s="60"/>
      <c r="B15" s="219"/>
      <c r="C15" s="220"/>
      <c r="D15" s="224"/>
      <c r="E15" s="222"/>
      <c r="F15" s="22" t="s">
        <v>174</v>
      </c>
      <c r="G15" s="223" t="s">
        <v>86</v>
      </c>
      <c r="H15" s="77" t="s">
        <v>93</v>
      </c>
      <c r="I15" s="223" t="s">
        <v>84</v>
      </c>
      <c r="J15" s="61"/>
    </row>
    <row r="16" spans="1:10" s="31" customFormat="1" ht="22.9" customHeight="1">
      <c r="A16" s="60"/>
      <c r="B16" s="219"/>
      <c r="C16" s="220"/>
      <c r="D16" s="224"/>
      <c r="E16" s="222"/>
      <c r="F16" s="22" t="s">
        <v>112</v>
      </c>
      <c r="G16" s="223" t="s">
        <v>86</v>
      </c>
      <c r="H16" s="77" t="s">
        <v>93</v>
      </c>
      <c r="I16" s="223" t="s">
        <v>84</v>
      </c>
      <c r="J16" s="61"/>
    </row>
    <row r="17" spans="1:10" s="31" customFormat="1" ht="22.9" customHeight="1">
      <c r="A17" s="60"/>
      <c r="B17" s="219"/>
      <c r="C17" s="220"/>
      <c r="D17" s="224"/>
      <c r="E17" s="222"/>
      <c r="F17" s="22"/>
      <c r="G17" s="223"/>
      <c r="H17" s="77"/>
      <c r="I17" s="223"/>
      <c r="J17" s="61"/>
    </row>
    <row r="18" spans="1:10" s="31" customFormat="1" ht="22.9" customHeight="1">
      <c r="A18" s="60"/>
      <c r="B18" s="219"/>
      <c r="C18" s="220"/>
      <c r="D18" s="224"/>
      <c r="E18" s="222"/>
      <c r="F18" s="22"/>
      <c r="G18" s="223"/>
      <c r="H18" s="77"/>
      <c r="I18" s="223"/>
      <c r="J18" s="61"/>
    </row>
    <row r="19" spans="1:10" s="31" customFormat="1" ht="22.9" customHeight="1">
      <c r="A19" s="60"/>
      <c r="B19" s="219"/>
      <c r="C19" s="220"/>
      <c r="D19" s="224"/>
      <c r="E19" s="222"/>
      <c r="F19" s="22"/>
      <c r="G19" s="223"/>
      <c r="H19" s="77"/>
      <c r="I19" s="223"/>
      <c r="J19" s="61"/>
    </row>
    <row r="20" spans="1:10" s="31" customFormat="1" ht="22.9" customHeight="1">
      <c r="A20" s="60"/>
      <c r="B20" s="219"/>
      <c r="C20" s="220"/>
      <c r="D20" s="224"/>
      <c r="E20" s="222"/>
      <c r="F20" s="22"/>
      <c r="G20" s="223"/>
      <c r="H20" s="77"/>
      <c r="I20" s="223"/>
      <c r="J20" s="61"/>
    </row>
    <row r="21" spans="1:10" s="31" customFormat="1" ht="22.9" customHeight="1">
      <c r="A21" s="60"/>
      <c r="B21" s="219"/>
      <c r="C21" s="220"/>
      <c r="D21" s="224"/>
      <c r="E21" s="222"/>
      <c r="F21" s="22"/>
      <c r="G21" s="223"/>
      <c r="H21" s="77"/>
      <c r="I21" s="223"/>
      <c r="J21" s="61"/>
    </row>
    <row r="22" spans="1:10" s="31" customFormat="1" ht="22.9" customHeight="1">
      <c r="A22" s="60"/>
      <c r="B22" s="219"/>
      <c r="C22" s="220"/>
      <c r="D22" s="224"/>
      <c r="E22" s="222"/>
      <c r="F22" s="22"/>
      <c r="G22" s="223"/>
      <c r="H22" s="77"/>
      <c r="I22" s="223"/>
      <c r="J22" s="61"/>
    </row>
    <row r="23" spans="1:10" s="31" customFormat="1" ht="22.9" customHeight="1">
      <c r="A23" s="60"/>
      <c r="B23" s="219"/>
      <c r="C23" s="220"/>
      <c r="D23" s="224"/>
      <c r="E23" s="222"/>
      <c r="F23" s="22"/>
      <c r="G23" s="223"/>
      <c r="H23" s="77"/>
      <c r="I23" s="223"/>
      <c r="J23" s="61"/>
    </row>
    <row r="24" spans="1:10" s="31" customFormat="1" ht="13.9" customHeight="1">
      <c r="A24" s="60"/>
      <c r="B24" s="219"/>
      <c r="C24" s="220"/>
      <c r="D24" s="224"/>
      <c r="E24" s="222"/>
      <c r="F24" s="22"/>
      <c r="G24" s="22"/>
      <c r="H24" s="225"/>
      <c r="I24" s="226"/>
      <c r="J24" s="61"/>
    </row>
    <row r="25" spans="1:10" s="31" customFormat="1" ht="13.9" customHeight="1">
      <c r="A25" s="60"/>
      <c r="B25" s="219" t="s">
        <v>18</v>
      </c>
      <c r="C25" s="220" t="s">
        <v>145</v>
      </c>
      <c r="D25" s="224" t="s">
        <v>14</v>
      </c>
      <c r="E25" s="372" t="s">
        <v>793</v>
      </c>
      <c r="F25" s="372"/>
      <c r="G25" s="372"/>
      <c r="H25" s="372"/>
      <c r="I25" s="372"/>
      <c r="J25" s="61"/>
    </row>
    <row r="26" spans="1:10" ht="13.9" customHeight="1">
      <c r="A26" s="60"/>
      <c r="B26" s="219"/>
      <c r="C26" s="220"/>
      <c r="D26" s="224"/>
      <c r="E26" s="22"/>
      <c r="F26" s="22"/>
      <c r="G26" s="22"/>
      <c r="H26" s="22"/>
      <c r="I26" s="22"/>
      <c r="J26" s="56"/>
    </row>
    <row r="27" spans="1:10" ht="13.9" customHeight="1">
      <c r="A27" s="227"/>
      <c r="B27" s="228" t="s">
        <v>19</v>
      </c>
      <c r="C27" s="229" t="s">
        <v>20</v>
      </c>
      <c r="D27" s="230" t="s">
        <v>14</v>
      </c>
      <c r="E27" s="373" t="s">
        <v>794</v>
      </c>
      <c r="F27" s="373"/>
      <c r="G27" s="373"/>
      <c r="H27" s="373"/>
      <c r="I27" s="373"/>
      <c r="J27" s="231"/>
    </row>
  </sheetData>
  <mergeCells count="8">
    <mergeCell ref="E25:I25"/>
    <mergeCell ref="E27:I27"/>
    <mergeCell ref="E4:I4"/>
    <mergeCell ref="E6:I6"/>
    <mergeCell ref="E7:I7"/>
    <mergeCell ref="E8:I8"/>
    <mergeCell ref="E9:I9"/>
    <mergeCell ref="E10:I10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9" orientation="landscape" horizontalDpi="4294967293" vertic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27"/>
  <sheetViews>
    <sheetView view="pageBreakPreview" zoomScaleNormal="100" zoomScaleSheetLayoutView="100" workbookViewId="0">
      <selection activeCell="F20" sqref="F20"/>
    </sheetView>
  </sheetViews>
  <sheetFormatPr defaultColWidth="8.88671875" defaultRowHeight="21.2" customHeight="1"/>
  <cols>
    <col min="1" max="1" width="6.77734375" style="25" customWidth="1"/>
    <col min="2" max="2" width="3.21875" style="25" customWidth="1"/>
    <col min="3" max="3" width="10.77734375" style="25" customWidth="1"/>
    <col min="4" max="4" width="3.21875" style="25" customWidth="1"/>
    <col min="5" max="5" width="2.6640625" style="25" bestFit="1" customWidth="1"/>
    <col min="6" max="6" width="37.21875" style="25" customWidth="1"/>
    <col min="7" max="8" width="7.77734375" style="25" customWidth="1"/>
    <col min="9" max="9" width="29.88671875" style="25" customWidth="1"/>
    <col min="10" max="10" width="4.6640625" style="25" customWidth="1"/>
    <col min="11" max="14" width="8.109375" style="25" customWidth="1"/>
    <col min="15" max="16384" width="8.88671875" style="25"/>
  </cols>
  <sheetData>
    <row r="1" spans="1:10" ht="24.95" customHeight="1">
      <c r="A1" s="30" t="s">
        <v>719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/>
    <row r="3" spans="1:10" ht="13.9" customHeight="1">
      <c r="A3" s="194"/>
      <c r="B3" s="195"/>
      <c r="C3" s="195"/>
      <c r="D3" s="195"/>
      <c r="E3" s="195"/>
      <c r="F3" s="195"/>
      <c r="G3" s="195"/>
      <c r="H3" s="195"/>
      <c r="I3" s="195"/>
      <c r="J3" s="196"/>
    </row>
    <row r="4" spans="1:10" ht="13.9" customHeight="1">
      <c r="A4" s="57"/>
      <c r="B4" s="219" t="s">
        <v>13</v>
      </c>
      <c r="C4" s="220" t="s">
        <v>83</v>
      </c>
      <c r="D4" s="58" t="s">
        <v>14</v>
      </c>
      <c r="E4" s="369" t="s">
        <v>802</v>
      </c>
      <c r="F4" s="369"/>
      <c r="G4" s="369"/>
      <c r="H4" s="369"/>
      <c r="I4" s="369"/>
      <c r="J4" s="59"/>
    </row>
    <row r="5" spans="1:10" ht="13.9" customHeight="1">
      <c r="A5" s="57"/>
      <c r="B5" s="219"/>
      <c r="C5" s="220"/>
      <c r="D5" s="58"/>
      <c r="E5" s="221"/>
      <c r="F5" s="221"/>
      <c r="G5" s="221"/>
      <c r="H5" s="221"/>
      <c r="I5" s="221"/>
      <c r="J5" s="56"/>
    </row>
    <row r="6" spans="1:10" ht="13.9" customHeight="1">
      <c r="A6" s="57"/>
      <c r="B6" s="219" t="s">
        <v>15</v>
      </c>
      <c r="C6" s="220" t="s">
        <v>26</v>
      </c>
      <c r="D6" s="58" t="s">
        <v>14</v>
      </c>
      <c r="E6" s="369" t="s">
        <v>169</v>
      </c>
      <c r="F6" s="369"/>
      <c r="G6" s="369"/>
      <c r="H6" s="369"/>
      <c r="I6" s="369"/>
      <c r="J6" s="56"/>
    </row>
    <row r="7" spans="1:10" ht="13.9" customHeight="1">
      <c r="A7" s="60"/>
      <c r="B7" s="219"/>
      <c r="C7" s="220"/>
      <c r="D7" s="58"/>
      <c r="E7" s="370"/>
      <c r="F7" s="370"/>
      <c r="G7" s="370"/>
      <c r="H7" s="370"/>
      <c r="I7" s="370"/>
      <c r="J7" s="56"/>
    </row>
    <row r="8" spans="1:10" ht="13.9" customHeight="1">
      <c r="A8" s="60"/>
      <c r="B8" s="219" t="s">
        <v>16</v>
      </c>
      <c r="C8" s="220" t="s">
        <v>27</v>
      </c>
      <c r="D8" s="58" t="s">
        <v>14</v>
      </c>
      <c r="E8" s="369" t="s">
        <v>792</v>
      </c>
      <c r="F8" s="369"/>
      <c r="G8" s="369"/>
      <c r="H8" s="369"/>
      <c r="I8" s="369"/>
      <c r="J8" s="56"/>
    </row>
    <row r="9" spans="1:10" ht="13.9" customHeight="1">
      <c r="A9" s="60"/>
      <c r="B9" s="219"/>
      <c r="C9" s="220"/>
      <c r="D9" s="58"/>
      <c r="E9" s="371"/>
      <c r="F9" s="371"/>
      <c r="G9" s="371"/>
      <c r="H9" s="371"/>
      <c r="I9" s="371"/>
      <c r="J9" s="56"/>
    </row>
    <row r="10" spans="1:10" ht="13.9" customHeight="1">
      <c r="A10" s="60"/>
      <c r="B10" s="219"/>
      <c r="C10" s="220"/>
      <c r="D10" s="58"/>
      <c r="E10" s="370"/>
      <c r="F10" s="370"/>
      <c r="G10" s="370"/>
      <c r="H10" s="370"/>
      <c r="I10" s="370"/>
      <c r="J10" s="56"/>
    </row>
    <row r="11" spans="1:10" ht="22.9" customHeight="1">
      <c r="A11" s="60"/>
      <c r="B11" s="219" t="s">
        <v>17</v>
      </c>
      <c r="C11" s="220" t="s">
        <v>28</v>
      </c>
      <c r="D11" s="58" t="s">
        <v>14</v>
      </c>
      <c r="E11" s="222"/>
      <c r="F11" s="22" t="s">
        <v>110</v>
      </c>
      <c r="G11" s="223" t="s">
        <v>86</v>
      </c>
      <c r="H11" s="77" t="s">
        <v>93</v>
      </c>
      <c r="I11" s="223" t="s">
        <v>84</v>
      </c>
      <c r="J11" s="56"/>
    </row>
    <row r="12" spans="1:10" s="31" customFormat="1" ht="22.9" customHeight="1">
      <c r="A12" s="60"/>
      <c r="B12" s="219"/>
      <c r="C12" s="220"/>
      <c r="D12" s="224"/>
      <c r="E12" s="222"/>
      <c r="F12" s="22" t="s">
        <v>170</v>
      </c>
      <c r="G12" s="223" t="s">
        <v>86</v>
      </c>
      <c r="H12" s="77" t="s">
        <v>93</v>
      </c>
      <c r="I12" s="223" t="s">
        <v>84</v>
      </c>
      <c r="J12" s="61"/>
    </row>
    <row r="13" spans="1:10" s="31" customFormat="1" ht="22.9" customHeight="1">
      <c r="A13" s="60"/>
      <c r="B13" s="219"/>
      <c r="C13" s="220"/>
      <c r="D13" s="224"/>
      <c r="E13" s="222"/>
      <c r="F13" s="22" t="s">
        <v>111</v>
      </c>
      <c r="G13" s="223" t="s">
        <v>86</v>
      </c>
      <c r="H13" s="77" t="s">
        <v>93</v>
      </c>
      <c r="I13" s="223" t="s">
        <v>84</v>
      </c>
      <c r="J13" s="61"/>
    </row>
    <row r="14" spans="1:10" s="31" customFormat="1" ht="22.9" customHeight="1">
      <c r="A14" s="60"/>
      <c r="B14" s="219"/>
      <c r="C14" s="220"/>
      <c r="D14" s="224"/>
      <c r="E14" s="222"/>
      <c r="F14" s="22" t="s">
        <v>720</v>
      </c>
      <c r="G14" s="223" t="s">
        <v>86</v>
      </c>
      <c r="H14" s="77" t="s">
        <v>93</v>
      </c>
      <c r="I14" s="223" t="s">
        <v>84</v>
      </c>
      <c r="J14" s="61"/>
    </row>
    <row r="15" spans="1:10" s="31" customFormat="1" ht="22.9" customHeight="1">
      <c r="A15" s="60"/>
      <c r="B15" s="219"/>
      <c r="C15" s="220"/>
      <c r="D15" s="224"/>
      <c r="E15" s="222"/>
      <c r="F15" s="22" t="s">
        <v>721</v>
      </c>
      <c r="G15" s="223" t="s">
        <v>86</v>
      </c>
      <c r="H15" s="77" t="s">
        <v>93</v>
      </c>
      <c r="I15" s="223" t="s">
        <v>84</v>
      </c>
      <c r="J15" s="61"/>
    </row>
    <row r="16" spans="1:10" s="31" customFormat="1" ht="22.9" customHeight="1">
      <c r="A16" s="60"/>
      <c r="B16" s="219"/>
      <c r="C16" s="220"/>
      <c r="D16" s="224"/>
      <c r="E16" s="222"/>
      <c r="F16" s="22" t="s">
        <v>722</v>
      </c>
      <c r="G16" s="223" t="s">
        <v>86</v>
      </c>
      <c r="H16" s="77" t="s">
        <v>93</v>
      </c>
      <c r="I16" s="223" t="s">
        <v>84</v>
      </c>
      <c r="J16" s="61"/>
    </row>
    <row r="17" spans="1:10" s="31" customFormat="1" ht="22.9" customHeight="1">
      <c r="A17" s="60"/>
      <c r="B17" s="219"/>
      <c r="C17" s="220"/>
      <c r="D17" s="224"/>
      <c r="E17" s="222"/>
      <c r="F17" s="22" t="s">
        <v>723</v>
      </c>
      <c r="G17" s="223" t="s">
        <v>86</v>
      </c>
      <c r="H17" s="77" t="s">
        <v>93</v>
      </c>
      <c r="I17" s="223" t="s">
        <v>84</v>
      </c>
      <c r="J17" s="61"/>
    </row>
    <row r="18" spans="1:10" s="31" customFormat="1" ht="22.9" customHeight="1">
      <c r="A18" s="60"/>
      <c r="B18" s="219"/>
      <c r="C18" s="220"/>
      <c r="D18" s="224"/>
      <c r="E18" s="222"/>
      <c r="F18" s="22" t="s">
        <v>724</v>
      </c>
      <c r="G18" s="223" t="s">
        <v>86</v>
      </c>
      <c r="H18" s="77" t="s">
        <v>93</v>
      </c>
      <c r="I18" s="223" t="s">
        <v>84</v>
      </c>
      <c r="J18" s="61"/>
    </row>
    <row r="19" spans="1:10" s="31" customFormat="1" ht="22.9" customHeight="1">
      <c r="A19" s="60"/>
      <c r="B19" s="219"/>
      <c r="C19" s="220"/>
      <c r="D19" s="224"/>
      <c r="E19" s="222"/>
      <c r="F19" s="22" t="s">
        <v>725</v>
      </c>
      <c r="G19" s="223" t="s">
        <v>86</v>
      </c>
      <c r="H19" s="77" t="s">
        <v>93</v>
      </c>
      <c r="I19" s="223" t="s">
        <v>84</v>
      </c>
      <c r="J19" s="61"/>
    </row>
    <row r="20" spans="1:10" s="31" customFormat="1" ht="22.9" customHeight="1">
      <c r="A20" s="60"/>
      <c r="B20" s="219"/>
      <c r="C20" s="220"/>
      <c r="D20" s="224"/>
      <c r="E20" s="222"/>
      <c r="F20" s="22"/>
      <c r="G20" s="223"/>
      <c r="H20" s="77"/>
      <c r="I20" s="223"/>
      <c r="J20" s="61"/>
    </row>
    <row r="21" spans="1:10" s="31" customFormat="1" ht="22.9" customHeight="1">
      <c r="A21" s="60"/>
      <c r="B21" s="219"/>
      <c r="C21" s="220"/>
      <c r="D21" s="224"/>
      <c r="E21" s="222"/>
      <c r="F21" s="22"/>
      <c r="G21" s="223"/>
      <c r="H21" s="77"/>
      <c r="I21" s="223"/>
      <c r="J21" s="61"/>
    </row>
    <row r="22" spans="1:10" s="31" customFormat="1" ht="22.9" customHeight="1">
      <c r="A22" s="60"/>
      <c r="B22" s="219"/>
      <c r="C22" s="220"/>
      <c r="D22" s="224"/>
      <c r="E22" s="222"/>
      <c r="F22" s="22"/>
      <c r="G22" s="223"/>
      <c r="H22" s="77"/>
      <c r="I22" s="223"/>
      <c r="J22" s="61"/>
    </row>
    <row r="23" spans="1:10" s="31" customFormat="1" ht="22.9" customHeight="1">
      <c r="A23" s="60"/>
      <c r="B23" s="219"/>
      <c r="C23" s="220"/>
      <c r="D23" s="224"/>
      <c r="E23" s="222"/>
      <c r="F23" s="22"/>
      <c r="G23" s="223"/>
      <c r="H23" s="77"/>
      <c r="I23" s="223"/>
      <c r="J23" s="61"/>
    </row>
    <row r="24" spans="1:10" s="31" customFormat="1" ht="13.9" customHeight="1">
      <c r="A24" s="60"/>
      <c r="B24" s="219"/>
      <c r="C24" s="220"/>
      <c r="D24" s="224"/>
      <c r="E24" s="222"/>
      <c r="F24" s="22"/>
      <c r="G24" s="22"/>
      <c r="H24" s="225"/>
      <c r="I24" s="226"/>
      <c r="J24" s="61"/>
    </row>
    <row r="25" spans="1:10" s="31" customFormat="1" ht="13.9" customHeight="1">
      <c r="A25" s="60"/>
      <c r="B25" s="219" t="s">
        <v>18</v>
      </c>
      <c r="C25" s="220" t="s">
        <v>34</v>
      </c>
      <c r="D25" s="224" t="s">
        <v>14</v>
      </c>
      <c r="E25" s="372" t="s">
        <v>146</v>
      </c>
      <c r="F25" s="372"/>
      <c r="G25" s="372"/>
      <c r="H25" s="372"/>
      <c r="I25" s="372"/>
      <c r="J25" s="61"/>
    </row>
    <row r="26" spans="1:10" ht="13.9" customHeight="1">
      <c r="A26" s="60"/>
      <c r="B26" s="219"/>
      <c r="C26" s="220"/>
      <c r="D26" s="224"/>
      <c r="E26" s="22"/>
      <c r="F26" s="22"/>
      <c r="G26" s="22"/>
      <c r="H26" s="22"/>
      <c r="I26" s="22"/>
      <c r="J26" s="56"/>
    </row>
    <row r="27" spans="1:10" ht="13.9" customHeight="1">
      <c r="A27" s="227"/>
      <c r="B27" s="228" t="s">
        <v>19</v>
      </c>
      <c r="C27" s="229" t="s">
        <v>20</v>
      </c>
      <c r="D27" s="230" t="s">
        <v>14</v>
      </c>
      <c r="E27" s="373" t="s">
        <v>797</v>
      </c>
      <c r="F27" s="373"/>
      <c r="G27" s="373"/>
      <c r="H27" s="373"/>
      <c r="I27" s="373"/>
      <c r="J27" s="231"/>
    </row>
  </sheetData>
  <mergeCells count="8">
    <mergeCell ref="E25:I25"/>
    <mergeCell ref="E27:I27"/>
    <mergeCell ref="E4:I4"/>
    <mergeCell ref="E6:I6"/>
    <mergeCell ref="E7:I7"/>
    <mergeCell ref="E8:I8"/>
    <mergeCell ref="E9:I9"/>
    <mergeCell ref="E10:I10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9" orientation="landscape" horizontalDpi="4294967293" verticalDpi="429496729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27"/>
  <sheetViews>
    <sheetView view="pageBreakPreview" zoomScaleNormal="100" zoomScaleSheetLayoutView="100" workbookViewId="0">
      <selection activeCell="F20" sqref="F20"/>
    </sheetView>
  </sheetViews>
  <sheetFormatPr defaultColWidth="8.88671875" defaultRowHeight="21.2" customHeight="1"/>
  <cols>
    <col min="1" max="1" width="6.77734375" style="25" customWidth="1"/>
    <col min="2" max="2" width="3.21875" style="25" customWidth="1"/>
    <col min="3" max="3" width="10.77734375" style="25" customWidth="1"/>
    <col min="4" max="4" width="3.21875" style="25" customWidth="1"/>
    <col min="5" max="5" width="2.6640625" style="25" bestFit="1" customWidth="1"/>
    <col min="6" max="6" width="37.21875" style="25" customWidth="1"/>
    <col min="7" max="8" width="7.77734375" style="25" customWidth="1"/>
    <col min="9" max="9" width="29.88671875" style="25" customWidth="1"/>
    <col min="10" max="10" width="4.6640625" style="25" customWidth="1"/>
    <col min="11" max="14" width="8.109375" style="25" customWidth="1"/>
    <col min="15" max="16384" width="8.88671875" style="25"/>
  </cols>
  <sheetData>
    <row r="1" spans="1:10" ht="24.95" customHeight="1">
      <c r="A1" s="30" t="s">
        <v>713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/>
    <row r="3" spans="1:10" ht="13.9" customHeight="1">
      <c r="A3" s="194"/>
      <c r="B3" s="195"/>
      <c r="C3" s="195"/>
      <c r="D3" s="195"/>
      <c r="E3" s="195"/>
      <c r="F3" s="195"/>
      <c r="G3" s="195"/>
      <c r="H3" s="195"/>
      <c r="I3" s="195"/>
      <c r="J3" s="196"/>
    </row>
    <row r="4" spans="1:10" ht="13.9" customHeight="1">
      <c r="A4" s="57"/>
      <c r="B4" s="219" t="s">
        <v>13</v>
      </c>
      <c r="C4" s="220" t="s">
        <v>83</v>
      </c>
      <c r="D4" s="58" t="s">
        <v>14</v>
      </c>
      <c r="E4" s="369" t="s">
        <v>803</v>
      </c>
      <c r="F4" s="369"/>
      <c r="G4" s="369"/>
      <c r="H4" s="369"/>
      <c r="I4" s="369"/>
      <c r="J4" s="59"/>
    </row>
    <row r="5" spans="1:10" ht="13.9" customHeight="1">
      <c r="A5" s="57"/>
      <c r="B5" s="219"/>
      <c r="C5" s="220"/>
      <c r="D5" s="58"/>
      <c r="E5" s="221"/>
      <c r="F5" s="221"/>
      <c r="G5" s="221"/>
      <c r="H5" s="221"/>
      <c r="I5" s="221"/>
      <c r="J5" s="56"/>
    </row>
    <row r="6" spans="1:10" ht="13.9" customHeight="1">
      <c r="A6" s="57"/>
      <c r="B6" s="219" t="s">
        <v>15</v>
      </c>
      <c r="C6" s="220" t="s">
        <v>26</v>
      </c>
      <c r="D6" s="58" t="s">
        <v>14</v>
      </c>
      <c r="E6" s="369" t="s">
        <v>169</v>
      </c>
      <c r="F6" s="369"/>
      <c r="G6" s="369"/>
      <c r="H6" s="369"/>
      <c r="I6" s="369"/>
      <c r="J6" s="56"/>
    </row>
    <row r="7" spans="1:10" ht="13.9" customHeight="1">
      <c r="A7" s="60"/>
      <c r="B7" s="219"/>
      <c r="C7" s="220"/>
      <c r="D7" s="58"/>
      <c r="E7" s="370"/>
      <c r="F7" s="370"/>
      <c r="G7" s="370"/>
      <c r="H7" s="370"/>
      <c r="I7" s="370"/>
      <c r="J7" s="56"/>
    </row>
    <row r="8" spans="1:10" ht="13.9" customHeight="1">
      <c r="A8" s="60"/>
      <c r="B8" s="219" t="s">
        <v>16</v>
      </c>
      <c r="C8" s="220" t="s">
        <v>27</v>
      </c>
      <c r="D8" s="58" t="s">
        <v>14</v>
      </c>
      <c r="E8" s="369" t="s">
        <v>792</v>
      </c>
      <c r="F8" s="369"/>
      <c r="G8" s="369"/>
      <c r="H8" s="369"/>
      <c r="I8" s="369"/>
      <c r="J8" s="56"/>
    </row>
    <row r="9" spans="1:10" ht="13.9" customHeight="1">
      <c r="A9" s="60"/>
      <c r="B9" s="219"/>
      <c r="C9" s="220"/>
      <c r="D9" s="58"/>
      <c r="E9" s="371"/>
      <c r="F9" s="371"/>
      <c r="G9" s="371"/>
      <c r="H9" s="371"/>
      <c r="I9" s="371"/>
      <c r="J9" s="56"/>
    </row>
    <row r="10" spans="1:10" ht="13.9" customHeight="1">
      <c r="A10" s="60"/>
      <c r="B10" s="219"/>
      <c r="C10" s="220"/>
      <c r="D10" s="58"/>
      <c r="E10" s="370"/>
      <c r="F10" s="370"/>
      <c r="G10" s="370"/>
      <c r="H10" s="370"/>
      <c r="I10" s="370"/>
      <c r="J10" s="56"/>
    </row>
    <row r="11" spans="1:10" ht="22.9" customHeight="1">
      <c r="A11" s="60"/>
      <c r="B11" s="219" t="s">
        <v>17</v>
      </c>
      <c r="C11" s="220" t="s">
        <v>28</v>
      </c>
      <c r="D11" s="58" t="s">
        <v>14</v>
      </c>
      <c r="E11" s="222"/>
      <c r="F11" s="22" t="s">
        <v>707</v>
      </c>
      <c r="G11" s="223" t="s">
        <v>86</v>
      </c>
      <c r="H11" s="77" t="s">
        <v>93</v>
      </c>
      <c r="I11" s="223" t="s">
        <v>84</v>
      </c>
      <c r="J11" s="56"/>
    </row>
    <row r="12" spans="1:10" s="31" customFormat="1" ht="22.9" customHeight="1">
      <c r="A12" s="60"/>
      <c r="B12" s="219"/>
      <c r="C12" s="220"/>
      <c r="D12" s="224"/>
      <c r="E12" s="222"/>
      <c r="F12" s="22" t="s">
        <v>714</v>
      </c>
      <c r="G12" s="223" t="s">
        <v>86</v>
      </c>
      <c r="H12" s="77" t="s">
        <v>93</v>
      </c>
      <c r="I12" s="223" t="s">
        <v>84</v>
      </c>
      <c r="J12" s="61"/>
    </row>
    <row r="13" spans="1:10" s="31" customFormat="1" ht="22.9" customHeight="1">
      <c r="A13" s="60"/>
      <c r="B13" s="219"/>
      <c r="C13" s="220"/>
      <c r="D13" s="224"/>
      <c r="E13" s="222"/>
      <c r="F13" s="22" t="s">
        <v>715</v>
      </c>
      <c r="G13" s="223" t="s">
        <v>86</v>
      </c>
      <c r="H13" s="77" t="s">
        <v>93</v>
      </c>
      <c r="I13" s="223" t="s">
        <v>84</v>
      </c>
      <c r="J13" s="61"/>
    </row>
    <row r="14" spans="1:10" s="31" customFormat="1" ht="22.9" customHeight="1">
      <c r="A14" s="60"/>
      <c r="B14" s="219"/>
      <c r="C14" s="220"/>
      <c r="D14" s="224"/>
      <c r="E14" s="222"/>
      <c r="F14" s="22" t="s">
        <v>173</v>
      </c>
      <c r="G14" s="223" t="s">
        <v>86</v>
      </c>
      <c r="H14" s="77" t="s">
        <v>93</v>
      </c>
      <c r="I14" s="223" t="s">
        <v>84</v>
      </c>
      <c r="J14" s="61"/>
    </row>
    <row r="15" spans="1:10" s="31" customFormat="1" ht="22.9" customHeight="1">
      <c r="A15" s="60"/>
      <c r="B15" s="219"/>
      <c r="C15" s="220"/>
      <c r="D15" s="224"/>
      <c r="E15" s="222"/>
      <c r="F15" s="22" t="s">
        <v>174</v>
      </c>
      <c r="G15" s="223" t="s">
        <v>86</v>
      </c>
      <c r="H15" s="77" t="s">
        <v>93</v>
      </c>
      <c r="I15" s="223" t="s">
        <v>84</v>
      </c>
      <c r="J15" s="61"/>
    </row>
    <row r="16" spans="1:10" s="31" customFormat="1" ht="22.9" customHeight="1">
      <c r="A16" s="60"/>
      <c r="B16" s="219"/>
      <c r="C16" s="220"/>
      <c r="D16" s="224"/>
      <c r="E16" s="222"/>
      <c r="F16" s="22" t="s">
        <v>716</v>
      </c>
      <c r="G16" s="223" t="s">
        <v>86</v>
      </c>
      <c r="H16" s="77" t="s">
        <v>93</v>
      </c>
      <c r="I16" s="223" t="s">
        <v>84</v>
      </c>
      <c r="J16" s="61"/>
    </row>
    <row r="17" spans="1:10" s="31" customFormat="1" ht="22.9" customHeight="1">
      <c r="A17" s="60"/>
      <c r="B17" s="219"/>
      <c r="C17" s="220"/>
      <c r="D17" s="224"/>
      <c r="E17" s="222"/>
      <c r="F17" s="22" t="s">
        <v>717</v>
      </c>
      <c r="G17" s="223" t="s">
        <v>86</v>
      </c>
      <c r="H17" s="77" t="s">
        <v>93</v>
      </c>
      <c r="I17" s="223" t="s">
        <v>84</v>
      </c>
      <c r="J17" s="61"/>
    </row>
    <row r="18" spans="1:10" s="31" customFormat="1" ht="22.9" customHeight="1">
      <c r="A18" s="60"/>
      <c r="B18" s="219"/>
      <c r="C18" s="220"/>
      <c r="D18" s="224"/>
      <c r="E18" s="222"/>
      <c r="F18" s="22" t="s">
        <v>718</v>
      </c>
      <c r="G18" s="223" t="s">
        <v>86</v>
      </c>
      <c r="H18" s="77" t="s">
        <v>93</v>
      </c>
      <c r="I18" s="223" t="s">
        <v>84</v>
      </c>
      <c r="J18" s="61"/>
    </row>
    <row r="19" spans="1:10" s="31" customFormat="1" ht="22.9" customHeight="1">
      <c r="A19" s="60"/>
      <c r="B19" s="219"/>
      <c r="C19" s="220"/>
      <c r="D19" s="224"/>
      <c r="E19" s="222"/>
      <c r="F19" s="22"/>
      <c r="G19" s="223"/>
      <c r="H19" s="77"/>
      <c r="I19" s="223"/>
      <c r="J19" s="61"/>
    </row>
    <row r="20" spans="1:10" s="31" customFormat="1" ht="22.9" customHeight="1">
      <c r="A20" s="60"/>
      <c r="B20" s="219"/>
      <c r="C20" s="220"/>
      <c r="D20" s="224"/>
      <c r="E20" s="222"/>
      <c r="F20" s="22"/>
      <c r="G20" s="223"/>
      <c r="H20" s="77"/>
      <c r="I20" s="223"/>
      <c r="J20" s="61"/>
    </row>
    <row r="21" spans="1:10" s="31" customFormat="1" ht="22.9" customHeight="1">
      <c r="A21" s="60"/>
      <c r="B21" s="219"/>
      <c r="C21" s="220"/>
      <c r="D21" s="224"/>
      <c r="E21" s="222"/>
      <c r="F21" s="22"/>
      <c r="G21" s="223"/>
      <c r="H21" s="77"/>
      <c r="I21" s="223"/>
      <c r="J21" s="61"/>
    </row>
    <row r="22" spans="1:10" s="31" customFormat="1" ht="22.9" customHeight="1">
      <c r="A22" s="60"/>
      <c r="B22" s="219"/>
      <c r="C22" s="220"/>
      <c r="D22" s="224"/>
      <c r="E22" s="222"/>
      <c r="F22" s="22"/>
      <c r="G22" s="223"/>
      <c r="H22" s="77"/>
      <c r="I22" s="223"/>
      <c r="J22" s="61"/>
    </row>
    <row r="23" spans="1:10" s="31" customFormat="1" ht="22.9" customHeight="1">
      <c r="A23" s="60"/>
      <c r="B23" s="219"/>
      <c r="C23" s="220"/>
      <c r="D23" s="224"/>
      <c r="E23" s="222"/>
      <c r="F23" s="22"/>
      <c r="G23" s="223"/>
      <c r="H23" s="77"/>
      <c r="I23" s="223"/>
      <c r="J23" s="61"/>
    </row>
    <row r="24" spans="1:10" s="31" customFormat="1" ht="13.9" customHeight="1">
      <c r="A24" s="60"/>
      <c r="B24" s="219"/>
      <c r="C24" s="220"/>
      <c r="D24" s="224"/>
      <c r="E24" s="222"/>
      <c r="F24" s="22"/>
      <c r="G24" s="22"/>
      <c r="H24" s="225"/>
      <c r="I24" s="226"/>
      <c r="J24" s="61"/>
    </row>
    <row r="25" spans="1:10" s="31" customFormat="1" ht="13.9" customHeight="1">
      <c r="A25" s="60"/>
      <c r="B25" s="219" t="s">
        <v>18</v>
      </c>
      <c r="C25" s="220" t="s">
        <v>34</v>
      </c>
      <c r="D25" s="224" t="s">
        <v>14</v>
      </c>
      <c r="E25" s="372" t="s">
        <v>795</v>
      </c>
      <c r="F25" s="372"/>
      <c r="G25" s="372"/>
      <c r="H25" s="372"/>
      <c r="I25" s="372"/>
      <c r="J25" s="61"/>
    </row>
    <row r="26" spans="1:10" ht="13.9" customHeight="1">
      <c r="A26" s="60"/>
      <c r="B26" s="219"/>
      <c r="C26" s="220"/>
      <c r="D26" s="224"/>
      <c r="E26" s="22"/>
      <c r="F26" s="22"/>
      <c r="G26" s="22"/>
      <c r="H26" s="22"/>
      <c r="I26" s="22"/>
      <c r="J26" s="56"/>
    </row>
    <row r="27" spans="1:10" ht="13.9" customHeight="1">
      <c r="A27" s="227"/>
      <c r="B27" s="228" t="s">
        <v>19</v>
      </c>
      <c r="C27" s="229" t="s">
        <v>20</v>
      </c>
      <c r="D27" s="230" t="s">
        <v>14</v>
      </c>
      <c r="E27" s="373" t="s">
        <v>796</v>
      </c>
      <c r="F27" s="373"/>
      <c r="G27" s="373"/>
      <c r="H27" s="373"/>
      <c r="I27" s="373"/>
      <c r="J27" s="231"/>
    </row>
  </sheetData>
  <mergeCells count="8">
    <mergeCell ref="E25:I25"/>
    <mergeCell ref="E27:I27"/>
    <mergeCell ref="E4:I4"/>
    <mergeCell ref="E6:I6"/>
    <mergeCell ref="E7:I7"/>
    <mergeCell ref="E8:I8"/>
    <mergeCell ref="E9:I9"/>
    <mergeCell ref="E10:I10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9" orientation="landscape" horizontalDpi="4294967293" vertic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27"/>
  <sheetViews>
    <sheetView view="pageBreakPreview" zoomScaleNormal="100" zoomScaleSheetLayoutView="100" workbookViewId="0">
      <selection activeCell="F20" sqref="F20"/>
    </sheetView>
  </sheetViews>
  <sheetFormatPr defaultColWidth="8.88671875" defaultRowHeight="21.2" customHeight="1"/>
  <cols>
    <col min="1" max="1" width="6.77734375" style="25" customWidth="1"/>
    <col min="2" max="2" width="3.21875" style="25" customWidth="1"/>
    <col min="3" max="3" width="10.77734375" style="25" customWidth="1"/>
    <col min="4" max="4" width="3.21875" style="25" customWidth="1"/>
    <col min="5" max="5" width="2.6640625" style="25" bestFit="1" customWidth="1"/>
    <col min="6" max="6" width="37.21875" style="25" customWidth="1"/>
    <col min="7" max="8" width="7.77734375" style="25" customWidth="1"/>
    <col min="9" max="9" width="29.88671875" style="25" customWidth="1"/>
    <col min="10" max="10" width="4.6640625" style="25" customWidth="1"/>
    <col min="11" max="14" width="8.109375" style="25" customWidth="1"/>
    <col min="15" max="16384" width="8.88671875" style="25"/>
  </cols>
  <sheetData>
    <row r="1" spans="1:10" ht="24.95" customHeight="1">
      <c r="A1" s="30" t="s">
        <v>712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/>
    <row r="3" spans="1:10" ht="13.9" customHeight="1">
      <c r="A3" s="194"/>
      <c r="B3" s="195"/>
      <c r="C3" s="195"/>
      <c r="D3" s="195"/>
      <c r="E3" s="195"/>
      <c r="F3" s="195"/>
      <c r="G3" s="195"/>
      <c r="H3" s="195"/>
      <c r="I3" s="195"/>
      <c r="J3" s="196"/>
    </row>
    <row r="4" spans="1:10" ht="13.9" customHeight="1">
      <c r="A4" s="57"/>
      <c r="B4" s="219" t="s">
        <v>13</v>
      </c>
      <c r="C4" s="220" t="s">
        <v>83</v>
      </c>
      <c r="D4" s="58" t="s">
        <v>14</v>
      </c>
      <c r="E4" s="369" t="s">
        <v>804</v>
      </c>
      <c r="F4" s="369"/>
      <c r="G4" s="369"/>
      <c r="H4" s="369"/>
      <c r="I4" s="369"/>
      <c r="J4" s="59"/>
    </row>
    <row r="5" spans="1:10" ht="13.9" customHeight="1">
      <c r="A5" s="57"/>
      <c r="B5" s="219"/>
      <c r="C5" s="220"/>
      <c r="D5" s="58"/>
      <c r="E5" s="221"/>
      <c r="F5" s="221"/>
      <c r="G5" s="221"/>
      <c r="H5" s="221"/>
      <c r="I5" s="221"/>
      <c r="J5" s="56"/>
    </row>
    <row r="6" spans="1:10" ht="13.9" customHeight="1">
      <c r="A6" s="57"/>
      <c r="B6" s="219" t="s">
        <v>15</v>
      </c>
      <c r="C6" s="220" t="s">
        <v>26</v>
      </c>
      <c r="D6" s="58" t="s">
        <v>14</v>
      </c>
      <c r="E6" s="369" t="s">
        <v>169</v>
      </c>
      <c r="F6" s="369"/>
      <c r="G6" s="369"/>
      <c r="H6" s="369"/>
      <c r="I6" s="369"/>
      <c r="J6" s="56"/>
    </row>
    <row r="7" spans="1:10" ht="13.9" customHeight="1">
      <c r="A7" s="60"/>
      <c r="B7" s="219"/>
      <c r="C7" s="220"/>
      <c r="D7" s="58"/>
      <c r="E7" s="370"/>
      <c r="F7" s="370"/>
      <c r="G7" s="370"/>
      <c r="H7" s="370"/>
      <c r="I7" s="370"/>
      <c r="J7" s="56"/>
    </row>
    <row r="8" spans="1:10" ht="13.9" customHeight="1">
      <c r="A8" s="60"/>
      <c r="B8" s="219" t="s">
        <v>16</v>
      </c>
      <c r="C8" s="220" t="s">
        <v>27</v>
      </c>
      <c r="D8" s="58" t="s">
        <v>14</v>
      </c>
      <c r="E8" s="369" t="s">
        <v>792</v>
      </c>
      <c r="F8" s="369"/>
      <c r="G8" s="369"/>
      <c r="H8" s="369"/>
      <c r="I8" s="369"/>
      <c r="J8" s="56"/>
    </row>
    <row r="9" spans="1:10" ht="13.9" customHeight="1">
      <c r="A9" s="60"/>
      <c r="B9" s="219"/>
      <c r="C9" s="220"/>
      <c r="D9" s="58"/>
      <c r="E9" s="371"/>
      <c r="F9" s="371"/>
      <c r="G9" s="371"/>
      <c r="H9" s="371"/>
      <c r="I9" s="371"/>
      <c r="J9" s="56"/>
    </row>
    <row r="10" spans="1:10" ht="13.9" customHeight="1">
      <c r="A10" s="60"/>
      <c r="B10" s="219"/>
      <c r="C10" s="220"/>
      <c r="D10" s="58"/>
      <c r="E10" s="370"/>
      <c r="F10" s="370"/>
      <c r="G10" s="370"/>
      <c r="H10" s="370"/>
      <c r="I10" s="370"/>
      <c r="J10" s="56"/>
    </row>
    <row r="11" spans="1:10" ht="22.9" customHeight="1">
      <c r="A11" s="60"/>
      <c r="B11" s="219" t="s">
        <v>17</v>
      </c>
      <c r="C11" s="220" t="s">
        <v>28</v>
      </c>
      <c r="D11" s="58" t="s">
        <v>14</v>
      </c>
      <c r="E11" s="222"/>
      <c r="F11" s="22" t="s">
        <v>707</v>
      </c>
      <c r="G11" s="223" t="s">
        <v>86</v>
      </c>
      <c r="H11" s="77" t="s">
        <v>93</v>
      </c>
      <c r="I11" s="223" t="s">
        <v>84</v>
      </c>
      <c r="J11" s="56"/>
    </row>
    <row r="12" spans="1:10" s="31" customFormat="1" ht="22.9" customHeight="1">
      <c r="A12" s="60"/>
      <c r="B12" s="219"/>
      <c r="C12" s="220"/>
      <c r="D12" s="224"/>
      <c r="E12" s="222"/>
      <c r="F12" s="22" t="s">
        <v>706</v>
      </c>
      <c r="G12" s="223" t="s">
        <v>86</v>
      </c>
      <c r="H12" s="77" t="s">
        <v>93</v>
      </c>
      <c r="I12" s="223" t="s">
        <v>84</v>
      </c>
      <c r="J12" s="61"/>
    </row>
    <row r="13" spans="1:10" s="31" customFormat="1" ht="22.9" customHeight="1">
      <c r="A13" s="60"/>
      <c r="B13" s="219"/>
      <c r="C13" s="220"/>
      <c r="D13" s="224"/>
      <c r="E13" s="222"/>
      <c r="F13" s="22" t="s">
        <v>705</v>
      </c>
      <c r="G13" s="223" t="s">
        <v>86</v>
      </c>
      <c r="H13" s="77" t="s">
        <v>93</v>
      </c>
      <c r="I13" s="223" t="s">
        <v>84</v>
      </c>
      <c r="J13" s="61"/>
    </row>
    <row r="14" spans="1:10" s="31" customFormat="1" ht="22.9" customHeight="1">
      <c r="A14" s="60"/>
      <c r="B14" s="219"/>
      <c r="C14" s="220"/>
      <c r="D14" s="224"/>
      <c r="E14" s="222"/>
      <c r="F14" s="22" t="s">
        <v>704</v>
      </c>
      <c r="G14" s="223" t="s">
        <v>86</v>
      </c>
      <c r="H14" s="77" t="s">
        <v>93</v>
      </c>
      <c r="I14" s="223" t="s">
        <v>84</v>
      </c>
      <c r="J14" s="61"/>
    </row>
    <row r="15" spans="1:10" s="31" customFormat="1" ht="22.9" customHeight="1">
      <c r="A15" s="60"/>
      <c r="B15" s="219"/>
      <c r="C15" s="220"/>
      <c r="D15" s="224"/>
      <c r="E15" s="222"/>
      <c r="F15" s="22" t="s">
        <v>708</v>
      </c>
      <c r="G15" s="223" t="s">
        <v>86</v>
      </c>
      <c r="H15" s="77" t="s">
        <v>93</v>
      </c>
      <c r="I15" s="223" t="s">
        <v>84</v>
      </c>
      <c r="J15" s="61"/>
    </row>
    <row r="16" spans="1:10" s="31" customFormat="1" ht="22.9" customHeight="1">
      <c r="A16" s="60"/>
      <c r="B16" s="219"/>
      <c r="C16" s="220"/>
      <c r="D16" s="224"/>
      <c r="E16" s="222"/>
      <c r="F16" s="22" t="s">
        <v>709</v>
      </c>
      <c r="G16" s="223" t="s">
        <v>86</v>
      </c>
      <c r="H16" s="77" t="s">
        <v>93</v>
      </c>
      <c r="I16" s="223" t="s">
        <v>84</v>
      </c>
      <c r="J16" s="61"/>
    </row>
    <row r="17" spans="1:10" s="31" customFormat="1" ht="22.9" customHeight="1">
      <c r="A17" s="60"/>
      <c r="B17" s="219"/>
      <c r="C17" s="220"/>
      <c r="D17" s="224"/>
      <c r="E17" s="222"/>
      <c r="F17" s="22" t="s">
        <v>710</v>
      </c>
      <c r="G17" s="223" t="s">
        <v>86</v>
      </c>
      <c r="H17" s="77" t="s">
        <v>93</v>
      </c>
      <c r="I17" s="223" t="s">
        <v>84</v>
      </c>
      <c r="J17" s="61"/>
    </row>
    <row r="18" spans="1:10" s="31" customFormat="1" ht="22.9" customHeight="1">
      <c r="A18" s="60"/>
      <c r="B18" s="219"/>
      <c r="C18" s="220"/>
      <c r="D18" s="224"/>
      <c r="E18" s="222"/>
      <c r="F18" s="22" t="s">
        <v>711</v>
      </c>
      <c r="G18" s="223" t="s">
        <v>86</v>
      </c>
      <c r="H18" s="77" t="s">
        <v>93</v>
      </c>
      <c r="I18" s="223" t="s">
        <v>84</v>
      </c>
      <c r="J18" s="61"/>
    </row>
    <row r="19" spans="1:10" s="31" customFormat="1" ht="22.9" customHeight="1">
      <c r="A19" s="60"/>
      <c r="B19" s="219"/>
      <c r="C19" s="220"/>
      <c r="D19" s="224"/>
      <c r="E19" s="222"/>
      <c r="F19" s="22"/>
      <c r="G19" s="223"/>
      <c r="H19" s="77"/>
      <c r="I19" s="223"/>
      <c r="J19" s="61"/>
    </row>
    <row r="20" spans="1:10" s="31" customFormat="1" ht="22.9" customHeight="1">
      <c r="A20" s="60"/>
      <c r="B20" s="219"/>
      <c r="C20" s="220"/>
      <c r="D20" s="224"/>
      <c r="E20" s="222"/>
      <c r="F20" s="22"/>
      <c r="G20" s="223"/>
      <c r="H20" s="77"/>
      <c r="I20" s="223"/>
      <c r="J20" s="61"/>
    </row>
    <row r="21" spans="1:10" s="31" customFormat="1" ht="22.9" customHeight="1">
      <c r="A21" s="60"/>
      <c r="B21" s="219"/>
      <c r="C21" s="220"/>
      <c r="D21" s="224"/>
      <c r="E21" s="222"/>
      <c r="F21" s="22"/>
      <c r="G21" s="223"/>
      <c r="H21" s="77"/>
      <c r="I21" s="223"/>
      <c r="J21" s="61"/>
    </row>
    <row r="22" spans="1:10" s="31" customFormat="1" ht="22.9" customHeight="1">
      <c r="A22" s="60"/>
      <c r="B22" s="219"/>
      <c r="C22" s="220"/>
      <c r="D22" s="224"/>
      <c r="E22" s="222"/>
      <c r="F22" s="22"/>
      <c r="G22" s="223"/>
      <c r="H22" s="77"/>
      <c r="I22" s="223"/>
      <c r="J22" s="61"/>
    </row>
    <row r="23" spans="1:10" s="31" customFormat="1" ht="22.9" customHeight="1">
      <c r="A23" s="60"/>
      <c r="B23" s="219"/>
      <c r="C23" s="220"/>
      <c r="D23" s="224"/>
      <c r="E23" s="222"/>
      <c r="F23" s="22"/>
      <c r="G23" s="223"/>
      <c r="H23" s="77"/>
      <c r="I23" s="223"/>
      <c r="J23" s="61"/>
    </row>
    <row r="24" spans="1:10" s="31" customFormat="1" ht="13.9" customHeight="1">
      <c r="A24" s="60"/>
      <c r="B24" s="219"/>
      <c r="C24" s="220"/>
      <c r="D24" s="224"/>
      <c r="E24" s="222"/>
      <c r="F24" s="22"/>
      <c r="G24" s="22"/>
      <c r="H24" s="225"/>
      <c r="I24" s="226"/>
      <c r="J24" s="61"/>
    </row>
    <row r="25" spans="1:10" s="31" customFormat="1" ht="13.9" customHeight="1">
      <c r="A25" s="60"/>
      <c r="B25" s="219" t="s">
        <v>18</v>
      </c>
      <c r="C25" s="220" t="s">
        <v>34</v>
      </c>
      <c r="D25" s="224" t="s">
        <v>14</v>
      </c>
      <c r="E25" s="372" t="s">
        <v>798</v>
      </c>
      <c r="F25" s="372"/>
      <c r="G25" s="372"/>
      <c r="H25" s="372"/>
      <c r="I25" s="372"/>
      <c r="J25" s="61"/>
    </row>
    <row r="26" spans="1:10" ht="13.9" customHeight="1">
      <c r="A26" s="60"/>
      <c r="B26" s="219"/>
      <c r="C26" s="220"/>
      <c r="D26" s="224"/>
      <c r="E26" s="22"/>
      <c r="F26" s="22"/>
      <c r="G26" s="22"/>
      <c r="H26" s="22"/>
      <c r="I26" s="22"/>
      <c r="J26" s="56"/>
    </row>
    <row r="27" spans="1:10" ht="13.9" customHeight="1">
      <c r="A27" s="227"/>
      <c r="B27" s="228" t="s">
        <v>19</v>
      </c>
      <c r="C27" s="229" t="s">
        <v>20</v>
      </c>
      <c r="D27" s="230" t="s">
        <v>14</v>
      </c>
      <c r="E27" s="373" t="s">
        <v>797</v>
      </c>
      <c r="F27" s="373"/>
      <c r="G27" s="373"/>
      <c r="H27" s="373"/>
      <c r="I27" s="373"/>
      <c r="J27" s="231"/>
    </row>
  </sheetData>
  <mergeCells count="8">
    <mergeCell ref="E25:I25"/>
    <mergeCell ref="E27:I27"/>
    <mergeCell ref="E4:I4"/>
    <mergeCell ref="E6:I6"/>
    <mergeCell ref="E7:I7"/>
    <mergeCell ref="E8:I8"/>
    <mergeCell ref="E9:I9"/>
    <mergeCell ref="E10:I10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9" orientation="landscape" horizontalDpi="4294967293" verticalDpi="4294967293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view="pageBreakPreview" zoomScaleNormal="100" zoomScaleSheetLayoutView="100" workbookViewId="0">
      <selection activeCell="E15" sqref="E15"/>
    </sheetView>
  </sheetViews>
  <sheetFormatPr defaultColWidth="8.88671875" defaultRowHeight="21.95" customHeight="1"/>
  <cols>
    <col min="1" max="14" width="9.77734375" style="25" customWidth="1"/>
    <col min="15" max="16384" width="8.88671875" style="25"/>
  </cols>
  <sheetData>
    <row r="1" spans="1:19" ht="30.2" customHeight="1">
      <c r="A1" s="374" t="s">
        <v>69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79"/>
      <c r="O1" s="79"/>
      <c r="P1" s="79"/>
      <c r="Q1" s="79"/>
      <c r="R1" s="79"/>
      <c r="S1" s="79"/>
    </row>
    <row r="2" spans="1:19" ht="21.95" customHeight="1">
      <c r="A2" s="80" t="s">
        <v>70</v>
      </c>
    </row>
  </sheetData>
  <mergeCells count="1">
    <mergeCell ref="A1:M1"/>
  </mergeCells>
  <phoneticPr fontId="2" type="noConversion"/>
  <printOptions horizontalCentered="1"/>
  <pageMargins left="0.59055118110236227" right="0.51181102362204722" top="0.59055118110236227" bottom="0.47244094488188981" header="0.55118110236220474" footer="0.11811023622047245"/>
  <pageSetup paperSize="9" scale="8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3"/>
  <sheetViews>
    <sheetView view="pageBreakPreview" zoomScale="115" zoomScaleNormal="100" zoomScaleSheetLayoutView="115" workbookViewId="0">
      <selection activeCell="G34" sqref="G34"/>
    </sheetView>
  </sheetViews>
  <sheetFormatPr defaultColWidth="8.88671875" defaultRowHeight="23.1" customHeight="1"/>
  <cols>
    <col min="1" max="1" width="32.109375" style="25" customWidth="1"/>
    <col min="2" max="2" width="4.5546875" style="45" customWidth="1"/>
    <col min="3" max="3" width="4.5546875" style="25" customWidth="1"/>
    <col min="4" max="13" width="6.77734375" style="46" customWidth="1"/>
    <col min="14" max="14" width="4.77734375" style="25" customWidth="1"/>
    <col min="15" max="16384" width="8.88671875" style="25"/>
  </cols>
  <sheetData>
    <row r="1" spans="1:22" ht="30.2" customHeight="1">
      <c r="A1" s="374" t="s">
        <v>1174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</row>
    <row r="2" spans="1:22" ht="24.95" customHeight="1"/>
    <row r="3" spans="1:22" s="65" customFormat="1" ht="24.95" customHeight="1">
      <c r="A3" s="381" t="s">
        <v>4</v>
      </c>
      <c r="B3" s="381" t="s">
        <v>3</v>
      </c>
      <c r="C3" s="381" t="s">
        <v>5</v>
      </c>
      <c r="D3" s="382" t="s">
        <v>1175</v>
      </c>
      <c r="E3" s="383"/>
      <c r="F3" s="383"/>
      <c r="G3" s="383"/>
      <c r="H3" s="383"/>
      <c r="I3" s="383"/>
      <c r="J3" s="383"/>
      <c r="K3" s="383"/>
      <c r="L3" s="383"/>
      <c r="M3" s="383"/>
      <c r="N3" s="381" t="s">
        <v>1176</v>
      </c>
    </row>
    <row r="4" spans="1:22" s="65" customFormat="1" ht="24.95" customHeight="1">
      <c r="A4" s="381"/>
      <c r="B4" s="381"/>
      <c r="C4" s="381"/>
      <c r="D4" s="47">
        <v>10</v>
      </c>
      <c r="E4" s="197">
        <v>20</v>
      </c>
      <c r="F4" s="197">
        <v>30</v>
      </c>
      <c r="G4" s="197">
        <v>40</v>
      </c>
      <c r="H4" s="197">
        <v>50</v>
      </c>
      <c r="I4" s="197">
        <v>60</v>
      </c>
      <c r="J4" s="197">
        <v>70</v>
      </c>
      <c r="K4" s="197">
        <v>80</v>
      </c>
      <c r="L4" s="197">
        <v>90</v>
      </c>
      <c r="M4" s="197">
        <v>100</v>
      </c>
      <c r="N4" s="381"/>
      <c r="P4" s="65">
        <v>2</v>
      </c>
    </row>
    <row r="5" spans="1:22" s="65" customFormat="1" ht="12" customHeight="1" thickBot="1">
      <c r="A5" s="375" t="s">
        <v>1177</v>
      </c>
      <c r="B5" s="377" t="s">
        <v>6</v>
      </c>
      <c r="C5" s="379">
        <v>1</v>
      </c>
      <c r="D5" s="169"/>
      <c r="E5" s="166"/>
      <c r="F5" s="166"/>
      <c r="G5" s="166"/>
      <c r="H5" s="166"/>
      <c r="I5" s="166"/>
      <c r="J5" s="166"/>
      <c r="K5" s="166"/>
      <c r="L5" s="166"/>
      <c r="M5" s="166"/>
      <c r="N5" s="347"/>
    </row>
    <row r="6" spans="1:22" s="65" customFormat="1" ht="12" customHeight="1" thickTop="1">
      <c r="A6" s="376"/>
      <c r="B6" s="378"/>
      <c r="C6" s="380"/>
      <c r="D6" s="170"/>
      <c r="E6" s="168"/>
      <c r="F6" s="168"/>
      <c r="G6" s="168"/>
      <c r="H6" s="168"/>
      <c r="I6" s="168"/>
      <c r="J6" s="168"/>
      <c r="K6" s="168"/>
      <c r="L6" s="168"/>
      <c r="M6" s="168"/>
      <c r="N6" s="348"/>
    </row>
    <row r="7" spans="1:22" s="65" customFormat="1" ht="12" customHeight="1" thickBot="1">
      <c r="A7" s="375" t="s">
        <v>1178</v>
      </c>
      <c r="B7" s="377" t="s">
        <v>6</v>
      </c>
      <c r="C7" s="379">
        <v>1</v>
      </c>
      <c r="D7" s="295"/>
      <c r="E7" s="296"/>
      <c r="F7" s="166"/>
      <c r="G7" s="166"/>
      <c r="H7" s="166"/>
      <c r="I7" s="166"/>
      <c r="J7" s="166"/>
      <c r="K7" s="166"/>
      <c r="L7" s="166"/>
      <c r="M7" s="166"/>
      <c r="N7" s="347"/>
      <c r="P7" s="22"/>
      <c r="U7" s="76"/>
      <c r="V7" s="75">
        <v>1</v>
      </c>
    </row>
    <row r="8" spans="1:22" s="65" customFormat="1" ht="12" customHeight="1" thickTop="1">
      <c r="A8" s="376"/>
      <c r="B8" s="378"/>
      <c r="C8" s="380"/>
      <c r="D8" s="167"/>
      <c r="E8" s="168"/>
      <c r="F8" s="168"/>
      <c r="G8" s="168"/>
      <c r="H8" s="168"/>
      <c r="I8" s="168"/>
      <c r="J8" s="168"/>
      <c r="K8" s="168"/>
      <c r="L8" s="168"/>
      <c r="M8" s="168"/>
      <c r="N8" s="348"/>
      <c r="P8" s="22"/>
      <c r="U8" s="160"/>
      <c r="V8" s="161"/>
    </row>
    <row r="9" spans="1:22" s="65" customFormat="1" ht="12" customHeight="1" thickBot="1">
      <c r="A9" s="375" t="s">
        <v>1179</v>
      </c>
      <c r="B9" s="377" t="s">
        <v>6</v>
      </c>
      <c r="C9" s="379">
        <v>1</v>
      </c>
      <c r="D9" s="165"/>
      <c r="E9" s="296"/>
      <c r="F9" s="296"/>
      <c r="G9" s="166"/>
      <c r="H9" s="166"/>
      <c r="I9" s="166"/>
      <c r="J9" s="166"/>
      <c r="K9" s="166"/>
      <c r="L9" s="166"/>
      <c r="M9" s="166"/>
      <c r="N9" s="347"/>
      <c r="P9" s="22"/>
      <c r="U9" s="76"/>
      <c r="V9" s="75">
        <v>1</v>
      </c>
    </row>
    <row r="10" spans="1:22" s="65" customFormat="1" ht="12" customHeight="1" thickTop="1">
      <c r="A10" s="376"/>
      <c r="B10" s="378"/>
      <c r="C10" s="380"/>
      <c r="D10" s="167"/>
      <c r="E10" s="168"/>
      <c r="F10" s="168"/>
      <c r="G10" s="168"/>
      <c r="H10" s="168"/>
      <c r="I10" s="168"/>
      <c r="J10" s="168"/>
      <c r="K10" s="168"/>
      <c r="L10" s="168"/>
      <c r="M10" s="168"/>
      <c r="N10" s="348"/>
      <c r="P10" s="22"/>
      <c r="U10" s="160"/>
      <c r="V10" s="161"/>
    </row>
    <row r="11" spans="1:22" s="65" customFormat="1" ht="12" customHeight="1" thickBot="1">
      <c r="A11" s="375" t="s">
        <v>1180</v>
      </c>
      <c r="B11" s="377" t="s">
        <v>6</v>
      </c>
      <c r="C11" s="379">
        <v>1</v>
      </c>
      <c r="D11" s="165"/>
      <c r="E11" s="166"/>
      <c r="F11" s="296"/>
      <c r="G11" s="296"/>
      <c r="H11" s="296"/>
      <c r="I11" s="296"/>
      <c r="J11" s="296"/>
      <c r="K11" s="296"/>
      <c r="L11" s="296"/>
      <c r="M11" s="296"/>
      <c r="N11" s="347"/>
      <c r="P11" s="22"/>
      <c r="U11" s="76"/>
      <c r="V11" s="75">
        <v>1</v>
      </c>
    </row>
    <row r="12" spans="1:22" s="65" customFormat="1" ht="12" customHeight="1" thickTop="1">
      <c r="A12" s="376"/>
      <c r="B12" s="378"/>
      <c r="C12" s="380"/>
      <c r="D12" s="167"/>
      <c r="E12" s="168"/>
      <c r="F12" s="168"/>
      <c r="G12" s="168"/>
      <c r="H12" s="168"/>
      <c r="I12" s="168"/>
      <c r="J12" s="168"/>
      <c r="K12" s="168"/>
      <c r="L12" s="168"/>
      <c r="M12" s="168"/>
      <c r="N12" s="348"/>
      <c r="P12" s="22"/>
      <c r="U12" s="163"/>
      <c r="V12" s="164"/>
    </row>
    <row r="13" spans="1:22" s="65" customFormat="1" ht="12" customHeight="1" thickBot="1">
      <c r="A13" s="375" t="s">
        <v>1181</v>
      </c>
      <c r="B13" s="377" t="s">
        <v>6</v>
      </c>
      <c r="C13" s="379">
        <v>1</v>
      </c>
      <c r="D13" s="165"/>
      <c r="E13" s="294"/>
      <c r="F13" s="166"/>
      <c r="G13" s="166"/>
      <c r="H13" s="296"/>
      <c r="I13" s="296"/>
      <c r="J13" s="296"/>
      <c r="K13" s="296"/>
      <c r="L13" s="296"/>
      <c r="M13" s="296"/>
      <c r="N13" s="347"/>
    </row>
    <row r="14" spans="1:22" s="65" customFormat="1" ht="12" customHeight="1" thickTop="1">
      <c r="A14" s="376"/>
      <c r="B14" s="378"/>
      <c r="C14" s="380"/>
      <c r="D14" s="167"/>
      <c r="E14" s="168"/>
      <c r="F14" s="168"/>
      <c r="G14" s="168"/>
      <c r="H14" s="168"/>
      <c r="I14" s="168"/>
      <c r="J14" s="168"/>
      <c r="K14" s="168"/>
      <c r="L14" s="168"/>
      <c r="M14" s="168"/>
      <c r="N14" s="348"/>
    </row>
    <row r="15" spans="1:22" s="65" customFormat="1" ht="12" customHeight="1" thickBot="1">
      <c r="A15" s="375" t="s">
        <v>1182</v>
      </c>
      <c r="B15" s="377" t="s">
        <v>6</v>
      </c>
      <c r="C15" s="379">
        <v>1</v>
      </c>
      <c r="D15" s="165"/>
      <c r="E15" s="166"/>
      <c r="F15" s="166"/>
      <c r="G15" s="166"/>
      <c r="H15" s="166"/>
      <c r="I15" s="166"/>
      <c r="J15" s="296"/>
      <c r="K15" s="296"/>
      <c r="L15" s="296"/>
      <c r="M15" s="296"/>
      <c r="N15" s="347"/>
    </row>
    <row r="16" spans="1:22" s="65" customFormat="1" ht="12" customHeight="1" thickTop="1">
      <c r="A16" s="376"/>
      <c r="B16" s="378"/>
      <c r="C16" s="380"/>
      <c r="D16" s="167"/>
      <c r="E16" s="168"/>
      <c r="F16" s="168"/>
      <c r="G16" s="168"/>
      <c r="H16" s="168"/>
      <c r="I16" s="168"/>
      <c r="J16" s="168"/>
      <c r="K16" s="168"/>
      <c r="L16" s="168"/>
      <c r="M16" s="168"/>
      <c r="N16" s="348"/>
    </row>
    <row r="17" spans="1:14" s="65" customFormat="1" ht="12" customHeight="1" thickBot="1">
      <c r="A17" s="375" t="s">
        <v>1183</v>
      </c>
      <c r="B17" s="377" t="s">
        <v>6</v>
      </c>
      <c r="C17" s="379">
        <v>1</v>
      </c>
      <c r="D17" s="165"/>
      <c r="E17" s="166"/>
      <c r="F17" s="166"/>
      <c r="G17" s="166"/>
      <c r="H17" s="166"/>
      <c r="I17" s="166"/>
      <c r="J17" s="166"/>
      <c r="K17" s="166"/>
      <c r="L17" s="166"/>
      <c r="M17" s="317"/>
      <c r="N17" s="347"/>
    </row>
    <row r="18" spans="1:14" s="65" customFormat="1" ht="12" customHeight="1" thickTop="1">
      <c r="A18" s="376"/>
      <c r="B18" s="378"/>
      <c r="C18" s="380"/>
      <c r="D18" s="167"/>
      <c r="E18" s="168"/>
      <c r="F18" s="168"/>
      <c r="G18" s="168"/>
      <c r="H18" s="168"/>
      <c r="I18" s="168"/>
      <c r="J18" s="168"/>
      <c r="K18" s="168"/>
      <c r="L18" s="168"/>
      <c r="M18" s="318"/>
      <c r="N18" s="348"/>
    </row>
    <row r="19" spans="1:14" s="65" customFormat="1" ht="12" customHeight="1" thickBot="1">
      <c r="A19" s="375" t="s">
        <v>1184</v>
      </c>
      <c r="B19" s="377" t="s">
        <v>6</v>
      </c>
      <c r="C19" s="379">
        <v>1</v>
      </c>
      <c r="D19" s="165"/>
      <c r="E19" s="166"/>
      <c r="F19" s="166"/>
      <c r="G19" s="166"/>
      <c r="H19" s="166"/>
      <c r="I19" s="166"/>
      <c r="J19" s="166"/>
      <c r="K19" s="166"/>
      <c r="L19" s="166"/>
      <c r="M19" s="317"/>
      <c r="N19" s="347"/>
    </row>
    <row r="20" spans="1:14" s="65" customFormat="1" ht="12" customHeight="1" thickTop="1">
      <c r="A20" s="376"/>
      <c r="B20" s="378"/>
      <c r="C20" s="380"/>
      <c r="D20" s="167"/>
      <c r="E20" s="168"/>
      <c r="F20" s="168"/>
      <c r="G20" s="168"/>
      <c r="H20" s="168"/>
      <c r="I20" s="168"/>
      <c r="J20" s="168"/>
      <c r="K20" s="168"/>
      <c r="L20" s="168"/>
      <c r="M20" s="318"/>
      <c r="N20" s="348"/>
    </row>
    <row r="21" spans="1:14" s="65" customFormat="1" ht="12" customHeight="1">
      <c r="A21" s="375"/>
      <c r="B21" s="377"/>
      <c r="C21" s="379"/>
      <c r="D21" s="165"/>
      <c r="E21" s="166"/>
      <c r="F21" s="166"/>
      <c r="G21" s="166"/>
      <c r="H21" s="166"/>
      <c r="I21" s="166"/>
      <c r="J21" s="166"/>
      <c r="K21" s="166"/>
      <c r="L21" s="166"/>
      <c r="M21" s="166"/>
      <c r="N21" s="347"/>
    </row>
    <row r="22" spans="1:14" s="65" customFormat="1" ht="12" customHeight="1">
      <c r="A22" s="376"/>
      <c r="B22" s="378"/>
      <c r="C22" s="380"/>
      <c r="D22" s="167"/>
      <c r="E22" s="168"/>
      <c r="F22" s="168"/>
      <c r="G22" s="168"/>
      <c r="H22" s="168"/>
      <c r="I22" s="168"/>
      <c r="J22" s="168"/>
      <c r="K22" s="168"/>
      <c r="L22" s="168"/>
      <c r="M22" s="168"/>
      <c r="N22" s="348"/>
    </row>
    <row r="23" spans="1:14" s="65" customFormat="1" ht="12" customHeight="1">
      <c r="A23" s="375"/>
      <c r="B23" s="377"/>
      <c r="C23" s="379"/>
      <c r="D23" s="165"/>
      <c r="E23" s="166"/>
      <c r="F23" s="166"/>
      <c r="G23" s="166"/>
      <c r="H23" s="166"/>
      <c r="I23" s="166"/>
      <c r="J23" s="166"/>
      <c r="K23" s="166"/>
      <c r="L23" s="166"/>
      <c r="M23" s="166"/>
      <c r="N23" s="347"/>
    </row>
    <row r="24" spans="1:14" s="65" customFormat="1" ht="12" customHeight="1">
      <c r="A24" s="376"/>
      <c r="B24" s="378"/>
      <c r="C24" s="380"/>
      <c r="D24" s="167"/>
      <c r="E24" s="168"/>
      <c r="F24" s="168"/>
      <c r="G24" s="168"/>
      <c r="H24" s="168"/>
      <c r="I24" s="168"/>
      <c r="J24" s="168"/>
      <c r="K24" s="168"/>
      <c r="L24" s="168"/>
      <c r="M24" s="168"/>
      <c r="N24" s="348"/>
    </row>
    <row r="25" spans="1:14" s="65" customFormat="1" ht="12" customHeight="1">
      <c r="A25" s="375"/>
      <c r="B25" s="377"/>
      <c r="C25" s="379"/>
      <c r="D25" s="165"/>
      <c r="E25" s="166"/>
      <c r="F25" s="166"/>
      <c r="G25" s="166"/>
      <c r="H25" s="166"/>
      <c r="I25" s="166"/>
      <c r="J25" s="166"/>
      <c r="K25" s="166"/>
      <c r="L25" s="166"/>
      <c r="M25" s="166"/>
      <c r="N25" s="347"/>
    </row>
    <row r="26" spans="1:14" s="65" customFormat="1" ht="12" customHeight="1">
      <c r="A26" s="376"/>
      <c r="B26" s="378"/>
      <c r="C26" s="380"/>
      <c r="D26" s="167"/>
      <c r="E26" s="168"/>
      <c r="F26" s="168"/>
      <c r="G26" s="168"/>
      <c r="H26" s="168"/>
      <c r="I26" s="168"/>
      <c r="J26" s="168"/>
      <c r="K26" s="168"/>
      <c r="L26" s="168"/>
      <c r="M26" s="168"/>
      <c r="N26" s="348"/>
    </row>
    <row r="27" spans="1:14" s="65" customFormat="1" ht="12" customHeight="1">
      <c r="A27" s="375"/>
      <c r="B27" s="377"/>
      <c r="C27" s="379"/>
      <c r="D27" s="165"/>
      <c r="E27" s="166"/>
      <c r="F27" s="166"/>
      <c r="G27" s="166"/>
      <c r="H27" s="166"/>
      <c r="I27" s="166"/>
      <c r="J27" s="166"/>
      <c r="K27" s="166"/>
      <c r="L27" s="166"/>
      <c r="M27" s="166"/>
      <c r="N27" s="347"/>
    </row>
    <row r="28" spans="1:14" s="65" customFormat="1" ht="12" customHeight="1">
      <c r="A28" s="376"/>
      <c r="B28" s="378"/>
      <c r="C28" s="380"/>
      <c r="D28" s="167"/>
      <c r="E28" s="168"/>
      <c r="F28" s="168"/>
      <c r="G28" s="168"/>
      <c r="H28" s="168"/>
      <c r="I28" s="168"/>
      <c r="J28" s="168"/>
      <c r="K28" s="168"/>
      <c r="L28" s="168"/>
      <c r="M28" s="168"/>
      <c r="N28" s="348"/>
    </row>
    <row r="29" spans="1:14" s="65" customFormat="1" ht="12" customHeight="1">
      <c r="A29" s="375"/>
      <c r="B29" s="377"/>
      <c r="C29" s="379"/>
      <c r="D29" s="165"/>
      <c r="E29" s="166"/>
      <c r="F29" s="166"/>
      <c r="G29" s="166"/>
      <c r="H29" s="166"/>
      <c r="I29" s="166"/>
      <c r="J29" s="166"/>
      <c r="K29" s="166"/>
      <c r="L29" s="166"/>
      <c r="M29" s="166"/>
      <c r="N29" s="347"/>
    </row>
    <row r="30" spans="1:14" s="65" customFormat="1" ht="12" customHeight="1">
      <c r="A30" s="376"/>
      <c r="B30" s="378"/>
      <c r="C30" s="380"/>
      <c r="D30" s="167"/>
      <c r="E30" s="168"/>
      <c r="F30" s="168"/>
      <c r="G30" s="168"/>
      <c r="H30" s="168"/>
      <c r="I30" s="168"/>
      <c r="J30" s="168"/>
      <c r="K30" s="168"/>
      <c r="L30" s="168"/>
      <c r="M30" s="168"/>
      <c r="N30" s="348"/>
    </row>
    <row r="31" spans="1:14" s="65" customFormat="1" ht="12" customHeight="1">
      <c r="A31" s="292"/>
      <c r="B31" s="377"/>
      <c r="C31" s="379"/>
      <c r="D31" s="165"/>
      <c r="E31" s="166"/>
      <c r="F31" s="166"/>
      <c r="G31" s="166"/>
      <c r="H31" s="166"/>
      <c r="I31" s="166"/>
      <c r="J31" s="166"/>
      <c r="K31" s="166"/>
      <c r="L31" s="166"/>
      <c r="M31" s="166"/>
      <c r="N31" s="347"/>
    </row>
    <row r="32" spans="1:14" s="65" customFormat="1" ht="12" customHeight="1">
      <c r="A32" s="292"/>
      <c r="B32" s="378"/>
      <c r="C32" s="380"/>
      <c r="D32" s="167"/>
      <c r="E32" s="168"/>
      <c r="F32" s="168"/>
      <c r="G32" s="168"/>
      <c r="H32" s="168"/>
      <c r="I32" s="168"/>
      <c r="J32" s="168"/>
      <c r="K32" s="168"/>
      <c r="L32" s="168"/>
      <c r="M32" s="168"/>
      <c r="N32" s="348"/>
    </row>
    <row r="33" spans="1:14" s="65" customFormat="1" ht="24" customHeight="1">
      <c r="A33" s="349"/>
      <c r="B33" s="350"/>
      <c r="C33" s="351"/>
      <c r="D33" s="52"/>
      <c r="E33" s="162"/>
      <c r="F33" s="162"/>
      <c r="G33" s="162"/>
      <c r="H33" s="162"/>
      <c r="I33" s="162"/>
      <c r="J33" s="162"/>
      <c r="K33" s="162"/>
      <c r="L33" s="162"/>
      <c r="M33" s="162"/>
      <c r="N33" s="352"/>
    </row>
  </sheetData>
  <mergeCells count="47">
    <mergeCell ref="A1:N1"/>
    <mergeCell ref="A3:A4"/>
    <mergeCell ref="B3:B4"/>
    <mergeCell ref="C3:C4"/>
    <mergeCell ref="N3:N4"/>
    <mergeCell ref="D3:M3"/>
    <mergeCell ref="A5:A6"/>
    <mergeCell ref="B5:B6"/>
    <mergeCell ref="C5:C6"/>
    <mergeCell ref="A7:A8"/>
    <mergeCell ref="B7:B8"/>
    <mergeCell ref="C7:C8"/>
    <mergeCell ref="A9:A10"/>
    <mergeCell ref="B9:B10"/>
    <mergeCell ref="C9:C10"/>
    <mergeCell ref="A11:A12"/>
    <mergeCell ref="B11:B12"/>
    <mergeCell ref="C11:C12"/>
    <mergeCell ref="B13:B14"/>
    <mergeCell ref="C13:C14"/>
    <mergeCell ref="A15:A16"/>
    <mergeCell ref="B15:B16"/>
    <mergeCell ref="C15:C16"/>
    <mergeCell ref="A13:A14"/>
    <mergeCell ref="B23:B24"/>
    <mergeCell ref="C23:C24"/>
    <mergeCell ref="A17:A18"/>
    <mergeCell ref="B17:B18"/>
    <mergeCell ref="C17:C18"/>
    <mergeCell ref="A19:A20"/>
    <mergeCell ref="B19:B20"/>
    <mergeCell ref="C19:C20"/>
    <mergeCell ref="A21:A22"/>
    <mergeCell ref="B21:B22"/>
    <mergeCell ref="C21:C22"/>
    <mergeCell ref="A23:A24"/>
    <mergeCell ref="B31:B32"/>
    <mergeCell ref="C31:C32"/>
    <mergeCell ref="A29:A30"/>
    <mergeCell ref="B29:B30"/>
    <mergeCell ref="C29:C30"/>
    <mergeCell ref="A25:A26"/>
    <mergeCell ref="B25:B26"/>
    <mergeCell ref="C25:C26"/>
    <mergeCell ref="A27:A28"/>
    <mergeCell ref="B27:B28"/>
    <mergeCell ref="C27:C28"/>
  </mergeCells>
  <phoneticPr fontId="3" type="noConversion"/>
  <printOptions horizontalCentered="1"/>
  <pageMargins left="0.78740157480314965" right="0.59055118110236227" top="0.78740157480314965" bottom="0.39370078740157483" header="0.39370078740157483" footer="0.39370078740157483"/>
  <pageSetup paperSize="9" fitToHeight="0" orientation="landscape" r:id="rId1"/>
  <headerFooter alignWithMargins="0">
    <oddFooter xml:space="preserve">&amp;C&amp;"굴림,보통"&amp;10
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T35"/>
  <sheetViews>
    <sheetView view="pageBreakPreview" zoomScaleNormal="100" zoomScaleSheetLayoutView="100" workbookViewId="0">
      <selection activeCell="E28" sqref="E28"/>
    </sheetView>
  </sheetViews>
  <sheetFormatPr defaultColWidth="8.88671875" defaultRowHeight="23.1" customHeight="1"/>
  <cols>
    <col min="1" max="1" width="32.109375" style="25" customWidth="1"/>
    <col min="2" max="2" width="7.44140625" style="45" customWidth="1"/>
    <col min="3" max="3" width="7.44140625" style="25" customWidth="1"/>
    <col min="4" max="11" width="7.44140625" style="46" customWidth="1"/>
    <col min="12" max="12" width="7.44140625" style="25" customWidth="1"/>
    <col min="13" max="16384" width="8.88671875" style="25"/>
  </cols>
  <sheetData>
    <row r="1" spans="1:20" ht="30.2" customHeight="1">
      <c r="A1" s="374" t="s">
        <v>726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20" ht="24.95" customHeight="1"/>
    <row r="3" spans="1:20" s="65" customFormat="1" ht="24.95" customHeight="1">
      <c r="A3" s="384" t="s">
        <v>4</v>
      </c>
      <c r="B3" s="384" t="s">
        <v>3</v>
      </c>
      <c r="C3" s="384" t="s">
        <v>5</v>
      </c>
      <c r="D3" s="382" t="s">
        <v>791</v>
      </c>
      <c r="E3" s="385"/>
      <c r="F3" s="385"/>
      <c r="G3" s="385"/>
      <c r="H3" s="385"/>
      <c r="I3" s="385"/>
      <c r="J3" s="385"/>
      <c r="K3" s="385"/>
      <c r="L3" s="384" t="s">
        <v>148</v>
      </c>
    </row>
    <row r="4" spans="1:20" s="65" customFormat="1" ht="24.95" customHeight="1">
      <c r="A4" s="384"/>
      <c r="B4" s="384"/>
      <c r="C4" s="384"/>
      <c r="D4" s="47">
        <v>15</v>
      </c>
      <c r="E4" s="197">
        <v>30</v>
      </c>
      <c r="F4" s="197">
        <v>45</v>
      </c>
      <c r="G4" s="197">
        <v>60</v>
      </c>
      <c r="H4" s="197">
        <v>75</v>
      </c>
      <c r="I4" s="197">
        <v>105</v>
      </c>
      <c r="J4" s="197">
        <v>130</v>
      </c>
      <c r="K4" s="197">
        <v>160</v>
      </c>
      <c r="L4" s="384"/>
    </row>
    <row r="5" spans="1:20" s="65" customFormat="1" ht="12" customHeight="1" thickBot="1">
      <c r="A5" s="375" t="s">
        <v>149</v>
      </c>
      <c r="B5" s="377" t="s">
        <v>6</v>
      </c>
      <c r="C5" s="379">
        <v>1</v>
      </c>
      <c r="D5" s="169"/>
      <c r="E5" s="166"/>
      <c r="F5" s="166"/>
      <c r="G5" s="166"/>
      <c r="H5" s="166"/>
      <c r="I5" s="166"/>
      <c r="J5" s="166"/>
      <c r="K5" s="166"/>
      <c r="L5" s="21"/>
    </row>
    <row r="6" spans="1:20" s="65" customFormat="1" ht="12" customHeight="1" thickTop="1">
      <c r="A6" s="376"/>
      <c r="B6" s="378"/>
      <c r="C6" s="380"/>
      <c r="D6" s="170"/>
      <c r="E6" s="168"/>
      <c r="F6" s="168"/>
      <c r="G6" s="168"/>
      <c r="H6" s="168"/>
      <c r="I6" s="168"/>
      <c r="J6" s="168"/>
      <c r="K6" s="168"/>
      <c r="L6" s="20"/>
    </row>
    <row r="7" spans="1:20" s="65" customFormat="1" ht="12" customHeight="1" thickBot="1">
      <c r="A7" s="375" t="str">
        <f>+'1-1. 설계설명서(1차)'!F11</f>
        <v>1. 옥외 전기설비공사</v>
      </c>
      <c r="B7" s="377" t="s">
        <v>6</v>
      </c>
      <c r="C7" s="379">
        <v>1</v>
      </c>
      <c r="D7" s="165"/>
      <c r="E7" s="171"/>
      <c r="F7" s="171"/>
      <c r="G7" s="171"/>
      <c r="H7" s="166"/>
      <c r="I7" s="166"/>
      <c r="J7" s="166"/>
      <c r="K7" s="198"/>
      <c r="L7" s="21"/>
      <c r="N7" s="22"/>
      <c r="S7" s="160"/>
      <c r="T7" s="161">
        <v>1</v>
      </c>
    </row>
    <row r="8" spans="1:20" s="65" customFormat="1" ht="12" customHeight="1" thickTop="1">
      <c r="A8" s="376"/>
      <c r="B8" s="378"/>
      <c r="C8" s="380"/>
      <c r="D8" s="167"/>
      <c r="E8" s="172"/>
      <c r="F8" s="172"/>
      <c r="G8" s="172"/>
      <c r="H8" s="168"/>
      <c r="I8" s="168"/>
      <c r="J8" s="168"/>
      <c r="K8" s="168"/>
      <c r="L8" s="20"/>
      <c r="N8" s="22"/>
      <c r="S8" s="160"/>
      <c r="T8" s="161"/>
    </row>
    <row r="9" spans="1:20" s="65" customFormat="1" ht="12" customHeight="1" thickBot="1">
      <c r="A9" s="375" t="str">
        <f>+'1-1. 설계설명서(1차)'!F12</f>
        <v>2. 전력간선설비공사</v>
      </c>
      <c r="B9" s="377" t="s">
        <v>6</v>
      </c>
      <c r="C9" s="379">
        <v>1</v>
      </c>
      <c r="D9" s="165"/>
      <c r="E9" s="166"/>
      <c r="F9" s="166"/>
      <c r="G9" s="171"/>
      <c r="H9" s="171"/>
      <c r="I9" s="171"/>
      <c r="J9" s="166"/>
      <c r="K9" s="166"/>
      <c r="L9" s="21"/>
      <c r="N9" s="22"/>
      <c r="S9" s="160"/>
      <c r="T9" s="161"/>
    </row>
    <row r="10" spans="1:20" s="65" customFormat="1" ht="12" customHeight="1" thickTop="1">
      <c r="A10" s="376"/>
      <c r="B10" s="378"/>
      <c r="C10" s="380"/>
      <c r="D10" s="167"/>
      <c r="E10" s="168"/>
      <c r="F10" s="168"/>
      <c r="G10" s="172"/>
      <c r="H10" s="172"/>
      <c r="I10" s="172"/>
      <c r="J10" s="168"/>
      <c r="K10" s="168"/>
      <c r="L10" s="20"/>
      <c r="N10" s="22"/>
      <c r="S10" s="163"/>
      <c r="T10" s="164"/>
    </row>
    <row r="11" spans="1:20" s="65" customFormat="1" ht="12" customHeight="1" thickBot="1">
      <c r="A11" s="375" t="str">
        <f>+'1-1. 설계설명서(1차)'!F13</f>
        <v>3. 동력설비공사</v>
      </c>
      <c r="B11" s="377" t="s">
        <v>6</v>
      </c>
      <c r="C11" s="379">
        <v>1</v>
      </c>
      <c r="D11" s="165"/>
      <c r="E11" s="171"/>
      <c r="F11" s="171"/>
      <c r="G11" s="171"/>
      <c r="H11" s="171"/>
      <c r="I11" s="166"/>
      <c r="J11" s="166"/>
      <c r="K11" s="166"/>
      <c r="L11" s="21"/>
      <c r="N11" s="22"/>
      <c r="S11" s="160"/>
      <c r="T11" s="161"/>
    </row>
    <row r="12" spans="1:20" s="65" customFormat="1" ht="12" customHeight="1" thickTop="1">
      <c r="A12" s="376"/>
      <c r="B12" s="378"/>
      <c r="C12" s="380"/>
      <c r="D12" s="167"/>
      <c r="E12" s="172"/>
      <c r="F12" s="172"/>
      <c r="G12" s="172"/>
      <c r="H12" s="172"/>
      <c r="I12" s="168"/>
      <c r="J12" s="168"/>
      <c r="K12" s="168"/>
      <c r="L12" s="20"/>
      <c r="N12" s="22"/>
      <c r="S12" s="163"/>
      <c r="T12" s="164"/>
    </row>
    <row r="13" spans="1:20" s="65" customFormat="1" ht="12" customHeight="1" thickBot="1">
      <c r="A13" s="375" t="str">
        <f>+'1-1. 설계설명서(1차)'!F14</f>
        <v>4. CABLE TRAY 설비공사</v>
      </c>
      <c r="B13" s="377" t="s">
        <v>6</v>
      </c>
      <c r="C13" s="379">
        <v>1</v>
      </c>
      <c r="D13" s="165"/>
      <c r="E13" s="171"/>
      <c r="F13" s="171"/>
      <c r="G13" s="166"/>
      <c r="H13" s="166"/>
      <c r="I13" s="166"/>
      <c r="J13" s="166"/>
      <c r="K13" s="166"/>
      <c r="L13" s="21"/>
    </row>
    <row r="14" spans="1:20" s="65" customFormat="1" ht="12" customHeight="1" thickTop="1">
      <c r="A14" s="376"/>
      <c r="B14" s="378"/>
      <c r="C14" s="380"/>
      <c r="D14" s="167"/>
      <c r="E14" s="172"/>
      <c r="F14" s="172"/>
      <c r="G14" s="168"/>
      <c r="H14" s="168"/>
      <c r="I14" s="168"/>
      <c r="J14" s="168"/>
      <c r="K14" s="168"/>
      <c r="L14" s="20"/>
    </row>
    <row r="15" spans="1:20" s="65" customFormat="1" ht="12" customHeight="1" thickBot="1">
      <c r="A15" s="375" t="str">
        <f>+'1-1. 설계설명서(1차)'!F15</f>
        <v>5. 전등 설비공사</v>
      </c>
      <c r="B15" s="377" t="s">
        <v>6</v>
      </c>
      <c r="C15" s="379">
        <v>1</v>
      </c>
      <c r="D15" s="165"/>
      <c r="E15" s="171"/>
      <c r="F15" s="171"/>
      <c r="G15" s="171"/>
      <c r="H15" s="171"/>
      <c r="I15" s="171"/>
      <c r="J15" s="171"/>
      <c r="K15" s="171"/>
      <c r="L15" s="21"/>
    </row>
    <row r="16" spans="1:20" s="65" customFormat="1" ht="12" customHeight="1" thickTop="1">
      <c r="A16" s="376"/>
      <c r="B16" s="378"/>
      <c r="C16" s="380"/>
      <c r="D16" s="167"/>
      <c r="E16" s="172"/>
      <c r="F16" s="172"/>
      <c r="G16" s="172"/>
      <c r="H16" s="172"/>
      <c r="I16" s="172"/>
      <c r="J16" s="172"/>
      <c r="K16" s="172"/>
      <c r="L16" s="20"/>
    </row>
    <row r="17" spans="1:12" s="65" customFormat="1" ht="12" customHeight="1" thickBot="1">
      <c r="A17" s="375" t="str">
        <f>+'1-1. 설계설명서(1차)'!F16</f>
        <v>6. 전열 설비공사</v>
      </c>
      <c r="B17" s="377" t="s">
        <v>6</v>
      </c>
      <c r="C17" s="379">
        <v>1</v>
      </c>
      <c r="D17" s="165"/>
      <c r="E17" s="171"/>
      <c r="F17" s="171"/>
      <c r="G17" s="171"/>
      <c r="H17" s="171"/>
      <c r="I17" s="171"/>
      <c r="J17" s="171"/>
      <c r="K17" s="171"/>
      <c r="L17" s="21"/>
    </row>
    <row r="18" spans="1:12" s="65" customFormat="1" ht="12" customHeight="1" thickTop="1">
      <c r="A18" s="376"/>
      <c r="B18" s="378"/>
      <c r="C18" s="380"/>
      <c r="D18" s="167"/>
      <c r="E18" s="172"/>
      <c r="F18" s="172"/>
      <c r="G18" s="172"/>
      <c r="H18" s="172"/>
      <c r="I18" s="172"/>
      <c r="J18" s="172"/>
      <c r="K18" s="172"/>
      <c r="L18" s="20"/>
    </row>
    <row r="19" spans="1:12" s="65" customFormat="1" ht="12" customHeight="1">
      <c r="A19" s="375"/>
      <c r="B19" s="377"/>
      <c r="C19" s="379"/>
      <c r="D19" s="165"/>
      <c r="E19" s="166"/>
      <c r="F19" s="166"/>
      <c r="G19" s="166"/>
      <c r="H19" s="166"/>
      <c r="I19" s="166"/>
      <c r="J19" s="166"/>
      <c r="K19" s="166"/>
      <c r="L19" s="21"/>
    </row>
    <row r="20" spans="1:12" s="65" customFormat="1" ht="12" customHeight="1">
      <c r="A20" s="376"/>
      <c r="B20" s="378"/>
      <c r="C20" s="380"/>
      <c r="D20" s="167"/>
      <c r="E20" s="168"/>
      <c r="F20" s="168"/>
      <c r="G20" s="168"/>
      <c r="H20" s="168"/>
      <c r="I20" s="168"/>
      <c r="J20" s="168"/>
      <c r="K20" s="168"/>
      <c r="L20" s="20"/>
    </row>
    <row r="21" spans="1:12" s="65" customFormat="1" ht="12" customHeight="1">
      <c r="A21" s="375"/>
      <c r="B21" s="377"/>
      <c r="C21" s="379"/>
      <c r="D21" s="165"/>
      <c r="E21" s="166"/>
      <c r="F21" s="166"/>
      <c r="G21" s="166"/>
      <c r="H21" s="166"/>
      <c r="I21" s="166"/>
      <c r="J21" s="166"/>
      <c r="K21" s="166"/>
      <c r="L21" s="21"/>
    </row>
    <row r="22" spans="1:12" s="65" customFormat="1" ht="12" customHeight="1">
      <c r="A22" s="376"/>
      <c r="B22" s="378"/>
      <c r="C22" s="380"/>
      <c r="D22" s="167"/>
      <c r="E22" s="168"/>
      <c r="F22" s="168"/>
      <c r="G22" s="168"/>
      <c r="H22" s="168"/>
      <c r="I22" s="168"/>
      <c r="J22" s="168"/>
      <c r="K22" s="168"/>
      <c r="L22" s="20"/>
    </row>
    <row r="23" spans="1:12" s="65" customFormat="1" ht="12" customHeight="1">
      <c r="A23" s="375"/>
      <c r="B23" s="377"/>
      <c r="C23" s="379"/>
      <c r="D23" s="165"/>
      <c r="E23" s="166"/>
      <c r="F23" s="166"/>
      <c r="G23" s="166"/>
      <c r="H23" s="166"/>
      <c r="I23" s="166"/>
      <c r="J23" s="166"/>
      <c r="K23" s="166"/>
      <c r="L23" s="21"/>
    </row>
    <row r="24" spans="1:12" s="65" customFormat="1" ht="12" customHeight="1">
      <c r="A24" s="376"/>
      <c r="B24" s="378"/>
      <c r="C24" s="380"/>
      <c r="D24" s="167"/>
      <c r="E24" s="168"/>
      <c r="F24" s="168"/>
      <c r="G24" s="168"/>
      <c r="H24" s="168"/>
      <c r="I24" s="168"/>
      <c r="J24" s="168"/>
      <c r="K24" s="168"/>
      <c r="L24" s="20"/>
    </row>
    <row r="25" spans="1:12" s="65" customFormat="1" ht="12" customHeight="1">
      <c r="A25" s="375"/>
      <c r="B25" s="377"/>
      <c r="C25" s="379"/>
      <c r="D25" s="165"/>
      <c r="E25" s="166"/>
      <c r="F25" s="166"/>
      <c r="G25" s="166"/>
      <c r="H25" s="166"/>
      <c r="I25" s="166"/>
      <c r="J25" s="166"/>
      <c r="K25" s="166"/>
      <c r="L25" s="21"/>
    </row>
    <row r="26" spans="1:12" s="65" customFormat="1" ht="12" customHeight="1">
      <c r="A26" s="376"/>
      <c r="B26" s="378"/>
      <c r="C26" s="380"/>
      <c r="D26" s="167"/>
      <c r="E26" s="168"/>
      <c r="F26" s="168"/>
      <c r="G26" s="168"/>
      <c r="H26" s="168"/>
      <c r="I26" s="168"/>
      <c r="J26" s="168"/>
      <c r="K26" s="168"/>
      <c r="L26" s="20"/>
    </row>
    <row r="27" spans="1:12" s="65" customFormat="1" ht="12" customHeight="1">
      <c r="A27" s="375"/>
      <c r="B27" s="377"/>
      <c r="C27" s="379"/>
      <c r="D27" s="165"/>
      <c r="E27" s="166"/>
      <c r="F27" s="166"/>
      <c r="G27" s="166"/>
      <c r="H27" s="166"/>
      <c r="I27" s="166"/>
      <c r="J27" s="166"/>
      <c r="K27" s="166"/>
      <c r="L27" s="21"/>
    </row>
    <row r="28" spans="1:12" s="65" customFormat="1" ht="12" customHeight="1">
      <c r="A28" s="376"/>
      <c r="B28" s="378"/>
      <c r="C28" s="380"/>
      <c r="D28" s="167"/>
      <c r="E28" s="168"/>
      <c r="F28" s="168"/>
      <c r="G28" s="168"/>
      <c r="H28" s="168"/>
      <c r="I28" s="168"/>
      <c r="J28" s="168"/>
      <c r="K28" s="168"/>
      <c r="L28" s="20"/>
    </row>
    <row r="29" spans="1:12" s="65" customFormat="1" ht="12" customHeight="1">
      <c r="A29" s="375"/>
      <c r="B29" s="377"/>
      <c r="C29" s="379"/>
      <c r="D29" s="165"/>
      <c r="E29" s="166"/>
      <c r="F29" s="166"/>
      <c r="G29" s="166"/>
      <c r="H29" s="166"/>
      <c r="I29" s="166"/>
      <c r="J29" s="166"/>
      <c r="K29" s="166"/>
      <c r="L29" s="21"/>
    </row>
    <row r="30" spans="1:12" s="65" customFormat="1" ht="12" customHeight="1">
      <c r="A30" s="376"/>
      <c r="B30" s="378"/>
      <c r="C30" s="380"/>
      <c r="D30" s="167"/>
      <c r="E30" s="168"/>
      <c r="F30" s="168"/>
      <c r="G30" s="168"/>
      <c r="H30" s="168"/>
      <c r="I30" s="168"/>
      <c r="J30" s="168"/>
      <c r="K30" s="168"/>
      <c r="L30" s="20"/>
    </row>
    <row r="31" spans="1:12" s="65" customFormat="1" ht="12" customHeight="1">
      <c r="A31" s="375"/>
      <c r="B31" s="377"/>
      <c r="C31" s="379"/>
      <c r="D31" s="165"/>
      <c r="E31" s="166"/>
      <c r="F31" s="166"/>
      <c r="G31" s="166"/>
      <c r="H31" s="166"/>
      <c r="I31" s="166"/>
      <c r="J31" s="166"/>
      <c r="K31" s="166"/>
      <c r="L31" s="21"/>
    </row>
    <row r="32" spans="1:12" s="65" customFormat="1" ht="12" customHeight="1">
      <c r="A32" s="376"/>
      <c r="B32" s="378"/>
      <c r="C32" s="380"/>
      <c r="D32" s="167"/>
      <c r="E32" s="168"/>
      <c r="F32" s="168"/>
      <c r="G32" s="168"/>
      <c r="H32" s="168"/>
      <c r="I32" s="168"/>
      <c r="J32" s="168"/>
      <c r="K32" s="168"/>
      <c r="L32" s="20"/>
    </row>
    <row r="33" spans="1:12" s="65" customFormat="1" ht="12" customHeight="1">
      <c r="A33" s="375"/>
      <c r="B33" s="377"/>
      <c r="C33" s="379"/>
      <c r="D33" s="165"/>
      <c r="E33" s="166"/>
      <c r="F33" s="166"/>
      <c r="G33" s="166"/>
      <c r="H33" s="166"/>
      <c r="I33" s="166"/>
      <c r="J33" s="166"/>
      <c r="K33" s="166"/>
      <c r="L33" s="21"/>
    </row>
    <row r="34" spans="1:12" s="65" customFormat="1" ht="12" customHeight="1">
      <c r="A34" s="376"/>
      <c r="B34" s="378"/>
      <c r="C34" s="380"/>
      <c r="D34" s="167"/>
      <c r="E34" s="168"/>
      <c r="F34" s="168"/>
      <c r="G34" s="168"/>
      <c r="H34" s="168"/>
      <c r="I34" s="168"/>
      <c r="J34" s="168"/>
      <c r="K34" s="168"/>
      <c r="L34" s="20"/>
    </row>
    <row r="35" spans="1:12" s="65" customFormat="1" ht="24" customHeight="1">
      <c r="A35" s="159"/>
      <c r="B35" s="160"/>
      <c r="C35" s="161"/>
      <c r="D35" s="52"/>
      <c r="E35" s="162"/>
      <c r="F35" s="162"/>
      <c r="G35" s="162"/>
      <c r="H35" s="162"/>
      <c r="I35" s="162"/>
      <c r="J35" s="162"/>
      <c r="K35" s="162"/>
      <c r="L35" s="145"/>
    </row>
  </sheetData>
  <mergeCells count="51">
    <mergeCell ref="A1:L1"/>
    <mergeCell ref="A3:A4"/>
    <mergeCell ref="B3:B4"/>
    <mergeCell ref="C3:C4"/>
    <mergeCell ref="D3:K3"/>
    <mergeCell ref="L3:L4"/>
    <mergeCell ref="A5:A6"/>
    <mergeCell ref="B5:B6"/>
    <mergeCell ref="C5:C6"/>
    <mergeCell ref="A7:A8"/>
    <mergeCell ref="B7:B8"/>
    <mergeCell ref="C7:C8"/>
    <mergeCell ref="A9:A10"/>
    <mergeCell ref="B9:B10"/>
    <mergeCell ref="C9:C10"/>
    <mergeCell ref="A11:A12"/>
    <mergeCell ref="B11:B12"/>
    <mergeCell ref="C11:C12"/>
    <mergeCell ref="A13:A14"/>
    <mergeCell ref="B13:B14"/>
    <mergeCell ref="C13:C14"/>
    <mergeCell ref="A15:A16"/>
    <mergeCell ref="B15:B16"/>
    <mergeCell ref="C15:C16"/>
    <mergeCell ref="A17:A18"/>
    <mergeCell ref="B17:B18"/>
    <mergeCell ref="C17:C18"/>
    <mergeCell ref="A19:A20"/>
    <mergeCell ref="B19:B20"/>
    <mergeCell ref="C19:C20"/>
    <mergeCell ref="A21:A22"/>
    <mergeCell ref="B21:B22"/>
    <mergeCell ref="C21:C22"/>
    <mergeCell ref="A23:A24"/>
    <mergeCell ref="B23:B24"/>
    <mergeCell ref="C23:C24"/>
    <mergeCell ref="A25:A26"/>
    <mergeCell ref="B25:B26"/>
    <mergeCell ref="C25:C26"/>
    <mergeCell ref="A27:A28"/>
    <mergeCell ref="B27:B28"/>
    <mergeCell ref="C27:C28"/>
    <mergeCell ref="A33:A34"/>
    <mergeCell ref="B33:B34"/>
    <mergeCell ref="C33:C34"/>
    <mergeCell ref="A29:A30"/>
    <mergeCell ref="B29:B30"/>
    <mergeCell ref="C29:C30"/>
    <mergeCell ref="A31:A32"/>
    <mergeCell ref="B31:B32"/>
    <mergeCell ref="C31:C3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fitToHeight="0" orientation="landscape" horizontalDpi="4294967293" verticalDpi="4294967293" r:id="rId1"/>
  <headerFooter alignWithMargins="0">
    <oddFooter xml:space="preserve">&amp;C&amp;"굴림,보통"&amp;10
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T35"/>
  <sheetViews>
    <sheetView view="pageBreakPreview" zoomScaleNormal="100" zoomScaleSheetLayoutView="100" workbookViewId="0">
      <selection activeCell="E28" sqref="E28"/>
    </sheetView>
  </sheetViews>
  <sheetFormatPr defaultColWidth="8.88671875" defaultRowHeight="23.1" customHeight="1"/>
  <cols>
    <col min="1" max="1" width="32.109375" style="25" customWidth="1"/>
    <col min="2" max="2" width="7.44140625" style="45" customWidth="1"/>
    <col min="3" max="3" width="7.44140625" style="25" customWidth="1"/>
    <col min="4" max="11" width="7.44140625" style="46" customWidth="1"/>
    <col min="12" max="12" width="7.44140625" style="25" customWidth="1"/>
    <col min="13" max="16384" width="8.88671875" style="25"/>
  </cols>
  <sheetData>
    <row r="1" spans="1:20" ht="30.2" customHeight="1">
      <c r="A1" s="374" t="s">
        <v>727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20" ht="24.95" customHeight="1"/>
    <row r="3" spans="1:20" s="65" customFormat="1" ht="24.95" customHeight="1">
      <c r="A3" s="384" t="s">
        <v>4</v>
      </c>
      <c r="B3" s="384" t="s">
        <v>3</v>
      </c>
      <c r="C3" s="384" t="s">
        <v>5</v>
      </c>
      <c r="D3" s="382" t="s">
        <v>147</v>
      </c>
      <c r="E3" s="385"/>
      <c r="F3" s="385"/>
      <c r="G3" s="385"/>
      <c r="H3" s="385"/>
      <c r="I3" s="385"/>
      <c r="J3" s="385"/>
      <c r="K3" s="385"/>
      <c r="L3" s="384" t="s">
        <v>35</v>
      </c>
    </row>
    <row r="4" spans="1:20" s="65" customFormat="1" ht="24.95" customHeight="1">
      <c r="A4" s="384"/>
      <c r="B4" s="384"/>
      <c r="C4" s="384"/>
      <c r="D4" s="47">
        <v>30</v>
      </c>
      <c r="E4" s="197">
        <f t="shared" ref="E4:J4" si="0">D4+30</f>
        <v>60</v>
      </c>
      <c r="F4" s="197">
        <f t="shared" si="0"/>
        <v>90</v>
      </c>
      <c r="G4" s="197">
        <f t="shared" si="0"/>
        <v>120</v>
      </c>
      <c r="H4" s="197">
        <f>G4+30</f>
        <v>150</v>
      </c>
      <c r="I4" s="197">
        <f t="shared" si="0"/>
        <v>180</v>
      </c>
      <c r="J4" s="197">
        <f t="shared" si="0"/>
        <v>210</v>
      </c>
      <c r="K4" s="197"/>
      <c r="L4" s="384"/>
    </row>
    <row r="5" spans="1:20" s="65" customFormat="1" ht="12" customHeight="1" thickBot="1">
      <c r="A5" s="375" t="s">
        <v>149</v>
      </c>
      <c r="B5" s="377" t="s">
        <v>6</v>
      </c>
      <c r="C5" s="379">
        <v>1</v>
      </c>
      <c r="D5" s="169"/>
      <c r="E5" s="166"/>
      <c r="F5" s="166"/>
      <c r="G5" s="166"/>
      <c r="H5" s="166"/>
      <c r="I5" s="166"/>
      <c r="J5" s="166"/>
      <c r="K5" s="166"/>
      <c r="L5" s="21"/>
    </row>
    <row r="6" spans="1:20" s="65" customFormat="1" ht="12" customHeight="1" thickTop="1">
      <c r="A6" s="376"/>
      <c r="B6" s="378"/>
      <c r="C6" s="380"/>
      <c r="D6" s="170"/>
      <c r="E6" s="168"/>
      <c r="F6" s="168"/>
      <c r="G6" s="168"/>
      <c r="H6" s="168"/>
      <c r="I6" s="168"/>
      <c r="J6" s="168"/>
      <c r="K6" s="168"/>
      <c r="L6" s="20"/>
    </row>
    <row r="7" spans="1:20" s="65" customFormat="1" ht="12" customHeight="1" thickBot="1">
      <c r="A7" s="375" t="str">
        <f>+'1-1. 설계설명서(2차)'!F11</f>
        <v>1. 옥외 전기설비공사</v>
      </c>
      <c r="B7" s="377" t="s">
        <v>6</v>
      </c>
      <c r="C7" s="379">
        <v>1</v>
      </c>
      <c r="D7" s="165"/>
      <c r="E7" s="171"/>
      <c r="F7" s="171"/>
      <c r="G7" s="171"/>
      <c r="H7" s="166"/>
      <c r="I7" s="166"/>
      <c r="J7" s="166"/>
      <c r="K7" s="198"/>
      <c r="L7" s="21"/>
      <c r="N7" s="22"/>
      <c r="S7" s="160"/>
      <c r="T7" s="161">
        <v>1</v>
      </c>
    </row>
    <row r="8" spans="1:20" s="65" customFormat="1" ht="12" customHeight="1" thickTop="1">
      <c r="A8" s="376"/>
      <c r="B8" s="378"/>
      <c r="C8" s="380"/>
      <c r="D8" s="167"/>
      <c r="E8" s="172"/>
      <c r="F8" s="172"/>
      <c r="G8" s="172"/>
      <c r="H8" s="168"/>
      <c r="I8" s="168"/>
      <c r="J8" s="168"/>
      <c r="K8" s="168"/>
      <c r="L8" s="20"/>
      <c r="N8" s="22"/>
      <c r="S8" s="160"/>
      <c r="T8" s="161"/>
    </row>
    <row r="9" spans="1:20" s="65" customFormat="1" ht="12" customHeight="1" thickBot="1">
      <c r="A9" s="375" t="str">
        <f>+'1-1. 설계설명서(2차)'!F12</f>
        <v>2. 수변전설비 공사</v>
      </c>
      <c r="B9" s="377" t="s">
        <v>6</v>
      </c>
      <c r="C9" s="379">
        <v>1</v>
      </c>
      <c r="D9" s="165"/>
      <c r="E9" s="171"/>
      <c r="F9" s="171"/>
      <c r="G9" s="171"/>
      <c r="H9" s="166"/>
      <c r="I9" s="166"/>
      <c r="J9" s="166"/>
      <c r="K9" s="198"/>
      <c r="L9" s="21"/>
      <c r="N9" s="22"/>
      <c r="S9" s="160"/>
      <c r="T9" s="161">
        <v>1</v>
      </c>
    </row>
    <row r="10" spans="1:20" s="65" customFormat="1" ht="12" customHeight="1" thickTop="1">
      <c r="A10" s="376"/>
      <c r="B10" s="378"/>
      <c r="C10" s="380"/>
      <c r="D10" s="167"/>
      <c r="E10" s="172"/>
      <c r="F10" s="172"/>
      <c r="G10" s="172"/>
      <c r="H10" s="168"/>
      <c r="I10" s="168"/>
      <c r="J10" s="168"/>
      <c r="K10" s="168"/>
      <c r="L10" s="20"/>
      <c r="N10" s="22"/>
      <c r="S10" s="160"/>
      <c r="T10" s="161"/>
    </row>
    <row r="11" spans="1:20" s="65" customFormat="1" ht="12" customHeight="1" thickBot="1">
      <c r="A11" s="375" t="str">
        <f>+'1-1. 설계설명서(2차)'!F13</f>
        <v>3. 전력간선설비공사</v>
      </c>
      <c r="B11" s="377" t="s">
        <v>6</v>
      </c>
      <c r="C11" s="379">
        <v>1</v>
      </c>
      <c r="D11" s="165"/>
      <c r="E11" s="166"/>
      <c r="F11" s="166"/>
      <c r="G11" s="171"/>
      <c r="H11" s="171"/>
      <c r="I11" s="171"/>
      <c r="J11" s="166"/>
      <c r="K11" s="166"/>
      <c r="L11" s="21"/>
      <c r="N11" s="22"/>
      <c r="S11" s="160"/>
      <c r="T11" s="161"/>
    </row>
    <row r="12" spans="1:20" s="65" customFormat="1" ht="12" customHeight="1" thickTop="1">
      <c r="A12" s="376"/>
      <c r="B12" s="378"/>
      <c r="C12" s="380"/>
      <c r="D12" s="167"/>
      <c r="E12" s="168"/>
      <c r="F12" s="168"/>
      <c r="G12" s="172"/>
      <c r="H12" s="172"/>
      <c r="I12" s="172"/>
      <c r="J12" s="168"/>
      <c r="K12" s="168"/>
      <c r="L12" s="20"/>
      <c r="N12" s="22"/>
      <c r="S12" s="163"/>
      <c r="T12" s="164"/>
    </row>
    <row r="13" spans="1:20" s="65" customFormat="1" ht="12" customHeight="1" thickBot="1">
      <c r="A13" s="375" t="str">
        <f>+'1-1. 설계설명서(2차)'!F14</f>
        <v>4. 동력설비공사</v>
      </c>
      <c r="B13" s="377" t="s">
        <v>6</v>
      </c>
      <c r="C13" s="379">
        <v>1</v>
      </c>
      <c r="D13" s="165"/>
      <c r="E13" s="171"/>
      <c r="F13" s="171"/>
      <c r="G13" s="171"/>
      <c r="H13" s="171"/>
      <c r="I13" s="166"/>
      <c r="J13" s="166"/>
      <c r="K13" s="166"/>
      <c r="L13" s="21"/>
      <c r="N13" s="22"/>
      <c r="S13" s="160"/>
      <c r="T13" s="161"/>
    </row>
    <row r="14" spans="1:20" s="65" customFormat="1" ht="12" customHeight="1" thickTop="1">
      <c r="A14" s="376"/>
      <c r="B14" s="378"/>
      <c r="C14" s="380"/>
      <c r="D14" s="167"/>
      <c r="E14" s="172"/>
      <c r="F14" s="172"/>
      <c r="G14" s="172"/>
      <c r="H14" s="172"/>
      <c r="I14" s="168"/>
      <c r="J14" s="168"/>
      <c r="K14" s="168"/>
      <c r="L14" s="20"/>
      <c r="N14" s="22"/>
      <c r="S14" s="163"/>
      <c r="T14" s="164"/>
    </row>
    <row r="15" spans="1:20" s="65" customFormat="1" ht="12" customHeight="1" thickBot="1">
      <c r="A15" s="375" t="str">
        <f>+'1-1. 설계설명서(2차)'!F15</f>
        <v>5. CABLE TRAY 설비공사</v>
      </c>
      <c r="B15" s="377" t="s">
        <v>6</v>
      </c>
      <c r="C15" s="379">
        <v>1</v>
      </c>
      <c r="D15" s="165"/>
      <c r="E15" s="171"/>
      <c r="F15" s="171"/>
      <c r="G15" s="171"/>
      <c r="H15" s="171"/>
      <c r="I15" s="166"/>
      <c r="J15" s="166"/>
      <c r="K15" s="166"/>
      <c r="L15" s="21"/>
    </row>
    <row r="16" spans="1:20" s="65" customFormat="1" ht="12" customHeight="1" thickTop="1">
      <c r="A16" s="376"/>
      <c r="B16" s="378"/>
      <c r="C16" s="380"/>
      <c r="D16" s="167"/>
      <c r="E16" s="172"/>
      <c r="F16" s="172"/>
      <c r="G16" s="172"/>
      <c r="H16" s="172"/>
      <c r="I16" s="168"/>
      <c r="J16" s="168"/>
      <c r="K16" s="168"/>
      <c r="L16" s="20"/>
    </row>
    <row r="17" spans="1:12" s="65" customFormat="1" ht="12" customHeight="1" thickBot="1">
      <c r="A17" s="375" t="str">
        <f>+'1-1. 설계설명서(2차)'!F16</f>
        <v>6. 전등 설비공사</v>
      </c>
      <c r="B17" s="377" t="s">
        <v>6</v>
      </c>
      <c r="C17" s="379">
        <v>1</v>
      </c>
      <c r="D17" s="165"/>
      <c r="E17" s="166"/>
      <c r="F17" s="171"/>
      <c r="G17" s="171"/>
      <c r="H17" s="171"/>
      <c r="I17" s="171"/>
      <c r="J17" s="171"/>
      <c r="K17" s="166"/>
      <c r="L17" s="21"/>
    </row>
    <row r="18" spans="1:12" s="65" customFormat="1" ht="12" customHeight="1" thickTop="1">
      <c r="A18" s="376"/>
      <c r="B18" s="378"/>
      <c r="C18" s="380"/>
      <c r="D18" s="167"/>
      <c r="E18" s="168"/>
      <c r="F18" s="172"/>
      <c r="G18" s="172"/>
      <c r="H18" s="172"/>
      <c r="I18" s="172"/>
      <c r="J18" s="172"/>
      <c r="K18" s="168"/>
      <c r="L18" s="20"/>
    </row>
    <row r="19" spans="1:12" s="65" customFormat="1" ht="12" customHeight="1" thickBot="1">
      <c r="A19" s="375" t="str">
        <f>+'1-1. 설계설명서(2차)'!F17</f>
        <v>7. 조명제어 설비공사</v>
      </c>
      <c r="B19" s="377" t="s">
        <v>6</v>
      </c>
      <c r="C19" s="379">
        <v>1</v>
      </c>
      <c r="D19" s="165"/>
      <c r="E19" s="166"/>
      <c r="F19" s="166"/>
      <c r="G19" s="171"/>
      <c r="H19" s="171"/>
      <c r="I19" s="171"/>
      <c r="J19" s="171"/>
      <c r="K19" s="166"/>
      <c r="L19" s="21"/>
    </row>
    <row r="20" spans="1:12" s="65" customFormat="1" ht="12" customHeight="1" thickTop="1">
      <c r="A20" s="376"/>
      <c r="B20" s="378"/>
      <c r="C20" s="380"/>
      <c r="D20" s="167"/>
      <c r="E20" s="168"/>
      <c r="F20" s="168"/>
      <c r="G20" s="172"/>
      <c r="H20" s="172"/>
      <c r="I20" s="172"/>
      <c r="J20" s="172"/>
      <c r="K20" s="168"/>
      <c r="L20" s="20"/>
    </row>
    <row r="21" spans="1:12" s="65" customFormat="1" ht="12" customHeight="1" thickBot="1">
      <c r="A21" s="375" t="str">
        <f>+'1-1. 설계설명서(2차)'!F18</f>
        <v>8. 안내사인설비 공사</v>
      </c>
      <c r="B21" s="377" t="s">
        <v>6</v>
      </c>
      <c r="C21" s="379">
        <v>1</v>
      </c>
      <c r="D21" s="165"/>
      <c r="E21" s="166"/>
      <c r="F21" s="166"/>
      <c r="G21" s="171"/>
      <c r="H21" s="171"/>
      <c r="I21" s="171"/>
      <c r="J21" s="171"/>
      <c r="K21" s="166"/>
      <c r="L21" s="21"/>
    </row>
    <row r="22" spans="1:12" s="65" customFormat="1" ht="12" customHeight="1" thickTop="1">
      <c r="A22" s="376"/>
      <c r="B22" s="378"/>
      <c r="C22" s="380"/>
      <c r="D22" s="167"/>
      <c r="E22" s="168"/>
      <c r="F22" s="168"/>
      <c r="G22" s="172"/>
      <c r="H22" s="172"/>
      <c r="I22" s="172"/>
      <c r="J22" s="172"/>
      <c r="K22" s="168"/>
      <c r="L22" s="20"/>
    </row>
    <row r="23" spans="1:12" s="65" customFormat="1" ht="12" customHeight="1" thickBot="1">
      <c r="A23" s="375" t="str">
        <f>+'1-1. 설계설명서(2차)'!F19</f>
        <v>9. 전열 설비공사</v>
      </c>
      <c r="B23" s="377" t="s">
        <v>6</v>
      </c>
      <c r="C23" s="379">
        <v>1</v>
      </c>
      <c r="D23" s="165"/>
      <c r="E23" s="166"/>
      <c r="F23" s="171"/>
      <c r="G23" s="171"/>
      <c r="H23" s="171"/>
      <c r="I23" s="171"/>
      <c r="J23" s="171"/>
      <c r="K23" s="166"/>
      <c r="L23" s="21"/>
    </row>
    <row r="24" spans="1:12" s="65" customFormat="1" ht="12" customHeight="1" thickTop="1">
      <c r="A24" s="376"/>
      <c r="B24" s="378"/>
      <c r="C24" s="380"/>
      <c r="D24" s="167"/>
      <c r="E24" s="168"/>
      <c r="F24" s="172"/>
      <c r="G24" s="172"/>
      <c r="H24" s="172"/>
      <c r="I24" s="172"/>
      <c r="J24" s="172"/>
      <c r="K24" s="168"/>
      <c r="L24" s="20"/>
    </row>
    <row r="25" spans="1:12" s="65" customFormat="1" ht="12" customHeight="1">
      <c r="A25" s="375"/>
      <c r="B25" s="377"/>
      <c r="C25" s="379"/>
      <c r="D25" s="165"/>
      <c r="E25" s="166"/>
      <c r="F25" s="166"/>
      <c r="G25" s="166"/>
      <c r="H25" s="166"/>
      <c r="I25" s="166"/>
      <c r="J25" s="166"/>
      <c r="K25" s="166"/>
      <c r="L25" s="21"/>
    </row>
    <row r="26" spans="1:12" s="65" customFormat="1" ht="12" customHeight="1">
      <c r="A26" s="376"/>
      <c r="B26" s="378"/>
      <c r="C26" s="380"/>
      <c r="D26" s="167"/>
      <c r="E26" s="168"/>
      <c r="F26" s="168"/>
      <c r="G26" s="168"/>
      <c r="H26" s="168"/>
      <c r="I26" s="168"/>
      <c r="J26" s="168"/>
      <c r="K26" s="168"/>
      <c r="L26" s="20"/>
    </row>
    <row r="27" spans="1:12" s="65" customFormat="1" ht="12" customHeight="1">
      <c r="A27" s="375"/>
      <c r="B27" s="377"/>
      <c r="C27" s="379"/>
      <c r="D27" s="165"/>
      <c r="E27" s="166"/>
      <c r="F27" s="166"/>
      <c r="G27" s="166"/>
      <c r="H27" s="166"/>
      <c r="I27" s="166"/>
      <c r="J27" s="166"/>
      <c r="K27" s="166"/>
      <c r="L27" s="21"/>
    </row>
    <row r="28" spans="1:12" s="65" customFormat="1" ht="12" customHeight="1">
      <c r="A28" s="376"/>
      <c r="B28" s="378"/>
      <c r="C28" s="380"/>
      <c r="D28" s="167"/>
      <c r="E28" s="168"/>
      <c r="F28" s="168"/>
      <c r="G28" s="168"/>
      <c r="H28" s="168"/>
      <c r="I28" s="168"/>
      <c r="J28" s="168"/>
      <c r="K28" s="168"/>
      <c r="L28" s="20"/>
    </row>
    <row r="29" spans="1:12" s="65" customFormat="1" ht="12" customHeight="1">
      <c r="A29" s="375"/>
      <c r="B29" s="377"/>
      <c r="C29" s="379"/>
      <c r="D29" s="165"/>
      <c r="E29" s="166"/>
      <c r="F29" s="166"/>
      <c r="G29" s="166"/>
      <c r="H29" s="166"/>
      <c r="I29" s="166"/>
      <c r="J29" s="166"/>
      <c r="K29" s="166"/>
      <c r="L29" s="21"/>
    </row>
    <row r="30" spans="1:12" s="65" customFormat="1" ht="12" customHeight="1">
      <c r="A30" s="376"/>
      <c r="B30" s="378"/>
      <c r="C30" s="380"/>
      <c r="D30" s="167"/>
      <c r="E30" s="168"/>
      <c r="F30" s="168"/>
      <c r="G30" s="168"/>
      <c r="H30" s="168"/>
      <c r="I30" s="168"/>
      <c r="J30" s="168"/>
      <c r="K30" s="168"/>
      <c r="L30" s="20"/>
    </row>
    <row r="31" spans="1:12" s="65" customFormat="1" ht="12" customHeight="1">
      <c r="A31" s="375"/>
      <c r="B31" s="377"/>
      <c r="C31" s="379"/>
      <c r="D31" s="165"/>
      <c r="E31" s="166"/>
      <c r="F31" s="166"/>
      <c r="G31" s="166"/>
      <c r="H31" s="166"/>
      <c r="I31" s="166"/>
      <c r="J31" s="166"/>
      <c r="K31" s="166"/>
      <c r="L31" s="21"/>
    </row>
    <row r="32" spans="1:12" s="65" customFormat="1" ht="12" customHeight="1">
      <c r="A32" s="376"/>
      <c r="B32" s="378"/>
      <c r="C32" s="380"/>
      <c r="D32" s="167"/>
      <c r="E32" s="168"/>
      <c r="F32" s="168"/>
      <c r="G32" s="168"/>
      <c r="H32" s="168"/>
      <c r="I32" s="168"/>
      <c r="J32" s="168"/>
      <c r="K32" s="168"/>
      <c r="L32" s="20"/>
    </row>
    <row r="33" spans="1:12" s="65" customFormat="1" ht="12" customHeight="1">
      <c r="A33" s="375"/>
      <c r="B33" s="377"/>
      <c r="C33" s="379"/>
      <c r="D33" s="165"/>
      <c r="E33" s="166"/>
      <c r="F33" s="166"/>
      <c r="G33" s="166"/>
      <c r="H33" s="166"/>
      <c r="I33" s="166"/>
      <c r="J33" s="166"/>
      <c r="K33" s="166"/>
      <c r="L33" s="21"/>
    </row>
    <row r="34" spans="1:12" s="65" customFormat="1" ht="12" customHeight="1">
      <c r="A34" s="376"/>
      <c r="B34" s="378"/>
      <c r="C34" s="380"/>
      <c r="D34" s="167"/>
      <c r="E34" s="168"/>
      <c r="F34" s="168"/>
      <c r="G34" s="168"/>
      <c r="H34" s="168"/>
      <c r="I34" s="168"/>
      <c r="J34" s="168"/>
      <c r="K34" s="168"/>
      <c r="L34" s="20"/>
    </row>
    <row r="35" spans="1:12" s="65" customFormat="1" ht="24" customHeight="1">
      <c r="A35" s="159"/>
      <c r="B35" s="160"/>
      <c r="C35" s="161"/>
      <c r="D35" s="52"/>
      <c r="E35" s="162"/>
      <c r="F35" s="162"/>
      <c r="G35" s="162"/>
      <c r="H35" s="162"/>
      <c r="I35" s="162"/>
      <c r="J35" s="162"/>
      <c r="K35" s="162"/>
      <c r="L35" s="145"/>
    </row>
  </sheetData>
  <mergeCells count="51">
    <mergeCell ref="A1:L1"/>
    <mergeCell ref="A3:A4"/>
    <mergeCell ref="B3:B4"/>
    <mergeCell ref="C3:C4"/>
    <mergeCell ref="D3:K3"/>
    <mergeCell ref="L3:L4"/>
    <mergeCell ref="A5:A6"/>
    <mergeCell ref="B5:B6"/>
    <mergeCell ref="C5:C6"/>
    <mergeCell ref="A7:A8"/>
    <mergeCell ref="B7:B8"/>
    <mergeCell ref="C7:C8"/>
    <mergeCell ref="A11:A12"/>
    <mergeCell ref="B11:B12"/>
    <mergeCell ref="C11:C12"/>
    <mergeCell ref="A13:A14"/>
    <mergeCell ref="B13:B14"/>
    <mergeCell ref="C13:C14"/>
    <mergeCell ref="A15:A16"/>
    <mergeCell ref="B15:B16"/>
    <mergeCell ref="C15:C16"/>
    <mergeCell ref="A17:A18"/>
    <mergeCell ref="B17:B18"/>
    <mergeCell ref="C17:C18"/>
    <mergeCell ref="A19:A20"/>
    <mergeCell ref="B19:B20"/>
    <mergeCell ref="C19:C20"/>
    <mergeCell ref="A21:A22"/>
    <mergeCell ref="B21:B22"/>
    <mergeCell ref="C21:C22"/>
    <mergeCell ref="B23:B24"/>
    <mergeCell ref="C23:C24"/>
    <mergeCell ref="A25:A26"/>
    <mergeCell ref="B25:B26"/>
    <mergeCell ref="C25:C26"/>
    <mergeCell ref="A33:A34"/>
    <mergeCell ref="B33:B34"/>
    <mergeCell ref="C33:C34"/>
    <mergeCell ref="A9:A10"/>
    <mergeCell ref="B9:B10"/>
    <mergeCell ref="C9:C10"/>
    <mergeCell ref="A29:A30"/>
    <mergeCell ref="B29:B30"/>
    <mergeCell ref="C29:C30"/>
    <mergeCell ref="A31:A32"/>
    <mergeCell ref="B31:B32"/>
    <mergeCell ref="C31:C32"/>
    <mergeCell ref="A27:A28"/>
    <mergeCell ref="B27:B28"/>
    <mergeCell ref="C27:C28"/>
    <mergeCell ref="A23:A24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fitToHeight="0" orientation="landscape" horizontalDpi="4294967293" verticalDpi="4294967293" r:id="rId1"/>
  <headerFooter alignWithMargins="0">
    <oddFooter xml:space="preserve">&amp;C&amp;"굴림,보통"&amp;10
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T35"/>
  <sheetViews>
    <sheetView view="pageBreakPreview" zoomScaleNormal="100" zoomScaleSheetLayoutView="100" workbookViewId="0">
      <selection activeCell="E28" sqref="E28"/>
    </sheetView>
  </sheetViews>
  <sheetFormatPr defaultColWidth="8.88671875" defaultRowHeight="23.1" customHeight="1"/>
  <cols>
    <col min="1" max="1" width="32.109375" style="25" customWidth="1"/>
    <col min="2" max="2" width="7.44140625" style="45" customWidth="1"/>
    <col min="3" max="3" width="7.44140625" style="25" customWidth="1"/>
    <col min="4" max="11" width="7.44140625" style="46" customWidth="1"/>
    <col min="12" max="12" width="7.44140625" style="25" customWidth="1"/>
    <col min="13" max="16384" width="8.88671875" style="25"/>
  </cols>
  <sheetData>
    <row r="1" spans="1:20" ht="30.2" customHeight="1">
      <c r="A1" s="374" t="s">
        <v>728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20" ht="24.95" customHeight="1"/>
    <row r="3" spans="1:20" s="65" customFormat="1" ht="24.95" customHeight="1">
      <c r="A3" s="384" t="s">
        <v>4</v>
      </c>
      <c r="B3" s="384" t="s">
        <v>3</v>
      </c>
      <c r="C3" s="384" t="s">
        <v>5</v>
      </c>
      <c r="D3" s="382" t="s">
        <v>790</v>
      </c>
      <c r="E3" s="385"/>
      <c r="F3" s="385"/>
      <c r="G3" s="385"/>
      <c r="H3" s="385"/>
      <c r="I3" s="385"/>
      <c r="J3" s="385"/>
      <c r="K3" s="385"/>
      <c r="L3" s="384" t="s">
        <v>35</v>
      </c>
    </row>
    <row r="4" spans="1:20" s="65" customFormat="1" ht="24.95" customHeight="1">
      <c r="A4" s="384"/>
      <c r="B4" s="384"/>
      <c r="C4" s="384"/>
      <c r="D4" s="47">
        <v>30</v>
      </c>
      <c r="E4" s="197">
        <f t="shared" ref="E4:I4" si="0">D4+30</f>
        <v>60</v>
      </c>
      <c r="F4" s="197">
        <f t="shared" si="0"/>
        <v>90</v>
      </c>
      <c r="G4" s="197">
        <f t="shared" si="0"/>
        <v>120</v>
      </c>
      <c r="H4" s="197">
        <f>G4+30</f>
        <v>150</v>
      </c>
      <c r="I4" s="197">
        <f t="shared" si="0"/>
        <v>180</v>
      </c>
      <c r="J4" s="197"/>
      <c r="K4" s="197"/>
      <c r="L4" s="384"/>
    </row>
    <row r="5" spans="1:20" s="65" customFormat="1" ht="12" customHeight="1" thickBot="1">
      <c r="A5" s="375" t="s">
        <v>149</v>
      </c>
      <c r="B5" s="377" t="s">
        <v>6</v>
      </c>
      <c r="C5" s="379">
        <v>1</v>
      </c>
      <c r="D5" s="169"/>
      <c r="E5" s="166"/>
      <c r="F5" s="166"/>
      <c r="G5" s="166"/>
      <c r="H5" s="166"/>
      <c r="I5" s="166"/>
      <c r="J5" s="166"/>
      <c r="K5" s="166"/>
      <c r="L5" s="21"/>
    </row>
    <row r="6" spans="1:20" s="65" customFormat="1" ht="12" customHeight="1" thickTop="1">
      <c r="A6" s="376"/>
      <c r="B6" s="378"/>
      <c r="C6" s="380"/>
      <c r="D6" s="170"/>
      <c r="E6" s="168"/>
      <c r="F6" s="168"/>
      <c r="G6" s="168"/>
      <c r="H6" s="168"/>
      <c r="I6" s="168"/>
      <c r="J6" s="168"/>
      <c r="K6" s="168"/>
      <c r="L6" s="20"/>
    </row>
    <row r="7" spans="1:20" s="65" customFormat="1" ht="12" customHeight="1" thickBot="1">
      <c r="A7" s="375" t="str">
        <f>+'1-1. 설계설명서(3차)'!F11</f>
        <v>1. 전력간선설비 공사</v>
      </c>
      <c r="B7" s="377" t="s">
        <v>6</v>
      </c>
      <c r="C7" s="379">
        <v>1</v>
      </c>
      <c r="D7" s="165"/>
      <c r="E7" s="171"/>
      <c r="F7" s="171"/>
      <c r="G7" s="171"/>
      <c r="H7" s="166"/>
      <c r="I7" s="166"/>
      <c r="J7" s="166"/>
      <c r="K7" s="198"/>
      <c r="L7" s="21"/>
      <c r="N7" s="22"/>
      <c r="S7" s="160"/>
      <c r="T7" s="161">
        <v>1</v>
      </c>
    </row>
    <row r="8" spans="1:20" s="65" customFormat="1" ht="12" customHeight="1" thickTop="1">
      <c r="A8" s="376"/>
      <c r="B8" s="378"/>
      <c r="C8" s="380"/>
      <c r="D8" s="167"/>
      <c r="E8" s="172"/>
      <c r="F8" s="172"/>
      <c r="G8" s="172"/>
      <c r="H8" s="168"/>
      <c r="I8" s="168"/>
      <c r="J8" s="168"/>
      <c r="K8" s="168"/>
      <c r="L8" s="20"/>
      <c r="N8" s="22"/>
      <c r="S8" s="160"/>
      <c r="T8" s="161"/>
    </row>
    <row r="9" spans="1:20" s="65" customFormat="1" ht="12" customHeight="1" thickBot="1">
      <c r="A9" s="375" t="str">
        <f>+'1-1. 설계설명서(3차)'!F12</f>
        <v>2. 태양광설비 공사</v>
      </c>
      <c r="B9" s="377" t="s">
        <v>6</v>
      </c>
      <c r="C9" s="379">
        <v>1</v>
      </c>
      <c r="D9" s="165"/>
      <c r="E9" s="166"/>
      <c r="F9" s="166"/>
      <c r="G9" s="171"/>
      <c r="H9" s="171"/>
      <c r="I9" s="171"/>
      <c r="J9" s="166"/>
      <c r="K9" s="166"/>
      <c r="L9" s="21"/>
      <c r="N9" s="22"/>
      <c r="S9" s="160"/>
      <c r="T9" s="161"/>
    </row>
    <row r="10" spans="1:20" s="65" customFormat="1" ht="12" customHeight="1" thickTop="1">
      <c r="A10" s="376"/>
      <c r="B10" s="378"/>
      <c r="C10" s="380"/>
      <c r="D10" s="167"/>
      <c r="E10" s="168"/>
      <c r="F10" s="168"/>
      <c r="G10" s="172"/>
      <c r="H10" s="172"/>
      <c r="I10" s="172"/>
      <c r="J10" s="168"/>
      <c r="K10" s="168"/>
      <c r="L10" s="20"/>
      <c r="N10" s="22"/>
      <c r="S10" s="163"/>
      <c r="T10" s="164"/>
    </row>
    <row r="11" spans="1:20" s="65" customFormat="1" ht="12" customHeight="1" thickBot="1">
      <c r="A11" s="375" t="str">
        <f>+'1-1. 설계설명서(3차)'!F13</f>
        <v>3. 동력설비 공사</v>
      </c>
      <c r="B11" s="377" t="s">
        <v>6</v>
      </c>
      <c r="C11" s="379">
        <v>1</v>
      </c>
      <c r="D11" s="165"/>
      <c r="E11" s="171"/>
      <c r="F11" s="171"/>
      <c r="G11" s="171"/>
      <c r="H11" s="171"/>
      <c r="I11" s="166"/>
      <c r="J11" s="166"/>
      <c r="K11" s="166"/>
      <c r="L11" s="21"/>
      <c r="N11" s="22"/>
      <c r="S11" s="160"/>
      <c r="T11" s="161"/>
    </row>
    <row r="12" spans="1:20" s="65" customFormat="1" ht="12" customHeight="1" thickTop="1">
      <c r="A12" s="376"/>
      <c r="B12" s="378"/>
      <c r="C12" s="380"/>
      <c r="D12" s="167"/>
      <c r="E12" s="172"/>
      <c r="F12" s="172"/>
      <c r="G12" s="172"/>
      <c r="H12" s="172"/>
      <c r="I12" s="168"/>
      <c r="J12" s="168"/>
      <c r="K12" s="168"/>
      <c r="L12" s="20"/>
      <c r="N12" s="22"/>
      <c r="S12" s="163"/>
      <c r="T12" s="164"/>
    </row>
    <row r="13" spans="1:20" s="65" customFormat="1" ht="12" customHeight="1" thickBot="1">
      <c r="A13" s="375" t="str">
        <f>+'1-1. 설계설명서(3차)'!F14</f>
        <v>4. CABLE TRAY 설비공사</v>
      </c>
      <c r="B13" s="377" t="s">
        <v>6</v>
      </c>
      <c r="C13" s="379">
        <v>1</v>
      </c>
      <c r="D13" s="165"/>
      <c r="E13" s="171"/>
      <c r="F13" s="171"/>
      <c r="G13" s="171"/>
      <c r="H13" s="166"/>
      <c r="I13" s="166"/>
      <c r="J13" s="166"/>
      <c r="K13" s="166"/>
      <c r="L13" s="21"/>
    </row>
    <row r="14" spans="1:20" s="65" customFormat="1" ht="12" customHeight="1" thickTop="1">
      <c r="A14" s="376"/>
      <c r="B14" s="378"/>
      <c r="C14" s="380"/>
      <c r="D14" s="167"/>
      <c r="E14" s="172"/>
      <c r="F14" s="172"/>
      <c r="G14" s="172"/>
      <c r="H14" s="168"/>
      <c r="I14" s="168"/>
      <c r="J14" s="168"/>
      <c r="K14" s="168"/>
      <c r="L14" s="20"/>
    </row>
    <row r="15" spans="1:20" s="65" customFormat="1" ht="12" customHeight="1" thickBot="1">
      <c r="A15" s="375" t="str">
        <f>+'1-1. 설계설명서(3차)'!F15</f>
        <v>5. 전등 설비공사</v>
      </c>
      <c r="B15" s="377" t="s">
        <v>6</v>
      </c>
      <c r="C15" s="379">
        <v>1</v>
      </c>
      <c r="D15" s="165"/>
      <c r="E15" s="171"/>
      <c r="F15" s="171"/>
      <c r="G15" s="171"/>
      <c r="H15" s="171"/>
      <c r="I15" s="171"/>
      <c r="J15" s="166"/>
      <c r="K15" s="166"/>
      <c r="L15" s="21"/>
    </row>
    <row r="16" spans="1:20" s="65" customFormat="1" ht="12" customHeight="1" thickTop="1">
      <c r="A16" s="376"/>
      <c r="B16" s="378"/>
      <c r="C16" s="380"/>
      <c r="D16" s="167"/>
      <c r="E16" s="172"/>
      <c r="F16" s="172"/>
      <c r="G16" s="172"/>
      <c r="H16" s="172"/>
      <c r="I16" s="172"/>
      <c r="J16" s="168"/>
      <c r="K16" s="168"/>
      <c r="L16" s="20"/>
    </row>
    <row r="17" spans="1:12" s="65" customFormat="1" ht="12" customHeight="1" thickBot="1">
      <c r="A17" s="375" t="str">
        <f>+'1-1. 설계설명서(3차)'!F16</f>
        <v>6. 조명제어설비 공사</v>
      </c>
      <c r="B17" s="377" t="s">
        <v>6</v>
      </c>
      <c r="C17" s="379">
        <v>1</v>
      </c>
      <c r="D17" s="165"/>
      <c r="E17" s="171"/>
      <c r="F17" s="171"/>
      <c r="G17" s="171"/>
      <c r="H17" s="171"/>
      <c r="I17" s="171"/>
      <c r="J17" s="166"/>
      <c r="K17" s="166"/>
      <c r="L17" s="21"/>
    </row>
    <row r="18" spans="1:12" s="65" customFormat="1" ht="12" customHeight="1" thickTop="1">
      <c r="A18" s="376"/>
      <c r="B18" s="378"/>
      <c r="C18" s="380"/>
      <c r="D18" s="167"/>
      <c r="E18" s="172"/>
      <c r="F18" s="172"/>
      <c r="G18" s="172"/>
      <c r="H18" s="172"/>
      <c r="I18" s="172"/>
      <c r="J18" s="168"/>
      <c r="K18" s="168"/>
      <c r="L18" s="20"/>
    </row>
    <row r="19" spans="1:12" s="65" customFormat="1" ht="12" customHeight="1" thickBot="1">
      <c r="A19" s="375" t="str">
        <f>+'1-1. 설계설명서(3차)'!F17</f>
        <v>7. 안내사인전원설비 공사</v>
      </c>
      <c r="B19" s="377" t="s">
        <v>6</v>
      </c>
      <c r="C19" s="379">
        <v>1</v>
      </c>
      <c r="D19" s="165"/>
      <c r="E19" s="171"/>
      <c r="F19" s="171"/>
      <c r="G19" s="171"/>
      <c r="H19" s="171"/>
      <c r="I19" s="171"/>
      <c r="J19" s="166"/>
      <c r="K19" s="166"/>
      <c r="L19" s="21"/>
    </row>
    <row r="20" spans="1:12" s="65" customFormat="1" ht="12" customHeight="1" thickTop="1">
      <c r="A20" s="376"/>
      <c r="B20" s="378"/>
      <c r="C20" s="380"/>
      <c r="D20" s="167"/>
      <c r="E20" s="172"/>
      <c r="F20" s="172"/>
      <c r="G20" s="172"/>
      <c r="H20" s="172"/>
      <c r="I20" s="172"/>
      <c r="J20" s="168"/>
      <c r="K20" s="168"/>
      <c r="L20" s="20"/>
    </row>
    <row r="21" spans="1:12" s="65" customFormat="1" ht="12" customHeight="1" thickBot="1">
      <c r="A21" s="375" t="str">
        <f>+'1-1. 설계설명서(3차)'!F18</f>
        <v>8. 전열설비 공사</v>
      </c>
      <c r="B21" s="377" t="s">
        <v>6</v>
      </c>
      <c r="C21" s="379">
        <v>1</v>
      </c>
      <c r="D21" s="165"/>
      <c r="E21" s="171"/>
      <c r="F21" s="171"/>
      <c r="G21" s="171"/>
      <c r="H21" s="171"/>
      <c r="I21" s="171"/>
      <c r="J21" s="166"/>
      <c r="K21" s="166"/>
      <c r="L21" s="21"/>
    </row>
    <row r="22" spans="1:12" s="65" customFormat="1" ht="12" customHeight="1" thickTop="1">
      <c r="A22" s="376"/>
      <c r="B22" s="378"/>
      <c r="C22" s="380"/>
      <c r="D22" s="167"/>
      <c r="E22" s="172"/>
      <c r="F22" s="172"/>
      <c r="G22" s="172"/>
      <c r="H22" s="172"/>
      <c r="I22" s="172"/>
      <c r="J22" s="168"/>
      <c r="K22" s="168"/>
      <c r="L22" s="20"/>
    </row>
    <row r="23" spans="1:12" s="65" customFormat="1" ht="12" customHeight="1">
      <c r="A23" s="375"/>
      <c r="B23" s="377"/>
      <c r="C23" s="379"/>
      <c r="D23" s="165"/>
      <c r="E23" s="166"/>
      <c r="F23" s="166"/>
      <c r="G23" s="166"/>
      <c r="H23" s="166"/>
      <c r="I23" s="166"/>
      <c r="J23" s="166"/>
      <c r="K23" s="166"/>
      <c r="L23" s="21"/>
    </row>
    <row r="24" spans="1:12" s="65" customFormat="1" ht="12" customHeight="1">
      <c r="A24" s="376"/>
      <c r="B24" s="378"/>
      <c r="C24" s="380"/>
      <c r="D24" s="167"/>
      <c r="E24" s="168"/>
      <c r="F24" s="168"/>
      <c r="G24" s="168"/>
      <c r="H24" s="168"/>
      <c r="I24" s="168"/>
      <c r="J24" s="168"/>
      <c r="K24" s="168"/>
      <c r="L24" s="20"/>
    </row>
    <row r="25" spans="1:12" s="65" customFormat="1" ht="12" customHeight="1">
      <c r="A25" s="375"/>
      <c r="B25" s="377"/>
      <c r="C25" s="379"/>
      <c r="D25" s="165"/>
      <c r="E25" s="166"/>
      <c r="F25" s="166"/>
      <c r="G25" s="166"/>
      <c r="H25" s="166"/>
      <c r="I25" s="166"/>
      <c r="J25" s="166"/>
      <c r="K25" s="166"/>
      <c r="L25" s="21"/>
    </row>
    <row r="26" spans="1:12" s="65" customFormat="1" ht="12" customHeight="1">
      <c r="A26" s="376"/>
      <c r="B26" s="378"/>
      <c r="C26" s="380"/>
      <c r="D26" s="167"/>
      <c r="E26" s="168"/>
      <c r="F26" s="168"/>
      <c r="G26" s="168"/>
      <c r="H26" s="168"/>
      <c r="I26" s="168"/>
      <c r="J26" s="168"/>
      <c r="K26" s="168"/>
      <c r="L26" s="20"/>
    </row>
    <row r="27" spans="1:12" s="65" customFormat="1" ht="12" customHeight="1">
      <c r="A27" s="375"/>
      <c r="B27" s="377"/>
      <c r="C27" s="379"/>
      <c r="D27" s="165"/>
      <c r="E27" s="166"/>
      <c r="F27" s="166"/>
      <c r="G27" s="166"/>
      <c r="H27" s="166"/>
      <c r="I27" s="166"/>
      <c r="J27" s="166"/>
      <c r="K27" s="166"/>
      <c r="L27" s="21"/>
    </row>
    <row r="28" spans="1:12" s="65" customFormat="1" ht="12" customHeight="1">
      <c r="A28" s="376"/>
      <c r="B28" s="378"/>
      <c r="C28" s="380"/>
      <c r="D28" s="167"/>
      <c r="E28" s="168"/>
      <c r="F28" s="168"/>
      <c r="G28" s="168"/>
      <c r="H28" s="168"/>
      <c r="I28" s="168"/>
      <c r="J28" s="168"/>
      <c r="K28" s="168"/>
      <c r="L28" s="20"/>
    </row>
    <row r="29" spans="1:12" s="65" customFormat="1" ht="12" customHeight="1">
      <c r="A29" s="375"/>
      <c r="B29" s="377"/>
      <c r="C29" s="379"/>
      <c r="D29" s="165"/>
      <c r="E29" s="166"/>
      <c r="F29" s="166"/>
      <c r="G29" s="166"/>
      <c r="H29" s="166"/>
      <c r="I29" s="166"/>
      <c r="J29" s="166"/>
      <c r="K29" s="166"/>
      <c r="L29" s="21"/>
    </row>
    <row r="30" spans="1:12" s="65" customFormat="1" ht="12" customHeight="1">
      <c r="A30" s="376"/>
      <c r="B30" s="378"/>
      <c r="C30" s="380"/>
      <c r="D30" s="167"/>
      <c r="E30" s="168"/>
      <c r="F30" s="168"/>
      <c r="G30" s="168"/>
      <c r="H30" s="168"/>
      <c r="I30" s="168"/>
      <c r="J30" s="168"/>
      <c r="K30" s="168"/>
      <c r="L30" s="20"/>
    </row>
    <row r="31" spans="1:12" s="65" customFormat="1" ht="12" customHeight="1">
      <c r="A31" s="375"/>
      <c r="B31" s="377"/>
      <c r="C31" s="379"/>
      <c r="D31" s="165"/>
      <c r="E31" s="166"/>
      <c r="F31" s="166"/>
      <c r="G31" s="166"/>
      <c r="H31" s="166"/>
      <c r="I31" s="166"/>
      <c r="J31" s="166"/>
      <c r="K31" s="166"/>
      <c r="L31" s="21"/>
    </row>
    <row r="32" spans="1:12" s="65" customFormat="1" ht="12" customHeight="1">
      <c r="A32" s="376"/>
      <c r="B32" s="378"/>
      <c r="C32" s="380"/>
      <c r="D32" s="167"/>
      <c r="E32" s="168"/>
      <c r="F32" s="168"/>
      <c r="G32" s="168"/>
      <c r="H32" s="168"/>
      <c r="I32" s="168"/>
      <c r="J32" s="168"/>
      <c r="K32" s="168"/>
      <c r="L32" s="20"/>
    </row>
    <row r="33" spans="1:12" s="65" customFormat="1" ht="12" customHeight="1">
      <c r="A33" s="375"/>
      <c r="B33" s="377"/>
      <c r="C33" s="379"/>
      <c r="D33" s="165"/>
      <c r="E33" s="166"/>
      <c r="F33" s="166"/>
      <c r="G33" s="166"/>
      <c r="H33" s="166"/>
      <c r="I33" s="166"/>
      <c r="J33" s="166"/>
      <c r="K33" s="166"/>
      <c r="L33" s="21"/>
    </row>
    <row r="34" spans="1:12" s="65" customFormat="1" ht="12" customHeight="1">
      <c r="A34" s="376"/>
      <c r="B34" s="378"/>
      <c r="C34" s="380"/>
      <c r="D34" s="167"/>
      <c r="E34" s="168"/>
      <c r="F34" s="168"/>
      <c r="G34" s="168"/>
      <c r="H34" s="168"/>
      <c r="I34" s="168"/>
      <c r="J34" s="168"/>
      <c r="K34" s="168"/>
      <c r="L34" s="20"/>
    </row>
    <row r="35" spans="1:12" s="65" customFormat="1" ht="24" customHeight="1">
      <c r="A35" s="159"/>
      <c r="B35" s="160"/>
      <c r="C35" s="161"/>
      <c r="D35" s="52"/>
      <c r="E35" s="162"/>
      <c r="F35" s="162"/>
      <c r="G35" s="162"/>
      <c r="H35" s="162"/>
      <c r="I35" s="162"/>
      <c r="J35" s="162"/>
      <c r="K35" s="162"/>
      <c r="L35" s="145"/>
    </row>
  </sheetData>
  <mergeCells count="51">
    <mergeCell ref="A1:L1"/>
    <mergeCell ref="A3:A4"/>
    <mergeCell ref="B3:B4"/>
    <mergeCell ref="C3:C4"/>
    <mergeCell ref="D3:K3"/>
    <mergeCell ref="L3:L4"/>
    <mergeCell ref="A5:A6"/>
    <mergeCell ref="B5:B6"/>
    <mergeCell ref="C5:C6"/>
    <mergeCell ref="A7:A8"/>
    <mergeCell ref="B7:B8"/>
    <mergeCell ref="C7:C8"/>
    <mergeCell ref="A9:A10"/>
    <mergeCell ref="B9:B10"/>
    <mergeCell ref="C9:C10"/>
    <mergeCell ref="A11:A12"/>
    <mergeCell ref="B11:B12"/>
    <mergeCell ref="C11:C12"/>
    <mergeCell ref="A13:A14"/>
    <mergeCell ref="B13:B14"/>
    <mergeCell ref="C13:C14"/>
    <mergeCell ref="A15:A16"/>
    <mergeCell ref="B15:B16"/>
    <mergeCell ref="C15:C16"/>
    <mergeCell ref="A17:A18"/>
    <mergeCell ref="B17:B18"/>
    <mergeCell ref="C17:C18"/>
    <mergeCell ref="A19:A20"/>
    <mergeCell ref="B19:B20"/>
    <mergeCell ref="C19:C20"/>
    <mergeCell ref="A21:A22"/>
    <mergeCell ref="B21:B22"/>
    <mergeCell ref="C21:C22"/>
    <mergeCell ref="A23:A24"/>
    <mergeCell ref="B23:B24"/>
    <mergeCell ref="C23:C24"/>
    <mergeCell ref="A25:A26"/>
    <mergeCell ref="B25:B26"/>
    <mergeCell ref="C25:C26"/>
    <mergeCell ref="A27:A28"/>
    <mergeCell ref="B27:B28"/>
    <mergeCell ref="C27:C28"/>
    <mergeCell ref="A33:A34"/>
    <mergeCell ref="B33:B34"/>
    <mergeCell ref="C33:C34"/>
    <mergeCell ref="A29:A30"/>
    <mergeCell ref="B29:B30"/>
    <mergeCell ref="C29:C30"/>
    <mergeCell ref="A31:A32"/>
    <mergeCell ref="B31:B32"/>
    <mergeCell ref="C31:C3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fitToHeight="0" orientation="landscape" horizontalDpi="4294967293" verticalDpi="4294967293" r:id="rId1"/>
  <headerFooter alignWithMargins="0">
    <oddFooter xml:space="preserve">&amp;C&amp;"굴림,보통"&amp;10
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T35"/>
  <sheetViews>
    <sheetView view="pageBreakPreview" zoomScaleNormal="100" zoomScaleSheetLayoutView="100" workbookViewId="0">
      <selection activeCell="E28" sqref="E28"/>
    </sheetView>
  </sheetViews>
  <sheetFormatPr defaultColWidth="8.88671875" defaultRowHeight="23.1" customHeight="1"/>
  <cols>
    <col min="1" max="1" width="32.109375" style="25" customWidth="1"/>
    <col min="2" max="2" width="7.44140625" style="45" customWidth="1"/>
    <col min="3" max="3" width="7.44140625" style="25" customWidth="1"/>
    <col min="4" max="11" width="7.44140625" style="46" customWidth="1"/>
    <col min="12" max="12" width="7.44140625" style="25" customWidth="1"/>
    <col min="13" max="16384" width="8.88671875" style="25"/>
  </cols>
  <sheetData>
    <row r="1" spans="1:20" ht="30.2" customHeight="1">
      <c r="A1" s="374" t="s">
        <v>729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</row>
    <row r="2" spans="1:20" ht="24.95" customHeight="1"/>
    <row r="3" spans="1:20" s="65" customFormat="1" ht="24.95" customHeight="1">
      <c r="A3" s="384" t="s">
        <v>4</v>
      </c>
      <c r="B3" s="384" t="s">
        <v>3</v>
      </c>
      <c r="C3" s="384" t="s">
        <v>5</v>
      </c>
      <c r="D3" s="382" t="s">
        <v>790</v>
      </c>
      <c r="E3" s="385"/>
      <c r="F3" s="385"/>
      <c r="G3" s="385"/>
      <c r="H3" s="385"/>
      <c r="I3" s="385"/>
      <c r="J3" s="385"/>
      <c r="K3" s="385"/>
      <c r="L3" s="384" t="s">
        <v>35</v>
      </c>
    </row>
    <row r="4" spans="1:20" s="65" customFormat="1" ht="24.95" customHeight="1">
      <c r="A4" s="384"/>
      <c r="B4" s="384"/>
      <c r="C4" s="384"/>
      <c r="D4" s="47">
        <v>30</v>
      </c>
      <c r="E4" s="197">
        <f t="shared" ref="E4:I4" si="0">D4+30</f>
        <v>60</v>
      </c>
      <c r="F4" s="197">
        <f t="shared" si="0"/>
        <v>90</v>
      </c>
      <c r="G4" s="197">
        <f t="shared" si="0"/>
        <v>120</v>
      </c>
      <c r="H4" s="197">
        <f>G4+30</f>
        <v>150</v>
      </c>
      <c r="I4" s="197">
        <f t="shared" si="0"/>
        <v>180</v>
      </c>
      <c r="J4" s="197"/>
      <c r="K4" s="197"/>
      <c r="L4" s="384"/>
    </row>
    <row r="5" spans="1:20" s="65" customFormat="1" ht="12" customHeight="1" thickBot="1">
      <c r="A5" s="375" t="s">
        <v>149</v>
      </c>
      <c r="B5" s="377" t="s">
        <v>6</v>
      </c>
      <c r="C5" s="379">
        <v>1</v>
      </c>
      <c r="D5" s="169"/>
      <c r="E5" s="166"/>
      <c r="F5" s="166"/>
      <c r="G5" s="166"/>
      <c r="H5" s="166"/>
      <c r="I5" s="166"/>
      <c r="J5" s="166"/>
      <c r="K5" s="166"/>
      <c r="L5" s="21"/>
    </row>
    <row r="6" spans="1:20" s="65" customFormat="1" ht="12" customHeight="1" thickTop="1">
      <c r="A6" s="376"/>
      <c r="B6" s="378"/>
      <c r="C6" s="380"/>
      <c r="D6" s="170"/>
      <c r="E6" s="168"/>
      <c r="F6" s="168"/>
      <c r="G6" s="168"/>
      <c r="H6" s="168"/>
      <c r="I6" s="168"/>
      <c r="J6" s="168"/>
      <c r="K6" s="168"/>
      <c r="L6" s="20"/>
    </row>
    <row r="7" spans="1:20" s="65" customFormat="1" ht="12" customHeight="1" thickBot="1">
      <c r="A7" s="375" t="str">
        <f>+'1-1. 설계설명서(1차)'!F11</f>
        <v>1. 옥외 전기설비공사</v>
      </c>
      <c r="B7" s="377" t="s">
        <v>6</v>
      </c>
      <c r="C7" s="379">
        <v>1</v>
      </c>
      <c r="D7" s="165"/>
      <c r="E7" s="171"/>
      <c r="F7" s="171"/>
      <c r="G7" s="171"/>
      <c r="H7" s="166"/>
      <c r="I7" s="166"/>
      <c r="J7" s="166"/>
      <c r="K7" s="198"/>
      <c r="L7" s="21"/>
      <c r="N7" s="22"/>
      <c r="S7" s="160"/>
      <c r="T7" s="161">
        <v>1</v>
      </c>
    </row>
    <row r="8" spans="1:20" s="65" customFormat="1" ht="12" customHeight="1" thickTop="1">
      <c r="A8" s="376"/>
      <c r="B8" s="378"/>
      <c r="C8" s="380"/>
      <c r="D8" s="167"/>
      <c r="E8" s="172"/>
      <c r="F8" s="172"/>
      <c r="G8" s="172"/>
      <c r="H8" s="168"/>
      <c r="I8" s="168"/>
      <c r="J8" s="168"/>
      <c r="K8" s="168"/>
      <c r="L8" s="20"/>
      <c r="N8" s="22"/>
      <c r="S8" s="160"/>
      <c r="T8" s="161"/>
    </row>
    <row r="9" spans="1:20" s="65" customFormat="1" ht="12" customHeight="1" thickBot="1">
      <c r="A9" s="375" t="str">
        <f>+'1-1. 설계설명서(1차)'!F12</f>
        <v>2. 전력간선설비공사</v>
      </c>
      <c r="B9" s="377" t="s">
        <v>6</v>
      </c>
      <c r="C9" s="379">
        <v>1</v>
      </c>
      <c r="D9" s="165"/>
      <c r="E9" s="166"/>
      <c r="F9" s="166"/>
      <c r="G9" s="171"/>
      <c r="H9" s="171"/>
      <c r="I9" s="171"/>
      <c r="J9" s="166"/>
      <c r="K9" s="166"/>
      <c r="L9" s="21"/>
      <c r="N9" s="22"/>
      <c r="S9" s="160"/>
      <c r="T9" s="161"/>
    </row>
    <row r="10" spans="1:20" s="65" customFormat="1" ht="12" customHeight="1" thickTop="1">
      <c r="A10" s="376"/>
      <c r="B10" s="378"/>
      <c r="C10" s="380"/>
      <c r="D10" s="167"/>
      <c r="E10" s="168"/>
      <c r="F10" s="168"/>
      <c r="G10" s="172"/>
      <c r="H10" s="172"/>
      <c r="I10" s="172"/>
      <c r="J10" s="168"/>
      <c r="K10" s="168"/>
      <c r="L10" s="20"/>
      <c r="N10" s="22"/>
      <c r="S10" s="163"/>
      <c r="T10" s="164"/>
    </row>
    <row r="11" spans="1:20" s="65" customFormat="1" ht="12" customHeight="1" thickBot="1">
      <c r="A11" s="375" t="str">
        <f>+'1-1. 설계설명서(1차)'!F13</f>
        <v>3. 동력설비공사</v>
      </c>
      <c r="B11" s="377" t="s">
        <v>6</v>
      </c>
      <c r="C11" s="379">
        <v>1</v>
      </c>
      <c r="D11" s="165"/>
      <c r="E11" s="171"/>
      <c r="F11" s="171"/>
      <c r="G11" s="171"/>
      <c r="H11" s="171"/>
      <c r="I11" s="166"/>
      <c r="J11" s="166"/>
      <c r="K11" s="166"/>
      <c r="L11" s="21"/>
      <c r="N11" s="22"/>
      <c r="S11" s="160"/>
      <c r="T11" s="161"/>
    </row>
    <row r="12" spans="1:20" s="65" customFormat="1" ht="12" customHeight="1" thickTop="1">
      <c r="A12" s="376"/>
      <c r="B12" s="378"/>
      <c r="C12" s="380"/>
      <c r="D12" s="167"/>
      <c r="E12" s="172"/>
      <c r="F12" s="172"/>
      <c r="G12" s="172"/>
      <c r="H12" s="172"/>
      <c r="I12" s="168"/>
      <c r="J12" s="168"/>
      <c r="K12" s="168"/>
      <c r="L12" s="20"/>
      <c r="N12" s="22"/>
      <c r="S12" s="163"/>
      <c r="T12" s="164"/>
    </row>
    <row r="13" spans="1:20" s="65" customFormat="1" ht="12" customHeight="1" thickBot="1">
      <c r="A13" s="375" t="str">
        <f>+'1-1. 설계설명서(1차)'!F14</f>
        <v>4. CABLE TRAY 설비공사</v>
      </c>
      <c r="B13" s="377" t="s">
        <v>6</v>
      </c>
      <c r="C13" s="379">
        <v>1</v>
      </c>
      <c r="D13" s="165"/>
      <c r="E13" s="171"/>
      <c r="F13" s="171"/>
      <c r="G13" s="166"/>
      <c r="H13" s="166"/>
      <c r="I13" s="166"/>
      <c r="J13" s="166"/>
      <c r="K13" s="166"/>
      <c r="L13" s="21"/>
    </row>
    <row r="14" spans="1:20" s="65" customFormat="1" ht="12" customHeight="1" thickTop="1">
      <c r="A14" s="376"/>
      <c r="B14" s="378"/>
      <c r="C14" s="380"/>
      <c r="D14" s="167"/>
      <c r="E14" s="172"/>
      <c r="F14" s="172"/>
      <c r="G14" s="168"/>
      <c r="H14" s="168"/>
      <c r="I14" s="168"/>
      <c r="J14" s="168"/>
      <c r="K14" s="168"/>
      <c r="L14" s="20"/>
    </row>
    <row r="15" spans="1:20" s="65" customFormat="1" ht="12" customHeight="1" thickBot="1">
      <c r="A15" s="375" t="str">
        <f>+'1-1. 설계설명서(1차)'!F15</f>
        <v>5. 전등 설비공사</v>
      </c>
      <c r="B15" s="377" t="s">
        <v>6</v>
      </c>
      <c r="C15" s="379">
        <v>1</v>
      </c>
      <c r="D15" s="165"/>
      <c r="E15" s="171"/>
      <c r="F15" s="171"/>
      <c r="G15" s="171"/>
      <c r="H15" s="171"/>
      <c r="I15" s="171"/>
      <c r="J15" s="166"/>
      <c r="K15" s="166"/>
      <c r="L15" s="21"/>
    </row>
    <row r="16" spans="1:20" s="65" customFormat="1" ht="12" customHeight="1" thickTop="1">
      <c r="A16" s="376"/>
      <c r="B16" s="378"/>
      <c r="C16" s="380"/>
      <c r="D16" s="167"/>
      <c r="E16" s="172"/>
      <c r="F16" s="172"/>
      <c r="G16" s="172"/>
      <c r="H16" s="172"/>
      <c r="I16" s="172"/>
      <c r="J16" s="168"/>
      <c r="K16" s="168"/>
      <c r="L16" s="20"/>
    </row>
    <row r="17" spans="1:12" s="65" customFormat="1" ht="12" customHeight="1" thickBot="1">
      <c r="A17" s="375" t="str">
        <f>+'1-1. 설계설명서(1차)'!F16</f>
        <v>6. 전열 설비공사</v>
      </c>
      <c r="B17" s="377" t="s">
        <v>6</v>
      </c>
      <c r="C17" s="379">
        <v>1</v>
      </c>
      <c r="D17" s="165"/>
      <c r="E17" s="171"/>
      <c r="F17" s="171"/>
      <c r="G17" s="171"/>
      <c r="H17" s="171"/>
      <c r="I17" s="171"/>
      <c r="J17" s="166"/>
      <c r="K17" s="166"/>
      <c r="L17" s="21"/>
    </row>
    <row r="18" spans="1:12" s="65" customFormat="1" ht="12" customHeight="1" thickTop="1">
      <c r="A18" s="376"/>
      <c r="B18" s="378"/>
      <c r="C18" s="380"/>
      <c r="D18" s="167"/>
      <c r="E18" s="172"/>
      <c r="F18" s="172"/>
      <c r="G18" s="172"/>
      <c r="H18" s="172"/>
      <c r="I18" s="172"/>
      <c r="J18" s="168"/>
      <c r="K18" s="168"/>
      <c r="L18" s="20"/>
    </row>
    <row r="19" spans="1:12" s="65" customFormat="1" ht="12" customHeight="1">
      <c r="A19" s="375"/>
      <c r="B19" s="377"/>
      <c r="C19" s="379"/>
      <c r="D19" s="165"/>
      <c r="E19" s="166"/>
      <c r="F19" s="166"/>
      <c r="G19" s="166"/>
      <c r="H19" s="166"/>
      <c r="I19" s="166"/>
      <c r="J19" s="166"/>
      <c r="K19" s="166"/>
      <c r="L19" s="21"/>
    </row>
    <row r="20" spans="1:12" s="65" customFormat="1" ht="12" customHeight="1">
      <c r="A20" s="376"/>
      <c r="B20" s="378"/>
      <c r="C20" s="380"/>
      <c r="D20" s="167"/>
      <c r="E20" s="168"/>
      <c r="F20" s="168"/>
      <c r="G20" s="168"/>
      <c r="H20" s="168"/>
      <c r="I20" s="168"/>
      <c r="J20" s="168"/>
      <c r="K20" s="168"/>
      <c r="L20" s="20"/>
    </row>
    <row r="21" spans="1:12" s="65" customFormat="1" ht="12" customHeight="1">
      <c r="A21" s="375"/>
      <c r="B21" s="377"/>
      <c r="C21" s="379"/>
      <c r="D21" s="165"/>
      <c r="E21" s="166"/>
      <c r="F21" s="166"/>
      <c r="G21" s="166"/>
      <c r="H21" s="166"/>
      <c r="I21" s="166"/>
      <c r="J21" s="166"/>
      <c r="K21" s="166"/>
      <c r="L21" s="21"/>
    </row>
    <row r="22" spans="1:12" s="65" customFormat="1" ht="12" customHeight="1">
      <c r="A22" s="376"/>
      <c r="B22" s="378"/>
      <c r="C22" s="380"/>
      <c r="D22" s="167"/>
      <c r="E22" s="168"/>
      <c r="F22" s="168"/>
      <c r="G22" s="168"/>
      <c r="H22" s="168"/>
      <c r="I22" s="168"/>
      <c r="J22" s="168"/>
      <c r="K22" s="168"/>
      <c r="L22" s="20"/>
    </row>
    <row r="23" spans="1:12" s="65" customFormat="1" ht="12" customHeight="1">
      <c r="A23" s="375"/>
      <c r="B23" s="377"/>
      <c r="C23" s="379"/>
      <c r="D23" s="165"/>
      <c r="E23" s="166"/>
      <c r="F23" s="166"/>
      <c r="G23" s="166"/>
      <c r="H23" s="166"/>
      <c r="I23" s="166"/>
      <c r="J23" s="166"/>
      <c r="K23" s="166"/>
      <c r="L23" s="21"/>
    </row>
    <row r="24" spans="1:12" s="65" customFormat="1" ht="12" customHeight="1">
      <c r="A24" s="376"/>
      <c r="B24" s="378"/>
      <c r="C24" s="380"/>
      <c r="D24" s="167"/>
      <c r="E24" s="168"/>
      <c r="F24" s="168"/>
      <c r="G24" s="168"/>
      <c r="H24" s="168"/>
      <c r="I24" s="168"/>
      <c r="J24" s="168"/>
      <c r="K24" s="168"/>
      <c r="L24" s="20"/>
    </row>
    <row r="25" spans="1:12" s="65" customFormat="1" ht="12" customHeight="1">
      <c r="A25" s="375"/>
      <c r="B25" s="377"/>
      <c r="C25" s="379"/>
      <c r="D25" s="165"/>
      <c r="E25" s="166"/>
      <c r="F25" s="166"/>
      <c r="G25" s="166"/>
      <c r="H25" s="166"/>
      <c r="I25" s="166"/>
      <c r="J25" s="166"/>
      <c r="K25" s="166"/>
      <c r="L25" s="21"/>
    </row>
    <row r="26" spans="1:12" s="65" customFormat="1" ht="12" customHeight="1">
      <c r="A26" s="376"/>
      <c r="B26" s="378"/>
      <c r="C26" s="380"/>
      <c r="D26" s="167"/>
      <c r="E26" s="168"/>
      <c r="F26" s="168"/>
      <c r="G26" s="168"/>
      <c r="H26" s="168"/>
      <c r="I26" s="168"/>
      <c r="J26" s="168"/>
      <c r="K26" s="168"/>
      <c r="L26" s="20"/>
    </row>
    <row r="27" spans="1:12" s="65" customFormat="1" ht="12" customHeight="1">
      <c r="A27" s="375"/>
      <c r="B27" s="377"/>
      <c r="C27" s="379"/>
      <c r="D27" s="165"/>
      <c r="E27" s="166"/>
      <c r="F27" s="166"/>
      <c r="G27" s="166"/>
      <c r="H27" s="166"/>
      <c r="I27" s="166"/>
      <c r="J27" s="166"/>
      <c r="K27" s="166"/>
      <c r="L27" s="21"/>
    </row>
    <row r="28" spans="1:12" s="65" customFormat="1" ht="12" customHeight="1">
      <c r="A28" s="376"/>
      <c r="B28" s="378"/>
      <c r="C28" s="380"/>
      <c r="D28" s="167"/>
      <c r="E28" s="168"/>
      <c r="F28" s="168"/>
      <c r="G28" s="168"/>
      <c r="H28" s="168"/>
      <c r="I28" s="168"/>
      <c r="J28" s="168"/>
      <c r="K28" s="168"/>
      <c r="L28" s="20"/>
    </row>
    <row r="29" spans="1:12" s="65" customFormat="1" ht="12" customHeight="1">
      <c r="A29" s="375"/>
      <c r="B29" s="377"/>
      <c r="C29" s="379"/>
      <c r="D29" s="165"/>
      <c r="E29" s="166"/>
      <c r="F29" s="166"/>
      <c r="G29" s="166"/>
      <c r="H29" s="166"/>
      <c r="I29" s="166"/>
      <c r="J29" s="166"/>
      <c r="K29" s="166"/>
      <c r="L29" s="21"/>
    </row>
    <row r="30" spans="1:12" s="65" customFormat="1" ht="12" customHeight="1">
      <c r="A30" s="376"/>
      <c r="B30" s="378"/>
      <c r="C30" s="380"/>
      <c r="D30" s="167"/>
      <c r="E30" s="168"/>
      <c r="F30" s="168"/>
      <c r="G30" s="168"/>
      <c r="H30" s="168"/>
      <c r="I30" s="168"/>
      <c r="J30" s="168"/>
      <c r="K30" s="168"/>
      <c r="L30" s="20"/>
    </row>
    <row r="31" spans="1:12" s="65" customFormat="1" ht="12" customHeight="1">
      <c r="A31" s="375"/>
      <c r="B31" s="377"/>
      <c r="C31" s="379"/>
      <c r="D31" s="165"/>
      <c r="E31" s="166"/>
      <c r="F31" s="166"/>
      <c r="G31" s="166"/>
      <c r="H31" s="166"/>
      <c r="I31" s="166"/>
      <c r="J31" s="166"/>
      <c r="K31" s="166"/>
      <c r="L31" s="21"/>
    </row>
    <row r="32" spans="1:12" s="65" customFormat="1" ht="12" customHeight="1">
      <c r="A32" s="376"/>
      <c r="B32" s="378"/>
      <c r="C32" s="380"/>
      <c r="D32" s="167"/>
      <c r="E32" s="168"/>
      <c r="F32" s="168"/>
      <c r="G32" s="168"/>
      <c r="H32" s="168"/>
      <c r="I32" s="168"/>
      <c r="J32" s="168"/>
      <c r="K32" s="168"/>
      <c r="L32" s="20"/>
    </row>
    <row r="33" spans="1:12" s="65" customFormat="1" ht="12" customHeight="1">
      <c r="A33" s="375"/>
      <c r="B33" s="377"/>
      <c r="C33" s="379"/>
      <c r="D33" s="165"/>
      <c r="E33" s="166"/>
      <c r="F33" s="166"/>
      <c r="G33" s="166"/>
      <c r="H33" s="166"/>
      <c r="I33" s="166"/>
      <c r="J33" s="166"/>
      <c r="K33" s="166"/>
      <c r="L33" s="21"/>
    </row>
    <row r="34" spans="1:12" s="65" customFormat="1" ht="12" customHeight="1">
      <c r="A34" s="376"/>
      <c r="B34" s="378"/>
      <c r="C34" s="380"/>
      <c r="D34" s="167"/>
      <c r="E34" s="168"/>
      <c r="F34" s="168"/>
      <c r="G34" s="168"/>
      <c r="H34" s="168"/>
      <c r="I34" s="168"/>
      <c r="J34" s="168"/>
      <c r="K34" s="168"/>
      <c r="L34" s="20"/>
    </row>
    <row r="35" spans="1:12" s="65" customFormat="1" ht="24" customHeight="1">
      <c r="A35" s="159"/>
      <c r="B35" s="160"/>
      <c r="C35" s="161"/>
      <c r="D35" s="52"/>
      <c r="E35" s="162"/>
      <c r="F35" s="162"/>
      <c r="G35" s="162"/>
      <c r="H35" s="162"/>
      <c r="I35" s="162"/>
      <c r="J35" s="162"/>
      <c r="K35" s="162"/>
      <c r="L35" s="145"/>
    </row>
  </sheetData>
  <mergeCells count="51">
    <mergeCell ref="A1:L1"/>
    <mergeCell ref="A3:A4"/>
    <mergeCell ref="B3:B4"/>
    <mergeCell ref="C3:C4"/>
    <mergeCell ref="D3:K3"/>
    <mergeCell ref="L3:L4"/>
    <mergeCell ref="A5:A6"/>
    <mergeCell ref="B5:B6"/>
    <mergeCell ref="C5:C6"/>
    <mergeCell ref="A7:A8"/>
    <mergeCell ref="B7:B8"/>
    <mergeCell ref="C7:C8"/>
    <mergeCell ref="A9:A10"/>
    <mergeCell ref="B9:B10"/>
    <mergeCell ref="C9:C10"/>
    <mergeCell ref="A11:A12"/>
    <mergeCell ref="B11:B12"/>
    <mergeCell ref="C11:C12"/>
    <mergeCell ref="A13:A14"/>
    <mergeCell ref="B13:B14"/>
    <mergeCell ref="C13:C14"/>
    <mergeCell ref="A15:A16"/>
    <mergeCell ref="B15:B16"/>
    <mergeCell ref="C15:C16"/>
    <mergeCell ref="A17:A18"/>
    <mergeCell ref="B17:B18"/>
    <mergeCell ref="C17:C18"/>
    <mergeCell ref="A19:A20"/>
    <mergeCell ref="B19:B20"/>
    <mergeCell ref="C19:C20"/>
    <mergeCell ref="A21:A22"/>
    <mergeCell ref="B21:B22"/>
    <mergeCell ref="C21:C22"/>
    <mergeCell ref="A23:A24"/>
    <mergeCell ref="B23:B24"/>
    <mergeCell ref="C23:C24"/>
    <mergeCell ref="A25:A26"/>
    <mergeCell ref="B25:B26"/>
    <mergeCell ref="C25:C26"/>
    <mergeCell ref="A27:A28"/>
    <mergeCell ref="B27:B28"/>
    <mergeCell ref="C27:C28"/>
    <mergeCell ref="A33:A34"/>
    <mergeCell ref="B33:B34"/>
    <mergeCell ref="C33:C34"/>
    <mergeCell ref="A29:A30"/>
    <mergeCell ref="B29:B30"/>
    <mergeCell ref="C29:C30"/>
    <mergeCell ref="A31:A32"/>
    <mergeCell ref="B31:B32"/>
    <mergeCell ref="C31:C3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fitToHeight="0" orientation="landscape" horizontalDpi="4294967293" verticalDpi="4294967293" r:id="rId1"/>
  <headerFooter alignWithMargins="0">
    <oddFooter xml:space="preserve">&amp;C&amp;"굴림,보통"&amp;10
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2"/>
  <sheetViews>
    <sheetView view="pageBreakPreview" zoomScaleNormal="100" workbookViewId="0">
      <selection activeCell="D8" sqref="D8"/>
    </sheetView>
  </sheetViews>
  <sheetFormatPr defaultColWidth="8.88671875" defaultRowHeight="16.5"/>
  <cols>
    <col min="1" max="1" width="15.77734375" style="25" customWidth="1"/>
    <col min="2" max="2" width="10.77734375" style="25" customWidth="1"/>
    <col min="3" max="3" width="30.77734375" style="25" customWidth="1"/>
    <col min="4" max="5" width="20.77734375" style="25" customWidth="1"/>
    <col min="6" max="6" width="14.44140625" style="25" customWidth="1"/>
    <col min="7" max="16384" width="8.88671875" style="25"/>
  </cols>
  <sheetData>
    <row r="1" spans="1:19" ht="50.1" customHeight="1">
      <c r="A1" s="386"/>
      <c r="B1" s="387"/>
      <c r="C1" s="387"/>
      <c r="D1" s="387"/>
      <c r="E1" s="387"/>
      <c r="F1" s="388"/>
    </row>
    <row r="2" spans="1:19" ht="30.2" customHeight="1">
      <c r="A2" s="389" t="s">
        <v>805</v>
      </c>
      <c r="B2" s="390"/>
      <c r="C2" s="390"/>
      <c r="D2" s="390"/>
      <c r="E2" s="390"/>
      <c r="F2" s="391"/>
    </row>
    <row r="3" spans="1:19" ht="30.2" customHeight="1">
      <c r="A3" s="38"/>
      <c r="B3" s="39"/>
      <c r="C3" s="39"/>
      <c r="D3" s="39"/>
      <c r="E3" s="39"/>
      <c r="F3" s="40"/>
    </row>
    <row r="4" spans="1:19" ht="30.2" customHeight="1">
      <c r="A4" s="38"/>
      <c r="B4" s="81" t="s">
        <v>7</v>
      </c>
      <c r="C4" s="81"/>
      <c r="D4" s="82" t="s">
        <v>82</v>
      </c>
      <c r="E4" s="83"/>
      <c r="F4" s="40"/>
    </row>
    <row r="5" spans="1:19" ht="30.2" customHeight="1">
      <c r="A5" s="38"/>
      <c r="B5" s="84" t="s">
        <v>21</v>
      </c>
      <c r="C5" s="85" t="s">
        <v>36</v>
      </c>
      <c r="D5" s="86" t="s">
        <v>1185</v>
      </c>
      <c r="E5" s="83"/>
      <c r="F5" s="40"/>
    </row>
    <row r="6" spans="1:19" ht="30.2" customHeight="1">
      <c r="A6" s="38"/>
      <c r="B6" s="84" t="s">
        <v>0</v>
      </c>
      <c r="C6" s="85" t="s">
        <v>809</v>
      </c>
      <c r="D6" s="87"/>
      <c r="E6" s="83"/>
      <c r="F6" s="40"/>
    </row>
    <row r="7" spans="1:19" ht="30.2" customHeight="1">
      <c r="A7" s="38"/>
      <c r="B7" s="84" t="s">
        <v>38</v>
      </c>
      <c r="C7" s="85" t="s">
        <v>810</v>
      </c>
      <c r="D7" s="87"/>
      <c r="E7" s="83"/>
      <c r="F7" s="40"/>
    </row>
    <row r="8" spans="1:19" ht="30.2" customHeight="1">
      <c r="A8" s="38"/>
      <c r="B8" s="84" t="s">
        <v>1</v>
      </c>
      <c r="C8" s="85" t="s">
        <v>811</v>
      </c>
      <c r="D8" s="87"/>
      <c r="E8" s="83"/>
      <c r="F8" s="40"/>
    </row>
    <row r="9" spans="1:19" s="42" customFormat="1" ht="30.2" customHeight="1">
      <c r="A9" s="41"/>
      <c r="B9" s="84" t="s">
        <v>2</v>
      </c>
      <c r="C9" s="85" t="s">
        <v>812</v>
      </c>
      <c r="D9" s="87"/>
      <c r="E9" s="83"/>
      <c r="F9" s="40"/>
      <c r="R9" s="43"/>
      <c r="S9" s="43"/>
    </row>
    <row r="10" spans="1:19" s="42" customFormat="1" ht="30.2" customHeight="1">
      <c r="A10" s="41"/>
      <c r="B10" s="84" t="s">
        <v>39</v>
      </c>
      <c r="C10" s="85" t="s">
        <v>813</v>
      </c>
      <c r="D10" s="88"/>
      <c r="E10" s="83"/>
      <c r="F10" s="40"/>
      <c r="R10" s="43"/>
      <c r="S10" s="43"/>
    </row>
    <row r="11" spans="1:19" s="42" customFormat="1" ht="30.2" customHeight="1">
      <c r="A11" s="41"/>
      <c r="B11" s="84" t="s">
        <v>41</v>
      </c>
      <c r="C11" s="85"/>
      <c r="D11" s="88"/>
      <c r="E11" s="83"/>
      <c r="F11" s="40"/>
      <c r="R11" s="43"/>
      <c r="S11" s="43"/>
    </row>
    <row r="12" spans="1:19" ht="30.2" customHeight="1">
      <c r="A12" s="38"/>
      <c r="B12" s="84" t="s">
        <v>22</v>
      </c>
      <c r="C12" s="85"/>
      <c r="D12" s="88"/>
      <c r="E12" s="83"/>
      <c r="F12" s="40"/>
      <c r="R12" s="44"/>
      <c r="S12" s="44"/>
    </row>
    <row r="13" spans="1:19" s="42" customFormat="1" ht="30.2" customHeight="1">
      <c r="A13" s="41"/>
      <c r="B13" s="84" t="s">
        <v>23</v>
      </c>
      <c r="C13" s="85"/>
      <c r="D13" s="88"/>
      <c r="E13" s="83"/>
      <c r="F13" s="40"/>
      <c r="R13" s="43"/>
      <c r="S13" s="43"/>
    </row>
    <row r="14" spans="1:19" s="42" customFormat="1" ht="20.45" customHeight="1">
      <c r="A14" s="41"/>
      <c r="B14" s="49"/>
      <c r="C14" s="50"/>
      <c r="D14" s="51"/>
      <c r="E14" s="39"/>
      <c r="F14" s="40"/>
      <c r="R14" s="43"/>
      <c r="S14" s="43"/>
    </row>
    <row r="15" spans="1:19" ht="27.2" customHeight="1">
      <c r="A15" s="89"/>
      <c r="F15" s="37"/>
    </row>
    <row r="16" spans="1:19" ht="18.399999999999999" customHeight="1">
      <c r="A16" s="89"/>
      <c r="F16" s="37"/>
    </row>
    <row r="17" spans="1:6" ht="30.2" customHeight="1">
      <c r="A17" s="62"/>
      <c r="B17" s="63"/>
      <c r="C17" s="63"/>
      <c r="D17" s="63"/>
      <c r="E17" s="63"/>
      <c r="F17" s="64"/>
    </row>
    <row r="18" spans="1:6" ht="30.2" customHeight="1"/>
    <row r="19" spans="1:6" ht="30.2" customHeight="1">
      <c r="D19" s="48">
        <f>SUM(D5:D17)</f>
        <v>0</v>
      </c>
    </row>
    <row r="20" spans="1:6" ht="30.2" customHeight="1"/>
    <row r="21" spans="1:6" ht="30.2" customHeight="1"/>
    <row r="22" spans="1:6" ht="30.2" customHeight="1"/>
  </sheetData>
  <mergeCells count="2">
    <mergeCell ref="A1:F1"/>
    <mergeCell ref="A2:F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5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S22"/>
  <sheetViews>
    <sheetView view="pageBreakPreview" zoomScaleNormal="100" workbookViewId="0">
      <selection activeCell="D10" sqref="D10"/>
    </sheetView>
  </sheetViews>
  <sheetFormatPr defaultColWidth="8.88671875" defaultRowHeight="16.5"/>
  <cols>
    <col min="1" max="1" width="15.77734375" style="25" customWidth="1"/>
    <col min="2" max="2" width="10.77734375" style="25" customWidth="1"/>
    <col min="3" max="3" width="30.77734375" style="25" customWidth="1"/>
    <col min="4" max="5" width="20.77734375" style="25" customWidth="1"/>
    <col min="6" max="6" width="14.44140625" style="25" customWidth="1"/>
    <col min="7" max="16384" width="8.88671875" style="25"/>
  </cols>
  <sheetData>
    <row r="1" spans="1:19" ht="50.1" customHeight="1">
      <c r="A1" s="392"/>
      <c r="B1" s="393"/>
      <c r="C1" s="393"/>
      <c r="D1" s="393"/>
      <c r="E1" s="393"/>
      <c r="F1" s="394"/>
    </row>
    <row r="2" spans="1:19" ht="30.2" customHeight="1">
      <c r="A2" s="389" t="s">
        <v>730</v>
      </c>
      <c r="B2" s="390"/>
      <c r="C2" s="390"/>
      <c r="D2" s="390"/>
      <c r="E2" s="390"/>
      <c r="F2" s="391"/>
    </row>
    <row r="3" spans="1:19" ht="30.2" customHeight="1">
      <c r="A3" s="38"/>
      <c r="B3" s="39"/>
      <c r="C3" s="39"/>
      <c r="D3" s="39"/>
      <c r="E3" s="39"/>
      <c r="F3" s="40"/>
    </row>
    <row r="4" spans="1:19" ht="30.2" customHeight="1">
      <c r="A4" s="38"/>
      <c r="B4" s="199" t="s">
        <v>7</v>
      </c>
      <c r="C4" s="199"/>
      <c r="D4" s="200" t="s">
        <v>82</v>
      </c>
      <c r="E4" s="201"/>
      <c r="F4" s="40"/>
    </row>
    <row r="5" spans="1:19" ht="30.2" customHeight="1">
      <c r="A5" s="38"/>
      <c r="B5" s="202" t="s">
        <v>21</v>
      </c>
      <c r="C5" s="203" t="s">
        <v>36</v>
      </c>
      <c r="D5" s="19" t="s">
        <v>37</v>
      </c>
      <c r="E5" s="201"/>
      <c r="F5" s="40"/>
    </row>
    <row r="6" spans="1:19" ht="30.2" customHeight="1">
      <c r="A6" s="38"/>
      <c r="B6" s="202" t="s">
        <v>0</v>
      </c>
      <c r="C6" s="203" t="s">
        <v>71</v>
      </c>
      <c r="D6" s="204">
        <v>18500000</v>
      </c>
      <c r="E6" s="201"/>
      <c r="F6" s="40"/>
    </row>
    <row r="7" spans="1:19" ht="30.2" customHeight="1">
      <c r="A7" s="38"/>
      <c r="B7" s="202" t="s">
        <v>38</v>
      </c>
      <c r="C7" s="203" t="s">
        <v>150</v>
      </c>
      <c r="D7" s="204" t="s">
        <v>151</v>
      </c>
      <c r="E7" s="201"/>
      <c r="F7" s="40"/>
    </row>
    <row r="8" spans="1:19" ht="30.2" customHeight="1">
      <c r="A8" s="38"/>
      <c r="B8" s="202" t="s">
        <v>1</v>
      </c>
      <c r="C8" s="203" t="s">
        <v>73</v>
      </c>
      <c r="D8" s="204" t="s">
        <v>152</v>
      </c>
      <c r="E8" s="201"/>
      <c r="F8" s="40"/>
    </row>
    <row r="9" spans="1:19" s="42" customFormat="1" ht="30.2" customHeight="1">
      <c r="A9" s="41"/>
      <c r="B9" s="202" t="s">
        <v>2</v>
      </c>
      <c r="C9" s="203" t="s">
        <v>153</v>
      </c>
      <c r="D9" s="204" t="s">
        <v>154</v>
      </c>
      <c r="E9" s="201"/>
      <c r="F9" s="40"/>
      <c r="R9" s="43"/>
      <c r="S9" s="43"/>
    </row>
    <row r="10" spans="1:19" s="42" customFormat="1" ht="30.2" customHeight="1">
      <c r="A10" s="41"/>
      <c r="B10" s="202" t="s">
        <v>39</v>
      </c>
      <c r="C10" s="203" t="s">
        <v>155</v>
      </c>
      <c r="D10" s="205"/>
      <c r="E10" s="201"/>
      <c r="F10" s="40"/>
      <c r="R10" s="43"/>
      <c r="S10" s="43"/>
    </row>
    <row r="11" spans="1:19" s="42" customFormat="1" ht="30.2" customHeight="1">
      <c r="A11" s="41"/>
      <c r="B11" s="202" t="s">
        <v>156</v>
      </c>
      <c r="C11" s="203" t="s">
        <v>157</v>
      </c>
      <c r="D11" s="205"/>
      <c r="E11" s="201"/>
      <c r="F11" s="40"/>
      <c r="R11" s="43"/>
      <c r="S11" s="43"/>
    </row>
    <row r="12" spans="1:19" ht="30.2" customHeight="1">
      <c r="A12" s="38"/>
      <c r="B12" s="202" t="s">
        <v>22</v>
      </c>
      <c r="C12" s="203" t="s">
        <v>158</v>
      </c>
      <c r="D12" s="206"/>
      <c r="E12" s="201"/>
      <c r="F12" s="40"/>
      <c r="R12" s="44"/>
      <c r="S12" s="44"/>
    </row>
    <row r="13" spans="1:19" s="42" customFormat="1" ht="30.2" customHeight="1">
      <c r="A13" s="41"/>
      <c r="B13" s="202" t="s">
        <v>23</v>
      </c>
      <c r="C13" s="203" t="s">
        <v>159</v>
      </c>
      <c r="D13" s="206">
        <v>0</v>
      </c>
      <c r="E13" s="201"/>
      <c r="F13" s="40"/>
      <c r="R13" s="43"/>
      <c r="S13" s="43"/>
    </row>
    <row r="14" spans="1:19" s="42" customFormat="1" ht="20.45" customHeight="1">
      <c r="A14" s="41"/>
      <c r="B14" s="49"/>
      <c r="C14" s="50"/>
      <c r="D14" s="51"/>
      <c r="E14" s="39"/>
      <c r="F14" s="40"/>
      <c r="R14" s="43"/>
      <c r="S14" s="43"/>
    </row>
    <row r="15" spans="1:19" ht="27.2" customHeight="1">
      <c r="A15" s="89"/>
      <c r="F15" s="37"/>
    </row>
    <row r="16" spans="1:19" ht="18.399999999999999" customHeight="1">
      <c r="A16" s="89"/>
      <c r="F16" s="37"/>
    </row>
    <row r="17" spans="1:6" ht="30.2" customHeight="1">
      <c r="A17" s="62"/>
      <c r="B17" s="63"/>
      <c r="C17" s="63"/>
      <c r="D17" s="63"/>
      <c r="E17" s="63"/>
      <c r="F17" s="64"/>
    </row>
    <row r="18" spans="1:6" ht="30.2" customHeight="1"/>
    <row r="19" spans="1:6" ht="30.2" customHeight="1">
      <c r="D19" s="204">
        <f>SUM(D6:D18)</f>
        <v>18500000</v>
      </c>
    </row>
    <row r="20" spans="1:6" ht="30.2" customHeight="1"/>
    <row r="21" spans="1:6" ht="30.2" customHeight="1"/>
    <row r="22" spans="1:6" ht="30.2" customHeight="1"/>
  </sheetData>
  <mergeCells count="2">
    <mergeCell ref="A1:F1"/>
    <mergeCell ref="A2:F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5" orientation="landscape" horizontalDpi="4294967293" verticalDpi="4294967293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S22"/>
  <sheetViews>
    <sheetView view="pageBreakPreview" zoomScaleNormal="100" workbookViewId="0">
      <selection activeCell="D10" sqref="D10"/>
    </sheetView>
  </sheetViews>
  <sheetFormatPr defaultColWidth="8.88671875" defaultRowHeight="16.5"/>
  <cols>
    <col min="1" max="1" width="15.77734375" style="25" customWidth="1"/>
    <col min="2" max="2" width="10.77734375" style="25" customWidth="1"/>
    <col min="3" max="3" width="30.77734375" style="25" customWidth="1"/>
    <col min="4" max="5" width="20.77734375" style="25" customWidth="1"/>
    <col min="6" max="6" width="14.44140625" style="25" customWidth="1"/>
    <col min="7" max="16384" width="8.88671875" style="25"/>
  </cols>
  <sheetData>
    <row r="1" spans="1:19" ht="50.1" customHeight="1">
      <c r="A1" s="392"/>
      <c r="B1" s="393"/>
      <c r="C1" s="393"/>
      <c r="D1" s="393"/>
      <c r="E1" s="393"/>
      <c r="F1" s="394"/>
    </row>
    <row r="2" spans="1:19" ht="30.2" customHeight="1">
      <c r="A2" s="389" t="s">
        <v>731</v>
      </c>
      <c r="B2" s="390"/>
      <c r="C2" s="390"/>
      <c r="D2" s="390"/>
      <c r="E2" s="390"/>
      <c r="F2" s="391"/>
    </row>
    <row r="3" spans="1:19" ht="30.2" customHeight="1">
      <c r="A3" s="38"/>
      <c r="B3" s="39"/>
      <c r="C3" s="39"/>
      <c r="D3" s="39"/>
      <c r="E3" s="39"/>
      <c r="F3" s="40"/>
    </row>
    <row r="4" spans="1:19" ht="30.2" customHeight="1">
      <c r="A4" s="38"/>
      <c r="B4" s="199" t="s">
        <v>7</v>
      </c>
      <c r="C4" s="199"/>
      <c r="D4" s="200" t="s">
        <v>82</v>
      </c>
      <c r="E4" s="201"/>
      <c r="F4" s="40"/>
    </row>
    <row r="5" spans="1:19" ht="30.2" customHeight="1">
      <c r="A5" s="38"/>
      <c r="B5" s="202" t="s">
        <v>21</v>
      </c>
      <c r="C5" s="203" t="s">
        <v>36</v>
      </c>
      <c r="D5" s="19" t="s">
        <v>37</v>
      </c>
      <c r="E5" s="201"/>
      <c r="F5" s="40"/>
    </row>
    <row r="6" spans="1:19" ht="30.2" customHeight="1">
      <c r="A6" s="38"/>
      <c r="B6" s="202" t="s">
        <v>0</v>
      </c>
      <c r="C6" s="203" t="s">
        <v>71</v>
      </c>
      <c r="D6" s="204">
        <v>785675000</v>
      </c>
      <c r="E6" s="201"/>
      <c r="F6" s="40"/>
    </row>
    <row r="7" spans="1:19" ht="30.2" customHeight="1">
      <c r="A7" s="38"/>
      <c r="B7" s="202" t="s">
        <v>38</v>
      </c>
      <c r="C7" s="203" t="s">
        <v>72</v>
      </c>
      <c r="D7" s="204" t="s">
        <v>80</v>
      </c>
      <c r="E7" s="201"/>
      <c r="F7" s="40"/>
    </row>
    <row r="8" spans="1:19" ht="30.2" customHeight="1">
      <c r="A8" s="38"/>
      <c r="B8" s="202" t="s">
        <v>1</v>
      </c>
      <c r="C8" s="203" t="s">
        <v>73</v>
      </c>
      <c r="D8" s="204" t="s">
        <v>80</v>
      </c>
      <c r="E8" s="201"/>
      <c r="F8" s="40"/>
    </row>
    <row r="9" spans="1:19" s="42" customFormat="1" ht="30.2" customHeight="1">
      <c r="A9" s="41"/>
      <c r="B9" s="202" t="s">
        <v>2</v>
      </c>
      <c r="C9" s="203" t="s">
        <v>74</v>
      </c>
      <c r="D9" s="204" t="s">
        <v>81</v>
      </c>
      <c r="E9" s="201"/>
      <c r="F9" s="40"/>
      <c r="R9" s="43"/>
      <c r="S9" s="43"/>
    </row>
    <row r="10" spans="1:19" s="42" customFormat="1" ht="30.2" customHeight="1">
      <c r="A10" s="41"/>
      <c r="B10" s="202" t="s">
        <v>39</v>
      </c>
      <c r="C10" s="203" t="s">
        <v>40</v>
      </c>
      <c r="D10" s="205">
        <f>+'4. 예산내역서'!D10</f>
        <v>0</v>
      </c>
      <c r="E10" s="201"/>
      <c r="F10" s="40"/>
      <c r="R10" s="43"/>
      <c r="S10" s="43"/>
    </row>
    <row r="11" spans="1:19" s="42" customFormat="1" ht="30.2" customHeight="1">
      <c r="A11" s="41"/>
      <c r="B11" s="202" t="s">
        <v>41</v>
      </c>
      <c r="C11" s="203" t="s">
        <v>143</v>
      </c>
      <c r="D11" s="205">
        <f>+'4. 예산내역서'!D11</f>
        <v>0</v>
      </c>
      <c r="E11" s="201"/>
      <c r="F11" s="40"/>
      <c r="R11" s="43"/>
      <c r="S11" s="43"/>
    </row>
    <row r="12" spans="1:19" ht="30.2" customHeight="1">
      <c r="A12" s="38"/>
      <c r="B12" s="202" t="s">
        <v>22</v>
      </c>
      <c r="C12" s="203" t="s">
        <v>42</v>
      </c>
      <c r="D12" s="205">
        <f>+'4. 예산내역서'!D12</f>
        <v>0</v>
      </c>
      <c r="E12" s="201"/>
      <c r="F12" s="40"/>
      <c r="R12" s="44"/>
      <c r="S12" s="44"/>
    </row>
    <row r="13" spans="1:19" s="42" customFormat="1" ht="30.2" customHeight="1">
      <c r="A13" s="41"/>
      <c r="B13" s="202" t="s">
        <v>23</v>
      </c>
      <c r="C13" s="203" t="s">
        <v>43</v>
      </c>
      <c r="D13" s="206">
        <v>0</v>
      </c>
      <c r="E13" s="201"/>
      <c r="F13" s="40"/>
      <c r="R13" s="43"/>
      <c r="S13" s="43"/>
    </row>
    <row r="14" spans="1:19" s="42" customFormat="1" ht="20.45" customHeight="1">
      <c r="A14" s="41"/>
      <c r="B14" s="49"/>
      <c r="C14" s="50"/>
      <c r="D14" s="51"/>
      <c r="E14" s="39"/>
      <c r="F14" s="40"/>
      <c r="R14" s="43"/>
      <c r="S14" s="43"/>
    </row>
    <row r="15" spans="1:19" ht="27.2" customHeight="1">
      <c r="A15" s="89"/>
      <c r="F15" s="37"/>
    </row>
    <row r="16" spans="1:19" ht="18.399999999999999" customHeight="1">
      <c r="A16" s="89"/>
      <c r="F16" s="37"/>
    </row>
    <row r="17" spans="1:6" ht="30.2" customHeight="1">
      <c r="A17" s="62"/>
      <c r="B17" s="63"/>
      <c r="C17" s="63"/>
      <c r="D17" s="63"/>
      <c r="E17" s="63"/>
      <c r="F17" s="64"/>
    </row>
    <row r="18" spans="1:6" ht="30.2" customHeight="1"/>
    <row r="19" spans="1:6" ht="30.2" customHeight="1">
      <c r="D19" s="204">
        <f>SUM(D6:D18)</f>
        <v>785675000</v>
      </c>
    </row>
    <row r="20" spans="1:6" ht="30.2" customHeight="1"/>
    <row r="21" spans="1:6" ht="30.2" customHeight="1"/>
    <row r="22" spans="1:6" ht="30.2" customHeight="1"/>
  </sheetData>
  <mergeCells count="2">
    <mergeCell ref="A1:F1"/>
    <mergeCell ref="A2:F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5" orientation="landscape" horizontalDpi="4294967293" vertic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S22"/>
  <sheetViews>
    <sheetView view="pageBreakPreview" zoomScaleNormal="100" workbookViewId="0">
      <selection activeCell="D10" sqref="D10"/>
    </sheetView>
  </sheetViews>
  <sheetFormatPr defaultColWidth="8.88671875" defaultRowHeight="16.5"/>
  <cols>
    <col min="1" max="1" width="15.77734375" style="25" customWidth="1"/>
    <col min="2" max="2" width="10.77734375" style="25" customWidth="1"/>
    <col min="3" max="3" width="30.77734375" style="25" customWidth="1"/>
    <col min="4" max="5" width="20.77734375" style="25" customWidth="1"/>
    <col min="6" max="6" width="14.44140625" style="25" customWidth="1"/>
    <col min="7" max="16384" width="8.88671875" style="25"/>
  </cols>
  <sheetData>
    <row r="1" spans="1:19" ht="50.1" customHeight="1">
      <c r="A1" s="392"/>
      <c r="B1" s="393"/>
      <c r="C1" s="393"/>
      <c r="D1" s="393"/>
      <c r="E1" s="393"/>
      <c r="F1" s="394"/>
    </row>
    <row r="2" spans="1:19" ht="30.2" customHeight="1">
      <c r="A2" s="389" t="s">
        <v>732</v>
      </c>
      <c r="B2" s="390"/>
      <c r="C2" s="390"/>
      <c r="D2" s="390"/>
      <c r="E2" s="390"/>
      <c r="F2" s="391"/>
    </row>
    <row r="3" spans="1:19" ht="30.2" customHeight="1">
      <c r="A3" s="38"/>
      <c r="B3" s="39"/>
      <c r="C3" s="39"/>
      <c r="D3" s="39"/>
      <c r="E3" s="39"/>
      <c r="F3" s="40"/>
    </row>
    <row r="4" spans="1:19" ht="30.2" customHeight="1">
      <c r="A4" s="38"/>
      <c r="B4" s="199" t="s">
        <v>7</v>
      </c>
      <c r="C4" s="199"/>
      <c r="D4" s="200" t="s">
        <v>82</v>
      </c>
      <c r="E4" s="201"/>
      <c r="F4" s="40"/>
    </row>
    <row r="5" spans="1:19" ht="30.2" customHeight="1">
      <c r="A5" s="38"/>
      <c r="B5" s="202" t="s">
        <v>21</v>
      </c>
      <c r="C5" s="203" t="s">
        <v>36</v>
      </c>
      <c r="D5" s="19" t="s">
        <v>37</v>
      </c>
      <c r="E5" s="201"/>
      <c r="F5" s="40"/>
    </row>
    <row r="6" spans="1:19" ht="30.2" customHeight="1">
      <c r="A6" s="38"/>
      <c r="B6" s="202" t="s">
        <v>0</v>
      </c>
      <c r="C6" s="203" t="s">
        <v>71</v>
      </c>
      <c r="D6" s="204"/>
      <c r="E6" s="201"/>
      <c r="F6" s="40"/>
    </row>
    <row r="7" spans="1:19" ht="30.2" customHeight="1">
      <c r="A7" s="38"/>
      <c r="B7" s="202" t="s">
        <v>38</v>
      </c>
      <c r="C7" s="203" t="s">
        <v>72</v>
      </c>
      <c r="D7" s="204" t="s">
        <v>80</v>
      </c>
      <c r="E7" s="201"/>
      <c r="F7" s="40"/>
    </row>
    <row r="8" spans="1:19" ht="30.2" customHeight="1">
      <c r="A8" s="38"/>
      <c r="B8" s="202" t="s">
        <v>1</v>
      </c>
      <c r="C8" s="203" t="s">
        <v>73</v>
      </c>
      <c r="D8" s="204" t="s">
        <v>80</v>
      </c>
      <c r="E8" s="201"/>
      <c r="F8" s="40"/>
    </row>
    <row r="9" spans="1:19" s="42" customFormat="1" ht="30.2" customHeight="1">
      <c r="A9" s="41"/>
      <c r="B9" s="202" t="s">
        <v>2</v>
      </c>
      <c r="C9" s="203" t="s">
        <v>74</v>
      </c>
      <c r="D9" s="204" t="s">
        <v>81</v>
      </c>
      <c r="E9" s="201"/>
      <c r="F9" s="40"/>
      <c r="R9" s="43"/>
      <c r="S9" s="43"/>
    </row>
    <row r="10" spans="1:19" s="42" customFormat="1" ht="30.2" customHeight="1">
      <c r="A10" s="41"/>
      <c r="B10" s="202" t="s">
        <v>39</v>
      </c>
      <c r="C10" s="203" t="s">
        <v>40</v>
      </c>
      <c r="D10" s="205"/>
      <c r="E10" s="201"/>
      <c r="F10" s="40"/>
      <c r="R10" s="43"/>
      <c r="S10" s="43"/>
    </row>
    <row r="11" spans="1:19" s="42" customFormat="1" ht="30.2" customHeight="1">
      <c r="A11" s="41"/>
      <c r="B11" s="202" t="s">
        <v>41</v>
      </c>
      <c r="C11" s="203" t="s">
        <v>143</v>
      </c>
      <c r="D11" s="205"/>
      <c r="E11" s="201"/>
      <c r="F11" s="40"/>
      <c r="R11" s="43"/>
      <c r="S11" s="43"/>
    </row>
    <row r="12" spans="1:19" ht="30.2" customHeight="1">
      <c r="A12" s="38"/>
      <c r="B12" s="202" t="s">
        <v>22</v>
      </c>
      <c r="C12" s="203" t="s">
        <v>42</v>
      </c>
      <c r="D12" s="206"/>
      <c r="E12" s="201"/>
      <c r="F12" s="40"/>
      <c r="R12" s="44"/>
      <c r="S12" s="44"/>
    </row>
    <row r="13" spans="1:19" s="42" customFormat="1" ht="30.2" customHeight="1">
      <c r="A13" s="41"/>
      <c r="B13" s="202" t="s">
        <v>23</v>
      </c>
      <c r="C13" s="203" t="s">
        <v>43</v>
      </c>
      <c r="D13" s="206">
        <v>0</v>
      </c>
      <c r="E13" s="201"/>
      <c r="F13" s="40"/>
      <c r="R13" s="43"/>
      <c r="S13" s="43"/>
    </row>
    <row r="14" spans="1:19" s="42" customFormat="1" ht="20.45" customHeight="1">
      <c r="A14" s="41"/>
      <c r="B14" s="49"/>
      <c r="C14" s="50"/>
      <c r="D14" s="51"/>
      <c r="E14" s="39"/>
      <c r="F14" s="40"/>
      <c r="R14" s="43"/>
      <c r="S14" s="43"/>
    </row>
    <row r="15" spans="1:19" ht="27.2" customHeight="1">
      <c r="A15" s="89"/>
      <c r="F15" s="37"/>
    </row>
    <row r="16" spans="1:19" ht="18.399999999999999" customHeight="1">
      <c r="A16" s="89"/>
      <c r="F16" s="37"/>
    </row>
    <row r="17" spans="1:6" ht="30.2" customHeight="1">
      <c r="A17" s="62"/>
      <c r="B17" s="63"/>
      <c r="C17" s="63"/>
      <c r="D17" s="63"/>
      <c r="E17" s="63"/>
      <c r="F17" s="64"/>
    </row>
    <row r="18" spans="1:6" ht="30.2" customHeight="1"/>
    <row r="19" spans="1:6" ht="30.2" customHeight="1">
      <c r="D19" s="204">
        <f>SUM(D6:D18)</f>
        <v>0</v>
      </c>
    </row>
    <row r="20" spans="1:6" ht="30.2" customHeight="1"/>
    <row r="21" spans="1:6" ht="30.2" customHeight="1"/>
    <row r="22" spans="1:6" ht="30.2" customHeight="1"/>
  </sheetData>
  <mergeCells count="2">
    <mergeCell ref="A1:F1"/>
    <mergeCell ref="A2:F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5" orientation="landscape" horizontalDpi="4294967293" verticalDpi="4294967293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S22"/>
  <sheetViews>
    <sheetView view="pageBreakPreview" zoomScaleNormal="100" workbookViewId="0">
      <selection activeCell="D10" sqref="D10"/>
    </sheetView>
  </sheetViews>
  <sheetFormatPr defaultColWidth="8.88671875" defaultRowHeight="16.5"/>
  <cols>
    <col min="1" max="1" width="15.77734375" style="25" customWidth="1"/>
    <col min="2" max="2" width="10.77734375" style="25" customWidth="1"/>
    <col min="3" max="3" width="30.77734375" style="25" customWidth="1"/>
    <col min="4" max="5" width="20.77734375" style="25" customWidth="1"/>
    <col min="6" max="6" width="14.44140625" style="25" customWidth="1"/>
    <col min="7" max="16384" width="8.88671875" style="25"/>
  </cols>
  <sheetData>
    <row r="1" spans="1:19" ht="50.1" customHeight="1">
      <c r="A1" s="392"/>
      <c r="B1" s="393"/>
      <c r="C1" s="393"/>
      <c r="D1" s="393"/>
      <c r="E1" s="393"/>
      <c r="F1" s="394"/>
    </row>
    <row r="2" spans="1:19" ht="30.2" customHeight="1">
      <c r="A2" s="389" t="s">
        <v>733</v>
      </c>
      <c r="B2" s="390"/>
      <c r="C2" s="390"/>
      <c r="D2" s="390"/>
      <c r="E2" s="390"/>
      <c r="F2" s="391"/>
    </row>
    <row r="3" spans="1:19" ht="30.2" customHeight="1">
      <c r="A3" s="38"/>
      <c r="B3" s="39"/>
      <c r="C3" s="39"/>
      <c r="D3" s="39"/>
      <c r="E3" s="39"/>
      <c r="F3" s="40"/>
    </row>
    <row r="4" spans="1:19" ht="30.2" customHeight="1">
      <c r="A4" s="38"/>
      <c r="B4" s="199" t="s">
        <v>7</v>
      </c>
      <c r="C4" s="199"/>
      <c r="D4" s="200" t="s">
        <v>82</v>
      </c>
      <c r="E4" s="201"/>
      <c r="F4" s="40"/>
    </row>
    <row r="5" spans="1:19" ht="30.2" customHeight="1">
      <c r="A5" s="38"/>
      <c r="B5" s="202" t="s">
        <v>21</v>
      </c>
      <c r="C5" s="203" t="s">
        <v>36</v>
      </c>
      <c r="D5" s="19" t="s">
        <v>37</v>
      </c>
      <c r="E5" s="201"/>
      <c r="F5" s="40"/>
    </row>
    <row r="6" spans="1:19" ht="30.2" customHeight="1">
      <c r="A6" s="38"/>
      <c r="B6" s="202" t="s">
        <v>0</v>
      </c>
      <c r="C6" s="203" t="s">
        <v>71</v>
      </c>
      <c r="D6" s="204"/>
      <c r="E6" s="201"/>
      <c r="F6" s="40"/>
    </row>
    <row r="7" spans="1:19" ht="30.2" customHeight="1">
      <c r="A7" s="38"/>
      <c r="B7" s="202" t="s">
        <v>38</v>
      </c>
      <c r="C7" s="203" t="s">
        <v>72</v>
      </c>
      <c r="D7" s="204" t="s">
        <v>80</v>
      </c>
      <c r="E7" s="201"/>
      <c r="F7" s="40"/>
    </row>
    <row r="8" spans="1:19" ht="30.2" customHeight="1">
      <c r="A8" s="38"/>
      <c r="B8" s="202" t="s">
        <v>1</v>
      </c>
      <c r="C8" s="203" t="s">
        <v>73</v>
      </c>
      <c r="D8" s="204" t="s">
        <v>80</v>
      </c>
      <c r="E8" s="201"/>
      <c r="F8" s="40"/>
    </row>
    <row r="9" spans="1:19" s="42" customFormat="1" ht="30.2" customHeight="1">
      <c r="A9" s="41"/>
      <c r="B9" s="202" t="s">
        <v>2</v>
      </c>
      <c r="C9" s="203" t="s">
        <v>74</v>
      </c>
      <c r="D9" s="204" t="s">
        <v>81</v>
      </c>
      <c r="E9" s="201"/>
      <c r="F9" s="40"/>
      <c r="R9" s="43"/>
      <c r="S9" s="43"/>
    </row>
    <row r="10" spans="1:19" s="42" customFormat="1" ht="30.2" customHeight="1">
      <c r="A10" s="41"/>
      <c r="B10" s="202" t="s">
        <v>39</v>
      </c>
      <c r="C10" s="203" t="s">
        <v>40</v>
      </c>
      <c r="D10" s="205"/>
      <c r="E10" s="201"/>
      <c r="F10" s="40"/>
      <c r="R10" s="43"/>
      <c r="S10" s="43"/>
    </row>
    <row r="11" spans="1:19" s="42" customFormat="1" ht="30.2" customHeight="1">
      <c r="A11" s="41"/>
      <c r="B11" s="202" t="s">
        <v>41</v>
      </c>
      <c r="C11" s="203" t="s">
        <v>143</v>
      </c>
      <c r="D11" s="205"/>
      <c r="E11" s="201"/>
      <c r="F11" s="40"/>
      <c r="R11" s="43"/>
      <c r="S11" s="43"/>
    </row>
    <row r="12" spans="1:19" ht="30.2" customHeight="1">
      <c r="A12" s="38"/>
      <c r="B12" s="202" t="s">
        <v>22</v>
      </c>
      <c r="C12" s="203" t="s">
        <v>42</v>
      </c>
      <c r="D12" s="206"/>
      <c r="E12" s="201"/>
      <c r="F12" s="40"/>
      <c r="R12" s="44"/>
      <c r="S12" s="44"/>
    </row>
    <row r="13" spans="1:19" s="42" customFormat="1" ht="30.2" customHeight="1">
      <c r="A13" s="41"/>
      <c r="B13" s="202" t="s">
        <v>23</v>
      </c>
      <c r="C13" s="203" t="s">
        <v>43</v>
      </c>
      <c r="D13" s="206">
        <v>0</v>
      </c>
      <c r="E13" s="201"/>
      <c r="F13" s="40"/>
      <c r="R13" s="43"/>
      <c r="S13" s="43"/>
    </row>
    <row r="14" spans="1:19" s="42" customFormat="1" ht="20.45" customHeight="1">
      <c r="A14" s="41"/>
      <c r="B14" s="49"/>
      <c r="C14" s="50"/>
      <c r="D14" s="51"/>
      <c r="E14" s="39"/>
      <c r="F14" s="40"/>
      <c r="R14" s="43"/>
      <c r="S14" s="43"/>
    </row>
    <row r="15" spans="1:19" ht="27.2" customHeight="1">
      <c r="A15" s="89"/>
      <c r="F15" s="37"/>
    </row>
    <row r="16" spans="1:19" ht="18.399999999999999" customHeight="1">
      <c r="A16" s="89"/>
      <c r="F16" s="37"/>
    </row>
    <row r="17" spans="1:6" ht="30.2" customHeight="1">
      <c r="A17" s="62"/>
      <c r="B17" s="63"/>
      <c r="C17" s="63"/>
      <c r="D17" s="63"/>
      <c r="E17" s="63"/>
      <c r="F17" s="64"/>
    </row>
    <row r="18" spans="1:6" ht="30.2" customHeight="1"/>
    <row r="19" spans="1:6" ht="30.2" customHeight="1">
      <c r="D19" s="204">
        <f>SUM(D6:D18)</f>
        <v>0</v>
      </c>
    </row>
    <row r="20" spans="1:6" ht="30.2" customHeight="1"/>
    <row r="21" spans="1:6" ht="30.2" customHeight="1"/>
    <row r="22" spans="1:6" ht="30.2" customHeight="1"/>
  </sheetData>
  <mergeCells count="2">
    <mergeCell ref="A1:F1"/>
    <mergeCell ref="A2:F2"/>
  </mergeCells>
  <phoneticPr fontId="2" type="noConversion"/>
  <printOptions horizontalCentered="1"/>
  <pageMargins left="0.78740157480314965" right="0.59055118110236227" top="0.78740157480314965" bottom="0.39370078740157483" header="0.39370078740157483" footer="0.39370078740157483"/>
  <pageSetup paperSize="9" scale="95" orientation="landscape" horizontalDpi="4294967293" verticalDpi="4294967293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A1:J254"/>
  <sheetViews>
    <sheetView showZeros="0" view="pageBreakPreview" zoomScaleNormal="100" zoomScaleSheetLayoutView="100" workbookViewId="0">
      <pane ySplit="2" topLeftCell="A3" activePane="bottomLeft" state="frozen"/>
      <selection activeCell="D22" sqref="D22"/>
      <selection pane="bottomLeft" activeCell="B3" sqref="B3"/>
    </sheetView>
  </sheetViews>
  <sheetFormatPr defaultRowHeight="24.95" customHeight="1"/>
  <cols>
    <col min="1" max="1" width="29" style="35" customWidth="1"/>
    <col min="2" max="2" width="29.33203125" style="35" customWidth="1"/>
    <col min="3" max="3" width="7.33203125" style="36" customWidth="1"/>
    <col min="4" max="4" width="11.109375" style="36" customWidth="1"/>
    <col min="5" max="5" width="15.109375" style="25" customWidth="1"/>
    <col min="6" max="6" width="16.33203125" style="25" customWidth="1"/>
    <col min="7" max="7" width="13.21875" style="37" customWidth="1"/>
    <col min="8" max="8" width="10.44140625" style="25" bestFit="1" customWidth="1"/>
    <col min="9" max="10" width="9.5546875" style="25" bestFit="1" customWidth="1"/>
    <col min="11" max="16384" width="8.88671875" style="25"/>
  </cols>
  <sheetData>
    <row r="1" spans="1:10" ht="27.95" customHeight="1">
      <c r="A1" s="395" t="s">
        <v>816</v>
      </c>
      <c r="B1" s="395"/>
      <c r="C1" s="395"/>
      <c r="D1" s="395"/>
      <c r="E1" s="395"/>
      <c r="F1" s="395"/>
      <c r="G1" s="395"/>
    </row>
    <row r="2" spans="1:10" s="26" customFormat="1" ht="18.95" customHeight="1">
      <c r="A2" s="207" t="s">
        <v>44</v>
      </c>
      <c r="B2" s="207" t="s">
        <v>8</v>
      </c>
      <c r="C2" s="207" t="s">
        <v>3</v>
      </c>
      <c r="D2" s="207" t="s">
        <v>9</v>
      </c>
      <c r="E2" s="207" t="s">
        <v>10</v>
      </c>
      <c r="F2" s="207" t="s">
        <v>11</v>
      </c>
      <c r="G2" s="207" t="s">
        <v>12</v>
      </c>
    </row>
    <row r="3" spans="1:10" s="34" customFormat="1" ht="18.95" customHeight="1">
      <c r="A3" s="281" t="s">
        <v>822</v>
      </c>
      <c r="B3" s="179"/>
      <c r="C3" s="178"/>
      <c r="D3" s="180"/>
      <c r="E3" s="145"/>
      <c r="F3" s="32"/>
      <c r="G3" s="33"/>
      <c r="I3" s="77"/>
      <c r="J3" s="78"/>
    </row>
    <row r="4" spans="1:10" s="34" customFormat="1" ht="18.95" customHeight="1">
      <c r="A4" s="173" t="s">
        <v>882</v>
      </c>
      <c r="B4" s="173" t="s">
        <v>884</v>
      </c>
      <c r="C4" s="174" t="s">
        <v>177</v>
      </c>
      <c r="D4" s="181">
        <v>188</v>
      </c>
      <c r="E4" s="17"/>
      <c r="F4" s="32"/>
      <c r="G4" s="18"/>
      <c r="I4" s="77"/>
      <c r="J4" s="78"/>
    </row>
    <row r="5" spans="1:10" s="34" customFormat="1" ht="18.95" customHeight="1">
      <c r="A5" s="325" t="s">
        <v>885</v>
      </c>
      <c r="B5" s="305" t="s">
        <v>883</v>
      </c>
      <c r="C5" s="324" t="s">
        <v>177</v>
      </c>
      <c r="D5" s="327">
        <v>12</v>
      </c>
      <c r="E5" s="17"/>
      <c r="F5" s="32"/>
      <c r="G5" s="18"/>
      <c r="I5" s="77"/>
      <c r="J5" s="78"/>
    </row>
    <row r="6" spans="1:10" s="34" customFormat="1" ht="18.95" customHeight="1">
      <c r="A6" s="325" t="s">
        <v>886</v>
      </c>
      <c r="B6" s="305" t="s">
        <v>912</v>
      </c>
      <c r="C6" s="324" t="s">
        <v>177</v>
      </c>
      <c r="D6" s="327">
        <v>196</v>
      </c>
      <c r="E6" s="17"/>
      <c r="F6" s="32"/>
      <c r="G6" s="18"/>
      <c r="I6" s="77"/>
      <c r="J6" s="78"/>
    </row>
    <row r="7" spans="1:10" s="34" customFormat="1" ht="18.95" customHeight="1">
      <c r="A7" s="325" t="s">
        <v>887</v>
      </c>
      <c r="B7" s="305" t="s">
        <v>912</v>
      </c>
      <c r="C7" s="324" t="s">
        <v>177</v>
      </c>
      <c r="D7" s="327">
        <v>152</v>
      </c>
      <c r="E7" s="17"/>
      <c r="F7" s="32"/>
      <c r="G7" s="18"/>
      <c r="I7" s="77"/>
      <c r="J7" s="78"/>
    </row>
    <row r="8" spans="1:10" s="34" customFormat="1" ht="18.95" customHeight="1">
      <c r="A8" s="325" t="s">
        <v>888</v>
      </c>
      <c r="B8" s="305" t="s">
        <v>913</v>
      </c>
      <c r="C8" s="324" t="s">
        <v>177</v>
      </c>
      <c r="D8" s="327">
        <v>47</v>
      </c>
      <c r="E8" s="17"/>
      <c r="F8" s="32"/>
      <c r="G8" s="18"/>
    </row>
    <row r="9" spans="1:10" s="34" customFormat="1" ht="18.95" customHeight="1">
      <c r="A9" s="325" t="s">
        <v>889</v>
      </c>
      <c r="B9" s="305" t="s">
        <v>914</v>
      </c>
      <c r="C9" s="324" t="s">
        <v>177</v>
      </c>
      <c r="D9" s="327">
        <v>125</v>
      </c>
      <c r="E9" s="17"/>
      <c r="F9" s="16"/>
      <c r="G9" s="18"/>
      <c r="I9" s="77"/>
      <c r="J9" s="78"/>
    </row>
    <row r="10" spans="1:10" s="34" customFormat="1" ht="18.95" customHeight="1">
      <c r="A10" s="325" t="s">
        <v>890</v>
      </c>
      <c r="B10" s="305" t="s">
        <v>915</v>
      </c>
      <c r="C10" s="324" t="s">
        <v>75</v>
      </c>
      <c r="D10" s="327">
        <v>1</v>
      </c>
      <c r="E10" s="17"/>
      <c r="F10" s="32"/>
      <c r="G10" s="18"/>
      <c r="I10" s="77"/>
      <c r="J10" s="78"/>
    </row>
    <row r="11" spans="1:10" s="34" customFormat="1" ht="18.95" customHeight="1">
      <c r="A11" s="325" t="s">
        <v>891</v>
      </c>
      <c r="B11" s="305" t="s">
        <v>916</v>
      </c>
      <c r="C11" s="324" t="s">
        <v>85</v>
      </c>
      <c r="D11" s="327">
        <v>1</v>
      </c>
      <c r="E11" s="17"/>
      <c r="F11" s="32"/>
      <c r="G11" s="18"/>
      <c r="I11" s="77"/>
      <c r="J11" s="78"/>
    </row>
    <row r="12" spans="1:10" s="34" customFormat="1" ht="18.95" customHeight="1">
      <c r="A12" s="325" t="s">
        <v>892</v>
      </c>
      <c r="B12" s="305" t="s">
        <v>917</v>
      </c>
      <c r="C12" s="324" t="s">
        <v>215</v>
      </c>
      <c r="D12" s="327">
        <v>1</v>
      </c>
      <c r="E12" s="17"/>
      <c r="F12" s="32"/>
      <c r="G12" s="18"/>
      <c r="I12" s="77"/>
      <c r="J12" s="78"/>
    </row>
    <row r="13" spans="1:10" s="34" customFormat="1" ht="18.95" customHeight="1">
      <c r="A13" s="325" t="s">
        <v>893</v>
      </c>
      <c r="B13" s="305" t="s">
        <v>918</v>
      </c>
      <c r="C13" s="324" t="s">
        <v>1081</v>
      </c>
      <c r="D13" s="327">
        <v>1</v>
      </c>
      <c r="E13" s="17"/>
      <c r="F13" s="32"/>
      <c r="G13" s="18"/>
      <c r="I13" s="77"/>
      <c r="J13" s="78"/>
    </row>
    <row r="14" spans="1:10" s="34" customFormat="1" ht="18.95" customHeight="1">
      <c r="A14" s="325" t="s">
        <v>894</v>
      </c>
      <c r="B14" s="305" t="s">
        <v>919</v>
      </c>
      <c r="C14" s="324" t="s">
        <v>6</v>
      </c>
      <c r="D14" s="327">
        <v>1</v>
      </c>
      <c r="E14" s="17"/>
      <c r="F14" s="32"/>
      <c r="G14" s="18"/>
      <c r="I14" s="77"/>
      <c r="J14" s="78"/>
    </row>
    <row r="15" spans="1:10" s="34" customFormat="1" ht="18.95" customHeight="1">
      <c r="A15" s="325" t="s">
        <v>895</v>
      </c>
      <c r="B15" s="305" t="s">
        <v>920</v>
      </c>
      <c r="C15" s="324" t="s">
        <v>177</v>
      </c>
      <c r="D15" s="327">
        <v>10</v>
      </c>
      <c r="E15" s="17"/>
      <c r="F15" s="32"/>
      <c r="G15" s="18"/>
      <c r="I15" s="77"/>
      <c r="J15" s="78"/>
    </row>
    <row r="16" spans="1:10" s="34" customFormat="1" ht="18.95" customHeight="1">
      <c r="A16" s="325" t="s">
        <v>896</v>
      </c>
      <c r="B16" s="305" t="s">
        <v>921</v>
      </c>
      <c r="C16" s="324" t="s">
        <v>177</v>
      </c>
      <c r="D16" s="327">
        <v>34</v>
      </c>
      <c r="E16" s="17"/>
      <c r="F16" s="32"/>
      <c r="G16" s="18"/>
      <c r="I16" s="77"/>
      <c r="J16" s="78"/>
    </row>
    <row r="17" spans="1:10" s="34" customFormat="1" ht="18.95" customHeight="1">
      <c r="A17" s="325" t="s">
        <v>897</v>
      </c>
      <c r="B17" s="305" t="s">
        <v>922</v>
      </c>
      <c r="C17" s="324" t="s">
        <v>177</v>
      </c>
      <c r="D17" s="327">
        <v>33</v>
      </c>
      <c r="E17" s="17"/>
      <c r="F17" s="32"/>
      <c r="G17" s="18"/>
      <c r="I17" s="77"/>
      <c r="J17" s="78"/>
    </row>
    <row r="18" spans="1:10" s="34" customFormat="1" ht="18.95" customHeight="1">
      <c r="A18" s="325" t="s">
        <v>863</v>
      </c>
      <c r="B18" s="305" t="s">
        <v>923</v>
      </c>
      <c r="C18" s="324" t="s">
        <v>177</v>
      </c>
      <c r="D18" s="327">
        <v>136</v>
      </c>
      <c r="E18" s="17"/>
      <c r="F18" s="32"/>
      <c r="G18" s="18"/>
      <c r="I18" s="77"/>
      <c r="J18" s="78"/>
    </row>
    <row r="19" spans="1:10" s="34" customFormat="1" ht="18.95" customHeight="1">
      <c r="A19" s="325" t="s">
        <v>898</v>
      </c>
      <c r="B19" s="305" t="s">
        <v>924</v>
      </c>
      <c r="C19" s="324" t="s">
        <v>177</v>
      </c>
      <c r="D19" s="327">
        <v>34</v>
      </c>
      <c r="E19" s="17"/>
      <c r="F19" s="32"/>
      <c r="G19" s="18"/>
      <c r="I19" s="77"/>
      <c r="J19" s="78"/>
    </row>
    <row r="20" spans="1:10" s="34" customFormat="1" ht="18.95" customHeight="1">
      <c r="A20" s="325" t="s">
        <v>899</v>
      </c>
      <c r="B20" s="305" t="s">
        <v>924</v>
      </c>
      <c r="C20" s="324" t="s">
        <v>177</v>
      </c>
      <c r="D20" s="327">
        <v>10</v>
      </c>
      <c r="E20" s="17"/>
      <c r="F20" s="32"/>
      <c r="G20" s="18"/>
      <c r="I20" s="77"/>
      <c r="J20" s="78"/>
    </row>
    <row r="21" spans="1:10" s="320" customFormat="1" ht="18.95" customHeight="1">
      <c r="A21" s="325" t="s">
        <v>900</v>
      </c>
      <c r="B21" s="305" t="s">
        <v>925</v>
      </c>
      <c r="C21" s="324" t="s">
        <v>177</v>
      </c>
      <c r="D21" s="327">
        <v>32</v>
      </c>
      <c r="E21" s="17"/>
      <c r="F21" s="32"/>
      <c r="G21" s="18"/>
      <c r="I21" s="77"/>
      <c r="J21" s="78"/>
    </row>
    <row r="22" spans="1:10" s="320" customFormat="1" ht="18.95" customHeight="1">
      <c r="A22" s="325" t="s">
        <v>901</v>
      </c>
      <c r="B22" s="305" t="s">
        <v>925</v>
      </c>
      <c r="C22" s="324" t="s">
        <v>177</v>
      </c>
      <c r="D22" s="327">
        <v>10</v>
      </c>
      <c r="E22" s="17"/>
      <c r="F22" s="32"/>
      <c r="G22" s="18"/>
      <c r="I22" s="77"/>
      <c r="J22" s="78"/>
    </row>
    <row r="23" spans="1:10" s="320" customFormat="1" ht="18.95" customHeight="1">
      <c r="A23" s="325" t="s">
        <v>902</v>
      </c>
      <c r="B23" s="305" t="s">
        <v>926</v>
      </c>
      <c r="C23" s="324" t="s">
        <v>177</v>
      </c>
      <c r="D23" s="327">
        <v>34</v>
      </c>
      <c r="E23" s="17"/>
      <c r="F23" s="32"/>
      <c r="G23" s="18"/>
      <c r="I23" s="77"/>
      <c r="J23" s="78"/>
    </row>
    <row r="24" spans="1:10" s="320" customFormat="1" ht="18.95" customHeight="1">
      <c r="A24" s="325" t="s">
        <v>903</v>
      </c>
      <c r="B24" s="305" t="s">
        <v>927</v>
      </c>
      <c r="C24" s="324" t="s">
        <v>177</v>
      </c>
      <c r="D24" s="327">
        <v>86</v>
      </c>
      <c r="E24" s="17"/>
      <c r="F24" s="32"/>
      <c r="G24" s="18"/>
      <c r="I24" s="77"/>
      <c r="J24" s="78"/>
    </row>
    <row r="25" spans="1:10" s="320" customFormat="1" ht="18.95" customHeight="1">
      <c r="A25" s="325" t="s">
        <v>904</v>
      </c>
      <c r="B25" s="305" t="s">
        <v>928</v>
      </c>
      <c r="C25" s="324" t="s">
        <v>75</v>
      </c>
      <c r="D25" s="327">
        <v>1</v>
      </c>
      <c r="E25" s="17"/>
      <c r="F25" s="32"/>
      <c r="G25" s="18"/>
      <c r="I25" s="77"/>
      <c r="J25" s="78"/>
    </row>
    <row r="26" spans="1:10" s="320" customFormat="1" ht="18.95" customHeight="1">
      <c r="A26" s="325" t="s">
        <v>905</v>
      </c>
      <c r="B26" s="305" t="s">
        <v>929</v>
      </c>
      <c r="C26" s="324" t="s">
        <v>75</v>
      </c>
      <c r="D26" s="327">
        <v>1</v>
      </c>
      <c r="E26" s="17"/>
      <c r="F26" s="32"/>
      <c r="G26" s="18"/>
      <c r="I26" s="77"/>
      <c r="J26" s="78"/>
    </row>
    <row r="27" spans="1:10" s="320" customFormat="1" ht="18.95" customHeight="1">
      <c r="A27" s="325" t="s">
        <v>906</v>
      </c>
      <c r="B27" s="305" t="s">
        <v>838</v>
      </c>
      <c r="C27" s="324" t="s">
        <v>85</v>
      </c>
      <c r="D27" s="327">
        <v>1</v>
      </c>
      <c r="E27" s="17"/>
      <c r="F27" s="32"/>
      <c r="G27" s="18"/>
      <c r="I27" s="77"/>
      <c r="J27" s="78"/>
    </row>
    <row r="28" spans="1:10" s="320" customFormat="1" ht="18.95" customHeight="1">
      <c r="A28" s="325" t="s">
        <v>907</v>
      </c>
      <c r="B28" s="305" t="s">
        <v>930</v>
      </c>
      <c r="C28" s="324" t="s">
        <v>85</v>
      </c>
      <c r="D28" s="327">
        <v>3</v>
      </c>
      <c r="E28" s="17"/>
      <c r="F28" s="32"/>
      <c r="G28" s="18"/>
      <c r="I28" s="77"/>
      <c r="J28" s="78"/>
    </row>
    <row r="29" spans="1:10" s="320" customFormat="1" ht="18.95" customHeight="1">
      <c r="A29" s="325" t="s">
        <v>908</v>
      </c>
      <c r="B29" s="305" t="s">
        <v>931</v>
      </c>
      <c r="C29" s="324" t="s">
        <v>95</v>
      </c>
      <c r="D29" s="327">
        <v>1</v>
      </c>
      <c r="E29" s="17"/>
      <c r="F29" s="32"/>
      <c r="G29" s="18"/>
      <c r="I29" s="77"/>
      <c r="J29" s="78"/>
    </row>
    <row r="30" spans="1:10" s="320" customFormat="1" ht="18.95" customHeight="1">
      <c r="A30" s="325" t="s">
        <v>909</v>
      </c>
      <c r="B30" s="305" t="s">
        <v>932</v>
      </c>
      <c r="C30" s="324" t="s">
        <v>95</v>
      </c>
      <c r="D30" s="327">
        <v>22.6666666666667</v>
      </c>
      <c r="E30" s="17"/>
      <c r="F30" s="32"/>
      <c r="G30" s="18"/>
      <c r="I30" s="77"/>
      <c r="J30" s="78"/>
    </row>
    <row r="31" spans="1:10" s="320" customFormat="1" ht="18.95" customHeight="1">
      <c r="A31" s="325" t="s">
        <v>910</v>
      </c>
      <c r="B31" s="305" t="s">
        <v>933</v>
      </c>
      <c r="C31" s="324" t="s">
        <v>95</v>
      </c>
      <c r="D31" s="327">
        <v>2</v>
      </c>
      <c r="E31" s="17"/>
      <c r="F31" s="32"/>
      <c r="G31" s="18"/>
      <c r="I31" s="77"/>
      <c r="J31" s="78"/>
    </row>
    <row r="32" spans="1:10" s="320" customFormat="1" ht="18.95" customHeight="1">
      <c r="A32" s="325" t="s">
        <v>911</v>
      </c>
      <c r="B32" s="305" t="s">
        <v>934</v>
      </c>
      <c r="C32" s="324" t="s">
        <v>95</v>
      </c>
      <c r="D32" s="327">
        <v>16</v>
      </c>
      <c r="E32" s="17"/>
      <c r="F32" s="32"/>
      <c r="G32" s="18"/>
      <c r="I32" s="77"/>
      <c r="J32" s="78"/>
    </row>
    <row r="33" spans="1:10" s="320" customFormat="1" ht="18.95" customHeight="1">
      <c r="A33" s="173"/>
      <c r="B33" s="173"/>
      <c r="C33" s="174"/>
      <c r="D33" s="181"/>
      <c r="E33" s="17"/>
      <c r="F33" s="32"/>
      <c r="G33" s="18"/>
      <c r="I33" s="77"/>
      <c r="J33" s="78"/>
    </row>
    <row r="34" spans="1:10" s="320" customFormat="1" ht="18.95" customHeight="1">
      <c r="A34" s="173"/>
      <c r="B34" s="173"/>
      <c r="C34" s="174"/>
      <c r="D34" s="181"/>
      <c r="E34" s="17"/>
      <c r="F34" s="32"/>
      <c r="G34" s="18"/>
      <c r="I34" s="77"/>
      <c r="J34" s="78"/>
    </row>
    <row r="35" spans="1:10" s="320" customFormat="1" ht="18.95" customHeight="1">
      <c r="A35" s="173"/>
      <c r="B35" s="173"/>
      <c r="C35" s="174"/>
      <c r="D35" s="181"/>
      <c r="E35" s="17"/>
      <c r="F35" s="32"/>
      <c r="G35" s="18"/>
      <c r="I35" s="77"/>
      <c r="J35" s="78"/>
    </row>
    <row r="36" spans="1:10" s="320" customFormat="1" ht="18.95" customHeight="1">
      <c r="A36" s="173"/>
      <c r="B36" s="173"/>
      <c r="C36" s="174"/>
      <c r="D36" s="181"/>
      <c r="E36" s="17"/>
      <c r="F36" s="32"/>
      <c r="G36" s="18"/>
      <c r="I36" s="77"/>
      <c r="J36" s="78"/>
    </row>
    <row r="37" spans="1:10" s="320" customFormat="1" ht="18.95" customHeight="1">
      <c r="A37" s="173"/>
      <c r="B37" s="173"/>
      <c r="C37" s="174"/>
      <c r="D37" s="181"/>
      <c r="E37" s="17"/>
      <c r="F37" s="32"/>
      <c r="G37" s="18"/>
      <c r="I37" s="77"/>
      <c r="J37" s="78"/>
    </row>
    <row r="38" spans="1:10" s="320" customFormat="1" ht="18.95" customHeight="1">
      <c r="A38" s="173"/>
      <c r="B38" s="173"/>
      <c r="C38" s="174"/>
      <c r="D38" s="181"/>
      <c r="E38" s="17"/>
      <c r="F38" s="32"/>
      <c r="G38" s="18"/>
      <c r="I38" s="77"/>
      <c r="J38" s="78"/>
    </row>
    <row r="39" spans="1:10" s="320" customFormat="1" ht="18.95" customHeight="1">
      <c r="A39" s="173"/>
      <c r="B39" s="173"/>
      <c r="C39" s="174"/>
      <c r="D39" s="181"/>
      <c r="E39" s="17"/>
      <c r="F39" s="32"/>
      <c r="G39" s="18"/>
      <c r="I39" s="77"/>
      <c r="J39" s="78"/>
    </row>
    <row r="40" spans="1:10" s="320" customFormat="1" ht="18.95" customHeight="1">
      <c r="A40" s="173"/>
      <c r="B40" s="173"/>
      <c r="C40" s="174"/>
      <c r="D40" s="181"/>
      <c r="E40" s="17"/>
      <c r="F40" s="32"/>
      <c r="G40" s="18"/>
      <c r="I40" s="77"/>
      <c r="J40" s="78"/>
    </row>
    <row r="41" spans="1:10" s="34" customFormat="1" ht="18.95" customHeight="1">
      <c r="A41" s="173"/>
      <c r="B41" s="173"/>
      <c r="C41" s="174"/>
      <c r="D41" s="181"/>
      <c r="E41" s="17"/>
      <c r="F41" s="32"/>
      <c r="G41" s="18"/>
      <c r="I41" s="77"/>
      <c r="J41" s="78"/>
    </row>
    <row r="42" spans="1:10" s="34" customFormat="1" ht="18.95" customHeight="1">
      <c r="A42" s="173"/>
      <c r="B42" s="173"/>
      <c r="C42" s="174"/>
      <c r="D42" s="181"/>
      <c r="E42" s="17"/>
      <c r="F42" s="32"/>
      <c r="G42" s="18"/>
      <c r="I42" s="77"/>
      <c r="J42" s="78"/>
    </row>
    <row r="43" spans="1:10" s="34" customFormat="1" ht="18.95" customHeight="1">
      <c r="A43" s="173"/>
      <c r="B43" s="173"/>
      <c r="C43" s="174"/>
      <c r="D43" s="181"/>
      <c r="E43" s="17"/>
      <c r="F43" s="32"/>
      <c r="G43" s="18"/>
      <c r="I43" s="77"/>
      <c r="J43" s="78"/>
    </row>
    <row r="44" spans="1:10" s="34" customFormat="1" ht="18.95" customHeight="1">
      <c r="A44" s="173"/>
      <c r="B44" s="173"/>
      <c r="C44" s="174"/>
      <c r="D44" s="181"/>
      <c r="E44" s="17"/>
      <c r="F44" s="32"/>
      <c r="G44" s="18"/>
      <c r="I44" s="77"/>
      <c r="J44" s="78"/>
    </row>
    <row r="45" spans="1:10" s="34" customFormat="1" ht="18.95" customHeight="1">
      <c r="A45" s="173"/>
      <c r="B45" s="173"/>
      <c r="C45" s="174"/>
      <c r="D45" s="181"/>
      <c r="E45" s="17"/>
      <c r="F45" s="32"/>
      <c r="G45" s="18"/>
      <c r="I45" s="77"/>
      <c r="J45" s="78"/>
    </row>
    <row r="46" spans="1:10" s="320" customFormat="1" ht="18.95" customHeight="1">
      <c r="A46" s="173"/>
      <c r="B46" s="173"/>
      <c r="C46" s="174"/>
      <c r="D46" s="181"/>
      <c r="E46" s="17"/>
      <c r="F46" s="32"/>
      <c r="G46" s="18"/>
      <c r="I46" s="77"/>
      <c r="J46" s="78"/>
    </row>
    <row r="47" spans="1:10" s="320" customFormat="1" ht="18.95" customHeight="1">
      <c r="A47" s="173"/>
      <c r="B47" s="173"/>
      <c r="C47" s="174"/>
      <c r="D47" s="181"/>
      <c r="E47" s="17"/>
      <c r="F47" s="32"/>
      <c r="G47" s="18"/>
      <c r="I47" s="77"/>
      <c r="J47" s="78"/>
    </row>
    <row r="48" spans="1:10" s="320" customFormat="1" ht="18.95" customHeight="1">
      <c r="A48" s="173"/>
      <c r="B48" s="173"/>
      <c r="C48" s="174"/>
      <c r="D48" s="181"/>
      <c r="E48" s="17"/>
      <c r="F48" s="32"/>
      <c r="G48" s="18"/>
      <c r="I48" s="77"/>
      <c r="J48" s="78"/>
    </row>
    <row r="49" spans="1:10" s="320" customFormat="1" ht="18.95" customHeight="1">
      <c r="A49" s="173"/>
      <c r="B49" s="173"/>
      <c r="C49" s="174"/>
      <c r="D49" s="181"/>
      <c r="E49" s="17"/>
      <c r="F49" s="32"/>
      <c r="G49" s="18"/>
      <c r="I49" s="77"/>
      <c r="J49" s="78"/>
    </row>
    <row r="50" spans="1:10" s="320" customFormat="1" ht="18.95" customHeight="1">
      <c r="A50" s="173"/>
      <c r="B50" s="173"/>
      <c r="C50" s="174"/>
      <c r="D50" s="181"/>
      <c r="E50" s="17"/>
      <c r="F50" s="32"/>
      <c r="G50" s="18"/>
      <c r="I50" s="77"/>
      <c r="J50" s="78"/>
    </row>
    <row r="51" spans="1:10" s="320" customFormat="1" ht="18.95" customHeight="1">
      <c r="A51" s="173"/>
      <c r="B51" s="173"/>
      <c r="C51" s="174"/>
      <c r="D51" s="181"/>
      <c r="E51" s="17"/>
      <c r="F51" s="32"/>
      <c r="G51" s="18"/>
      <c r="I51" s="77"/>
      <c r="J51" s="78"/>
    </row>
    <row r="52" spans="1:10" s="320" customFormat="1" ht="18.95" customHeight="1">
      <c r="A52" s="173"/>
      <c r="B52" s="173"/>
      <c r="C52" s="174"/>
      <c r="D52" s="181"/>
      <c r="E52" s="17"/>
      <c r="F52" s="32"/>
      <c r="G52" s="18"/>
      <c r="I52" s="77"/>
      <c r="J52" s="78"/>
    </row>
    <row r="53" spans="1:10" s="320" customFormat="1" ht="18.95" customHeight="1">
      <c r="A53" s="173"/>
      <c r="B53" s="173"/>
      <c r="C53" s="174"/>
      <c r="D53" s="181"/>
      <c r="E53" s="17"/>
      <c r="F53" s="32"/>
      <c r="G53" s="18"/>
      <c r="I53" s="77"/>
      <c r="J53" s="78"/>
    </row>
    <row r="54" spans="1:10" s="34" customFormat="1" ht="18.95" customHeight="1">
      <c r="A54" s="173"/>
      <c r="B54" s="173"/>
      <c r="C54" s="174"/>
      <c r="D54" s="181"/>
      <c r="E54" s="17"/>
      <c r="F54" s="32"/>
      <c r="G54" s="18"/>
      <c r="I54" s="77"/>
      <c r="J54" s="78"/>
    </row>
    <row r="55" spans="1:10" s="34" customFormat="1" ht="18.95" customHeight="1">
      <c r="A55" s="173"/>
      <c r="B55" s="173"/>
      <c r="C55" s="174"/>
      <c r="D55" s="181"/>
      <c r="E55" s="17"/>
      <c r="F55" s="32"/>
      <c r="G55" s="18"/>
      <c r="I55" s="77"/>
      <c r="J55" s="78"/>
    </row>
    <row r="56" spans="1:10" s="34" customFormat="1" ht="18.95" customHeight="1">
      <c r="A56" s="173"/>
      <c r="B56" s="173"/>
      <c r="C56" s="174"/>
      <c r="D56" s="181"/>
      <c r="E56" s="17"/>
      <c r="F56" s="32"/>
      <c r="G56" s="18"/>
      <c r="I56" s="77"/>
      <c r="J56" s="78"/>
    </row>
    <row r="57" spans="1:10" s="34" customFormat="1" ht="18.95" customHeight="1">
      <c r="A57" s="173"/>
      <c r="B57" s="173"/>
      <c r="C57" s="174"/>
      <c r="D57" s="181"/>
      <c r="E57" s="17"/>
      <c r="F57" s="32"/>
      <c r="G57" s="18"/>
      <c r="I57" s="77"/>
      <c r="J57" s="78"/>
    </row>
    <row r="58" spans="1:10" s="34" customFormat="1" ht="18.95" customHeight="1">
      <c r="A58" s="173"/>
      <c r="B58" s="173"/>
      <c r="C58" s="174"/>
      <c r="D58" s="181"/>
      <c r="E58" s="17"/>
      <c r="F58" s="32"/>
      <c r="G58" s="18"/>
      <c r="I58" s="77"/>
      <c r="J58" s="78"/>
    </row>
    <row r="59" spans="1:10" s="34" customFormat="1" ht="18.95" customHeight="1">
      <c r="A59" s="281" t="s">
        <v>823</v>
      </c>
      <c r="B59" s="173"/>
      <c r="C59" s="174"/>
      <c r="D59" s="181"/>
      <c r="E59" s="17"/>
      <c r="F59" s="32"/>
      <c r="G59" s="18"/>
      <c r="I59" s="77"/>
      <c r="J59" s="78"/>
    </row>
    <row r="60" spans="1:10" s="34" customFormat="1" ht="18.95" customHeight="1">
      <c r="A60" s="325" t="s">
        <v>824</v>
      </c>
      <c r="B60" s="326" t="s">
        <v>843</v>
      </c>
      <c r="C60" s="324" t="s">
        <v>85</v>
      </c>
      <c r="D60" s="327">
        <v>4</v>
      </c>
      <c r="E60" s="17"/>
      <c r="F60" s="32"/>
      <c r="G60" s="18"/>
      <c r="I60" s="77"/>
      <c r="J60" s="78"/>
    </row>
    <row r="61" spans="1:10" s="34" customFormat="1" ht="18.95" customHeight="1">
      <c r="A61" s="325" t="s">
        <v>864</v>
      </c>
      <c r="B61" s="326" t="s">
        <v>844</v>
      </c>
      <c r="C61" s="324" t="s">
        <v>85</v>
      </c>
      <c r="D61" s="327">
        <v>48</v>
      </c>
      <c r="E61" s="17"/>
      <c r="F61" s="32"/>
      <c r="G61" s="18"/>
      <c r="I61" s="77"/>
      <c r="J61" s="78"/>
    </row>
    <row r="62" spans="1:10" s="34" customFormat="1" ht="18.95" customHeight="1">
      <c r="A62" s="325" t="s">
        <v>935</v>
      </c>
      <c r="B62" s="326" t="s">
        <v>936</v>
      </c>
      <c r="C62" s="324" t="s">
        <v>85</v>
      </c>
      <c r="D62" s="327">
        <v>6</v>
      </c>
      <c r="E62" s="17"/>
      <c r="F62" s="32"/>
      <c r="G62" s="18"/>
      <c r="I62" s="77"/>
      <c r="J62" s="78"/>
    </row>
    <row r="63" spans="1:10" s="34" customFormat="1" ht="18.95" customHeight="1">
      <c r="A63" s="325" t="s">
        <v>937</v>
      </c>
      <c r="B63" s="326" t="s">
        <v>938</v>
      </c>
      <c r="C63" s="324" t="s">
        <v>85</v>
      </c>
      <c r="D63" s="327">
        <v>15</v>
      </c>
      <c r="E63" s="17"/>
      <c r="F63" s="32"/>
      <c r="G63" s="18"/>
      <c r="I63" s="77"/>
      <c r="J63" s="78"/>
    </row>
    <row r="64" spans="1:10" s="34" customFormat="1" ht="18.95" customHeight="1">
      <c r="A64" s="325" t="s">
        <v>939</v>
      </c>
      <c r="B64" s="326" t="s">
        <v>940</v>
      </c>
      <c r="C64" s="324" t="s">
        <v>85</v>
      </c>
      <c r="D64" s="327">
        <v>11</v>
      </c>
      <c r="E64" s="17"/>
      <c r="F64" s="32"/>
      <c r="G64" s="18"/>
      <c r="I64" s="77"/>
      <c r="J64" s="78"/>
    </row>
    <row r="65" spans="1:10" s="34" customFormat="1" ht="18.95" customHeight="1">
      <c r="A65" s="325" t="s">
        <v>941</v>
      </c>
      <c r="B65" s="326" t="s">
        <v>942</v>
      </c>
      <c r="C65" s="324" t="s">
        <v>177</v>
      </c>
      <c r="D65" s="327">
        <v>902</v>
      </c>
      <c r="E65" s="17"/>
      <c r="F65" s="32"/>
      <c r="G65" s="18"/>
      <c r="I65" s="77"/>
      <c r="J65" s="78"/>
    </row>
    <row r="66" spans="1:10" s="34" customFormat="1" ht="18.95" customHeight="1">
      <c r="A66" s="325" t="s">
        <v>943</v>
      </c>
      <c r="B66" s="326" t="s">
        <v>944</v>
      </c>
      <c r="C66" s="324" t="s">
        <v>177</v>
      </c>
      <c r="D66" s="327">
        <v>58</v>
      </c>
      <c r="E66" s="17"/>
      <c r="F66" s="32"/>
      <c r="G66" s="18"/>
      <c r="I66" s="77"/>
      <c r="J66" s="78"/>
    </row>
    <row r="67" spans="1:10" s="34" customFormat="1" ht="18.95" customHeight="1">
      <c r="A67" s="325" t="s">
        <v>945</v>
      </c>
      <c r="B67" s="326" t="s">
        <v>845</v>
      </c>
      <c r="C67" s="324" t="s">
        <v>177</v>
      </c>
      <c r="D67" s="327">
        <v>60</v>
      </c>
      <c r="E67" s="17"/>
      <c r="F67" s="32"/>
      <c r="G67" s="18"/>
      <c r="I67" s="77"/>
      <c r="J67" s="78"/>
    </row>
    <row r="68" spans="1:10" s="34" customFormat="1" ht="18.95" customHeight="1">
      <c r="A68" s="325" t="s">
        <v>946</v>
      </c>
      <c r="B68" s="326" t="s">
        <v>947</v>
      </c>
      <c r="C68" s="324" t="s">
        <v>177</v>
      </c>
      <c r="D68" s="327">
        <v>2502</v>
      </c>
      <c r="E68" s="17"/>
      <c r="F68" s="32"/>
      <c r="G68" s="18"/>
      <c r="I68" s="77"/>
      <c r="J68" s="78"/>
    </row>
    <row r="69" spans="1:10" s="34" customFormat="1" ht="18.95" customHeight="1">
      <c r="A69" s="325" t="s">
        <v>865</v>
      </c>
      <c r="B69" s="326" t="s">
        <v>948</v>
      </c>
      <c r="C69" s="324" t="s">
        <v>177</v>
      </c>
      <c r="D69" s="327">
        <v>462</v>
      </c>
      <c r="E69" s="17"/>
      <c r="F69" s="32"/>
      <c r="G69" s="18"/>
      <c r="I69" s="77"/>
      <c r="J69" s="78"/>
    </row>
    <row r="70" spans="1:10" s="34" customFormat="1" ht="18.95" customHeight="1">
      <c r="A70" s="325" t="s">
        <v>949</v>
      </c>
      <c r="B70" s="326" t="s">
        <v>950</v>
      </c>
      <c r="C70" s="324" t="s">
        <v>177</v>
      </c>
      <c r="D70" s="327">
        <v>28</v>
      </c>
      <c r="E70" s="17"/>
      <c r="F70" s="32"/>
      <c r="G70" s="18"/>
      <c r="I70" s="77"/>
      <c r="J70" s="78"/>
    </row>
    <row r="71" spans="1:10" s="34" customFormat="1" ht="18.95" customHeight="1">
      <c r="A71" s="325" t="s">
        <v>951</v>
      </c>
      <c r="B71" s="326" t="s">
        <v>952</v>
      </c>
      <c r="C71" s="324" t="s">
        <v>85</v>
      </c>
      <c r="D71" s="327">
        <v>7</v>
      </c>
      <c r="E71" s="17"/>
      <c r="F71" s="32"/>
      <c r="G71" s="18"/>
      <c r="I71" s="77"/>
      <c r="J71" s="78"/>
    </row>
    <row r="72" spans="1:10" s="34" customFormat="1" ht="18.95" customHeight="1">
      <c r="A72" s="325" t="s">
        <v>866</v>
      </c>
      <c r="B72" s="326" t="s">
        <v>844</v>
      </c>
      <c r="C72" s="324" t="s">
        <v>85</v>
      </c>
      <c r="D72" s="327">
        <v>56</v>
      </c>
      <c r="E72" s="17"/>
      <c r="F72" s="32"/>
      <c r="G72" s="18"/>
      <c r="I72" s="77"/>
      <c r="J72" s="78"/>
    </row>
    <row r="73" spans="1:10" s="34" customFormat="1" ht="18.95" customHeight="1">
      <c r="A73" s="325" t="s">
        <v>953</v>
      </c>
      <c r="B73" s="326" t="s">
        <v>844</v>
      </c>
      <c r="C73" s="324" t="s">
        <v>85</v>
      </c>
      <c r="D73" s="327">
        <v>12</v>
      </c>
      <c r="E73" s="17"/>
      <c r="F73" s="32"/>
      <c r="G73" s="18"/>
      <c r="I73" s="77"/>
      <c r="J73" s="78"/>
    </row>
    <row r="74" spans="1:10" s="34" customFormat="1" ht="18.95" customHeight="1">
      <c r="A74" s="325" t="s">
        <v>954</v>
      </c>
      <c r="B74" s="326" t="s">
        <v>846</v>
      </c>
      <c r="C74" s="324" t="s">
        <v>85</v>
      </c>
      <c r="D74" s="327">
        <v>67</v>
      </c>
      <c r="E74" s="17"/>
      <c r="F74" s="32"/>
      <c r="G74" s="18"/>
      <c r="I74" s="77"/>
      <c r="J74" s="78"/>
    </row>
    <row r="75" spans="1:10" s="34" customFormat="1" ht="18.95" customHeight="1">
      <c r="A75" s="325" t="s">
        <v>955</v>
      </c>
      <c r="B75" s="326" t="s">
        <v>847</v>
      </c>
      <c r="C75" s="324" t="s">
        <v>85</v>
      </c>
      <c r="D75" s="327">
        <v>75</v>
      </c>
      <c r="E75" s="17"/>
      <c r="F75" s="32"/>
      <c r="G75" s="18"/>
      <c r="I75" s="77"/>
      <c r="J75" s="78"/>
    </row>
    <row r="76" spans="1:10" s="34" customFormat="1" ht="18.95" customHeight="1">
      <c r="A76" s="173"/>
      <c r="B76" s="173"/>
      <c r="C76" s="174"/>
      <c r="D76" s="181"/>
      <c r="E76" s="17"/>
      <c r="F76" s="32"/>
      <c r="G76" s="18"/>
      <c r="I76" s="77"/>
      <c r="J76" s="78"/>
    </row>
    <row r="77" spans="1:10" s="34" customFormat="1" ht="18.95" customHeight="1">
      <c r="A77" s="173"/>
      <c r="B77" s="173"/>
      <c r="C77" s="174"/>
      <c r="D77" s="181"/>
      <c r="E77" s="17"/>
      <c r="F77" s="32"/>
      <c r="G77" s="18"/>
      <c r="I77" s="77"/>
      <c r="J77" s="78"/>
    </row>
    <row r="78" spans="1:10" s="34" customFormat="1" ht="18.95" customHeight="1">
      <c r="A78" s="173"/>
      <c r="B78" s="173"/>
      <c r="C78" s="174"/>
      <c r="D78" s="181"/>
      <c r="E78" s="17"/>
      <c r="F78" s="32"/>
      <c r="G78" s="18"/>
      <c r="I78" s="77"/>
      <c r="J78" s="78"/>
    </row>
    <row r="79" spans="1:10" s="34" customFormat="1" ht="18.95" customHeight="1">
      <c r="A79" s="173"/>
      <c r="B79" s="173"/>
      <c r="C79" s="174"/>
      <c r="D79" s="181"/>
      <c r="E79" s="17"/>
      <c r="F79" s="32"/>
      <c r="G79" s="18"/>
      <c r="I79" s="77"/>
      <c r="J79" s="78"/>
    </row>
    <row r="80" spans="1:10" s="34" customFormat="1" ht="18.95" customHeight="1">
      <c r="A80" s="173"/>
      <c r="B80" s="173"/>
      <c r="C80" s="174"/>
      <c r="D80" s="181"/>
      <c r="E80" s="17"/>
      <c r="F80" s="32"/>
      <c r="G80" s="18"/>
      <c r="I80" s="77"/>
      <c r="J80" s="78"/>
    </row>
    <row r="81" spans="1:10" s="34" customFormat="1" ht="18.95" customHeight="1">
      <c r="A81" s="173"/>
      <c r="B81" s="173"/>
      <c r="C81" s="174"/>
      <c r="D81" s="181"/>
      <c r="E81" s="17"/>
      <c r="F81" s="32"/>
      <c r="G81" s="18"/>
      <c r="I81" s="77"/>
      <c r="J81" s="78"/>
    </row>
    <row r="82" spans="1:10" s="34" customFormat="1" ht="18.95" customHeight="1">
      <c r="A82" s="173"/>
      <c r="B82" s="173"/>
      <c r="C82" s="174"/>
      <c r="D82" s="181"/>
      <c r="E82" s="17"/>
      <c r="F82" s="32"/>
      <c r="G82" s="18"/>
      <c r="I82" s="77"/>
      <c r="J82" s="78"/>
    </row>
    <row r="83" spans="1:10" s="34" customFormat="1" ht="18.95" customHeight="1">
      <c r="A83" s="173"/>
      <c r="B83" s="173"/>
      <c r="C83" s="174"/>
      <c r="D83" s="181"/>
      <c r="E83" s="17"/>
      <c r="F83" s="32"/>
      <c r="G83" s="18"/>
      <c r="I83" s="77"/>
      <c r="J83" s="78"/>
    </row>
    <row r="84" spans="1:10" s="34" customFormat="1" ht="18.95" customHeight="1">
      <c r="A84" s="173"/>
      <c r="B84" s="173"/>
      <c r="C84" s="174"/>
      <c r="D84" s="181"/>
      <c r="E84" s="17"/>
      <c r="F84" s="32"/>
      <c r="G84" s="18"/>
      <c r="I84" s="77"/>
      <c r="J84" s="78"/>
    </row>
    <row r="85" spans="1:10" s="34" customFormat="1" ht="18.95" customHeight="1">
      <c r="A85" s="173"/>
      <c r="B85" s="173"/>
      <c r="C85" s="174"/>
      <c r="D85" s="181"/>
      <c r="E85" s="17"/>
      <c r="F85" s="32"/>
      <c r="G85" s="18"/>
      <c r="I85" s="77"/>
      <c r="J85" s="78"/>
    </row>
    <row r="86" spans="1:10" s="34" customFormat="1" ht="18.95" customHeight="1">
      <c r="A86" s="173"/>
      <c r="B86" s="173"/>
      <c r="C86" s="174"/>
      <c r="D86" s="181"/>
      <c r="E86" s="17"/>
      <c r="F86" s="32"/>
      <c r="G86" s="18"/>
      <c r="I86" s="77"/>
      <c r="J86" s="78"/>
    </row>
    <row r="87" spans="1:10" s="34" customFormat="1" ht="18.95" customHeight="1">
      <c r="A87" s="281" t="s">
        <v>825</v>
      </c>
      <c r="B87" s="173"/>
      <c r="C87" s="174"/>
      <c r="D87" s="181"/>
      <c r="E87" s="17"/>
      <c r="F87" s="32"/>
      <c r="G87" s="18"/>
      <c r="I87" s="77"/>
      <c r="J87" s="78"/>
    </row>
    <row r="88" spans="1:10" s="34" customFormat="1" ht="18.95" customHeight="1">
      <c r="A88" s="325" t="s">
        <v>956</v>
      </c>
      <c r="B88" s="326" t="s">
        <v>849</v>
      </c>
      <c r="C88" s="324" t="s">
        <v>85</v>
      </c>
      <c r="D88" s="327">
        <v>1</v>
      </c>
      <c r="E88" s="17"/>
      <c r="F88" s="32"/>
      <c r="G88" s="18"/>
      <c r="I88" s="77"/>
      <c r="J88" s="78"/>
    </row>
    <row r="89" spans="1:10" s="34" customFormat="1" ht="18.95" customHeight="1">
      <c r="A89" s="325" t="s">
        <v>867</v>
      </c>
      <c r="B89" s="326" t="s">
        <v>957</v>
      </c>
      <c r="C89" s="324" t="s">
        <v>85</v>
      </c>
      <c r="D89" s="327">
        <v>23</v>
      </c>
      <c r="E89" s="17"/>
      <c r="F89" s="32"/>
      <c r="G89" s="18"/>
      <c r="I89" s="77"/>
      <c r="J89" s="78"/>
    </row>
    <row r="90" spans="1:10" s="34" customFormat="1" ht="18.95" customHeight="1">
      <c r="A90" s="325" t="s">
        <v>958</v>
      </c>
      <c r="B90" s="326" t="s">
        <v>959</v>
      </c>
      <c r="C90" s="324" t="s">
        <v>85</v>
      </c>
      <c r="D90" s="327">
        <v>81</v>
      </c>
      <c r="E90" s="145"/>
      <c r="F90" s="32"/>
      <c r="G90" s="33"/>
      <c r="H90" s="1"/>
      <c r="I90" s="2"/>
    </row>
    <row r="91" spans="1:10" s="34" customFormat="1" ht="18.95" customHeight="1">
      <c r="A91" s="325" t="s">
        <v>960</v>
      </c>
      <c r="B91" s="326" t="s">
        <v>961</v>
      </c>
      <c r="C91" s="324" t="s">
        <v>85</v>
      </c>
      <c r="D91" s="327">
        <v>18</v>
      </c>
      <c r="E91" s="145"/>
      <c r="F91" s="32"/>
      <c r="G91" s="33"/>
      <c r="I91" s="77"/>
      <c r="J91" s="78"/>
    </row>
    <row r="92" spans="1:10" s="34" customFormat="1" ht="18.95" customHeight="1">
      <c r="A92" s="325" t="s">
        <v>962</v>
      </c>
      <c r="B92" s="326" t="s">
        <v>963</v>
      </c>
      <c r="C92" s="324" t="s">
        <v>85</v>
      </c>
      <c r="D92" s="327">
        <v>1</v>
      </c>
      <c r="E92" s="17"/>
      <c r="F92" s="32"/>
      <c r="G92" s="18"/>
    </row>
    <row r="93" spans="1:10" s="34" customFormat="1" ht="18.95" customHeight="1">
      <c r="A93" s="325" t="s">
        <v>964</v>
      </c>
      <c r="B93" s="326" t="s">
        <v>965</v>
      </c>
      <c r="C93" s="324" t="s">
        <v>85</v>
      </c>
      <c r="D93" s="327">
        <v>2</v>
      </c>
      <c r="E93" s="17"/>
      <c r="F93" s="32"/>
      <c r="G93" s="18"/>
    </row>
    <row r="94" spans="1:10" s="34" customFormat="1" ht="18.95" customHeight="1">
      <c r="A94" s="325" t="s">
        <v>966</v>
      </c>
      <c r="B94" s="326" t="s">
        <v>967</v>
      </c>
      <c r="C94" s="324" t="s">
        <v>85</v>
      </c>
      <c r="D94" s="327">
        <v>24</v>
      </c>
      <c r="E94" s="17"/>
      <c r="F94" s="32"/>
      <c r="G94" s="18"/>
    </row>
    <row r="95" spans="1:10" s="34" customFormat="1" ht="18.95" customHeight="1">
      <c r="A95" s="325" t="s">
        <v>868</v>
      </c>
      <c r="B95" s="326" t="s">
        <v>851</v>
      </c>
      <c r="C95" s="324" t="s">
        <v>85</v>
      </c>
      <c r="D95" s="327">
        <v>11</v>
      </c>
      <c r="E95" s="17"/>
      <c r="F95" s="32"/>
      <c r="G95" s="18"/>
    </row>
    <row r="96" spans="1:10" s="34" customFormat="1" ht="18.95" customHeight="1">
      <c r="A96" s="325" t="s">
        <v>968</v>
      </c>
      <c r="B96" s="326" t="s">
        <v>852</v>
      </c>
      <c r="C96" s="324" t="s">
        <v>85</v>
      </c>
      <c r="D96" s="327">
        <v>2</v>
      </c>
      <c r="E96" s="17"/>
      <c r="F96" s="32"/>
      <c r="G96" s="18"/>
    </row>
    <row r="97" spans="1:7" s="34" customFormat="1" ht="18.95" customHeight="1">
      <c r="A97" s="325" t="s">
        <v>969</v>
      </c>
      <c r="B97" s="326" t="s">
        <v>853</v>
      </c>
      <c r="C97" s="324" t="s">
        <v>85</v>
      </c>
      <c r="D97" s="327">
        <v>7</v>
      </c>
      <c r="E97" s="17"/>
      <c r="F97" s="32"/>
      <c r="G97" s="18"/>
    </row>
    <row r="98" spans="1:7" s="34" customFormat="1" ht="18.95" customHeight="1">
      <c r="A98" s="325" t="s">
        <v>970</v>
      </c>
      <c r="B98" s="326" t="s">
        <v>971</v>
      </c>
      <c r="C98" s="324" t="s">
        <v>85</v>
      </c>
      <c r="D98" s="327">
        <v>2</v>
      </c>
      <c r="E98" s="17"/>
      <c r="F98" s="32"/>
      <c r="G98" s="18"/>
    </row>
    <row r="99" spans="1:7" s="34" customFormat="1" ht="18.95" customHeight="1">
      <c r="A99" s="325" t="s">
        <v>972</v>
      </c>
      <c r="B99" s="326" t="s">
        <v>973</v>
      </c>
      <c r="C99" s="324" t="s">
        <v>85</v>
      </c>
      <c r="D99" s="327">
        <v>1</v>
      </c>
      <c r="E99" s="17"/>
      <c r="F99" s="32"/>
      <c r="G99" s="18"/>
    </row>
    <row r="100" spans="1:7" s="34" customFormat="1" ht="18.95" customHeight="1">
      <c r="A100" s="325" t="s">
        <v>974</v>
      </c>
      <c r="B100" s="326" t="s">
        <v>944</v>
      </c>
      <c r="C100" s="324" t="s">
        <v>177</v>
      </c>
      <c r="D100" s="327">
        <v>24</v>
      </c>
      <c r="E100" s="17"/>
      <c r="F100" s="32"/>
      <c r="G100" s="18"/>
    </row>
    <row r="101" spans="1:7" s="34" customFormat="1" ht="18.95" customHeight="1">
      <c r="A101" s="325" t="s">
        <v>975</v>
      </c>
      <c r="B101" s="326" t="s">
        <v>942</v>
      </c>
      <c r="C101" s="324" t="s">
        <v>177</v>
      </c>
      <c r="D101" s="327">
        <v>906</v>
      </c>
      <c r="E101" s="17"/>
      <c r="F101" s="32"/>
      <c r="G101" s="18"/>
    </row>
    <row r="102" spans="1:7" s="34" customFormat="1" ht="18.95" customHeight="1">
      <c r="A102" s="325" t="s">
        <v>976</v>
      </c>
      <c r="B102" s="326" t="s">
        <v>977</v>
      </c>
      <c r="C102" s="324" t="s">
        <v>177</v>
      </c>
      <c r="D102" s="327">
        <v>53</v>
      </c>
      <c r="E102" s="17"/>
      <c r="F102" s="32"/>
      <c r="G102" s="18"/>
    </row>
    <row r="103" spans="1:7" s="34" customFormat="1" ht="18.95" customHeight="1">
      <c r="A103" s="325" t="s">
        <v>978</v>
      </c>
      <c r="B103" s="326" t="s">
        <v>947</v>
      </c>
      <c r="C103" s="324" t="s">
        <v>177</v>
      </c>
      <c r="D103" s="327">
        <v>2961</v>
      </c>
      <c r="E103" s="17"/>
      <c r="F103" s="32"/>
      <c r="G103" s="18"/>
    </row>
    <row r="104" spans="1:7" s="34" customFormat="1" ht="18.95" customHeight="1">
      <c r="A104" s="325" t="s">
        <v>979</v>
      </c>
      <c r="B104" s="326" t="s">
        <v>854</v>
      </c>
      <c r="C104" s="324" t="s">
        <v>85</v>
      </c>
      <c r="D104" s="327">
        <v>122</v>
      </c>
      <c r="E104" s="17"/>
      <c r="F104" s="32"/>
      <c r="G104" s="18"/>
    </row>
    <row r="105" spans="1:7" s="34" customFormat="1" ht="18.95" customHeight="1">
      <c r="A105" s="325" t="s">
        <v>980</v>
      </c>
      <c r="B105" s="325" t="s">
        <v>855</v>
      </c>
      <c r="C105" s="324" t="s">
        <v>85</v>
      </c>
      <c r="D105" s="327">
        <v>58</v>
      </c>
      <c r="E105" s="17"/>
      <c r="F105" s="32"/>
      <c r="G105" s="18"/>
    </row>
    <row r="106" spans="1:7" s="34" customFormat="1" ht="18.95" customHeight="1">
      <c r="A106" s="325" t="s">
        <v>981</v>
      </c>
      <c r="B106" s="325" t="s">
        <v>855</v>
      </c>
      <c r="C106" s="324" t="s">
        <v>85</v>
      </c>
      <c r="D106" s="327">
        <v>12</v>
      </c>
      <c r="E106" s="17"/>
      <c r="F106" s="32"/>
      <c r="G106" s="18"/>
    </row>
    <row r="107" spans="1:7" s="34" customFormat="1" ht="18.95" customHeight="1">
      <c r="A107" s="325" t="s">
        <v>982</v>
      </c>
      <c r="B107" s="325" t="s">
        <v>846</v>
      </c>
      <c r="C107" s="324" t="s">
        <v>85</v>
      </c>
      <c r="D107" s="327">
        <v>198</v>
      </c>
      <c r="E107" s="17"/>
      <c r="F107" s="32"/>
      <c r="G107" s="18"/>
    </row>
    <row r="108" spans="1:7" s="34" customFormat="1" ht="18.95" customHeight="1">
      <c r="A108" s="325" t="s">
        <v>983</v>
      </c>
      <c r="B108" s="325" t="s">
        <v>856</v>
      </c>
      <c r="C108" s="324" t="s">
        <v>85</v>
      </c>
      <c r="D108" s="327">
        <v>21</v>
      </c>
      <c r="E108" s="17"/>
      <c r="F108" s="32"/>
      <c r="G108" s="18"/>
    </row>
    <row r="109" spans="1:7" s="34" customFormat="1" ht="18.95" customHeight="1">
      <c r="A109" s="325" t="s">
        <v>984</v>
      </c>
      <c r="B109" s="325" t="s">
        <v>857</v>
      </c>
      <c r="C109" s="324" t="s">
        <v>85</v>
      </c>
      <c r="D109" s="327">
        <v>11</v>
      </c>
      <c r="E109" s="17"/>
      <c r="F109" s="32"/>
      <c r="G109" s="18"/>
    </row>
    <row r="110" spans="1:7" s="34" customFormat="1" ht="18.95" customHeight="1">
      <c r="A110" s="325" t="s">
        <v>985</v>
      </c>
      <c r="B110" s="325" t="s">
        <v>858</v>
      </c>
      <c r="C110" s="324" t="s">
        <v>85</v>
      </c>
      <c r="D110" s="327">
        <v>8</v>
      </c>
      <c r="E110" s="17"/>
      <c r="F110" s="32"/>
      <c r="G110" s="18"/>
    </row>
    <row r="111" spans="1:7" s="34" customFormat="1" ht="18.95" customHeight="1">
      <c r="A111" s="325" t="s">
        <v>986</v>
      </c>
      <c r="B111" s="325" t="s">
        <v>859</v>
      </c>
      <c r="C111" s="324" t="s">
        <v>85</v>
      </c>
      <c r="D111" s="327">
        <v>4</v>
      </c>
      <c r="E111" s="17"/>
      <c r="F111" s="32"/>
      <c r="G111" s="18"/>
    </row>
    <row r="112" spans="1:7" s="34" customFormat="1" ht="18.95" customHeight="1">
      <c r="A112" s="325" t="s">
        <v>987</v>
      </c>
      <c r="B112" s="325" t="s">
        <v>847</v>
      </c>
      <c r="C112" s="324" t="s">
        <v>85</v>
      </c>
      <c r="D112" s="327">
        <v>40</v>
      </c>
      <c r="E112" s="17"/>
      <c r="F112" s="32"/>
      <c r="G112" s="18"/>
    </row>
    <row r="113" spans="1:10" s="34" customFormat="1" ht="18.95" customHeight="1">
      <c r="A113" s="173"/>
      <c r="B113" s="173"/>
      <c r="C113" s="174"/>
      <c r="D113" s="280"/>
      <c r="E113" s="17"/>
      <c r="F113" s="32"/>
      <c r="G113" s="18"/>
    </row>
    <row r="114" spans="1:10" s="34" customFormat="1" ht="18.95" customHeight="1">
      <c r="A114" s="173"/>
      <c r="B114" s="173"/>
      <c r="C114" s="174"/>
      <c r="D114" s="280"/>
      <c r="E114" s="17"/>
      <c r="F114" s="32"/>
      <c r="G114" s="18"/>
    </row>
    <row r="115" spans="1:10" s="34" customFormat="1" ht="18.95" customHeight="1">
      <c r="A115" s="281" t="s">
        <v>821</v>
      </c>
      <c r="B115" s="173"/>
      <c r="C115" s="174"/>
      <c r="D115" s="181"/>
      <c r="E115" s="17"/>
      <c r="F115" s="32"/>
      <c r="G115" s="18"/>
      <c r="I115" s="77"/>
      <c r="J115" s="78"/>
    </row>
    <row r="116" spans="1:10" s="34" customFormat="1" ht="18.95" customHeight="1">
      <c r="A116" s="325" t="s">
        <v>988</v>
      </c>
      <c r="B116" s="325" t="s">
        <v>942</v>
      </c>
      <c r="C116" s="324" t="s">
        <v>177</v>
      </c>
      <c r="D116" s="327">
        <v>391</v>
      </c>
      <c r="E116" s="17"/>
      <c r="F116" s="32"/>
      <c r="G116" s="18"/>
    </row>
    <row r="117" spans="1:10" s="34" customFormat="1" ht="18.95" customHeight="1">
      <c r="A117" s="325" t="s">
        <v>989</v>
      </c>
      <c r="B117" s="325" t="s">
        <v>920</v>
      </c>
      <c r="C117" s="324" t="s">
        <v>177</v>
      </c>
      <c r="D117" s="327">
        <v>7</v>
      </c>
      <c r="E117" s="17"/>
      <c r="F117" s="32"/>
      <c r="G117" s="18"/>
    </row>
    <row r="118" spans="1:10" s="34" customFormat="1" ht="18.95" customHeight="1">
      <c r="A118" s="325" t="s">
        <v>990</v>
      </c>
      <c r="B118" s="325" t="s">
        <v>991</v>
      </c>
      <c r="C118" s="324" t="s">
        <v>177</v>
      </c>
      <c r="D118" s="327">
        <v>20</v>
      </c>
      <c r="E118" s="17"/>
      <c r="F118" s="32"/>
      <c r="G118" s="18"/>
    </row>
    <row r="119" spans="1:10" s="34" customFormat="1" ht="18.95" customHeight="1">
      <c r="A119" s="325" t="s">
        <v>992</v>
      </c>
      <c r="B119" s="325" t="s">
        <v>921</v>
      </c>
      <c r="C119" s="324" t="s">
        <v>177</v>
      </c>
      <c r="D119" s="327">
        <v>36</v>
      </c>
      <c r="E119" s="17"/>
      <c r="F119" s="32"/>
      <c r="G119" s="18"/>
    </row>
    <row r="120" spans="1:10" s="34" customFormat="1" ht="18.95" customHeight="1">
      <c r="A120" s="325" t="s">
        <v>993</v>
      </c>
      <c r="B120" s="325" t="s">
        <v>846</v>
      </c>
      <c r="C120" s="324" t="s">
        <v>85</v>
      </c>
      <c r="D120" s="327">
        <v>52</v>
      </c>
      <c r="E120" s="17"/>
      <c r="F120" s="32"/>
      <c r="G120" s="18"/>
    </row>
    <row r="121" spans="1:10" s="34" customFormat="1" ht="18.95" customHeight="1">
      <c r="A121" s="325" t="s">
        <v>994</v>
      </c>
      <c r="B121" s="325" t="s">
        <v>847</v>
      </c>
      <c r="C121" s="324" t="s">
        <v>85</v>
      </c>
      <c r="D121" s="327">
        <v>26</v>
      </c>
      <c r="E121" s="17"/>
      <c r="F121" s="32"/>
      <c r="G121" s="18"/>
    </row>
    <row r="122" spans="1:10" s="34" customFormat="1" ht="18.95" customHeight="1">
      <c r="A122" s="325" t="s">
        <v>995</v>
      </c>
      <c r="B122" s="325" t="s">
        <v>838</v>
      </c>
      <c r="C122" s="324" t="s">
        <v>85</v>
      </c>
      <c r="D122" s="327">
        <v>1</v>
      </c>
      <c r="E122" s="17"/>
      <c r="F122" s="32"/>
      <c r="G122" s="18"/>
    </row>
    <row r="123" spans="1:10" s="34" customFormat="1" ht="18.95" customHeight="1">
      <c r="A123" s="325" t="s">
        <v>996</v>
      </c>
      <c r="B123" s="326" t="s">
        <v>947</v>
      </c>
      <c r="C123" s="324" t="s">
        <v>177</v>
      </c>
      <c r="D123" s="327">
        <v>190</v>
      </c>
      <c r="E123" s="17"/>
      <c r="F123" s="32"/>
      <c r="G123" s="18"/>
    </row>
    <row r="124" spans="1:10" s="34" customFormat="1" ht="18.95" customHeight="1">
      <c r="A124" s="325" t="s">
        <v>997</v>
      </c>
      <c r="B124" s="326" t="s">
        <v>998</v>
      </c>
      <c r="C124" s="324" t="s">
        <v>177</v>
      </c>
      <c r="D124" s="327">
        <v>7</v>
      </c>
      <c r="E124" s="17"/>
      <c r="F124" s="32"/>
      <c r="G124" s="18"/>
    </row>
    <row r="125" spans="1:10" s="34" customFormat="1" ht="18.95" customHeight="1">
      <c r="A125" s="325" t="s">
        <v>999</v>
      </c>
      <c r="B125" s="326" t="s">
        <v>1000</v>
      </c>
      <c r="C125" s="324" t="s">
        <v>177</v>
      </c>
      <c r="D125" s="327">
        <v>10</v>
      </c>
      <c r="E125" s="17"/>
      <c r="F125" s="32"/>
      <c r="G125" s="18"/>
    </row>
    <row r="126" spans="1:10" s="34" customFormat="1" ht="18.95" customHeight="1">
      <c r="A126" s="325" t="s">
        <v>1001</v>
      </c>
      <c r="B126" s="326" t="s">
        <v>923</v>
      </c>
      <c r="C126" s="324" t="s">
        <v>177</v>
      </c>
      <c r="D126" s="327">
        <v>184</v>
      </c>
      <c r="E126" s="17"/>
      <c r="F126" s="32"/>
      <c r="G126" s="18"/>
    </row>
    <row r="127" spans="1:10" s="34" customFormat="1" ht="18.95" customHeight="1">
      <c r="A127" s="325" t="s">
        <v>1002</v>
      </c>
      <c r="B127" s="326" t="s">
        <v>1003</v>
      </c>
      <c r="C127" s="324" t="s">
        <v>177</v>
      </c>
      <c r="D127" s="327">
        <v>7</v>
      </c>
      <c r="E127" s="17"/>
      <c r="F127" s="32"/>
      <c r="G127" s="18"/>
    </row>
    <row r="128" spans="1:10" s="34" customFormat="1" ht="18.95" customHeight="1">
      <c r="A128" s="325" t="s">
        <v>1004</v>
      </c>
      <c r="B128" s="326" t="s">
        <v>926</v>
      </c>
      <c r="C128" s="324" t="s">
        <v>177</v>
      </c>
      <c r="D128" s="327">
        <v>56</v>
      </c>
      <c r="E128" s="17"/>
      <c r="F128" s="32"/>
      <c r="G128" s="18"/>
    </row>
    <row r="129" spans="1:10" s="34" customFormat="1" ht="18.95" customHeight="1">
      <c r="A129" s="325" t="s">
        <v>1005</v>
      </c>
      <c r="B129" s="326" t="s">
        <v>1006</v>
      </c>
      <c r="C129" s="324" t="s">
        <v>85</v>
      </c>
      <c r="D129" s="327">
        <v>1</v>
      </c>
      <c r="E129" s="17"/>
      <c r="F129" s="32"/>
      <c r="G129" s="18"/>
    </row>
    <row r="130" spans="1:10" s="34" customFormat="1" ht="18.95" customHeight="1">
      <c r="A130" s="325" t="s">
        <v>1007</v>
      </c>
      <c r="B130" s="326" t="s">
        <v>1008</v>
      </c>
      <c r="C130" s="324" t="s">
        <v>75</v>
      </c>
      <c r="D130" s="327">
        <v>1</v>
      </c>
      <c r="E130" s="17"/>
      <c r="F130" s="32"/>
      <c r="G130" s="18"/>
    </row>
    <row r="131" spans="1:10" s="34" customFormat="1" ht="18.95" customHeight="1">
      <c r="A131" s="325" t="s">
        <v>1009</v>
      </c>
      <c r="B131" s="326" t="s">
        <v>931</v>
      </c>
      <c r="C131" s="324" t="s">
        <v>95</v>
      </c>
      <c r="D131" s="327">
        <v>1</v>
      </c>
      <c r="E131" s="17"/>
      <c r="F131" s="32"/>
      <c r="G131" s="18"/>
    </row>
    <row r="132" spans="1:10" s="34" customFormat="1" ht="18.95" customHeight="1">
      <c r="A132" s="325" t="s">
        <v>1010</v>
      </c>
      <c r="B132" s="326" t="s">
        <v>932</v>
      </c>
      <c r="C132" s="324" t="s">
        <v>95</v>
      </c>
      <c r="D132" s="327">
        <v>22</v>
      </c>
      <c r="E132" s="17"/>
      <c r="F132" s="32"/>
      <c r="G132" s="18"/>
    </row>
    <row r="133" spans="1:10" s="34" customFormat="1" ht="18.95" customHeight="1">
      <c r="A133" s="325" t="s">
        <v>1011</v>
      </c>
      <c r="B133" s="326" t="s">
        <v>1012</v>
      </c>
      <c r="C133" s="324" t="s">
        <v>85</v>
      </c>
      <c r="D133" s="327">
        <v>3</v>
      </c>
      <c r="E133" s="17"/>
      <c r="F133" s="32"/>
      <c r="G133" s="18"/>
    </row>
    <row r="134" spans="1:10" s="34" customFormat="1" ht="18.95" customHeight="1">
      <c r="A134" s="173"/>
      <c r="B134" s="173"/>
      <c r="C134" s="174"/>
      <c r="D134" s="181"/>
      <c r="E134" s="17"/>
      <c r="F134" s="32"/>
      <c r="G134" s="18"/>
    </row>
    <row r="135" spans="1:10" s="34" customFormat="1" ht="18.95" customHeight="1">
      <c r="A135" s="173"/>
      <c r="B135" s="173"/>
      <c r="C135" s="174"/>
      <c r="D135" s="181"/>
      <c r="E135" s="17"/>
      <c r="F135" s="32"/>
      <c r="G135" s="18"/>
    </row>
    <row r="136" spans="1:10" s="34" customFormat="1" ht="18.95" customHeight="1">
      <c r="A136" s="173"/>
      <c r="B136" s="173"/>
      <c r="C136" s="174"/>
      <c r="D136" s="181"/>
      <c r="E136" s="17"/>
      <c r="F136" s="32"/>
      <c r="G136" s="18"/>
    </row>
    <row r="137" spans="1:10" s="34" customFormat="1" ht="18.95" customHeight="1">
      <c r="A137" s="173"/>
      <c r="B137" s="173"/>
      <c r="C137" s="174"/>
      <c r="D137" s="181"/>
      <c r="E137" s="17"/>
      <c r="F137" s="32"/>
      <c r="G137" s="18"/>
    </row>
    <row r="138" spans="1:10" s="34" customFormat="1" ht="18.95" customHeight="1">
      <c r="A138" s="173"/>
      <c r="B138" s="173"/>
      <c r="C138" s="174"/>
      <c r="D138" s="181"/>
      <c r="E138" s="17"/>
      <c r="F138" s="32"/>
      <c r="G138" s="18"/>
    </row>
    <row r="139" spans="1:10" s="337" customFormat="1" ht="18.95" customHeight="1">
      <c r="A139" s="323"/>
      <c r="B139" s="323"/>
      <c r="C139" s="329"/>
      <c r="D139" s="330"/>
      <c r="E139" s="336"/>
      <c r="F139" s="32"/>
      <c r="G139" s="18"/>
    </row>
    <row r="140" spans="1:10" s="337" customFormat="1" ht="18.95" customHeight="1">
      <c r="A140" s="323"/>
      <c r="B140" s="323"/>
      <c r="C140" s="329"/>
      <c r="D140" s="330"/>
      <c r="E140" s="336"/>
      <c r="F140" s="32"/>
      <c r="G140" s="18"/>
    </row>
    <row r="141" spans="1:10" s="337" customFormat="1" ht="18.95" customHeight="1">
      <c r="A141" s="323"/>
      <c r="B141" s="323"/>
      <c r="C141" s="329"/>
      <c r="D141" s="330"/>
      <c r="E141" s="336"/>
      <c r="F141" s="32"/>
      <c r="G141" s="18"/>
    </row>
    <row r="142" spans="1:10" s="337" customFormat="1" ht="18.95" customHeight="1">
      <c r="A142" s="323"/>
      <c r="B142" s="323"/>
      <c r="C142" s="329"/>
      <c r="D142" s="330"/>
      <c r="E142" s="336"/>
      <c r="F142" s="32"/>
      <c r="G142" s="18"/>
    </row>
    <row r="143" spans="1:10" s="341" customFormat="1" ht="18.95" customHeight="1">
      <c r="A143" s="281" t="s">
        <v>880</v>
      </c>
      <c r="B143" s="173"/>
      <c r="C143" s="174"/>
      <c r="D143" s="181"/>
      <c r="E143" s="17"/>
      <c r="F143" s="32"/>
      <c r="G143" s="18"/>
      <c r="I143" s="77"/>
      <c r="J143" s="78"/>
    </row>
    <row r="144" spans="1:10" s="337" customFormat="1" ht="18.95" customHeight="1">
      <c r="A144" s="325" t="s">
        <v>1013</v>
      </c>
      <c r="B144" s="332" t="s">
        <v>1014</v>
      </c>
      <c r="C144" s="340" t="s">
        <v>177</v>
      </c>
      <c r="D144" s="331">
        <v>37</v>
      </c>
      <c r="E144" s="336"/>
      <c r="F144" s="32"/>
      <c r="G144" s="18"/>
    </row>
    <row r="145" spans="1:7" s="337" customFormat="1" ht="18.95" customHeight="1">
      <c r="A145" s="325" t="s">
        <v>1015</v>
      </c>
      <c r="B145" s="332" t="s">
        <v>1016</v>
      </c>
      <c r="C145" s="340" t="s">
        <v>177</v>
      </c>
      <c r="D145" s="331">
        <v>37</v>
      </c>
      <c r="E145" s="336"/>
      <c r="F145" s="32"/>
      <c r="G145" s="18"/>
    </row>
    <row r="146" spans="1:7" s="337" customFormat="1" ht="18.95" customHeight="1">
      <c r="A146" s="325" t="s">
        <v>1017</v>
      </c>
      <c r="B146" s="332" t="s">
        <v>1018</v>
      </c>
      <c r="C146" s="340" t="s">
        <v>85</v>
      </c>
      <c r="D146" s="331">
        <v>1</v>
      </c>
      <c r="E146" s="336"/>
      <c r="F146" s="32"/>
      <c r="G146" s="18"/>
    </row>
    <row r="147" spans="1:7" s="337" customFormat="1" ht="18.95" customHeight="1">
      <c r="A147" s="325" t="s">
        <v>1019</v>
      </c>
      <c r="B147" s="332" t="s">
        <v>1020</v>
      </c>
      <c r="C147" s="340" t="s">
        <v>177</v>
      </c>
      <c r="D147" s="331">
        <v>37</v>
      </c>
      <c r="E147" s="336"/>
      <c r="F147" s="32"/>
      <c r="G147" s="18"/>
    </row>
    <row r="148" spans="1:7" s="337" customFormat="1" ht="18.95" customHeight="1">
      <c r="A148" s="325" t="s">
        <v>1021</v>
      </c>
      <c r="B148" s="325" t="s">
        <v>1016</v>
      </c>
      <c r="C148" s="335" t="s">
        <v>177</v>
      </c>
      <c r="D148" s="338">
        <v>37</v>
      </c>
      <c r="E148" s="336"/>
      <c r="F148" s="32"/>
      <c r="G148" s="18"/>
    </row>
    <row r="149" spans="1:7" s="337" customFormat="1" ht="18.95" customHeight="1">
      <c r="A149" s="325" t="s">
        <v>1022</v>
      </c>
      <c r="B149" s="325" t="s">
        <v>1018</v>
      </c>
      <c r="C149" s="335" t="s">
        <v>85</v>
      </c>
      <c r="D149" s="338">
        <v>1</v>
      </c>
      <c r="E149" s="336"/>
      <c r="F149" s="32"/>
      <c r="G149" s="18"/>
    </row>
    <row r="150" spans="1:7" s="337" customFormat="1" ht="18.95" customHeight="1">
      <c r="A150" s="325" t="s">
        <v>1023</v>
      </c>
      <c r="B150" s="325" t="s">
        <v>1024</v>
      </c>
      <c r="C150" s="335" t="s">
        <v>95</v>
      </c>
      <c r="D150" s="331">
        <v>1</v>
      </c>
      <c r="E150" s="336"/>
      <c r="F150" s="32"/>
      <c r="G150" s="18"/>
    </row>
    <row r="151" spans="1:7" s="337" customFormat="1" ht="18.95" customHeight="1">
      <c r="A151" s="323"/>
      <c r="B151" s="323"/>
      <c r="C151" s="329"/>
      <c r="D151" s="330"/>
      <c r="E151" s="336"/>
      <c r="F151" s="32"/>
      <c r="G151" s="18"/>
    </row>
    <row r="152" spans="1:7" s="337" customFormat="1" ht="18.95" customHeight="1">
      <c r="A152" s="323"/>
      <c r="B152" s="323"/>
      <c r="C152" s="329"/>
      <c r="D152" s="330"/>
      <c r="E152" s="336"/>
      <c r="F152" s="32"/>
      <c r="G152" s="18"/>
    </row>
    <row r="153" spans="1:7" s="337" customFormat="1" ht="18.95" customHeight="1">
      <c r="A153" s="323"/>
      <c r="B153" s="323"/>
      <c r="C153" s="329"/>
      <c r="D153" s="330"/>
      <c r="E153" s="336"/>
      <c r="F153" s="32"/>
      <c r="G153" s="18"/>
    </row>
    <row r="154" spans="1:7" s="337" customFormat="1" ht="18.95" customHeight="1">
      <c r="A154" s="323"/>
      <c r="B154" s="323"/>
      <c r="C154" s="329"/>
      <c r="D154" s="330"/>
      <c r="E154" s="336"/>
      <c r="F154" s="32"/>
      <c r="G154" s="18"/>
    </row>
    <row r="155" spans="1:7" s="337" customFormat="1" ht="18.95" customHeight="1">
      <c r="A155" s="323"/>
      <c r="B155" s="323"/>
      <c r="C155" s="329"/>
      <c r="D155" s="330"/>
      <c r="E155" s="336"/>
      <c r="F155" s="32"/>
      <c r="G155" s="18"/>
    </row>
    <row r="156" spans="1:7" s="337" customFormat="1" ht="18.95" customHeight="1">
      <c r="A156" s="323"/>
      <c r="B156" s="323"/>
      <c r="C156" s="329"/>
      <c r="D156" s="330"/>
      <c r="E156" s="336"/>
      <c r="F156" s="32"/>
      <c r="G156" s="18"/>
    </row>
    <row r="157" spans="1:7" s="337" customFormat="1" ht="18.95" customHeight="1">
      <c r="A157" s="323"/>
      <c r="B157" s="323"/>
      <c r="C157" s="329"/>
      <c r="D157" s="330"/>
      <c r="E157" s="336"/>
      <c r="F157" s="32"/>
      <c r="G157" s="18"/>
    </row>
    <row r="158" spans="1:7" s="337" customFormat="1" ht="18.95" customHeight="1">
      <c r="A158" s="323"/>
      <c r="B158" s="323"/>
      <c r="C158" s="329"/>
      <c r="D158" s="330"/>
      <c r="E158" s="336"/>
      <c r="F158" s="32"/>
      <c r="G158" s="18"/>
    </row>
    <row r="159" spans="1:7" s="337" customFormat="1" ht="18.95" customHeight="1">
      <c r="A159" s="323"/>
      <c r="B159" s="323"/>
      <c r="C159" s="329"/>
      <c r="D159" s="330"/>
      <c r="E159" s="336"/>
      <c r="F159" s="32"/>
      <c r="G159" s="18"/>
    </row>
    <row r="160" spans="1:7" s="337" customFormat="1" ht="18.95" customHeight="1">
      <c r="A160" s="323"/>
      <c r="B160" s="323"/>
      <c r="C160" s="329"/>
      <c r="D160" s="330"/>
      <c r="E160" s="336"/>
      <c r="F160" s="32"/>
      <c r="G160" s="18"/>
    </row>
    <row r="161" spans="1:7" s="337" customFormat="1" ht="18.95" customHeight="1">
      <c r="A161" s="323"/>
      <c r="B161" s="323"/>
      <c r="C161" s="329"/>
      <c r="D161" s="330"/>
      <c r="E161" s="336"/>
      <c r="F161" s="32"/>
      <c r="G161" s="18"/>
    </row>
    <row r="162" spans="1:7" s="337" customFormat="1" ht="18.95" customHeight="1">
      <c r="A162" s="323"/>
      <c r="B162" s="323"/>
      <c r="C162" s="329"/>
      <c r="D162" s="330"/>
      <c r="E162" s="336"/>
      <c r="F162" s="32"/>
      <c r="G162" s="18"/>
    </row>
    <row r="163" spans="1:7" s="337" customFormat="1" ht="18.95" customHeight="1">
      <c r="A163" s="323"/>
      <c r="B163" s="323"/>
      <c r="C163" s="329"/>
      <c r="D163" s="330"/>
      <c r="E163" s="336"/>
      <c r="F163" s="32"/>
      <c r="G163" s="18"/>
    </row>
    <row r="164" spans="1:7" s="337" customFormat="1" ht="18.95" customHeight="1">
      <c r="A164" s="323"/>
      <c r="B164" s="323"/>
      <c r="C164" s="329"/>
      <c r="D164" s="330"/>
      <c r="E164" s="336"/>
      <c r="F164" s="32"/>
      <c r="G164" s="18"/>
    </row>
    <row r="165" spans="1:7" s="337" customFormat="1" ht="18.95" customHeight="1">
      <c r="A165" s="323"/>
      <c r="B165" s="323"/>
      <c r="C165" s="329"/>
      <c r="D165" s="330"/>
      <c r="E165" s="336"/>
      <c r="F165" s="32"/>
      <c r="G165" s="18"/>
    </row>
    <row r="166" spans="1:7" s="337" customFormat="1" ht="18.95" customHeight="1">
      <c r="A166" s="323"/>
      <c r="B166" s="323"/>
      <c r="C166" s="329"/>
      <c r="D166" s="330"/>
      <c r="E166" s="336"/>
      <c r="F166" s="32"/>
      <c r="G166" s="18"/>
    </row>
    <row r="167" spans="1:7" s="337" customFormat="1" ht="18.95" customHeight="1">
      <c r="A167" s="323"/>
      <c r="B167" s="323"/>
      <c r="C167" s="329"/>
      <c r="D167" s="330"/>
      <c r="E167" s="336"/>
      <c r="F167" s="32"/>
      <c r="G167" s="18"/>
    </row>
    <row r="168" spans="1:7" s="337" customFormat="1" ht="18.95" customHeight="1">
      <c r="A168" s="323"/>
      <c r="B168" s="323"/>
      <c r="C168" s="329"/>
      <c r="D168" s="330"/>
      <c r="E168" s="336"/>
      <c r="F168" s="32"/>
      <c r="G168" s="18"/>
    </row>
    <row r="169" spans="1:7" s="337" customFormat="1" ht="18.95" customHeight="1">
      <c r="A169" s="323"/>
      <c r="B169" s="323"/>
      <c r="C169" s="329"/>
      <c r="D169" s="330"/>
      <c r="E169" s="336"/>
      <c r="F169" s="32"/>
      <c r="G169" s="18"/>
    </row>
    <row r="170" spans="1:7" s="337" customFormat="1" ht="18.95" customHeight="1">
      <c r="A170" s="323"/>
      <c r="B170" s="323"/>
      <c r="C170" s="329"/>
      <c r="D170" s="330"/>
      <c r="E170" s="336"/>
      <c r="F170" s="32"/>
      <c r="G170" s="18"/>
    </row>
    <row r="171" spans="1:7" s="337" customFormat="1" ht="18.95" customHeight="1">
      <c r="A171" s="281" t="s">
        <v>881</v>
      </c>
      <c r="B171" s="323"/>
      <c r="C171" s="329"/>
      <c r="D171" s="330"/>
      <c r="E171" s="336"/>
      <c r="F171" s="32"/>
      <c r="G171" s="18"/>
    </row>
    <row r="172" spans="1:7" s="337" customFormat="1" ht="18.95" customHeight="1">
      <c r="A172" s="325" t="s">
        <v>1025</v>
      </c>
      <c r="B172" s="325" t="s">
        <v>844</v>
      </c>
      <c r="C172" s="335" t="s">
        <v>85</v>
      </c>
      <c r="D172" s="331">
        <v>20</v>
      </c>
      <c r="E172" s="336"/>
      <c r="F172" s="32"/>
      <c r="G172" s="18"/>
    </row>
    <row r="173" spans="1:7" s="337" customFormat="1" ht="18.95" customHeight="1">
      <c r="A173" s="325" t="s">
        <v>1026</v>
      </c>
      <c r="B173" s="325" t="s">
        <v>942</v>
      </c>
      <c r="C173" s="335" t="s">
        <v>177</v>
      </c>
      <c r="D173" s="331">
        <v>263</v>
      </c>
      <c r="E173" s="336"/>
      <c r="F173" s="32"/>
      <c r="G173" s="18"/>
    </row>
    <row r="174" spans="1:7" s="337" customFormat="1" ht="18.95" customHeight="1">
      <c r="A174" s="325" t="s">
        <v>1027</v>
      </c>
      <c r="B174" s="325" t="s">
        <v>1028</v>
      </c>
      <c r="C174" s="335" t="s">
        <v>85</v>
      </c>
      <c r="D174" s="331">
        <v>20</v>
      </c>
      <c r="E174" s="336"/>
      <c r="F174" s="32"/>
      <c r="G174" s="18"/>
    </row>
    <row r="175" spans="1:7" s="337" customFormat="1" ht="18.95" customHeight="1">
      <c r="A175" s="325" t="s">
        <v>1029</v>
      </c>
      <c r="B175" s="325" t="s">
        <v>1030</v>
      </c>
      <c r="C175" s="335" t="s">
        <v>85</v>
      </c>
      <c r="D175" s="331">
        <v>13</v>
      </c>
      <c r="E175" s="336"/>
      <c r="F175" s="32"/>
      <c r="G175" s="18"/>
    </row>
    <row r="176" spans="1:7" s="337" customFormat="1" ht="18.95" customHeight="1">
      <c r="A176" s="325" t="s">
        <v>1031</v>
      </c>
      <c r="B176" s="325" t="s">
        <v>940</v>
      </c>
      <c r="C176" s="335" t="s">
        <v>85</v>
      </c>
      <c r="D176" s="331">
        <v>1</v>
      </c>
      <c r="E176" s="336"/>
      <c r="F176" s="32"/>
      <c r="G176" s="18"/>
    </row>
    <row r="177" spans="1:7" s="337" customFormat="1" ht="18.95" customHeight="1">
      <c r="A177" s="325" t="s">
        <v>1032</v>
      </c>
      <c r="B177" s="325" t="s">
        <v>942</v>
      </c>
      <c r="C177" s="335" t="s">
        <v>177</v>
      </c>
      <c r="D177" s="331">
        <v>263</v>
      </c>
      <c r="E177" s="336"/>
      <c r="F177" s="32"/>
      <c r="G177" s="18"/>
    </row>
    <row r="178" spans="1:7" s="337" customFormat="1" ht="18.95" customHeight="1">
      <c r="A178" s="325" t="s">
        <v>1033</v>
      </c>
      <c r="B178" s="325" t="s">
        <v>947</v>
      </c>
      <c r="C178" s="335" t="s">
        <v>177</v>
      </c>
      <c r="D178" s="331">
        <v>789</v>
      </c>
      <c r="E178" s="336"/>
      <c r="F178" s="32"/>
      <c r="G178" s="18"/>
    </row>
    <row r="179" spans="1:7" s="337" customFormat="1" ht="18.95" customHeight="1">
      <c r="A179" s="325" t="s">
        <v>1034</v>
      </c>
      <c r="B179" s="325" t="s">
        <v>844</v>
      </c>
      <c r="C179" s="335" t="s">
        <v>85</v>
      </c>
      <c r="D179" s="331">
        <v>20</v>
      </c>
      <c r="E179" s="336"/>
      <c r="F179" s="32"/>
      <c r="G179" s="18"/>
    </row>
    <row r="180" spans="1:7" s="337" customFormat="1" ht="18.95" customHeight="1">
      <c r="A180" s="325" t="s">
        <v>1035</v>
      </c>
      <c r="B180" s="325" t="s">
        <v>846</v>
      </c>
      <c r="C180" s="335" t="s">
        <v>85</v>
      </c>
      <c r="D180" s="331">
        <v>13</v>
      </c>
      <c r="E180" s="336"/>
      <c r="F180" s="32"/>
      <c r="G180" s="18"/>
    </row>
    <row r="181" spans="1:7" s="337" customFormat="1" ht="18.95" customHeight="1">
      <c r="A181" s="325" t="s">
        <v>1036</v>
      </c>
      <c r="B181" s="325" t="s">
        <v>1037</v>
      </c>
      <c r="C181" s="335" t="s">
        <v>85</v>
      </c>
      <c r="D181" s="331">
        <v>20</v>
      </c>
      <c r="E181" s="336"/>
      <c r="F181" s="32"/>
      <c r="G181" s="18"/>
    </row>
    <row r="182" spans="1:7" s="337" customFormat="1" ht="18.95" customHeight="1">
      <c r="A182" s="323"/>
      <c r="B182" s="323"/>
      <c r="C182" s="329"/>
      <c r="D182" s="330"/>
      <c r="E182" s="336"/>
      <c r="F182" s="32"/>
      <c r="G182" s="18"/>
    </row>
    <row r="183" spans="1:7" s="337" customFormat="1" ht="18.95" customHeight="1">
      <c r="A183" s="323"/>
      <c r="B183" s="323"/>
      <c r="C183" s="329"/>
      <c r="D183" s="330"/>
      <c r="E183" s="336"/>
      <c r="F183" s="32"/>
      <c r="G183" s="18"/>
    </row>
    <row r="184" spans="1:7" s="337" customFormat="1" ht="18.95" customHeight="1">
      <c r="A184" s="323"/>
      <c r="B184" s="323"/>
      <c r="C184" s="329"/>
      <c r="D184" s="330"/>
      <c r="E184" s="336"/>
      <c r="F184" s="32"/>
      <c r="G184" s="18"/>
    </row>
    <row r="185" spans="1:7" s="337" customFormat="1" ht="18.95" customHeight="1">
      <c r="A185" s="323"/>
      <c r="B185" s="323"/>
      <c r="C185" s="329"/>
      <c r="D185" s="330"/>
      <c r="E185" s="336"/>
      <c r="F185" s="32"/>
      <c r="G185" s="18"/>
    </row>
    <row r="186" spans="1:7" s="337" customFormat="1" ht="18.95" customHeight="1">
      <c r="A186" s="323"/>
      <c r="B186" s="323"/>
      <c r="C186" s="329"/>
      <c r="D186" s="330"/>
      <c r="E186" s="336"/>
      <c r="F186" s="32"/>
      <c r="G186" s="18"/>
    </row>
    <row r="187" spans="1:7" s="337" customFormat="1" ht="18.95" customHeight="1">
      <c r="A187" s="323"/>
      <c r="B187" s="323"/>
      <c r="C187" s="329"/>
      <c r="D187" s="330"/>
      <c r="E187" s="336"/>
      <c r="F187" s="32"/>
      <c r="G187" s="18"/>
    </row>
    <row r="188" spans="1:7" s="337" customFormat="1" ht="18.95" customHeight="1">
      <c r="A188" s="323"/>
      <c r="B188" s="323"/>
      <c r="C188" s="329"/>
      <c r="D188" s="330"/>
      <c r="E188" s="336"/>
      <c r="F188" s="32"/>
      <c r="G188" s="18"/>
    </row>
    <row r="189" spans="1:7" s="337" customFormat="1" ht="18.95" customHeight="1">
      <c r="A189" s="323"/>
      <c r="B189" s="323"/>
      <c r="C189" s="329"/>
      <c r="D189" s="330"/>
      <c r="E189" s="336"/>
      <c r="F189" s="32"/>
      <c r="G189" s="18"/>
    </row>
    <row r="190" spans="1:7" s="337" customFormat="1" ht="18.95" customHeight="1">
      <c r="A190" s="323"/>
      <c r="B190" s="323"/>
      <c r="C190" s="329"/>
      <c r="D190" s="330"/>
      <c r="E190" s="336"/>
      <c r="F190" s="32"/>
      <c r="G190" s="18"/>
    </row>
    <row r="191" spans="1:7" s="337" customFormat="1" ht="18.95" customHeight="1">
      <c r="A191" s="323"/>
      <c r="B191" s="323"/>
      <c r="C191" s="329"/>
      <c r="D191" s="330"/>
      <c r="E191" s="336"/>
      <c r="F191" s="32"/>
      <c r="G191" s="18"/>
    </row>
    <row r="192" spans="1:7" s="337" customFormat="1" ht="18.95" customHeight="1">
      <c r="A192" s="323"/>
      <c r="B192" s="323"/>
      <c r="C192" s="329"/>
      <c r="D192" s="330"/>
      <c r="E192" s="336"/>
      <c r="F192" s="32"/>
      <c r="G192" s="18"/>
    </row>
    <row r="193" spans="1:7" s="337" customFormat="1" ht="18.95" customHeight="1">
      <c r="A193" s="323"/>
      <c r="B193" s="323"/>
      <c r="C193" s="329"/>
      <c r="D193" s="330"/>
      <c r="E193" s="336"/>
      <c r="F193" s="32"/>
      <c r="G193" s="18"/>
    </row>
    <row r="194" spans="1:7" s="337" customFormat="1" ht="18.95" customHeight="1">
      <c r="A194" s="323"/>
      <c r="B194" s="323"/>
      <c r="C194" s="329"/>
      <c r="D194" s="330"/>
      <c r="E194" s="336"/>
      <c r="F194" s="32"/>
      <c r="G194" s="18"/>
    </row>
    <row r="195" spans="1:7" s="337" customFormat="1" ht="18.95" customHeight="1">
      <c r="A195" s="323"/>
      <c r="B195" s="323"/>
      <c r="C195" s="329"/>
      <c r="D195" s="330"/>
      <c r="E195" s="336"/>
      <c r="F195" s="32"/>
      <c r="G195" s="18"/>
    </row>
    <row r="196" spans="1:7" s="337" customFormat="1" ht="18.95" customHeight="1">
      <c r="A196" s="323"/>
      <c r="B196" s="323"/>
      <c r="C196" s="329"/>
      <c r="D196" s="330"/>
      <c r="E196" s="336"/>
      <c r="F196" s="32"/>
      <c r="G196" s="18"/>
    </row>
    <row r="197" spans="1:7" s="337" customFormat="1" ht="18.95" customHeight="1">
      <c r="A197" s="323"/>
      <c r="B197" s="323"/>
      <c r="C197" s="329"/>
      <c r="D197" s="330"/>
      <c r="E197" s="336"/>
      <c r="F197" s="32"/>
      <c r="G197" s="18"/>
    </row>
    <row r="198" spans="1:7" s="337" customFormat="1" ht="18.95" customHeight="1">
      <c r="A198" s="323"/>
      <c r="B198" s="323"/>
      <c r="C198" s="329"/>
      <c r="D198" s="330"/>
      <c r="E198" s="336"/>
      <c r="F198" s="32"/>
      <c r="G198" s="18"/>
    </row>
    <row r="199" spans="1:7" s="337" customFormat="1" ht="18.95" customHeight="1">
      <c r="A199" s="281" t="s">
        <v>1038</v>
      </c>
      <c r="B199" s="323"/>
      <c r="C199" s="329"/>
      <c r="D199" s="330"/>
      <c r="E199" s="336"/>
      <c r="F199" s="32"/>
      <c r="G199" s="18"/>
    </row>
    <row r="200" spans="1:7" s="337" customFormat="1" ht="18.95" customHeight="1">
      <c r="A200" s="325" t="s">
        <v>1039</v>
      </c>
      <c r="B200" s="325" t="s">
        <v>957</v>
      </c>
      <c r="C200" s="335" t="s">
        <v>85</v>
      </c>
      <c r="D200" s="328">
        <v>20</v>
      </c>
      <c r="E200" s="336"/>
      <c r="F200" s="32"/>
      <c r="G200" s="18"/>
    </row>
    <row r="201" spans="1:7" s="337" customFormat="1" ht="18.95" customHeight="1">
      <c r="A201" s="325" t="s">
        <v>1040</v>
      </c>
      <c r="B201" s="325" t="s">
        <v>959</v>
      </c>
      <c r="C201" s="335" t="s">
        <v>85</v>
      </c>
      <c r="D201" s="328">
        <v>9</v>
      </c>
      <c r="E201" s="336"/>
      <c r="F201" s="32"/>
      <c r="G201" s="18"/>
    </row>
    <row r="202" spans="1:7" s="337" customFormat="1" ht="18.95" customHeight="1">
      <c r="A202" s="325" t="s">
        <v>1041</v>
      </c>
      <c r="B202" s="325" t="s">
        <v>961</v>
      </c>
      <c r="C202" s="335" t="s">
        <v>85</v>
      </c>
      <c r="D202" s="328">
        <v>1</v>
      </c>
      <c r="E202" s="336"/>
      <c r="F202" s="32"/>
      <c r="G202" s="18"/>
    </row>
    <row r="203" spans="1:7" s="337" customFormat="1" ht="18.95" customHeight="1">
      <c r="A203" s="325" t="s">
        <v>1042</v>
      </c>
      <c r="B203" s="325" t="s">
        <v>942</v>
      </c>
      <c r="C203" s="335" t="s">
        <v>177</v>
      </c>
      <c r="D203" s="328">
        <v>190</v>
      </c>
      <c r="E203" s="336"/>
      <c r="F203" s="32"/>
      <c r="G203" s="18"/>
    </row>
    <row r="204" spans="1:7" s="337" customFormat="1" ht="18.95" customHeight="1">
      <c r="A204" s="325" t="s">
        <v>1043</v>
      </c>
      <c r="B204" s="325" t="s">
        <v>977</v>
      </c>
      <c r="C204" s="335" t="s">
        <v>177</v>
      </c>
      <c r="D204" s="328">
        <v>14</v>
      </c>
      <c r="E204" s="336"/>
      <c r="F204" s="32"/>
      <c r="G204" s="18"/>
    </row>
    <row r="205" spans="1:7" s="337" customFormat="1" ht="18.95" customHeight="1">
      <c r="A205" s="325" t="s">
        <v>1044</v>
      </c>
      <c r="B205" s="325" t="s">
        <v>1045</v>
      </c>
      <c r="C205" s="335" t="s">
        <v>85</v>
      </c>
      <c r="D205" s="328">
        <v>10</v>
      </c>
      <c r="E205" s="336"/>
      <c r="F205" s="32"/>
      <c r="G205" s="18"/>
    </row>
    <row r="206" spans="1:7" s="337" customFormat="1" ht="18.95" customHeight="1">
      <c r="A206" s="325" t="s">
        <v>1046</v>
      </c>
      <c r="B206" s="325" t="s">
        <v>1028</v>
      </c>
      <c r="C206" s="335" t="s">
        <v>85</v>
      </c>
      <c r="D206" s="328">
        <v>8</v>
      </c>
      <c r="E206" s="336"/>
      <c r="F206" s="32"/>
      <c r="G206" s="18"/>
    </row>
    <row r="207" spans="1:7" s="337" customFormat="1" ht="18.95" customHeight="1">
      <c r="A207" s="325" t="s">
        <v>1047</v>
      </c>
      <c r="B207" s="325" t="s">
        <v>1048</v>
      </c>
      <c r="C207" s="335" t="s">
        <v>85</v>
      </c>
      <c r="D207" s="328">
        <v>7</v>
      </c>
      <c r="E207" s="336"/>
      <c r="F207" s="32"/>
      <c r="G207" s="18"/>
    </row>
    <row r="208" spans="1:7" s="337" customFormat="1" ht="18.95" customHeight="1">
      <c r="A208" s="325" t="s">
        <v>1049</v>
      </c>
      <c r="B208" s="325" t="s">
        <v>846</v>
      </c>
      <c r="C208" s="335" t="s">
        <v>85</v>
      </c>
      <c r="D208" s="328">
        <v>30</v>
      </c>
      <c r="E208" s="336"/>
      <c r="F208" s="32"/>
      <c r="G208" s="18"/>
    </row>
    <row r="209" spans="1:7" s="337" customFormat="1" ht="18.95" customHeight="1">
      <c r="A209" s="325" t="s">
        <v>1050</v>
      </c>
      <c r="B209" s="325" t="s">
        <v>851</v>
      </c>
      <c r="C209" s="335" t="s">
        <v>85</v>
      </c>
      <c r="D209" s="328">
        <v>2</v>
      </c>
      <c r="E209" s="336"/>
      <c r="F209" s="32"/>
      <c r="G209" s="18"/>
    </row>
    <row r="210" spans="1:7" s="337" customFormat="1" ht="18.95" customHeight="1">
      <c r="A210" s="325" t="s">
        <v>1051</v>
      </c>
      <c r="B210" s="325" t="s">
        <v>852</v>
      </c>
      <c r="C210" s="335" t="s">
        <v>85</v>
      </c>
      <c r="D210" s="328">
        <v>2</v>
      </c>
      <c r="E210" s="336"/>
      <c r="F210" s="32"/>
      <c r="G210" s="18"/>
    </row>
    <row r="211" spans="1:7" s="337" customFormat="1" ht="18.95" customHeight="1">
      <c r="A211" s="325" t="s">
        <v>1052</v>
      </c>
      <c r="B211" s="325" t="s">
        <v>853</v>
      </c>
      <c r="C211" s="335" t="s">
        <v>85</v>
      </c>
      <c r="D211" s="328">
        <v>1</v>
      </c>
      <c r="E211" s="336"/>
      <c r="F211" s="32"/>
      <c r="G211" s="18"/>
    </row>
    <row r="212" spans="1:7" s="337" customFormat="1" ht="18.95" customHeight="1">
      <c r="A212" s="325" t="s">
        <v>1053</v>
      </c>
      <c r="B212" s="325" t="s">
        <v>942</v>
      </c>
      <c r="C212" s="335" t="s">
        <v>177</v>
      </c>
      <c r="D212" s="328">
        <v>190</v>
      </c>
      <c r="E212" s="336"/>
      <c r="F212" s="32"/>
      <c r="G212" s="18"/>
    </row>
    <row r="213" spans="1:7" s="337" customFormat="1" ht="18.95" customHeight="1">
      <c r="A213" s="325" t="s">
        <v>1054</v>
      </c>
      <c r="B213" s="325" t="s">
        <v>977</v>
      </c>
      <c r="C213" s="335" t="s">
        <v>177</v>
      </c>
      <c r="D213" s="328">
        <v>14</v>
      </c>
      <c r="E213" s="336"/>
      <c r="F213" s="32"/>
      <c r="G213" s="18"/>
    </row>
    <row r="214" spans="1:7" s="337" customFormat="1" ht="18.95" customHeight="1">
      <c r="A214" s="325" t="s">
        <v>1055</v>
      </c>
      <c r="B214" s="325" t="s">
        <v>947</v>
      </c>
      <c r="C214" s="335" t="s">
        <v>177</v>
      </c>
      <c r="D214" s="328">
        <v>677</v>
      </c>
      <c r="E214" s="336"/>
      <c r="F214" s="32"/>
      <c r="G214" s="18"/>
    </row>
    <row r="215" spans="1:7" s="337" customFormat="1" ht="18.95" customHeight="1">
      <c r="A215" s="325" t="s">
        <v>1056</v>
      </c>
      <c r="B215" s="325" t="s">
        <v>1057</v>
      </c>
      <c r="C215" s="335" t="s">
        <v>85</v>
      </c>
      <c r="D215" s="328">
        <v>10</v>
      </c>
      <c r="E215" s="336"/>
      <c r="F215" s="32"/>
      <c r="G215" s="18"/>
    </row>
    <row r="216" spans="1:7" s="337" customFormat="1" ht="18.95" customHeight="1">
      <c r="A216" s="325" t="s">
        <v>1058</v>
      </c>
      <c r="B216" s="325" t="s">
        <v>846</v>
      </c>
      <c r="C216" s="335" t="s">
        <v>85</v>
      </c>
      <c r="D216" s="328">
        <v>30</v>
      </c>
      <c r="E216" s="336"/>
      <c r="F216" s="32"/>
      <c r="G216" s="18"/>
    </row>
    <row r="217" spans="1:7" s="337" customFormat="1" ht="18.95" customHeight="1">
      <c r="A217" s="325" t="s">
        <v>1059</v>
      </c>
      <c r="B217" s="325" t="s">
        <v>1060</v>
      </c>
      <c r="C217" s="335" t="s">
        <v>85</v>
      </c>
      <c r="D217" s="328">
        <v>8</v>
      </c>
      <c r="E217" s="336"/>
      <c r="F217" s="32"/>
      <c r="G217" s="18"/>
    </row>
    <row r="218" spans="1:7" s="337" customFormat="1" ht="18.95" customHeight="1">
      <c r="A218" s="325" t="s">
        <v>1061</v>
      </c>
      <c r="B218" s="325" t="s">
        <v>1062</v>
      </c>
      <c r="C218" s="335" t="s">
        <v>85</v>
      </c>
      <c r="D218" s="328">
        <v>7</v>
      </c>
      <c r="E218" s="336"/>
      <c r="F218" s="32"/>
      <c r="G218" s="18"/>
    </row>
    <row r="219" spans="1:7" s="337" customFormat="1" ht="18.95" customHeight="1">
      <c r="A219" s="325" t="s">
        <v>1063</v>
      </c>
      <c r="B219" s="325" t="s">
        <v>856</v>
      </c>
      <c r="C219" s="335" t="s">
        <v>85</v>
      </c>
      <c r="D219" s="328">
        <v>2</v>
      </c>
      <c r="E219" s="336"/>
      <c r="F219" s="32"/>
      <c r="G219" s="18"/>
    </row>
    <row r="220" spans="1:7" s="337" customFormat="1" ht="18.95" customHeight="1">
      <c r="A220" s="325" t="s">
        <v>1064</v>
      </c>
      <c r="B220" s="325" t="s">
        <v>857</v>
      </c>
      <c r="C220" s="335" t="s">
        <v>85</v>
      </c>
      <c r="D220" s="328">
        <v>2</v>
      </c>
      <c r="E220" s="336"/>
      <c r="F220" s="32"/>
      <c r="G220" s="18"/>
    </row>
    <row r="221" spans="1:7" s="337" customFormat="1" ht="18.95" customHeight="1">
      <c r="A221" s="325" t="s">
        <v>1065</v>
      </c>
      <c r="B221" s="325" t="s">
        <v>858</v>
      </c>
      <c r="C221" s="335" t="s">
        <v>85</v>
      </c>
      <c r="D221" s="328">
        <v>1</v>
      </c>
      <c r="E221" s="336"/>
      <c r="F221" s="32"/>
      <c r="G221" s="18"/>
    </row>
    <row r="222" spans="1:7" s="337" customFormat="1" ht="18.95" customHeight="1">
      <c r="A222" s="323"/>
      <c r="B222" s="323"/>
      <c r="C222" s="329"/>
      <c r="D222" s="330"/>
      <c r="E222" s="336"/>
      <c r="F222" s="32"/>
      <c r="G222" s="18"/>
    </row>
    <row r="223" spans="1:7" s="337" customFormat="1" ht="18.95" customHeight="1">
      <c r="A223" s="323"/>
      <c r="B223" s="323"/>
      <c r="C223" s="329"/>
      <c r="D223" s="330"/>
      <c r="E223" s="336"/>
      <c r="F223" s="32"/>
      <c r="G223" s="18"/>
    </row>
    <row r="224" spans="1:7" s="337" customFormat="1" ht="18.95" customHeight="1">
      <c r="A224" s="323"/>
      <c r="B224" s="323"/>
      <c r="C224" s="329"/>
      <c r="D224" s="330"/>
      <c r="E224" s="336"/>
      <c r="F224" s="32"/>
      <c r="G224" s="18"/>
    </row>
    <row r="225" spans="1:9" s="337" customFormat="1" ht="18.95" customHeight="1">
      <c r="A225" s="323"/>
      <c r="B225" s="323"/>
      <c r="C225" s="329"/>
      <c r="D225" s="330"/>
      <c r="E225" s="336"/>
      <c r="F225" s="32"/>
      <c r="G225" s="18"/>
    </row>
    <row r="226" spans="1:9" s="337" customFormat="1" ht="18.95" customHeight="1">
      <c r="A226" s="323"/>
      <c r="B226" s="323"/>
      <c r="C226" s="329"/>
      <c r="D226" s="330"/>
      <c r="E226" s="336"/>
      <c r="F226" s="32"/>
      <c r="G226" s="18"/>
    </row>
    <row r="227" spans="1:9" s="34" customFormat="1" ht="18.95" customHeight="1">
      <c r="A227" s="209" t="s">
        <v>46</v>
      </c>
      <c r="B227" s="209"/>
      <c r="C227" s="174" t="s">
        <v>6</v>
      </c>
      <c r="D227" s="280">
        <v>1</v>
      </c>
      <c r="E227" s="17"/>
      <c r="F227" s="32"/>
      <c r="G227" s="18"/>
    </row>
    <row r="228" spans="1:9" s="34" customFormat="1" ht="18.95" customHeight="1">
      <c r="A228" s="209" t="s">
        <v>47</v>
      </c>
      <c r="B228" s="209"/>
      <c r="C228" s="174" t="s">
        <v>6</v>
      </c>
      <c r="D228" s="280">
        <v>1</v>
      </c>
      <c r="E228" s="17"/>
      <c r="F228" s="32"/>
      <c r="G228" s="18"/>
    </row>
    <row r="229" spans="1:9" s="34" customFormat="1" ht="18.95" customHeight="1">
      <c r="A229" s="209" t="s">
        <v>48</v>
      </c>
      <c r="B229" s="209"/>
      <c r="C229" s="175" t="s">
        <v>6</v>
      </c>
      <c r="D229" s="280">
        <v>1</v>
      </c>
      <c r="E229" s="17"/>
      <c r="F229" s="32"/>
      <c r="G229" s="18"/>
    </row>
    <row r="230" spans="1:9" s="34" customFormat="1" ht="18.95" customHeight="1">
      <c r="A230" s="209" t="s">
        <v>49</v>
      </c>
      <c r="B230" s="209"/>
      <c r="C230" s="175" t="s">
        <v>6</v>
      </c>
      <c r="D230" s="280">
        <v>1</v>
      </c>
      <c r="E230" s="17"/>
      <c r="F230" s="32"/>
      <c r="G230" s="18"/>
    </row>
    <row r="231" spans="1:9" s="34" customFormat="1" ht="18.95" customHeight="1">
      <c r="A231" s="209" t="s">
        <v>826</v>
      </c>
      <c r="B231" s="209"/>
      <c r="C231" s="175" t="s">
        <v>6</v>
      </c>
      <c r="D231" s="280">
        <v>1</v>
      </c>
      <c r="E231" s="17"/>
      <c r="F231" s="32"/>
      <c r="G231" s="18"/>
    </row>
    <row r="232" spans="1:9" s="34" customFormat="1" ht="18.95" customHeight="1">
      <c r="A232" s="209" t="s">
        <v>827</v>
      </c>
      <c r="B232" s="209"/>
      <c r="C232" s="175" t="s">
        <v>6</v>
      </c>
      <c r="D232" s="280">
        <v>1</v>
      </c>
      <c r="E232" s="17"/>
      <c r="F232" s="32"/>
      <c r="G232" s="18"/>
    </row>
    <row r="233" spans="1:9" s="34" customFormat="1" ht="18.95" customHeight="1">
      <c r="A233" s="209" t="s">
        <v>828</v>
      </c>
      <c r="B233" s="209"/>
      <c r="C233" s="175" t="s">
        <v>6</v>
      </c>
      <c r="D233" s="280">
        <v>1</v>
      </c>
      <c r="E233" s="17"/>
      <c r="F233" s="32"/>
      <c r="G233" s="18"/>
    </row>
    <row r="234" spans="1:9" s="34" customFormat="1" ht="18.95" customHeight="1">
      <c r="A234" s="209" t="s">
        <v>100</v>
      </c>
      <c r="B234" s="209"/>
      <c r="C234" s="175" t="s">
        <v>6</v>
      </c>
      <c r="D234" s="280">
        <v>1</v>
      </c>
      <c r="E234" s="17"/>
      <c r="F234" s="32"/>
      <c r="G234" s="18"/>
    </row>
    <row r="235" spans="1:9" s="34" customFormat="1" ht="18.95" customHeight="1">
      <c r="A235" s="209" t="s">
        <v>66</v>
      </c>
      <c r="B235" s="209"/>
      <c r="C235" s="174" t="s">
        <v>6</v>
      </c>
      <c r="D235" s="280">
        <v>1</v>
      </c>
      <c r="E235" s="17"/>
      <c r="F235" s="32"/>
      <c r="G235" s="18"/>
    </row>
    <row r="236" spans="1:9" s="34" customFormat="1" ht="18.95" customHeight="1">
      <c r="A236" s="209" t="s">
        <v>870</v>
      </c>
      <c r="B236" s="209"/>
      <c r="C236" s="174" t="s">
        <v>871</v>
      </c>
      <c r="D236" s="280">
        <v>1</v>
      </c>
      <c r="E236" s="17"/>
      <c r="F236" s="32"/>
      <c r="G236" s="18"/>
    </row>
    <row r="237" spans="1:9" s="34" customFormat="1" ht="18.95" customHeight="1">
      <c r="A237" s="209" t="s">
        <v>872</v>
      </c>
      <c r="B237" s="209"/>
      <c r="C237" s="174" t="s">
        <v>873</v>
      </c>
      <c r="D237" s="280">
        <v>1</v>
      </c>
      <c r="E237" s="17"/>
      <c r="F237" s="32"/>
      <c r="G237" s="18"/>
    </row>
    <row r="238" spans="1:9" s="34" customFormat="1" ht="18.95" customHeight="1">
      <c r="A238" s="209" t="s">
        <v>50</v>
      </c>
      <c r="B238" s="209"/>
      <c r="C238" s="174" t="s">
        <v>6</v>
      </c>
      <c r="D238" s="280">
        <v>1</v>
      </c>
      <c r="E238" s="17"/>
      <c r="F238" s="32"/>
      <c r="G238" s="18"/>
      <c r="I238" s="1"/>
    </row>
    <row r="239" spans="1:9" s="34" customFormat="1" ht="18.95" customHeight="1">
      <c r="A239" s="173" t="s">
        <v>51</v>
      </c>
      <c r="B239" s="173"/>
      <c r="C239" s="174" t="s">
        <v>6</v>
      </c>
      <c r="D239" s="280">
        <v>1</v>
      </c>
      <c r="E239" s="17"/>
      <c r="F239" s="32"/>
      <c r="G239" s="18"/>
      <c r="I239" s="2"/>
    </row>
    <row r="240" spans="1:9" s="34" customFormat="1" ht="18.95" customHeight="1">
      <c r="A240" s="173" t="s">
        <v>815</v>
      </c>
      <c r="B240" s="173"/>
      <c r="C240" s="174" t="s">
        <v>6</v>
      </c>
      <c r="D240" s="181">
        <v>1</v>
      </c>
      <c r="E240" s="17"/>
      <c r="F240" s="32"/>
      <c r="G240" s="18"/>
    </row>
    <row r="241" spans="1:10" s="34" customFormat="1" ht="18.95" customHeight="1">
      <c r="A241" s="173"/>
      <c r="B241" s="173"/>
      <c r="C241" s="174"/>
      <c r="D241" s="280"/>
      <c r="E241" s="17"/>
      <c r="F241" s="32"/>
      <c r="G241" s="18"/>
      <c r="H241" s="279"/>
      <c r="I241" s="2"/>
    </row>
    <row r="242" spans="1:10" s="34" customFormat="1" ht="18.95" customHeight="1">
      <c r="A242" s="173" t="s">
        <v>67</v>
      </c>
      <c r="B242" s="173"/>
      <c r="C242" s="174" t="s">
        <v>6</v>
      </c>
      <c r="D242" s="280">
        <v>1</v>
      </c>
      <c r="E242" s="17"/>
      <c r="F242" s="32"/>
      <c r="G242" s="18"/>
      <c r="I242" s="2"/>
      <c r="J242" s="2"/>
    </row>
    <row r="243" spans="1:10" s="34" customFormat="1" ht="18.95" customHeight="1">
      <c r="A243" s="173" t="s">
        <v>68</v>
      </c>
      <c r="B243" s="173"/>
      <c r="C243" s="174" t="s">
        <v>6</v>
      </c>
      <c r="D243" s="280">
        <v>1</v>
      </c>
      <c r="E243" s="17"/>
      <c r="F243" s="32"/>
      <c r="G243" s="18"/>
      <c r="H243" s="2"/>
      <c r="I243" s="2"/>
      <c r="J243" s="2"/>
    </row>
    <row r="244" spans="1:10" s="34" customFormat="1" ht="18.95" customHeight="1">
      <c r="A244" s="209"/>
      <c r="B244" s="209"/>
      <c r="C244" s="174"/>
      <c r="D244" s="280"/>
      <c r="E244" s="17"/>
      <c r="F244" s="32"/>
      <c r="G244" s="18"/>
      <c r="J244" s="2"/>
    </row>
    <row r="245" spans="1:10" s="34" customFormat="1" ht="18.95" customHeight="1">
      <c r="A245" s="173" t="s">
        <v>65</v>
      </c>
      <c r="B245" s="173"/>
      <c r="C245" s="174" t="s">
        <v>6</v>
      </c>
      <c r="D245" s="280">
        <v>1</v>
      </c>
      <c r="E245" s="17"/>
      <c r="F245" s="32"/>
      <c r="G245" s="18"/>
      <c r="I245" s="2"/>
    </row>
    <row r="246" spans="1:10" s="34" customFormat="1" ht="18.95" customHeight="1">
      <c r="A246" s="209"/>
      <c r="B246" s="209"/>
      <c r="C246" s="174"/>
      <c r="D246" s="280"/>
      <c r="E246" s="17"/>
      <c r="F246" s="32"/>
      <c r="G246" s="18"/>
      <c r="I246" s="1"/>
    </row>
    <row r="247" spans="1:10" s="34" customFormat="1" ht="18.95" customHeight="1">
      <c r="A247" s="209"/>
      <c r="B247" s="209"/>
      <c r="C247" s="174"/>
      <c r="D247" s="280"/>
      <c r="E247" s="17"/>
      <c r="F247" s="32"/>
      <c r="G247" s="18"/>
      <c r="I247" s="1"/>
    </row>
    <row r="248" spans="1:10" s="34" customFormat="1" ht="18.95" customHeight="1">
      <c r="A248" s="209"/>
      <c r="B248" s="209"/>
      <c r="C248" s="174"/>
      <c r="D248" s="280"/>
      <c r="E248" s="17"/>
      <c r="F248" s="32"/>
      <c r="G248" s="18"/>
      <c r="I248" s="1"/>
    </row>
    <row r="249" spans="1:10" s="34" customFormat="1" ht="18.95" customHeight="1">
      <c r="A249" s="209"/>
      <c r="B249" s="209"/>
      <c r="C249" s="174"/>
      <c r="D249" s="280"/>
      <c r="E249" s="17"/>
      <c r="F249" s="32"/>
      <c r="G249" s="18"/>
      <c r="I249" s="1"/>
    </row>
    <row r="250" spans="1:10" s="34" customFormat="1" ht="18.95" customHeight="1">
      <c r="A250" s="209"/>
      <c r="B250" s="209"/>
      <c r="C250" s="174"/>
      <c r="D250" s="280"/>
      <c r="E250" s="17"/>
      <c r="F250" s="32"/>
      <c r="G250" s="18"/>
      <c r="I250" s="1"/>
    </row>
    <row r="251" spans="1:10" s="34" customFormat="1" ht="18.95" customHeight="1">
      <c r="A251" s="209"/>
      <c r="B251" s="209"/>
      <c r="C251" s="174"/>
      <c r="D251" s="280"/>
      <c r="E251" s="17"/>
      <c r="F251" s="32"/>
      <c r="G251" s="18"/>
      <c r="I251" s="1"/>
    </row>
    <row r="252" spans="1:10" s="34" customFormat="1" ht="18.95" customHeight="1">
      <c r="A252" s="209"/>
      <c r="B252" s="209"/>
      <c r="C252" s="174"/>
      <c r="D252" s="280"/>
      <c r="E252" s="17"/>
      <c r="F252" s="32"/>
      <c r="G252" s="18"/>
      <c r="I252" s="2"/>
    </row>
    <row r="253" spans="1:10" s="34" customFormat="1" ht="18.95" customHeight="1">
      <c r="A253" s="173"/>
      <c r="B253" s="173"/>
      <c r="C253" s="174"/>
      <c r="D253" s="280"/>
      <c r="E253" s="17"/>
      <c r="F253" s="32"/>
      <c r="G253" s="18"/>
    </row>
    <row r="254" spans="1:10" s="34" customFormat="1" ht="18.95" customHeight="1">
      <c r="A254" s="173"/>
      <c r="B254" s="173"/>
      <c r="C254" s="174"/>
      <c r="D254" s="280"/>
      <c r="E254" s="17"/>
      <c r="F254" s="32"/>
      <c r="G254" s="18"/>
      <c r="I254" s="2"/>
    </row>
  </sheetData>
  <sortState ref="A7:G7">
    <sortCondition ref="A7"/>
  </sortState>
  <mergeCells count="1">
    <mergeCell ref="A1:G1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2" fitToHeight="0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  <pageSetUpPr fitToPage="1"/>
  </sheetPr>
  <dimension ref="A1:K227"/>
  <sheetViews>
    <sheetView showZeros="0" view="pageBreakPreview" zoomScaleNormal="100" zoomScaleSheetLayoutView="100" workbookViewId="0">
      <pane ySplit="2" topLeftCell="A171" activePane="bottomLeft" state="frozen"/>
      <selection activeCell="D4" sqref="D4"/>
      <selection pane="bottomLeft" activeCell="I16" sqref="I16"/>
    </sheetView>
  </sheetViews>
  <sheetFormatPr defaultColWidth="8.88671875" defaultRowHeight="24.95" customHeight="1"/>
  <cols>
    <col min="1" max="1" width="28.21875" style="35" customWidth="1"/>
    <col min="2" max="2" width="28.109375" style="35" customWidth="1"/>
    <col min="3" max="3" width="6.88671875" style="36" customWidth="1"/>
    <col min="4" max="4" width="10.109375" style="36" customWidth="1"/>
    <col min="5" max="5" width="14" style="25" customWidth="1"/>
    <col min="6" max="6" width="14.77734375" style="25" customWidth="1"/>
    <col min="7" max="7" width="11.33203125" style="37" customWidth="1"/>
    <col min="8" max="8" width="8.88671875" style="25"/>
    <col min="9" max="9" width="43.44140625" style="25" customWidth="1"/>
    <col min="10" max="16384" width="8.88671875" style="25"/>
  </cols>
  <sheetData>
    <row r="1" spans="1:11" ht="27.75" customHeight="1">
      <c r="A1" s="395" t="s">
        <v>777</v>
      </c>
      <c r="B1" s="395"/>
      <c r="C1" s="395"/>
      <c r="D1" s="395"/>
      <c r="E1" s="395"/>
      <c r="F1" s="395"/>
      <c r="G1" s="395"/>
    </row>
    <row r="2" spans="1:11" s="26" customFormat="1" ht="17.45" customHeight="1">
      <c r="A2" s="207" t="s">
        <v>44</v>
      </c>
      <c r="B2" s="207" t="s">
        <v>8</v>
      </c>
      <c r="C2" s="207" t="s">
        <v>3</v>
      </c>
      <c r="D2" s="207" t="s">
        <v>9</v>
      </c>
      <c r="E2" s="207" t="s">
        <v>10</v>
      </c>
      <c r="F2" s="207" t="s">
        <v>11</v>
      </c>
      <c r="G2" s="207" t="s">
        <v>12</v>
      </c>
    </row>
    <row r="3" spans="1:11" s="34" customFormat="1" ht="19.149999999999999" customHeight="1">
      <c r="A3" s="178" t="s">
        <v>786</v>
      </c>
      <c r="B3" s="179"/>
      <c r="C3" s="178"/>
      <c r="D3" s="180"/>
      <c r="E3" s="145"/>
      <c r="F3" s="32"/>
      <c r="G3" s="33"/>
      <c r="I3" s="22"/>
      <c r="J3" s="77"/>
      <c r="K3" s="78"/>
    </row>
    <row r="4" spans="1:11" s="34" customFormat="1" ht="19.149999999999999" customHeight="1">
      <c r="A4" s="210" t="s">
        <v>175</v>
      </c>
      <c r="B4" s="211" t="s">
        <v>176</v>
      </c>
      <c r="C4" s="213" t="s">
        <v>177</v>
      </c>
      <c r="D4" s="212">
        <v>59</v>
      </c>
      <c r="E4" s="145"/>
      <c r="F4" s="32"/>
      <c r="G4" s="33" t="s">
        <v>219</v>
      </c>
      <c r="I4" s="22"/>
      <c r="J4" s="77"/>
      <c r="K4" s="78"/>
    </row>
    <row r="5" spans="1:11" s="34" customFormat="1" ht="19.149999999999999" customHeight="1">
      <c r="A5" s="210" t="s">
        <v>175</v>
      </c>
      <c r="B5" s="211" t="s">
        <v>178</v>
      </c>
      <c r="C5" s="213" t="s">
        <v>177</v>
      </c>
      <c r="D5" s="212">
        <v>67</v>
      </c>
      <c r="E5" s="145"/>
      <c r="F5" s="32"/>
      <c r="G5" s="33" t="s">
        <v>220</v>
      </c>
      <c r="I5" s="22"/>
      <c r="J5" s="77"/>
      <c r="K5" s="78"/>
    </row>
    <row r="6" spans="1:11" s="34" customFormat="1" ht="19.149999999999999" customHeight="1">
      <c r="A6" s="210" t="s">
        <v>175</v>
      </c>
      <c r="B6" s="211" t="s">
        <v>179</v>
      </c>
      <c r="C6" s="213" t="s">
        <v>177</v>
      </c>
      <c r="D6" s="212">
        <v>50</v>
      </c>
      <c r="E6" s="145"/>
      <c r="F6" s="32"/>
      <c r="G6" s="33" t="s">
        <v>221</v>
      </c>
      <c r="I6" s="22"/>
      <c r="J6" s="77"/>
      <c r="K6" s="78"/>
    </row>
    <row r="7" spans="1:11" s="34" customFormat="1" ht="19.149999999999999" customHeight="1">
      <c r="A7" s="210" t="s">
        <v>181</v>
      </c>
      <c r="B7" s="211" t="s">
        <v>182</v>
      </c>
      <c r="C7" s="213" t="s">
        <v>177</v>
      </c>
      <c r="D7" s="212">
        <v>559</v>
      </c>
      <c r="E7" s="145"/>
      <c r="F7" s="32"/>
      <c r="G7" s="33" t="s">
        <v>223</v>
      </c>
      <c r="I7" s="22"/>
      <c r="J7" s="77"/>
      <c r="K7" s="78"/>
    </row>
    <row r="8" spans="1:11" s="34" customFormat="1" ht="19.149999999999999" customHeight="1">
      <c r="A8" s="210" t="s">
        <v>181</v>
      </c>
      <c r="B8" s="211" t="s">
        <v>183</v>
      </c>
      <c r="C8" s="213" t="s">
        <v>177</v>
      </c>
      <c r="D8" s="212">
        <v>67</v>
      </c>
      <c r="E8" s="145"/>
      <c r="F8" s="32"/>
      <c r="G8" s="33" t="s">
        <v>224</v>
      </c>
      <c r="I8" s="22"/>
      <c r="J8" s="77"/>
      <c r="K8" s="78"/>
    </row>
    <row r="9" spans="1:11" s="34" customFormat="1" ht="19.149999999999999" customHeight="1">
      <c r="A9" s="210" t="s">
        <v>181</v>
      </c>
      <c r="B9" s="211" t="s">
        <v>184</v>
      </c>
      <c r="C9" s="213" t="s">
        <v>177</v>
      </c>
      <c r="D9" s="212">
        <v>200</v>
      </c>
      <c r="E9" s="145"/>
      <c r="F9" s="32"/>
      <c r="G9" s="33" t="s">
        <v>225</v>
      </c>
      <c r="I9" s="22"/>
      <c r="J9" s="77"/>
      <c r="K9" s="78"/>
    </row>
    <row r="10" spans="1:11" s="34" customFormat="1" ht="19.149999999999999" customHeight="1">
      <c r="A10" s="210" t="s">
        <v>186</v>
      </c>
      <c r="B10" s="211" t="s">
        <v>187</v>
      </c>
      <c r="C10" s="213" t="s">
        <v>177</v>
      </c>
      <c r="D10" s="212">
        <v>559</v>
      </c>
      <c r="E10" s="145"/>
      <c r="F10" s="32"/>
      <c r="G10" s="33" t="s">
        <v>227</v>
      </c>
      <c r="I10" s="22"/>
      <c r="J10" s="77"/>
      <c r="K10" s="78"/>
    </row>
    <row r="11" spans="1:11" s="34" customFormat="1" ht="19.149999999999999" customHeight="1">
      <c r="A11" s="210" t="s">
        <v>186</v>
      </c>
      <c r="B11" s="211" t="s">
        <v>133</v>
      </c>
      <c r="C11" s="213" t="s">
        <v>177</v>
      </c>
      <c r="D11" s="212">
        <v>67</v>
      </c>
      <c r="E11" s="145"/>
      <c r="F11" s="32"/>
      <c r="G11" s="33" t="s">
        <v>228</v>
      </c>
      <c r="I11" s="22"/>
      <c r="J11" s="77"/>
      <c r="K11" s="78"/>
    </row>
    <row r="12" spans="1:11" s="34" customFormat="1" ht="19.149999999999999" customHeight="1">
      <c r="A12" s="210" t="s">
        <v>186</v>
      </c>
      <c r="B12" s="211" t="s">
        <v>121</v>
      </c>
      <c r="C12" s="213" t="s">
        <v>177</v>
      </c>
      <c r="D12" s="212">
        <v>50</v>
      </c>
      <c r="E12" s="145"/>
      <c r="F12" s="32"/>
      <c r="G12" s="33" t="s">
        <v>230</v>
      </c>
      <c r="I12" s="22"/>
      <c r="J12" s="77"/>
      <c r="K12" s="78"/>
    </row>
    <row r="13" spans="1:11" s="34" customFormat="1" ht="19.149999999999999" customHeight="1">
      <c r="A13" s="210" t="s">
        <v>188</v>
      </c>
      <c r="B13" s="211" t="s">
        <v>189</v>
      </c>
      <c r="C13" s="213" t="s">
        <v>129</v>
      </c>
      <c r="D13" s="212">
        <v>1</v>
      </c>
      <c r="E13" s="145"/>
      <c r="F13" s="32"/>
      <c r="G13" s="33" t="s">
        <v>748</v>
      </c>
      <c r="I13" s="22"/>
      <c r="J13" s="77"/>
      <c r="K13" s="78"/>
    </row>
    <row r="14" spans="1:11" s="34" customFormat="1" ht="19.149999999999999" customHeight="1">
      <c r="A14" s="210" t="s">
        <v>131</v>
      </c>
      <c r="B14" s="211" t="s">
        <v>190</v>
      </c>
      <c r="C14" s="213" t="s">
        <v>191</v>
      </c>
      <c r="D14" s="212">
        <v>1</v>
      </c>
      <c r="E14" s="145"/>
      <c r="F14" s="32"/>
      <c r="G14" s="33" t="s">
        <v>233</v>
      </c>
      <c r="I14" s="22"/>
      <c r="J14" s="77"/>
      <c r="K14" s="78"/>
    </row>
    <row r="15" spans="1:11" s="34" customFormat="1" ht="19.149999999999999" customHeight="1">
      <c r="A15" s="210" t="s">
        <v>131</v>
      </c>
      <c r="B15" s="211" t="s">
        <v>192</v>
      </c>
      <c r="C15" s="213" t="s">
        <v>191</v>
      </c>
      <c r="D15" s="212">
        <v>4</v>
      </c>
      <c r="E15" s="145"/>
      <c r="F15" s="32"/>
      <c r="G15" s="33" t="s">
        <v>749</v>
      </c>
      <c r="I15" s="22"/>
      <c r="J15" s="77"/>
      <c r="K15" s="78"/>
    </row>
    <row r="16" spans="1:11" s="34" customFormat="1" ht="19.149999999999999" customHeight="1">
      <c r="A16" s="210" t="s">
        <v>131</v>
      </c>
      <c r="B16" s="211" t="s">
        <v>194</v>
      </c>
      <c r="C16" s="213" t="s">
        <v>191</v>
      </c>
      <c r="D16" s="212">
        <v>4</v>
      </c>
      <c r="E16" s="145"/>
      <c r="F16" s="32"/>
      <c r="G16" s="33" t="s">
        <v>234</v>
      </c>
      <c r="I16" s="22"/>
      <c r="J16" s="77"/>
      <c r="K16" s="78"/>
    </row>
    <row r="17" spans="1:11" s="34" customFormat="1" ht="19.149999999999999" customHeight="1">
      <c r="A17" s="210" t="s">
        <v>195</v>
      </c>
      <c r="B17" s="211" t="s">
        <v>196</v>
      </c>
      <c r="C17" s="213" t="s">
        <v>85</v>
      </c>
      <c r="D17" s="212">
        <v>1</v>
      </c>
      <c r="E17" s="145"/>
      <c r="F17" s="32"/>
      <c r="G17" s="33" t="s">
        <v>236</v>
      </c>
      <c r="I17" s="22"/>
      <c r="J17" s="77"/>
      <c r="K17" s="78"/>
    </row>
    <row r="18" spans="1:11" s="34" customFormat="1" ht="19.149999999999999" customHeight="1">
      <c r="A18" s="210" t="s">
        <v>119</v>
      </c>
      <c r="B18" s="211" t="s">
        <v>198</v>
      </c>
      <c r="C18" s="213" t="s">
        <v>85</v>
      </c>
      <c r="D18" s="212">
        <v>8</v>
      </c>
      <c r="E18" s="145"/>
      <c r="F18" s="32"/>
      <c r="G18" s="33" t="s">
        <v>238</v>
      </c>
      <c r="I18" s="22"/>
      <c r="J18" s="77"/>
      <c r="K18" s="78"/>
    </row>
    <row r="19" spans="1:11" s="34" customFormat="1" ht="19.149999999999999" customHeight="1">
      <c r="A19" s="210" t="s">
        <v>200</v>
      </c>
      <c r="B19" s="211" t="s">
        <v>202</v>
      </c>
      <c r="C19" s="213" t="s">
        <v>85</v>
      </c>
      <c r="D19" s="212">
        <v>2</v>
      </c>
      <c r="E19" s="145"/>
      <c r="F19" s="32"/>
      <c r="G19" s="33" t="s">
        <v>241</v>
      </c>
      <c r="I19" s="22"/>
      <c r="J19" s="77"/>
      <c r="K19" s="78"/>
    </row>
    <row r="20" spans="1:11" s="34" customFormat="1" ht="19.149999999999999" customHeight="1">
      <c r="A20" s="210" t="s">
        <v>210</v>
      </c>
      <c r="B20" s="211" t="s">
        <v>211</v>
      </c>
      <c r="C20" s="213" t="s">
        <v>127</v>
      </c>
      <c r="D20" s="212">
        <v>104</v>
      </c>
      <c r="E20" s="145"/>
      <c r="F20" s="32"/>
      <c r="G20" s="33" t="s">
        <v>247</v>
      </c>
      <c r="I20" s="22"/>
      <c r="J20" s="77"/>
      <c r="K20" s="78"/>
    </row>
    <row r="21" spans="1:11" s="34" customFormat="1" ht="19.149999999999999" customHeight="1">
      <c r="A21" s="210" t="s">
        <v>212</v>
      </c>
      <c r="B21" s="211" t="s">
        <v>211</v>
      </c>
      <c r="C21" s="213" t="s">
        <v>127</v>
      </c>
      <c r="D21" s="212">
        <v>104</v>
      </c>
      <c r="E21" s="145"/>
      <c r="F21" s="32"/>
      <c r="G21" s="33" t="s">
        <v>247</v>
      </c>
      <c r="I21" s="22"/>
      <c r="J21" s="77"/>
      <c r="K21" s="78"/>
    </row>
    <row r="22" spans="1:11" s="34" customFormat="1" ht="19.149999999999999" customHeight="1">
      <c r="A22" s="210" t="s">
        <v>213</v>
      </c>
      <c r="B22" s="211" t="s">
        <v>214</v>
      </c>
      <c r="C22" s="213" t="s">
        <v>215</v>
      </c>
      <c r="D22" s="212">
        <v>1</v>
      </c>
      <c r="E22" s="145"/>
      <c r="F22" s="32"/>
      <c r="G22" s="33" t="s">
        <v>591</v>
      </c>
      <c r="I22" s="22"/>
      <c r="J22" s="77"/>
      <c r="K22" s="78"/>
    </row>
    <row r="23" spans="1:11" s="34" customFormat="1" ht="19.149999999999999" customHeight="1">
      <c r="A23" s="210" t="s">
        <v>217</v>
      </c>
      <c r="B23" s="211" t="s">
        <v>218</v>
      </c>
      <c r="C23" s="213" t="s">
        <v>103</v>
      </c>
      <c r="D23" s="212">
        <v>174</v>
      </c>
      <c r="E23" s="145"/>
      <c r="F23" s="32"/>
      <c r="G23" s="33" t="s">
        <v>248</v>
      </c>
      <c r="I23" s="22"/>
      <c r="J23" s="77"/>
      <c r="K23" s="78"/>
    </row>
    <row r="24" spans="1:11" s="34" customFormat="1" ht="19.149999999999999" customHeight="1">
      <c r="A24" s="178"/>
      <c r="B24" s="179"/>
      <c r="C24" s="178"/>
      <c r="D24" s="180"/>
      <c r="E24" s="145"/>
      <c r="F24" s="32"/>
      <c r="G24" s="33"/>
      <c r="I24" s="22"/>
      <c r="J24" s="77"/>
      <c r="K24" s="78"/>
    </row>
    <row r="25" spans="1:11" s="34" customFormat="1" ht="19.149999999999999" customHeight="1">
      <c r="A25" s="178"/>
      <c r="B25" s="179"/>
      <c r="C25" s="178"/>
      <c r="D25" s="180"/>
      <c r="E25" s="145"/>
      <c r="F25" s="32"/>
      <c r="G25" s="33"/>
      <c r="I25" s="22"/>
      <c r="J25" s="77"/>
      <c r="K25" s="78"/>
    </row>
    <row r="26" spans="1:11" s="34" customFormat="1" ht="19.149999999999999" customHeight="1">
      <c r="A26" s="178"/>
      <c r="B26" s="179"/>
      <c r="C26" s="178"/>
      <c r="D26" s="180"/>
      <c r="E26" s="145"/>
      <c r="F26" s="32"/>
      <c r="G26" s="33"/>
      <c r="I26" s="22"/>
      <c r="J26" s="77"/>
      <c r="K26" s="78"/>
    </row>
    <row r="27" spans="1:11" s="34" customFormat="1" ht="19.149999999999999" customHeight="1">
      <c r="A27" s="182" t="s">
        <v>132</v>
      </c>
      <c r="B27" s="173"/>
      <c r="C27" s="175"/>
      <c r="D27" s="183"/>
      <c r="E27" s="145"/>
      <c r="F27" s="32"/>
      <c r="G27" s="33"/>
    </row>
    <row r="28" spans="1:11" s="34" customFormat="1" ht="19.149999999999999" customHeight="1">
      <c r="A28" s="178" t="s">
        <v>742</v>
      </c>
      <c r="B28" s="179"/>
      <c r="C28" s="178"/>
      <c r="D28" s="180"/>
      <c r="E28" s="145"/>
      <c r="F28" s="32"/>
      <c r="G28" s="33"/>
      <c r="I28" s="22"/>
      <c r="J28" s="77"/>
      <c r="K28" s="78"/>
    </row>
    <row r="29" spans="1:11" s="34" customFormat="1" ht="19.149999999999999" customHeight="1">
      <c r="A29" s="210" t="s">
        <v>250</v>
      </c>
      <c r="B29" s="211" t="s">
        <v>133</v>
      </c>
      <c r="C29" s="213" t="s">
        <v>177</v>
      </c>
      <c r="D29" s="212">
        <v>62</v>
      </c>
      <c r="E29" s="145"/>
      <c r="F29" s="32"/>
      <c r="G29" s="33" t="s">
        <v>321</v>
      </c>
      <c r="I29" s="22"/>
      <c r="J29" s="77"/>
      <c r="K29" s="78"/>
    </row>
    <row r="30" spans="1:11" s="34" customFormat="1" ht="19.149999999999999" customHeight="1">
      <c r="A30" s="210" t="s">
        <v>250</v>
      </c>
      <c r="B30" s="211" t="s">
        <v>105</v>
      </c>
      <c r="C30" s="213" t="s">
        <v>177</v>
      </c>
      <c r="D30" s="212">
        <v>5</v>
      </c>
      <c r="E30" s="145"/>
      <c r="F30" s="32"/>
      <c r="G30" s="33" t="s">
        <v>322</v>
      </c>
      <c r="I30" s="22"/>
      <c r="J30" s="77"/>
      <c r="K30" s="78"/>
    </row>
    <row r="31" spans="1:11" s="34" customFormat="1" ht="19.149999999999999" customHeight="1">
      <c r="A31" s="210" t="s">
        <v>250</v>
      </c>
      <c r="B31" s="211" t="s">
        <v>106</v>
      </c>
      <c r="C31" s="213" t="s">
        <v>177</v>
      </c>
      <c r="D31" s="212">
        <v>61</v>
      </c>
      <c r="E31" s="145"/>
      <c r="F31" s="32"/>
      <c r="G31" s="33" t="s">
        <v>323</v>
      </c>
      <c r="I31" s="22"/>
      <c r="J31" s="77"/>
      <c r="K31" s="78"/>
    </row>
    <row r="32" spans="1:11" s="34" customFormat="1" ht="19.149999999999999" customHeight="1">
      <c r="A32" s="210" t="s">
        <v>251</v>
      </c>
      <c r="B32" s="211" t="s">
        <v>279</v>
      </c>
      <c r="C32" s="213" t="s">
        <v>177</v>
      </c>
      <c r="D32" s="212">
        <v>62</v>
      </c>
      <c r="E32" s="145"/>
      <c r="F32" s="32"/>
      <c r="G32" s="33" t="s">
        <v>324</v>
      </c>
      <c r="I32" s="22"/>
      <c r="J32" s="77"/>
      <c r="K32" s="78"/>
    </row>
    <row r="33" spans="1:11" s="34" customFormat="1" ht="19.149999999999999" customHeight="1">
      <c r="A33" s="210" t="s">
        <v>251</v>
      </c>
      <c r="B33" s="211" t="s">
        <v>282</v>
      </c>
      <c r="C33" s="213" t="s">
        <v>177</v>
      </c>
      <c r="D33" s="212">
        <v>5</v>
      </c>
      <c r="E33" s="145"/>
      <c r="F33" s="32"/>
      <c r="G33" s="33" t="s">
        <v>327</v>
      </c>
      <c r="I33" s="22"/>
      <c r="J33" s="77"/>
      <c r="K33" s="78"/>
    </row>
    <row r="34" spans="1:11" s="34" customFormat="1" ht="19.149999999999999" customHeight="1">
      <c r="A34" s="210" t="s">
        <v>251</v>
      </c>
      <c r="B34" s="211" t="s">
        <v>184</v>
      </c>
      <c r="C34" s="213" t="s">
        <v>177</v>
      </c>
      <c r="D34" s="212">
        <v>244</v>
      </c>
      <c r="E34" s="145"/>
      <c r="F34" s="32"/>
      <c r="G34" s="33" t="s">
        <v>787</v>
      </c>
      <c r="I34" s="22"/>
      <c r="J34" s="77"/>
      <c r="K34" s="78"/>
    </row>
    <row r="35" spans="1:11" s="34" customFormat="1" ht="19.149999999999999" customHeight="1">
      <c r="A35" s="210" t="s">
        <v>119</v>
      </c>
      <c r="B35" s="211" t="s">
        <v>197</v>
      </c>
      <c r="C35" s="213" t="s">
        <v>85</v>
      </c>
      <c r="D35" s="212">
        <v>8</v>
      </c>
      <c r="E35" s="145"/>
      <c r="F35" s="32"/>
      <c r="G35" s="33" t="s">
        <v>237</v>
      </c>
      <c r="I35" s="22"/>
      <c r="J35" s="77"/>
      <c r="K35" s="78"/>
    </row>
    <row r="36" spans="1:11" s="34" customFormat="1" ht="19.149999999999999" customHeight="1">
      <c r="A36" s="210" t="s">
        <v>119</v>
      </c>
      <c r="B36" s="211" t="s">
        <v>198</v>
      </c>
      <c r="C36" s="213" t="s">
        <v>85</v>
      </c>
      <c r="D36" s="212">
        <v>8</v>
      </c>
      <c r="E36" s="145"/>
      <c r="F36" s="32"/>
      <c r="G36" s="33" t="s">
        <v>238</v>
      </c>
      <c r="I36" s="22"/>
      <c r="J36" s="77"/>
      <c r="K36" s="78"/>
    </row>
    <row r="37" spans="1:11" s="34" customFormat="1" ht="19.149999999999999" customHeight="1">
      <c r="A37" s="210" t="s">
        <v>200</v>
      </c>
      <c r="B37" s="211" t="s">
        <v>201</v>
      </c>
      <c r="C37" s="213" t="s">
        <v>85</v>
      </c>
      <c r="D37" s="212">
        <v>2</v>
      </c>
      <c r="E37" s="145"/>
      <c r="F37" s="32"/>
      <c r="G37" s="33" t="s">
        <v>240</v>
      </c>
      <c r="I37" s="22"/>
      <c r="J37" s="77"/>
      <c r="K37" s="78"/>
    </row>
    <row r="38" spans="1:11" s="34" customFormat="1" ht="19.149999999999999" customHeight="1">
      <c r="A38" s="210" t="s">
        <v>200</v>
      </c>
      <c r="B38" s="211" t="s">
        <v>202</v>
      </c>
      <c r="C38" s="213" t="s">
        <v>85</v>
      </c>
      <c r="D38" s="212">
        <v>2</v>
      </c>
      <c r="E38" s="145"/>
      <c r="F38" s="32"/>
      <c r="G38" s="33" t="s">
        <v>241</v>
      </c>
      <c r="I38" s="22"/>
      <c r="J38" s="77"/>
      <c r="K38" s="78"/>
    </row>
    <row r="39" spans="1:11" s="34" customFormat="1" ht="19.149999999999999" customHeight="1">
      <c r="A39" s="210" t="s">
        <v>291</v>
      </c>
      <c r="B39" s="211" t="s">
        <v>292</v>
      </c>
      <c r="C39" s="213" t="s">
        <v>75</v>
      </c>
      <c r="D39" s="212">
        <v>1</v>
      </c>
      <c r="E39" s="145"/>
      <c r="F39" s="32"/>
      <c r="G39" s="33" t="s">
        <v>336</v>
      </c>
      <c r="I39" s="22"/>
      <c r="J39" s="77"/>
      <c r="K39" s="78"/>
    </row>
    <row r="40" spans="1:11" s="34" customFormat="1" ht="19.149999999999999" customHeight="1">
      <c r="A40" s="210" t="s">
        <v>291</v>
      </c>
      <c r="B40" s="211" t="s">
        <v>293</v>
      </c>
      <c r="C40" s="213" t="s">
        <v>75</v>
      </c>
      <c r="D40" s="212">
        <v>1</v>
      </c>
      <c r="E40" s="145"/>
      <c r="F40" s="32"/>
      <c r="G40" s="33" t="s">
        <v>337</v>
      </c>
      <c r="I40" s="22"/>
      <c r="J40" s="77"/>
      <c r="K40" s="78"/>
    </row>
    <row r="41" spans="1:11" s="34" customFormat="1" ht="19.149999999999999" customHeight="1">
      <c r="A41" s="210" t="s">
        <v>291</v>
      </c>
      <c r="B41" s="211" t="s">
        <v>294</v>
      </c>
      <c r="C41" s="213" t="s">
        <v>75</v>
      </c>
      <c r="D41" s="212">
        <v>1</v>
      </c>
      <c r="E41" s="145"/>
      <c r="F41" s="32"/>
      <c r="G41" s="33" t="s">
        <v>338</v>
      </c>
      <c r="I41" s="22"/>
      <c r="J41" s="77"/>
      <c r="K41" s="78"/>
    </row>
    <row r="42" spans="1:11" s="34" customFormat="1" ht="18.75" customHeight="1">
      <c r="A42" s="178"/>
      <c r="B42" s="179"/>
      <c r="C42" s="178"/>
      <c r="D42" s="180"/>
      <c r="E42" s="145"/>
      <c r="F42" s="32"/>
      <c r="G42" s="33"/>
      <c r="I42" s="22"/>
      <c r="J42" s="77"/>
      <c r="K42" s="78"/>
    </row>
    <row r="43" spans="1:11" s="34" customFormat="1" ht="19.149999999999999" customHeight="1">
      <c r="A43" s="178"/>
      <c r="B43" s="179"/>
      <c r="C43" s="178"/>
      <c r="D43" s="180"/>
      <c r="E43" s="145"/>
      <c r="F43" s="32"/>
      <c r="G43" s="33"/>
      <c r="I43" s="22"/>
      <c r="J43" s="77"/>
      <c r="K43" s="78"/>
    </row>
    <row r="44" spans="1:11" s="34" customFormat="1" ht="19.149999999999999" customHeight="1">
      <c r="A44" s="178"/>
      <c r="B44" s="179"/>
      <c r="C44" s="178"/>
      <c r="D44" s="180"/>
      <c r="E44" s="145"/>
      <c r="F44" s="32"/>
      <c r="G44" s="33"/>
      <c r="I44" s="22"/>
      <c r="J44" s="77"/>
      <c r="K44" s="78"/>
    </row>
    <row r="45" spans="1:11" s="34" customFormat="1" ht="19.149999999999999" customHeight="1">
      <c r="A45" s="178"/>
      <c r="B45" s="179"/>
      <c r="C45" s="178"/>
      <c r="D45" s="180"/>
      <c r="E45" s="145"/>
      <c r="F45" s="32"/>
      <c r="G45" s="33"/>
      <c r="I45" s="22"/>
      <c r="J45" s="77"/>
      <c r="K45" s="78"/>
    </row>
    <row r="46" spans="1:11" s="34" customFormat="1" ht="19.149999999999999" customHeight="1">
      <c r="A46" s="178"/>
      <c r="B46" s="179"/>
      <c r="C46" s="178"/>
      <c r="D46" s="180"/>
      <c r="E46" s="145"/>
      <c r="F46" s="32"/>
      <c r="G46" s="33"/>
      <c r="I46" s="22"/>
      <c r="J46" s="77"/>
      <c r="K46" s="78"/>
    </row>
    <row r="47" spans="1:11" s="34" customFormat="1" ht="19.149999999999999" customHeight="1">
      <c r="A47" s="178"/>
      <c r="B47" s="179"/>
      <c r="C47" s="178"/>
      <c r="D47" s="180"/>
      <c r="E47" s="145"/>
      <c r="F47" s="32"/>
      <c r="G47" s="33"/>
      <c r="I47" s="22"/>
      <c r="J47" s="77"/>
      <c r="K47" s="78"/>
    </row>
    <row r="48" spans="1:11" s="34" customFormat="1" ht="19.149999999999999" customHeight="1">
      <c r="A48" s="178"/>
      <c r="B48" s="179"/>
      <c r="C48" s="178"/>
      <c r="D48" s="180"/>
      <c r="E48" s="145"/>
      <c r="F48" s="32"/>
      <c r="G48" s="33"/>
      <c r="I48" s="22"/>
      <c r="J48" s="77"/>
      <c r="K48" s="78"/>
    </row>
    <row r="49" spans="1:11" s="34" customFormat="1" ht="19.149999999999999" customHeight="1">
      <c r="A49" s="178"/>
      <c r="B49" s="179"/>
      <c r="C49" s="178"/>
      <c r="D49" s="180"/>
      <c r="E49" s="145"/>
      <c r="F49" s="32"/>
      <c r="G49" s="33"/>
      <c r="I49" s="22"/>
      <c r="J49" s="77"/>
      <c r="K49" s="78"/>
    </row>
    <row r="50" spans="1:11" s="34" customFormat="1" ht="19.149999999999999" customHeight="1">
      <c r="A50" s="178"/>
      <c r="B50" s="179"/>
      <c r="C50" s="178"/>
      <c r="D50" s="180"/>
      <c r="E50" s="145"/>
      <c r="F50" s="32"/>
      <c r="G50" s="33"/>
      <c r="I50" s="22"/>
      <c r="J50" s="77"/>
      <c r="K50" s="78"/>
    </row>
    <row r="51" spans="1:11" s="34" customFormat="1" ht="19.149999999999999" customHeight="1">
      <c r="A51" s="178"/>
      <c r="B51" s="179"/>
      <c r="C51" s="178"/>
      <c r="D51" s="180"/>
      <c r="E51" s="145"/>
      <c r="F51" s="32"/>
      <c r="G51" s="33"/>
      <c r="I51" s="22"/>
      <c r="J51" s="77"/>
      <c r="K51" s="78"/>
    </row>
    <row r="52" spans="1:11" s="34" customFormat="1" ht="19.149999999999999" customHeight="1">
      <c r="A52" s="182" t="s">
        <v>132</v>
      </c>
      <c r="B52" s="173"/>
      <c r="C52" s="175"/>
      <c r="D52" s="183"/>
      <c r="E52" s="145"/>
      <c r="F52" s="32"/>
      <c r="G52" s="33"/>
    </row>
    <row r="53" spans="1:11" s="34" customFormat="1" ht="19.149999999999999" customHeight="1">
      <c r="A53" s="178" t="s">
        <v>743</v>
      </c>
      <c r="B53" s="179"/>
      <c r="C53" s="178"/>
      <c r="D53" s="180"/>
      <c r="E53" s="145"/>
      <c r="F53" s="32"/>
      <c r="G53" s="33"/>
      <c r="I53" s="22"/>
      <c r="J53" s="77"/>
      <c r="K53" s="78"/>
    </row>
    <row r="54" spans="1:11" s="34" customFormat="1" ht="19.149999999999999" customHeight="1">
      <c r="A54" s="210" t="s">
        <v>359</v>
      </c>
      <c r="B54" s="211" t="s">
        <v>361</v>
      </c>
      <c r="C54" s="213" t="s">
        <v>177</v>
      </c>
      <c r="D54" s="212">
        <v>69</v>
      </c>
      <c r="E54" s="145"/>
      <c r="F54" s="32"/>
      <c r="G54" s="33" t="s">
        <v>368</v>
      </c>
      <c r="I54" s="22"/>
      <c r="J54" s="77"/>
      <c r="K54" s="78"/>
    </row>
    <row r="55" spans="1:11" s="34" customFormat="1" ht="19.149999999999999" customHeight="1">
      <c r="A55" s="210" t="s">
        <v>94</v>
      </c>
      <c r="B55" s="211" t="s">
        <v>374</v>
      </c>
      <c r="C55" s="213" t="s">
        <v>177</v>
      </c>
      <c r="D55" s="212">
        <v>18</v>
      </c>
      <c r="E55" s="145"/>
      <c r="F55" s="32"/>
      <c r="G55" s="33" t="s">
        <v>401</v>
      </c>
      <c r="I55" s="22"/>
      <c r="J55" s="77"/>
      <c r="K55" s="78"/>
    </row>
    <row r="56" spans="1:11" s="34" customFormat="1" ht="19.149999999999999" customHeight="1">
      <c r="A56" s="210" t="s">
        <v>267</v>
      </c>
      <c r="B56" s="211" t="s">
        <v>375</v>
      </c>
      <c r="C56" s="213" t="s">
        <v>177</v>
      </c>
      <c r="D56" s="212">
        <v>35</v>
      </c>
      <c r="E56" s="145"/>
      <c r="F56" s="32"/>
      <c r="G56" s="33" t="s">
        <v>402</v>
      </c>
      <c r="I56" s="22"/>
      <c r="J56" s="77"/>
      <c r="K56" s="78"/>
    </row>
    <row r="57" spans="1:11" s="34" customFormat="1" ht="19.149999999999999" customHeight="1">
      <c r="A57" s="210" t="s">
        <v>377</v>
      </c>
      <c r="B57" s="211" t="s">
        <v>380</v>
      </c>
      <c r="C57" s="213" t="s">
        <v>177</v>
      </c>
      <c r="D57" s="212">
        <v>1</v>
      </c>
      <c r="E57" s="145"/>
      <c r="F57" s="32"/>
      <c r="G57" s="33" t="s">
        <v>406</v>
      </c>
      <c r="I57" s="22"/>
      <c r="J57" s="77"/>
      <c r="K57" s="78"/>
    </row>
    <row r="58" spans="1:11" s="34" customFormat="1" ht="19.149999999999999" customHeight="1">
      <c r="A58" s="210" t="s">
        <v>382</v>
      </c>
      <c r="B58" s="211" t="s">
        <v>383</v>
      </c>
      <c r="C58" s="213" t="s">
        <v>85</v>
      </c>
      <c r="D58" s="212">
        <v>1</v>
      </c>
      <c r="E58" s="145"/>
      <c r="F58" s="32"/>
      <c r="G58" s="33">
        <v>0</v>
      </c>
      <c r="I58" s="22"/>
      <c r="J58" s="77"/>
      <c r="K58" s="78"/>
    </row>
    <row r="59" spans="1:11" s="34" customFormat="1" ht="19.149999999999999" customHeight="1">
      <c r="A59" s="210" t="s">
        <v>362</v>
      </c>
      <c r="B59" s="211" t="s">
        <v>363</v>
      </c>
      <c r="C59" s="213" t="s">
        <v>177</v>
      </c>
      <c r="D59" s="212">
        <v>288</v>
      </c>
      <c r="E59" s="145"/>
      <c r="F59" s="32"/>
      <c r="G59" s="33" t="s">
        <v>369</v>
      </c>
      <c r="I59" s="22"/>
      <c r="J59" s="77"/>
      <c r="K59" s="78"/>
    </row>
    <row r="60" spans="1:11" s="34" customFormat="1" ht="19.149999999999999" customHeight="1">
      <c r="A60" s="210" t="s">
        <v>250</v>
      </c>
      <c r="B60" s="211" t="s">
        <v>187</v>
      </c>
      <c r="C60" s="213" t="s">
        <v>177</v>
      </c>
      <c r="D60" s="212">
        <v>97</v>
      </c>
      <c r="E60" s="145"/>
      <c r="F60" s="32"/>
      <c r="G60" s="33" t="s">
        <v>407</v>
      </c>
      <c r="I60" s="22"/>
      <c r="J60" s="77"/>
      <c r="K60" s="78"/>
    </row>
    <row r="61" spans="1:11" s="34" customFormat="1" ht="19.149999999999999" customHeight="1">
      <c r="A61" s="210" t="s">
        <v>384</v>
      </c>
      <c r="B61" s="211" t="s">
        <v>385</v>
      </c>
      <c r="C61" s="213" t="s">
        <v>177</v>
      </c>
      <c r="D61" s="212">
        <v>94</v>
      </c>
      <c r="E61" s="145"/>
      <c r="F61" s="32"/>
      <c r="G61" s="33" t="s">
        <v>408</v>
      </c>
      <c r="I61" s="22"/>
      <c r="J61" s="77"/>
      <c r="K61" s="78"/>
    </row>
    <row r="62" spans="1:11" s="34" customFormat="1" ht="19.149999999999999" customHeight="1">
      <c r="A62" s="210" t="s">
        <v>397</v>
      </c>
      <c r="B62" s="211" t="s">
        <v>398</v>
      </c>
      <c r="C62" s="213" t="s">
        <v>85</v>
      </c>
      <c r="D62" s="212">
        <v>23</v>
      </c>
      <c r="E62" s="145"/>
      <c r="F62" s="32"/>
      <c r="G62" s="33" t="s">
        <v>415</v>
      </c>
      <c r="I62" s="22"/>
      <c r="J62" s="77"/>
      <c r="K62" s="78"/>
    </row>
    <row r="63" spans="1:11" s="34" customFormat="1" ht="19.149999999999999" customHeight="1">
      <c r="A63" s="178"/>
      <c r="B63" s="179"/>
      <c r="C63" s="178"/>
      <c r="D63" s="180"/>
      <c r="E63" s="145"/>
      <c r="F63" s="32"/>
      <c r="G63" s="33"/>
      <c r="I63" s="22"/>
      <c r="J63" s="77"/>
      <c r="K63" s="78"/>
    </row>
    <row r="64" spans="1:11" s="34" customFormat="1" ht="19.149999999999999" customHeight="1">
      <c r="A64" s="178"/>
      <c r="B64" s="179"/>
      <c r="C64" s="178"/>
      <c r="D64" s="180"/>
      <c r="E64" s="145"/>
      <c r="F64" s="32"/>
      <c r="G64" s="33"/>
      <c r="I64" s="22"/>
      <c r="J64" s="77"/>
      <c r="K64" s="78"/>
    </row>
    <row r="65" spans="1:11" s="34" customFormat="1" ht="19.149999999999999" customHeight="1">
      <c r="A65" s="178"/>
      <c r="B65" s="179"/>
      <c r="C65" s="178"/>
      <c r="D65" s="180"/>
      <c r="E65" s="145"/>
      <c r="F65" s="32"/>
      <c r="G65" s="33"/>
      <c r="I65" s="22"/>
      <c r="J65" s="77"/>
      <c r="K65" s="78"/>
    </row>
    <row r="66" spans="1:11" s="34" customFormat="1" ht="19.149999999999999" customHeight="1">
      <c r="A66" s="178"/>
      <c r="B66" s="179"/>
      <c r="C66" s="178"/>
      <c r="D66" s="180"/>
      <c r="E66" s="145"/>
      <c r="F66" s="32"/>
      <c r="G66" s="33"/>
      <c r="I66" s="22"/>
      <c r="J66" s="77"/>
      <c r="K66" s="78"/>
    </row>
    <row r="67" spans="1:11" s="34" customFormat="1" ht="19.149999999999999" customHeight="1">
      <c r="A67" s="178"/>
      <c r="B67" s="179"/>
      <c r="C67" s="178"/>
      <c r="D67" s="180"/>
      <c r="E67" s="145"/>
      <c r="F67" s="32"/>
      <c r="G67" s="33"/>
      <c r="I67" s="22"/>
      <c r="J67" s="77"/>
      <c r="K67" s="78"/>
    </row>
    <row r="68" spans="1:11" s="34" customFormat="1" ht="19.149999999999999" customHeight="1">
      <c r="A68" s="178"/>
      <c r="B68" s="179"/>
      <c r="C68" s="178"/>
      <c r="D68" s="180"/>
      <c r="E68" s="145"/>
      <c r="F68" s="32"/>
      <c r="G68" s="33"/>
      <c r="I68" s="22"/>
      <c r="J68" s="77"/>
      <c r="K68" s="78"/>
    </row>
    <row r="69" spans="1:11" s="34" customFormat="1" ht="19.149999999999999" customHeight="1">
      <c r="A69" s="178"/>
      <c r="B69" s="179"/>
      <c r="C69" s="178"/>
      <c r="D69" s="180"/>
      <c r="E69" s="145"/>
      <c r="F69" s="32"/>
      <c r="G69" s="33"/>
      <c r="I69" s="22"/>
      <c r="J69" s="77"/>
      <c r="K69" s="78"/>
    </row>
    <row r="70" spans="1:11" s="34" customFormat="1" ht="19.149999999999999" customHeight="1">
      <c r="A70" s="178"/>
      <c r="B70" s="179"/>
      <c r="C70" s="178"/>
      <c r="D70" s="180"/>
      <c r="E70" s="145"/>
      <c r="F70" s="32"/>
      <c r="G70" s="33"/>
      <c r="I70" s="22"/>
      <c r="J70" s="77"/>
      <c r="K70" s="78"/>
    </row>
    <row r="71" spans="1:11" s="34" customFormat="1" ht="19.149999999999999" customHeight="1">
      <c r="A71" s="178"/>
      <c r="B71" s="179"/>
      <c r="C71" s="178"/>
      <c r="D71" s="180"/>
      <c r="E71" s="145"/>
      <c r="F71" s="32"/>
      <c r="G71" s="33"/>
      <c r="I71" s="22"/>
      <c r="J71" s="77"/>
      <c r="K71" s="78"/>
    </row>
    <row r="72" spans="1:11" s="34" customFormat="1" ht="19.149999999999999" customHeight="1">
      <c r="A72" s="178"/>
      <c r="B72" s="179"/>
      <c r="C72" s="178"/>
      <c r="D72" s="180"/>
      <c r="E72" s="145"/>
      <c r="F72" s="32"/>
      <c r="G72" s="33"/>
      <c r="I72" s="22"/>
      <c r="J72" s="77"/>
      <c r="K72" s="78"/>
    </row>
    <row r="73" spans="1:11" s="34" customFormat="1" ht="19.149999999999999" customHeight="1">
      <c r="A73" s="178"/>
      <c r="B73" s="179"/>
      <c r="C73" s="178"/>
      <c r="D73" s="180"/>
      <c r="E73" s="145"/>
      <c r="F73" s="32"/>
      <c r="G73" s="33"/>
      <c r="I73" s="22"/>
      <c r="J73" s="77"/>
      <c r="K73" s="78"/>
    </row>
    <row r="74" spans="1:11" s="34" customFormat="1" ht="19.149999999999999" customHeight="1">
      <c r="A74" s="178"/>
      <c r="B74" s="179"/>
      <c r="C74" s="178"/>
      <c r="D74" s="180"/>
      <c r="E74" s="145"/>
      <c r="F74" s="32"/>
      <c r="G74" s="33"/>
      <c r="I74" s="22"/>
      <c r="J74" s="77"/>
      <c r="K74" s="78"/>
    </row>
    <row r="75" spans="1:11" s="34" customFormat="1" ht="19.149999999999999" customHeight="1">
      <c r="A75" s="178"/>
      <c r="B75" s="179"/>
      <c r="C75" s="178"/>
      <c r="D75" s="180"/>
      <c r="E75" s="145"/>
      <c r="F75" s="32"/>
      <c r="G75" s="33"/>
      <c r="I75" s="22"/>
      <c r="J75" s="77"/>
      <c r="K75" s="78"/>
    </row>
    <row r="76" spans="1:11" s="34" customFormat="1" ht="19.149999999999999" customHeight="1">
      <c r="A76" s="178"/>
      <c r="B76" s="179"/>
      <c r="C76" s="178"/>
      <c r="D76" s="180"/>
      <c r="E76" s="145"/>
      <c r="F76" s="32"/>
      <c r="G76" s="33"/>
      <c r="I76" s="22"/>
      <c r="J76" s="77"/>
      <c r="K76" s="78"/>
    </row>
    <row r="77" spans="1:11" s="34" customFormat="1" ht="19.149999999999999" customHeight="1">
      <c r="A77" s="182" t="s">
        <v>132</v>
      </c>
      <c r="B77" s="173"/>
      <c r="C77" s="175"/>
      <c r="D77" s="183"/>
      <c r="E77" s="145"/>
      <c r="F77" s="32"/>
      <c r="G77" s="33"/>
    </row>
    <row r="78" spans="1:11" s="34" customFormat="1" ht="19.149999999999999" customHeight="1">
      <c r="A78" s="178" t="s">
        <v>744</v>
      </c>
      <c r="B78" s="179"/>
      <c r="C78" s="178"/>
      <c r="D78" s="180"/>
      <c r="E78" s="145"/>
      <c r="F78" s="32"/>
      <c r="G78" s="33"/>
      <c r="I78" s="22"/>
      <c r="J78" s="77"/>
      <c r="K78" s="78"/>
    </row>
    <row r="79" spans="1:11" s="34" customFormat="1" ht="19.149999999999999" customHeight="1">
      <c r="A79" s="210" t="s">
        <v>123</v>
      </c>
      <c r="B79" s="211" t="s">
        <v>417</v>
      </c>
      <c r="C79" s="213" t="s">
        <v>177</v>
      </c>
      <c r="D79" s="212">
        <v>70</v>
      </c>
      <c r="E79" s="145"/>
      <c r="F79" s="32"/>
      <c r="G79" s="33" t="s">
        <v>432</v>
      </c>
      <c r="I79" s="22"/>
      <c r="J79" s="77"/>
      <c r="K79" s="78"/>
    </row>
    <row r="80" spans="1:11" s="34" customFormat="1" ht="19.149999999999999" customHeight="1">
      <c r="A80" s="210" t="s">
        <v>124</v>
      </c>
      <c r="B80" s="211" t="s">
        <v>420</v>
      </c>
      <c r="C80" s="213" t="s">
        <v>85</v>
      </c>
      <c r="D80" s="212">
        <v>4</v>
      </c>
      <c r="E80" s="145"/>
      <c r="F80" s="32"/>
      <c r="G80" s="33" t="s">
        <v>435</v>
      </c>
      <c r="I80" s="22"/>
      <c r="J80" s="77"/>
      <c r="K80" s="78"/>
    </row>
    <row r="81" spans="1:11" s="34" customFormat="1" ht="19.149999999999999" customHeight="1">
      <c r="A81" s="210" t="s">
        <v>124</v>
      </c>
      <c r="B81" s="211" t="s">
        <v>421</v>
      </c>
      <c r="C81" s="213" t="s">
        <v>85</v>
      </c>
      <c r="D81" s="212">
        <v>2</v>
      </c>
      <c r="E81" s="145"/>
      <c r="F81" s="32"/>
      <c r="G81" s="33" t="s">
        <v>436</v>
      </c>
      <c r="I81" s="22"/>
      <c r="J81" s="77"/>
      <c r="K81" s="78"/>
    </row>
    <row r="82" spans="1:11" s="34" customFormat="1" ht="19.149999999999999" customHeight="1">
      <c r="A82" s="210" t="s">
        <v>124</v>
      </c>
      <c r="B82" s="211" t="s">
        <v>427</v>
      </c>
      <c r="C82" s="213" t="s">
        <v>85</v>
      </c>
      <c r="D82" s="212">
        <v>46</v>
      </c>
      <c r="E82" s="145"/>
      <c r="F82" s="32"/>
      <c r="G82" s="33">
        <v>0</v>
      </c>
      <c r="I82" s="22"/>
      <c r="J82" s="77"/>
      <c r="K82" s="78"/>
    </row>
    <row r="83" spans="1:11" s="34" customFormat="1" ht="19.149999999999999" customHeight="1">
      <c r="A83" s="210" t="s">
        <v>124</v>
      </c>
      <c r="B83" s="211" t="s">
        <v>135</v>
      </c>
      <c r="C83" s="213" t="s">
        <v>85</v>
      </c>
      <c r="D83" s="212">
        <v>23</v>
      </c>
      <c r="E83" s="145"/>
      <c r="F83" s="32"/>
      <c r="G83" s="33">
        <v>0</v>
      </c>
      <c r="I83" s="22"/>
      <c r="J83" s="77"/>
      <c r="K83" s="78"/>
    </row>
    <row r="84" spans="1:11" s="34" customFormat="1" ht="19.149999999999999" customHeight="1">
      <c r="A84" s="210" t="s">
        <v>124</v>
      </c>
      <c r="B84" s="211" t="s">
        <v>136</v>
      </c>
      <c r="C84" s="213" t="s">
        <v>85</v>
      </c>
      <c r="D84" s="212">
        <v>368</v>
      </c>
      <c r="E84" s="145"/>
      <c r="F84" s="32"/>
      <c r="G84" s="33">
        <v>0</v>
      </c>
      <c r="I84" s="22"/>
      <c r="J84" s="77"/>
      <c r="K84" s="78"/>
    </row>
    <row r="85" spans="1:11" s="34" customFormat="1" ht="19.149999999999999" customHeight="1">
      <c r="A85" s="210" t="s">
        <v>428</v>
      </c>
      <c r="B85" s="211" t="s">
        <v>429</v>
      </c>
      <c r="C85" s="213" t="s">
        <v>95</v>
      </c>
      <c r="D85" s="212">
        <v>46</v>
      </c>
      <c r="E85" s="145"/>
      <c r="F85" s="32"/>
      <c r="G85" s="33" t="s">
        <v>235</v>
      </c>
      <c r="I85" s="22"/>
      <c r="J85" s="77"/>
      <c r="K85" s="78"/>
    </row>
    <row r="86" spans="1:11" s="34" customFormat="1" ht="19.149999999999999" customHeight="1">
      <c r="A86" s="178"/>
      <c r="B86" s="179"/>
      <c r="C86" s="178"/>
      <c r="D86" s="180"/>
      <c r="E86" s="145"/>
      <c r="F86" s="32"/>
      <c r="G86" s="33"/>
      <c r="I86" s="22"/>
      <c r="J86" s="77"/>
      <c r="K86" s="78"/>
    </row>
    <row r="87" spans="1:11" s="34" customFormat="1" ht="19.149999999999999" customHeight="1">
      <c r="A87" s="178"/>
      <c r="B87" s="179"/>
      <c r="C87" s="178"/>
      <c r="D87" s="180"/>
      <c r="E87" s="145"/>
      <c r="F87" s="32"/>
      <c r="G87" s="33"/>
      <c r="I87" s="22"/>
      <c r="J87" s="77"/>
      <c r="K87" s="78"/>
    </row>
    <row r="88" spans="1:11" s="34" customFormat="1" ht="19.149999999999999" customHeight="1">
      <c r="A88" s="178"/>
      <c r="B88" s="179"/>
      <c r="C88" s="178"/>
      <c r="D88" s="180"/>
      <c r="E88" s="145"/>
      <c r="F88" s="32"/>
      <c r="G88" s="33"/>
      <c r="I88" s="22"/>
      <c r="J88" s="77"/>
      <c r="K88" s="78"/>
    </row>
    <row r="89" spans="1:11" s="34" customFormat="1" ht="19.149999999999999" customHeight="1">
      <c r="A89" s="178"/>
      <c r="B89" s="179"/>
      <c r="C89" s="178"/>
      <c r="D89" s="180"/>
      <c r="E89" s="145"/>
      <c r="F89" s="32"/>
      <c r="G89" s="33"/>
      <c r="I89" s="22"/>
      <c r="J89" s="77"/>
      <c r="K89" s="78"/>
    </row>
    <row r="90" spans="1:11" s="34" customFormat="1" ht="19.149999999999999" customHeight="1">
      <c r="A90" s="178"/>
      <c r="B90" s="179"/>
      <c r="C90" s="178"/>
      <c r="D90" s="180"/>
      <c r="E90" s="145"/>
      <c r="F90" s="32"/>
      <c r="G90" s="33"/>
      <c r="I90" s="22"/>
      <c r="J90" s="77"/>
      <c r="K90" s="78"/>
    </row>
    <row r="91" spans="1:11" s="34" customFormat="1" ht="19.149999999999999" customHeight="1">
      <c r="A91" s="178"/>
      <c r="B91" s="179"/>
      <c r="C91" s="178"/>
      <c r="D91" s="180"/>
      <c r="E91" s="145"/>
      <c r="F91" s="32"/>
      <c r="G91" s="33"/>
      <c r="I91" s="22"/>
      <c r="J91" s="77"/>
      <c r="K91" s="78"/>
    </row>
    <row r="92" spans="1:11" s="34" customFormat="1" ht="19.149999999999999" customHeight="1">
      <c r="A92" s="178"/>
      <c r="B92" s="179"/>
      <c r="C92" s="178"/>
      <c r="D92" s="180"/>
      <c r="E92" s="145"/>
      <c r="F92" s="32"/>
      <c r="G92" s="33"/>
      <c r="I92" s="22"/>
      <c r="J92" s="77"/>
      <c r="K92" s="78"/>
    </row>
    <row r="93" spans="1:11" s="34" customFormat="1" ht="19.149999999999999" customHeight="1">
      <c r="A93" s="178"/>
      <c r="B93" s="179"/>
      <c r="C93" s="178"/>
      <c r="D93" s="180"/>
      <c r="E93" s="145"/>
      <c r="F93" s="32"/>
      <c r="G93" s="33"/>
      <c r="I93" s="22"/>
      <c r="J93" s="77"/>
      <c r="K93" s="78"/>
    </row>
    <row r="94" spans="1:11" s="34" customFormat="1" ht="19.149999999999999" customHeight="1">
      <c r="A94" s="178"/>
      <c r="B94" s="179"/>
      <c r="C94" s="178"/>
      <c r="D94" s="180"/>
      <c r="E94" s="145"/>
      <c r="F94" s="32"/>
      <c r="G94" s="33"/>
      <c r="I94" s="22"/>
      <c r="J94" s="77"/>
      <c r="K94" s="78"/>
    </row>
    <row r="95" spans="1:11" s="34" customFormat="1" ht="19.149999999999999" customHeight="1">
      <c r="A95" s="178"/>
      <c r="B95" s="179"/>
      <c r="C95" s="178"/>
      <c r="D95" s="180"/>
      <c r="E95" s="145"/>
      <c r="F95" s="32"/>
      <c r="G95" s="33"/>
      <c r="I95" s="22"/>
      <c r="J95" s="77"/>
      <c r="K95" s="78"/>
    </row>
    <row r="96" spans="1:11" s="34" customFormat="1" ht="19.149999999999999" customHeight="1">
      <c r="A96" s="178"/>
      <c r="B96" s="179"/>
      <c r="C96" s="178"/>
      <c r="D96" s="180"/>
      <c r="E96" s="145"/>
      <c r="F96" s="32"/>
      <c r="G96" s="33"/>
      <c r="I96" s="22"/>
      <c r="J96" s="77"/>
      <c r="K96" s="78"/>
    </row>
    <row r="97" spans="1:11" s="34" customFormat="1" ht="19.149999999999999" customHeight="1">
      <c r="A97" s="178"/>
      <c r="B97" s="179"/>
      <c r="C97" s="178"/>
      <c r="D97" s="180"/>
      <c r="E97" s="145"/>
      <c r="F97" s="32"/>
      <c r="G97" s="33"/>
      <c r="I97" s="22"/>
      <c r="J97" s="77"/>
      <c r="K97" s="78"/>
    </row>
    <row r="98" spans="1:11" s="34" customFormat="1" ht="19.149999999999999" customHeight="1">
      <c r="A98" s="178"/>
      <c r="B98" s="179"/>
      <c r="C98" s="178"/>
      <c r="D98" s="180"/>
      <c r="E98" s="145"/>
      <c r="F98" s="32"/>
      <c r="G98" s="33"/>
      <c r="I98" s="22"/>
      <c r="J98" s="77"/>
      <c r="K98" s="78"/>
    </row>
    <row r="99" spans="1:11" s="34" customFormat="1" ht="19.149999999999999" customHeight="1">
      <c r="A99" s="178"/>
      <c r="B99" s="179"/>
      <c r="C99" s="178"/>
      <c r="D99" s="180"/>
      <c r="E99" s="145"/>
      <c r="F99" s="32"/>
      <c r="G99" s="33"/>
      <c r="I99" s="22"/>
      <c r="J99" s="77"/>
      <c r="K99" s="78"/>
    </row>
    <row r="100" spans="1:11" s="34" customFormat="1" ht="19.149999999999999" customHeight="1">
      <c r="A100" s="178"/>
      <c r="B100" s="179"/>
      <c r="C100" s="178"/>
      <c r="D100" s="180"/>
      <c r="E100" s="145"/>
      <c r="F100" s="32"/>
      <c r="G100" s="33"/>
      <c r="I100" s="22"/>
      <c r="J100" s="77"/>
      <c r="K100" s="78"/>
    </row>
    <row r="101" spans="1:11" s="34" customFormat="1" ht="19.149999999999999" customHeight="1">
      <c r="A101" s="178"/>
      <c r="B101" s="179"/>
      <c r="C101" s="178"/>
      <c r="D101" s="180"/>
      <c r="E101" s="145"/>
      <c r="F101" s="32"/>
      <c r="G101" s="33"/>
      <c r="I101" s="22"/>
      <c r="J101" s="77"/>
      <c r="K101" s="78"/>
    </row>
    <row r="102" spans="1:11" s="34" customFormat="1" ht="19.149999999999999" customHeight="1">
      <c r="A102" s="182" t="s">
        <v>132</v>
      </c>
      <c r="B102" s="173"/>
      <c r="C102" s="175"/>
      <c r="D102" s="183"/>
      <c r="E102" s="145"/>
      <c r="F102" s="32"/>
      <c r="G102" s="33"/>
    </row>
    <row r="103" spans="1:11" s="34" customFormat="1" ht="19.149999999999999" customHeight="1">
      <c r="A103" s="178" t="s">
        <v>745</v>
      </c>
      <c r="B103" s="179"/>
      <c r="C103" s="178"/>
      <c r="D103" s="180"/>
      <c r="E103" s="145"/>
      <c r="F103" s="32"/>
      <c r="G103" s="33"/>
      <c r="I103" s="22"/>
      <c r="J103" s="77"/>
      <c r="K103" s="78"/>
    </row>
    <row r="104" spans="1:11" s="34" customFormat="1" ht="19.149999999999999" customHeight="1">
      <c r="A104" s="210" t="s">
        <v>384</v>
      </c>
      <c r="B104" s="211" t="s">
        <v>445</v>
      </c>
      <c r="C104" s="213" t="s">
        <v>177</v>
      </c>
      <c r="D104" s="212">
        <v>246</v>
      </c>
      <c r="E104" s="145"/>
      <c r="F104" s="32"/>
      <c r="G104" s="33" t="s">
        <v>519</v>
      </c>
      <c r="I104" s="22"/>
      <c r="J104" s="77"/>
      <c r="K104" s="78"/>
    </row>
    <row r="105" spans="1:11" s="34" customFormat="1" ht="19.149999999999999" customHeight="1">
      <c r="A105" s="210" t="s">
        <v>384</v>
      </c>
      <c r="B105" s="211" t="s">
        <v>446</v>
      </c>
      <c r="C105" s="213" t="s">
        <v>177</v>
      </c>
      <c r="D105" s="212">
        <v>53</v>
      </c>
      <c r="E105" s="145"/>
      <c r="F105" s="32"/>
      <c r="G105" s="33" t="s">
        <v>520</v>
      </c>
      <c r="I105" s="22"/>
      <c r="J105" s="77"/>
      <c r="K105" s="78"/>
    </row>
    <row r="106" spans="1:11" s="34" customFormat="1" ht="19.149999999999999" customHeight="1">
      <c r="A106" s="210" t="s">
        <v>384</v>
      </c>
      <c r="B106" s="211" t="s">
        <v>447</v>
      </c>
      <c r="C106" s="213" t="s">
        <v>177</v>
      </c>
      <c r="D106" s="212">
        <v>40</v>
      </c>
      <c r="E106" s="145"/>
      <c r="F106" s="32"/>
      <c r="G106" s="33" t="s">
        <v>521</v>
      </c>
      <c r="I106" s="22"/>
      <c r="J106" s="77"/>
      <c r="K106" s="78"/>
    </row>
    <row r="107" spans="1:11" s="34" customFormat="1" ht="19.149999999999999" customHeight="1">
      <c r="A107" s="210" t="s">
        <v>384</v>
      </c>
      <c r="B107" s="211" t="s">
        <v>448</v>
      </c>
      <c r="C107" s="213" t="s">
        <v>177</v>
      </c>
      <c r="D107" s="212">
        <v>7</v>
      </c>
      <c r="E107" s="145"/>
      <c r="F107" s="32"/>
      <c r="G107" s="33" t="s">
        <v>522</v>
      </c>
      <c r="I107" s="22"/>
      <c r="J107" s="77"/>
      <c r="K107" s="78"/>
    </row>
    <row r="108" spans="1:11" s="34" customFormat="1" ht="19.149999999999999" customHeight="1">
      <c r="A108" s="210" t="s">
        <v>391</v>
      </c>
      <c r="B108" s="211" t="s">
        <v>455</v>
      </c>
      <c r="C108" s="213" t="s">
        <v>85</v>
      </c>
      <c r="D108" s="212">
        <v>13</v>
      </c>
      <c r="E108" s="145"/>
      <c r="F108" s="32"/>
      <c r="G108" s="33" t="s">
        <v>528</v>
      </c>
      <c r="I108" s="22"/>
      <c r="J108" s="77"/>
      <c r="K108" s="78"/>
    </row>
    <row r="109" spans="1:11" s="34" customFormat="1" ht="19.149999999999999" customHeight="1">
      <c r="A109" s="210" t="s">
        <v>391</v>
      </c>
      <c r="B109" s="211" t="s">
        <v>117</v>
      </c>
      <c r="C109" s="213" t="s">
        <v>85</v>
      </c>
      <c r="D109" s="212">
        <v>75</v>
      </c>
      <c r="E109" s="145"/>
      <c r="F109" s="32"/>
      <c r="G109" s="33" t="s">
        <v>413</v>
      </c>
      <c r="I109" s="22"/>
      <c r="J109" s="77"/>
      <c r="K109" s="78"/>
    </row>
    <row r="110" spans="1:11" s="34" customFormat="1" ht="19.149999999999999" customHeight="1">
      <c r="A110" s="210" t="s">
        <v>389</v>
      </c>
      <c r="B110" s="211" t="s">
        <v>390</v>
      </c>
      <c r="C110" s="213" t="s">
        <v>85</v>
      </c>
      <c r="D110" s="212">
        <v>15</v>
      </c>
      <c r="E110" s="145"/>
      <c r="F110" s="32"/>
      <c r="G110" s="33" t="s">
        <v>412</v>
      </c>
      <c r="I110" s="22"/>
      <c r="J110" s="77"/>
      <c r="K110" s="78"/>
    </row>
    <row r="111" spans="1:11" s="34" customFormat="1" ht="19.149999999999999" customHeight="1">
      <c r="A111" s="210" t="s">
        <v>389</v>
      </c>
      <c r="B111" s="211" t="s">
        <v>456</v>
      </c>
      <c r="C111" s="213" t="s">
        <v>85</v>
      </c>
      <c r="D111" s="212">
        <v>1</v>
      </c>
      <c r="E111" s="145"/>
      <c r="F111" s="32"/>
      <c r="G111" s="33" t="s">
        <v>529</v>
      </c>
      <c r="I111" s="22"/>
      <c r="J111" s="77"/>
      <c r="K111" s="78"/>
    </row>
    <row r="112" spans="1:11" s="34" customFormat="1" ht="19.149999999999999" customHeight="1">
      <c r="A112" s="210" t="s">
        <v>392</v>
      </c>
      <c r="B112" s="211" t="s">
        <v>457</v>
      </c>
      <c r="C112" s="213" t="s">
        <v>85</v>
      </c>
      <c r="D112" s="212">
        <v>13</v>
      </c>
      <c r="E112" s="145"/>
      <c r="F112" s="32"/>
      <c r="G112" s="33">
        <v>0</v>
      </c>
      <c r="I112" s="22"/>
      <c r="J112" s="77"/>
      <c r="K112" s="78"/>
    </row>
    <row r="113" spans="1:11" s="34" customFormat="1" ht="19.149999999999999" customHeight="1">
      <c r="A113" s="210" t="s">
        <v>392</v>
      </c>
      <c r="B113" s="211" t="s">
        <v>394</v>
      </c>
      <c r="C113" s="213" t="s">
        <v>85</v>
      </c>
      <c r="D113" s="212">
        <v>75</v>
      </c>
      <c r="E113" s="145"/>
      <c r="F113" s="32"/>
      <c r="G113" s="33">
        <v>0</v>
      </c>
      <c r="I113" s="22"/>
      <c r="J113" s="77"/>
      <c r="K113" s="78"/>
    </row>
    <row r="114" spans="1:11" s="34" customFormat="1" ht="19.149999999999999" customHeight="1">
      <c r="A114" s="210" t="s">
        <v>392</v>
      </c>
      <c r="B114" s="211" t="s">
        <v>393</v>
      </c>
      <c r="C114" s="213" t="s">
        <v>85</v>
      </c>
      <c r="D114" s="212">
        <v>15</v>
      </c>
      <c r="E114" s="145"/>
      <c r="F114" s="32"/>
      <c r="G114" s="33">
        <v>0</v>
      </c>
      <c r="I114" s="22"/>
      <c r="J114" s="77"/>
      <c r="K114" s="78"/>
    </row>
    <row r="115" spans="1:11" s="34" customFormat="1" ht="19.149999999999999" customHeight="1">
      <c r="A115" s="210" t="s">
        <v>392</v>
      </c>
      <c r="B115" s="211" t="s">
        <v>458</v>
      </c>
      <c r="C115" s="213" t="s">
        <v>85</v>
      </c>
      <c r="D115" s="212">
        <v>1</v>
      </c>
      <c r="E115" s="145"/>
      <c r="F115" s="32"/>
      <c r="G115" s="33">
        <v>0</v>
      </c>
      <c r="I115" s="22"/>
      <c r="J115" s="77"/>
      <c r="K115" s="78"/>
    </row>
    <row r="116" spans="1:11" s="34" customFormat="1" ht="19.149999999999999" customHeight="1">
      <c r="A116" s="210" t="s">
        <v>459</v>
      </c>
      <c r="B116" s="211" t="s">
        <v>460</v>
      </c>
      <c r="C116" s="213" t="s">
        <v>85</v>
      </c>
      <c r="D116" s="212">
        <v>1</v>
      </c>
      <c r="E116" s="145"/>
      <c r="F116" s="32"/>
      <c r="G116" s="33" t="s">
        <v>530</v>
      </c>
      <c r="I116" s="22"/>
      <c r="J116" s="77"/>
      <c r="K116" s="78"/>
    </row>
    <row r="117" spans="1:11" s="34" customFormat="1" ht="19.149999999999999" customHeight="1">
      <c r="A117" s="210" t="s">
        <v>459</v>
      </c>
      <c r="B117" s="211" t="s">
        <v>461</v>
      </c>
      <c r="C117" s="213" t="s">
        <v>85</v>
      </c>
      <c r="D117" s="212">
        <v>12</v>
      </c>
      <c r="E117" s="145"/>
      <c r="F117" s="32"/>
      <c r="G117" s="33" t="s">
        <v>531</v>
      </c>
      <c r="I117" s="22"/>
      <c r="J117" s="77"/>
      <c r="K117" s="78"/>
    </row>
    <row r="118" spans="1:11" s="34" customFormat="1" ht="19.149999999999999" customHeight="1">
      <c r="A118" s="210" t="s">
        <v>459</v>
      </c>
      <c r="B118" s="211" t="s">
        <v>462</v>
      </c>
      <c r="C118" s="213" t="s">
        <v>85</v>
      </c>
      <c r="D118" s="212">
        <v>5</v>
      </c>
      <c r="E118" s="145"/>
      <c r="F118" s="32"/>
      <c r="G118" s="33" t="s">
        <v>532</v>
      </c>
      <c r="I118" s="22"/>
      <c r="J118" s="77"/>
      <c r="K118" s="78"/>
    </row>
    <row r="119" spans="1:11" s="34" customFormat="1" ht="19.149999999999999" customHeight="1">
      <c r="A119" s="210" t="s">
        <v>465</v>
      </c>
      <c r="B119" s="211" t="s">
        <v>466</v>
      </c>
      <c r="C119" s="213" t="s">
        <v>85</v>
      </c>
      <c r="D119" s="212">
        <v>45</v>
      </c>
      <c r="E119" s="145"/>
      <c r="F119" s="32"/>
      <c r="G119" s="33" t="s">
        <v>535</v>
      </c>
      <c r="I119" s="22"/>
      <c r="J119" s="77"/>
      <c r="K119" s="78"/>
    </row>
    <row r="120" spans="1:11" s="34" customFormat="1" ht="19.149999999999999" customHeight="1">
      <c r="A120" s="210" t="s">
        <v>467</v>
      </c>
      <c r="B120" s="211" t="s">
        <v>466</v>
      </c>
      <c r="C120" s="213" t="s">
        <v>85</v>
      </c>
      <c r="D120" s="212">
        <v>6</v>
      </c>
      <c r="E120" s="145"/>
      <c r="F120" s="32"/>
      <c r="G120" s="33" t="s">
        <v>536</v>
      </c>
      <c r="I120" s="22"/>
      <c r="J120" s="77"/>
      <c r="K120" s="78"/>
    </row>
    <row r="121" spans="1:11" s="34" customFormat="1" ht="19.149999999999999" customHeight="1">
      <c r="A121" s="210" t="s">
        <v>470</v>
      </c>
      <c r="B121" s="211" t="s">
        <v>471</v>
      </c>
      <c r="C121" s="213" t="s">
        <v>85</v>
      </c>
      <c r="D121" s="212">
        <v>2</v>
      </c>
      <c r="E121" s="145"/>
      <c r="F121" s="32"/>
      <c r="G121" s="33" t="s">
        <v>539</v>
      </c>
      <c r="I121" s="22"/>
      <c r="J121" s="77"/>
      <c r="K121" s="78"/>
    </row>
    <row r="122" spans="1:11" s="34" customFormat="1" ht="19.149999999999999" customHeight="1">
      <c r="A122" s="210" t="s">
        <v>476</v>
      </c>
      <c r="B122" s="211" t="s">
        <v>477</v>
      </c>
      <c r="C122" s="213" t="s">
        <v>85</v>
      </c>
      <c r="D122" s="212">
        <v>35</v>
      </c>
      <c r="E122" s="145"/>
      <c r="F122" s="32"/>
      <c r="G122" s="33" t="s">
        <v>542</v>
      </c>
      <c r="I122" s="22"/>
      <c r="J122" s="77"/>
      <c r="K122" s="78"/>
    </row>
    <row r="123" spans="1:11" s="34" customFormat="1" ht="19.149999999999999" customHeight="1">
      <c r="A123" s="210" t="s">
        <v>195</v>
      </c>
      <c r="B123" s="211" t="s">
        <v>196</v>
      </c>
      <c r="C123" s="213" t="s">
        <v>85</v>
      </c>
      <c r="D123" s="212">
        <v>4</v>
      </c>
      <c r="E123" s="145"/>
      <c r="F123" s="32"/>
      <c r="G123" s="33" t="s">
        <v>236</v>
      </c>
      <c r="I123" s="22"/>
      <c r="J123" s="77"/>
      <c r="K123" s="78"/>
    </row>
    <row r="124" spans="1:11" s="34" customFormat="1" ht="19.149999999999999" customHeight="1">
      <c r="A124" s="178"/>
      <c r="B124" s="179"/>
      <c r="C124" s="178"/>
      <c r="D124" s="180"/>
      <c r="E124" s="145"/>
      <c r="F124" s="32"/>
      <c r="G124" s="33"/>
      <c r="I124" s="22"/>
      <c r="J124" s="77"/>
      <c r="K124" s="78"/>
    </row>
    <row r="125" spans="1:11" s="34" customFormat="1" ht="19.149999999999999" customHeight="1">
      <c r="A125" s="178"/>
      <c r="B125" s="179"/>
      <c r="C125" s="178"/>
      <c r="D125" s="180"/>
      <c r="E125" s="145"/>
      <c r="F125" s="32"/>
      <c r="G125" s="33"/>
      <c r="I125" s="22"/>
      <c r="J125" s="77"/>
      <c r="K125" s="78"/>
    </row>
    <row r="126" spans="1:11" s="34" customFormat="1" ht="19.149999999999999" customHeight="1">
      <c r="A126" s="178"/>
      <c r="B126" s="179"/>
      <c r="C126" s="178"/>
      <c r="D126" s="180"/>
      <c r="E126" s="145"/>
      <c r="F126" s="32"/>
      <c r="G126" s="33"/>
      <c r="I126" s="22"/>
      <c r="J126" s="77"/>
      <c r="K126" s="78"/>
    </row>
    <row r="127" spans="1:11" s="34" customFormat="1" ht="19.149999999999999" customHeight="1">
      <c r="A127" s="182" t="s">
        <v>132</v>
      </c>
      <c r="B127" s="173"/>
      <c r="C127" s="175"/>
      <c r="D127" s="183"/>
      <c r="E127" s="145"/>
      <c r="F127" s="32"/>
      <c r="G127" s="33"/>
    </row>
    <row r="128" spans="1:11" s="34" customFormat="1" ht="19.149999999999999" customHeight="1">
      <c r="A128" s="178" t="s">
        <v>746</v>
      </c>
      <c r="B128" s="179"/>
      <c r="C128" s="178"/>
      <c r="D128" s="180"/>
      <c r="E128" s="145"/>
      <c r="F128" s="32"/>
      <c r="G128" s="33"/>
      <c r="I128" s="22"/>
      <c r="J128" s="77"/>
      <c r="K128" s="78"/>
    </row>
    <row r="129" spans="1:11" s="34" customFormat="1" ht="19.149999999999999" customHeight="1">
      <c r="A129" s="210" t="s">
        <v>359</v>
      </c>
      <c r="B129" s="211" t="s">
        <v>361</v>
      </c>
      <c r="C129" s="213" t="s">
        <v>177</v>
      </c>
      <c r="D129" s="212">
        <v>217</v>
      </c>
      <c r="E129" s="145"/>
      <c r="F129" s="32"/>
      <c r="G129" s="33" t="s">
        <v>368</v>
      </c>
      <c r="I129" s="22"/>
      <c r="J129" s="77"/>
      <c r="K129" s="78"/>
    </row>
    <row r="130" spans="1:11" s="34" customFormat="1" ht="19.149999999999999" customHeight="1">
      <c r="A130" s="210" t="s">
        <v>362</v>
      </c>
      <c r="B130" s="211" t="s">
        <v>363</v>
      </c>
      <c r="C130" s="213" t="s">
        <v>177</v>
      </c>
      <c r="D130" s="212">
        <v>652</v>
      </c>
      <c r="E130" s="145"/>
      <c r="F130" s="32"/>
      <c r="G130" s="33" t="s">
        <v>369</v>
      </c>
      <c r="I130" s="22"/>
      <c r="J130" s="77"/>
      <c r="K130" s="78"/>
    </row>
    <row r="131" spans="1:11" s="34" customFormat="1" ht="19.149999999999999" customHeight="1">
      <c r="A131" s="210" t="s">
        <v>389</v>
      </c>
      <c r="B131" s="211" t="s">
        <v>456</v>
      </c>
      <c r="C131" s="213" t="s">
        <v>85</v>
      </c>
      <c r="D131" s="212">
        <v>42</v>
      </c>
      <c r="E131" s="145"/>
      <c r="F131" s="32"/>
      <c r="G131" s="33" t="s">
        <v>529</v>
      </c>
      <c r="I131" s="22"/>
      <c r="J131" s="77"/>
      <c r="K131" s="78"/>
    </row>
    <row r="132" spans="1:11" s="34" customFormat="1" ht="19.149999999999999" customHeight="1">
      <c r="A132" s="210" t="s">
        <v>395</v>
      </c>
      <c r="B132" s="211" t="s">
        <v>396</v>
      </c>
      <c r="C132" s="213" t="s">
        <v>85</v>
      </c>
      <c r="D132" s="212">
        <v>38</v>
      </c>
      <c r="E132" s="145"/>
      <c r="F132" s="32"/>
      <c r="G132" s="33" t="s">
        <v>414</v>
      </c>
      <c r="I132" s="22"/>
      <c r="J132" s="77"/>
      <c r="K132" s="78"/>
    </row>
    <row r="133" spans="1:11" s="34" customFormat="1" ht="19.149999999999999" customHeight="1">
      <c r="A133" s="210" t="s">
        <v>571</v>
      </c>
      <c r="B133" s="211" t="s">
        <v>573</v>
      </c>
      <c r="C133" s="213" t="s">
        <v>85</v>
      </c>
      <c r="D133" s="212">
        <v>4</v>
      </c>
      <c r="E133" s="145"/>
      <c r="F133" s="32"/>
      <c r="G133" s="33" t="s">
        <v>586</v>
      </c>
      <c r="I133" s="22"/>
      <c r="J133" s="77"/>
      <c r="K133" s="78"/>
    </row>
    <row r="134" spans="1:11" s="34" customFormat="1" ht="19.149999999999999" customHeight="1">
      <c r="A134" s="178"/>
      <c r="B134" s="179"/>
      <c r="C134" s="178"/>
      <c r="D134" s="180"/>
      <c r="E134" s="145"/>
      <c r="F134" s="32"/>
      <c r="G134" s="33"/>
      <c r="I134" s="22"/>
      <c r="J134" s="77"/>
      <c r="K134" s="78"/>
    </row>
    <row r="135" spans="1:11" s="34" customFormat="1" ht="19.149999999999999" customHeight="1">
      <c r="A135" s="178"/>
      <c r="B135" s="179"/>
      <c r="C135" s="178"/>
      <c r="D135" s="180"/>
      <c r="E135" s="145"/>
      <c r="F135" s="32"/>
      <c r="G135" s="33"/>
      <c r="I135" s="22"/>
      <c r="J135" s="77"/>
      <c r="K135" s="78"/>
    </row>
    <row r="136" spans="1:11" s="34" customFormat="1" ht="19.149999999999999" customHeight="1">
      <c r="A136" s="178"/>
      <c r="B136" s="179"/>
      <c r="C136" s="178"/>
      <c r="D136" s="180"/>
      <c r="E136" s="145"/>
      <c r="F136" s="32"/>
      <c r="G136" s="33"/>
      <c r="I136" s="22"/>
      <c r="J136" s="77"/>
      <c r="K136" s="78"/>
    </row>
    <row r="137" spans="1:11" s="34" customFormat="1" ht="19.149999999999999" customHeight="1">
      <c r="A137" s="178"/>
      <c r="B137" s="179"/>
      <c r="C137" s="178"/>
      <c r="D137" s="180"/>
      <c r="E137" s="145"/>
      <c r="F137" s="32"/>
      <c r="G137" s="33"/>
      <c r="I137" s="22"/>
      <c r="J137" s="77"/>
      <c r="K137" s="78"/>
    </row>
    <row r="138" spans="1:11" s="34" customFormat="1" ht="19.149999999999999" customHeight="1">
      <c r="A138" s="178"/>
      <c r="B138" s="179"/>
      <c r="C138" s="178"/>
      <c r="D138" s="180"/>
      <c r="E138" s="145"/>
      <c r="F138" s="32"/>
      <c r="G138" s="33"/>
      <c r="I138" s="22"/>
      <c r="J138" s="77"/>
      <c r="K138" s="78"/>
    </row>
    <row r="139" spans="1:11" s="34" customFormat="1" ht="19.149999999999999" customHeight="1">
      <c r="A139" s="178"/>
      <c r="B139" s="179"/>
      <c r="C139" s="178"/>
      <c r="D139" s="180"/>
      <c r="E139" s="145"/>
      <c r="F139" s="32"/>
      <c r="G139" s="33"/>
      <c r="I139" s="22"/>
      <c r="J139" s="77"/>
      <c r="K139" s="78"/>
    </row>
    <row r="140" spans="1:11" s="34" customFormat="1" ht="19.149999999999999" customHeight="1">
      <c r="A140" s="178"/>
      <c r="B140" s="179"/>
      <c r="C140" s="178"/>
      <c r="D140" s="180"/>
      <c r="E140" s="145"/>
      <c r="F140" s="32"/>
      <c r="G140" s="33"/>
      <c r="I140" s="22"/>
      <c r="J140" s="77"/>
      <c r="K140" s="78"/>
    </row>
    <row r="141" spans="1:11" s="34" customFormat="1" ht="19.149999999999999" customHeight="1">
      <c r="A141" s="178"/>
      <c r="B141" s="179"/>
      <c r="C141" s="178"/>
      <c r="D141" s="180"/>
      <c r="E141" s="145"/>
      <c r="F141" s="32"/>
      <c r="G141" s="33"/>
      <c r="I141" s="22"/>
      <c r="J141" s="77"/>
      <c r="K141" s="78"/>
    </row>
    <row r="142" spans="1:11" s="34" customFormat="1" ht="19.149999999999999" customHeight="1">
      <c r="A142" s="178"/>
      <c r="B142" s="179"/>
      <c r="C142" s="178"/>
      <c r="D142" s="180"/>
      <c r="E142" s="145"/>
      <c r="F142" s="32"/>
      <c r="G142" s="33"/>
      <c r="I142" s="22"/>
      <c r="J142" s="77"/>
      <c r="K142" s="78"/>
    </row>
    <row r="143" spans="1:11" s="34" customFormat="1" ht="19.149999999999999" customHeight="1">
      <c r="A143" s="178"/>
      <c r="B143" s="179"/>
      <c r="C143" s="178"/>
      <c r="D143" s="180"/>
      <c r="E143" s="145"/>
      <c r="F143" s="32"/>
      <c r="G143" s="33"/>
      <c r="I143" s="22"/>
      <c r="J143" s="77"/>
      <c r="K143" s="78"/>
    </row>
    <row r="144" spans="1:11" s="34" customFormat="1" ht="19.149999999999999" customHeight="1">
      <c r="A144" s="178"/>
      <c r="B144" s="179"/>
      <c r="C144" s="178"/>
      <c r="D144" s="180"/>
      <c r="E144" s="145"/>
      <c r="F144" s="32"/>
      <c r="G144" s="33"/>
      <c r="I144" s="22"/>
      <c r="J144" s="77"/>
      <c r="K144" s="78"/>
    </row>
    <row r="145" spans="1:11" s="34" customFormat="1" ht="19.149999999999999" customHeight="1">
      <c r="A145" s="178"/>
      <c r="B145" s="179"/>
      <c r="C145" s="178"/>
      <c r="D145" s="180"/>
      <c r="E145" s="145"/>
      <c r="F145" s="32"/>
      <c r="G145" s="33"/>
      <c r="I145" s="22"/>
      <c r="J145" s="77"/>
      <c r="K145" s="78"/>
    </row>
    <row r="146" spans="1:11" s="34" customFormat="1" ht="19.149999999999999" customHeight="1">
      <c r="A146" s="178"/>
      <c r="B146" s="179"/>
      <c r="C146" s="178"/>
      <c r="D146" s="180"/>
      <c r="E146" s="145"/>
      <c r="F146" s="32"/>
      <c r="G146" s="33"/>
      <c r="I146" s="22"/>
      <c r="J146" s="77"/>
      <c r="K146" s="78"/>
    </row>
    <row r="147" spans="1:11" s="34" customFormat="1" ht="19.149999999999999" customHeight="1">
      <c r="A147" s="178"/>
      <c r="B147" s="179"/>
      <c r="C147" s="178"/>
      <c r="D147" s="180"/>
      <c r="E147" s="145"/>
      <c r="F147" s="32"/>
      <c r="G147" s="33"/>
      <c r="I147" s="22"/>
      <c r="J147" s="77"/>
      <c r="K147" s="78"/>
    </row>
    <row r="148" spans="1:11" s="34" customFormat="1" ht="19.149999999999999" customHeight="1">
      <c r="A148" s="178"/>
      <c r="B148" s="179"/>
      <c r="C148" s="178"/>
      <c r="D148" s="180"/>
      <c r="E148" s="145"/>
      <c r="F148" s="32"/>
      <c r="G148" s="33"/>
      <c r="I148" s="22"/>
      <c r="J148" s="77"/>
      <c r="K148" s="78"/>
    </row>
    <row r="149" spans="1:11" s="34" customFormat="1" ht="19.149999999999999" customHeight="1">
      <c r="A149" s="178"/>
      <c r="B149" s="179"/>
      <c r="C149" s="178"/>
      <c r="D149" s="180"/>
      <c r="E149" s="145"/>
      <c r="F149" s="32"/>
      <c r="G149" s="33"/>
      <c r="I149" s="22"/>
      <c r="J149" s="77"/>
      <c r="K149" s="78"/>
    </row>
    <row r="150" spans="1:11" s="34" customFormat="1" ht="19.149999999999999" customHeight="1">
      <c r="A150" s="178"/>
      <c r="B150" s="179"/>
      <c r="C150" s="178"/>
      <c r="D150" s="180"/>
      <c r="E150" s="145"/>
      <c r="F150" s="32"/>
      <c r="G150" s="33"/>
      <c r="I150" s="22"/>
      <c r="J150" s="77"/>
      <c r="K150" s="78"/>
    </row>
    <row r="151" spans="1:11" s="34" customFormat="1" ht="19.149999999999999" customHeight="1">
      <c r="A151" s="178"/>
      <c r="B151" s="179"/>
      <c r="C151" s="178"/>
      <c r="D151" s="180"/>
      <c r="E151" s="145"/>
      <c r="F151" s="32"/>
      <c r="G151" s="33"/>
      <c r="I151" s="22"/>
      <c r="J151" s="77"/>
      <c r="K151" s="78"/>
    </row>
    <row r="152" spans="1:11" s="34" customFormat="1" ht="19.149999999999999" customHeight="1">
      <c r="A152" s="182" t="s">
        <v>132</v>
      </c>
      <c r="B152" s="173"/>
      <c r="C152" s="175"/>
      <c r="D152" s="183"/>
      <c r="E152" s="145"/>
      <c r="F152" s="32"/>
      <c r="G152" s="33"/>
    </row>
    <row r="153" spans="1:11" s="34" customFormat="1" ht="19.149999999999999" customHeight="1">
      <c r="A153" s="178" t="s">
        <v>160</v>
      </c>
      <c r="B153" s="179"/>
      <c r="C153" s="184" t="s">
        <v>86</v>
      </c>
      <c r="D153" s="185">
        <v>1</v>
      </c>
      <c r="E153" s="145"/>
      <c r="F153" s="32"/>
      <c r="G153" s="33"/>
    </row>
    <row r="154" spans="1:11" s="34" customFormat="1" ht="19.149999999999999" customHeight="1">
      <c r="A154" s="148"/>
      <c r="B154" s="148"/>
      <c r="C154" s="157"/>
      <c r="D154" s="158"/>
      <c r="E154" s="145"/>
      <c r="F154" s="32"/>
      <c r="G154" s="33"/>
    </row>
    <row r="155" spans="1:11" s="34" customFormat="1" ht="19.149999999999999" customHeight="1">
      <c r="A155" s="148"/>
      <c r="B155" s="148"/>
      <c r="C155" s="157"/>
      <c r="D155" s="158"/>
      <c r="E155" s="145"/>
      <c r="F155" s="32"/>
      <c r="G155" s="33"/>
    </row>
    <row r="156" spans="1:11" s="34" customFormat="1" ht="19.149999999999999" customHeight="1">
      <c r="A156" s="148"/>
      <c r="B156" s="148"/>
      <c r="C156" s="157"/>
      <c r="D156" s="158"/>
      <c r="E156" s="145"/>
      <c r="F156" s="32"/>
      <c r="G156" s="33"/>
    </row>
    <row r="157" spans="1:11" s="34" customFormat="1" ht="19.149999999999999" customHeight="1">
      <c r="A157" s="148"/>
      <c r="B157" s="148"/>
      <c r="C157" s="157"/>
      <c r="D157" s="158"/>
      <c r="E157" s="145"/>
      <c r="F157" s="32"/>
      <c r="G157" s="33"/>
    </row>
    <row r="158" spans="1:11" s="34" customFormat="1" ht="19.149999999999999" customHeight="1">
      <c r="A158" s="148"/>
      <c r="B158" s="148"/>
      <c r="C158" s="157"/>
      <c r="D158" s="158"/>
      <c r="E158" s="145"/>
      <c r="F158" s="32"/>
      <c r="G158" s="33"/>
    </row>
    <row r="159" spans="1:11" s="34" customFormat="1" ht="19.149999999999999" customHeight="1">
      <c r="A159" s="148"/>
      <c r="B159" s="148"/>
      <c r="C159" s="157"/>
      <c r="D159" s="158"/>
      <c r="E159" s="145"/>
      <c r="F159" s="32"/>
      <c r="G159" s="33"/>
    </row>
    <row r="160" spans="1:11" s="34" customFormat="1" ht="19.149999999999999" customHeight="1">
      <c r="A160" s="148"/>
      <c r="B160" s="148"/>
      <c r="C160" s="157"/>
      <c r="D160" s="158"/>
      <c r="E160" s="145"/>
      <c r="F160" s="32"/>
      <c r="G160" s="33"/>
    </row>
    <row r="161" spans="1:7" s="34" customFormat="1" ht="19.149999999999999" customHeight="1">
      <c r="A161" s="148"/>
      <c r="B161" s="148"/>
      <c r="C161" s="157"/>
      <c r="D161" s="158"/>
      <c r="E161" s="145"/>
      <c r="F161" s="32"/>
      <c r="G161" s="33"/>
    </row>
    <row r="162" spans="1:7" s="34" customFormat="1" ht="19.149999999999999" customHeight="1">
      <c r="A162" s="148"/>
      <c r="B162" s="148"/>
      <c r="C162" s="157"/>
      <c r="D162" s="158"/>
      <c r="E162" s="145"/>
      <c r="F162" s="32"/>
      <c r="G162" s="33"/>
    </row>
    <row r="163" spans="1:7" s="34" customFormat="1" ht="19.149999999999999" customHeight="1">
      <c r="A163" s="148"/>
      <c r="B163" s="148"/>
      <c r="C163" s="157"/>
      <c r="D163" s="158"/>
      <c r="E163" s="145"/>
      <c r="F163" s="32"/>
      <c r="G163" s="33"/>
    </row>
    <row r="164" spans="1:7" s="34" customFormat="1" ht="19.149999999999999" customHeight="1">
      <c r="A164" s="148"/>
      <c r="B164" s="148"/>
      <c r="C164" s="157"/>
      <c r="D164" s="158"/>
      <c r="E164" s="145"/>
      <c r="F164" s="32"/>
      <c r="G164" s="33"/>
    </row>
    <row r="165" spans="1:7" s="34" customFormat="1" ht="19.149999999999999" customHeight="1">
      <c r="A165" s="148"/>
      <c r="B165" s="148"/>
      <c r="C165" s="157"/>
      <c r="D165" s="158"/>
      <c r="E165" s="145"/>
      <c r="F165" s="32"/>
      <c r="G165" s="33"/>
    </row>
    <row r="166" spans="1:7" s="34" customFormat="1" ht="19.149999999999999" customHeight="1">
      <c r="A166" s="148"/>
      <c r="B166" s="148"/>
      <c r="C166" s="157"/>
      <c r="D166" s="158"/>
      <c r="E166" s="145"/>
      <c r="F166" s="32"/>
      <c r="G166" s="33"/>
    </row>
    <row r="167" spans="1:7" s="34" customFormat="1" ht="19.149999999999999" customHeight="1">
      <c r="A167" s="148"/>
      <c r="B167" s="148"/>
      <c r="C167" s="157"/>
      <c r="D167" s="158"/>
      <c r="E167" s="145"/>
      <c r="F167" s="32"/>
      <c r="G167" s="33"/>
    </row>
    <row r="168" spans="1:7" s="34" customFormat="1" ht="19.149999999999999" customHeight="1">
      <c r="A168" s="148"/>
      <c r="B168" s="148"/>
      <c r="C168" s="157"/>
      <c r="D168" s="158"/>
      <c r="E168" s="145"/>
      <c r="F168" s="32"/>
      <c r="G168" s="33"/>
    </row>
    <row r="169" spans="1:7" s="34" customFormat="1" ht="19.149999999999999" customHeight="1">
      <c r="A169" s="148"/>
      <c r="B169" s="148"/>
      <c r="C169" s="157"/>
      <c r="D169" s="158"/>
      <c r="E169" s="145"/>
      <c r="F169" s="32"/>
      <c r="G169" s="33"/>
    </row>
    <row r="170" spans="1:7" s="34" customFormat="1" ht="19.149999999999999" customHeight="1">
      <c r="A170" s="148"/>
      <c r="B170" s="148"/>
      <c r="C170" s="157"/>
      <c r="D170" s="158"/>
      <c r="E170" s="145"/>
      <c r="F170" s="32"/>
      <c r="G170" s="33"/>
    </row>
    <row r="171" spans="1:7" s="34" customFormat="1" ht="19.149999999999999" customHeight="1">
      <c r="A171" s="148"/>
      <c r="B171" s="148"/>
      <c r="C171" s="157"/>
      <c r="D171" s="158"/>
      <c r="E171" s="145"/>
      <c r="F171" s="32"/>
      <c r="G171" s="33"/>
    </row>
    <row r="172" spans="1:7" s="34" customFormat="1" ht="19.149999999999999" customHeight="1">
      <c r="A172" s="148"/>
      <c r="B172" s="148"/>
      <c r="C172" s="157"/>
      <c r="D172" s="158"/>
      <c r="E172" s="145"/>
      <c r="F172" s="32"/>
      <c r="G172" s="33"/>
    </row>
    <row r="173" spans="1:7" s="34" customFormat="1" ht="19.149999999999999" customHeight="1">
      <c r="A173" s="148"/>
      <c r="B173" s="148"/>
      <c r="C173" s="157"/>
      <c r="D173" s="158"/>
      <c r="E173" s="145"/>
      <c r="F173" s="32"/>
      <c r="G173" s="33"/>
    </row>
    <row r="174" spans="1:7" s="34" customFormat="1" ht="19.149999999999999" customHeight="1">
      <c r="A174" s="148"/>
      <c r="B174" s="148"/>
      <c r="C174" s="157"/>
      <c r="D174" s="158"/>
      <c r="E174" s="145"/>
      <c r="F174" s="32"/>
      <c r="G174" s="33"/>
    </row>
    <row r="175" spans="1:7" s="34" customFormat="1" ht="19.149999999999999" customHeight="1">
      <c r="A175" s="148"/>
      <c r="B175" s="148"/>
      <c r="C175" s="157"/>
      <c r="D175" s="158"/>
      <c r="E175" s="145"/>
      <c r="F175" s="32"/>
      <c r="G175" s="33"/>
    </row>
    <row r="176" spans="1:7" s="34" customFormat="1" ht="19.149999999999999" customHeight="1">
      <c r="A176" s="148"/>
      <c r="B176" s="148"/>
      <c r="C176" s="157"/>
      <c r="D176" s="158"/>
      <c r="E176" s="145"/>
      <c r="F176" s="32"/>
      <c r="G176" s="33"/>
    </row>
    <row r="177" spans="1:7" s="34" customFormat="1" ht="19.149999999999999" customHeight="1">
      <c r="A177" s="182" t="s">
        <v>132</v>
      </c>
      <c r="B177" s="173"/>
      <c r="C177" s="175"/>
      <c r="D177" s="183"/>
      <c r="E177" s="145"/>
      <c r="F177" s="32"/>
      <c r="G177" s="33"/>
    </row>
    <row r="178" spans="1:7" s="34" customFormat="1" ht="19.149999999999999" customHeight="1">
      <c r="A178" s="178" t="s">
        <v>161</v>
      </c>
      <c r="B178" s="179"/>
      <c r="C178" s="184" t="s">
        <v>86</v>
      </c>
      <c r="D178" s="185">
        <v>1</v>
      </c>
      <c r="E178" s="145"/>
      <c r="F178" s="32"/>
      <c r="G178" s="33"/>
    </row>
    <row r="179" spans="1:7" s="34" customFormat="1" ht="19.149999999999999" customHeight="1">
      <c r="A179" s="187" t="s">
        <v>162</v>
      </c>
      <c r="B179" s="186"/>
      <c r="C179" s="184" t="s">
        <v>86</v>
      </c>
      <c r="D179" s="185">
        <v>1</v>
      </c>
      <c r="E179" s="145"/>
      <c r="F179" s="32"/>
      <c r="G179" s="33"/>
    </row>
    <row r="180" spans="1:7" s="34" customFormat="1" ht="19.149999999999999" customHeight="1">
      <c r="A180" s="187" t="s">
        <v>163</v>
      </c>
      <c r="B180" s="186"/>
      <c r="C180" s="184" t="s">
        <v>86</v>
      </c>
      <c r="D180" s="185">
        <v>1</v>
      </c>
      <c r="E180" s="145"/>
      <c r="F180" s="32"/>
      <c r="G180" s="33"/>
    </row>
    <row r="181" spans="1:7" s="34" customFormat="1" ht="19.149999999999999" customHeight="1">
      <c r="A181" s="187"/>
      <c r="B181" s="186"/>
      <c r="C181" s="184"/>
      <c r="D181" s="185"/>
      <c r="E181" s="145"/>
      <c r="F181" s="32"/>
      <c r="G181" s="33"/>
    </row>
    <row r="182" spans="1:7" s="34" customFormat="1" ht="19.149999999999999" customHeight="1">
      <c r="A182" s="187"/>
      <c r="B182" s="186"/>
      <c r="C182" s="184"/>
      <c r="D182" s="185"/>
      <c r="E182" s="145"/>
      <c r="F182" s="32"/>
      <c r="G182" s="33"/>
    </row>
    <row r="183" spans="1:7" s="34" customFormat="1" ht="19.149999999999999" customHeight="1">
      <c r="A183" s="187"/>
      <c r="B183" s="186"/>
      <c r="C183" s="184"/>
      <c r="D183" s="185"/>
      <c r="E183" s="145"/>
      <c r="F183" s="32"/>
      <c r="G183" s="33"/>
    </row>
    <row r="184" spans="1:7" s="34" customFormat="1" ht="19.149999999999999" customHeight="1">
      <c r="A184" s="187"/>
      <c r="B184" s="186"/>
      <c r="C184" s="184"/>
      <c r="D184" s="185"/>
      <c r="E184" s="145"/>
      <c r="F184" s="32"/>
      <c r="G184" s="33"/>
    </row>
    <row r="185" spans="1:7" s="34" customFormat="1" ht="19.149999999999999" customHeight="1">
      <c r="A185" s="187"/>
      <c r="B185" s="186"/>
      <c r="C185" s="184"/>
      <c r="D185" s="185"/>
      <c r="E185" s="145"/>
      <c r="F185" s="32"/>
      <c r="G185" s="33"/>
    </row>
    <row r="186" spans="1:7" s="34" customFormat="1" ht="19.149999999999999" customHeight="1">
      <c r="A186" s="148"/>
      <c r="B186" s="148"/>
      <c r="C186" s="158"/>
      <c r="D186" s="158"/>
      <c r="E186" s="145"/>
      <c r="F186" s="32"/>
      <c r="G186" s="33"/>
    </row>
    <row r="187" spans="1:7" s="34" customFormat="1" ht="19.149999999999999" customHeight="1">
      <c r="A187" s="148"/>
      <c r="B187" s="148"/>
      <c r="C187" s="157"/>
      <c r="D187" s="158"/>
      <c r="E187" s="145"/>
      <c r="F187" s="32"/>
      <c r="G187" s="33"/>
    </row>
    <row r="188" spans="1:7" s="34" customFormat="1" ht="19.149999999999999" customHeight="1">
      <c r="A188" s="148"/>
      <c r="B188" s="148"/>
      <c r="C188" s="157"/>
      <c r="D188" s="158"/>
      <c r="E188" s="145"/>
      <c r="F188" s="32"/>
      <c r="G188" s="33"/>
    </row>
    <row r="189" spans="1:7" s="34" customFormat="1" ht="19.149999999999999" customHeight="1">
      <c r="A189" s="148"/>
      <c r="B189" s="148"/>
      <c r="C189" s="157"/>
      <c r="D189" s="158"/>
      <c r="E189" s="145"/>
      <c r="F189" s="32"/>
      <c r="G189" s="33"/>
    </row>
    <row r="190" spans="1:7" s="34" customFormat="1" ht="19.149999999999999" customHeight="1">
      <c r="A190" s="148"/>
      <c r="B190" s="148"/>
      <c r="C190" s="157"/>
      <c r="D190" s="158"/>
      <c r="E190" s="145"/>
      <c r="F190" s="32"/>
      <c r="G190" s="33"/>
    </row>
    <row r="191" spans="1:7" s="34" customFormat="1" ht="19.149999999999999" customHeight="1">
      <c r="A191" s="148"/>
      <c r="B191" s="148"/>
      <c r="C191" s="157"/>
      <c r="D191" s="158"/>
      <c r="E191" s="145"/>
      <c r="F191" s="32"/>
      <c r="G191" s="33"/>
    </row>
    <row r="192" spans="1:7" s="34" customFormat="1" ht="19.149999999999999" customHeight="1">
      <c r="A192" s="148"/>
      <c r="B192" s="148"/>
      <c r="C192" s="157"/>
      <c r="D192" s="158"/>
      <c r="E192" s="145"/>
      <c r="F192" s="32"/>
      <c r="G192" s="33"/>
    </row>
    <row r="193" spans="1:7" s="34" customFormat="1" ht="19.149999999999999" customHeight="1">
      <c r="A193" s="148"/>
      <c r="B193" s="148"/>
      <c r="C193" s="157"/>
      <c r="D193" s="158"/>
      <c r="E193" s="145"/>
      <c r="F193" s="32"/>
      <c r="G193" s="33"/>
    </row>
    <row r="194" spans="1:7" s="34" customFormat="1" ht="19.149999999999999" customHeight="1">
      <c r="A194" s="148"/>
      <c r="B194" s="148"/>
      <c r="C194" s="157"/>
      <c r="D194" s="158"/>
      <c r="E194" s="145"/>
      <c r="F194" s="32"/>
      <c r="G194" s="33"/>
    </row>
    <row r="195" spans="1:7" s="34" customFormat="1" ht="19.149999999999999" customHeight="1">
      <c r="A195" s="148"/>
      <c r="B195" s="148"/>
      <c r="C195" s="157"/>
      <c r="D195" s="158"/>
      <c r="E195" s="145"/>
      <c r="F195" s="32"/>
      <c r="G195" s="33"/>
    </row>
    <row r="196" spans="1:7" s="34" customFormat="1" ht="19.149999999999999" customHeight="1">
      <c r="A196" s="148"/>
      <c r="B196" s="148"/>
      <c r="C196" s="157"/>
      <c r="D196" s="158"/>
      <c r="E196" s="145"/>
      <c r="F196" s="32"/>
      <c r="G196" s="33"/>
    </row>
    <row r="197" spans="1:7" s="34" customFormat="1" ht="19.149999999999999" customHeight="1">
      <c r="A197" s="148"/>
      <c r="B197" s="148"/>
      <c r="C197" s="157"/>
      <c r="D197" s="158"/>
      <c r="E197" s="145"/>
      <c r="F197" s="32"/>
      <c r="G197" s="33"/>
    </row>
    <row r="198" spans="1:7" s="34" customFormat="1" ht="19.149999999999999" customHeight="1">
      <c r="A198" s="148"/>
      <c r="B198" s="148"/>
      <c r="C198" s="157"/>
      <c r="D198" s="158"/>
      <c r="E198" s="145"/>
      <c r="F198" s="32"/>
      <c r="G198" s="33"/>
    </row>
    <row r="199" spans="1:7" s="34" customFormat="1" ht="19.149999999999999" customHeight="1">
      <c r="A199" s="148"/>
      <c r="B199" s="148"/>
      <c r="C199" s="157"/>
      <c r="D199" s="158"/>
      <c r="E199" s="145"/>
      <c r="F199" s="32"/>
      <c r="G199" s="33"/>
    </row>
    <row r="200" spans="1:7" s="34" customFormat="1" ht="19.149999999999999" customHeight="1">
      <c r="A200" s="148"/>
      <c r="B200" s="148"/>
      <c r="C200" s="157"/>
      <c r="D200" s="158"/>
      <c r="E200" s="145"/>
      <c r="F200" s="32"/>
      <c r="G200" s="33"/>
    </row>
    <row r="201" spans="1:7" s="34" customFormat="1" ht="19.149999999999999" customHeight="1">
      <c r="A201" s="148"/>
      <c r="B201" s="148"/>
      <c r="C201" s="157"/>
      <c r="D201" s="158"/>
      <c r="E201" s="145"/>
      <c r="F201" s="32"/>
      <c r="G201" s="33"/>
    </row>
    <row r="202" spans="1:7" s="34" customFormat="1" ht="19.149999999999999" customHeight="1">
      <c r="A202" s="182" t="s">
        <v>132</v>
      </c>
      <c r="B202" s="173"/>
      <c r="C202" s="175"/>
      <c r="D202" s="183"/>
      <c r="E202" s="145"/>
      <c r="F202" s="32"/>
      <c r="G202" s="33"/>
    </row>
    <row r="203" spans="1:7" s="34" customFormat="1" ht="19.149999999999999" customHeight="1">
      <c r="A203" s="151" t="s">
        <v>46</v>
      </c>
      <c r="B203" s="177" t="s">
        <v>167</v>
      </c>
      <c r="C203" s="152" t="s">
        <v>6</v>
      </c>
      <c r="D203" s="153">
        <v>1</v>
      </c>
      <c r="E203" s="145"/>
      <c r="F203" s="32"/>
      <c r="G203" s="33"/>
    </row>
    <row r="204" spans="1:7" s="34" customFormat="1" ht="19.149999999999999" customHeight="1">
      <c r="A204" s="151" t="s">
        <v>47</v>
      </c>
      <c r="B204" s="177" t="s">
        <v>799</v>
      </c>
      <c r="C204" s="152" t="s">
        <v>6</v>
      </c>
      <c r="D204" s="153">
        <v>1</v>
      </c>
      <c r="E204" s="145"/>
      <c r="F204" s="32"/>
      <c r="G204" s="33"/>
    </row>
    <row r="205" spans="1:7" s="34" customFormat="1" ht="19.149999999999999" customHeight="1">
      <c r="A205" s="151" t="s">
        <v>48</v>
      </c>
      <c r="B205" s="177" t="s">
        <v>108</v>
      </c>
      <c r="C205" s="152" t="s">
        <v>6</v>
      </c>
      <c r="D205" s="153">
        <v>1</v>
      </c>
      <c r="E205" s="145"/>
      <c r="F205" s="32"/>
      <c r="G205" s="33"/>
    </row>
    <row r="206" spans="1:7" s="34" customFormat="1" ht="19.149999999999999" customHeight="1">
      <c r="A206" s="151" t="s">
        <v>49</v>
      </c>
      <c r="B206" s="177" t="s">
        <v>137</v>
      </c>
      <c r="C206" s="152" t="s">
        <v>6</v>
      </c>
      <c r="D206" s="153">
        <v>1</v>
      </c>
      <c r="E206" s="145"/>
      <c r="F206" s="32"/>
      <c r="G206" s="33"/>
    </row>
    <row r="207" spans="1:7" s="34" customFormat="1" ht="19.149999999999999" customHeight="1">
      <c r="A207" s="151" t="s">
        <v>97</v>
      </c>
      <c r="B207" s="177" t="s">
        <v>788</v>
      </c>
      <c r="C207" s="152" t="s">
        <v>86</v>
      </c>
      <c r="D207" s="153">
        <v>1</v>
      </c>
      <c r="E207" s="145"/>
      <c r="F207" s="32"/>
      <c r="G207" s="33"/>
    </row>
    <row r="208" spans="1:7" s="34" customFormat="1" ht="19.149999999999999" customHeight="1">
      <c r="A208" s="151" t="s">
        <v>98</v>
      </c>
      <c r="B208" s="177" t="s">
        <v>109</v>
      </c>
      <c r="C208" s="152" t="s">
        <v>86</v>
      </c>
      <c r="D208" s="153">
        <v>1</v>
      </c>
      <c r="E208" s="145"/>
      <c r="F208" s="32"/>
      <c r="G208" s="33"/>
    </row>
    <row r="209" spans="1:7" s="34" customFormat="1" ht="19.149999999999999" customHeight="1">
      <c r="A209" s="151" t="s">
        <v>99</v>
      </c>
      <c r="B209" s="177" t="s">
        <v>789</v>
      </c>
      <c r="C209" s="152" t="s">
        <v>6</v>
      </c>
      <c r="D209" s="153">
        <v>1</v>
      </c>
      <c r="E209" s="145"/>
      <c r="F209" s="32"/>
      <c r="G209" s="33"/>
    </row>
    <row r="210" spans="1:7" s="34" customFormat="1" ht="19.149999999999999" customHeight="1">
      <c r="A210" s="151" t="s">
        <v>100</v>
      </c>
      <c r="B210" s="177" t="s">
        <v>101</v>
      </c>
      <c r="C210" s="152" t="s">
        <v>6</v>
      </c>
      <c r="D210" s="153">
        <v>1</v>
      </c>
      <c r="E210" s="145"/>
      <c r="F210" s="32"/>
      <c r="G210" s="33"/>
    </row>
    <row r="211" spans="1:7" s="34" customFormat="1" ht="19.149999999999999" customHeight="1">
      <c r="A211" s="151" t="s">
        <v>66</v>
      </c>
      <c r="B211" s="177" t="s">
        <v>138</v>
      </c>
      <c r="C211" s="152" t="s">
        <v>6</v>
      </c>
      <c r="D211" s="153">
        <v>1</v>
      </c>
      <c r="E211" s="145"/>
      <c r="F211" s="32"/>
      <c r="G211" s="33"/>
    </row>
    <row r="212" spans="1:7" s="34" customFormat="1" ht="19.149999999999999" customHeight="1">
      <c r="A212" s="151" t="s">
        <v>139</v>
      </c>
      <c r="B212" s="177"/>
      <c r="C212" s="152" t="s">
        <v>6</v>
      </c>
      <c r="D212" s="153">
        <v>1</v>
      </c>
      <c r="E212" s="145"/>
      <c r="F212" s="32"/>
      <c r="G212" s="33"/>
    </row>
    <row r="213" spans="1:7" s="34" customFormat="1" ht="19.149999999999999" customHeight="1">
      <c r="A213" s="151" t="s">
        <v>140</v>
      </c>
      <c r="B213" s="177"/>
      <c r="C213" s="152" t="s">
        <v>6</v>
      </c>
      <c r="D213" s="153">
        <v>1</v>
      </c>
      <c r="E213" s="145"/>
      <c r="F213" s="32"/>
      <c r="G213" s="33"/>
    </row>
    <row r="214" spans="1:7" s="34" customFormat="1" ht="19.149999999999999" customHeight="1">
      <c r="A214" s="151" t="s">
        <v>142</v>
      </c>
      <c r="B214" s="177"/>
      <c r="C214" s="152" t="s">
        <v>6</v>
      </c>
      <c r="D214" s="153">
        <v>1</v>
      </c>
      <c r="E214" s="145"/>
      <c r="F214" s="32"/>
      <c r="G214" s="33"/>
    </row>
    <row r="215" spans="1:7" s="34" customFormat="1" ht="19.149999999999999" customHeight="1">
      <c r="A215" s="151" t="s">
        <v>50</v>
      </c>
      <c r="B215" s="177" t="s">
        <v>141</v>
      </c>
      <c r="C215" s="152" t="s">
        <v>6</v>
      </c>
      <c r="D215" s="153">
        <v>1</v>
      </c>
      <c r="E215" s="145"/>
      <c r="F215" s="32"/>
      <c r="G215" s="33"/>
    </row>
    <row r="216" spans="1:7" s="34" customFormat="1" ht="19.149999999999999" customHeight="1">
      <c r="A216" s="151" t="s">
        <v>51</v>
      </c>
      <c r="B216" s="177" t="s">
        <v>102</v>
      </c>
      <c r="C216" s="152" t="s">
        <v>6</v>
      </c>
      <c r="D216" s="153">
        <v>1</v>
      </c>
      <c r="E216" s="145"/>
      <c r="F216" s="32"/>
      <c r="G216" s="33"/>
    </row>
    <row r="217" spans="1:7" s="34" customFormat="1" ht="19.149999999999999" customHeight="1">
      <c r="A217" s="151" t="s">
        <v>67</v>
      </c>
      <c r="B217" s="177"/>
      <c r="C217" s="152" t="s">
        <v>6</v>
      </c>
      <c r="D217" s="153">
        <v>1</v>
      </c>
      <c r="E217" s="145"/>
      <c r="F217" s="32"/>
      <c r="G217" s="33"/>
    </row>
    <row r="218" spans="1:7" s="34" customFormat="1" ht="19.149999999999999" customHeight="1">
      <c r="A218" s="151" t="s">
        <v>68</v>
      </c>
      <c r="B218" s="188">
        <v>0.1</v>
      </c>
      <c r="C218" s="152" t="s">
        <v>6</v>
      </c>
      <c r="D218" s="153">
        <v>1</v>
      </c>
      <c r="E218" s="145"/>
      <c r="F218" s="32"/>
      <c r="G218" s="33"/>
    </row>
    <row r="219" spans="1:7" s="34" customFormat="1" ht="19.149999999999999" customHeight="1">
      <c r="A219" s="151" t="s">
        <v>65</v>
      </c>
      <c r="B219" s="177"/>
      <c r="C219" s="152" t="s">
        <v>6</v>
      </c>
      <c r="D219" s="153">
        <v>1</v>
      </c>
      <c r="E219" s="145"/>
      <c r="F219" s="32"/>
      <c r="G219" s="33"/>
    </row>
    <row r="220" spans="1:7" s="34" customFormat="1" ht="19.149999999999999" customHeight="1">
      <c r="A220" s="151"/>
      <c r="B220" s="177"/>
      <c r="C220" s="152"/>
      <c r="D220" s="153"/>
      <c r="E220" s="145"/>
      <c r="F220" s="32"/>
      <c r="G220" s="33"/>
    </row>
    <row r="221" spans="1:7" s="34" customFormat="1" ht="19.149999999999999" customHeight="1">
      <c r="A221" s="151"/>
      <c r="B221" s="177"/>
      <c r="C221" s="152"/>
      <c r="D221" s="153"/>
      <c r="E221" s="145"/>
      <c r="F221" s="32"/>
      <c r="G221" s="33"/>
    </row>
    <row r="222" spans="1:7" s="34" customFormat="1" ht="19.149999999999999" customHeight="1">
      <c r="A222" s="151"/>
      <c r="B222" s="177"/>
      <c r="C222" s="152"/>
      <c r="D222" s="153"/>
      <c r="E222" s="145"/>
      <c r="F222" s="32"/>
      <c r="G222" s="33"/>
    </row>
    <row r="223" spans="1:7" s="34" customFormat="1" ht="19.149999999999999" customHeight="1">
      <c r="A223" s="151"/>
      <c r="B223" s="177"/>
      <c r="C223" s="152"/>
      <c r="D223" s="153"/>
      <c r="E223" s="145"/>
      <c r="F223" s="32"/>
      <c r="G223" s="33"/>
    </row>
    <row r="224" spans="1:7" s="34" customFormat="1" ht="19.149999999999999" customHeight="1">
      <c r="A224" s="176"/>
      <c r="B224" s="177"/>
      <c r="C224" s="152"/>
      <c r="D224" s="153"/>
      <c r="E224" s="145"/>
      <c r="F224" s="32"/>
      <c r="G224" s="33"/>
    </row>
    <row r="225" spans="1:7" s="34" customFormat="1" ht="19.149999999999999" customHeight="1">
      <c r="A225" s="176"/>
      <c r="B225" s="177"/>
      <c r="C225" s="152"/>
      <c r="D225" s="153"/>
      <c r="E225" s="145"/>
      <c r="F225" s="32"/>
      <c r="G225" s="33"/>
    </row>
    <row r="226" spans="1:7" s="34" customFormat="1" ht="19.149999999999999" customHeight="1">
      <c r="A226" s="176"/>
      <c r="B226" s="177"/>
      <c r="C226" s="152"/>
      <c r="D226" s="153"/>
      <c r="E226" s="145"/>
      <c r="F226" s="32"/>
      <c r="G226" s="33"/>
    </row>
    <row r="227" spans="1:7" s="34" customFormat="1" ht="19.149999999999999" customHeight="1">
      <c r="A227" s="176"/>
      <c r="B227" s="177"/>
      <c r="C227" s="152"/>
      <c r="D227" s="153"/>
      <c r="E227" s="145"/>
      <c r="F227" s="32"/>
      <c r="G227" s="33"/>
    </row>
  </sheetData>
  <mergeCells count="1">
    <mergeCell ref="A1:G1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9" fitToHeight="0" orientation="landscape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  <pageSetUpPr fitToPage="1"/>
  </sheetPr>
  <dimension ref="A1:K352"/>
  <sheetViews>
    <sheetView showZeros="0" view="pageBreakPreview" zoomScaleNormal="100" zoomScaleSheetLayoutView="100" workbookViewId="0">
      <pane ySplit="2" topLeftCell="A3" activePane="bottomLeft" state="frozen"/>
      <selection activeCell="D4" sqref="D4"/>
      <selection pane="bottomLeft" activeCell="D4" sqref="D4"/>
    </sheetView>
  </sheetViews>
  <sheetFormatPr defaultColWidth="8.88671875" defaultRowHeight="24.95" customHeight="1"/>
  <cols>
    <col min="1" max="1" width="28.21875" style="35" customWidth="1"/>
    <col min="2" max="2" width="28.109375" style="35" customWidth="1"/>
    <col min="3" max="3" width="6.88671875" style="36" customWidth="1"/>
    <col min="4" max="4" width="10.109375" style="36" customWidth="1"/>
    <col min="5" max="5" width="14" style="25" customWidth="1"/>
    <col min="6" max="6" width="14.77734375" style="25" customWidth="1"/>
    <col min="7" max="7" width="11.33203125" style="37" customWidth="1"/>
    <col min="8" max="8" width="8.88671875" style="25"/>
    <col min="9" max="9" width="43.44140625" style="25" customWidth="1"/>
    <col min="10" max="16384" width="8.88671875" style="25"/>
  </cols>
  <sheetData>
    <row r="1" spans="1:11" ht="27.75" customHeight="1">
      <c r="A1" s="395" t="s">
        <v>778</v>
      </c>
      <c r="B1" s="395"/>
      <c r="C1" s="395"/>
      <c r="D1" s="395"/>
      <c r="E1" s="395"/>
      <c r="F1" s="395"/>
      <c r="G1" s="395"/>
    </row>
    <row r="2" spans="1:11" s="26" customFormat="1" ht="17.45" customHeight="1">
      <c r="A2" s="207" t="s">
        <v>44</v>
      </c>
      <c r="B2" s="207" t="s">
        <v>8</v>
      </c>
      <c r="C2" s="207" t="s">
        <v>3</v>
      </c>
      <c r="D2" s="207" t="s">
        <v>9</v>
      </c>
      <c r="E2" s="207" t="s">
        <v>10</v>
      </c>
      <c r="F2" s="207" t="s">
        <v>11</v>
      </c>
      <c r="G2" s="207" t="s">
        <v>12</v>
      </c>
    </row>
    <row r="3" spans="1:11" s="34" customFormat="1" ht="19.149999999999999" customHeight="1">
      <c r="A3" s="178" t="s">
        <v>747</v>
      </c>
      <c r="B3" s="179"/>
      <c r="C3" s="178"/>
      <c r="D3" s="180"/>
      <c r="E3" s="145"/>
      <c r="F3" s="32"/>
      <c r="G3" s="33"/>
      <c r="I3" s="22"/>
      <c r="J3" s="77"/>
      <c r="K3" s="78"/>
    </row>
    <row r="4" spans="1:11" s="34" customFormat="1" ht="19.149999999999999" customHeight="1">
      <c r="A4" s="210" t="s">
        <v>175</v>
      </c>
      <c r="B4" s="211" t="s">
        <v>176</v>
      </c>
      <c r="C4" s="213" t="s">
        <v>177</v>
      </c>
      <c r="D4" s="212">
        <v>434</v>
      </c>
      <c r="E4" s="145"/>
      <c r="F4" s="32"/>
      <c r="G4" s="33" t="s">
        <v>219</v>
      </c>
      <c r="I4" s="22"/>
      <c r="J4" s="77"/>
      <c r="K4" s="78"/>
    </row>
    <row r="5" spans="1:11" s="34" customFormat="1" ht="19.149999999999999" customHeight="1">
      <c r="A5" s="210" t="s">
        <v>175</v>
      </c>
      <c r="B5" s="211" t="s">
        <v>178</v>
      </c>
      <c r="C5" s="213" t="s">
        <v>177</v>
      </c>
      <c r="D5" s="212">
        <v>199</v>
      </c>
      <c r="E5" s="145"/>
      <c r="F5" s="32"/>
      <c r="G5" s="33" t="s">
        <v>220</v>
      </c>
      <c r="I5" s="22"/>
      <c r="J5" s="77"/>
      <c r="K5" s="78"/>
    </row>
    <row r="6" spans="1:11" s="34" customFormat="1" ht="19.149999999999999" customHeight="1">
      <c r="A6" s="210" t="s">
        <v>175</v>
      </c>
      <c r="B6" s="211" t="s">
        <v>179</v>
      </c>
      <c r="C6" s="213" t="s">
        <v>177</v>
      </c>
      <c r="D6" s="212">
        <v>265</v>
      </c>
      <c r="E6" s="145"/>
      <c r="F6" s="32"/>
      <c r="G6" s="33" t="s">
        <v>221</v>
      </c>
      <c r="I6" s="22"/>
      <c r="J6" s="77"/>
      <c r="K6" s="78"/>
    </row>
    <row r="7" spans="1:11" s="34" customFormat="1" ht="19.149999999999999" customHeight="1">
      <c r="A7" s="210" t="s">
        <v>175</v>
      </c>
      <c r="B7" s="211" t="s">
        <v>180</v>
      </c>
      <c r="C7" s="213" t="s">
        <v>177</v>
      </c>
      <c r="D7" s="212">
        <v>212</v>
      </c>
      <c r="E7" s="145"/>
      <c r="F7" s="32"/>
      <c r="G7" s="33" t="s">
        <v>222</v>
      </c>
      <c r="I7" s="22"/>
      <c r="J7" s="77"/>
      <c r="K7" s="78"/>
    </row>
    <row r="8" spans="1:11" s="34" customFormat="1" ht="19.149999999999999" customHeight="1">
      <c r="A8" s="210" t="s">
        <v>181</v>
      </c>
      <c r="B8" s="211" t="s">
        <v>182</v>
      </c>
      <c r="C8" s="213" t="s">
        <v>177</v>
      </c>
      <c r="D8" s="212">
        <v>359</v>
      </c>
      <c r="E8" s="145"/>
      <c r="F8" s="32"/>
      <c r="G8" s="33" t="s">
        <v>223</v>
      </c>
      <c r="I8" s="22"/>
      <c r="J8" s="77"/>
      <c r="K8" s="78"/>
    </row>
    <row r="9" spans="1:11" s="34" customFormat="1" ht="19.149999999999999" customHeight="1">
      <c r="A9" s="210" t="s">
        <v>181</v>
      </c>
      <c r="B9" s="211" t="s">
        <v>183</v>
      </c>
      <c r="C9" s="213" t="s">
        <v>177</v>
      </c>
      <c r="D9" s="212">
        <v>1132</v>
      </c>
      <c r="E9" s="145"/>
      <c r="F9" s="32"/>
      <c r="G9" s="33" t="s">
        <v>224</v>
      </c>
      <c r="I9" s="22"/>
      <c r="J9" s="77"/>
      <c r="K9" s="78"/>
    </row>
    <row r="10" spans="1:11" s="34" customFormat="1" ht="19.149999999999999" customHeight="1">
      <c r="A10" s="210" t="s">
        <v>181</v>
      </c>
      <c r="B10" s="211" t="s">
        <v>279</v>
      </c>
      <c r="C10" s="213" t="s">
        <v>177</v>
      </c>
      <c r="D10" s="212">
        <v>119</v>
      </c>
      <c r="E10" s="145"/>
      <c r="F10" s="32"/>
      <c r="G10" s="33" t="s">
        <v>324</v>
      </c>
      <c r="I10" s="22"/>
      <c r="J10" s="77"/>
      <c r="K10" s="78"/>
    </row>
    <row r="11" spans="1:11" s="34" customFormat="1" ht="19.149999999999999" customHeight="1">
      <c r="A11" s="210" t="s">
        <v>181</v>
      </c>
      <c r="B11" s="211" t="s">
        <v>184</v>
      </c>
      <c r="C11" s="213" t="s">
        <v>177</v>
      </c>
      <c r="D11" s="212">
        <v>1092</v>
      </c>
      <c r="E11" s="145"/>
      <c r="F11" s="32"/>
      <c r="G11" s="33" t="s">
        <v>225</v>
      </c>
      <c r="I11" s="22"/>
      <c r="J11" s="77"/>
      <c r="K11" s="78"/>
    </row>
    <row r="12" spans="1:11" s="34" customFormat="1" ht="19.149999999999999" customHeight="1">
      <c r="A12" s="210" t="s">
        <v>181</v>
      </c>
      <c r="B12" s="211" t="s">
        <v>185</v>
      </c>
      <c r="C12" s="213" t="s">
        <v>177</v>
      </c>
      <c r="D12" s="212">
        <v>1048</v>
      </c>
      <c r="E12" s="145"/>
      <c r="F12" s="32"/>
      <c r="G12" s="33" t="s">
        <v>226</v>
      </c>
      <c r="I12" s="22"/>
      <c r="J12" s="77"/>
      <c r="K12" s="78"/>
    </row>
    <row r="13" spans="1:11" s="34" customFormat="1" ht="19.149999999999999" customHeight="1">
      <c r="A13" s="210" t="s">
        <v>186</v>
      </c>
      <c r="B13" s="211" t="s">
        <v>187</v>
      </c>
      <c r="C13" s="213" t="s">
        <v>177</v>
      </c>
      <c r="D13" s="212">
        <v>359</v>
      </c>
      <c r="E13" s="145"/>
      <c r="F13" s="32"/>
      <c r="G13" s="33" t="s">
        <v>227</v>
      </c>
      <c r="I13" s="22"/>
      <c r="J13" s="77"/>
      <c r="K13" s="78"/>
    </row>
    <row r="14" spans="1:11" s="34" customFormat="1" ht="19.149999999999999" customHeight="1">
      <c r="A14" s="210" t="s">
        <v>186</v>
      </c>
      <c r="B14" s="211" t="s">
        <v>133</v>
      </c>
      <c r="C14" s="213" t="s">
        <v>177</v>
      </c>
      <c r="D14" s="212">
        <v>921</v>
      </c>
      <c r="E14" s="145"/>
      <c r="F14" s="32"/>
      <c r="G14" s="33" t="s">
        <v>228</v>
      </c>
      <c r="I14" s="22"/>
      <c r="J14" s="77"/>
      <c r="K14" s="78"/>
    </row>
    <row r="15" spans="1:11" s="34" customFormat="1" ht="19.149999999999999" customHeight="1">
      <c r="A15" s="210" t="s">
        <v>186</v>
      </c>
      <c r="B15" s="211" t="s">
        <v>105</v>
      </c>
      <c r="C15" s="213" t="s">
        <v>177</v>
      </c>
      <c r="D15" s="212">
        <v>145</v>
      </c>
      <c r="E15" s="145"/>
      <c r="F15" s="32"/>
      <c r="G15" s="33" t="s">
        <v>229</v>
      </c>
      <c r="I15" s="22"/>
      <c r="J15" s="77"/>
      <c r="K15" s="78"/>
    </row>
    <row r="16" spans="1:11" s="34" customFormat="1" ht="19.149999999999999" customHeight="1">
      <c r="A16" s="210" t="s">
        <v>186</v>
      </c>
      <c r="B16" s="211" t="s">
        <v>121</v>
      </c>
      <c r="C16" s="213" t="s">
        <v>177</v>
      </c>
      <c r="D16" s="212">
        <v>203</v>
      </c>
      <c r="E16" s="145"/>
      <c r="F16" s="32"/>
      <c r="G16" s="33" t="s">
        <v>230</v>
      </c>
      <c r="I16" s="22"/>
      <c r="J16" s="77"/>
      <c r="K16" s="78"/>
    </row>
    <row r="17" spans="1:11" s="34" customFormat="1" ht="19.149999999999999" customHeight="1">
      <c r="A17" s="210" t="s">
        <v>188</v>
      </c>
      <c r="B17" s="211" t="s">
        <v>189</v>
      </c>
      <c r="C17" s="213" t="s">
        <v>129</v>
      </c>
      <c r="D17" s="212">
        <v>2</v>
      </c>
      <c r="E17" s="145"/>
      <c r="F17" s="32"/>
      <c r="G17" s="33" t="s">
        <v>748</v>
      </c>
      <c r="I17" s="22"/>
      <c r="J17" s="77"/>
      <c r="K17" s="78"/>
    </row>
    <row r="18" spans="1:11" s="34" customFormat="1" ht="19.149999999999999" customHeight="1">
      <c r="A18" s="210" t="s">
        <v>131</v>
      </c>
      <c r="B18" s="211" t="s">
        <v>190</v>
      </c>
      <c r="C18" s="213" t="s">
        <v>191</v>
      </c>
      <c r="D18" s="212">
        <v>7</v>
      </c>
      <c r="E18" s="145"/>
      <c r="F18" s="32"/>
      <c r="G18" s="33" t="s">
        <v>233</v>
      </c>
      <c r="I18" s="22"/>
      <c r="J18" s="77"/>
      <c r="K18" s="78"/>
    </row>
    <row r="19" spans="1:11" s="34" customFormat="1" ht="19.149999999999999" customHeight="1">
      <c r="A19" s="210" t="s">
        <v>131</v>
      </c>
      <c r="B19" s="211" t="s">
        <v>192</v>
      </c>
      <c r="C19" s="213" t="s">
        <v>191</v>
      </c>
      <c r="D19" s="212">
        <v>10</v>
      </c>
      <c r="E19" s="145"/>
      <c r="F19" s="32"/>
      <c r="G19" s="33" t="s">
        <v>749</v>
      </c>
      <c r="I19" s="22"/>
      <c r="J19" s="77"/>
      <c r="K19" s="78"/>
    </row>
    <row r="20" spans="1:11" s="34" customFormat="1" ht="19.149999999999999" customHeight="1">
      <c r="A20" s="210" t="s">
        <v>131</v>
      </c>
      <c r="B20" s="211" t="s">
        <v>193</v>
      </c>
      <c r="C20" s="213" t="s">
        <v>6</v>
      </c>
      <c r="D20" s="212">
        <v>12</v>
      </c>
      <c r="E20" s="145"/>
      <c r="F20" s="32"/>
      <c r="G20" s="33" t="s">
        <v>232</v>
      </c>
      <c r="I20" s="22"/>
      <c r="J20" s="77"/>
      <c r="K20" s="78"/>
    </row>
    <row r="21" spans="1:11" s="34" customFormat="1" ht="19.149999999999999" customHeight="1">
      <c r="A21" s="210" t="s">
        <v>131</v>
      </c>
      <c r="B21" s="211" t="s">
        <v>194</v>
      </c>
      <c r="C21" s="213" t="s">
        <v>191</v>
      </c>
      <c r="D21" s="212">
        <v>8</v>
      </c>
      <c r="E21" s="145"/>
      <c r="F21" s="32"/>
      <c r="G21" s="33" t="s">
        <v>234</v>
      </c>
      <c r="I21" s="22"/>
      <c r="J21" s="77"/>
      <c r="K21" s="78"/>
    </row>
    <row r="22" spans="1:11" s="34" customFormat="1" ht="19.149999999999999" customHeight="1">
      <c r="A22" s="210" t="s">
        <v>195</v>
      </c>
      <c r="B22" s="211" t="s">
        <v>196</v>
      </c>
      <c r="C22" s="213" t="s">
        <v>85</v>
      </c>
      <c r="D22" s="212">
        <v>4</v>
      </c>
      <c r="E22" s="145"/>
      <c r="F22" s="32"/>
      <c r="G22" s="33" t="s">
        <v>236</v>
      </c>
      <c r="I22" s="22"/>
      <c r="J22" s="77"/>
      <c r="K22" s="78"/>
    </row>
    <row r="23" spans="1:11" s="34" customFormat="1" ht="19.149999999999999" customHeight="1">
      <c r="A23" s="210" t="s">
        <v>119</v>
      </c>
      <c r="B23" s="211" t="s">
        <v>198</v>
      </c>
      <c r="C23" s="213" t="s">
        <v>85</v>
      </c>
      <c r="D23" s="212">
        <v>20</v>
      </c>
      <c r="E23" s="145"/>
      <c r="F23" s="32"/>
      <c r="G23" s="33" t="s">
        <v>238</v>
      </c>
      <c r="I23" s="22"/>
      <c r="J23" s="77"/>
      <c r="K23" s="78"/>
    </row>
    <row r="24" spans="1:11" s="34" customFormat="1" ht="19.149999999999999" customHeight="1">
      <c r="A24" s="210" t="s">
        <v>119</v>
      </c>
      <c r="B24" s="211" t="s">
        <v>199</v>
      </c>
      <c r="C24" s="213" t="s">
        <v>85</v>
      </c>
      <c r="D24" s="215">
        <v>16</v>
      </c>
      <c r="E24" s="145"/>
      <c r="F24" s="32"/>
      <c r="G24" s="33" t="s">
        <v>239</v>
      </c>
      <c r="I24" s="22"/>
      <c r="J24" s="77"/>
      <c r="K24" s="78"/>
    </row>
    <row r="25" spans="1:11" s="34" customFormat="1" ht="19.149999999999999" customHeight="1">
      <c r="A25" s="210" t="s">
        <v>200</v>
      </c>
      <c r="B25" s="211" t="s">
        <v>201</v>
      </c>
      <c r="C25" s="213" t="s">
        <v>85</v>
      </c>
      <c r="D25" s="215">
        <v>2</v>
      </c>
      <c r="E25" s="145"/>
      <c r="F25" s="32"/>
      <c r="G25" s="33" t="s">
        <v>240</v>
      </c>
      <c r="I25" s="22"/>
      <c r="J25" s="77"/>
      <c r="K25" s="78"/>
    </row>
    <row r="26" spans="1:11" s="34" customFormat="1" ht="19.149999999999999" customHeight="1">
      <c r="A26" s="210" t="s">
        <v>200</v>
      </c>
      <c r="B26" s="211" t="s">
        <v>202</v>
      </c>
      <c r="C26" s="213" t="s">
        <v>85</v>
      </c>
      <c r="D26" s="215">
        <v>2</v>
      </c>
      <c r="E26" s="145"/>
      <c r="F26" s="32"/>
      <c r="G26" s="33" t="s">
        <v>241</v>
      </c>
      <c r="I26" s="22"/>
      <c r="J26" s="77"/>
      <c r="K26" s="78"/>
    </row>
    <row r="27" spans="1:11" s="34" customFormat="1" ht="19.149999999999999" customHeight="1">
      <c r="A27" s="210" t="s">
        <v>750</v>
      </c>
      <c r="B27" s="211" t="s">
        <v>203</v>
      </c>
      <c r="C27" s="213" t="s">
        <v>85</v>
      </c>
      <c r="D27" s="215">
        <v>2</v>
      </c>
      <c r="E27" s="145"/>
      <c r="F27" s="32"/>
      <c r="G27" s="33" t="s">
        <v>242</v>
      </c>
      <c r="I27" s="22"/>
      <c r="J27" s="77"/>
      <c r="K27" s="78"/>
    </row>
    <row r="28" spans="1:11" s="34" customFormat="1" ht="19.149999999999999" customHeight="1">
      <c r="A28" s="210" t="s">
        <v>204</v>
      </c>
      <c r="B28" s="211" t="s">
        <v>489</v>
      </c>
      <c r="C28" s="213" t="s">
        <v>129</v>
      </c>
      <c r="D28" s="215">
        <v>4</v>
      </c>
      <c r="E28" s="145"/>
      <c r="F28" s="32"/>
      <c r="G28" s="33" t="s">
        <v>243</v>
      </c>
      <c r="I28" s="22"/>
      <c r="J28" s="77"/>
      <c r="K28" s="78"/>
    </row>
    <row r="29" spans="1:11" s="34" customFormat="1" ht="19.149999999999999" customHeight="1">
      <c r="A29" s="210" t="s">
        <v>205</v>
      </c>
      <c r="B29" s="211" t="s">
        <v>206</v>
      </c>
      <c r="C29" s="213" t="s">
        <v>6</v>
      </c>
      <c r="D29" s="215">
        <v>6</v>
      </c>
      <c r="E29" s="145"/>
      <c r="F29" s="32"/>
      <c r="G29" s="33" t="s">
        <v>245</v>
      </c>
      <c r="I29" s="22"/>
      <c r="J29" s="77"/>
      <c r="K29" s="78"/>
    </row>
    <row r="30" spans="1:11" s="34" customFormat="1" ht="19.149999999999999" customHeight="1">
      <c r="A30" s="210" t="s">
        <v>207</v>
      </c>
      <c r="B30" s="211" t="s">
        <v>208</v>
      </c>
      <c r="C30" s="213" t="s">
        <v>6</v>
      </c>
      <c r="D30" s="215">
        <v>2</v>
      </c>
      <c r="E30" s="145"/>
      <c r="F30" s="32"/>
      <c r="G30" s="33" t="s">
        <v>246</v>
      </c>
      <c r="I30" s="22"/>
      <c r="J30" s="77"/>
      <c r="K30" s="78"/>
    </row>
    <row r="31" spans="1:11" s="34" customFormat="1" ht="19.149999999999999" customHeight="1">
      <c r="A31" s="210" t="s">
        <v>207</v>
      </c>
      <c r="B31" s="211" t="s">
        <v>209</v>
      </c>
      <c r="C31" s="213" t="s">
        <v>6</v>
      </c>
      <c r="D31" s="215">
        <v>4</v>
      </c>
      <c r="E31" s="145"/>
      <c r="F31" s="32"/>
      <c r="G31" s="33" t="s">
        <v>645</v>
      </c>
      <c r="I31" s="22"/>
      <c r="J31" s="77"/>
      <c r="K31" s="78"/>
    </row>
    <row r="32" spans="1:11" s="34" customFormat="1" ht="19.149999999999999" customHeight="1">
      <c r="A32" s="210" t="s">
        <v>210</v>
      </c>
      <c r="B32" s="211" t="s">
        <v>211</v>
      </c>
      <c r="C32" s="213" t="s">
        <v>127</v>
      </c>
      <c r="D32" s="215">
        <v>253</v>
      </c>
      <c r="E32" s="145"/>
      <c r="F32" s="32"/>
      <c r="G32" s="33" t="s">
        <v>247</v>
      </c>
      <c r="I32" s="22"/>
      <c r="J32" s="77"/>
      <c r="K32" s="78"/>
    </row>
    <row r="33" spans="1:11" s="34" customFormat="1" ht="19.149999999999999" customHeight="1">
      <c r="A33" s="210" t="s">
        <v>212</v>
      </c>
      <c r="B33" s="211" t="s">
        <v>211</v>
      </c>
      <c r="C33" s="213" t="s">
        <v>127</v>
      </c>
      <c r="D33" s="215">
        <v>253</v>
      </c>
      <c r="E33" s="145"/>
      <c r="F33" s="32"/>
      <c r="G33" s="33" t="s">
        <v>247</v>
      </c>
      <c r="I33" s="22"/>
      <c r="J33" s="77"/>
      <c r="K33" s="78"/>
    </row>
    <row r="34" spans="1:11" s="34" customFormat="1" ht="19.149999999999999" customHeight="1">
      <c r="A34" s="210" t="s">
        <v>213</v>
      </c>
      <c r="B34" s="211" t="s">
        <v>216</v>
      </c>
      <c r="C34" s="213" t="s">
        <v>215</v>
      </c>
      <c r="D34" s="215">
        <v>1</v>
      </c>
      <c r="E34" s="145"/>
      <c r="F34" s="32"/>
      <c r="G34" s="33" t="s">
        <v>248</v>
      </c>
      <c r="I34" s="22"/>
      <c r="J34" s="77"/>
      <c r="K34" s="78"/>
    </row>
    <row r="35" spans="1:11" s="34" customFormat="1" ht="19.149999999999999" customHeight="1">
      <c r="A35" s="210" t="s">
        <v>217</v>
      </c>
      <c r="B35" s="211" t="s">
        <v>218</v>
      </c>
      <c r="C35" s="213" t="s">
        <v>103</v>
      </c>
      <c r="D35" s="215">
        <v>422</v>
      </c>
      <c r="E35" s="145"/>
      <c r="F35" s="32"/>
      <c r="G35" s="33" t="s">
        <v>249</v>
      </c>
      <c r="I35" s="22"/>
      <c r="J35" s="77"/>
      <c r="K35" s="78"/>
    </row>
    <row r="36" spans="1:11" s="34" customFormat="1" ht="19.149999999999999" customHeight="1">
      <c r="A36" s="210" t="s">
        <v>217</v>
      </c>
      <c r="B36" s="211" t="s">
        <v>218</v>
      </c>
      <c r="C36" s="213" t="s">
        <v>103</v>
      </c>
      <c r="D36" s="215">
        <v>422</v>
      </c>
      <c r="E36" s="145"/>
      <c r="F36" s="32"/>
      <c r="G36" s="33" t="s">
        <v>779</v>
      </c>
      <c r="I36" s="22"/>
      <c r="J36" s="77"/>
      <c r="K36" s="78"/>
    </row>
    <row r="37" spans="1:11" s="34" customFormat="1" ht="19.149999999999999" customHeight="1">
      <c r="A37" s="178"/>
      <c r="B37" s="179"/>
      <c r="C37" s="178"/>
      <c r="D37" s="180"/>
      <c r="E37" s="145"/>
      <c r="F37" s="32"/>
      <c r="G37" s="33"/>
      <c r="I37" s="22"/>
      <c r="J37" s="77"/>
      <c r="K37" s="78"/>
    </row>
    <row r="38" spans="1:11" s="34" customFormat="1" ht="19.149999999999999" customHeight="1">
      <c r="A38" s="178"/>
      <c r="B38" s="179"/>
      <c r="C38" s="178"/>
      <c r="D38" s="180"/>
      <c r="E38" s="145"/>
      <c r="F38" s="32"/>
      <c r="G38" s="33"/>
      <c r="I38" s="22"/>
      <c r="J38" s="77"/>
      <c r="K38" s="78"/>
    </row>
    <row r="39" spans="1:11" s="34" customFormat="1" ht="19.149999999999999" customHeight="1">
      <c r="A39" s="178"/>
      <c r="B39" s="179"/>
      <c r="C39" s="178"/>
      <c r="D39" s="180"/>
      <c r="E39" s="145"/>
      <c r="F39" s="32"/>
      <c r="G39" s="33"/>
      <c r="I39" s="22"/>
      <c r="J39" s="77"/>
      <c r="K39" s="78"/>
    </row>
    <row r="40" spans="1:11" s="34" customFormat="1" ht="19.149999999999999" customHeight="1">
      <c r="A40" s="178"/>
      <c r="B40" s="179"/>
      <c r="C40" s="178"/>
      <c r="D40" s="180"/>
      <c r="E40" s="145"/>
      <c r="F40" s="32"/>
      <c r="G40" s="33"/>
      <c r="I40" s="22"/>
      <c r="J40" s="77"/>
      <c r="K40" s="78"/>
    </row>
    <row r="41" spans="1:11" s="34" customFormat="1" ht="19.149999999999999" customHeight="1">
      <c r="A41" s="178"/>
      <c r="B41" s="179"/>
      <c r="C41" s="178"/>
      <c r="D41" s="180"/>
      <c r="E41" s="145"/>
      <c r="F41" s="32"/>
      <c r="G41" s="33"/>
      <c r="I41" s="22"/>
      <c r="J41" s="77"/>
      <c r="K41" s="78"/>
    </row>
    <row r="42" spans="1:11" s="34" customFormat="1" ht="19.149999999999999" customHeight="1">
      <c r="A42" s="178"/>
      <c r="B42" s="179"/>
      <c r="C42" s="178"/>
      <c r="D42" s="180"/>
      <c r="E42" s="145"/>
      <c r="F42" s="32"/>
      <c r="G42" s="33"/>
      <c r="I42" s="22"/>
      <c r="J42" s="77"/>
      <c r="K42" s="78"/>
    </row>
    <row r="43" spans="1:11" s="34" customFormat="1" ht="19.149999999999999" customHeight="1">
      <c r="A43" s="178"/>
      <c r="B43" s="179"/>
      <c r="C43" s="178"/>
      <c r="D43" s="180"/>
      <c r="E43" s="145"/>
      <c r="F43" s="32"/>
      <c r="G43" s="33"/>
      <c r="I43" s="22"/>
      <c r="J43" s="77"/>
      <c r="K43" s="78"/>
    </row>
    <row r="44" spans="1:11" s="34" customFormat="1" ht="19.149999999999999" customHeight="1">
      <c r="A44" s="178"/>
      <c r="B44" s="179"/>
      <c r="C44" s="178"/>
      <c r="D44" s="180"/>
      <c r="E44" s="145"/>
      <c r="F44" s="32"/>
      <c r="G44" s="33"/>
      <c r="I44" s="22"/>
      <c r="J44" s="77"/>
      <c r="K44" s="78"/>
    </row>
    <row r="45" spans="1:11" s="34" customFormat="1" ht="19.149999999999999" customHeight="1">
      <c r="A45" s="178"/>
      <c r="B45" s="179"/>
      <c r="C45" s="178"/>
      <c r="D45" s="180"/>
      <c r="E45" s="145"/>
      <c r="F45" s="32"/>
      <c r="G45" s="33"/>
      <c r="I45" s="22"/>
      <c r="J45" s="77"/>
      <c r="K45" s="78"/>
    </row>
    <row r="46" spans="1:11" s="34" customFormat="1" ht="19.149999999999999" customHeight="1">
      <c r="A46" s="178"/>
      <c r="B46" s="179"/>
      <c r="C46" s="178"/>
      <c r="D46" s="180"/>
      <c r="E46" s="145"/>
      <c r="F46" s="32"/>
      <c r="G46" s="33"/>
      <c r="I46" s="22"/>
      <c r="J46" s="77"/>
      <c r="K46" s="78"/>
    </row>
    <row r="47" spans="1:11" s="34" customFormat="1" ht="19.149999999999999" customHeight="1">
      <c r="A47" s="178"/>
      <c r="B47" s="179"/>
      <c r="C47" s="178"/>
      <c r="D47" s="180"/>
      <c r="E47" s="145"/>
      <c r="F47" s="32"/>
      <c r="G47" s="33"/>
      <c r="I47" s="22"/>
      <c r="J47" s="77"/>
      <c r="K47" s="78"/>
    </row>
    <row r="48" spans="1:11" s="34" customFormat="1" ht="19.149999999999999" customHeight="1">
      <c r="A48" s="178"/>
      <c r="B48" s="179"/>
      <c r="C48" s="178"/>
      <c r="D48" s="180"/>
      <c r="E48" s="145"/>
      <c r="F48" s="32"/>
      <c r="G48" s="33"/>
      <c r="I48" s="22"/>
      <c r="J48" s="77"/>
      <c r="K48" s="78"/>
    </row>
    <row r="49" spans="1:11" s="34" customFormat="1" ht="19.149999999999999" customHeight="1">
      <c r="A49" s="178"/>
      <c r="B49" s="179"/>
      <c r="C49" s="178"/>
      <c r="D49" s="180"/>
      <c r="E49" s="145"/>
      <c r="F49" s="32"/>
      <c r="G49" s="33"/>
      <c r="I49" s="22"/>
      <c r="J49" s="77"/>
      <c r="K49" s="78"/>
    </row>
    <row r="50" spans="1:11" s="34" customFormat="1" ht="19.149999999999999" customHeight="1">
      <c r="A50" s="178"/>
      <c r="B50" s="179"/>
      <c r="C50" s="178"/>
      <c r="D50" s="180"/>
      <c r="E50" s="145"/>
      <c r="F50" s="32"/>
      <c r="G50" s="33"/>
      <c r="I50" s="22"/>
      <c r="J50" s="77"/>
      <c r="K50" s="78"/>
    </row>
    <row r="51" spans="1:11" s="34" customFormat="1" ht="19.149999999999999" customHeight="1">
      <c r="A51" s="178"/>
      <c r="B51" s="179"/>
      <c r="C51" s="178"/>
      <c r="D51" s="180"/>
      <c r="E51" s="145"/>
      <c r="F51" s="32"/>
      <c r="G51" s="33"/>
      <c r="I51" s="22"/>
      <c r="J51" s="77"/>
      <c r="K51" s="78"/>
    </row>
    <row r="52" spans="1:11" s="34" customFormat="1" ht="19.149999999999999" customHeight="1">
      <c r="A52" s="182" t="s">
        <v>132</v>
      </c>
      <c r="B52" s="179"/>
      <c r="C52" s="178"/>
      <c r="D52" s="180"/>
      <c r="E52" s="145"/>
      <c r="F52" s="32"/>
      <c r="G52" s="33"/>
      <c r="I52" s="22"/>
      <c r="J52" s="77"/>
      <c r="K52" s="78"/>
    </row>
    <row r="53" spans="1:11" s="34" customFormat="1" ht="19.149999999999999" customHeight="1">
      <c r="A53" s="178" t="s">
        <v>751</v>
      </c>
      <c r="B53" s="179"/>
      <c r="C53" s="178"/>
      <c r="D53" s="180"/>
      <c r="E53" s="145"/>
      <c r="F53" s="32"/>
      <c r="G53" s="33"/>
      <c r="I53" s="22"/>
      <c r="J53" s="77"/>
      <c r="K53" s="78"/>
    </row>
    <row r="54" spans="1:11" s="34" customFormat="1" ht="19.149999999999999" customHeight="1">
      <c r="A54" s="210" t="s">
        <v>250</v>
      </c>
      <c r="B54" s="211" t="s">
        <v>120</v>
      </c>
      <c r="C54" s="213" t="s">
        <v>177</v>
      </c>
      <c r="D54" s="215">
        <v>41</v>
      </c>
      <c r="E54" s="145"/>
      <c r="F54" s="32"/>
      <c r="G54" s="33" t="s">
        <v>259</v>
      </c>
      <c r="I54" s="22"/>
      <c r="J54" s="77"/>
      <c r="K54" s="78"/>
    </row>
    <row r="55" spans="1:11" s="34" customFormat="1" ht="19.149999999999999" customHeight="1">
      <c r="A55" s="210" t="s">
        <v>250</v>
      </c>
      <c r="B55" s="211" t="s">
        <v>121</v>
      </c>
      <c r="C55" s="213" t="s">
        <v>177</v>
      </c>
      <c r="D55" s="215">
        <v>12</v>
      </c>
      <c r="E55" s="145"/>
      <c r="F55" s="32"/>
      <c r="G55" s="33" t="s">
        <v>260</v>
      </c>
      <c r="I55" s="22"/>
      <c r="J55" s="77"/>
      <c r="K55" s="78"/>
    </row>
    <row r="56" spans="1:11" s="34" customFormat="1" ht="19.149999999999999" customHeight="1">
      <c r="A56" s="210" t="s">
        <v>250</v>
      </c>
      <c r="B56" s="211" t="s">
        <v>107</v>
      </c>
      <c r="C56" s="213" t="s">
        <v>177</v>
      </c>
      <c r="D56" s="215">
        <v>14</v>
      </c>
      <c r="E56" s="145"/>
      <c r="F56" s="32"/>
      <c r="G56" s="33" t="s">
        <v>261</v>
      </c>
      <c r="I56" s="22"/>
      <c r="J56" s="77"/>
      <c r="K56" s="78"/>
    </row>
    <row r="57" spans="1:11" s="34" customFormat="1" ht="19.149999999999999" customHeight="1">
      <c r="A57" s="210" t="s">
        <v>251</v>
      </c>
      <c r="B57" s="211" t="s">
        <v>185</v>
      </c>
      <c r="C57" s="213" t="s">
        <v>177</v>
      </c>
      <c r="D57" s="215">
        <v>120</v>
      </c>
      <c r="E57" s="145"/>
      <c r="F57" s="32"/>
      <c r="G57" s="33" t="s">
        <v>226</v>
      </c>
      <c r="I57" s="22"/>
      <c r="J57" s="77"/>
      <c r="K57" s="78"/>
    </row>
    <row r="58" spans="1:11" s="34" customFormat="1" ht="19.149999999999999" customHeight="1">
      <c r="A58" s="210" t="s">
        <v>252</v>
      </c>
      <c r="B58" s="211" t="s">
        <v>253</v>
      </c>
      <c r="C58" s="213" t="s">
        <v>177</v>
      </c>
      <c r="D58" s="215">
        <v>180</v>
      </c>
      <c r="E58" s="145"/>
      <c r="F58" s="32"/>
      <c r="G58" s="33" t="s">
        <v>262</v>
      </c>
      <c r="I58" s="22"/>
      <c r="J58" s="77"/>
      <c r="K58" s="78"/>
    </row>
    <row r="59" spans="1:11" s="34" customFormat="1" ht="19.149999999999999" customHeight="1">
      <c r="A59" s="210" t="s">
        <v>254</v>
      </c>
      <c r="B59" s="211" t="s">
        <v>255</v>
      </c>
      <c r="C59" s="213" t="s">
        <v>129</v>
      </c>
      <c r="D59" s="215">
        <v>4</v>
      </c>
      <c r="E59" s="145"/>
      <c r="F59" s="32"/>
      <c r="G59" s="33" t="s">
        <v>263</v>
      </c>
      <c r="I59" s="22"/>
      <c r="J59" s="77"/>
      <c r="K59" s="78"/>
    </row>
    <row r="60" spans="1:11" s="34" customFormat="1" ht="19.149999999999999" customHeight="1">
      <c r="A60" s="210" t="s">
        <v>126</v>
      </c>
      <c r="B60" s="211" t="s">
        <v>256</v>
      </c>
      <c r="C60" s="213" t="s">
        <v>75</v>
      </c>
      <c r="D60" s="215">
        <v>1</v>
      </c>
      <c r="E60" s="145"/>
      <c r="F60" s="32"/>
      <c r="G60" s="33" t="s">
        <v>264</v>
      </c>
      <c r="I60" s="22"/>
      <c r="J60" s="77"/>
      <c r="K60" s="78"/>
    </row>
    <row r="61" spans="1:11" s="34" customFormat="1" ht="19.149999999999999" customHeight="1">
      <c r="A61" s="210" t="s">
        <v>119</v>
      </c>
      <c r="B61" s="211" t="s">
        <v>199</v>
      </c>
      <c r="C61" s="213" t="s">
        <v>85</v>
      </c>
      <c r="D61" s="215">
        <v>16</v>
      </c>
      <c r="E61" s="145"/>
      <c r="F61" s="32"/>
      <c r="G61" s="33" t="s">
        <v>239</v>
      </c>
      <c r="I61" s="22"/>
      <c r="J61" s="77"/>
      <c r="K61" s="78"/>
    </row>
    <row r="62" spans="1:11" s="34" customFormat="1" ht="19.149999999999999" customHeight="1">
      <c r="A62" s="210" t="s">
        <v>200</v>
      </c>
      <c r="B62" s="211" t="s">
        <v>257</v>
      </c>
      <c r="C62" s="213" t="s">
        <v>85</v>
      </c>
      <c r="D62" s="215">
        <v>8</v>
      </c>
      <c r="E62" s="145"/>
      <c r="F62" s="32"/>
      <c r="G62" s="33" t="s">
        <v>265</v>
      </c>
      <c r="I62" s="22"/>
      <c r="J62" s="77"/>
      <c r="K62" s="78"/>
    </row>
    <row r="63" spans="1:11" s="34" customFormat="1" ht="19.149999999999999" customHeight="1">
      <c r="A63" s="210" t="s">
        <v>200</v>
      </c>
      <c r="B63" s="211" t="s">
        <v>202</v>
      </c>
      <c r="C63" s="213" t="s">
        <v>85</v>
      </c>
      <c r="D63" s="215">
        <v>8</v>
      </c>
      <c r="E63" s="145"/>
      <c r="F63" s="32"/>
      <c r="G63" s="33" t="s">
        <v>241</v>
      </c>
      <c r="I63" s="22"/>
      <c r="J63" s="77"/>
      <c r="K63" s="78"/>
    </row>
    <row r="64" spans="1:11" s="34" customFormat="1" ht="19.149999999999999" customHeight="1">
      <c r="A64" s="210" t="s">
        <v>200</v>
      </c>
      <c r="B64" s="211" t="s">
        <v>258</v>
      </c>
      <c r="C64" s="213" t="s">
        <v>85</v>
      </c>
      <c r="D64" s="215">
        <v>5</v>
      </c>
      <c r="E64" s="145"/>
      <c r="F64" s="32"/>
      <c r="G64" s="33" t="s">
        <v>266</v>
      </c>
      <c r="I64" s="22"/>
      <c r="J64" s="77"/>
      <c r="K64" s="78"/>
    </row>
    <row r="65" spans="1:11" s="34" customFormat="1" ht="19.149999999999999" customHeight="1">
      <c r="A65" s="210" t="s">
        <v>679</v>
      </c>
      <c r="B65" s="211" t="s">
        <v>680</v>
      </c>
      <c r="C65" s="213" t="s">
        <v>75</v>
      </c>
      <c r="D65" s="215">
        <v>2</v>
      </c>
      <c r="E65" s="145"/>
      <c r="F65" s="32"/>
      <c r="G65" s="33" t="s">
        <v>752</v>
      </c>
      <c r="I65" s="22"/>
      <c r="J65" s="77"/>
      <c r="K65" s="78"/>
    </row>
    <row r="66" spans="1:11" s="34" customFormat="1" ht="19.149999999999999" customHeight="1">
      <c r="A66" s="210" t="s">
        <v>679</v>
      </c>
      <c r="B66" s="211" t="s">
        <v>681</v>
      </c>
      <c r="C66" s="213" t="s">
        <v>75</v>
      </c>
      <c r="D66" s="215">
        <v>2</v>
      </c>
      <c r="E66" s="145"/>
      <c r="F66" s="32"/>
      <c r="G66" s="33" t="s">
        <v>752</v>
      </c>
      <c r="I66" s="22"/>
      <c r="J66" s="77"/>
      <c r="K66" s="78"/>
    </row>
    <row r="67" spans="1:11" s="34" customFormat="1" ht="19.149999999999999" customHeight="1">
      <c r="A67" s="210" t="s">
        <v>682</v>
      </c>
      <c r="B67" s="211" t="s">
        <v>683</v>
      </c>
      <c r="C67" s="213" t="s">
        <v>75</v>
      </c>
      <c r="D67" s="215">
        <v>1</v>
      </c>
      <c r="E67" s="145"/>
      <c r="F67" s="32"/>
      <c r="G67" s="33" t="s">
        <v>752</v>
      </c>
      <c r="I67" s="22"/>
      <c r="J67" s="77"/>
      <c r="K67" s="78"/>
    </row>
    <row r="68" spans="1:11" s="34" customFormat="1" ht="19.149999999999999" customHeight="1">
      <c r="A68" s="210" t="s">
        <v>682</v>
      </c>
      <c r="B68" s="211" t="s">
        <v>684</v>
      </c>
      <c r="C68" s="213" t="s">
        <v>75</v>
      </c>
      <c r="D68" s="215">
        <v>1</v>
      </c>
      <c r="E68" s="145"/>
      <c r="F68" s="32"/>
      <c r="G68" s="33" t="s">
        <v>752</v>
      </c>
      <c r="I68" s="22"/>
      <c r="J68" s="77"/>
      <c r="K68" s="78"/>
    </row>
    <row r="69" spans="1:11" s="34" customFormat="1" ht="19.149999999999999" customHeight="1">
      <c r="A69" s="210" t="s">
        <v>682</v>
      </c>
      <c r="B69" s="211" t="s">
        <v>685</v>
      </c>
      <c r="C69" s="213" t="s">
        <v>75</v>
      </c>
      <c r="D69" s="215">
        <v>1</v>
      </c>
      <c r="E69" s="145"/>
      <c r="F69" s="32"/>
      <c r="G69" s="33" t="s">
        <v>752</v>
      </c>
      <c r="I69" s="22"/>
      <c r="J69" s="77"/>
      <c r="K69" s="78"/>
    </row>
    <row r="70" spans="1:11" s="34" customFormat="1" ht="19.149999999999999" customHeight="1">
      <c r="A70" s="210" t="s">
        <v>682</v>
      </c>
      <c r="B70" s="211" t="s">
        <v>686</v>
      </c>
      <c r="C70" s="213" t="s">
        <v>75</v>
      </c>
      <c r="D70" s="215">
        <v>1</v>
      </c>
      <c r="E70" s="145"/>
      <c r="F70" s="32"/>
      <c r="G70" s="33" t="s">
        <v>752</v>
      </c>
      <c r="I70" s="22"/>
      <c r="J70" s="77"/>
      <c r="K70" s="78"/>
    </row>
    <row r="71" spans="1:11" s="34" customFormat="1" ht="19.149999999999999" customHeight="1">
      <c r="A71" s="210" t="s">
        <v>687</v>
      </c>
      <c r="B71" s="211" t="s">
        <v>113</v>
      </c>
      <c r="C71" s="213" t="s">
        <v>75</v>
      </c>
      <c r="D71" s="215">
        <v>1</v>
      </c>
      <c r="E71" s="145"/>
      <c r="F71" s="32"/>
      <c r="G71" s="33" t="s">
        <v>752</v>
      </c>
      <c r="I71" s="22"/>
      <c r="J71" s="77"/>
      <c r="K71" s="78"/>
    </row>
    <row r="72" spans="1:11" s="34" customFormat="1" ht="19.149999999999999" customHeight="1">
      <c r="A72" s="210" t="s">
        <v>687</v>
      </c>
      <c r="B72" s="211" t="s">
        <v>688</v>
      </c>
      <c r="C72" s="213" t="s">
        <v>75</v>
      </c>
      <c r="D72" s="215">
        <v>1</v>
      </c>
      <c r="E72" s="145"/>
      <c r="F72" s="32"/>
      <c r="G72" s="33" t="s">
        <v>752</v>
      </c>
      <c r="I72" s="22"/>
      <c r="J72" s="77"/>
      <c r="K72" s="78"/>
    </row>
    <row r="73" spans="1:11" s="34" customFormat="1" ht="19.149999999999999" customHeight="1">
      <c r="A73" s="178"/>
      <c r="B73" s="179"/>
      <c r="C73" s="178"/>
      <c r="D73" s="180"/>
      <c r="E73" s="145"/>
      <c r="F73" s="32"/>
      <c r="G73" s="33"/>
      <c r="I73" s="22"/>
      <c r="J73" s="77"/>
      <c r="K73" s="78"/>
    </row>
    <row r="74" spans="1:11" s="34" customFormat="1" ht="19.149999999999999" customHeight="1">
      <c r="A74" s="178"/>
      <c r="B74" s="179"/>
      <c r="C74" s="178"/>
      <c r="D74" s="180"/>
      <c r="E74" s="145"/>
      <c r="F74" s="32"/>
      <c r="G74" s="33"/>
      <c r="I74" s="22"/>
      <c r="J74" s="77"/>
      <c r="K74" s="78"/>
    </row>
    <row r="75" spans="1:11" s="34" customFormat="1" ht="19.149999999999999" customHeight="1">
      <c r="A75" s="178"/>
      <c r="B75" s="179"/>
      <c r="C75" s="178"/>
      <c r="D75" s="180"/>
      <c r="E75" s="145"/>
      <c r="F75" s="32"/>
      <c r="G75" s="33"/>
      <c r="I75" s="22"/>
      <c r="J75" s="77"/>
      <c r="K75" s="78"/>
    </row>
    <row r="76" spans="1:11" s="34" customFormat="1" ht="19.149999999999999" customHeight="1">
      <c r="A76" s="178"/>
      <c r="B76" s="179"/>
      <c r="C76" s="178"/>
      <c r="D76" s="180"/>
      <c r="E76" s="145"/>
      <c r="F76" s="32"/>
      <c r="G76" s="33"/>
      <c r="I76" s="22"/>
      <c r="J76" s="77"/>
      <c r="K76" s="78"/>
    </row>
    <row r="77" spans="1:11" s="34" customFormat="1" ht="19.149999999999999" customHeight="1">
      <c r="A77" s="182" t="s">
        <v>132</v>
      </c>
      <c r="B77" s="173"/>
      <c r="C77" s="175"/>
      <c r="D77" s="183"/>
      <c r="E77" s="145"/>
      <c r="F77" s="32"/>
      <c r="G77" s="33"/>
    </row>
    <row r="78" spans="1:11" s="34" customFormat="1" ht="19.149999999999999" customHeight="1">
      <c r="A78" s="178" t="s">
        <v>753</v>
      </c>
      <c r="B78" s="179"/>
      <c r="C78" s="178"/>
      <c r="D78" s="180"/>
      <c r="E78" s="145"/>
      <c r="F78" s="32"/>
      <c r="G78" s="33"/>
      <c r="I78" s="22"/>
      <c r="J78" s="77"/>
      <c r="K78" s="78"/>
    </row>
    <row r="79" spans="1:11" s="34" customFormat="1" ht="19.149999999999999" customHeight="1">
      <c r="A79" s="210" t="s">
        <v>267</v>
      </c>
      <c r="B79" s="211" t="s">
        <v>269</v>
      </c>
      <c r="C79" s="213" t="s">
        <v>177</v>
      </c>
      <c r="D79" s="212">
        <v>103</v>
      </c>
      <c r="E79" s="145"/>
      <c r="F79" s="32"/>
      <c r="G79" s="33" t="s">
        <v>317</v>
      </c>
      <c r="I79" s="22"/>
      <c r="J79" s="77"/>
      <c r="K79" s="78"/>
    </row>
    <row r="80" spans="1:11" s="34" customFormat="1" ht="19.149999999999999" customHeight="1">
      <c r="A80" s="210" t="s">
        <v>267</v>
      </c>
      <c r="B80" s="211" t="s">
        <v>270</v>
      </c>
      <c r="C80" s="213" t="s">
        <v>177</v>
      </c>
      <c r="D80" s="212">
        <v>42</v>
      </c>
      <c r="E80" s="145"/>
      <c r="F80" s="32"/>
      <c r="G80" s="33" t="s">
        <v>318</v>
      </c>
      <c r="I80" s="22"/>
      <c r="J80" s="77"/>
      <c r="K80" s="78"/>
    </row>
    <row r="81" spans="1:11" s="34" customFormat="1" ht="19.149999999999999" customHeight="1">
      <c r="A81" s="210" t="s">
        <v>267</v>
      </c>
      <c r="B81" s="211" t="s">
        <v>272</v>
      </c>
      <c r="C81" s="213" t="s">
        <v>177</v>
      </c>
      <c r="D81" s="212">
        <v>42</v>
      </c>
      <c r="E81" s="145"/>
      <c r="F81" s="32"/>
      <c r="G81" s="33" t="s">
        <v>320</v>
      </c>
      <c r="I81" s="22"/>
      <c r="J81" s="77"/>
      <c r="K81" s="78"/>
    </row>
    <row r="82" spans="1:11" s="34" customFormat="1" ht="19.149999999999999" customHeight="1">
      <c r="A82" s="210" t="s">
        <v>273</v>
      </c>
      <c r="B82" s="211" t="s">
        <v>275</v>
      </c>
      <c r="C82" s="213" t="s">
        <v>85</v>
      </c>
      <c r="D82" s="212">
        <v>3</v>
      </c>
      <c r="E82" s="145"/>
      <c r="F82" s="32"/>
      <c r="G82" s="33">
        <v>0</v>
      </c>
      <c r="I82" s="22"/>
      <c r="J82" s="77"/>
      <c r="K82" s="78"/>
    </row>
    <row r="83" spans="1:11" s="34" customFormat="1" ht="19.149999999999999" customHeight="1">
      <c r="A83" s="210" t="s">
        <v>273</v>
      </c>
      <c r="B83" s="211" t="s">
        <v>276</v>
      </c>
      <c r="C83" s="213" t="s">
        <v>85</v>
      </c>
      <c r="D83" s="212">
        <v>1</v>
      </c>
      <c r="E83" s="145"/>
      <c r="F83" s="32"/>
      <c r="G83" s="33">
        <v>0</v>
      </c>
      <c r="I83" s="22"/>
      <c r="J83" s="77"/>
      <c r="K83" s="78"/>
    </row>
    <row r="84" spans="1:11" s="34" customFormat="1" ht="19.149999999999999" customHeight="1">
      <c r="A84" s="210" t="s">
        <v>273</v>
      </c>
      <c r="B84" s="211" t="s">
        <v>278</v>
      </c>
      <c r="C84" s="213" t="s">
        <v>85</v>
      </c>
      <c r="D84" s="212">
        <v>1</v>
      </c>
      <c r="E84" s="145"/>
      <c r="F84" s="32"/>
      <c r="G84" s="33">
        <v>0</v>
      </c>
      <c r="I84" s="22"/>
      <c r="J84" s="77"/>
      <c r="K84" s="78"/>
    </row>
    <row r="85" spans="1:11" s="34" customFormat="1" ht="19.149999999999999" customHeight="1">
      <c r="A85" s="210" t="s">
        <v>250</v>
      </c>
      <c r="B85" s="211" t="s">
        <v>133</v>
      </c>
      <c r="C85" s="213" t="s">
        <v>177</v>
      </c>
      <c r="D85" s="212">
        <v>242</v>
      </c>
      <c r="E85" s="145"/>
      <c r="F85" s="32"/>
      <c r="G85" s="33" t="s">
        <v>321</v>
      </c>
      <c r="I85" s="22"/>
      <c r="J85" s="77"/>
      <c r="K85" s="78"/>
    </row>
    <row r="86" spans="1:11" s="34" customFormat="1" ht="19.149999999999999" customHeight="1">
      <c r="A86" s="210" t="s">
        <v>250</v>
      </c>
      <c r="B86" s="211" t="s">
        <v>105</v>
      </c>
      <c r="C86" s="213" t="s">
        <v>177</v>
      </c>
      <c r="D86" s="212">
        <v>63</v>
      </c>
      <c r="E86" s="145"/>
      <c r="F86" s="32"/>
      <c r="G86" s="33" t="s">
        <v>322</v>
      </c>
      <c r="I86" s="22"/>
      <c r="J86" s="77"/>
      <c r="K86" s="78"/>
    </row>
    <row r="87" spans="1:11" s="34" customFormat="1" ht="19.149999999999999" customHeight="1">
      <c r="A87" s="210" t="s">
        <v>250</v>
      </c>
      <c r="B87" s="211" t="s">
        <v>120</v>
      </c>
      <c r="C87" s="213" t="s">
        <v>177</v>
      </c>
      <c r="D87" s="212">
        <v>62</v>
      </c>
      <c r="E87" s="145"/>
      <c r="F87" s="32"/>
      <c r="G87" s="33" t="s">
        <v>259</v>
      </c>
      <c r="I87" s="22"/>
      <c r="J87" s="77"/>
      <c r="K87" s="78"/>
    </row>
    <row r="88" spans="1:11" s="34" customFormat="1" ht="19.149999999999999" customHeight="1">
      <c r="A88" s="210" t="s">
        <v>250</v>
      </c>
      <c r="B88" s="211" t="s">
        <v>106</v>
      </c>
      <c r="C88" s="213" t="s">
        <v>177</v>
      </c>
      <c r="D88" s="212">
        <v>42</v>
      </c>
      <c r="E88" s="145"/>
      <c r="F88" s="32"/>
      <c r="G88" s="33" t="s">
        <v>323</v>
      </c>
      <c r="I88" s="22"/>
      <c r="J88" s="77"/>
      <c r="K88" s="78"/>
    </row>
    <row r="89" spans="1:11" s="34" customFormat="1" ht="19.149999999999999" customHeight="1">
      <c r="A89" s="210" t="s">
        <v>251</v>
      </c>
      <c r="B89" s="211" t="s">
        <v>279</v>
      </c>
      <c r="C89" s="213" t="s">
        <v>177</v>
      </c>
      <c r="D89" s="212">
        <v>242</v>
      </c>
      <c r="E89" s="145"/>
      <c r="F89" s="32"/>
      <c r="G89" s="33" t="s">
        <v>324</v>
      </c>
      <c r="I89" s="22"/>
      <c r="J89" s="77"/>
      <c r="K89" s="78"/>
    </row>
    <row r="90" spans="1:11" s="34" customFormat="1" ht="19.149999999999999" customHeight="1">
      <c r="A90" s="210" t="s">
        <v>251</v>
      </c>
      <c r="B90" s="211" t="s">
        <v>281</v>
      </c>
      <c r="C90" s="213" t="s">
        <v>177</v>
      </c>
      <c r="D90" s="212">
        <v>63</v>
      </c>
      <c r="E90" s="145"/>
      <c r="F90" s="32"/>
      <c r="G90" s="214" t="s">
        <v>326</v>
      </c>
      <c r="I90" s="22"/>
      <c r="J90" s="77"/>
      <c r="K90" s="78"/>
    </row>
    <row r="91" spans="1:11" s="34" customFormat="1" ht="19.149999999999999" customHeight="1">
      <c r="A91" s="210" t="s">
        <v>251</v>
      </c>
      <c r="B91" s="211" t="s">
        <v>283</v>
      </c>
      <c r="C91" s="213" t="s">
        <v>177</v>
      </c>
      <c r="D91" s="212">
        <v>248</v>
      </c>
      <c r="E91" s="145"/>
      <c r="F91" s="32"/>
      <c r="G91" s="214" t="s">
        <v>328</v>
      </c>
      <c r="I91" s="22"/>
      <c r="J91" s="77"/>
      <c r="K91" s="78"/>
    </row>
    <row r="92" spans="1:11" s="34" customFormat="1" ht="19.149999999999999" customHeight="1">
      <c r="A92" s="210" t="s">
        <v>284</v>
      </c>
      <c r="B92" s="211" t="s">
        <v>285</v>
      </c>
      <c r="C92" s="213" t="s">
        <v>177</v>
      </c>
      <c r="D92" s="215">
        <v>168</v>
      </c>
      <c r="E92" s="145"/>
      <c r="F92" s="32"/>
      <c r="G92" s="214" t="s">
        <v>329</v>
      </c>
      <c r="I92" s="22"/>
      <c r="J92" s="77"/>
      <c r="K92" s="78"/>
    </row>
    <row r="93" spans="1:11" s="34" customFormat="1" ht="19.149999999999999" customHeight="1">
      <c r="A93" s="210" t="s">
        <v>119</v>
      </c>
      <c r="B93" s="211" t="s">
        <v>287</v>
      </c>
      <c r="C93" s="213" t="s">
        <v>85</v>
      </c>
      <c r="D93" s="215">
        <v>16</v>
      </c>
      <c r="E93" s="145"/>
      <c r="F93" s="32"/>
      <c r="G93" s="214" t="s">
        <v>332</v>
      </c>
      <c r="I93" s="22"/>
      <c r="J93" s="77"/>
      <c r="K93" s="78"/>
    </row>
    <row r="94" spans="1:11" s="34" customFormat="1" ht="19.149999999999999" customHeight="1">
      <c r="A94" s="210" t="s">
        <v>119</v>
      </c>
      <c r="B94" s="211" t="s">
        <v>288</v>
      </c>
      <c r="C94" s="213" t="s">
        <v>85</v>
      </c>
      <c r="D94" s="215">
        <v>16</v>
      </c>
      <c r="E94" s="145"/>
      <c r="F94" s="32"/>
      <c r="G94" s="214" t="s">
        <v>333</v>
      </c>
      <c r="I94" s="22"/>
      <c r="J94" s="77"/>
      <c r="K94" s="78"/>
    </row>
    <row r="95" spans="1:11" s="34" customFormat="1" ht="19.149999999999999" customHeight="1">
      <c r="A95" s="210" t="s">
        <v>119</v>
      </c>
      <c r="B95" s="211" t="s">
        <v>289</v>
      </c>
      <c r="C95" s="213" t="s">
        <v>85</v>
      </c>
      <c r="D95" s="215">
        <v>8</v>
      </c>
      <c r="E95" s="145"/>
      <c r="F95" s="32"/>
      <c r="G95" s="214" t="s">
        <v>334</v>
      </c>
      <c r="I95" s="22"/>
      <c r="J95" s="77"/>
      <c r="K95" s="78"/>
    </row>
    <row r="96" spans="1:11" s="34" customFormat="1" ht="19.149999999999999" customHeight="1">
      <c r="A96" s="210" t="s">
        <v>200</v>
      </c>
      <c r="B96" s="211" t="s">
        <v>201</v>
      </c>
      <c r="C96" s="213" t="s">
        <v>85</v>
      </c>
      <c r="D96" s="215">
        <v>4</v>
      </c>
      <c r="E96" s="145"/>
      <c r="F96" s="32"/>
      <c r="G96" s="214" t="s">
        <v>240</v>
      </c>
      <c r="I96" s="22"/>
      <c r="J96" s="77"/>
      <c r="K96" s="78"/>
    </row>
    <row r="97" spans="1:11" s="34" customFormat="1" ht="19.149999999999999" customHeight="1">
      <c r="A97" s="210" t="s">
        <v>200</v>
      </c>
      <c r="B97" s="211" t="s">
        <v>257</v>
      </c>
      <c r="C97" s="213" t="s">
        <v>85</v>
      </c>
      <c r="D97" s="215">
        <v>4</v>
      </c>
      <c r="E97" s="145"/>
      <c r="F97" s="32"/>
      <c r="G97" s="214" t="s">
        <v>265</v>
      </c>
      <c r="I97" s="22"/>
      <c r="J97" s="77"/>
      <c r="K97" s="78"/>
    </row>
    <row r="98" spans="1:11" s="34" customFormat="1" ht="19.149999999999999" customHeight="1">
      <c r="A98" s="210" t="s">
        <v>200</v>
      </c>
      <c r="B98" s="211" t="s">
        <v>290</v>
      </c>
      <c r="C98" s="213" t="s">
        <v>85</v>
      </c>
      <c r="D98" s="215">
        <v>2</v>
      </c>
      <c r="E98" s="145"/>
      <c r="F98" s="32"/>
      <c r="G98" s="33" t="s">
        <v>335</v>
      </c>
      <c r="I98" s="22"/>
      <c r="J98" s="77"/>
      <c r="K98" s="78"/>
    </row>
    <row r="99" spans="1:11" s="34" customFormat="1" ht="19.149999999999999" customHeight="1">
      <c r="A99" s="210" t="s">
        <v>291</v>
      </c>
      <c r="B99" s="211" t="s">
        <v>295</v>
      </c>
      <c r="C99" s="213" t="s">
        <v>75</v>
      </c>
      <c r="D99" s="215">
        <v>1</v>
      </c>
      <c r="E99" s="145"/>
      <c r="F99" s="32"/>
      <c r="G99" s="33" t="s">
        <v>339</v>
      </c>
      <c r="I99" s="22"/>
      <c r="J99" s="77"/>
      <c r="K99" s="78"/>
    </row>
    <row r="100" spans="1:11" s="34" customFormat="1" ht="19.149999999999999" customHeight="1">
      <c r="A100" s="210" t="s">
        <v>291</v>
      </c>
      <c r="B100" s="211" t="s">
        <v>296</v>
      </c>
      <c r="C100" s="213" t="s">
        <v>75</v>
      </c>
      <c r="D100" s="215">
        <v>1</v>
      </c>
      <c r="E100" s="145"/>
      <c r="F100" s="32"/>
      <c r="G100" s="33" t="s">
        <v>340</v>
      </c>
      <c r="I100" s="22"/>
      <c r="J100" s="77"/>
      <c r="K100" s="78"/>
    </row>
    <row r="101" spans="1:11" s="34" customFormat="1" ht="19.149999999999999" customHeight="1">
      <c r="A101" s="210" t="s">
        <v>291</v>
      </c>
      <c r="B101" s="211" t="s">
        <v>297</v>
      </c>
      <c r="C101" s="213" t="s">
        <v>75</v>
      </c>
      <c r="D101" s="215">
        <v>1</v>
      </c>
      <c r="E101" s="145"/>
      <c r="F101" s="32"/>
      <c r="G101" s="33" t="s">
        <v>341</v>
      </c>
      <c r="I101" s="22"/>
      <c r="J101" s="77"/>
      <c r="K101" s="78"/>
    </row>
    <row r="102" spans="1:11" s="34" customFormat="1" ht="19.149999999999999" customHeight="1">
      <c r="A102" s="210" t="s">
        <v>291</v>
      </c>
      <c r="B102" s="211" t="s">
        <v>298</v>
      </c>
      <c r="C102" s="213" t="s">
        <v>75</v>
      </c>
      <c r="D102" s="215">
        <v>1</v>
      </c>
      <c r="E102" s="145"/>
      <c r="F102" s="32"/>
      <c r="G102" s="33" t="s">
        <v>342</v>
      </c>
      <c r="I102" s="22"/>
      <c r="J102" s="77"/>
      <c r="K102" s="78"/>
    </row>
    <row r="103" spans="1:11" s="34" customFormat="1" ht="19.149999999999999" customHeight="1">
      <c r="A103" s="210" t="s">
        <v>291</v>
      </c>
      <c r="B103" s="211" t="s">
        <v>300</v>
      </c>
      <c r="C103" s="213" t="s">
        <v>75</v>
      </c>
      <c r="D103" s="215">
        <v>1</v>
      </c>
      <c r="E103" s="145"/>
      <c r="F103" s="32"/>
      <c r="G103" s="33" t="s">
        <v>344</v>
      </c>
      <c r="I103" s="22"/>
      <c r="J103" s="77"/>
      <c r="K103" s="78"/>
    </row>
    <row r="104" spans="1:11" s="34" customFormat="1" ht="19.149999999999999" customHeight="1">
      <c r="A104" s="210" t="s">
        <v>311</v>
      </c>
      <c r="B104" s="211" t="s">
        <v>313</v>
      </c>
      <c r="C104" s="213" t="s">
        <v>6</v>
      </c>
      <c r="D104" s="215">
        <v>14</v>
      </c>
      <c r="E104" s="145"/>
      <c r="F104" s="32"/>
      <c r="G104" s="33" t="s">
        <v>355</v>
      </c>
      <c r="I104" s="22"/>
      <c r="J104" s="77"/>
      <c r="K104" s="78"/>
    </row>
    <row r="105" spans="1:11" s="34" customFormat="1" ht="19.149999999999999" customHeight="1">
      <c r="A105" s="210" t="s">
        <v>311</v>
      </c>
      <c r="B105" s="211" t="s">
        <v>315</v>
      </c>
      <c r="C105" s="213" t="s">
        <v>6</v>
      </c>
      <c r="D105" s="215">
        <v>2</v>
      </c>
      <c r="E105" s="145"/>
      <c r="F105" s="32"/>
      <c r="G105" s="33" t="s">
        <v>357</v>
      </c>
      <c r="I105" s="22"/>
      <c r="J105" s="77"/>
      <c r="K105" s="78"/>
    </row>
    <row r="106" spans="1:11" s="34" customFormat="1" ht="19.149999999999999" customHeight="1">
      <c r="A106" s="178"/>
      <c r="B106" s="179"/>
      <c r="C106" s="178"/>
      <c r="D106" s="180"/>
      <c r="E106" s="145"/>
      <c r="F106" s="32"/>
      <c r="G106" s="33"/>
      <c r="I106" s="22"/>
      <c r="J106" s="77"/>
      <c r="K106" s="78"/>
    </row>
    <row r="107" spans="1:11" s="34" customFormat="1" ht="19.149999999999999" customHeight="1">
      <c r="A107" s="178"/>
      <c r="B107" s="179"/>
      <c r="C107" s="178"/>
      <c r="D107" s="180"/>
      <c r="E107" s="145"/>
      <c r="F107" s="32"/>
      <c r="G107" s="33"/>
      <c r="I107" s="22"/>
      <c r="J107" s="77"/>
      <c r="K107" s="78"/>
    </row>
    <row r="108" spans="1:11" s="34" customFormat="1" ht="19.149999999999999" customHeight="1">
      <c r="A108" s="178"/>
      <c r="B108" s="179"/>
      <c r="C108" s="178"/>
      <c r="D108" s="180"/>
      <c r="E108" s="145"/>
      <c r="F108" s="32"/>
      <c r="G108" s="33"/>
      <c r="I108" s="22"/>
      <c r="J108" s="77"/>
      <c r="K108" s="78"/>
    </row>
    <row r="109" spans="1:11" s="34" customFormat="1" ht="19.149999999999999" customHeight="1">
      <c r="A109" s="178"/>
      <c r="B109" s="179"/>
      <c r="C109" s="178"/>
      <c r="D109" s="180"/>
      <c r="E109" s="145"/>
      <c r="F109" s="32"/>
      <c r="G109" s="33"/>
      <c r="I109" s="22"/>
      <c r="J109" s="77"/>
      <c r="K109" s="78"/>
    </row>
    <row r="110" spans="1:11" s="34" customFormat="1" ht="19.149999999999999" customHeight="1">
      <c r="A110" s="178"/>
      <c r="B110" s="179"/>
      <c r="C110" s="178"/>
      <c r="D110" s="180"/>
      <c r="E110" s="145"/>
      <c r="F110" s="32"/>
      <c r="G110" s="33"/>
      <c r="I110" s="22"/>
      <c r="J110" s="77"/>
      <c r="K110" s="78"/>
    </row>
    <row r="111" spans="1:11" s="34" customFormat="1" ht="19.149999999999999" customHeight="1">
      <c r="A111" s="178"/>
      <c r="B111" s="179"/>
      <c r="C111" s="178"/>
      <c r="D111" s="180"/>
      <c r="E111" s="145"/>
      <c r="F111" s="32"/>
      <c r="G111" s="33"/>
      <c r="I111" s="22"/>
      <c r="J111" s="77"/>
      <c r="K111" s="78"/>
    </row>
    <row r="112" spans="1:11" s="34" customFormat="1" ht="19.149999999999999" customHeight="1">
      <c r="A112" s="178"/>
      <c r="B112" s="179"/>
      <c r="C112" s="178"/>
      <c r="D112" s="180"/>
      <c r="E112" s="145"/>
      <c r="F112" s="32"/>
      <c r="G112" s="33"/>
      <c r="I112" s="22"/>
      <c r="J112" s="77"/>
      <c r="K112" s="78"/>
    </row>
    <row r="113" spans="1:11" s="34" customFormat="1" ht="19.149999999999999" customHeight="1">
      <c r="A113" s="178"/>
      <c r="B113" s="179"/>
      <c r="C113" s="178"/>
      <c r="D113" s="180"/>
      <c r="E113" s="145"/>
      <c r="F113" s="32"/>
      <c r="G113" s="33"/>
      <c r="I113" s="22"/>
      <c r="J113" s="77"/>
      <c r="K113" s="78"/>
    </row>
    <row r="114" spans="1:11" s="34" customFormat="1" ht="19.149999999999999" customHeight="1">
      <c r="A114" s="178"/>
      <c r="B114" s="179"/>
      <c r="C114" s="178"/>
      <c r="D114" s="180"/>
      <c r="E114" s="145"/>
      <c r="F114" s="32"/>
      <c r="G114" s="33"/>
      <c r="I114" s="22"/>
      <c r="J114" s="77"/>
      <c r="K114" s="78"/>
    </row>
    <row r="115" spans="1:11" s="34" customFormat="1" ht="19.149999999999999" customHeight="1">
      <c r="A115" s="178"/>
      <c r="B115" s="179"/>
      <c r="C115" s="178"/>
      <c r="D115" s="180"/>
      <c r="E115" s="145"/>
      <c r="F115" s="32"/>
      <c r="G115" s="33"/>
      <c r="I115" s="22"/>
      <c r="J115" s="77"/>
      <c r="K115" s="78"/>
    </row>
    <row r="116" spans="1:11" s="34" customFormat="1" ht="19.149999999999999" customHeight="1">
      <c r="A116" s="178"/>
      <c r="B116" s="179"/>
      <c r="C116" s="178"/>
      <c r="D116" s="180"/>
      <c r="E116" s="145"/>
      <c r="F116" s="32"/>
      <c r="G116" s="33"/>
      <c r="I116" s="22"/>
      <c r="J116" s="77"/>
      <c r="K116" s="78"/>
    </row>
    <row r="117" spans="1:11" s="34" customFormat="1" ht="19.149999999999999" customHeight="1">
      <c r="A117" s="178"/>
      <c r="B117" s="179"/>
      <c r="C117" s="178"/>
      <c r="D117" s="180"/>
      <c r="E117" s="145"/>
      <c r="F117" s="32"/>
      <c r="G117" s="33"/>
      <c r="I117" s="22"/>
      <c r="J117" s="77"/>
      <c r="K117" s="78"/>
    </row>
    <row r="118" spans="1:11" s="34" customFormat="1" ht="19.149999999999999" customHeight="1">
      <c r="A118" s="178"/>
      <c r="B118" s="179"/>
      <c r="C118" s="178"/>
      <c r="D118" s="180"/>
      <c r="E118" s="145"/>
      <c r="F118" s="32"/>
      <c r="G118" s="33"/>
      <c r="I118" s="22"/>
      <c r="J118" s="77"/>
      <c r="K118" s="78"/>
    </row>
    <row r="119" spans="1:11" s="34" customFormat="1" ht="19.149999999999999" customHeight="1">
      <c r="A119" s="178"/>
      <c r="B119" s="179"/>
      <c r="C119" s="178"/>
      <c r="D119" s="180"/>
      <c r="E119" s="145"/>
      <c r="F119" s="32"/>
      <c r="G119" s="33"/>
      <c r="I119" s="22"/>
      <c r="J119" s="77"/>
      <c r="K119" s="78"/>
    </row>
    <row r="120" spans="1:11" s="34" customFormat="1" ht="19.149999999999999" customHeight="1">
      <c r="A120" s="178"/>
      <c r="B120" s="179"/>
      <c r="C120" s="178"/>
      <c r="D120" s="180"/>
      <c r="E120" s="145"/>
      <c r="F120" s="32"/>
      <c r="G120" s="33"/>
      <c r="I120" s="22"/>
      <c r="J120" s="77"/>
      <c r="K120" s="78"/>
    </row>
    <row r="121" spans="1:11" s="34" customFormat="1" ht="19.149999999999999" customHeight="1">
      <c r="A121" s="178"/>
      <c r="B121" s="179"/>
      <c r="C121" s="178"/>
      <c r="D121" s="180"/>
      <c r="E121" s="145"/>
      <c r="F121" s="32"/>
      <c r="G121" s="33"/>
      <c r="I121" s="22"/>
      <c r="J121" s="77"/>
      <c r="K121" s="78"/>
    </row>
    <row r="122" spans="1:11" s="34" customFormat="1" ht="19.149999999999999" customHeight="1">
      <c r="A122" s="178"/>
      <c r="B122" s="179"/>
      <c r="C122" s="178"/>
      <c r="D122" s="180"/>
      <c r="E122" s="145"/>
      <c r="F122" s="32"/>
      <c r="G122" s="33"/>
      <c r="I122" s="22"/>
      <c r="J122" s="77"/>
      <c r="K122" s="78"/>
    </row>
    <row r="123" spans="1:11" s="34" customFormat="1" ht="19.149999999999999" customHeight="1">
      <c r="A123" s="178"/>
      <c r="B123" s="179"/>
      <c r="C123" s="178"/>
      <c r="D123" s="180"/>
      <c r="E123" s="145"/>
      <c r="F123" s="32"/>
      <c r="G123" s="33"/>
      <c r="I123" s="22"/>
      <c r="J123" s="77"/>
      <c r="K123" s="78"/>
    </row>
    <row r="124" spans="1:11" s="34" customFormat="1" ht="19.149999999999999" customHeight="1">
      <c r="A124" s="178"/>
      <c r="B124" s="179"/>
      <c r="C124" s="178"/>
      <c r="D124" s="180"/>
      <c r="E124" s="145"/>
      <c r="F124" s="32"/>
      <c r="G124" s="33"/>
      <c r="I124" s="22"/>
      <c r="J124" s="77"/>
      <c r="K124" s="78"/>
    </row>
    <row r="125" spans="1:11" s="34" customFormat="1" ht="19.149999999999999" customHeight="1">
      <c r="A125" s="178"/>
      <c r="B125" s="179"/>
      <c r="C125" s="178"/>
      <c r="D125" s="180"/>
      <c r="E125" s="145"/>
      <c r="F125" s="32"/>
      <c r="G125" s="33"/>
      <c r="I125" s="22"/>
      <c r="J125" s="77"/>
      <c r="K125" s="78"/>
    </row>
    <row r="126" spans="1:11" s="34" customFormat="1" ht="19.149999999999999" customHeight="1">
      <c r="A126" s="178"/>
      <c r="B126" s="179"/>
      <c r="C126" s="178"/>
      <c r="D126" s="180"/>
      <c r="E126" s="145"/>
      <c r="F126" s="32"/>
      <c r="G126" s="33"/>
      <c r="I126" s="22"/>
      <c r="J126" s="77"/>
      <c r="K126" s="78"/>
    </row>
    <row r="127" spans="1:11" s="34" customFormat="1" ht="19.149999999999999" customHeight="1">
      <c r="A127" s="182" t="s">
        <v>132</v>
      </c>
      <c r="B127" s="173"/>
      <c r="C127" s="175"/>
      <c r="D127" s="183"/>
      <c r="E127" s="145"/>
      <c r="F127" s="32"/>
      <c r="G127" s="33"/>
    </row>
    <row r="128" spans="1:11" s="34" customFormat="1" ht="19.149999999999999" customHeight="1">
      <c r="A128" s="178" t="s">
        <v>754</v>
      </c>
      <c r="B128" s="179"/>
      <c r="C128" s="178"/>
      <c r="D128" s="180"/>
      <c r="E128" s="145"/>
      <c r="F128" s="32"/>
      <c r="G128" s="33"/>
      <c r="I128" s="22"/>
      <c r="J128" s="77"/>
      <c r="K128" s="78"/>
    </row>
    <row r="129" spans="1:11" s="34" customFormat="1" ht="19.149999999999999" customHeight="1">
      <c r="A129" s="210" t="s">
        <v>359</v>
      </c>
      <c r="B129" s="211" t="s">
        <v>360</v>
      </c>
      <c r="C129" s="213" t="s">
        <v>177</v>
      </c>
      <c r="D129" s="212">
        <v>350</v>
      </c>
      <c r="E129" s="145"/>
      <c r="F129" s="32"/>
      <c r="G129" s="33" t="s">
        <v>367</v>
      </c>
      <c r="I129" s="22"/>
      <c r="J129" s="77"/>
      <c r="K129" s="78"/>
    </row>
    <row r="130" spans="1:11" s="34" customFormat="1" ht="19.149999999999999" customHeight="1">
      <c r="A130" s="210" t="s">
        <v>359</v>
      </c>
      <c r="B130" s="211" t="s">
        <v>373</v>
      </c>
      <c r="C130" s="213" t="s">
        <v>177</v>
      </c>
      <c r="D130" s="212">
        <v>266</v>
      </c>
      <c r="E130" s="145"/>
      <c r="F130" s="32"/>
      <c r="G130" s="33" t="s">
        <v>400</v>
      </c>
      <c r="I130" s="22"/>
      <c r="J130" s="77"/>
      <c r="K130" s="78"/>
    </row>
    <row r="131" spans="1:11" s="34" customFormat="1" ht="19.149999999999999" customHeight="1">
      <c r="A131" s="210" t="s">
        <v>267</v>
      </c>
      <c r="B131" s="211" t="s">
        <v>376</v>
      </c>
      <c r="C131" s="213" t="s">
        <v>177</v>
      </c>
      <c r="D131" s="212">
        <v>17</v>
      </c>
      <c r="E131" s="145"/>
      <c r="F131" s="32"/>
      <c r="G131" s="33" t="s">
        <v>403</v>
      </c>
      <c r="I131" s="22"/>
      <c r="J131" s="77"/>
      <c r="K131" s="78"/>
    </row>
    <row r="132" spans="1:11" s="34" customFormat="1" ht="19.149999999999999" customHeight="1">
      <c r="A132" s="210" t="s">
        <v>377</v>
      </c>
      <c r="B132" s="211" t="s">
        <v>378</v>
      </c>
      <c r="C132" s="213" t="s">
        <v>177</v>
      </c>
      <c r="D132" s="212">
        <v>72</v>
      </c>
      <c r="E132" s="145"/>
      <c r="F132" s="32"/>
      <c r="G132" s="33" t="s">
        <v>404</v>
      </c>
      <c r="I132" s="22"/>
      <c r="J132" s="77"/>
      <c r="K132" s="78"/>
    </row>
    <row r="133" spans="1:11" s="34" customFormat="1" ht="19.149999999999999" customHeight="1">
      <c r="A133" s="210" t="s">
        <v>377</v>
      </c>
      <c r="B133" s="211" t="s">
        <v>379</v>
      </c>
      <c r="C133" s="213" t="s">
        <v>177</v>
      </c>
      <c r="D133" s="212">
        <v>43</v>
      </c>
      <c r="E133" s="145"/>
      <c r="F133" s="32"/>
      <c r="G133" s="33" t="s">
        <v>405</v>
      </c>
      <c r="I133" s="22"/>
      <c r="J133" s="77"/>
      <c r="K133" s="78"/>
    </row>
    <row r="134" spans="1:11" s="34" customFormat="1" ht="19.149999999999999" customHeight="1">
      <c r="A134" s="210" t="s">
        <v>273</v>
      </c>
      <c r="B134" s="211" t="s">
        <v>381</v>
      </c>
      <c r="C134" s="213" t="s">
        <v>85</v>
      </c>
      <c r="D134" s="212">
        <v>4</v>
      </c>
      <c r="E134" s="145"/>
      <c r="F134" s="32"/>
      <c r="G134" s="33">
        <v>0</v>
      </c>
      <c r="I134" s="22"/>
      <c r="J134" s="77"/>
      <c r="K134" s="78"/>
    </row>
    <row r="135" spans="1:11" s="34" customFormat="1" ht="19.149999999999999" customHeight="1">
      <c r="A135" s="210" t="s">
        <v>362</v>
      </c>
      <c r="B135" s="211" t="s">
        <v>363</v>
      </c>
      <c r="C135" s="213" t="s">
        <v>177</v>
      </c>
      <c r="D135" s="212">
        <v>971</v>
      </c>
      <c r="E135" s="145"/>
      <c r="F135" s="32"/>
      <c r="G135" s="33" t="s">
        <v>369</v>
      </c>
      <c r="I135" s="22"/>
      <c r="J135" s="77"/>
      <c r="K135" s="78"/>
    </row>
    <row r="136" spans="1:11" s="34" customFormat="1" ht="19.149999999999999" customHeight="1">
      <c r="A136" s="210" t="s">
        <v>251</v>
      </c>
      <c r="B136" s="211" t="s">
        <v>386</v>
      </c>
      <c r="C136" s="213" t="s">
        <v>177</v>
      </c>
      <c r="D136" s="212">
        <v>125</v>
      </c>
      <c r="E136" s="145"/>
      <c r="F136" s="32"/>
      <c r="G136" s="33" t="s">
        <v>409</v>
      </c>
      <c r="I136" s="22"/>
      <c r="J136" s="77"/>
      <c r="K136" s="78"/>
    </row>
    <row r="137" spans="1:11" s="34" customFormat="1" ht="19.149999999999999" customHeight="1">
      <c r="A137" s="210" t="s">
        <v>251</v>
      </c>
      <c r="B137" s="211" t="s">
        <v>387</v>
      </c>
      <c r="C137" s="213" t="s">
        <v>177</v>
      </c>
      <c r="D137" s="212">
        <v>28</v>
      </c>
      <c r="E137" s="145"/>
      <c r="F137" s="32"/>
      <c r="G137" s="33" t="s">
        <v>410</v>
      </c>
      <c r="I137" s="22"/>
      <c r="J137" s="77"/>
      <c r="K137" s="78"/>
    </row>
    <row r="138" spans="1:11" s="34" customFormat="1" ht="19.149999999999999" customHeight="1">
      <c r="A138" s="210" t="s">
        <v>251</v>
      </c>
      <c r="B138" s="211" t="s">
        <v>365</v>
      </c>
      <c r="C138" s="213" t="s">
        <v>177</v>
      </c>
      <c r="D138" s="215">
        <v>254</v>
      </c>
      <c r="E138" s="145"/>
      <c r="F138" s="32"/>
      <c r="G138" s="33" t="s">
        <v>371</v>
      </c>
      <c r="I138" s="22"/>
      <c r="J138" s="77"/>
      <c r="K138" s="78"/>
    </row>
    <row r="139" spans="1:11" s="34" customFormat="1" ht="19.149999999999999" customHeight="1">
      <c r="A139" s="210" t="s">
        <v>389</v>
      </c>
      <c r="B139" s="211" t="s">
        <v>390</v>
      </c>
      <c r="C139" s="213" t="s">
        <v>85</v>
      </c>
      <c r="D139" s="215">
        <v>23</v>
      </c>
      <c r="E139" s="145"/>
      <c r="F139" s="32"/>
      <c r="G139" s="33" t="s">
        <v>412</v>
      </c>
      <c r="I139" s="22"/>
      <c r="J139" s="77"/>
      <c r="K139" s="78"/>
    </row>
    <row r="140" spans="1:11" s="34" customFormat="1" ht="19.149999999999999" customHeight="1">
      <c r="A140" s="210" t="s">
        <v>391</v>
      </c>
      <c r="B140" s="211" t="s">
        <v>117</v>
      </c>
      <c r="C140" s="213" t="s">
        <v>85</v>
      </c>
      <c r="D140" s="215">
        <v>46</v>
      </c>
      <c r="E140" s="145"/>
      <c r="F140" s="32"/>
      <c r="G140" s="33" t="s">
        <v>413</v>
      </c>
      <c r="I140" s="22"/>
      <c r="J140" s="77"/>
      <c r="K140" s="78"/>
    </row>
    <row r="141" spans="1:11" s="34" customFormat="1" ht="19.149999999999999" customHeight="1">
      <c r="A141" s="210" t="s">
        <v>392</v>
      </c>
      <c r="B141" s="211" t="s">
        <v>393</v>
      </c>
      <c r="C141" s="213" t="s">
        <v>85</v>
      </c>
      <c r="D141" s="215">
        <v>23</v>
      </c>
      <c r="E141" s="145"/>
      <c r="F141" s="32"/>
      <c r="G141" s="33">
        <v>0</v>
      </c>
      <c r="I141" s="22"/>
      <c r="J141" s="77"/>
      <c r="K141" s="78"/>
    </row>
    <row r="142" spans="1:11" s="34" customFormat="1" ht="19.149999999999999" customHeight="1">
      <c r="A142" s="210" t="s">
        <v>392</v>
      </c>
      <c r="B142" s="211" t="s">
        <v>394</v>
      </c>
      <c r="C142" s="213" t="s">
        <v>85</v>
      </c>
      <c r="D142" s="215">
        <v>46</v>
      </c>
      <c r="E142" s="145"/>
      <c r="F142" s="32"/>
      <c r="G142" s="33">
        <v>0</v>
      </c>
      <c r="I142" s="22"/>
      <c r="J142" s="77"/>
      <c r="K142" s="78"/>
    </row>
    <row r="143" spans="1:11" s="34" customFormat="1" ht="19.149999999999999" customHeight="1">
      <c r="A143" s="210" t="s">
        <v>397</v>
      </c>
      <c r="B143" s="211" t="s">
        <v>398</v>
      </c>
      <c r="C143" s="213" t="s">
        <v>85</v>
      </c>
      <c r="D143" s="215">
        <v>19</v>
      </c>
      <c r="E143" s="145"/>
      <c r="F143" s="32"/>
      <c r="G143" s="33" t="s">
        <v>415</v>
      </c>
      <c r="I143" s="22"/>
      <c r="J143" s="77"/>
      <c r="K143" s="78"/>
    </row>
    <row r="144" spans="1:11" s="34" customFormat="1" ht="19.149999999999999" customHeight="1">
      <c r="A144" s="210" t="s">
        <v>311</v>
      </c>
      <c r="B144" s="211" t="s">
        <v>399</v>
      </c>
      <c r="C144" s="213" t="s">
        <v>6</v>
      </c>
      <c r="D144" s="215">
        <v>6</v>
      </c>
      <c r="E144" s="145"/>
      <c r="F144" s="32"/>
      <c r="G144" s="33" t="s">
        <v>561</v>
      </c>
      <c r="I144" s="22"/>
      <c r="J144" s="77"/>
      <c r="K144" s="78"/>
    </row>
    <row r="145" spans="1:11" s="34" customFormat="1" ht="19.149999999999999" customHeight="1">
      <c r="A145" s="210"/>
      <c r="B145" s="211"/>
      <c r="C145" s="213"/>
      <c r="D145" s="215"/>
      <c r="E145" s="145"/>
      <c r="F145" s="32"/>
      <c r="G145" s="33"/>
      <c r="I145" s="22"/>
      <c r="J145" s="77"/>
      <c r="K145" s="78"/>
    </row>
    <row r="146" spans="1:11" s="34" customFormat="1" ht="19.149999999999999" customHeight="1">
      <c r="A146" s="210"/>
      <c r="B146" s="211"/>
      <c r="C146" s="213"/>
      <c r="D146" s="215"/>
      <c r="E146" s="145"/>
      <c r="F146" s="32"/>
      <c r="G146" s="33"/>
      <c r="I146" s="22"/>
      <c r="J146" s="77"/>
      <c r="K146" s="78"/>
    </row>
    <row r="147" spans="1:11" s="34" customFormat="1" ht="19.149999999999999" customHeight="1">
      <c r="A147" s="210"/>
      <c r="B147" s="211"/>
      <c r="C147" s="213"/>
      <c r="D147" s="215"/>
      <c r="E147" s="145"/>
      <c r="F147" s="32"/>
      <c r="G147" s="33"/>
      <c r="I147" s="22"/>
      <c r="J147" s="77"/>
      <c r="K147" s="78"/>
    </row>
    <row r="148" spans="1:11" s="34" customFormat="1" ht="19.149999999999999" customHeight="1">
      <c r="A148" s="210"/>
      <c r="B148" s="211"/>
      <c r="C148" s="213"/>
      <c r="D148" s="215"/>
      <c r="E148" s="145"/>
      <c r="F148" s="32"/>
      <c r="G148" s="33"/>
      <c r="I148" s="22"/>
      <c r="J148" s="77"/>
      <c r="K148" s="78"/>
    </row>
    <row r="149" spans="1:11" s="34" customFormat="1" ht="19.149999999999999" customHeight="1">
      <c r="A149" s="210"/>
      <c r="B149" s="211"/>
      <c r="C149" s="213"/>
      <c r="D149" s="215"/>
      <c r="E149" s="145"/>
      <c r="F149" s="32"/>
      <c r="G149" s="33"/>
      <c r="I149" s="22"/>
      <c r="J149" s="77"/>
      <c r="K149" s="78"/>
    </row>
    <row r="150" spans="1:11" s="34" customFormat="1" ht="19.149999999999999" customHeight="1">
      <c r="A150" s="210"/>
      <c r="B150" s="211"/>
      <c r="C150" s="213"/>
      <c r="D150" s="215"/>
      <c r="E150" s="145"/>
      <c r="F150" s="32"/>
      <c r="G150" s="33"/>
      <c r="I150" s="22"/>
      <c r="J150" s="77"/>
      <c r="K150" s="78"/>
    </row>
    <row r="151" spans="1:11" s="34" customFormat="1" ht="19.149999999999999" customHeight="1">
      <c r="A151" s="210"/>
      <c r="B151" s="211"/>
      <c r="C151" s="213"/>
      <c r="D151" s="215"/>
      <c r="E151" s="145"/>
      <c r="F151" s="32"/>
      <c r="G151" s="33"/>
      <c r="I151" s="22"/>
      <c r="J151" s="77"/>
      <c r="K151" s="78"/>
    </row>
    <row r="152" spans="1:11" s="34" customFormat="1" ht="19.149999999999999" customHeight="1">
      <c r="A152" s="182" t="s">
        <v>132</v>
      </c>
      <c r="B152" s="173"/>
      <c r="C152" s="175"/>
      <c r="D152" s="183"/>
      <c r="E152" s="145"/>
      <c r="F152" s="32"/>
      <c r="G152" s="33"/>
    </row>
    <row r="153" spans="1:11" s="34" customFormat="1" ht="19.149999999999999" customHeight="1">
      <c r="A153" s="178" t="s">
        <v>755</v>
      </c>
      <c r="B153" s="179"/>
      <c r="C153" s="178"/>
      <c r="D153" s="180"/>
      <c r="E153" s="145"/>
      <c r="F153" s="32"/>
      <c r="G153" s="33"/>
      <c r="I153" s="22"/>
      <c r="J153" s="77"/>
      <c r="K153" s="78"/>
    </row>
    <row r="154" spans="1:11" s="34" customFormat="1" ht="19.149999999999999" customHeight="1">
      <c r="A154" s="210" t="s">
        <v>123</v>
      </c>
      <c r="B154" s="211" t="s">
        <v>417</v>
      </c>
      <c r="C154" s="213" t="s">
        <v>177</v>
      </c>
      <c r="D154" s="212">
        <v>82</v>
      </c>
      <c r="E154" s="145"/>
      <c r="F154" s="32"/>
      <c r="G154" s="33" t="s">
        <v>432</v>
      </c>
      <c r="I154" s="22"/>
      <c r="J154" s="77"/>
      <c r="K154" s="78"/>
    </row>
    <row r="155" spans="1:11" s="34" customFormat="1" ht="19.149999999999999" customHeight="1">
      <c r="A155" s="210" t="s">
        <v>123</v>
      </c>
      <c r="B155" s="211" t="s">
        <v>419</v>
      </c>
      <c r="C155" s="213" t="s">
        <v>177</v>
      </c>
      <c r="D155" s="212">
        <v>31</v>
      </c>
      <c r="E155" s="145"/>
      <c r="F155" s="32"/>
      <c r="G155" s="33" t="s">
        <v>434</v>
      </c>
      <c r="I155" s="22"/>
      <c r="J155" s="77"/>
      <c r="K155" s="78"/>
    </row>
    <row r="156" spans="1:11" s="34" customFormat="1" ht="19.149999999999999" customHeight="1">
      <c r="A156" s="210" t="s">
        <v>124</v>
      </c>
      <c r="B156" s="211" t="s">
        <v>420</v>
      </c>
      <c r="C156" s="213" t="s">
        <v>85</v>
      </c>
      <c r="D156" s="212">
        <v>9</v>
      </c>
      <c r="E156" s="145"/>
      <c r="F156" s="32"/>
      <c r="G156" s="33" t="s">
        <v>435</v>
      </c>
      <c r="I156" s="22"/>
      <c r="J156" s="77"/>
      <c r="K156" s="78"/>
    </row>
    <row r="157" spans="1:11" s="34" customFormat="1" ht="19.149999999999999" customHeight="1">
      <c r="A157" s="210" t="s">
        <v>124</v>
      </c>
      <c r="B157" s="211" t="s">
        <v>422</v>
      </c>
      <c r="C157" s="213" t="s">
        <v>85</v>
      </c>
      <c r="D157" s="212">
        <v>4</v>
      </c>
      <c r="E157" s="145"/>
      <c r="F157" s="32"/>
      <c r="G157" s="33" t="s">
        <v>437</v>
      </c>
      <c r="I157" s="22"/>
      <c r="J157" s="77"/>
      <c r="K157" s="78"/>
    </row>
    <row r="158" spans="1:11" s="34" customFormat="1" ht="19.149999999999999" customHeight="1">
      <c r="A158" s="210" t="s">
        <v>124</v>
      </c>
      <c r="B158" s="211" t="s">
        <v>424</v>
      </c>
      <c r="C158" s="213" t="s">
        <v>85</v>
      </c>
      <c r="D158" s="212">
        <v>2</v>
      </c>
      <c r="E158" s="145"/>
      <c r="F158" s="32"/>
      <c r="G158" s="33" t="s">
        <v>439</v>
      </c>
      <c r="I158" s="22"/>
      <c r="J158" s="77"/>
      <c r="K158" s="78"/>
    </row>
    <row r="159" spans="1:11" s="34" customFormat="1" ht="19.149999999999999" customHeight="1">
      <c r="A159" s="210" t="s">
        <v>124</v>
      </c>
      <c r="B159" s="211" t="s">
        <v>425</v>
      </c>
      <c r="C159" s="213" t="s">
        <v>85</v>
      </c>
      <c r="D159" s="212">
        <v>2</v>
      </c>
      <c r="E159" s="145"/>
      <c r="F159" s="32"/>
      <c r="G159" s="33" t="s">
        <v>440</v>
      </c>
      <c r="I159" s="22"/>
      <c r="J159" s="77"/>
      <c r="K159" s="78"/>
    </row>
    <row r="160" spans="1:11" s="34" customFormat="1" ht="19.149999999999999" customHeight="1">
      <c r="A160" s="210" t="s">
        <v>124</v>
      </c>
      <c r="B160" s="211" t="s">
        <v>426</v>
      </c>
      <c r="C160" s="213" t="s">
        <v>85</v>
      </c>
      <c r="D160" s="212">
        <v>3</v>
      </c>
      <c r="E160" s="145"/>
      <c r="F160" s="32"/>
      <c r="G160" s="33" t="s">
        <v>441</v>
      </c>
      <c r="I160" s="22"/>
      <c r="J160" s="77"/>
      <c r="K160" s="78"/>
    </row>
    <row r="161" spans="1:11" s="34" customFormat="1" ht="19.149999999999999" customHeight="1">
      <c r="A161" s="210" t="s">
        <v>124</v>
      </c>
      <c r="B161" s="211" t="s">
        <v>427</v>
      </c>
      <c r="C161" s="213" t="s">
        <v>85</v>
      </c>
      <c r="D161" s="215">
        <v>76</v>
      </c>
      <c r="E161" s="145"/>
      <c r="F161" s="32"/>
      <c r="G161" s="33">
        <v>0</v>
      </c>
      <c r="I161" s="22"/>
      <c r="J161" s="77"/>
      <c r="K161" s="78"/>
    </row>
    <row r="162" spans="1:11" s="34" customFormat="1" ht="19.149999999999999" customHeight="1">
      <c r="A162" s="210" t="s">
        <v>124</v>
      </c>
      <c r="B162" s="211" t="s">
        <v>135</v>
      </c>
      <c r="C162" s="213" t="s">
        <v>85</v>
      </c>
      <c r="D162" s="215">
        <v>38</v>
      </c>
      <c r="E162" s="145"/>
      <c r="F162" s="32"/>
      <c r="G162" s="33">
        <v>0</v>
      </c>
      <c r="I162" s="22"/>
      <c r="J162" s="77"/>
      <c r="K162" s="78"/>
    </row>
    <row r="163" spans="1:11" s="34" customFormat="1" ht="19.149999999999999" customHeight="1">
      <c r="A163" s="210" t="s">
        <v>124</v>
      </c>
      <c r="B163" s="211" t="s">
        <v>136</v>
      </c>
      <c r="C163" s="213" t="s">
        <v>85</v>
      </c>
      <c r="D163" s="215">
        <v>608</v>
      </c>
      <c r="E163" s="145"/>
      <c r="F163" s="32"/>
      <c r="G163" s="33">
        <v>0</v>
      </c>
      <c r="I163" s="22"/>
      <c r="J163" s="77"/>
      <c r="K163" s="78"/>
    </row>
    <row r="164" spans="1:11" s="34" customFormat="1" ht="19.149999999999999" customHeight="1">
      <c r="A164" s="210" t="s">
        <v>428</v>
      </c>
      <c r="B164" s="211" t="s">
        <v>429</v>
      </c>
      <c r="C164" s="213" t="s">
        <v>95</v>
      </c>
      <c r="D164" s="215">
        <v>54</v>
      </c>
      <c r="E164" s="145"/>
      <c r="F164" s="32"/>
      <c r="G164" s="33" t="s">
        <v>235</v>
      </c>
      <c r="I164" s="22"/>
      <c r="J164" s="77"/>
      <c r="K164" s="78"/>
    </row>
    <row r="165" spans="1:11" s="34" customFormat="1" ht="19.149999999999999" customHeight="1">
      <c r="A165" s="210" t="s">
        <v>428</v>
      </c>
      <c r="B165" s="211" t="s">
        <v>431</v>
      </c>
      <c r="C165" s="213" t="s">
        <v>95</v>
      </c>
      <c r="D165" s="215">
        <v>20</v>
      </c>
      <c r="E165" s="145"/>
      <c r="F165" s="32"/>
      <c r="G165" s="33" t="s">
        <v>443</v>
      </c>
      <c r="I165" s="22"/>
      <c r="J165" s="77"/>
      <c r="K165" s="78"/>
    </row>
    <row r="166" spans="1:11" s="34" customFormat="1" ht="19.149999999999999" customHeight="1">
      <c r="A166" s="178"/>
      <c r="B166" s="179"/>
      <c r="C166" s="178"/>
      <c r="D166" s="180"/>
      <c r="E166" s="145"/>
      <c r="F166" s="32"/>
      <c r="G166" s="33"/>
      <c r="I166" s="22"/>
      <c r="J166" s="77"/>
      <c r="K166" s="78"/>
    </row>
    <row r="167" spans="1:11" s="34" customFormat="1" ht="19.149999999999999" customHeight="1">
      <c r="A167" s="178"/>
      <c r="B167" s="179"/>
      <c r="C167" s="178"/>
      <c r="D167" s="180"/>
      <c r="E167" s="145"/>
      <c r="F167" s="32"/>
      <c r="G167" s="33"/>
      <c r="I167" s="22"/>
      <c r="J167" s="77"/>
      <c r="K167" s="78"/>
    </row>
    <row r="168" spans="1:11" s="34" customFormat="1" ht="19.149999999999999" customHeight="1">
      <c r="A168" s="178"/>
      <c r="B168" s="179"/>
      <c r="C168" s="178"/>
      <c r="D168" s="180"/>
      <c r="E168" s="145"/>
      <c r="F168" s="32"/>
      <c r="G168" s="33"/>
      <c r="I168" s="22"/>
      <c r="J168" s="77"/>
      <c r="K168" s="78"/>
    </row>
    <row r="169" spans="1:11" s="34" customFormat="1" ht="19.149999999999999" customHeight="1">
      <c r="A169" s="178"/>
      <c r="B169" s="179"/>
      <c r="C169" s="178"/>
      <c r="D169" s="180"/>
      <c r="E169" s="145"/>
      <c r="F169" s="32"/>
      <c r="G169" s="33"/>
      <c r="I169" s="22"/>
      <c r="J169" s="77"/>
      <c r="K169" s="78"/>
    </row>
    <row r="170" spans="1:11" s="34" customFormat="1" ht="19.149999999999999" customHeight="1">
      <c r="A170" s="178"/>
      <c r="B170" s="179"/>
      <c r="C170" s="178"/>
      <c r="D170" s="180"/>
      <c r="E170" s="145"/>
      <c r="F170" s="32"/>
      <c r="G170" s="33"/>
      <c r="I170" s="22"/>
      <c r="J170" s="77"/>
      <c r="K170" s="78"/>
    </row>
    <row r="171" spans="1:11" s="34" customFormat="1" ht="19.149999999999999" customHeight="1">
      <c r="A171" s="178"/>
      <c r="B171" s="179"/>
      <c r="C171" s="178"/>
      <c r="D171" s="180"/>
      <c r="E171" s="145"/>
      <c r="F171" s="32"/>
      <c r="G171" s="33"/>
      <c r="I171" s="22"/>
      <c r="J171" s="77"/>
      <c r="K171" s="78"/>
    </row>
    <row r="172" spans="1:11" s="34" customFormat="1" ht="19.149999999999999" customHeight="1">
      <c r="A172" s="178"/>
      <c r="B172" s="179"/>
      <c r="C172" s="178"/>
      <c r="D172" s="180"/>
      <c r="E172" s="145"/>
      <c r="F172" s="32"/>
      <c r="G172" s="33"/>
      <c r="I172" s="22"/>
      <c r="J172" s="77"/>
      <c r="K172" s="78"/>
    </row>
    <row r="173" spans="1:11" s="34" customFormat="1" ht="19.149999999999999" customHeight="1">
      <c r="A173" s="178"/>
      <c r="B173" s="179"/>
      <c r="C173" s="178"/>
      <c r="D173" s="180"/>
      <c r="E173" s="145"/>
      <c r="F173" s="32"/>
      <c r="G173" s="33"/>
      <c r="I173" s="22"/>
      <c r="J173" s="77"/>
      <c r="K173" s="78"/>
    </row>
    <row r="174" spans="1:11" s="34" customFormat="1" ht="19.149999999999999" customHeight="1">
      <c r="A174" s="178"/>
      <c r="B174" s="179"/>
      <c r="C174" s="178"/>
      <c r="D174" s="180"/>
      <c r="E174" s="145"/>
      <c r="F174" s="32"/>
      <c r="G174" s="33"/>
      <c r="I174" s="22"/>
      <c r="J174" s="77"/>
      <c r="K174" s="78"/>
    </row>
    <row r="175" spans="1:11" s="34" customFormat="1" ht="19.149999999999999" customHeight="1">
      <c r="A175" s="178"/>
      <c r="B175" s="179"/>
      <c r="C175" s="178"/>
      <c r="D175" s="180"/>
      <c r="E175" s="145"/>
      <c r="F175" s="32"/>
      <c r="G175" s="33"/>
      <c r="I175" s="22"/>
      <c r="J175" s="77"/>
      <c r="K175" s="78"/>
    </row>
    <row r="176" spans="1:11" s="34" customFormat="1" ht="19.149999999999999" customHeight="1">
      <c r="A176" s="178"/>
      <c r="B176" s="179"/>
      <c r="C176" s="178"/>
      <c r="D176" s="180"/>
      <c r="E176" s="145"/>
      <c r="F176" s="32"/>
      <c r="G176" s="33"/>
      <c r="I176" s="22"/>
      <c r="J176" s="77"/>
      <c r="K176" s="78"/>
    </row>
    <row r="177" spans="1:11" s="34" customFormat="1" ht="19.149999999999999" customHeight="1">
      <c r="A177" s="182" t="s">
        <v>132</v>
      </c>
      <c r="B177" s="173"/>
      <c r="C177" s="175"/>
      <c r="D177" s="183"/>
      <c r="E177" s="145"/>
      <c r="F177" s="32"/>
      <c r="G177" s="33"/>
    </row>
    <row r="178" spans="1:11" s="34" customFormat="1" ht="19.149999999999999" customHeight="1">
      <c r="A178" s="178" t="s">
        <v>756</v>
      </c>
      <c r="B178" s="179"/>
      <c r="C178" s="178"/>
      <c r="D178" s="180"/>
      <c r="E178" s="145"/>
      <c r="F178" s="32"/>
      <c r="G178" s="33"/>
      <c r="I178" s="22"/>
      <c r="J178" s="77"/>
      <c r="K178" s="78"/>
    </row>
    <row r="179" spans="1:11" s="34" customFormat="1" ht="19.149999999999999" customHeight="1">
      <c r="A179" s="210" t="s">
        <v>359</v>
      </c>
      <c r="B179" s="211" t="s">
        <v>360</v>
      </c>
      <c r="C179" s="213" t="s">
        <v>177</v>
      </c>
      <c r="D179" s="212">
        <v>393</v>
      </c>
      <c r="E179" s="145"/>
      <c r="F179" s="32"/>
      <c r="G179" s="33" t="s">
        <v>367</v>
      </c>
      <c r="I179" s="22"/>
      <c r="J179" s="77"/>
      <c r="K179" s="78"/>
    </row>
    <row r="180" spans="1:11" s="34" customFormat="1" ht="19.149999999999999" customHeight="1">
      <c r="A180" s="210" t="s">
        <v>359</v>
      </c>
      <c r="B180" s="211" t="s">
        <v>361</v>
      </c>
      <c r="C180" s="213" t="s">
        <v>177</v>
      </c>
      <c r="D180" s="212">
        <v>312</v>
      </c>
      <c r="E180" s="145"/>
      <c r="F180" s="32"/>
      <c r="G180" s="33" t="s">
        <v>368</v>
      </c>
      <c r="I180" s="22"/>
      <c r="J180" s="77"/>
      <c r="K180" s="78"/>
    </row>
    <row r="181" spans="1:11" s="34" customFormat="1" ht="19.149999999999999" customHeight="1">
      <c r="A181" s="210" t="s">
        <v>359</v>
      </c>
      <c r="B181" s="211" t="s">
        <v>373</v>
      </c>
      <c r="C181" s="213" t="s">
        <v>177</v>
      </c>
      <c r="D181" s="212">
        <v>12</v>
      </c>
      <c r="E181" s="145"/>
      <c r="F181" s="32"/>
      <c r="G181" s="33" t="s">
        <v>400</v>
      </c>
      <c r="I181" s="22"/>
      <c r="J181" s="77"/>
      <c r="K181" s="78"/>
    </row>
    <row r="182" spans="1:11" s="34" customFormat="1" ht="19.149999999999999" customHeight="1">
      <c r="A182" s="210" t="s">
        <v>384</v>
      </c>
      <c r="B182" s="211" t="s">
        <v>445</v>
      </c>
      <c r="C182" s="213" t="s">
        <v>177</v>
      </c>
      <c r="D182" s="212">
        <v>406</v>
      </c>
      <c r="E182" s="145"/>
      <c r="F182" s="32"/>
      <c r="G182" s="33" t="s">
        <v>519</v>
      </c>
      <c r="I182" s="22"/>
      <c r="J182" s="77"/>
      <c r="K182" s="78"/>
    </row>
    <row r="183" spans="1:11" s="34" customFormat="1" ht="19.149999999999999" customHeight="1">
      <c r="A183" s="210" t="s">
        <v>384</v>
      </c>
      <c r="B183" s="211" t="s">
        <v>447</v>
      </c>
      <c r="C183" s="213" t="s">
        <v>177</v>
      </c>
      <c r="D183" s="212">
        <v>13</v>
      </c>
      <c r="E183" s="145"/>
      <c r="F183" s="32"/>
      <c r="G183" s="33" t="s">
        <v>521</v>
      </c>
      <c r="I183" s="22"/>
      <c r="J183" s="77"/>
      <c r="K183" s="78"/>
    </row>
    <row r="184" spans="1:11" s="34" customFormat="1" ht="19.149999999999999" customHeight="1">
      <c r="A184" s="210" t="s">
        <v>384</v>
      </c>
      <c r="B184" s="211" t="s">
        <v>448</v>
      </c>
      <c r="C184" s="213" t="s">
        <v>177</v>
      </c>
      <c r="D184" s="212">
        <v>14</v>
      </c>
      <c r="E184" s="145"/>
      <c r="F184" s="32"/>
      <c r="G184" s="33" t="s">
        <v>522</v>
      </c>
      <c r="I184" s="22"/>
      <c r="J184" s="77"/>
      <c r="K184" s="78"/>
    </row>
    <row r="185" spans="1:11" s="34" customFormat="1" ht="19.149999999999999" customHeight="1">
      <c r="A185" s="210" t="s">
        <v>362</v>
      </c>
      <c r="B185" s="211" t="s">
        <v>451</v>
      </c>
      <c r="C185" s="213" t="s">
        <v>177</v>
      </c>
      <c r="D185" s="212">
        <v>2705</v>
      </c>
      <c r="E185" s="145"/>
      <c r="F185" s="32"/>
      <c r="G185" s="33" t="s">
        <v>525</v>
      </c>
      <c r="I185" s="22"/>
      <c r="J185" s="77"/>
      <c r="K185" s="78"/>
    </row>
    <row r="186" spans="1:11" s="34" customFormat="1" ht="19.149999999999999" customHeight="1">
      <c r="A186" s="210" t="s">
        <v>116</v>
      </c>
      <c r="B186" s="211" t="s">
        <v>364</v>
      </c>
      <c r="C186" s="213" t="s">
        <v>177</v>
      </c>
      <c r="D186" s="212">
        <v>30</v>
      </c>
      <c r="E186" s="145"/>
      <c r="F186" s="32"/>
      <c r="G186" s="33" t="s">
        <v>370</v>
      </c>
      <c r="I186" s="22"/>
      <c r="J186" s="77"/>
      <c r="K186" s="78"/>
    </row>
    <row r="187" spans="1:11" s="34" customFormat="1" ht="19.149999999999999" customHeight="1">
      <c r="A187" s="210" t="s">
        <v>391</v>
      </c>
      <c r="B187" s="211" t="s">
        <v>455</v>
      </c>
      <c r="C187" s="213" t="s">
        <v>85</v>
      </c>
      <c r="D187" s="212">
        <v>20</v>
      </c>
      <c r="E187" s="145"/>
      <c r="F187" s="32"/>
      <c r="G187" s="33" t="s">
        <v>528</v>
      </c>
      <c r="I187" s="22"/>
      <c r="J187" s="77"/>
      <c r="K187" s="78"/>
    </row>
    <row r="188" spans="1:11" s="34" customFormat="1" ht="19.149999999999999" customHeight="1">
      <c r="A188" s="210" t="s">
        <v>391</v>
      </c>
      <c r="B188" s="211" t="s">
        <v>117</v>
      </c>
      <c r="C188" s="213" t="s">
        <v>85</v>
      </c>
      <c r="D188" s="212">
        <v>218</v>
      </c>
      <c r="E188" s="145"/>
      <c r="F188" s="32"/>
      <c r="G188" s="33" t="s">
        <v>413</v>
      </c>
      <c r="I188" s="22"/>
      <c r="J188" s="77"/>
      <c r="K188" s="78"/>
    </row>
    <row r="189" spans="1:11" s="34" customFormat="1" ht="19.149999999999999" customHeight="1">
      <c r="A189" s="210" t="s">
        <v>389</v>
      </c>
      <c r="B189" s="211" t="s">
        <v>390</v>
      </c>
      <c r="C189" s="213" t="s">
        <v>85</v>
      </c>
      <c r="D189" s="212">
        <v>18</v>
      </c>
      <c r="E189" s="145"/>
      <c r="F189" s="32"/>
      <c r="G189" s="33" t="s">
        <v>412</v>
      </c>
      <c r="I189" s="22"/>
      <c r="J189" s="77"/>
      <c r="K189" s="78"/>
    </row>
    <row r="190" spans="1:11" s="34" customFormat="1" ht="19.149999999999999" customHeight="1">
      <c r="A190" s="210" t="s">
        <v>392</v>
      </c>
      <c r="B190" s="211" t="s">
        <v>457</v>
      </c>
      <c r="C190" s="213" t="s">
        <v>85</v>
      </c>
      <c r="D190" s="212">
        <v>20</v>
      </c>
      <c r="E190" s="145"/>
      <c r="F190" s="32"/>
      <c r="G190" s="33">
        <v>0</v>
      </c>
      <c r="I190" s="22"/>
      <c r="J190" s="77"/>
      <c r="K190" s="78"/>
    </row>
    <row r="191" spans="1:11" s="34" customFormat="1" ht="19.149999999999999" customHeight="1">
      <c r="A191" s="210" t="s">
        <v>392</v>
      </c>
      <c r="B191" s="211" t="s">
        <v>394</v>
      </c>
      <c r="C191" s="213" t="s">
        <v>85</v>
      </c>
      <c r="D191" s="212">
        <v>218</v>
      </c>
      <c r="E191" s="145"/>
      <c r="F191" s="32"/>
      <c r="G191" s="33">
        <v>0</v>
      </c>
      <c r="I191" s="22"/>
      <c r="J191" s="77"/>
      <c r="K191" s="78"/>
    </row>
    <row r="192" spans="1:11" s="34" customFormat="1" ht="19.149999999999999" customHeight="1">
      <c r="A192" s="210" t="s">
        <v>392</v>
      </c>
      <c r="B192" s="211" t="s">
        <v>393</v>
      </c>
      <c r="C192" s="213" t="s">
        <v>85</v>
      </c>
      <c r="D192" s="212">
        <v>18</v>
      </c>
      <c r="E192" s="145"/>
      <c r="F192" s="32"/>
      <c r="G192" s="33">
        <v>0</v>
      </c>
      <c r="I192" s="22"/>
      <c r="J192" s="77"/>
      <c r="K192" s="78"/>
    </row>
    <row r="193" spans="1:11" s="34" customFormat="1" ht="19.149999999999999" customHeight="1">
      <c r="A193" s="210" t="s">
        <v>459</v>
      </c>
      <c r="B193" s="211" t="s">
        <v>460</v>
      </c>
      <c r="C193" s="213" t="s">
        <v>85</v>
      </c>
      <c r="D193" s="212">
        <v>4</v>
      </c>
      <c r="E193" s="145"/>
      <c r="F193" s="32"/>
      <c r="G193" s="33" t="s">
        <v>530</v>
      </c>
      <c r="I193" s="22"/>
      <c r="J193" s="77"/>
      <c r="K193" s="78"/>
    </row>
    <row r="194" spans="1:11" s="34" customFormat="1" ht="19.149999999999999" customHeight="1">
      <c r="A194" s="210" t="s">
        <v>459</v>
      </c>
      <c r="B194" s="211" t="s">
        <v>461</v>
      </c>
      <c r="C194" s="213" t="s">
        <v>85</v>
      </c>
      <c r="D194" s="212">
        <v>6</v>
      </c>
      <c r="E194" s="145"/>
      <c r="F194" s="32"/>
      <c r="G194" s="33" t="s">
        <v>531</v>
      </c>
      <c r="I194" s="22"/>
      <c r="J194" s="77"/>
      <c r="K194" s="78"/>
    </row>
    <row r="195" spans="1:11" s="34" customFormat="1" ht="19.149999999999999" customHeight="1">
      <c r="A195" s="210" t="s">
        <v>459</v>
      </c>
      <c r="B195" s="211" t="s">
        <v>462</v>
      </c>
      <c r="C195" s="213" t="s">
        <v>85</v>
      </c>
      <c r="D195" s="212">
        <v>6</v>
      </c>
      <c r="E195" s="145"/>
      <c r="F195" s="32"/>
      <c r="G195" s="33" t="s">
        <v>532</v>
      </c>
      <c r="I195" s="22"/>
      <c r="J195" s="77"/>
      <c r="K195" s="78"/>
    </row>
    <row r="196" spans="1:11" s="34" customFormat="1" ht="19.149999999999999" customHeight="1">
      <c r="A196" s="210" t="s">
        <v>130</v>
      </c>
      <c r="B196" s="211" t="s">
        <v>464</v>
      </c>
      <c r="C196" s="213" t="s">
        <v>85</v>
      </c>
      <c r="D196" s="212">
        <v>2</v>
      </c>
      <c r="E196" s="145"/>
      <c r="F196" s="32"/>
      <c r="G196" s="33" t="s">
        <v>534</v>
      </c>
      <c r="I196" s="22"/>
      <c r="J196" s="77"/>
      <c r="K196" s="78"/>
    </row>
    <row r="197" spans="1:11" s="34" customFormat="1" ht="19.149999999999999" customHeight="1">
      <c r="A197" s="210" t="s">
        <v>465</v>
      </c>
      <c r="B197" s="211" t="s">
        <v>466</v>
      </c>
      <c r="C197" s="213" t="s">
        <v>85</v>
      </c>
      <c r="D197" s="212">
        <v>23</v>
      </c>
      <c r="E197" s="145"/>
      <c r="F197" s="32"/>
      <c r="G197" s="33" t="s">
        <v>535</v>
      </c>
      <c r="I197" s="22"/>
      <c r="J197" s="77"/>
      <c r="K197" s="78"/>
    </row>
    <row r="198" spans="1:11" s="34" customFormat="1" ht="19.149999999999999" customHeight="1">
      <c r="A198" s="210" t="s">
        <v>738</v>
      </c>
      <c r="B198" s="211"/>
      <c r="C198" s="213" t="s">
        <v>85</v>
      </c>
      <c r="D198" s="212">
        <v>2</v>
      </c>
      <c r="E198" s="145"/>
      <c r="F198" s="32"/>
      <c r="G198" s="33" t="s">
        <v>536</v>
      </c>
      <c r="I198" s="22"/>
      <c r="J198" s="77"/>
      <c r="K198" s="78"/>
    </row>
    <row r="199" spans="1:11" s="34" customFormat="1" ht="19.149999999999999" customHeight="1">
      <c r="A199" s="210" t="s">
        <v>468</v>
      </c>
      <c r="B199" s="211" t="s">
        <v>469</v>
      </c>
      <c r="C199" s="213" t="s">
        <v>85</v>
      </c>
      <c r="D199" s="215">
        <v>24</v>
      </c>
      <c r="E199" s="145"/>
      <c r="F199" s="32"/>
      <c r="G199" s="33" t="s">
        <v>537</v>
      </c>
      <c r="I199" s="22"/>
      <c r="J199" s="77"/>
      <c r="K199" s="78"/>
    </row>
    <row r="200" spans="1:11" s="34" customFormat="1" ht="19.149999999999999" customHeight="1">
      <c r="A200" s="210" t="s">
        <v>739</v>
      </c>
      <c r="B200" s="211" t="s">
        <v>469</v>
      </c>
      <c r="C200" s="213" t="s">
        <v>85</v>
      </c>
      <c r="D200" s="215">
        <v>6</v>
      </c>
      <c r="E200" s="145"/>
      <c r="F200" s="32"/>
      <c r="G200" s="33" t="s">
        <v>538</v>
      </c>
      <c r="I200" s="22"/>
      <c r="J200" s="77"/>
      <c r="K200" s="78"/>
    </row>
    <row r="201" spans="1:11" s="34" customFormat="1" ht="19.149999999999999" customHeight="1">
      <c r="A201" s="210" t="s">
        <v>470</v>
      </c>
      <c r="B201" s="211" t="s">
        <v>471</v>
      </c>
      <c r="C201" s="213" t="s">
        <v>85</v>
      </c>
      <c r="D201" s="215">
        <v>4</v>
      </c>
      <c r="E201" s="145"/>
      <c r="F201" s="32"/>
      <c r="G201" s="33" t="s">
        <v>539</v>
      </c>
      <c r="I201" s="22"/>
      <c r="J201" s="77"/>
      <c r="K201" s="78"/>
    </row>
    <row r="202" spans="1:11" s="34" customFormat="1" ht="19.149999999999999" customHeight="1">
      <c r="A202" s="210" t="s">
        <v>474</v>
      </c>
      <c r="B202" s="211" t="s">
        <v>475</v>
      </c>
      <c r="C202" s="213" t="s">
        <v>85</v>
      </c>
      <c r="D202" s="215">
        <v>18</v>
      </c>
      <c r="E202" s="145"/>
      <c r="F202" s="32"/>
      <c r="G202" s="33" t="s">
        <v>541</v>
      </c>
      <c r="I202" s="22"/>
      <c r="J202" s="77"/>
      <c r="K202" s="78"/>
    </row>
    <row r="203" spans="1:11" s="34" customFormat="1" ht="19.149999999999999" customHeight="1">
      <c r="A203" s="210" t="s">
        <v>476</v>
      </c>
      <c r="B203" s="211" t="s">
        <v>477</v>
      </c>
      <c r="C203" s="213" t="s">
        <v>85</v>
      </c>
      <c r="D203" s="215">
        <v>19</v>
      </c>
      <c r="E203" s="145"/>
      <c r="F203" s="32"/>
      <c r="G203" s="33" t="s">
        <v>542</v>
      </c>
      <c r="I203" s="22"/>
      <c r="J203" s="77"/>
      <c r="K203" s="78"/>
    </row>
    <row r="204" spans="1:11" s="34" customFormat="1" ht="19.149999999999999" customHeight="1">
      <c r="A204" s="210" t="s">
        <v>740</v>
      </c>
      <c r="B204" s="211" t="s">
        <v>479</v>
      </c>
      <c r="C204" s="213" t="s">
        <v>85</v>
      </c>
      <c r="D204" s="215">
        <v>4</v>
      </c>
      <c r="E204" s="145"/>
      <c r="F204" s="32"/>
      <c r="G204" s="33" t="s">
        <v>543</v>
      </c>
      <c r="I204" s="22"/>
      <c r="J204" s="77"/>
      <c r="K204" s="78"/>
    </row>
    <row r="205" spans="1:11" s="34" customFormat="1" ht="19.149999999999999" customHeight="1">
      <c r="A205" s="210" t="s">
        <v>741</v>
      </c>
      <c r="B205" s="211" t="s">
        <v>479</v>
      </c>
      <c r="C205" s="213" t="s">
        <v>85</v>
      </c>
      <c r="D205" s="215">
        <v>4</v>
      </c>
      <c r="E205" s="145"/>
      <c r="F205" s="32"/>
      <c r="G205" s="33" t="s">
        <v>544</v>
      </c>
      <c r="I205" s="22"/>
      <c r="J205" s="77"/>
      <c r="K205" s="78"/>
    </row>
    <row r="206" spans="1:11" s="34" customFormat="1" ht="19.149999999999999" customHeight="1">
      <c r="A206" s="210" t="s">
        <v>481</v>
      </c>
      <c r="B206" s="211" t="s">
        <v>482</v>
      </c>
      <c r="C206" s="213" t="s">
        <v>85</v>
      </c>
      <c r="D206" s="215">
        <v>8</v>
      </c>
      <c r="E206" s="145"/>
      <c r="F206" s="32"/>
      <c r="G206" s="33" t="s">
        <v>545</v>
      </c>
      <c r="I206" s="22"/>
      <c r="J206" s="77"/>
      <c r="K206" s="78"/>
    </row>
    <row r="207" spans="1:11" s="34" customFormat="1" ht="19.149999999999999" customHeight="1">
      <c r="A207" s="210" t="s">
        <v>757</v>
      </c>
      <c r="B207" s="211" t="s">
        <v>488</v>
      </c>
      <c r="C207" s="213" t="s">
        <v>85</v>
      </c>
      <c r="D207" s="215">
        <v>3</v>
      </c>
      <c r="E207" s="145"/>
      <c r="F207" s="32"/>
      <c r="G207" s="33" t="s">
        <v>548</v>
      </c>
      <c r="I207" s="22"/>
      <c r="J207" s="77"/>
      <c r="K207" s="78"/>
    </row>
    <row r="208" spans="1:11" s="34" customFormat="1" ht="19.149999999999999" customHeight="1">
      <c r="A208" s="210" t="s">
        <v>490</v>
      </c>
      <c r="B208" s="211" t="s">
        <v>491</v>
      </c>
      <c r="C208" s="213" t="s">
        <v>85</v>
      </c>
      <c r="D208" s="215">
        <v>70</v>
      </c>
      <c r="E208" s="145"/>
      <c r="F208" s="32"/>
      <c r="G208" s="33" t="s">
        <v>549</v>
      </c>
      <c r="I208" s="22"/>
      <c r="J208" s="77"/>
      <c r="K208" s="78"/>
    </row>
    <row r="209" spans="1:11" s="34" customFormat="1" ht="19.149999999999999" customHeight="1">
      <c r="A209" s="210" t="s">
        <v>494</v>
      </c>
      <c r="B209" s="211" t="s">
        <v>495</v>
      </c>
      <c r="C209" s="213" t="s">
        <v>85</v>
      </c>
      <c r="D209" s="215">
        <v>64</v>
      </c>
      <c r="E209" s="145"/>
      <c r="F209" s="32"/>
      <c r="G209" s="33" t="s">
        <v>551</v>
      </c>
      <c r="I209" s="22"/>
      <c r="J209" s="77"/>
      <c r="K209" s="78"/>
    </row>
    <row r="210" spans="1:11" s="34" customFormat="1" ht="19.149999999999999" customHeight="1">
      <c r="A210" s="210" t="s">
        <v>498</v>
      </c>
      <c r="B210" s="211" t="s">
        <v>499</v>
      </c>
      <c r="C210" s="213" t="s">
        <v>85</v>
      </c>
      <c r="D210" s="215">
        <v>10</v>
      </c>
      <c r="E210" s="145"/>
      <c r="F210" s="32"/>
      <c r="G210" s="33" t="s">
        <v>553</v>
      </c>
      <c r="I210" s="22"/>
      <c r="J210" s="77"/>
      <c r="K210" s="78"/>
    </row>
    <row r="211" spans="1:11" s="34" customFormat="1" ht="19.149999999999999" customHeight="1">
      <c r="A211" s="210" t="s">
        <v>500</v>
      </c>
      <c r="B211" s="211" t="s">
        <v>501</v>
      </c>
      <c r="C211" s="213" t="s">
        <v>85</v>
      </c>
      <c r="D211" s="215">
        <v>93</v>
      </c>
      <c r="E211" s="145"/>
      <c r="F211" s="32"/>
      <c r="G211" s="33" t="s">
        <v>554</v>
      </c>
      <c r="I211" s="22"/>
      <c r="J211" s="77"/>
      <c r="K211" s="78"/>
    </row>
    <row r="212" spans="1:11" s="34" customFormat="1" ht="19.149999999999999" customHeight="1">
      <c r="A212" s="210" t="s">
        <v>397</v>
      </c>
      <c r="B212" s="211" t="s">
        <v>398</v>
      </c>
      <c r="C212" s="213" t="s">
        <v>85</v>
      </c>
      <c r="D212" s="215">
        <v>30</v>
      </c>
      <c r="E212" s="145"/>
      <c r="F212" s="32"/>
      <c r="G212" s="33" t="s">
        <v>415</v>
      </c>
      <c r="I212" s="22"/>
      <c r="J212" s="77"/>
      <c r="K212" s="78"/>
    </row>
    <row r="213" spans="1:11" s="34" customFormat="1" ht="19.149999999999999" customHeight="1">
      <c r="A213" s="210" t="s">
        <v>506</v>
      </c>
      <c r="B213" s="211" t="s">
        <v>507</v>
      </c>
      <c r="C213" s="213" t="s">
        <v>177</v>
      </c>
      <c r="D213" s="215">
        <v>80</v>
      </c>
      <c r="E213" s="145"/>
      <c r="F213" s="32"/>
      <c r="G213" s="33" t="s">
        <v>559</v>
      </c>
      <c r="I213" s="22"/>
      <c r="J213" s="77"/>
      <c r="K213" s="78"/>
    </row>
    <row r="214" spans="1:11" s="34" customFormat="1" ht="19.149999999999999" customHeight="1">
      <c r="A214" s="210" t="s">
        <v>506</v>
      </c>
      <c r="B214" s="211" t="s">
        <v>508</v>
      </c>
      <c r="C214" s="213" t="s">
        <v>177</v>
      </c>
      <c r="D214" s="215">
        <v>80</v>
      </c>
      <c r="E214" s="145"/>
      <c r="F214" s="32"/>
      <c r="G214" s="33">
        <v>0</v>
      </c>
      <c r="I214" s="22"/>
      <c r="J214" s="77"/>
      <c r="K214" s="78"/>
    </row>
    <row r="215" spans="1:11" s="34" customFormat="1" ht="19.149999999999999" customHeight="1">
      <c r="A215" s="210" t="s">
        <v>506</v>
      </c>
      <c r="B215" s="211" t="s">
        <v>509</v>
      </c>
      <c r="C215" s="213" t="s">
        <v>85</v>
      </c>
      <c r="D215" s="215">
        <v>26</v>
      </c>
      <c r="E215" s="145"/>
      <c r="F215" s="32"/>
      <c r="G215" s="33">
        <v>0</v>
      </c>
      <c r="I215" s="22"/>
      <c r="J215" s="77"/>
      <c r="K215" s="78"/>
    </row>
    <row r="216" spans="1:11" s="34" customFormat="1" ht="19.149999999999999" customHeight="1">
      <c r="A216" s="210" t="s">
        <v>506</v>
      </c>
      <c r="B216" s="211" t="s">
        <v>510</v>
      </c>
      <c r="C216" s="213" t="s">
        <v>85</v>
      </c>
      <c r="D216" s="215">
        <v>1</v>
      </c>
      <c r="E216" s="145"/>
      <c r="F216" s="32"/>
      <c r="G216" s="33" t="s">
        <v>560</v>
      </c>
      <c r="I216" s="22"/>
      <c r="J216" s="77"/>
      <c r="K216" s="78"/>
    </row>
    <row r="217" spans="1:11" s="34" customFormat="1" ht="19.149999999999999" customHeight="1">
      <c r="A217" s="210" t="s">
        <v>506</v>
      </c>
      <c r="B217" s="211" t="s">
        <v>512</v>
      </c>
      <c r="C217" s="213" t="s">
        <v>85</v>
      </c>
      <c r="D217" s="215">
        <v>2</v>
      </c>
      <c r="E217" s="145"/>
      <c r="F217" s="32"/>
      <c r="G217" s="33">
        <v>0</v>
      </c>
      <c r="I217" s="22"/>
      <c r="J217" s="77"/>
      <c r="K217" s="78"/>
    </row>
    <row r="218" spans="1:11" s="34" customFormat="1" ht="19.149999999999999" customHeight="1">
      <c r="A218" s="210" t="s">
        <v>506</v>
      </c>
      <c r="B218" s="211" t="s">
        <v>513</v>
      </c>
      <c r="C218" s="213" t="s">
        <v>85</v>
      </c>
      <c r="D218" s="215">
        <v>3</v>
      </c>
      <c r="E218" s="145"/>
      <c r="F218" s="32"/>
      <c r="G218" s="33">
        <v>0</v>
      </c>
      <c r="I218" s="22"/>
      <c r="J218" s="77"/>
      <c r="K218" s="78"/>
    </row>
    <row r="219" spans="1:11" s="34" customFormat="1" ht="19.149999999999999" customHeight="1">
      <c r="A219" s="210" t="s">
        <v>506</v>
      </c>
      <c r="B219" s="211" t="s">
        <v>514</v>
      </c>
      <c r="C219" s="213" t="s">
        <v>85</v>
      </c>
      <c r="D219" s="215">
        <v>40</v>
      </c>
      <c r="E219" s="145"/>
      <c r="F219" s="32"/>
      <c r="G219" s="33">
        <v>0</v>
      </c>
      <c r="I219" s="22"/>
      <c r="J219" s="77"/>
      <c r="K219" s="78"/>
    </row>
    <row r="220" spans="1:11" s="34" customFormat="1" ht="19.149999999999999" customHeight="1">
      <c r="A220" s="210" t="s">
        <v>506</v>
      </c>
      <c r="B220" s="211" t="s">
        <v>511</v>
      </c>
      <c r="C220" s="213" t="s">
        <v>85</v>
      </c>
      <c r="D220" s="215">
        <v>48</v>
      </c>
      <c r="E220" s="145"/>
      <c r="F220" s="32"/>
      <c r="G220" s="33">
        <v>0</v>
      </c>
      <c r="I220" s="22"/>
      <c r="J220" s="77"/>
      <c r="K220" s="78"/>
    </row>
    <row r="221" spans="1:11" s="34" customFormat="1" ht="19.149999999999999" customHeight="1">
      <c r="A221" s="210" t="s">
        <v>515</v>
      </c>
      <c r="B221" s="211" t="s">
        <v>516</v>
      </c>
      <c r="C221" s="213" t="s">
        <v>6</v>
      </c>
      <c r="D221" s="215">
        <v>40</v>
      </c>
      <c r="E221" s="145"/>
      <c r="F221" s="32"/>
      <c r="G221" s="33" t="s">
        <v>244</v>
      </c>
      <c r="I221" s="22"/>
      <c r="J221" s="77"/>
      <c r="K221" s="78"/>
    </row>
    <row r="222" spans="1:11" s="34" customFormat="1" ht="19.149999999999999" customHeight="1">
      <c r="A222" s="178"/>
      <c r="B222" s="179"/>
      <c r="C222" s="178"/>
      <c r="D222" s="180"/>
      <c r="E222" s="145"/>
      <c r="F222" s="32"/>
      <c r="G222" s="33"/>
      <c r="I222" s="22"/>
      <c r="J222" s="77"/>
      <c r="K222" s="78"/>
    </row>
    <row r="223" spans="1:11" s="34" customFormat="1" ht="19.149999999999999" customHeight="1">
      <c r="A223" s="178"/>
      <c r="B223" s="179"/>
      <c r="C223" s="178"/>
      <c r="D223" s="180"/>
      <c r="E223" s="145"/>
      <c r="F223" s="32"/>
      <c r="G223" s="33"/>
      <c r="I223" s="22"/>
      <c r="J223" s="77"/>
      <c r="K223" s="78"/>
    </row>
    <row r="224" spans="1:11" s="34" customFormat="1" ht="19.149999999999999" customHeight="1">
      <c r="A224" s="178"/>
      <c r="B224" s="179"/>
      <c r="C224" s="178"/>
      <c r="D224" s="180"/>
      <c r="E224" s="145"/>
      <c r="F224" s="32"/>
      <c r="G224" s="33"/>
      <c r="I224" s="22"/>
      <c r="J224" s="77"/>
      <c r="K224" s="78"/>
    </row>
    <row r="225" spans="1:11" s="34" customFormat="1" ht="19.149999999999999" customHeight="1">
      <c r="A225" s="178"/>
      <c r="B225" s="179"/>
      <c r="C225" s="178"/>
      <c r="D225" s="180"/>
      <c r="E225" s="145"/>
      <c r="F225" s="32"/>
      <c r="G225" s="33"/>
      <c r="I225" s="22"/>
      <c r="J225" s="77"/>
      <c r="K225" s="78"/>
    </row>
    <row r="226" spans="1:11" s="34" customFormat="1" ht="19.149999999999999" customHeight="1">
      <c r="A226" s="178"/>
      <c r="B226" s="179"/>
      <c r="C226" s="178"/>
      <c r="D226" s="180"/>
      <c r="E226" s="145"/>
      <c r="F226" s="32"/>
      <c r="G226" s="33"/>
      <c r="I226" s="22"/>
      <c r="J226" s="77"/>
      <c r="K226" s="78"/>
    </row>
    <row r="227" spans="1:11" s="34" customFormat="1" ht="19.149999999999999" customHeight="1">
      <c r="A227" s="182" t="s">
        <v>132</v>
      </c>
      <c r="B227" s="173"/>
      <c r="C227" s="175"/>
      <c r="D227" s="183"/>
      <c r="E227" s="145"/>
      <c r="F227" s="32"/>
      <c r="G227" s="33"/>
    </row>
    <row r="228" spans="1:11" s="34" customFormat="1" ht="19.149999999999999" customHeight="1">
      <c r="A228" s="178" t="s">
        <v>758</v>
      </c>
      <c r="B228" s="179"/>
      <c r="C228" s="178"/>
      <c r="D228" s="180"/>
      <c r="E228" s="145"/>
      <c r="F228" s="32"/>
      <c r="G228" s="33"/>
      <c r="I228" s="22"/>
      <c r="J228" s="77"/>
      <c r="K228" s="78"/>
    </row>
    <row r="229" spans="1:11" s="34" customFormat="1" ht="19.149999999999999" customHeight="1">
      <c r="A229" s="210" t="s">
        <v>359</v>
      </c>
      <c r="B229" s="211" t="s">
        <v>360</v>
      </c>
      <c r="C229" s="213" t="s">
        <v>177</v>
      </c>
      <c r="D229" s="212">
        <v>42</v>
      </c>
      <c r="E229" s="145"/>
      <c r="F229" s="32"/>
      <c r="G229" s="33" t="s">
        <v>367</v>
      </c>
      <c r="I229" s="22"/>
      <c r="J229" s="77"/>
      <c r="K229" s="78"/>
    </row>
    <row r="230" spans="1:11" s="34" customFormat="1" ht="19.149999999999999" customHeight="1">
      <c r="A230" s="210" t="s">
        <v>562</v>
      </c>
      <c r="B230" s="211" t="s">
        <v>563</v>
      </c>
      <c r="C230" s="213" t="s">
        <v>177</v>
      </c>
      <c r="D230" s="212">
        <v>107</v>
      </c>
      <c r="E230" s="145"/>
      <c r="F230" s="32"/>
      <c r="G230" s="33" t="s">
        <v>690</v>
      </c>
      <c r="I230" s="22"/>
      <c r="J230" s="77"/>
      <c r="K230" s="78"/>
    </row>
    <row r="231" spans="1:11" s="34" customFormat="1" ht="19.149999999999999" customHeight="1">
      <c r="A231" s="210" t="s">
        <v>389</v>
      </c>
      <c r="B231" s="211" t="s">
        <v>390</v>
      </c>
      <c r="C231" s="213" t="s">
        <v>85</v>
      </c>
      <c r="D231" s="212">
        <v>5</v>
      </c>
      <c r="E231" s="145"/>
      <c r="F231" s="32"/>
      <c r="G231" s="33" t="s">
        <v>412</v>
      </c>
      <c r="I231" s="22"/>
      <c r="J231" s="77"/>
      <c r="K231" s="78"/>
    </row>
    <row r="232" spans="1:11" s="34" customFormat="1" ht="19.149999999999999" customHeight="1">
      <c r="A232" s="210" t="s">
        <v>392</v>
      </c>
      <c r="B232" s="211" t="s">
        <v>393</v>
      </c>
      <c r="C232" s="213" t="s">
        <v>85</v>
      </c>
      <c r="D232" s="212">
        <v>5</v>
      </c>
      <c r="E232" s="145"/>
      <c r="F232" s="32"/>
      <c r="G232" s="33"/>
      <c r="I232" s="22"/>
      <c r="J232" s="77"/>
      <c r="K232" s="78"/>
    </row>
    <row r="233" spans="1:11" s="34" customFormat="1" ht="19.149999999999999" customHeight="1">
      <c r="A233" s="210"/>
      <c r="B233" s="211"/>
      <c r="C233" s="213"/>
      <c r="D233" s="212"/>
      <c r="E233" s="145"/>
      <c r="F233" s="32"/>
      <c r="G233" s="33"/>
      <c r="I233" s="22"/>
      <c r="J233" s="77"/>
      <c r="K233" s="78"/>
    </row>
    <row r="234" spans="1:11" s="34" customFormat="1" ht="19.149999999999999" customHeight="1">
      <c r="A234" s="178"/>
      <c r="B234" s="179"/>
      <c r="C234" s="178"/>
      <c r="D234" s="180"/>
      <c r="E234" s="145"/>
      <c r="F234" s="32"/>
      <c r="G234" s="33"/>
      <c r="I234" s="22"/>
      <c r="J234" s="77"/>
      <c r="K234" s="78"/>
    </row>
    <row r="235" spans="1:11" s="34" customFormat="1" ht="19.149999999999999" customHeight="1">
      <c r="A235" s="178"/>
      <c r="B235" s="179"/>
      <c r="C235" s="178"/>
      <c r="D235" s="180"/>
      <c r="E235" s="145"/>
      <c r="F235" s="32"/>
      <c r="G235" s="33"/>
      <c r="I235" s="22"/>
      <c r="J235" s="77"/>
      <c r="K235" s="78"/>
    </row>
    <row r="236" spans="1:11" s="34" customFormat="1" ht="19.149999999999999" customHeight="1">
      <c r="A236" s="178"/>
      <c r="B236" s="179"/>
      <c r="C236" s="178"/>
      <c r="D236" s="180"/>
      <c r="E236" s="145"/>
      <c r="F236" s="32"/>
      <c r="G236" s="33"/>
      <c r="I236" s="22"/>
      <c r="J236" s="77"/>
      <c r="K236" s="78"/>
    </row>
    <row r="237" spans="1:11" s="34" customFormat="1" ht="19.149999999999999" customHeight="1">
      <c r="A237" s="178"/>
      <c r="B237" s="179"/>
      <c r="C237" s="178"/>
      <c r="D237" s="180"/>
      <c r="E237" s="145"/>
      <c r="F237" s="32"/>
      <c r="G237" s="33"/>
      <c r="I237" s="22"/>
      <c r="J237" s="77"/>
      <c r="K237" s="78"/>
    </row>
    <row r="238" spans="1:11" s="34" customFormat="1" ht="19.149999999999999" customHeight="1">
      <c r="A238" s="178"/>
      <c r="B238" s="179"/>
      <c r="C238" s="178"/>
      <c r="D238" s="180"/>
      <c r="E238" s="145"/>
      <c r="F238" s="32"/>
      <c r="G238" s="33"/>
      <c r="I238" s="22"/>
      <c r="J238" s="77"/>
      <c r="K238" s="78"/>
    </row>
    <row r="239" spans="1:11" s="34" customFormat="1" ht="19.149999999999999" customHeight="1">
      <c r="A239" s="178"/>
      <c r="B239" s="179"/>
      <c r="C239" s="178"/>
      <c r="D239" s="180"/>
      <c r="E239" s="145"/>
      <c r="F239" s="32"/>
      <c r="G239" s="33"/>
      <c r="I239" s="22"/>
      <c r="J239" s="77"/>
      <c r="K239" s="78"/>
    </row>
    <row r="240" spans="1:11" s="34" customFormat="1" ht="19.149999999999999" customHeight="1">
      <c r="A240" s="178"/>
      <c r="B240" s="179"/>
      <c r="C240" s="178"/>
      <c r="D240" s="180"/>
      <c r="E240" s="145"/>
      <c r="F240" s="32"/>
      <c r="G240" s="33"/>
      <c r="I240" s="22"/>
      <c r="J240" s="77"/>
      <c r="K240" s="78"/>
    </row>
    <row r="241" spans="1:11" s="34" customFormat="1" ht="19.149999999999999" customHeight="1">
      <c r="A241" s="178"/>
      <c r="B241" s="179"/>
      <c r="C241" s="178"/>
      <c r="D241" s="180"/>
      <c r="E241" s="145"/>
      <c r="F241" s="32"/>
      <c r="G241" s="33"/>
      <c r="I241" s="22"/>
      <c r="J241" s="77"/>
      <c r="K241" s="78"/>
    </row>
    <row r="242" spans="1:11" s="34" customFormat="1" ht="19.149999999999999" customHeight="1">
      <c r="A242" s="178"/>
      <c r="B242" s="179"/>
      <c r="C242" s="178"/>
      <c r="D242" s="180"/>
      <c r="E242" s="145"/>
      <c r="F242" s="32"/>
      <c r="G242" s="33"/>
      <c r="I242" s="22"/>
      <c r="J242" s="77"/>
      <c r="K242" s="78"/>
    </row>
    <row r="243" spans="1:11" s="34" customFormat="1" ht="19.149999999999999" customHeight="1">
      <c r="A243" s="178"/>
      <c r="B243" s="179"/>
      <c r="C243" s="178"/>
      <c r="D243" s="180"/>
      <c r="E243" s="145"/>
      <c r="F243" s="32"/>
      <c r="G243" s="33"/>
      <c r="I243" s="22"/>
      <c r="J243" s="77"/>
      <c r="K243" s="78"/>
    </row>
    <row r="244" spans="1:11" s="34" customFormat="1" ht="19.149999999999999" customHeight="1">
      <c r="A244" s="178"/>
      <c r="B244" s="179"/>
      <c r="C244" s="178"/>
      <c r="D244" s="180"/>
      <c r="E244" s="145"/>
      <c r="F244" s="32"/>
      <c r="G244" s="33"/>
      <c r="I244" s="22"/>
      <c r="J244" s="77"/>
      <c r="K244" s="78"/>
    </row>
    <row r="245" spans="1:11" s="34" customFormat="1" ht="19.149999999999999" customHeight="1">
      <c r="A245" s="178"/>
      <c r="B245" s="179"/>
      <c r="C245" s="178"/>
      <c r="D245" s="180"/>
      <c r="E245" s="145"/>
      <c r="F245" s="32"/>
      <c r="G245" s="33"/>
      <c r="I245" s="22"/>
      <c r="J245" s="77"/>
      <c r="K245" s="78"/>
    </row>
    <row r="246" spans="1:11" s="34" customFormat="1" ht="19.149999999999999" customHeight="1">
      <c r="A246" s="178"/>
      <c r="B246" s="179"/>
      <c r="C246" s="178"/>
      <c r="D246" s="180"/>
      <c r="E246" s="145"/>
      <c r="F246" s="32"/>
      <c r="G246" s="33"/>
      <c r="I246" s="22"/>
      <c r="J246" s="77"/>
      <c r="K246" s="78"/>
    </row>
    <row r="247" spans="1:11" s="34" customFormat="1" ht="19.149999999999999" customHeight="1">
      <c r="A247" s="178"/>
      <c r="B247" s="179"/>
      <c r="C247" s="178"/>
      <c r="D247" s="180"/>
      <c r="E247" s="145"/>
      <c r="F247" s="32"/>
      <c r="G247" s="33"/>
      <c r="I247" s="22"/>
      <c r="J247" s="77"/>
      <c r="K247" s="78"/>
    </row>
    <row r="248" spans="1:11" s="34" customFormat="1" ht="19.149999999999999" customHeight="1">
      <c r="A248" s="178"/>
      <c r="B248" s="179"/>
      <c r="C248" s="178"/>
      <c r="D248" s="180"/>
      <c r="E248" s="145"/>
      <c r="F248" s="32"/>
      <c r="G248" s="33"/>
      <c r="I248" s="22"/>
      <c r="J248" s="77"/>
      <c r="K248" s="78"/>
    </row>
    <row r="249" spans="1:11" s="34" customFormat="1" ht="19.149999999999999" customHeight="1">
      <c r="A249" s="178"/>
      <c r="B249" s="179"/>
      <c r="C249" s="178"/>
      <c r="D249" s="180"/>
      <c r="E249" s="145"/>
      <c r="F249" s="32"/>
      <c r="G249" s="33"/>
      <c r="I249" s="22"/>
      <c r="J249" s="77"/>
      <c r="K249" s="78"/>
    </row>
    <row r="250" spans="1:11" s="34" customFormat="1" ht="19.149999999999999" customHeight="1">
      <c r="A250" s="178"/>
      <c r="B250" s="179"/>
      <c r="C250" s="178"/>
      <c r="D250" s="180"/>
      <c r="E250" s="145"/>
      <c r="F250" s="32"/>
      <c r="G250" s="33"/>
      <c r="I250" s="22"/>
      <c r="J250" s="77"/>
      <c r="K250" s="78"/>
    </row>
    <row r="251" spans="1:11" s="34" customFormat="1" ht="19.149999999999999" customHeight="1">
      <c r="A251" s="178"/>
      <c r="B251" s="179"/>
      <c r="C251" s="178"/>
      <c r="D251" s="180"/>
      <c r="E251" s="145"/>
      <c r="F251" s="32"/>
      <c r="G251" s="33"/>
      <c r="I251" s="22"/>
      <c r="J251" s="77"/>
      <c r="K251" s="78"/>
    </row>
    <row r="252" spans="1:11" s="34" customFormat="1" ht="19.149999999999999" customHeight="1">
      <c r="A252" s="182" t="s">
        <v>132</v>
      </c>
      <c r="B252" s="173"/>
      <c r="C252" s="175"/>
      <c r="D252" s="183"/>
      <c r="E252" s="145"/>
      <c r="F252" s="32"/>
      <c r="G252" s="33"/>
    </row>
    <row r="253" spans="1:11" s="34" customFormat="1" ht="19.149999999999999" customHeight="1">
      <c r="A253" s="178" t="s">
        <v>759</v>
      </c>
      <c r="B253" s="179"/>
      <c r="C253" s="184"/>
      <c r="D253" s="185"/>
      <c r="E253" s="145"/>
      <c r="F253" s="32"/>
      <c r="G253" s="33"/>
    </row>
    <row r="254" spans="1:11" s="34" customFormat="1" ht="19.149999999999999" customHeight="1">
      <c r="A254" s="216" t="s">
        <v>359</v>
      </c>
      <c r="B254" s="216" t="s">
        <v>360</v>
      </c>
      <c r="C254" s="217" t="s">
        <v>177</v>
      </c>
      <c r="D254" s="217">
        <v>63</v>
      </c>
      <c r="E254" s="145"/>
      <c r="F254" s="32"/>
      <c r="G254" s="33" t="s">
        <v>367</v>
      </c>
    </row>
    <row r="255" spans="1:11" s="34" customFormat="1" ht="19.149999999999999" customHeight="1">
      <c r="A255" s="216" t="s">
        <v>564</v>
      </c>
      <c r="B255" s="216" t="s">
        <v>176</v>
      </c>
      <c r="C255" s="217" t="s">
        <v>177</v>
      </c>
      <c r="D255" s="217">
        <v>100</v>
      </c>
      <c r="E255" s="145"/>
      <c r="F255" s="32"/>
      <c r="G255" s="33" t="s">
        <v>219</v>
      </c>
    </row>
    <row r="256" spans="1:11" s="34" customFormat="1" ht="19.149999999999999" customHeight="1">
      <c r="A256" s="216" t="s">
        <v>362</v>
      </c>
      <c r="B256" s="216" t="s">
        <v>363</v>
      </c>
      <c r="C256" s="217" t="s">
        <v>177</v>
      </c>
      <c r="D256" s="217">
        <v>190</v>
      </c>
      <c r="E256" s="145"/>
      <c r="F256" s="32"/>
      <c r="G256" s="33" t="s">
        <v>369</v>
      </c>
    </row>
    <row r="257" spans="1:7" s="34" customFormat="1" ht="19.149999999999999" customHeight="1">
      <c r="A257" s="216" t="s">
        <v>251</v>
      </c>
      <c r="B257" s="216" t="s">
        <v>565</v>
      </c>
      <c r="C257" s="217" t="s">
        <v>177</v>
      </c>
      <c r="D257" s="217">
        <v>100</v>
      </c>
      <c r="E257" s="145"/>
      <c r="F257" s="32"/>
      <c r="G257" s="33" t="s">
        <v>568</v>
      </c>
    </row>
    <row r="258" spans="1:7" s="34" customFormat="1" ht="19.149999999999999" customHeight="1">
      <c r="A258" s="216" t="s">
        <v>384</v>
      </c>
      <c r="B258" s="216" t="s">
        <v>385</v>
      </c>
      <c r="C258" s="217" t="s">
        <v>177</v>
      </c>
      <c r="D258" s="217">
        <v>14</v>
      </c>
      <c r="E258" s="145"/>
      <c r="F258" s="32"/>
      <c r="G258" s="33" t="s">
        <v>408</v>
      </c>
    </row>
    <row r="259" spans="1:7" s="34" customFormat="1" ht="19.149999999999999" customHeight="1">
      <c r="A259" s="216" t="s">
        <v>397</v>
      </c>
      <c r="B259" s="216" t="s">
        <v>398</v>
      </c>
      <c r="C259" s="217" t="s">
        <v>85</v>
      </c>
      <c r="D259" s="217">
        <v>8</v>
      </c>
      <c r="E259" s="145"/>
      <c r="F259" s="32"/>
      <c r="G259" s="33" t="s">
        <v>415</v>
      </c>
    </row>
    <row r="260" spans="1:7" s="34" customFormat="1" ht="19.149999999999999" customHeight="1">
      <c r="A260" s="216" t="s">
        <v>566</v>
      </c>
      <c r="B260" s="216" t="s">
        <v>211</v>
      </c>
      <c r="C260" s="217" t="s">
        <v>127</v>
      </c>
      <c r="D260" s="217">
        <v>60</v>
      </c>
      <c r="E260" s="145"/>
      <c r="F260" s="32"/>
      <c r="G260" s="33"/>
    </row>
    <row r="261" spans="1:7" s="34" customFormat="1" ht="19.149999999999999" customHeight="1">
      <c r="A261" s="216" t="s">
        <v>567</v>
      </c>
      <c r="B261" s="216" t="s">
        <v>211</v>
      </c>
      <c r="C261" s="217" t="s">
        <v>127</v>
      </c>
      <c r="D261" s="217">
        <v>60</v>
      </c>
      <c r="E261" s="145"/>
      <c r="F261" s="32"/>
      <c r="G261" s="33"/>
    </row>
    <row r="262" spans="1:7" s="34" customFormat="1" ht="19.149999999999999" customHeight="1">
      <c r="A262" s="148"/>
      <c r="B262" s="148"/>
      <c r="C262" s="157"/>
      <c r="D262" s="158"/>
      <c r="E262" s="145"/>
      <c r="F262" s="32"/>
      <c r="G262" s="33"/>
    </row>
    <row r="263" spans="1:7" s="34" customFormat="1" ht="19.149999999999999" customHeight="1">
      <c r="A263" s="148"/>
      <c r="B263" s="148"/>
      <c r="C263" s="157"/>
      <c r="D263" s="158"/>
      <c r="E263" s="145"/>
      <c r="F263" s="32"/>
      <c r="G263" s="33"/>
    </row>
    <row r="264" spans="1:7" s="34" customFormat="1" ht="19.149999999999999" customHeight="1">
      <c r="A264" s="148"/>
      <c r="B264" s="148"/>
      <c r="C264" s="157"/>
      <c r="D264" s="158"/>
      <c r="E264" s="145"/>
      <c r="F264" s="32"/>
      <c r="G264" s="33"/>
    </row>
    <row r="265" spans="1:7" s="34" customFormat="1" ht="19.149999999999999" customHeight="1">
      <c r="A265" s="148"/>
      <c r="B265" s="148"/>
      <c r="C265" s="157"/>
      <c r="D265" s="158"/>
      <c r="E265" s="145"/>
      <c r="F265" s="32"/>
      <c r="G265" s="33"/>
    </row>
    <row r="266" spans="1:7" s="34" customFormat="1" ht="19.149999999999999" customHeight="1">
      <c r="A266" s="148"/>
      <c r="B266" s="148"/>
      <c r="C266" s="157"/>
      <c r="D266" s="158"/>
      <c r="E266" s="145"/>
      <c r="F266" s="32"/>
      <c r="G266" s="33"/>
    </row>
    <row r="267" spans="1:7" s="34" customFormat="1" ht="19.149999999999999" customHeight="1">
      <c r="A267" s="148"/>
      <c r="B267" s="148"/>
      <c r="C267" s="157"/>
      <c r="D267" s="158"/>
      <c r="E267" s="145"/>
      <c r="F267" s="32"/>
      <c r="G267" s="33"/>
    </row>
    <row r="268" spans="1:7" s="34" customFormat="1" ht="19.149999999999999" customHeight="1">
      <c r="A268" s="148"/>
      <c r="B268" s="148"/>
      <c r="C268" s="157"/>
      <c r="D268" s="158"/>
      <c r="E268" s="145"/>
      <c r="F268" s="32"/>
      <c r="G268" s="33"/>
    </row>
    <row r="269" spans="1:7" s="34" customFormat="1" ht="19.149999999999999" customHeight="1">
      <c r="A269" s="148"/>
      <c r="B269" s="148"/>
      <c r="C269" s="157"/>
      <c r="D269" s="158"/>
      <c r="E269" s="145"/>
      <c r="F269" s="32"/>
      <c r="G269" s="33"/>
    </row>
    <row r="270" spans="1:7" s="34" customFormat="1" ht="19.149999999999999" customHeight="1">
      <c r="A270" s="148"/>
      <c r="B270" s="148"/>
      <c r="C270" s="157"/>
      <c r="D270" s="158"/>
      <c r="E270" s="145"/>
      <c r="F270" s="32"/>
      <c r="G270" s="33"/>
    </row>
    <row r="271" spans="1:7" s="34" customFormat="1" ht="19.149999999999999" customHeight="1">
      <c r="A271" s="148"/>
      <c r="B271" s="148"/>
      <c r="C271" s="157"/>
      <c r="D271" s="158"/>
      <c r="E271" s="145"/>
      <c r="F271" s="32"/>
      <c r="G271" s="33"/>
    </row>
    <row r="272" spans="1:7" s="34" customFormat="1" ht="19.149999999999999" customHeight="1">
      <c r="A272" s="148"/>
      <c r="B272" s="148"/>
      <c r="C272" s="157"/>
      <c r="D272" s="158"/>
      <c r="E272" s="145"/>
      <c r="F272" s="32"/>
      <c r="G272" s="33"/>
    </row>
    <row r="273" spans="1:7" s="34" customFormat="1" ht="19.149999999999999" customHeight="1">
      <c r="A273" s="148"/>
      <c r="B273" s="148"/>
      <c r="C273" s="157"/>
      <c r="D273" s="158"/>
      <c r="E273" s="145"/>
      <c r="F273" s="32"/>
      <c r="G273" s="33"/>
    </row>
    <row r="274" spans="1:7" s="34" customFormat="1" ht="19.149999999999999" customHeight="1">
      <c r="A274" s="148"/>
      <c r="B274" s="148"/>
      <c r="C274" s="157"/>
      <c r="D274" s="158"/>
      <c r="E274" s="145"/>
      <c r="F274" s="32"/>
      <c r="G274" s="33"/>
    </row>
    <row r="275" spans="1:7" s="34" customFormat="1" ht="19.149999999999999" customHeight="1">
      <c r="A275" s="148"/>
      <c r="B275" s="148"/>
      <c r="C275" s="157"/>
      <c r="D275" s="158"/>
      <c r="E275" s="145"/>
      <c r="F275" s="32"/>
      <c r="G275" s="33"/>
    </row>
    <row r="276" spans="1:7" s="34" customFormat="1" ht="19.149999999999999" customHeight="1">
      <c r="A276" s="148"/>
      <c r="B276" s="148"/>
      <c r="C276" s="157"/>
      <c r="D276" s="158"/>
      <c r="E276" s="145"/>
      <c r="F276" s="32"/>
      <c r="G276" s="33"/>
    </row>
    <row r="277" spans="1:7" s="34" customFormat="1" ht="19.149999999999999" customHeight="1">
      <c r="A277" s="182" t="s">
        <v>132</v>
      </c>
      <c r="B277" s="173"/>
      <c r="C277" s="175"/>
      <c r="D277" s="183"/>
      <c r="E277" s="145"/>
      <c r="F277" s="32"/>
      <c r="G277" s="33"/>
    </row>
    <row r="278" spans="1:7" s="34" customFormat="1" ht="19.149999999999999" customHeight="1">
      <c r="A278" s="178" t="s">
        <v>760</v>
      </c>
      <c r="B278" s="173"/>
      <c r="C278" s="175"/>
      <c r="D278" s="183"/>
      <c r="E278" s="145"/>
      <c r="F278" s="32"/>
      <c r="G278" s="33"/>
    </row>
    <row r="279" spans="1:7" s="34" customFormat="1" ht="19.149999999999999" customHeight="1">
      <c r="A279" s="209" t="s">
        <v>359</v>
      </c>
      <c r="B279" s="173" t="s">
        <v>361</v>
      </c>
      <c r="C279" s="175" t="s">
        <v>177</v>
      </c>
      <c r="D279" s="183">
        <v>288</v>
      </c>
      <c r="E279" s="145"/>
      <c r="F279" s="32"/>
      <c r="G279" s="33" t="s">
        <v>368</v>
      </c>
    </row>
    <row r="280" spans="1:7" s="34" customFormat="1" ht="19.149999999999999" customHeight="1">
      <c r="A280" s="209" t="s">
        <v>362</v>
      </c>
      <c r="B280" s="173" t="s">
        <v>363</v>
      </c>
      <c r="C280" s="175" t="s">
        <v>177</v>
      </c>
      <c r="D280" s="183">
        <v>865</v>
      </c>
      <c r="E280" s="145"/>
      <c r="F280" s="32"/>
      <c r="G280" s="33" t="s">
        <v>369</v>
      </c>
    </row>
    <row r="281" spans="1:7" s="34" customFormat="1" ht="19.149999999999999" customHeight="1">
      <c r="A281" s="209" t="s">
        <v>389</v>
      </c>
      <c r="B281" s="173" t="s">
        <v>456</v>
      </c>
      <c r="C281" s="175" t="s">
        <v>85</v>
      </c>
      <c r="D281" s="183">
        <v>45</v>
      </c>
      <c r="E281" s="145"/>
      <c r="F281" s="32"/>
      <c r="G281" s="33" t="s">
        <v>529</v>
      </c>
    </row>
    <row r="282" spans="1:7" s="34" customFormat="1" ht="19.149999999999999" customHeight="1">
      <c r="A282" s="209" t="s">
        <v>395</v>
      </c>
      <c r="B282" s="173" t="s">
        <v>570</v>
      </c>
      <c r="C282" s="175" t="s">
        <v>85</v>
      </c>
      <c r="D282" s="183">
        <v>2</v>
      </c>
      <c r="E282" s="145"/>
      <c r="F282" s="32"/>
      <c r="G282" s="33" t="s">
        <v>584</v>
      </c>
    </row>
    <row r="283" spans="1:7" s="34" customFormat="1" ht="19.149999999999999" customHeight="1">
      <c r="A283" s="209" t="s">
        <v>395</v>
      </c>
      <c r="B283" s="173" t="s">
        <v>396</v>
      </c>
      <c r="C283" s="175" t="s">
        <v>85</v>
      </c>
      <c r="D283" s="183">
        <v>27</v>
      </c>
      <c r="E283" s="145"/>
      <c r="F283" s="32"/>
      <c r="G283" s="33" t="s">
        <v>414</v>
      </c>
    </row>
    <row r="284" spans="1:7" s="34" customFormat="1" ht="19.149999999999999" customHeight="1">
      <c r="A284" s="209" t="s">
        <v>571</v>
      </c>
      <c r="B284" s="173" t="s">
        <v>572</v>
      </c>
      <c r="C284" s="175" t="s">
        <v>85</v>
      </c>
      <c r="D284" s="183">
        <v>1</v>
      </c>
      <c r="E284" s="145"/>
      <c r="F284" s="32"/>
      <c r="G284" s="33" t="s">
        <v>585</v>
      </c>
    </row>
    <row r="285" spans="1:7" s="34" customFormat="1" ht="19.149999999999999" customHeight="1">
      <c r="A285" s="209" t="s">
        <v>571</v>
      </c>
      <c r="B285" s="173" t="s">
        <v>573</v>
      </c>
      <c r="C285" s="175" t="s">
        <v>85</v>
      </c>
      <c r="D285" s="183">
        <v>2</v>
      </c>
      <c r="E285" s="145"/>
      <c r="F285" s="32"/>
      <c r="G285" s="33" t="s">
        <v>586</v>
      </c>
    </row>
    <row r="286" spans="1:7" s="34" customFormat="1" ht="19.149999999999999" customHeight="1">
      <c r="A286" s="209" t="s">
        <v>122</v>
      </c>
      <c r="B286" s="173" t="s">
        <v>576</v>
      </c>
      <c r="C286" s="175" t="s">
        <v>85</v>
      </c>
      <c r="D286" s="183">
        <v>13</v>
      </c>
      <c r="E286" s="145"/>
      <c r="F286" s="32"/>
      <c r="G286" s="33" t="s">
        <v>588</v>
      </c>
    </row>
    <row r="287" spans="1:7" s="34" customFormat="1" ht="19.149999999999999" customHeight="1">
      <c r="A287" s="182"/>
      <c r="B287" s="173"/>
      <c r="C287" s="175"/>
      <c r="D287" s="183"/>
      <c r="E287" s="145"/>
      <c r="F287" s="32"/>
      <c r="G287" s="33"/>
    </row>
    <row r="288" spans="1:7" s="34" customFormat="1" ht="19.149999999999999" customHeight="1">
      <c r="A288" s="182"/>
      <c r="B288" s="173"/>
      <c r="C288" s="175"/>
      <c r="D288" s="183"/>
      <c r="E288" s="145"/>
      <c r="F288" s="32"/>
      <c r="G288" s="33"/>
    </row>
    <row r="289" spans="1:7" s="34" customFormat="1" ht="19.149999999999999" customHeight="1">
      <c r="A289" s="182"/>
      <c r="B289" s="173"/>
      <c r="C289" s="175"/>
      <c r="D289" s="183"/>
      <c r="E289" s="145"/>
      <c r="F289" s="32"/>
      <c r="G289" s="33"/>
    </row>
    <row r="290" spans="1:7" s="34" customFormat="1" ht="19.149999999999999" customHeight="1">
      <c r="A290" s="182"/>
      <c r="B290" s="173"/>
      <c r="C290" s="175"/>
      <c r="D290" s="183"/>
      <c r="E290" s="145"/>
      <c r="F290" s="32"/>
      <c r="G290" s="33"/>
    </row>
    <row r="291" spans="1:7" s="34" customFormat="1" ht="19.149999999999999" customHeight="1">
      <c r="A291" s="182"/>
      <c r="B291" s="173"/>
      <c r="C291" s="175"/>
      <c r="D291" s="183"/>
      <c r="E291" s="145"/>
      <c r="F291" s="32"/>
      <c r="G291" s="33"/>
    </row>
    <row r="292" spans="1:7" s="34" customFormat="1" ht="19.149999999999999" customHeight="1">
      <c r="A292" s="182"/>
      <c r="B292" s="173"/>
      <c r="C292" s="175"/>
      <c r="D292" s="183"/>
      <c r="E292" s="145"/>
      <c r="F292" s="32"/>
      <c r="G292" s="33"/>
    </row>
    <row r="293" spans="1:7" s="34" customFormat="1" ht="19.149999999999999" customHeight="1">
      <c r="A293" s="182"/>
      <c r="B293" s="173"/>
      <c r="C293" s="175"/>
      <c r="D293" s="183"/>
      <c r="E293" s="145"/>
      <c r="F293" s="32"/>
      <c r="G293" s="33"/>
    </row>
    <row r="294" spans="1:7" s="34" customFormat="1" ht="19.149999999999999" customHeight="1">
      <c r="A294" s="182"/>
      <c r="B294" s="173"/>
      <c r="C294" s="175"/>
      <c r="D294" s="183"/>
      <c r="E294" s="145"/>
      <c r="F294" s="32"/>
      <c r="G294" s="33"/>
    </row>
    <row r="295" spans="1:7" s="34" customFormat="1" ht="19.149999999999999" customHeight="1">
      <c r="A295" s="182"/>
      <c r="B295" s="173"/>
      <c r="C295" s="175"/>
      <c r="D295" s="183"/>
      <c r="E295" s="145"/>
      <c r="F295" s="32"/>
      <c r="G295" s="33"/>
    </row>
    <row r="296" spans="1:7" s="34" customFormat="1" ht="19.149999999999999" customHeight="1">
      <c r="A296" s="182"/>
      <c r="B296" s="173"/>
      <c r="C296" s="175"/>
      <c r="D296" s="183"/>
      <c r="E296" s="145"/>
      <c r="F296" s="32"/>
      <c r="G296" s="33"/>
    </row>
    <row r="297" spans="1:7" s="34" customFormat="1" ht="19.149999999999999" customHeight="1">
      <c r="A297" s="182"/>
      <c r="B297" s="173"/>
      <c r="C297" s="175"/>
      <c r="D297" s="183"/>
      <c r="E297" s="145"/>
      <c r="F297" s="32"/>
      <c r="G297" s="33"/>
    </row>
    <row r="298" spans="1:7" s="34" customFormat="1" ht="19.149999999999999" customHeight="1">
      <c r="A298" s="182"/>
      <c r="B298" s="173"/>
      <c r="C298" s="175"/>
      <c r="D298" s="183"/>
      <c r="E298" s="145"/>
      <c r="F298" s="32"/>
      <c r="G298" s="33"/>
    </row>
    <row r="299" spans="1:7" s="34" customFormat="1" ht="19.149999999999999" customHeight="1">
      <c r="A299" s="182"/>
      <c r="B299" s="173"/>
      <c r="C299" s="175"/>
      <c r="D299" s="183"/>
      <c r="E299" s="145"/>
      <c r="F299" s="32"/>
      <c r="G299" s="33"/>
    </row>
    <row r="300" spans="1:7" s="34" customFormat="1" ht="19.149999999999999" customHeight="1">
      <c r="A300" s="182"/>
      <c r="B300" s="173"/>
      <c r="C300" s="175"/>
      <c r="D300" s="183"/>
      <c r="E300" s="145"/>
      <c r="F300" s="32"/>
      <c r="G300" s="33"/>
    </row>
    <row r="301" spans="1:7" s="34" customFormat="1" ht="19.149999999999999" customHeight="1">
      <c r="A301" s="182"/>
      <c r="B301" s="173"/>
      <c r="C301" s="175"/>
      <c r="D301" s="183"/>
      <c r="E301" s="145"/>
      <c r="F301" s="32"/>
      <c r="G301" s="33"/>
    </row>
    <row r="302" spans="1:7" s="34" customFormat="1" ht="19.149999999999999" customHeight="1">
      <c r="A302" s="182" t="s">
        <v>132</v>
      </c>
      <c r="B302" s="173"/>
      <c r="C302" s="175"/>
      <c r="D302" s="183"/>
      <c r="E302" s="145"/>
      <c r="F302" s="32"/>
      <c r="G302" s="33"/>
    </row>
    <row r="303" spans="1:7" s="34" customFormat="1" ht="19.149999999999999" customHeight="1">
      <c r="A303" s="178" t="s">
        <v>780</v>
      </c>
      <c r="B303" s="179"/>
      <c r="C303" s="184" t="s">
        <v>86</v>
      </c>
      <c r="D303" s="185">
        <v>1</v>
      </c>
      <c r="E303" s="145"/>
      <c r="F303" s="32"/>
      <c r="G303" s="33"/>
    </row>
    <row r="304" spans="1:7" s="34" customFormat="1" ht="19.149999999999999" customHeight="1">
      <c r="A304" s="187" t="s">
        <v>781</v>
      </c>
      <c r="B304" s="186"/>
      <c r="C304" s="184" t="s">
        <v>86</v>
      </c>
      <c r="D304" s="185">
        <v>1</v>
      </c>
      <c r="E304" s="145"/>
      <c r="F304" s="32"/>
      <c r="G304" s="33"/>
    </row>
    <row r="305" spans="1:7" s="34" customFormat="1" ht="19.149999999999999" customHeight="1">
      <c r="A305" s="187" t="s">
        <v>782</v>
      </c>
      <c r="B305" s="186"/>
      <c r="C305" s="184" t="s">
        <v>86</v>
      </c>
      <c r="D305" s="185">
        <v>1</v>
      </c>
      <c r="E305" s="145"/>
      <c r="F305" s="32"/>
      <c r="G305" s="33"/>
    </row>
    <row r="306" spans="1:7" s="34" customFormat="1" ht="19.149999999999999" customHeight="1">
      <c r="A306" s="187"/>
      <c r="B306" s="186"/>
      <c r="C306" s="184"/>
      <c r="D306" s="185"/>
      <c r="E306" s="145"/>
      <c r="F306" s="32"/>
      <c r="G306" s="33"/>
    </row>
    <row r="307" spans="1:7" s="34" customFormat="1" ht="19.149999999999999" customHeight="1">
      <c r="A307" s="187"/>
      <c r="B307" s="186"/>
      <c r="C307" s="184"/>
      <c r="D307" s="185"/>
      <c r="E307" s="145"/>
      <c r="F307" s="32"/>
      <c r="G307" s="33"/>
    </row>
    <row r="308" spans="1:7" s="34" customFormat="1" ht="19.149999999999999" customHeight="1">
      <c r="A308" s="187"/>
      <c r="B308" s="186"/>
      <c r="C308" s="184"/>
      <c r="D308" s="185"/>
      <c r="E308" s="145"/>
      <c r="F308" s="32"/>
      <c r="G308" s="33"/>
    </row>
    <row r="309" spans="1:7" s="34" customFormat="1" ht="19.149999999999999" customHeight="1">
      <c r="A309" s="187"/>
      <c r="B309" s="186"/>
      <c r="C309" s="184"/>
      <c r="D309" s="185"/>
      <c r="E309" s="145"/>
      <c r="F309" s="32"/>
      <c r="G309" s="33"/>
    </row>
    <row r="310" spans="1:7" s="34" customFormat="1" ht="19.149999999999999" customHeight="1">
      <c r="A310" s="187"/>
      <c r="B310" s="186"/>
      <c r="C310" s="184"/>
      <c r="D310" s="185"/>
      <c r="E310" s="145"/>
      <c r="F310" s="32"/>
      <c r="G310" s="33"/>
    </row>
    <row r="311" spans="1:7" s="34" customFormat="1" ht="19.149999999999999" customHeight="1">
      <c r="A311" s="148"/>
      <c r="B311" s="148"/>
      <c r="C311" s="158"/>
      <c r="D311" s="158"/>
      <c r="E311" s="145"/>
      <c r="F311" s="32"/>
      <c r="G311" s="33"/>
    </row>
    <row r="312" spans="1:7" s="34" customFormat="1" ht="19.149999999999999" customHeight="1">
      <c r="A312" s="148"/>
      <c r="B312" s="148"/>
      <c r="C312" s="157"/>
      <c r="D312" s="158"/>
      <c r="E312" s="145"/>
      <c r="F312" s="32"/>
      <c r="G312" s="33"/>
    </row>
    <row r="313" spans="1:7" s="34" customFormat="1" ht="19.149999999999999" customHeight="1">
      <c r="A313" s="148"/>
      <c r="B313" s="148"/>
      <c r="C313" s="157"/>
      <c r="D313" s="158"/>
      <c r="E313" s="145"/>
      <c r="F313" s="32"/>
      <c r="G313" s="33"/>
    </row>
    <row r="314" spans="1:7" s="34" customFormat="1" ht="19.149999999999999" customHeight="1">
      <c r="A314" s="148"/>
      <c r="B314" s="148"/>
      <c r="C314" s="157"/>
      <c r="D314" s="158"/>
      <c r="E314" s="145"/>
      <c r="F314" s="32"/>
      <c r="G314" s="33"/>
    </row>
    <row r="315" spans="1:7" s="34" customFormat="1" ht="19.149999999999999" customHeight="1">
      <c r="A315" s="148"/>
      <c r="B315" s="148"/>
      <c r="C315" s="157"/>
      <c r="D315" s="158"/>
      <c r="E315" s="145"/>
      <c r="F315" s="32"/>
      <c r="G315" s="33"/>
    </row>
    <row r="316" spans="1:7" s="34" customFormat="1" ht="19.149999999999999" customHeight="1">
      <c r="A316" s="148"/>
      <c r="B316" s="148"/>
      <c r="C316" s="157"/>
      <c r="D316" s="158"/>
      <c r="E316" s="145"/>
      <c r="F316" s="32"/>
      <c r="G316" s="33"/>
    </row>
    <row r="317" spans="1:7" s="34" customFormat="1" ht="19.149999999999999" customHeight="1">
      <c r="A317" s="148"/>
      <c r="B317" s="148"/>
      <c r="C317" s="157"/>
      <c r="D317" s="158"/>
      <c r="E317" s="145"/>
      <c r="F317" s="32"/>
      <c r="G317" s="33"/>
    </row>
    <row r="318" spans="1:7" s="34" customFormat="1" ht="19.149999999999999" customHeight="1">
      <c r="A318" s="148"/>
      <c r="B318" s="148"/>
      <c r="C318" s="157"/>
      <c r="D318" s="158"/>
      <c r="E318" s="145"/>
      <c r="F318" s="32"/>
      <c r="G318" s="33"/>
    </row>
    <row r="319" spans="1:7" s="34" customFormat="1" ht="19.149999999999999" customHeight="1">
      <c r="A319" s="148"/>
      <c r="B319" s="148"/>
      <c r="C319" s="157"/>
      <c r="D319" s="158"/>
      <c r="E319" s="145"/>
      <c r="F319" s="32"/>
      <c r="G319" s="33"/>
    </row>
    <row r="320" spans="1:7" s="34" customFormat="1" ht="19.149999999999999" customHeight="1">
      <c r="A320" s="148"/>
      <c r="B320" s="148"/>
      <c r="C320" s="157"/>
      <c r="D320" s="158"/>
      <c r="E320" s="145"/>
      <c r="F320" s="32"/>
      <c r="G320" s="33"/>
    </row>
    <row r="321" spans="1:7" s="34" customFormat="1" ht="19.149999999999999" customHeight="1">
      <c r="A321" s="148"/>
      <c r="B321" s="148"/>
      <c r="C321" s="157"/>
      <c r="D321" s="158"/>
      <c r="E321" s="145"/>
      <c r="F321" s="32"/>
      <c r="G321" s="33"/>
    </row>
    <row r="322" spans="1:7" s="34" customFormat="1" ht="19.149999999999999" customHeight="1">
      <c r="A322" s="148"/>
      <c r="B322" s="148"/>
      <c r="C322" s="157"/>
      <c r="D322" s="158"/>
      <c r="E322" s="145"/>
      <c r="F322" s="32"/>
      <c r="G322" s="33"/>
    </row>
    <row r="323" spans="1:7" s="34" customFormat="1" ht="19.149999999999999" customHeight="1">
      <c r="A323" s="148"/>
      <c r="B323" s="148"/>
      <c r="C323" s="157"/>
      <c r="D323" s="158"/>
      <c r="E323" s="145"/>
      <c r="F323" s="32"/>
      <c r="G323" s="33"/>
    </row>
    <row r="324" spans="1:7" s="34" customFormat="1" ht="19.149999999999999" customHeight="1">
      <c r="A324" s="148"/>
      <c r="B324" s="148"/>
      <c r="C324" s="157"/>
      <c r="D324" s="158"/>
      <c r="E324" s="145"/>
      <c r="F324" s="32"/>
      <c r="G324" s="33"/>
    </row>
    <row r="325" spans="1:7" s="34" customFormat="1" ht="19.149999999999999" customHeight="1">
      <c r="A325" s="148"/>
      <c r="B325" s="148"/>
      <c r="C325" s="157"/>
      <c r="D325" s="158"/>
      <c r="E325" s="145"/>
      <c r="F325" s="32"/>
      <c r="G325" s="33"/>
    </row>
    <row r="326" spans="1:7" s="34" customFormat="1" ht="19.149999999999999" customHeight="1">
      <c r="A326" s="148"/>
      <c r="B326" s="148"/>
      <c r="C326" s="157"/>
      <c r="D326" s="158"/>
      <c r="E326" s="145"/>
      <c r="F326" s="32"/>
      <c r="G326" s="33"/>
    </row>
    <row r="327" spans="1:7" s="34" customFormat="1" ht="19.149999999999999" customHeight="1">
      <c r="A327" s="182" t="s">
        <v>132</v>
      </c>
      <c r="B327" s="173"/>
      <c r="C327" s="175"/>
      <c r="D327" s="183"/>
      <c r="E327" s="145"/>
      <c r="F327" s="32"/>
      <c r="G327" s="33"/>
    </row>
    <row r="328" spans="1:7" s="34" customFormat="1" ht="19.149999999999999" customHeight="1">
      <c r="A328" s="151" t="s">
        <v>46</v>
      </c>
      <c r="B328" s="177" t="s">
        <v>167</v>
      </c>
      <c r="C328" s="152" t="s">
        <v>6</v>
      </c>
      <c r="D328" s="153">
        <v>1</v>
      </c>
      <c r="E328" s="145"/>
      <c r="F328" s="32"/>
      <c r="G328" s="33"/>
    </row>
    <row r="329" spans="1:7" s="34" customFormat="1" ht="19.149999999999999" customHeight="1">
      <c r="A329" s="151" t="s">
        <v>47</v>
      </c>
      <c r="B329" s="177" t="s">
        <v>799</v>
      </c>
      <c r="C329" s="152" t="s">
        <v>6</v>
      </c>
      <c r="D329" s="153">
        <v>1</v>
      </c>
      <c r="E329" s="145"/>
      <c r="F329" s="32"/>
      <c r="G329" s="33"/>
    </row>
    <row r="330" spans="1:7" s="34" customFormat="1" ht="19.149999999999999" customHeight="1">
      <c r="A330" s="151" t="s">
        <v>48</v>
      </c>
      <c r="B330" s="177" t="s">
        <v>108</v>
      </c>
      <c r="C330" s="152" t="s">
        <v>6</v>
      </c>
      <c r="D330" s="153">
        <v>1</v>
      </c>
      <c r="E330" s="145"/>
      <c r="F330" s="32"/>
      <c r="G330" s="33"/>
    </row>
    <row r="331" spans="1:7" s="34" customFormat="1" ht="19.149999999999999" customHeight="1">
      <c r="A331" s="151" t="s">
        <v>49</v>
      </c>
      <c r="B331" s="177" t="s">
        <v>137</v>
      </c>
      <c r="C331" s="152" t="s">
        <v>6</v>
      </c>
      <c r="D331" s="153">
        <v>1</v>
      </c>
      <c r="E331" s="145"/>
      <c r="F331" s="32"/>
      <c r="G331" s="33"/>
    </row>
    <row r="332" spans="1:7" s="34" customFormat="1" ht="19.149999999999999" customHeight="1">
      <c r="A332" s="151" t="s">
        <v>97</v>
      </c>
      <c r="B332" s="177" t="s">
        <v>788</v>
      </c>
      <c r="C332" s="152" t="s">
        <v>86</v>
      </c>
      <c r="D332" s="153">
        <v>1</v>
      </c>
      <c r="E332" s="145"/>
      <c r="F332" s="32"/>
      <c r="G332" s="33"/>
    </row>
    <row r="333" spans="1:7" s="34" customFormat="1" ht="19.149999999999999" customHeight="1">
      <c r="A333" s="151" t="s">
        <v>98</v>
      </c>
      <c r="B333" s="177" t="s">
        <v>109</v>
      </c>
      <c r="C333" s="152" t="s">
        <v>86</v>
      </c>
      <c r="D333" s="153">
        <v>1</v>
      </c>
      <c r="E333" s="145"/>
      <c r="F333" s="32"/>
      <c r="G333" s="33"/>
    </row>
    <row r="334" spans="1:7" s="34" customFormat="1" ht="19.149999999999999" customHeight="1">
      <c r="A334" s="151" t="s">
        <v>99</v>
      </c>
      <c r="B334" s="177" t="s">
        <v>789</v>
      </c>
      <c r="C334" s="152" t="s">
        <v>6</v>
      </c>
      <c r="D334" s="153">
        <v>1</v>
      </c>
      <c r="E334" s="145"/>
      <c r="F334" s="32"/>
      <c r="G334" s="33"/>
    </row>
    <row r="335" spans="1:7" s="34" customFormat="1" ht="19.149999999999999" customHeight="1">
      <c r="A335" s="151" t="s">
        <v>100</v>
      </c>
      <c r="B335" s="177" t="s">
        <v>101</v>
      </c>
      <c r="C335" s="152" t="s">
        <v>6</v>
      </c>
      <c r="D335" s="153">
        <v>1</v>
      </c>
      <c r="E335" s="145"/>
      <c r="F335" s="32"/>
      <c r="G335" s="33"/>
    </row>
    <row r="336" spans="1:7" s="34" customFormat="1" ht="19.149999999999999" customHeight="1">
      <c r="A336" s="151" t="s">
        <v>66</v>
      </c>
      <c r="B336" s="177" t="s">
        <v>138</v>
      </c>
      <c r="C336" s="152" t="s">
        <v>6</v>
      </c>
      <c r="D336" s="153">
        <v>1</v>
      </c>
      <c r="E336" s="145"/>
      <c r="F336" s="32"/>
      <c r="G336" s="33"/>
    </row>
    <row r="337" spans="1:7" s="34" customFormat="1" ht="19.149999999999999" customHeight="1">
      <c r="A337" s="151" t="s">
        <v>139</v>
      </c>
      <c r="B337" s="177"/>
      <c r="C337" s="152" t="s">
        <v>6</v>
      </c>
      <c r="D337" s="153">
        <v>1</v>
      </c>
      <c r="E337" s="145"/>
      <c r="F337" s="32"/>
      <c r="G337" s="33"/>
    </row>
    <row r="338" spans="1:7" s="34" customFormat="1" ht="19.149999999999999" customHeight="1">
      <c r="A338" s="151" t="s">
        <v>140</v>
      </c>
      <c r="B338" s="177"/>
      <c r="C338" s="152" t="s">
        <v>6</v>
      </c>
      <c r="D338" s="153">
        <v>1</v>
      </c>
      <c r="E338" s="145"/>
      <c r="F338" s="32"/>
      <c r="G338" s="33"/>
    </row>
    <row r="339" spans="1:7" s="34" customFormat="1" ht="19.149999999999999" customHeight="1">
      <c r="A339" s="151" t="s">
        <v>142</v>
      </c>
      <c r="B339" s="177"/>
      <c r="C339" s="152" t="s">
        <v>6</v>
      </c>
      <c r="D339" s="153">
        <v>1</v>
      </c>
      <c r="E339" s="145"/>
      <c r="F339" s="32"/>
      <c r="G339" s="33"/>
    </row>
    <row r="340" spans="1:7" s="34" customFormat="1" ht="19.149999999999999" customHeight="1">
      <c r="A340" s="151" t="s">
        <v>50</v>
      </c>
      <c r="B340" s="177" t="s">
        <v>141</v>
      </c>
      <c r="C340" s="152" t="s">
        <v>6</v>
      </c>
      <c r="D340" s="153">
        <v>1</v>
      </c>
      <c r="E340" s="145"/>
      <c r="F340" s="32"/>
      <c r="G340" s="33"/>
    </row>
    <row r="341" spans="1:7" s="34" customFormat="1" ht="19.149999999999999" customHeight="1">
      <c r="A341" s="151" t="s">
        <v>51</v>
      </c>
      <c r="B341" s="177" t="s">
        <v>102</v>
      </c>
      <c r="C341" s="152" t="s">
        <v>6</v>
      </c>
      <c r="D341" s="153">
        <v>1</v>
      </c>
      <c r="E341" s="145"/>
      <c r="F341" s="32"/>
      <c r="G341" s="33"/>
    </row>
    <row r="342" spans="1:7" s="34" customFormat="1" ht="19.149999999999999" customHeight="1">
      <c r="A342" s="151" t="s">
        <v>67</v>
      </c>
      <c r="B342" s="177"/>
      <c r="C342" s="152" t="s">
        <v>6</v>
      </c>
      <c r="D342" s="153">
        <v>1</v>
      </c>
      <c r="E342" s="145"/>
      <c r="F342" s="32"/>
      <c r="G342" s="33"/>
    </row>
    <row r="343" spans="1:7" s="34" customFormat="1" ht="19.149999999999999" customHeight="1">
      <c r="A343" s="151" t="s">
        <v>68</v>
      </c>
      <c r="B343" s="188">
        <v>0.1</v>
      </c>
      <c r="C343" s="152" t="s">
        <v>6</v>
      </c>
      <c r="D343" s="153">
        <v>1</v>
      </c>
      <c r="E343" s="145"/>
      <c r="F343" s="32"/>
      <c r="G343" s="33"/>
    </row>
    <row r="344" spans="1:7" s="34" customFormat="1" ht="19.149999999999999" customHeight="1">
      <c r="A344" s="151" t="s">
        <v>65</v>
      </c>
      <c r="B344" s="177"/>
      <c r="C344" s="152" t="s">
        <v>6</v>
      </c>
      <c r="D344" s="153">
        <v>1</v>
      </c>
      <c r="E344" s="145"/>
      <c r="F344" s="32"/>
      <c r="G344" s="33"/>
    </row>
    <row r="345" spans="1:7" s="34" customFormat="1" ht="19.149999999999999" customHeight="1">
      <c r="A345" s="151"/>
      <c r="B345" s="177"/>
      <c r="C345" s="152"/>
      <c r="D345" s="153"/>
      <c r="E345" s="145"/>
      <c r="F345" s="32"/>
      <c r="G345" s="33"/>
    </row>
    <row r="346" spans="1:7" s="34" customFormat="1" ht="19.149999999999999" customHeight="1">
      <c r="A346" s="151"/>
      <c r="B346" s="177"/>
      <c r="C346" s="152"/>
      <c r="D346" s="153"/>
      <c r="E346" s="145"/>
      <c r="F346" s="32"/>
      <c r="G346" s="33"/>
    </row>
    <row r="347" spans="1:7" s="34" customFormat="1" ht="19.149999999999999" customHeight="1">
      <c r="A347" s="151"/>
      <c r="B347" s="177"/>
      <c r="C347" s="152"/>
      <c r="D347" s="153"/>
      <c r="E347" s="145"/>
      <c r="F347" s="32"/>
      <c r="G347" s="33"/>
    </row>
    <row r="348" spans="1:7" s="34" customFormat="1" ht="19.149999999999999" customHeight="1">
      <c r="A348" s="151"/>
      <c r="B348" s="177"/>
      <c r="C348" s="152"/>
      <c r="D348" s="153"/>
      <c r="E348" s="145"/>
      <c r="F348" s="32"/>
      <c r="G348" s="33"/>
    </row>
    <row r="349" spans="1:7" s="34" customFormat="1" ht="19.149999999999999" customHeight="1">
      <c r="A349" s="176"/>
      <c r="B349" s="177"/>
      <c r="C349" s="152"/>
      <c r="D349" s="153"/>
      <c r="E349" s="145"/>
      <c r="F349" s="32"/>
      <c r="G349" s="33"/>
    </row>
    <row r="350" spans="1:7" s="34" customFormat="1" ht="19.149999999999999" customHeight="1">
      <c r="A350" s="176"/>
      <c r="B350" s="177"/>
      <c r="C350" s="152"/>
      <c r="D350" s="153"/>
      <c r="E350" s="145"/>
      <c r="F350" s="32"/>
      <c r="G350" s="33"/>
    </row>
    <row r="351" spans="1:7" s="34" customFormat="1" ht="19.149999999999999" customHeight="1">
      <c r="A351" s="176"/>
      <c r="B351" s="177"/>
      <c r="C351" s="152"/>
      <c r="D351" s="153"/>
      <c r="E351" s="145"/>
      <c r="F351" s="32"/>
      <c r="G351" s="33"/>
    </row>
    <row r="352" spans="1:7" s="34" customFormat="1" ht="19.149999999999999" customHeight="1">
      <c r="A352" s="176"/>
      <c r="B352" s="177"/>
      <c r="C352" s="152"/>
      <c r="D352" s="153"/>
      <c r="E352" s="145"/>
      <c r="F352" s="32"/>
      <c r="G352" s="33"/>
    </row>
  </sheetData>
  <mergeCells count="1">
    <mergeCell ref="A1:G1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9" fitToHeight="0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  <pageSetUpPr fitToPage="1"/>
  </sheetPr>
  <dimension ref="A1:K327"/>
  <sheetViews>
    <sheetView showZeros="0" view="pageBreakPreview" zoomScaleNormal="100" zoomScaleSheetLayoutView="100" workbookViewId="0">
      <pane ySplit="2" topLeftCell="A3" activePane="bottomLeft" state="frozen"/>
      <selection activeCell="D4" sqref="D4"/>
      <selection pane="bottomLeft" activeCell="D4" sqref="D4"/>
    </sheetView>
  </sheetViews>
  <sheetFormatPr defaultColWidth="8.88671875" defaultRowHeight="24.95" customHeight="1"/>
  <cols>
    <col min="1" max="1" width="28.21875" style="35" customWidth="1"/>
    <col min="2" max="2" width="28.109375" style="35" customWidth="1"/>
    <col min="3" max="3" width="6.88671875" style="36" customWidth="1"/>
    <col min="4" max="4" width="10.109375" style="36" customWidth="1"/>
    <col min="5" max="5" width="14" style="25" customWidth="1"/>
    <col min="6" max="6" width="14.77734375" style="25" customWidth="1"/>
    <col min="7" max="7" width="11.33203125" style="37" customWidth="1"/>
    <col min="8" max="8" width="8.88671875" style="25"/>
    <col min="9" max="9" width="43.44140625" style="25" customWidth="1"/>
    <col min="10" max="16384" width="8.88671875" style="25"/>
  </cols>
  <sheetData>
    <row r="1" spans="1:11" ht="27.75" customHeight="1">
      <c r="A1" s="395" t="s">
        <v>783</v>
      </c>
      <c r="B1" s="395"/>
      <c r="C1" s="395"/>
      <c r="D1" s="395"/>
      <c r="E1" s="395"/>
      <c r="F1" s="395"/>
      <c r="G1" s="395"/>
    </row>
    <row r="2" spans="1:11" s="26" customFormat="1" ht="17.45" customHeight="1">
      <c r="A2" s="207" t="s">
        <v>44</v>
      </c>
      <c r="B2" s="207" t="s">
        <v>8</v>
      </c>
      <c r="C2" s="207" t="s">
        <v>3</v>
      </c>
      <c r="D2" s="207" t="s">
        <v>9</v>
      </c>
      <c r="E2" s="207" t="s">
        <v>10</v>
      </c>
      <c r="F2" s="207" t="s">
        <v>11</v>
      </c>
      <c r="G2" s="207" t="s">
        <v>12</v>
      </c>
    </row>
    <row r="3" spans="1:11" s="34" customFormat="1" ht="19.149999999999999" customHeight="1">
      <c r="A3" s="178" t="s">
        <v>761</v>
      </c>
      <c r="B3" s="179"/>
      <c r="C3" s="178"/>
      <c r="D3" s="180"/>
      <c r="E3" s="145"/>
      <c r="F3" s="32"/>
      <c r="G3" s="33"/>
      <c r="I3" s="22"/>
      <c r="J3" s="77"/>
      <c r="K3" s="78"/>
    </row>
    <row r="4" spans="1:11" s="34" customFormat="1" ht="19.149999999999999" customHeight="1">
      <c r="A4" s="210" t="s">
        <v>267</v>
      </c>
      <c r="B4" s="211" t="s">
        <v>269</v>
      </c>
      <c r="C4" s="213" t="s">
        <v>177</v>
      </c>
      <c r="D4" s="212">
        <v>220</v>
      </c>
      <c r="E4" s="145"/>
      <c r="F4" s="32"/>
      <c r="G4" s="33" t="s">
        <v>317</v>
      </c>
      <c r="I4" s="22"/>
      <c r="J4" s="77"/>
      <c r="K4" s="78"/>
    </row>
    <row r="5" spans="1:11" s="34" customFormat="1" ht="19.149999999999999" customHeight="1">
      <c r="A5" s="210" t="s">
        <v>267</v>
      </c>
      <c r="B5" s="211" t="s">
        <v>271</v>
      </c>
      <c r="C5" s="213" t="s">
        <v>177</v>
      </c>
      <c r="D5" s="212">
        <v>12</v>
      </c>
      <c r="E5" s="145"/>
      <c r="F5" s="32"/>
      <c r="G5" s="33" t="s">
        <v>319</v>
      </c>
      <c r="I5" s="22"/>
      <c r="J5" s="77"/>
      <c r="K5" s="78"/>
    </row>
    <row r="6" spans="1:11" s="34" customFormat="1" ht="19.149999999999999" customHeight="1">
      <c r="A6" s="210" t="s">
        <v>273</v>
      </c>
      <c r="B6" s="211" t="s">
        <v>275</v>
      </c>
      <c r="C6" s="213" t="s">
        <v>85</v>
      </c>
      <c r="D6" s="212">
        <v>2</v>
      </c>
      <c r="E6" s="145"/>
      <c r="F6" s="32"/>
      <c r="G6" s="33">
        <v>0</v>
      </c>
      <c r="I6" s="22"/>
      <c r="J6" s="77"/>
      <c r="K6" s="78"/>
    </row>
    <row r="7" spans="1:11" s="34" customFormat="1" ht="19.149999999999999" customHeight="1">
      <c r="A7" s="210" t="s">
        <v>273</v>
      </c>
      <c r="B7" s="211" t="s">
        <v>277</v>
      </c>
      <c r="C7" s="213" t="s">
        <v>85</v>
      </c>
      <c r="D7" s="212">
        <v>2</v>
      </c>
      <c r="E7" s="145"/>
      <c r="F7" s="32"/>
      <c r="G7" s="33">
        <v>0</v>
      </c>
      <c r="I7" s="22"/>
      <c r="J7" s="77"/>
      <c r="K7" s="78"/>
    </row>
    <row r="8" spans="1:11" s="34" customFormat="1" ht="19.149999999999999" customHeight="1">
      <c r="A8" s="210" t="s">
        <v>250</v>
      </c>
      <c r="B8" s="211" t="s">
        <v>133</v>
      </c>
      <c r="C8" s="213" t="s">
        <v>177</v>
      </c>
      <c r="D8" s="212">
        <v>605</v>
      </c>
      <c r="E8" s="145"/>
      <c r="F8" s="32"/>
      <c r="G8" s="33" t="s">
        <v>321</v>
      </c>
      <c r="I8" s="22"/>
      <c r="J8" s="77"/>
      <c r="K8" s="78"/>
    </row>
    <row r="9" spans="1:11" s="34" customFormat="1" ht="19.149999999999999" customHeight="1">
      <c r="A9" s="210" t="s">
        <v>250</v>
      </c>
      <c r="B9" s="211" t="s">
        <v>105</v>
      </c>
      <c r="C9" s="213" t="s">
        <v>177</v>
      </c>
      <c r="D9" s="212">
        <v>116</v>
      </c>
      <c r="E9" s="145"/>
      <c r="F9" s="32"/>
      <c r="G9" s="33" t="s">
        <v>228</v>
      </c>
      <c r="I9" s="22"/>
      <c r="J9" s="77"/>
      <c r="K9" s="78"/>
    </row>
    <row r="10" spans="1:11" s="34" customFormat="1" ht="19.149999999999999" customHeight="1">
      <c r="A10" s="210" t="s">
        <v>250</v>
      </c>
      <c r="B10" s="211" t="s">
        <v>121</v>
      </c>
      <c r="C10" s="213" t="s">
        <v>177</v>
      </c>
      <c r="D10" s="212">
        <v>122</v>
      </c>
      <c r="E10" s="145"/>
      <c r="F10" s="32"/>
      <c r="G10" s="33" t="s">
        <v>260</v>
      </c>
      <c r="I10" s="22"/>
      <c r="J10" s="77"/>
      <c r="K10" s="78"/>
    </row>
    <row r="11" spans="1:11" s="34" customFormat="1" ht="19.149999999999999" customHeight="1">
      <c r="A11" s="210" t="s">
        <v>251</v>
      </c>
      <c r="B11" s="211" t="s">
        <v>279</v>
      </c>
      <c r="C11" s="213" t="s">
        <v>177</v>
      </c>
      <c r="D11" s="212">
        <v>605</v>
      </c>
      <c r="E11" s="145"/>
      <c r="F11" s="32"/>
      <c r="G11" s="33" t="s">
        <v>324</v>
      </c>
      <c r="I11" s="22"/>
      <c r="J11" s="77"/>
      <c r="K11" s="78"/>
    </row>
    <row r="12" spans="1:11" s="34" customFormat="1" ht="19.149999999999999" customHeight="1">
      <c r="A12" s="210" t="s">
        <v>251</v>
      </c>
      <c r="B12" s="211" t="s">
        <v>281</v>
      </c>
      <c r="C12" s="213" t="s">
        <v>177</v>
      </c>
      <c r="D12" s="212">
        <v>20</v>
      </c>
      <c r="E12" s="145"/>
      <c r="F12" s="32"/>
      <c r="G12" s="33" t="s">
        <v>326</v>
      </c>
      <c r="I12" s="22"/>
      <c r="J12" s="77"/>
      <c r="K12" s="78"/>
    </row>
    <row r="13" spans="1:11" s="34" customFormat="1" ht="19.149999999999999" customHeight="1">
      <c r="A13" s="210" t="s">
        <v>251</v>
      </c>
      <c r="B13" s="211" t="s">
        <v>282</v>
      </c>
      <c r="C13" s="213" t="s">
        <v>177</v>
      </c>
      <c r="D13" s="212">
        <v>96</v>
      </c>
      <c r="E13" s="145"/>
      <c r="F13" s="32"/>
      <c r="G13" s="33" t="s">
        <v>327</v>
      </c>
      <c r="I13" s="22"/>
      <c r="J13" s="77"/>
      <c r="K13" s="78"/>
    </row>
    <row r="14" spans="1:11" s="34" customFormat="1" ht="19.149999999999999" customHeight="1">
      <c r="A14" s="210" t="s">
        <v>251</v>
      </c>
      <c r="B14" s="211" t="s">
        <v>184</v>
      </c>
      <c r="C14" s="213" t="s">
        <v>177</v>
      </c>
      <c r="D14" s="212">
        <v>488</v>
      </c>
      <c r="E14" s="145"/>
      <c r="F14" s="32"/>
      <c r="G14" s="33" t="s">
        <v>787</v>
      </c>
      <c r="I14" s="22"/>
      <c r="J14" s="77"/>
      <c r="K14" s="78"/>
    </row>
    <row r="15" spans="1:11" s="34" customFormat="1" ht="19.149999999999999" customHeight="1">
      <c r="A15" s="210" t="s">
        <v>119</v>
      </c>
      <c r="B15" s="211" t="s">
        <v>287</v>
      </c>
      <c r="C15" s="213" t="s">
        <v>85</v>
      </c>
      <c r="D15" s="212">
        <v>8</v>
      </c>
      <c r="E15" s="145"/>
      <c r="F15" s="32"/>
      <c r="G15" s="33" t="s">
        <v>332</v>
      </c>
      <c r="I15" s="22"/>
      <c r="J15" s="77"/>
      <c r="K15" s="78"/>
    </row>
    <row r="16" spans="1:11" s="34" customFormat="1" ht="19.149999999999999" customHeight="1">
      <c r="A16" s="210" t="s">
        <v>119</v>
      </c>
      <c r="B16" s="211" t="s">
        <v>197</v>
      </c>
      <c r="C16" s="213" t="s">
        <v>85</v>
      </c>
      <c r="D16" s="212">
        <v>8</v>
      </c>
      <c r="E16" s="145"/>
      <c r="F16" s="32"/>
      <c r="G16" s="33" t="s">
        <v>237</v>
      </c>
      <c r="I16" s="22"/>
      <c r="J16" s="77"/>
      <c r="K16" s="78"/>
    </row>
    <row r="17" spans="1:11" s="34" customFormat="1" ht="19.149999999999999" customHeight="1">
      <c r="A17" s="210" t="s">
        <v>119</v>
      </c>
      <c r="B17" s="211" t="s">
        <v>198</v>
      </c>
      <c r="C17" s="213" t="s">
        <v>85</v>
      </c>
      <c r="D17" s="212">
        <v>8</v>
      </c>
      <c r="E17" s="145"/>
      <c r="F17" s="32"/>
      <c r="G17" s="33" t="s">
        <v>238</v>
      </c>
      <c r="I17" s="22"/>
      <c r="J17" s="77"/>
      <c r="K17" s="78"/>
    </row>
    <row r="18" spans="1:11" s="34" customFormat="1" ht="19.149999999999999" customHeight="1">
      <c r="A18" s="210" t="s">
        <v>200</v>
      </c>
      <c r="B18" s="211" t="s">
        <v>201</v>
      </c>
      <c r="C18" s="213" t="s">
        <v>85</v>
      </c>
      <c r="D18" s="212">
        <v>4</v>
      </c>
      <c r="E18" s="145"/>
      <c r="F18" s="32"/>
      <c r="G18" s="33" t="s">
        <v>655</v>
      </c>
      <c r="I18" s="22"/>
      <c r="J18" s="77"/>
      <c r="K18" s="78"/>
    </row>
    <row r="19" spans="1:11" s="34" customFormat="1" ht="19.149999999999999" customHeight="1">
      <c r="A19" s="210" t="s">
        <v>200</v>
      </c>
      <c r="B19" s="211" t="s">
        <v>202</v>
      </c>
      <c r="C19" s="213" t="s">
        <v>85</v>
      </c>
      <c r="D19" s="212">
        <v>2</v>
      </c>
      <c r="E19" s="145"/>
      <c r="F19" s="32"/>
      <c r="G19" s="33" t="s">
        <v>241</v>
      </c>
      <c r="I19" s="22"/>
      <c r="J19" s="77"/>
      <c r="K19" s="78"/>
    </row>
    <row r="20" spans="1:11" s="34" customFormat="1" ht="19.149999999999999" customHeight="1">
      <c r="A20" s="210" t="s">
        <v>291</v>
      </c>
      <c r="B20" s="211" t="s">
        <v>301</v>
      </c>
      <c r="C20" s="213" t="s">
        <v>75</v>
      </c>
      <c r="D20" s="212">
        <v>1</v>
      </c>
      <c r="E20" s="145"/>
      <c r="F20" s="32"/>
      <c r="G20" s="33" t="s">
        <v>345</v>
      </c>
      <c r="I20" s="22"/>
      <c r="J20" s="77"/>
      <c r="K20" s="78"/>
    </row>
    <row r="21" spans="1:11" s="34" customFormat="1" ht="19.149999999999999" customHeight="1">
      <c r="A21" s="210" t="s">
        <v>291</v>
      </c>
      <c r="B21" s="211" t="s">
        <v>302</v>
      </c>
      <c r="C21" s="213" t="s">
        <v>75</v>
      </c>
      <c r="D21" s="212">
        <v>1</v>
      </c>
      <c r="E21" s="145"/>
      <c r="F21" s="32"/>
      <c r="G21" s="33" t="s">
        <v>346</v>
      </c>
      <c r="I21" s="22"/>
      <c r="J21" s="77"/>
      <c r="K21" s="78"/>
    </row>
    <row r="22" spans="1:11" s="34" customFormat="1" ht="19.149999999999999" customHeight="1">
      <c r="A22" s="210" t="s">
        <v>291</v>
      </c>
      <c r="B22" s="211" t="s">
        <v>303</v>
      </c>
      <c r="C22" s="213" t="s">
        <v>75</v>
      </c>
      <c r="D22" s="212">
        <v>1</v>
      </c>
      <c r="E22" s="145"/>
      <c r="F22" s="32"/>
      <c r="G22" s="33" t="s">
        <v>347</v>
      </c>
      <c r="I22" s="22"/>
      <c r="J22" s="77"/>
      <c r="K22" s="78"/>
    </row>
    <row r="23" spans="1:11" s="34" customFormat="1" ht="19.149999999999999" customHeight="1">
      <c r="A23" s="210" t="s">
        <v>291</v>
      </c>
      <c r="B23" s="211" t="s">
        <v>304</v>
      </c>
      <c r="C23" s="213" t="s">
        <v>75</v>
      </c>
      <c r="D23" s="212">
        <v>1</v>
      </c>
      <c r="E23" s="145"/>
      <c r="F23" s="32"/>
      <c r="G23" s="33" t="s">
        <v>348</v>
      </c>
      <c r="I23" s="22"/>
      <c r="J23" s="77"/>
      <c r="K23" s="78"/>
    </row>
    <row r="24" spans="1:11" s="34" customFormat="1" ht="19.149999999999999" customHeight="1">
      <c r="A24" s="210" t="s">
        <v>291</v>
      </c>
      <c r="B24" s="211" t="s">
        <v>305</v>
      </c>
      <c r="C24" s="213" t="s">
        <v>75</v>
      </c>
      <c r="D24" s="215">
        <v>1</v>
      </c>
      <c r="E24" s="145"/>
      <c r="F24" s="32"/>
      <c r="G24" s="33" t="s">
        <v>349</v>
      </c>
      <c r="I24" s="22"/>
      <c r="J24" s="77"/>
      <c r="K24" s="78"/>
    </row>
    <row r="25" spans="1:11" s="34" customFormat="1" ht="19.149999999999999" customHeight="1">
      <c r="A25" s="210" t="s">
        <v>291</v>
      </c>
      <c r="B25" s="211" t="s">
        <v>306</v>
      </c>
      <c r="C25" s="213" t="s">
        <v>75</v>
      </c>
      <c r="D25" s="215">
        <v>1</v>
      </c>
      <c r="E25" s="145"/>
      <c r="F25" s="32"/>
      <c r="G25" s="33" t="s">
        <v>350</v>
      </c>
      <c r="I25" s="22"/>
      <c r="J25" s="77"/>
      <c r="K25" s="78"/>
    </row>
    <row r="26" spans="1:11" s="34" customFormat="1" ht="19.149999999999999" customHeight="1">
      <c r="A26" s="210" t="s">
        <v>291</v>
      </c>
      <c r="B26" s="211" t="s">
        <v>307</v>
      </c>
      <c r="C26" s="213" t="s">
        <v>75</v>
      </c>
      <c r="D26" s="215">
        <v>1</v>
      </c>
      <c r="E26" s="145"/>
      <c r="F26" s="32"/>
      <c r="G26" s="33" t="s">
        <v>351</v>
      </c>
      <c r="I26" s="22"/>
      <c r="J26" s="77"/>
      <c r="K26" s="78"/>
    </row>
    <row r="27" spans="1:11" s="34" customFormat="1" ht="19.149999999999999" customHeight="1">
      <c r="A27" s="210" t="s">
        <v>291</v>
      </c>
      <c r="B27" s="211" t="s">
        <v>308</v>
      </c>
      <c r="C27" s="213" t="s">
        <v>75</v>
      </c>
      <c r="D27" s="215">
        <v>1</v>
      </c>
      <c r="E27" s="145"/>
      <c r="F27" s="32"/>
      <c r="G27" s="33" t="s">
        <v>352</v>
      </c>
      <c r="I27" s="22"/>
      <c r="J27" s="77"/>
      <c r="K27" s="78"/>
    </row>
    <row r="28" spans="1:11" s="34" customFormat="1" ht="19.149999999999999" customHeight="1">
      <c r="A28" s="210" t="s">
        <v>291</v>
      </c>
      <c r="B28" s="211" t="s">
        <v>299</v>
      </c>
      <c r="C28" s="213" t="s">
        <v>75</v>
      </c>
      <c r="D28" s="215">
        <v>1</v>
      </c>
      <c r="E28" s="145"/>
      <c r="F28" s="32"/>
      <c r="G28" s="33" t="s">
        <v>343</v>
      </c>
      <c r="I28" s="22"/>
      <c r="J28" s="77"/>
      <c r="K28" s="78"/>
    </row>
    <row r="29" spans="1:11" s="34" customFormat="1" ht="19.149999999999999" customHeight="1">
      <c r="A29" s="210" t="s">
        <v>311</v>
      </c>
      <c r="B29" s="211" t="s">
        <v>313</v>
      </c>
      <c r="C29" s="213" t="s">
        <v>6</v>
      </c>
      <c r="D29" s="215">
        <v>14</v>
      </c>
      <c r="E29" s="145"/>
      <c r="F29" s="32"/>
      <c r="G29" s="33" t="s">
        <v>355</v>
      </c>
      <c r="I29" s="22"/>
      <c r="J29" s="77"/>
      <c r="K29" s="78"/>
    </row>
    <row r="30" spans="1:11" s="34" customFormat="1" ht="19.149999999999999" customHeight="1">
      <c r="A30" s="210" t="s">
        <v>311</v>
      </c>
      <c r="B30" s="211" t="s">
        <v>314</v>
      </c>
      <c r="C30" s="213" t="s">
        <v>6</v>
      </c>
      <c r="D30" s="215">
        <v>4</v>
      </c>
      <c r="E30" s="145"/>
      <c r="F30" s="32"/>
      <c r="G30" s="33" t="s">
        <v>372</v>
      </c>
      <c r="I30" s="22"/>
      <c r="J30" s="77"/>
      <c r="K30" s="78"/>
    </row>
    <row r="31" spans="1:11" s="34" customFormat="1" ht="19.149999999999999" customHeight="1">
      <c r="A31" s="178"/>
      <c r="B31" s="179"/>
      <c r="C31" s="178"/>
      <c r="D31" s="180"/>
      <c r="E31" s="145"/>
      <c r="F31" s="32"/>
      <c r="G31" s="33"/>
      <c r="I31" s="22"/>
      <c r="J31" s="77"/>
      <c r="K31" s="78"/>
    </row>
    <row r="32" spans="1:11" s="34" customFormat="1" ht="19.149999999999999" customHeight="1">
      <c r="A32" s="178"/>
      <c r="B32" s="179"/>
      <c r="C32" s="178"/>
      <c r="D32" s="180"/>
      <c r="E32" s="145"/>
      <c r="F32" s="32"/>
      <c r="G32" s="33"/>
      <c r="I32" s="22"/>
      <c r="J32" s="77"/>
      <c r="K32" s="78"/>
    </row>
    <row r="33" spans="1:11" s="34" customFormat="1" ht="19.149999999999999" customHeight="1">
      <c r="A33" s="178"/>
      <c r="B33" s="179"/>
      <c r="C33" s="178"/>
      <c r="D33" s="180"/>
      <c r="E33" s="145"/>
      <c r="F33" s="32"/>
      <c r="G33" s="33"/>
      <c r="I33" s="22"/>
      <c r="J33" s="77"/>
      <c r="K33" s="78"/>
    </row>
    <row r="34" spans="1:11" s="34" customFormat="1" ht="19.149999999999999" customHeight="1">
      <c r="A34" s="178"/>
      <c r="B34" s="179"/>
      <c r="C34" s="178"/>
      <c r="D34" s="180"/>
      <c r="E34" s="145"/>
      <c r="F34" s="32"/>
      <c r="G34" s="33"/>
      <c r="I34" s="22"/>
      <c r="J34" s="77"/>
      <c r="K34" s="78"/>
    </row>
    <row r="35" spans="1:11" s="34" customFormat="1" ht="19.149999999999999" customHeight="1">
      <c r="A35" s="178"/>
      <c r="B35" s="179"/>
      <c r="C35" s="178"/>
      <c r="D35" s="180"/>
      <c r="E35" s="145"/>
      <c r="F35" s="32"/>
      <c r="G35" s="33"/>
      <c r="I35" s="22"/>
      <c r="J35" s="77"/>
      <c r="K35" s="78"/>
    </row>
    <row r="36" spans="1:11" s="34" customFormat="1" ht="19.149999999999999" customHeight="1">
      <c r="A36" s="178"/>
      <c r="B36" s="179"/>
      <c r="C36" s="178"/>
      <c r="D36" s="180"/>
      <c r="E36" s="145"/>
      <c r="F36" s="32"/>
      <c r="G36" s="33"/>
      <c r="I36" s="22"/>
      <c r="J36" s="77"/>
      <c r="K36" s="78"/>
    </row>
    <row r="37" spans="1:11" s="34" customFormat="1" ht="19.149999999999999" customHeight="1">
      <c r="A37" s="178"/>
      <c r="B37" s="179"/>
      <c r="C37" s="178"/>
      <c r="D37" s="180"/>
      <c r="E37" s="145"/>
      <c r="F37" s="32"/>
      <c r="G37" s="33"/>
      <c r="I37" s="22"/>
      <c r="J37" s="77"/>
      <c r="K37" s="78"/>
    </row>
    <row r="38" spans="1:11" s="34" customFormat="1" ht="19.149999999999999" customHeight="1">
      <c r="A38" s="178"/>
      <c r="B38" s="179"/>
      <c r="C38" s="178"/>
      <c r="D38" s="180"/>
      <c r="E38" s="145"/>
      <c r="F38" s="32"/>
      <c r="G38" s="33"/>
      <c r="I38" s="22"/>
      <c r="J38" s="77"/>
      <c r="K38" s="78"/>
    </row>
    <row r="39" spans="1:11" s="34" customFormat="1" ht="19.149999999999999" customHeight="1">
      <c r="A39" s="178"/>
      <c r="B39" s="179"/>
      <c r="C39" s="178"/>
      <c r="D39" s="180"/>
      <c r="E39" s="145"/>
      <c r="F39" s="32"/>
      <c r="G39" s="33"/>
      <c r="I39" s="22"/>
      <c r="J39" s="77"/>
      <c r="K39" s="78"/>
    </row>
    <row r="40" spans="1:11" s="34" customFormat="1" ht="19.149999999999999" customHeight="1">
      <c r="A40" s="178"/>
      <c r="B40" s="179"/>
      <c r="C40" s="178"/>
      <c r="D40" s="180"/>
      <c r="E40" s="145"/>
      <c r="F40" s="32"/>
      <c r="G40" s="33"/>
      <c r="I40" s="22"/>
      <c r="J40" s="77"/>
      <c r="K40" s="78"/>
    </row>
    <row r="41" spans="1:11" s="34" customFormat="1" ht="19.149999999999999" customHeight="1">
      <c r="A41" s="178"/>
      <c r="B41" s="179"/>
      <c r="C41" s="178"/>
      <c r="D41" s="180"/>
      <c r="E41" s="145"/>
      <c r="F41" s="32"/>
      <c r="G41" s="33"/>
      <c r="I41" s="22"/>
      <c r="J41" s="77"/>
      <c r="K41" s="78"/>
    </row>
    <row r="42" spans="1:11" s="34" customFormat="1" ht="19.149999999999999" customHeight="1">
      <c r="A42" s="178"/>
      <c r="B42" s="179"/>
      <c r="C42" s="178"/>
      <c r="D42" s="180"/>
      <c r="E42" s="145"/>
      <c r="F42" s="32"/>
      <c r="G42" s="33"/>
      <c r="I42" s="22"/>
      <c r="J42" s="77"/>
      <c r="K42" s="78"/>
    </row>
    <row r="43" spans="1:11" s="34" customFormat="1" ht="19.149999999999999" customHeight="1">
      <c r="A43" s="178"/>
      <c r="B43" s="179"/>
      <c r="C43" s="178"/>
      <c r="D43" s="180"/>
      <c r="E43" s="145"/>
      <c r="F43" s="32"/>
      <c r="G43" s="33"/>
      <c r="I43" s="22"/>
      <c r="J43" s="77"/>
      <c r="K43" s="78"/>
    </row>
    <row r="44" spans="1:11" s="34" customFormat="1" ht="19.149999999999999" customHeight="1">
      <c r="A44" s="178"/>
      <c r="B44" s="179"/>
      <c r="C44" s="178"/>
      <c r="D44" s="180"/>
      <c r="E44" s="145"/>
      <c r="F44" s="32"/>
      <c r="G44" s="33"/>
      <c r="I44" s="22"/>
      <c r="J44" s="77"/>
      <c r="K44" s="78"/>
    </row>
    <row r="45" spans="1:11" s="34" customFormat="1" ht="19.149999999999999" customHeight="1">
      <c r="A45" s="178"/>
      <c r="B45" s="179"/>
      <c r="C45" s="178"/>
      <c r="D45" s="180"/>
      <c r="E45" s="145"/>
      <c r="F45" s="32"/>
      <c r="G45" s="33"/>
      <c r="I45" s="22"/>
      <c r="J45" s="77"/>
      <c r="K45" s="78"/>
    </row>
    <row r="46" spans="1:11" s="34" customFormat="1" ht="19.149999999999999" customHeight="1">
      <c r="A46" s="178"/>
      <c r="B46" s="179"/>
      <c r="C46" s="178"/>
      <c r="D46" s="180"/>
      <c r="E46" s="145"/>
      <c r="F46" s="32"/>
      <c r="G46" s="33"/>
      <c r="I46" s="22"/>
      <c r="J46" s="77"/>
      <c r="K46" s="78"/>
    </row>
    <row r="47" spans="1:11" s="34" customFormat="1" ht="19.149999999999999" customHeight="1">
      <c r="A47" s="178"/>
      <c r="B47" s="179"/>
      <c r="C47" s="178"/>
      <c r="D47" s="180"/>
      <c r="E47" s="145"/>
      <c r="F47" s="32"/>
      <c r="G47" s="33"/>
      <c r="I47" s="22"/>
      <c r="J47" s="77"/>
      <c r="K47" s="78"/>
    </row>
    <row r="48" spans="1:11" s="34" customFormat="1" ht="19.149999999999999" customHeight="1">
      <c r="A48" s="178"/>
      <c r="B48" s="179"/>
      <c r="C48" s="178"/>
      <c r="D48" s="180"/>
      <c r="E48" s="145"/>
      <c r="F48" s="32"/>
      <c r="G48" s="33"/>
      <c r="I48" s="22"/>
      <c r="J48" s="77"/>
      <c r="K48" s="78"/>
    </row>
    <row r="49" spans="1:11" s="34" customFormat="1" ht="19.149999999999999" customHeight="1">
      <c r="A49" s="178"/>
      <c r="B49" s="179"/>
      <c r="C49" s="178"/>
      <c r="D49" s="180"/>
      <c r="E49" s="145"/>
      <c r="F49" s="32"/>
      <c r="G49" s="33"/>
      <c r="I49" s="22"/>
      <c r="J49" s="77"/>
      <c r="K49" s="78"/>
    </row>
    <row r="50" spans="1:11" s="34" customFormat="1" ht="19.149999999999999" customHeight="1">
      <c r="A50" s="178"/>
      <c r="B50" s="179"/>
      <c r="C50" s="178"/>
      <c r="D50" s="180"/>
      <c r="E50" s="145"/>
      <c r="F50" s="32"/>
      <c r="G50" s="33"/>
      <c r="I50" s="22"/>
      <c r="J50" s="77"/>
      <c r="K50" s="78"/>
    </row>
    <row r="51" spans="1:11" s="34" customFormat="1" ht="19.149999999999999" customHeight="1">
      <c r="A51" s="178"/>
      <c r="B51" s="179"/>
      <c r="C51" s="178"/>
      <c r="D51" s="180"/>
      <c r="E51" s="145"/>
      <c r="F51" s="32"/>
      <c r="G51" s="33"/>
      <c r="I51" s="22"/>
      <c r="J51" s="77"/>
      <c r="K51" s="78"/>
    </row>
    <row r="52" spans="1:11" s="34" customFormat="1" ht="19.149999999999999" customHeight="1">
      <c r="A52" s="182" t="s">
        <v>132</v>
      </c>
      <c r="B52" s="173"/>
      <c r="C52" s="175"/>
      <c r="D52" s="183"/>
      <c r="E52" s="145"/>
      <c r="F52" s="32"/>
      <c r="G52" s="33"/>
    </row>
    <row r="53" spans="1:11" s="34" customFormat="1" ht="19.149999999999999" customHeight="1">
      <c r="A53" s="178" t="s">
        <v>762</v>
      </c>
      <c r="B53" s="179"/>
      <c r="C53" s="178"/>
      <c r="D53" s="180"/>
      <c r="E53" s="145"/>
      <c r="F53" s="32"/>
      <c r="G53" s="33"/>
      <c r="I53" s="22"/>
      <c r="J53" s="77"/>
      <c r="K53" s="78"/>
    </row>
    <row r="54" spans="1:11" s="34" customFormat="1" ht="19.149999999999999" customHeight="1">
      <c r="A54" s="210" t="s">
        <v>359</v>
      </c>
      <c r="B54" s="211" t="s">
        <v>360</v>
      </c>
      <c r="C54" s="213" t="s">
        <v>177</v>
      </c>
      <c r="D54" s="212">
        <v>25</v>
      </c>
      <c r="E54" s="145"/>
      <c r="F54" s="32"/>
      <c r="G54" s="33" t="s">
        <v>367</v>
      </c>
      <c r="I54" s="22"/>
      <c r="J54" s="77"/>
      <c r="K54" s="78"/>
    </row>
    <row r="55" spans="1:11" s="34" customFormat="1" ht="19.149999999999999" customHeight="1">
      <c r="A55" s="210" t="s">
        <v>359</v>
      </c>
      <c r="B55" s="211" t="s">
        <v>361</v>
      </c>
      <c r="C55" s="213" t="s">
        <v>177</v>
      </c>
      <c r="D55" s="212">
        <v>25</v>
      </c>
      <c r="E55" s="145"/>
      <c r="F55" s="32"/>
      <c r="G55" s="33" t="s">
        <v>368</v>
      </c>
      <c r="I55" s="22"/>
      <c r="J55" s="77"/>
      <c r="K55" s="78"/>
    </row>
    <row r="56" spans="1:11" s="34" customFormat="1" ht="19.149999999999999" customHeight="1">
      <c r="A56" s="210" t="s">
        <v>267</v>
      </c>
      <c r="B56" s="211" t="s">
        <v>270</v>
      </c>
      <c r="C56" s="213" t="s">
        <v>177</v>
      </c>
      <c r="D56" s="212">
        <v>118</v>
      </c>
      <c r="E56" s="145"/>
      <c r="F56" s="32"/>
      <c r="G56" s="33" t="s">
        <v>318</v>
      </c>
      <c r="I56" s="22"/>
      <c r="J56" s="77"/>
      <c r="K56" s="78"/>
    </row>
    <row r="57" spans="1:11" s="34" customFormat="1" ht="19.149999999999999" customHeight="1">
      <c r="A57" s="210" t="s">
        <v>273</v>
      </c>
      <c r="B57" s="211" t="s">
        <v>276</v>
      </c>
      <c r="C57" s="213" t="s">
        <v>85</v>
      </c>
      <c r="D57" s="212">
        <v>2</v>
      </c>
      <c r="E57" s="145"/>
      <c r="F57" s="32"/>
      <c r="G57" s="33">
        <v>0</v>
      </c>
      <c r="I57" s="22"/>
      <c r="J57" s="77"/>
      <c r="K57" s="78"/>
    </row>
    <row r="58" spans="1:11" s="34" customFormat="1" ht="19.149999999999999" customHeight="1">
      <c r="A58" s="210" t="s">
        <v>250</v>
      </c>
      <c r="B58" s="211" t="s">
        <v>569</v>
      </c>
      <c r="C58" s="213" t="s">
        <v>177</v>
      </c>
      <c r="D58" s="212">
        <v>25</v>
      </c>
      <c r="E58" s="145"/>
      <c r="F58" s="32"/>
      <c r="G58" s="33" t="s">
        <v>583</v>
      </c>
      <c r="I58" s="22"/>
      <c r="J58" s="77"/>
      <c r="K58" s="78"/>
    </row>
    <row r="59" spans="1:11" s="34" customFormat="1" ht="19.149999999999999" customHeight="1">
      <c r="A59" s="210" t="s">
        <v>250</v>
      </c>
      <c r="B59" s="211" t="s">
        <v>121</v>
      </c>
      <c r="C59" s="213" t="s">
        <v>177</v>
      </c>
      <c r="D59" s="212">
        <v>118</v>
      </c>
      <c r="E59" s="145"/>
      <c r="F59" s="32"/>
      <c r="G59" s="33" t="s">
        <v>260</v>
      </c>
      <c r="I59" s="22"/>
      <c r="J59" s="77"/>
      <c r="K59" s="78"/>
    </row>
    <row r="60" spans="1:11" s="34" customFormat="1" ht="19.149999999999999" customHeight="1">
      <c r="A60" s="210" t="s">
        <v>116</v>
      </c>
      <c r="B60" s="211" t="s">
        <v>364</v>
      </c>
      <c r="C60" s="213" t="s">
        <v>177</v>
      </c>
      <c r="D60" s="212">
        <v>25</v>
      </c>
      <c r="E60" s="145"/>
      <c r="F60" s="32"/>
      <c r="G60" s="33" t="s">
        <v>370</v>
      </c>
      <c r="I60" s="22"/>
      <c r="J60" s="77"/>
      <c r="K60" s="78"/>
    </row>
    <row r="61" spans="1:11" s="34" customFormat="1" ht="19.149999999999999" customHeight="1">
      <c r="A61" s="210" t="s">
        <v>251</v>
      </c>
      <c r="B61" s="211" t="s">
        <v>365</v>
      </c>
      <c r="C61" s="213" t="s">
        <v>177</v>
      </c>
      <c r="D61" s="212">
        <v>25</v>
      </c>
      <c r="E61" s="145"/>
      <c r="F61" s="32"/>
      <c r="G61" s="33" t="s">
        <v>371</v>
      </c>
      <c r="I61" s="22"/>
      <c r="J61" s="77"/>
      <c r="K61" s="78"/>
    </row>
    <row r="62" spans="1:11" s="34" customFormat="1" ht="19.149999999999999" customHeight="1">
      <c r="A62" s="210" t="s">
        <v>251</v>
      </c>
      <c r="B62" s="211" t="s">
        <v>283</v>
      </c>
      <c r="C62" s="213" t="s">
        <v>177</v>
      </c>
      <c r="D62" s="212">
        <v>80</v>
      </c>
      <c r="E62" s="145"/>
      <c r="F62" s="32"/>
      <c r="G62" s="33" t="s">
        <v>328</v>
      </c>
      <c r="I62" s="22"/>
      <c r="J62" s="77"/>
      <c r="K62" s="78"/>
    </row>
    <row r="63" spans="1:11" s="34" customFormat="1" ht="19.149999999999999" customHeight="1">
      <c r="A63" s="210" t="s">
        <v>251</v>
      </c>
      <c r="B63" s="211" t="s">
        <v>184</v>
      </c>
      <c r="C63" s="213" t="s">
        <v>177</v>
      </c>
      <c r="D63" s="212">
        <v>236</v>
      </c>
      <c r="E63" s="145"/>
      <c r="F63" s="32"/>
      <c r="G63" s="33" t="s">
        <v>225</v>
      </c>
      <c r="I63" s="22"/>
      <c r="J63" s="77"/>
      <c r="K63" s="78"/>
    </row>
    <row r="64" spans="1:11" s="34" customFormat="1" ht="19.149999999999999" customHeight="1">
      <c r="A64" s="210" t="s">
        <v>119</v>
      </c>
      <c r="B64" s="211" t="s">
        <v>198</v>
      </c>
      <c r="C64" s="213" t="s">
        <v>85</v>
      </c>
      <c r="D64" s="212">
        <v>4</v>
      </c>
      <c r="E64" s="145"/>
      <c r="F64" s="32"/>
      <c r="G64" s="33" t="s">
        <v>238</v>
      </c>
      <c r="I64" s="22"/>
      <c r="J64" s="77"/>
      <c r="K64" s="78"/>
    </row>
    <row r="65" spans="1:11" s="34" customFormat="1" ht="19.149999999999999" customHeight="1">
      <c r="A65" s="210" t="s">
        <v>119</v>
      </c>
      <c r="B65" s="211" t="s">
        <v>288</v>
      </c>
      <c r="C65" s="213" t="s">
        <v>85</v>
      </c>
      <c r="D65" s="212">
        <v>8</v>
      </c>
      <c r="E65" s="145"/>
      <c r="F65" s="32"/>
      <c r="G65" s="33" t="s">
        <v>333</v>
      </c>
      <c r="I65" s="22"/>
      <c r="J65" s="77"/>
      <c r="K65" s="78"/>
    </row>
    <row r="66" spans="1:11" s="34" customFormat="1" ht="19.149999999999999" customHeight="1">
      <c r="A66" s="210" t="s">
        <v>119</v>
      </c>
      <c r="B66" s="211" t="s">
        <v>197</v>
      </c>
      <c r="C66" s="213" t="s">
        <v>85</v>
      </c>
      <c r="D66" s="212">
        <v>2</v>
      </c>
      <c r="E66" s="145"/>
      <c r="F66" s="32"/>
      <c r="G66" s="33" t="s">
        <v>237</v>
      </c>
      <c r="I66" s="22"/>
      <c r="J66" s="77"/>
      <c r="K66" s="78"/>
    </row>
    <row r="67" spans="1:11" s="34" customFormat="1" ht="19.149999999999999" customHeight="1">
      <c r="A67" s="210" t="s">
        <v>311</v>
      </c>
      <c r="B67" s="211" t="s">
        <v>366</v>
      </c>
      <c r="C67" s="213" t="s">
        <v>6</v>
      </c>
      <c r="D67" s="215">
        <v>9</v>
      </c>
      <c r="E67" s="145"/>
      <c r="F67" s="32"/>
      <c r="G67" s="33" t="s">
        <v>356</v>
      </c>
      <c r="I67" s="22"/>
      <c r="J67" s="77"/>
      <c r="K67" s="78"/>
    </row>
    <row r="68" spans="1:11" s="34" customFormat="1" ht="19.149999999999999" customHeight="1">
      <c r="A68" s="178"/>
      <c r="B68" s="179"/>
      <c r="C68" s="178"/>
      <c r="D68" s="180"/>
      <c r="E68" s="145"/>
      <c r="F68" s="32"/>
      <c r="G68" s="33"/>
      <c r="I68" s="22"/>
      <c r="J68" s="77"/>
      <c r="K68" s="78"/>
    </row>
    <row r="69" spans="1:11" s="34" customFormat="1" ht="19.149999999999999" customHeight="1">
      <c r="A69" s="178"/>
      <c r="B69" s="179"/>
      <c r="C69" s="178"/>
      <c r="D69" s="180"/>
      <c r="E69" s="145"/>
      <c r="F69" s="32"/>
      <c r="G69" s="33"/>
      <c r="I69" s="22"/>
      <c r="J69" s="77"/>
      <c r="K69" s="78"/>
    </row>
    <row r="70" spans="1:11" s="34" customFormat="1" ht="19.149999999999999" customHeight="1">
      <c r="A70" s="178"/>
      <c r="B70" s="179"/>
      <c r="C70" s="178"/>
      <c r="D70" s="180"/>
      <c r="E70" s="145"/>
      <c r="F70" s="32"/>
      <c r="G70" s="33"/>
      <c r="I70" s="22"/>
      <c r="J70" s="77"/>
      <c r="K70" s="78"/>
    </row>
    <row r="71" spans="1:11" s="34" customFormat="1" ht="19.149999999999999" customHeight="1">
      <c r="A71" s="178"/>
      <c r="B71" s="179"/>
      <c r="C71" s="178"/>
      <c r="D71" s="180"/>
      <c r="E71" s="145"/>
      <c r="F71" s="32"/>
      <c r="G71" s="33"/>
      <c r="I71" s="22"/>
      <c r="J71" s="77"/>
      <c r="K71" s="78"/>
    </row>
    <row r="72" spans="1:11" s="34" customFormat="1" ht="19.149999999999999" customHeight="1">
      <c r="A72" s="178"/>
      <c r="B72" s="179"/>
      <c r="C72" s="178"/>
      <c r="D72" s="180"/>
      <c r="E72" s="145"/>
      <c r="F72" s="32"/>
      <c r="G72" s="33"/>
      <c r="I72" s="22"/>
      <c r="J72" s="77"/>
      <c r="K72" s="78"/>
    </row>
    <row r="73" spans="1:11" s="34" customFormat="1" ht="19.149999999999999" customHeight="1">
      <c r="A73" s="178"/>
      <c r="B73" s="179"/>
      <c r="C73" s="178"/>
      <c r="D73" s="180"/>
      <c r="E73" s="145"/>
      <c r="F73" s="32"/>
      <c r="G73" s="33"/>
      <c r="I73" s="22"/>
      <c r="J73" s="77"/>
      <c r="K73" s="78"/>
    </row>
    <row r="74" spans="1:11" s="34" customFormat="1" ht="19.149999999999999" customHeight="1">
      <c r="A74" s="178"/>
      <c r="B74" s="179"/>
      <c r="C74" s="178"/>
      <c r="D74" s="180"/>
      <c r="E74" s="145"/>
      <c r="F74" s="32"/>
      <c r="G74" s="33"/>
      <c r="I74" s="22"/>
      <c r="J74" s="77"/>
      <c r="K74" s="78"/>
    </row>
    <row r="75" spans="1:11" s="34" customFormat="1" ht="19.149999999999999" customHeight="1">
      <c r="A75" s="178"/>
      <c r="B75" s="179"/>
      <c r="C75" s="178"/>
      <c r="D75" s="180"/>
      <c r="E75" s="145"/>
      <c r="F75" s="32"/>
      <c r="G75" s="33"/>
      <c r="I75" s="22"/>
      <c r="J75" s="77"/>
      <c r="K75" s="78"/>
    </row>
    <row r="76" spans="1:11" s="34" customFormat="1" ht="19.149999999999999" customHeight="1">
      <c r="A76" s="178"/>
      <c r="B76" s="179"/>
      <c r="C76" s="178"/>
      <c r="D76" s="180"/>
      <c r="E76" s="145"/>
      <c r="F76" s="32"/>
      <c r="G76" s="33"/>
      <c r="I76" s="22"/>
      <c r="J76" s="77"/>
      <c r="K76" s="78"/>
    </row>
    <row r="77" spans="1:11" s="34" customFormat="1" ht="19.149999999999999" customHeight="1">
      <c r="A77" s="182" t="s">
        <v>132</v>
      </c>
      <c r="B77" s="173"/>
      <c r="C77" s="175"/>
      <c r="D77" s="183"/>
      <c r="E77" s="145"/>
      <c r="F77" s="32"/>
      <c r="G77" s="33"/>
    </row>
    <row r="78" spans="1:11" s="34" customFormat="1" ht="19.149999999999999" customHeight="1">
      <c r="A78" s="178" t="s">
        <v>763</v>
      </c>
      <c r="B78" s="179"/>
      <c r="C78" s="178"/>
      <c r="D78" s="180"/>
      <c r="E78" s="145"/>
      <c r="F78" s="32"/>
      <c r="G78" s="33"/>
      <c r="I78" s="22"/>
      <c r="J78" s="77"/>
      <c r="K78" s="78"/>
    </row>
    <row r="79" spans="1:11" s="34" customFormat="1" ht="19.149999999999999" customHeight="1">
      <c r="A79" s="210" t="s">
        <v>359</v>
      </c>
      <c r="B79" s="211" t="s">
        <v>360</v>
      </c>
      <c r="C79" s="213" t="s">
        <v>177</v>
      </c>
      <c r="D79" s="212">
        <v>651</v>
      </c>
      <c r="E79" s="145"/>
      <c r="F79" s="32"/>
      <c r="G79" s="33" t="s">
        <v>367</v>
      </c>
      <c r="I79" s="22"/>
      <c r="J79" s="77"/>
      <c r="K79" s="78"/>
    </row>
    <row r="80" spans="1:11" s="34" customFormat="1" ht="19.149999999999999" customHeight="1">
      <c r="A80" s="210" t="s">
        <v>359</v>
      </c>
      <c r="B80" s="211" t="s">
        <v>373</v>
      </c>
      <c r="C80" s="213" t="s">
        <v>177</v>
      </c>
      <c r="D80" s="212">
        <v>178</v>
      </c>
      <c r="E80" s="145"/>
      <c r="F80" s="32"/>
      <c r="G80" s="33" t="s">
        <v>400</v>
      </c>
      <c r="I80" s="22"/>
      <c r="J80" s="77"/>
      <c r="K80" s="78"/>
    </row>
    <row r="81" spans="1:11" s="34" customFormat="1" ht="19.149999999999999" customHeight="1">
      <c r="A81" s="210" t="s">
        <v>267</v>
      </c>
      <c r="B81" s="211" t="s">
        <v>271</v>
      </c>
      <c r="C81" s="213" t="s">
        <v>177</v>
      </c>
      <c r="D81" s="212">
        <v>12</v>
      </c>
      <c r="E81" s="145"/>
      <c r="F81" s="32"/>
      <c r="G81" s="33" t="s">
        <v>319</v>
      </c>
      <c r="I81" s="22"/>
      <c r="J81" s="77"/>
      <c r="K81" s="78"/>
    </row>
    <row r="82" spans="1:11" s="34" customFormat="1" ht="19.149999999999999" customHeight="1">
      <c r="A82" s="210" t="s">
        <v>377</v>
      </c>
      <c r="B82" s="211" t="s">
        <v>378</v>
      </c>
      <c r="C82" s="213" t="s">
        <v>177</v>
      </c>
      <c r="D82" s="212">
        <v>24</v>
      </c>
      <c r="E82" s="145"/>
      <c r="F82" s="32"/>
      <c r="G82" s="33" t="s">
        <v>404</v>
      </c>
      <c r="I82" s="22"/>
      <c r="J82" s="77"/>
      <c r="K82" s="78"/>
    </row>
    <row r="83" spans="1:11" s="34" customFormat="1" ht="19.149999999999999" customHeight="1">
      <c r="A83" s="210" t="s">
        <v>377</v>
      </c>
      <c r="B83" s="211" t="s">
        <v>379</v>
      </c>
      <c r="C83" s="213" t="s">
        <v>177</v>
      </c>
      <c r="D83" s="212">
        <v>10</v>
      </c>
      <c r="E83" s="145"/>
      <c r="F83" s="32"/>
      <c r="G83" s="33" t="s">
        <v>405</v>
      </c>
      <c r="I83" s="22"/>
      <c r="J83" s="77"/>
      <c r="K83" s="78"/>
    </row>
    <row r="84" spans="1:11" s="34" customFormat="1" ht="19.149999999999999" customHeight="1">
      <c r="A84" s="210" t="s">
        <v>273</v>
      </c>
      <c r="B84" s="211" t="s">
        <v>277</v>
      </c>
      <c r="C84" s="213" t="s">
        <v>85</v>
      </c>
      <c r="D84" s="212">
        <v>2</v>
      </c>
      <c r="E84" s="145"/>
      <c r="F84" s="32"/>
      <c r="G84" s="33">
        <v>0</v>
      </c>
      <c r="I84" s="22"/>
      <c r="J84" s="77"/>
      <c r="K84" s="78"/>
    </row>
    <row r="85" spans="1:11" s="34" customFormat="1" ht="19.149999999999999" customHeight="1">
      <c r="A85" s="210" t="s">
        <v>362</v>
      </c>
      <c r="B85" s="211" t="s">
        <v>363</v>
      </c>
      <c r="C85" s="213" t="s">
        <v>177</v>
      </c>
      <c r="D85" s="212">
        <v>2109</v>
      </c>
      <c r="E85" s="145"/>
      <c r="F85" s="32"/>
      <c r="G85" s="33" t="s">
        <v>369</v>
      </c>
      <c r="I85" s="22"/>
      <c r="J85" s="77"/>
      <c r="K85" s="78"/>
    </row>
    <row r="86" spans="1:11" s="34" customFormat="1" ht="19.149999999999999" customHeight="1">
      <c r="A86" s="210" t="s">
        <v>250</v>
      </c>
      <c r="B86" s="211" t="s">
        <v>187</v>
      </c>
      <c r="C86" s="213" t="s">
        <v>177</v>
      </c>
      <c r="D86" s="212">
        <v>43</v>
      </c>
      <c r="E86" s="145"/>
      <c r="F86" s="32"/>
      <c r="G86" s="33" t="s">
        <v>407</v>
      </c>
      <c r="I86" s="22"/>
      <c r="J86" s="77"/>
      <c r="K86" s="78"/>
    </row>
    <row r="87" spans="1:11" s="34" customFormat="1" ht="19.149999999999999" customHeight="1">
      <c r="A87" s="210" t="s">
        <v>250</v>
      </c>
      <c r="B87" s="211" t="s">
        <v>105</v>
      </c>
      <c r="C87" s="213" t="s">
        <v>177</v>
      </c>
      <c r="D87" s="212">
        <v>12</v>
      </c>
      <c r="E87" s="145"/>
      <c r="F87" s="32"/>
      <c r="G87" s="33" t="s">
        <v>322</v>
      </c>
      <c r="I87" s="22"/>
      <c r="J87" s="77"/>
      <c r="K87" s="78"/>
    </row>
    <row r="88" spans="1:11" s="34" customFormat="1" ht="19.149999999999999" customHeight="1">
      <c r="A88" s="210" t="s">
        <v>384</v>
      </c>
      <c r="B88" s="211" t="s">
        <v>385</v>
      </c>
      <c r="C88" s="213" t="s">
        <v>177</v>
      </c>
      <c r="D88" s="215">
        <v>52</v>
      </c>
      <c r="E88" s="145"/>
      <c r="F88" s="32"/>
      <c r="G88" s="33" t="s">
        <v>408</v>
      </c>
      <c r="I88" s="22"/>
      <c r="J88" s="77"/>
      <c r="K88" s="78"/>
    </row>
    <row r="89" spans="1:11" s="34" customFormat="1" ht="19.149999999999999" customHeight="1">
      <c r="A89" s="210" t="s">
        <v>251</v>
      </c>
      <c r="B89" s="211" t="s">
        <v>386</v>
      </c>
      <c r="C89" s="213" t="s">
        <v>177</v>
      </c>
      <c r="D89" s="215">
        <v>35</v>
      </c>
      <c r="E89" s="145"/>
      <c r="F89" s="32"/>
      <c r="G89" s="33" t="s">
        <v>409</v>
      </c>
      <c r="I89" s="22"/>
      <c r="J89" s="77"/>
      <c r="K89" s="78"/>
    </row>
    <row r="90" spans="1:11" s="34" customFormat="1" ht="19.149999999999999" customHeight="1">
      <c r="A90" s="210" t="s">
        <v>251</v>
      </c>
      <c r="B90" s="211" t="s">
        <v>388</v>
      </c>
      <c r="C90" s="213" t="s">
        <v>177</v>
      </c>
      <c r="D90" s="215">
        <v>64</v>
      </c>
      <c r="E90" s="145"/>
      <c r="F90" s="32"/>
      <c r="G90" s="33" t="s">
        <v>411</v>
      </c>
      <c r="I90" s="22"/>
      <c r="J90" s="77"/>
      <c r="K90" s="78"/>
    </row>
    <row r="91" spans="1:11" s="34" customFormat="1" ht="19.149999999999999" customHeight="1">
      <c r="A91" s="210" t="s">
        <v>251</v>
      </c>
      <c r="B91" s="211" t="s">
        <v>282</v>
      </c>
      <c r="C91" s="213" t="s">
        <v>177</v>
      </c>
      <c r="D91" s="215">
        <v>12</v>
      </c>
      <c r="E91" s="145"/>
      <c r="F91" s="32"/>
      <c r="G91" s="33" t="s">
        <v>327</v>
      </c>
      <c r="I91" s="22"/>
      <c r="J91" s="77"/>
      <c r="K91" s="78"/>
    </row>
    <row r="92" spans="1:11" s="34" customFormat="1" ht="19.149999999999999" customHeight="1">
      <c r="A92" s="210" t="s">
        <v>251</v>
      </c>
      <c r="B92" s="211" t="s">
        <v>365</v>
      </c>
      <c r="C92" s="213" t="s">
        <v>177</v>
      </c>
      <c r="D92" s="215">
        <v>32</v>
      </c>
      <c r="E92" s="145"/>
      <c r="F92" s="32"/>
      <c r="G92" s="33" t="s">
        <v>371</v>
      </c>
      <c r="I92" s="22"/>
      <c r="J92" s="77"/>
      <c r="K92" s="78"/>
    </row>
    <row r="93" spans="1:11" s="34" customFormat="1" ht="19.149999999999999" customHeight="1">
      <c r="A93" s="210" t="s">
        <v>389</v>
      </c>
      <c r="B93" s="211" t="s">
        <v>390</v>
      </c>
      <c r="C93" s="213" t="s">
        <v>85</v>
      </c>
      <c r="D93" s="215">
        <v>23</v>
      </c>
      <c r="E93" s="145"/>
      <c r="F93" s="32"/>
      <c r="G93" s="33" t="s">
        <v>412</v>
      </c>
      <c r="I93" s="22"/>
      <c r="J93" s="77"/>
      <c r="K93" s="78"/>
    </row>
    <row r="94" spans="1:11" s="34" customFormat="1" ht="19.149999999999999" customHeight="1">
      <c r="A94" s="210" t="s">
        <v>391</v>
      </c>
      <c r="B94" s="211" t="s">
        <v>117</v>
      </c>
      <c r="C94" s="213" t="s">
        <v>85</v>
      </c>
      <c r="D94" s="215">
        <v>46</v>
      </c>
      <c r="E94" s="145"/>
      <c r="F94" s="32"/>
      <c r="G94" s="33" t="s">
        <v>413</v>
      </c>
      <c r="I94" s="22"/>
      <c r="J94" s="77"/>
      <c r="K94" s="78"/>
    </row>
    <row r="95" spans="1:11" s="34" customFormat="1" ht="19.149999999999999" customHeight="1">
      <c r="A95" s="210" t="s">
        <v>392</v>
      </c>
      <c r="B95" s="211" t="s">
        <v>393</v>
      </c>
      <c r="C95" s="213" t="s">
        <v>85</v>
      </c>
      <c r="D95" s="215">
        <v>23</v>
      </c>
      <c r="E95" s="145"/>
      <c r="F95" s="32"/>
      <c r="G95" s="33">
        <v>0</v>
      </c>
      <c r="I95" s="22"/>
      <c r="J95" s="77"/>
      <c r="K95" s="78"/>
    </row>
    <row r="96" spans="1:11" s="34" customFormat="1" ht="19.149999999999999" customHeight="1">
      <c r="A96" s="210" t="s">
        <v>392</v>
      </c>
      <c r="B96" s="211" t="s">
        <v>394</v>
      </c>
      <c r="C96" s="213" t="s">
        <v>85</v>
      </c>
      <c r="D96" s="215">
        <v>46</v>
      </c>
      <c r="E96" s="145"/>
      <c r="F96" s="32"/>
      <c r="G96" s="33">
        <v>0</v>
      </c>
      <c r="I96" s="22"/>
      <c r="J96" s="77"/>
      <c r="K96" s="78"/>
    </row>
    <row r="97" spans="1:11" s="34" customFormat="1" ht="19.149999999999999" customHeight="1">
      <c r="A97" s="210" t="s">
        <v>119</v>
      </c>
      <c r="B97" s="211" t="s">
        <v>197</v>
      </c>
      <c r="C97" s="213" t="s">
        <v>85</v>
      </c>
      <c r="D97" s="215">
        <v>16</v>
      </c>
      <c r="E97" s="145"/>
      <c r="F97" s="32"/>
      <c r="G97" s="33" t="s">
        <v>237</v>
      </c>
      <c r="I97" s="22"/>
      <c r="J97" s="77"/>
      <c r="K97" s="78"/>
    </row>
    <row r="98" spans="1:11" s="34" customFormat="1" ht="19.149999999999999" customHeight="1">
      <c r="A98" s="210" t="s">
        <v>200</v>
      </c>
      <c r="B98" s="211" t="s">
        <v>201</v>
      </c>
      <c r="C98" s="213" t="s">
        <v>85</v>
      </c>
      <c r="D98" s="215">
        <v>4</v>
      </c>
      <c r="E98" s="145"/>
      <c r="F98" s="32"/>
      <c r="G98" s="33" t="s">
        <v>240</v>
      </c>
      <c r="I98" s="22"/>
      <c r="J98" s="77"/>
      <c r="K98" s="78"/>
    </row>
    <row r="99" spans="1:11" s="34" customFormat="1" ht="19.149999999999999" customHeight="1">
      <c r="A99" s="210" t="s">
        <v>397</v>
      </c>
      <c r="B99" s="211" t="s">
        <v>398</v>
      </c>
      <c r="C99" s="213" t="s">
        <v>85</v>
      </c>
      <c r="D99" s="215">
        <v>25</v>
      </c>
      <c r="E99" s="145"/>
      <c r="F99" s="32"/>
      <c r="G99" s="33" t="s">
        <v>415</v>
      </c>
      <c r="I99" s="22"/>
      <c r="J99" s="77"/>
      <c r="K99" s="78"/>
    </row>
    <row r="100" spans="1:11" s="34" customFormat="1" ht="19.149999999999999" customHeight="1">
      <c r="A100" s="210" t="s">
        <v>311</v>
      </c>
      <c r="B100" s="211" t="s">
        <v>314</v>
      </c>
      <c r="C100" s="213" t="s">
        <v>6</v>
      </c>
      <c r="D100" s="215">
        <v>5</v>
      </c>
      <c r="E100" s="145"/>
      <c r="F100" s="32"/>
      <c r="G100" s="33" t="s">
        <v>372</v>
      </c>
      <c r="I100" s="22"/>
      <c r="J100" s="77"/>
      <c r="K100" s="78"/>
    </row>
    <row r="101" spans="1:11" s="34" customFormat="1" ht="19.149999999999999" customHeight="1">
      <c r="A101" s="178"/>
      <c r="B101" s="179"/>
      <c r="C101" s="178"/>
      <c r="D101" s="180"/>
      <c r="E101" s="145"/>
      <c r="F101" s="32"/>
      <c r="G101" s="33"/>
      <c r="I101" s="22"/>
      <c r="J101" s="77"/>
      <c r="K101" s="78"/>
    </row>
    <row r="102" spans="1:11" s="34" customFormat="1" ht="19.149999999999999" customHeight="1">
      <c r="A102" s="182" t="s">
        <v>132</v>
      </c>
      <c r="B102" s="173"/>
      <c r="C102" s="175"/>
      <c r="D102" s="183"/>
      <c r="E102" s="145"/>
      <c r="F102" s="32"/>
      <c r="G102" s="33"/>
    </row>
    <row r="103" spans="1:11" s="34" customFormat="1" ht="19.149999999999999" customHeight="1">
      <c r="A103" s="178" t="s">
        <v>764</v>
      </c>
      <c r="B103" s="179"/>
      <c r="C103" s="178"/>
      <c r="D103" s="180"/>
      <c r="E103" s="145"/>
      <c r="F103" s="32"/>
      <c r="G103" s="33"/>
      <c r="I103" s="22"/>
      <c r="J103" s="77"/>
      <c r="K103" s="78"/>
    </row>
    <row r="104" spans="1:11" s="34" customFormat="1" ht="19.149999999999999" customHeight="1">
      <c r="A104" s="210" t="s">
        <v>123</v>
      </c>
      <c r="B104" s="211" t="s">
        <v>417</v>
      </c>
      <c r="C104" s="213" t="s">
        <v>177</v>
      </c>
      <c r="D104" s="212">
        <v>78</v>
      </c>
      <c r="E104" s="145"/>
      <c r="F104" s="32"/>
      <c r="G104" s="33" t="s">
        <v>432</v>
      </c>
      <c r="I104" s="22"/>
      <c r="J104" s="77"/>
      <c r="K104" s="78"/>
    </row>
    <row r="105" spans="1:11" s="34" customFormat="1" ht="19.149999999999999" customHeight="1">
      <c r="A105" s="210" t="s">
        <v>123</v>
      </c>
      <c r="B105" s="211" t="s">
        <v>418</v>
      </c>
      <c r="C105" s="213" t="s">
        <v>177</v>
      </c>
      <c r="D105" s="212">
        <v>53</v>
      </c>
      <c r="E105" s="145"/>
      <c r="F105" s="32"/>
      <c r="G105" s="33" t="s">
        <v>433</v>
      </c>
      <c r="I105" s="22"/>
      <c r="J105" s="77"/>
      <c r="K105" s="78"/>
    </row>
    <row r="106" spans="1:11" s="34" customFormat="1" ht="19.149999999999999" customHeight="1">
      <c r="A106" s="210" t="s">
        <v>124</v>
      </c>
      <c r="B106" s="211" t="s">
        <v>420</v>
      </c>
      <c r="C106" s="213" t="s">
        <v>85</v>
      </c>
      <c r="D106" s="212">
        <v>7</v>
      </c>
      <c r="E106" s="145"/>
      <c r="F106" s="32"/>
      <c r="G106" s="33" t="s">
        <v>435</v>
      </c>
      <c r="I106" s="22"/>
      <c r="J106" s="77"/>
      <c r="K106" s="78"/>
    </row>
    <row r="107" spans="1:11" s="34" customFormat="1" ht="19.149999999999999" customHeight="1">
      <c r="A107" s="210" t="s">
        <v>124</v>
      </c>
      <c r="B107" s="211" t="s">
        <v>421</v>
      </c>
      <c r="C107" s="213" t="s">
        <v>85</v>
      </c>
      <c r="D107" s="212">
        <v>3</v>
      </c>
      <c r="E107" s="145"/>
      <c r="F107" s="32"/>
      <c r="G107" s="33" t="s">
        <v>436</v>
      </c>
      <c r="I107" s="22"/>
      <c r="J107" s="77"/>
      <c r="K107" s="78"/>
    </row>
    <row r="108" spans="1:11" s="34" customFormat="1" ht="19.149999999999999" customHeight="1">
      <c r="A108" s="210" t="s">
        <v>124</v>
      </c>
      <c r="B108" s="211" t="s">
        <v>422</v>
      </c>
      <c r="C108" s="213" t="s">
        <v>85</v>
      </c>
      <c r="D108" s="212">
        <v>1</v>
      </c>
      <c r="E108" s="145"/>
      <c r="F108" s="32"/>
      <c r="G108" s="33" t="s">
        <v>437</v>
      </c>
      <c r="I108" s="22"/>
      <c r="J108" s="77"/>
      <c r="K108" s="78"/>
    </row>
    <row r="109" spans="1:11" s="34" customFormat="1" ht="19.149999999999999" customHeight="1">
      <c r="A109" s="210" t="s">
        <v>124</v>
      </c>
      <c r="B109" s="211" t="s">
        <v>423</v>
      </c>
      <c r="C109" s="213" t="s">
        <v>85</v>
      </c>
      <c r="D109" s="212">
        <v>2</v>
      </c>
      <c r="E109" s="145"/>
      <c r="F109" s="32"/>
      <c r="G109" s="33" t="s">
        <v>438</v>
      </c>
      <c r="I109" s="22"/>
      <c r="J109" s="77"/>
      <c r="K109" s="78"/>
    </row>
    <row r="110" spans="1:11" s="34" customFormat="1" ht="19.149999999999999" customHeight="1">
      <c r="A110" s="210" t="s">
        <v>124</v>
      </c>
      <c r="B110" s="211" t="s">
        <v>427</v>
      </c>
      <c r="C110" s="213" t="s">
        <v>85</v>
      </c>
      <c r="D110" s="212">
        <v>88</v>
      </c>
      <c r="E110" s="145"/>
      <c r="F110" s="32"/>
      <c r="G110" s="33">
        <v>0</v>
      </c>
      <c r="I110" s="22"/>
      <c r="J110" s="77"/>
      <c r="K110" s="78"/>
    </row>
    <row r="111" spans="1:11" s="34" customFormat="1" ht="19.149999999999999" customHeight="1">
      <c r="A111" s="210" t="s">
        <v>124</v>
      </c>
      <c r="B111" s="211" t="s">
        <v>135</v>
      </c>
      <c r="C111" s="213" t="s">
        <v>85</v>
      </c>
      <c r="D111" s="215">
        <v>45</v>
      </c>
      <c r="E111" s="145"/>
      <c r="F111" s="32"/>
      <c r="G111" s="33">
        <v>0</v>
      </c>
      <c r="I111" s="22"/>
      <c r="J111" s="77"/>
      <c r="K111" s="78"/>
    </row>
    <row r="112" spans="1:11" s="34" customFormat="1" ht="19.149999999999999" customHeight="1">
      <c r="A112" s="210" t="s">
        <v>124</v>
      </c>
      <c r="B112" s="211" t="s">
        <v>136</v>
      </c>
      <c r="C112" s="213" t="s">
        <v>85</v>
      </c>
      <c r="D112" s="215">
        <v>704</v>
      </c>
      <c r="E112" s="145"/>
      <c r="F112" s="32"/>
      <c r="G112" s="33">
        <v>0</v>
      </c>
      <c r="I112" s="22"/>
      <c r="J112" s="77"/>
      <c r="K112" s="78"/>
    </row>
    <row r="113" spans="1:11" s="34" customFormat="1" ht="19.149999999999999" customHeight="1">
      <c r="A113" s="210" t="s">
        <v>428</v>
      </c>
      <c r="B113" s="211" t="s">
        <v>429</v>
      </c>
      <c r="C113" s="213" t="s">
        <v>95</v>
      </c>
      <c r="D113" s="215">
        <v>40</v>
      </c>
      <c r="E113" s="145"/>
      <c r="F113" s="32"/>
      <c r="G113" s="33" t="s">
        <v>235</v>
      </c>
      <c r="I113" s="22"/>
      <c r="J113" s="77"/>
      <c r="K113" s="78"/>
    </row>
    <row r="114" spans="1:11" s="34" customFormat="1" ht="19.149999999999999" customHeight="1">
      <c r="A114" s="210" t="s">
        <v>428</v>
      </c>
      <c r="B114" s="211" t="s">
        <v>430</v>
      </c>
      <c r="C114" s="213" t="s">
        <v>95</v>
      </c>
      <c r="D114" s="215">
        <v>35</v>
      </c>
      <c r="E114" s="145"/>
      <c r="F114" s="32"/>
      <c r="G114" s="33" t="s">
        <v>442</v>
      </c>
      <c r="I114" s="22"/>
      <c r="J114" s="77"/>
      <c r="K114" s="78"/>
    </row>
    <row r="115" spans="1:11" s="34" customFormat="1" ht="19.149999999999999" customHeight="1">
      <c r="A115" s="178"/>
      <c r="B115" s="179"/>
      <c r="C115" s="178"/>
      <c r="D115" s="180"/>
      <c r="E115" s="145"/>
      <c r="F115" s="32"/>
      <c r="G115" s="33"/>
      <c r="I115" s="22"/>
      <c r="J115" s="77"/>
      <c r="K115" s="78"/>
    </row>
    <row r="116" spans="1:11" s="34" customFormat="1" ht="19.149999999999999" customHeight="1">
      <c r="A116" s="178"/>
      <c r="B116" s="179"/>
      <c r="C116" s="178"/>
      <c r="D116" s="180"/>
      <c r="E116" s="145"/>
      <c r="F116" s="32"/>
      <c r="G116" s="33"/>
      <c r="I116" s="22"/>
      <c r="J116" s="77"/>
      <c r="K116" s="78"/>
    </row>
    <row r="117" spans="1:11" s="34" customFormat="1" ht="19.149999999999999" customHeight="1">
      <c r="A117" s="178"/>
      <c r="B117" s="179"/>
      <c r="C117" s="178"/>
      <c r="D117" s="180"/>
      <c r="E117" s="145"/>
      <c r="F117" s="32"/>
      <c r="G117" s="33"/>
      <c r="I117" s="22"/>
      <c r="J117" s="77"/>
      <c r="K117" s="78"/>
    </row>
    <row r="118" spans="1:11" s="34" customFormat="1" ht="19.149999999999999" customHeight="1">
      <c r="A118" s="178"/>
      <c r="B118" s="179"/>
      <c r="C118" s="178"/>
      <c r="D118" s="180"/>
      <c r="E118" s="145"/>
      <c r="F118" s="32"/>
      <c r="G118" s="33"/>
      <c r="I118" s="22"/>
      <c r="J118" s="77"/>
      <c r="K118" s="78"/>
    </row>
    <row r="119" spans="1:11" s="34" customFormat="1" ht="19.149999999999999" customHeight="1">
      <c r="A119" s="178"/>
      <c r="B119" s="179"/>
      <c r="C119" s="178"/>
      <c r="D119" s="180"/>
      <c r="E119" s="145"/>
      <c r="F119" s="32"/>
      <c r="G119" s="33"/>
      <c r="I119" s="22"/>
      <c r="J119" s="77"/>
      <c r="K119" s="78"/>
    </row>
    <row r="120" spans="1:11" s="34" customFormat="1" ht="19.149999999999999" customHeight="1">
      <c r="A120" s="178"/>
      <c r="B120" s="179"/>
      <c r="C120" s="178"/>
      <c r="D120" s="180"/>
      <c r="E120" s="145"/>
      <c r="F120" s="32"/>
      <c r="G120" s="33"/>
      <c r="I120" s="22"/>
      <c r="J120" s="77"/>
      <c r="K120" s="78"/>
    </row>
    <row r="121" spans="1:11" s="34" customFormat="1" ht="19.149999999999999" customHeight="1">
      <c r="A121" s="178"/>
      <c r="B121" s="179"/>
      <c r="C121" s="178"/>
      <c r="D121" s="180"/>
      <c r="E121" s="145"/>
      <c r="F121" s="32"/>
      <c r="G121" s="33"/>
      <c r="I121" s="22"/>
      <c r="J121" s="77"/>
      <c r="K121" s="78"/>
    </row>
    <row r="122" spans="1:11" s="34" customFormat="1" ht="19.149999999999999" customHeight="1">
      <c r="A122" s="178"/>
      <c r="B122" s="179"/>
      <c r="C122" s="178"/>
      <c r="D122" s="180"/>
      <c r="E122" s="145"/>
      <c r="F122" s="32"/>
      <c r="G122" s="33"/>
      <c r="I122" s="22"/>
      <c r="J122" s="77"/>
      <c r="K122" s="78"/>
    </row>
    <row r="123" spans="1:11" s="34" customFormat="1" ht="19.149999999999999" customHeight="1">
      <c r="A123" s="178"/>
      <c r="B123" s="179"/>
      <c r="C123" s="178"/>
      <c r="D123" s="180"/>
      <c r="E123" s="145"/>
      <c r="F123" s="32"/>
      <c r="G123" s="33"/>
      <c r="I123" s="22"/>
      <c r="J123" s="77"/>
      <c r="K123" s="78"/>
    </row>
    <row r="124" spans="1:11" s="34" customFormat="1" ht="19.149999999999999" customHeight="1">
      <c r="A124" s="178"/>
      <c r="B124" s="179"/>
      <c r="C124" s="178"/>
      <c r="D124" s="180"/>
      <c r="E124" s="145"/>
      <c r="F124" s="32"/>
      <c r="G124" s="33"/>
      <c r="I124" s="22"/>
      <c r="J124" s="77"/>
      <c r="K124" s="78"/>
    </row>
    <row r="125" spans="1:11" s="34" customFormat="1" ht="19.149999999999999" customHeight="1">
      <c r="A125" s="178"/>
      <c r="B125" s="179"/>
      <c r="C125" s="178"/>
      <c r="D125" s="180"/>
      <c r="E125" s="145"/>
      <c r="F125" s="32"/>
      <c r="G125" s="33"/>
      <c r="I125" s="22"/>
      <c r="J125" s="77"/>
      <c r="K125" s="78"/>
    </row>
    <row r="126" spans="1:11" s="34" customFormat="1" ht="19.149999999999999" customHeight="1">
      <c r="A126" s="178"/>
      <c r="B126" s="179"/>
      <c r="C126" s="178"/>
      <c r="D126" s="180"/>
      <c r="E126" s="145"/>
      <c r="F126" s="32"/>
      <c r="G126" s="33"/>
      <c r="I126" s="22"/>
      <c r="J126" s="77"/>
      <c r="K126" s="78"/>
    </row>
    <row r="127" spans="1:11" s="34" customFormat="1" ht="19.149999999999999" customHeight="1">
      <c r="A127" s="182" t="s">
        <v>132</v>
      </c>
      <c r="B127" s="173"/>
      <c r="C127" s="175"/>
      <c r="D127" s="183"/>
      <c r="E127" s="145"/>
      <c r="F127" s="32"/>
      <c r="G127" s="33"/>
    </row>
    <row r="128" spans="1:11" s="34" customFormat="1" ht="19.149999999999999" customHeight="1">
      <c r="A128" s="178" t="s">
        <v>765</v>
      </c>
      <c r="B128" s="179"/>
      <c r="C128" s="178"/>
      <c r="D128" s="180"/>
      <c r="E128" s="145"/>
      <c r="F128" s="32"/>
      <c r="G128" s="33"/>
      <c r="I128" s="22"/>
      <c r="J128" s="77"/>
      <c r="K128" s="78"/>
    </row>
    <row r="129" spans="1:11" s="34" customFormat="1" ht="19.149999999999999" customHeight="1">
      <c r="A129" s="210" t="s">
        <v>359</v>
      </c>
      <c r="B129" s="211" t="s">
        <v>360</v>
      </c>
      <c r="C129" s="213" t="s">
        <v>177</v>
      </c>
      <c r="D129" s="215">
        <v>569</v>
      </c>
      <c r="E129" s="145"/>
      <c r="F129" s="32"/>
      <c r="G129" s="33" t="s">
        <v>367</v>
      </c>
      <c r="I129" s="22"/>
      <c r="J129" s="77"/>
      <c r="K129" s="78"/>
    </row>
    <row r="130" spans="1:11" s="34" customFormat="1" ht="19.149999999999999" customHeight="1">
      <c r="A130" s="210" t="s">
        <v>359</v>
      </c>
      <c r="B130" s="211" t="s">
        <v>361</v>
      </c>
      <c r="C130" s="213" t="s">
        <v>177</v>
      </c>
      <c r="D130" s="215">
        <v>694</v>
      </c>
      <c r="E130" s="145"/>
      <c r="F130" s="32"/>
      <c r="G130" s="33" t="s">
        <v>368</v>
      </c>
      <c r="I130" s="22"/>
      <c r="J130" s="77"/>
      <c r="K130" s="78"/>
    </row>
    <row r="131" spans="1:11" s="34" customFormat="1" ht="19.149999999999999" customHeight="1">
      <c r="A131" s="210" t="s">
        <v>359</v>
      </c>
      <c r="B131" s="211" t="s">
        <v>373</v>
      </c>
      <c r="C131" s="213" t="s">
        <v>177</v>
      </c>
      <c r="D131" s="215">
        <v>7</v>
      </c>
      <c r="E131" s="145"/>
      <c r="F131" s="32"/>
      <c r="G131" s="33" t="s">
        <v>400</v>
      </c>
      <c r="I131" s="22"/>
      <c r="J131" s="77"/>
      <c r="K131" s="78"/>
    </row>
    <row r="132" spans="1:11" s="34" customFormat="1" ht="19.149999999999999" customHeight="1">
      <c r="A132" s="210" t="s">
        <v>384</v>
      </c>
      <c r="B132" s="211" t="s">
        <v>445</v>
      </c>
      <c r="C132" s="213" t="s">
        <v>177</v>
      </c>
      <c r="D132" s="215">
        <v>647</v>
      </c>
      <c r="E132" s="145"/>
      <c r="F132" s="32"/>
      <c r="G132" s="33" t="s">
        <v>519</v>
      </c>
      <c r="I132" s="22"/>
      <c r="J132" s="77"/>
      <c r="K132" s="78"/>
    </row>
    <row r="133" spans="1:11" s="34" customFormat="1" ht="19.149999999999999" customHeight="1">
      <c r="A133" s="210" t="s">
        <v>362</v>
      </c>
      <c r="B133" s="211" t="s">
        <v>451</v>
      </c>
      <c r="C133" s="213" t="s">
        <v>177</v>
      </c>
      <c r="D133" s="215">
        <v>4490</v>
      </c>
      <c r="E133" s="145"/>
      <c r="F133" s="32"/>
      <c r="G133" s="33" t="s">
        <v>525</v>
      </c>
      <c r="I133" s="22"/>
      <c r="J133" s="77"/>
      <c r="K133" s="78"/>
    </row>
    <row r="134" spans="1:11" s="34" customFormat="1" ht="19.149999999999999" customHeight="1">
      <c r="A134" s="210" t="s">
        <v>116</v>
      </c>
      <c r="B134" s="211" t="s">
        <v>364</v>
      </c>
      <c r="C134" s="213" t="s">
        <v>177</v>
      </c>
      <c r="D134" s="215">
        <v>34</v>
      </c>
      <c r="E134" s="145"/>
      <c r="F134" s="32"/>
      <c r="G134" s="33" t="s">
        <v>370</v>
      </c>
      <c r="I134" s="22"/>
      <c r="J134" s="77"/>
      <c r="K134" s="78"/>
    </row>
    <row r="135" spans="1:11" s="34" customFormat="1" ht="19.149999999999999" customHeight="1">
      <c r="A135" s="210" t="s">
        <v>391</v>
      </c>
      <c r="B135" s="211" t="s">
        <v>455</v>
      </c>
      <c r="C135" s="213" t="s">
        <v>85</v>
      </c>
      <c r="D135" s="215">
        <v>24</v>
      </c>
      <c r="E135" s="145"/>
      <c r="F135" s="32"/>
      <c r="G135" s="33" t="s">
        <v>528</v>
      </c>
      <c r="I135" s="22"/>
      <c r="J135" s="77"/>
      <c r="K135" s="78"/>
    </row>
    <row r="136" spans="1:11" s="34" customFormat="1" ht="19.149999999999999" customHeight="1">
      <c r="A136" s="210" t="s">
        <v>391</v>
      </c>
      <c r="B136" s="211" t="s">
        <v>117</v>
      </c>
      <c r="C136" s="213" t="s">
        <v>85</v>
      </c>
      <c r="D136" s="215">
        <v>318</v>
      </c>
      <c r="E136" s="145"/>
      <c r="F136" s="32"/>
      <c r="G136" s="33" t="s">
        <v>413</v>
      </c>
      <c r="I136" s="22"/>
      <c r="J136" s="77"/>
      <c r="K136" s="78"/>
    </row>
    <row r="137" spans="1:11" s="34" customFormat="1" ht="19.149999999999999" customHeight="1">
      <c r="A137" s="210" t="s">
        <v>389</v>
      </c>
      <c r="B137" s="211" t="s">
        <v>390</v>
      </c>
      <c r="C137" s="213" t="s">
        <v>85</v>
      </c>
      <c r="D137" s="215">
        <v>28</v>
      </c>
      <c r="E137" s="145"/>
      <c r="F137" s="32"/>
      <c r="G137" s="33" t="s">
        <v>412</v>
      </c>
      <c r="I137" s="22"/>
      <c r="J137" s="77"/>
      <c r="K137" s="78"/>
    </row>
    <row r="138" spans="1:11" s="34" customFormat="1" ht="19.149999999999999" customHeight="1">
      <c r="A138" s="210" t="s">
        <v>389</v>
      </c>
      <c r="B138" s="211" t="s">
        <v>456</v>
      </c>
      <c r="C138" s="213" t="s">
        <v>85</v>
      </c>
      <c r="D138" s="215">
        <v>12</v>
      </c>
      <c r="E138" s="145"/>
      <c r="F138" s="32"/>
      <c r="G138" s="33" t="s">
        <v>529</v>
      </c>
      <c r="I138" s="22"/>
      <c r="J138" s="77"/>
      <c r="K138" s="78"/>
    </row>
    <row r="139" spans="1:11" s="34" customFormat="1" ht="19.149999999999999" customHeight="1">
      <c r="A139" s="210" t="s">
        <v>392</v>
      </c>
      <c r="B139" s="211" t="s">
        <v>457</v>
      </c>
      <c r="C139" s="213" t="s">
        <v>85</v>
      </c>
      <c r="D139" s="215">
        <v>24</v>
      </c>
      <c r="E139" s="145"/>
      <c r="F139" s="32"/>
      <c r="G139" s="33">
        <v>0</v>
      </c>
      <c r="I139" s="22"/>
      <c r="J139" s="77"/>
      <c r="K139" s="78"/>
    </row>
    <row r="140" spans="1:11" s="34" customFormat="1" ht="19.149999999999999" customHeight="1">
      <c r="A140" s="210" t="s">
        <v>392</v>
      </c>
      <c r="B140" s="211" t="s">
        <v>394</v>
      </c>
      <c r="C140" s="213" t="s">
        <v>85</v>
      </c>
      <c r="D140" s="215">
        <v>318</v>
      </c>
      <c r="E140" s="145"/>
      <c r="F140" s="32"/>
      <c r="G140" s="33">
        <v>0</v>
      </c>
      <c r="I140" s="22"/>
      <c r="J140" s="77"/>
      <c r="K140" s="78"/>
    </row>
    <row r="141" spans="1:11" s="34" customFormat="1" ht="19.149999999999999" customHeight="1">
      <c r="A141" s="210" t="s">
        <v>392</v>
      </c>
      <c r="B141" s="211" t="s">
        <v>393</v>
      </c>
      <c r="C141" s="213" t="s">
        <v>85</v>
      </c>
      <c r="D141" s="215">
        <v>28</v>
      </c>
      <c r="E141" s="145"/>
      <c r="F141" s="32"/>
      <c r="G141" s="33">
        <v>0</v>
      </c>
      <c r="I141" s="22"/>
      <c r="J141" s="77"/>
      <c r="K141" s="78"/>
    </row>
    <row r="142" spans="1:11" s="34" customFormat="1" ht="19.149999999999999" customHeight="1">
      <c r="A142" s="210" t="s">
        <v>392</v>
      </c>
      <c r="B142" s="211" t="s">
        <v>458</v>
      </c>
      <c r="C142" s="213" t="s">
        <v>85</v>
      </c>
      <c r="D142" s="215">
        <v>12</v>
      </c>
      <c r="E142" s="145"/>
      <c r="F142" s="32"/>
      <c r="G142" s="33">
        <v>0</v>
      </c>
      <c r="I142" s="22"/>
      <c r="J142" s="77"/>
      <c r="K142" s="78"/>
    </row>
    <row r="143" spans="1:11" s="34" customFormat="1" ht="19.149999999999999" customHeight="1">
      <c r="A143" s="210" t="s">
        <v>459</v>
      </c>
      <c r="B143" s="211" t="s">
        <v>460</v>
      </c>
      <c r="C143" s="213" t="s">
        <v>85</v>
      </c>
      <c r="D143" s="215">
        <v>8</v>
      </c>
      <c r="E143" s="145"/>
      <c r="F143" s="32"/>
      <c r="G143" s="33" t="s">
        <v>530</v>
      </c>
      <c r="I143" s="22"/>
      <c r="J143" s="77"/>
      <c r="K143" s="78"/>
    </row>
    <row r="144" spans="1:11" s="34" customFormat="1" ht="19.149999999999999" customHeight="1">
      <c r="A144" s="210" t="s">
        <v>459</v>
      </c>
      <c r="B144" s="211" t="s">
        <v>461</v>
      </c>
      <c r="C144" s="213" t="s">
        <v>85</v>
      </c>
      <c r="D144" s="215">
        <v>13</v>
      </c>
      <c r="E144" s="145"/>
      <c r="F144" s="32"/>
      <c r="G144" s="33" t="s">
        <v>531</v>
      </c>
      <c r="I144" s="22"/>
      <c r="J144" s="77"/>
      <c r="K144" s="78"/>
    </row>
    <row r="145" spans="1:11" s="34" customFormat="1" ht="19.149999999999999" customHeight="1">
      <c r="A145" s="210" t="s">
        <v>459</v>
      </c>
      <c r="B145" s="211" t="s">
        <v>462</v>
      </c>
      <c r="C145" s="213" t="s">
        <v>85</v>
      </c>
      <c r="D145" s="215">
        <v>17</v>
      </c>
      <c r="E145" s="145"/>
      <c r="F145" s="32"/>
      <c r="G145" s="33" t="s">
        <v>532</v>
      </c>
      <c r="I145" s="22"/>
      <c r="J145" s="77"/>
      <c r="K145" s="78"/>
    </row>
    <row r="146" spans="1:11" s="34" customFormat="1" ht="19.149999999999999" customHeight="1">
      <c r="A146" s="210" t="s">
        <v>459</v>
      </c>
      <c r="B146" s="211" t="s">
        <v>463</v>
      </c>
      <c r="C146" s="213" t="s">
        <v>85</v>
      </c>
      <c r="D146" s="215">
        <v>2</v>
      </c>
      <c r="E146" s="145"/>
      <c r="F146" s="32"/>
      <c r="G146" s="33" t="s">
        <v>533</v>
      </c>
      <c r="I146" s="22"/>
      <c r="J146" s="77"/>
      <c r="K146" s="78"/>
    </row>
    <row r="147" spans="1:11" s="34" customFormat="1" ht="19.149999999999999" customHeight="1">
      <c r="A147" s="210" t="s">
        <v>130</v>
      </c>
      <c r="B147" s="211" t="s">
        <v>464</v>
      </c>
      <c r="C147" s="213" t="s">
        <v>85</v>
      </c>
      <c r="D147" s="215">
        <v>3</v>
      </c>
      <c r="E147" s="145"/>
      <c r="F147" s="32"/>
      <c r="G147" s="33" t="s">
        <v>534</v>
      </c>
      <c r="I147" s="22"/>
      <c r="J147" s="77"/>
      <c r="K147" s="78"/>
    </row>
    <row r="148" spans="1:11" s="34" customFormat="1" ht="19.149999999999999" customHeight="1">
      <c r="A148" s="210" t="s">
        <v>465</v>
      </c>
      <c r="B148" s="211" t="s">
        <v>466</v>
      </c>
      <c r="C148" s="213" t="s">
        <v>85</v>
      </c>
      <c r="D148" s="215">
        <v>3</v>
      </c>
      <c r="E148" s="145"/>
      <c r="F148" s="32"/>
      <c r="G148" s="33" t="s">
        <v>535</v>
      </c>
      <c r="I148" s="22"/>
      <c r="J148" s="77"/>
      <c r="K148" s="78"/>
    </row>
    <row r="149" spans="1:11" s="34" customFormat="1" ht="19.149999999999999" customHeight="1">
      <c r="A149" s="210" t="s">
        <v>470</v>
      </c>
      <c r="B149" s="211" t="s">
        <v>471</v>
      </c>
      <c r="C149" s="213" t="s">
        <v>85</v>
      </c>
      <c r="D149" s="215">
        <v>93</v>
      </c>
      <c r="E149" s="145"/>
      <c r="F149" s="32"/>
      <c r="G149" s="33" t="s">
        <v>539</v>
      </c>
      <c r="I149" s="22"/>
      <c r="J149" s="77"/>
      <c r="K149" s="78"/>
    </row>
    <row r="150" spans="1:11" s="34" customFormat="1" ht="19.149999999999999" customHeight="1">
      <c r="A150" s="210" t="s">
        <v>472</v>
      </c>
      <c r="B150" s="211" t="s">
        <v>473</v>
      </c>
      <c r="C150" s="213" t="s">
        <v>85</v>
      </c>
      <c r="D150" s="215">
        <v>13</v>
      </c>
      <c r="E150" s="145"/>
      <c r="F150" s="32"/>
      <c r="G150" s="33" t="s">
        <v>540</v>
      </c>
      <c r="I150" s="22"/>
      <c r="J150" s="77"/>
      <c r="K150" s="78"/>
    </row>
    <row r="151" spans="1:11" s="34" customFormat="1" ht="19.149999999999999" customHeight="1">
      <c r="A151" s="210" t="s">
        <v>474</v>
      </c>
      <c r="B151" s="211" t="s">
        <v>475</v>
      </c>
      <c r="C151" s="213" t="s">
        <v>85</v>
      </c>
      <c r="D151" s="215">
        <v>9</v>
      </c>
      <c r="E151" s="145"/>
      <c r="F151" s="32"/>
      <c r="G151" s="33" t="s">
        <v>541</v>
      </c>
      <c r="I151" s="22"/>
      <c r="J151" s="77"/>
      <c r="K151" s="78"/>
    </row>
    <row r="152" spans="1:11" s="34" customFormat="1" ht="19.149999999999999" customHeight="1">
      <c r="A152" s="210" t="s">
        <v>476</v>
      </c>
      <c r="B152" s="211" t="s">
        <v>477</v>
      </c>
      <c r="C152" s="213" t="s">
        <v>85</v>
      </c>
      <c r="D152" s="215">
        <v>39</v>
      </c>
      <c r="E152" s="145"/>
      <c r="F152" s="32"/>
      <c r="G152" s="33" t="s">
        <v>542</v>
      </c>
      <c r="I152" s="22"/>
      <c r="J152" s="77"/>
      <c r="K152" s="78"/>
    </row>
    <row r="153" spans="1:11" s="34" customFormat="1" ht="19.149999999999999" customHeight="1">
      <c r="A153" s="210" t="s">
        <v>478</v>
      </c>
      <c r="B153" s="211" t="s">
        <v>479</v>
      </c>
      <c r="C153" s="213" t="s">
        <v>85</v>
      </c>
      <c r="D153" s="215">
        <v>8</v>
      </c>
      <c r="E153" s="145"/>
      <c r="F153" s="32"/>
      <c r="G153" s="33" t="s">
        <v>543</v>
      </c>
      <c r="I153" s="22"/>
      <c r="J153" s="77"/>
      <c r="K153" s="78"/>
    </row>
    <row r="154" spans="1:11" s="34" customFormat="1" ht="19.149999999999999" customHeight="1">
      <c r="A154" s="210" t="s">
        <v>480</v>
      </c>
      <c r="B154" s="211" t="s">
        <v>479</v>
      </c>
      <c r="C154" s="213" t="s">
        <v>85</v>
      </c>
      <c r="D154" s="215">
        <v>9</v>
      </c>
      <c r="E154" s="145"/>
      <c r="F154" s="32"/>
      <c r="G154" s="33" t="s">
        <v>544</v>
      </c>
      <c r="I154" s="22"/>
      <c r="J154" s="77"/>
      <c r="K154" s="78"/>
    </row>
    <row r="155" spans="1:11" s="34" customFormat="1" ht="19.149999999999999" customHeight="1">
      <c r="A155" s="210" t="s">
        <v>481</v>
      </c>
      <c r="B155" s="211" t="s">
        <v>482</v>
      </c>
      <c r="C155" s="213" t="s">
        <v>85</v>
      </c>
      <c r="D155" s="215">
        <v>26</v>
      </c>
      <c r="E155" s="145"/>
      <c r="F155" s="32"/>
      <c r="G155" s="33" t="s">
        <v>545</v>
      </c>
      <c r="I155" s="22"/>
      <c r="J155" s="77"/>
      <c r="K155" s="78"/>
    </row>
    <row r="156" spans="1:11" s="34" customFormat="1" ht="19.149999999999999" customHeight="1">
      <c r="A156" s="210" t="s">
        <v>483</v>
      </c>
      <c r="B156" s="211" t="s">
        <v>484</v>
      </c>
      <c r="C156" s="213" t="s">
        <v>85</v>
      </c>
      <c r="D156" s="215">
        <v>2</v>
      </c>
      <c r="E156" s="145"/>
      <c r="F156" s="32"/>
      <c r="G156" s="33" t="s">
        <v>546</v>
      </c>
      <c r="I156" s="22"/>
      <c r="J156" s="77"/>
      <c r="K156" s="78"/>
    </row>
    <row r="157" spans="1:11" s="34" customFormat="1" ht="19.149999999999999" customHeight="1">
      <c r="A157" s="210" t="s">
        <v>485</v>
      </c>
      <c r="B157" s="211" t="s">
        <v>486</v>
      </c>
      <c r="C157" s="213" t="s">
        <v>85</v>
      </c>
      <c r="D157" s="215">
        <v>5</v>
      </c>
      <c r="E157" s="145"/>
      <c r="F157" s="32"/>
      <c r="G157" s="33" t="s">
        <v>547</v>
      </c>
      <c r="I157" s="22"/>
      <c r="J157" s="77"/>
      <c r="K157" s="78"/>
    </row>
    <row r="158" spans="1:11" s="34" customFormat="1" ht="19.149999999999999" customHeight="1">
      <c r="A158" s="210" t="s">
        <v>487</v>
      </c>
      <c r="B158" s="211" t="s">
        <v>488</v>
      </c>
      <c r="C158" s="213" t="s">
        <v>85</v>
      </c>
      <c r="D158" s="215">
        <v>7</v>
      </c>
      <c r="E158" s="145"/>
      <c r="F158" s="32"/>
      <c r="G158" s="33" t="s">
        <v>548</v>
      </c>
      <c r="I158" s="22"/>
      <c r="J158" s="77"/>
      <c r="K158" s="78"/>
    </row>
    <row r="159" spans="1:11" s="34" customFormat="1" ht="19.149999999999999" customHeight="1">
      <c r="A159" s="210" t="s">
        <v>204</v>
      </c>
      <c r="B159" s="211" t="s">
        <v>489</v>
      </c>
      <c r="C159" s="213" t="s">
        <v>85</v>
      </c>
      <c r="D159" s="215">
        <v>15</v>
      </c>
      <c r="E159" s="145"/>
      <c r="F159" s="32"/>
      <c r="G159" s="33" t="s">
        <v>243</v>
      </c>
      <c r="I159" s="22"/>
      <c r="J159" s="77"/>
      <c r="K159" s="78"/>
    </row>
    <row r="160" spans="1:11" s="34" customFormat="1" ht="19.149999999999999" customHeight="1">
      <c r="A160" s="210" t="s">
        <v>490</v>
      </c>
      <c r="B160" s="211" t="s">
        <v>491</v>
      </c>
      <c r="C160" s="213" t="s">
        <v>85</v>
      </c>
      <c r="D160" s="215">
        <v>6</v>
      </c>
      <c r="E160" s="145"/>
      <c r="F160" s="32"/>
      <c r="G160" s="33" t="s">
        <v>549</v>
      </c>
      <c r="I160" s="22"/>
      <c r="J160" s="77"/>
      <c r="K160" s="78"/>
    </row>
    <row r="161" spans="1:11" s="34" customFormat="1" ht="19.149999999999999" customHeight="1">
      <c r="A161" s="210" t="s">
        <v>492</v>
      </c>
      <c r="B161" s="211" t="s">
        <v>493</v>
      </c>
      <c r="C161" s="213" t="s">
        <v>85</v>
      </c>
      <c r="D161" s="215">
        <v>36</v>
      </c>
      <c r="E161" s="145"/>
      <c r="F161" s="32"/>
      <c r="G161" s="33" t="s">
        <v>550</v>
      </c>
      <c r="I161" s="22"/>
      <c r="J161" s="77"/>
      <c r="K161" s="78"/>
    </row>
    <row r="162" spans="1:11" s="34" customFormat="1" ht="19.149999999999999" customHeight="1">
      <c r="A162" s="210" t="s">
        <v>496</v>
      </c>
      <c r="B162" s="211" t="s">
        <v>497</v>
      </c>
      <c r="C162" s="213" t="s">
        <v>85</v>
      </c>
      <c r="D162" s="215">
        <v>68</v>
      </c>
      <c r="E162" s="145"/>
      <c r="F162" s="32"/>
      <c r="G162" s="33" t="s">
        <v>552</v>
      </c>
      <c r="I162" s="22"/>
      <c r="J162" s="77"/>
      <c r="K162" s="78"/>
    </row>
    <row r="163" spans="1:11" s="34" customFormat="1" ht="19.149999999999999" customHeight="1">
      <c r="A163" s="210" t="s">
        <v>498</v>
      </c>
      <c r="B163" s="211" t="s">
        <v>499</v>
      </c>
      <c r="C163" s="213" t="s">
        <v>85</v>
      </c>
      <c r="D163" s="215">
        <v>35</v>
      </c>
      <c r="E163" s="145"/>
      <c r="F163" s="32"/>
      <c r="G163" s="33" t="s">
        <v>553</v>
      </c>
      <c r="I163" s="22"/>
      <c r="J163" s="77"/>
      <c r="K163" s="78"/>
    </row>
    <row r="164" spans="1:11" s="34" customFormat="1" ht="19.149999999999999" customHeight="1">
      <c r="A164" s="210" t="s">
        <v>500</v>
      </c>
      <c r="B164" s="211" t="s">
        <v>501</v>
      </c>
      <c r="C164" s="213" t="s">
        <v>85</v>
      </c>
      <c r="D164" s="215">
        <v>88</v>
      </c>
      <c r="E164" s="145"/>
      <c r="F164" s="32"/>
      <c r="G164" s="33" t="s">
        <v>554</v>
      </c>
      <c r="I164" s="22"/>
      <c r="J164" s="77"/>
      <c r="K164" s="78"/>
    </row>
    <row r="165" spans="1:11" s="34" customFormat="1" ht="19.149999999999999" customHeight="1">
      <c r="A165" s="210" t="s">
        <v>502</v>
      </c>
      <c r="B165" s="211" t="s">
        <v>503</v>
      </c>
      <c r="C165" s="213" t="s">
        <v>85</v>
      </c>
      <c r="D165" s="215">
        <v>2</v>
      </c>
      <c r="E165" s="145"/>
      <c r="F165" s="32"/>
      <c r="G165" s="33" t="s">
        <v>555</v>
      </c>
      <c r="I165" s="22"/>
      <c r="J165" s="77"/>
      <c r="K165" s="78"/>
    </row>
    <row r="166" spans="1:11" s="34" customFormat="1" ht="19.149999999999999" customHeight="1">
      <c r="A166" s="210" t="s">
        <v>397</v>
      </c>
      <c r="B166" s="211" t="s">
        <v>398</v>
      </c>
      <c r="C166" s="213" t="s">
        <v>85</v>
      </c>
      <c r="D166" s="215">
        <v>64</v>
      </c>
      <c r="E166" s="145"/>
      <c r="F166" s="32"/>
      <c r="G166" s="33" t="s">
        <v>415</v>
      </c>
      <c r="I166" s="22"/>
      <c r="J166" s="77"/>
      <c r="K166" s="78"/>
    </row>
    <row r="167" spans="1:11" s="34" customFormat="1" ht="19.149999999999999" customHeight="1">
      <c r="A167" s="178"/>
      <c r="B167" s="179"/>
      <c r="C167" s="178"/>
      <c r="D167" s="180"/>
      <c r="E167" s="145"/>
      <c r="F167" s="32"/>
      <c r="G167" s="33"/>
      <c r="I167" s="22"/>
      <c r="J167" s="77"/>
      <c r="K167" s="78"/>
    </row>
    <row r="168" spans="1:11" s="34" customFormat="1" ht="19.149999999999999" customHeight="1">
      <c r="A168" s="178"/>
      <c r="B168" s="179"/>
      <c r="C168" s="178"/>
      <c r="D168" s="180"/>
      <c r="E168" s="145"/>
      <c r="F168" s="32"/>
      <c r="G168" s="33"/>
      <c r="I168" s="22"/>
      <c r="J168" s="77"/>
      <c r="K168" s="78"/>
    </row>
    <row r="169" spans="1:11" s="34" customFormat="1" ht="19.149999999999999" customHeight="1">
      <c r="A169" s="178"/>
      <c r="B169" s="179"/>
      <c r="C169" s="178"/>
      <c r="D169" s="180"/>
      <c r="E169" s="145"/>
      <c r="F169" s="32"/>
      <c r="G169" s="33"/>
      <c r="I169" s="22"/>
      <c r="J169" s="77"/>
      <c r="K169" s="78"/>
    </row>
    <row r="170" spans="1:11" s="34" customFormat="1" ht="19.149999999999999" customHeight="1">
      <c r="A170" s="178"/>
      <c r="B170" s="179"/>
      <c r="C170" s="178"/>
      <c r="D170" s="180"/>
      <c r="E170" s="145"/>
      <c r="F170" s="32"/>
      <c r="G170" s="33"/>
      <c r="I170" s="22"/>
      <c r="J170" s="77"/>
      <c r="K170" s="78"/>
    </row>
    <row r="171" spans="1:11" s="34" customFormat="1" ht="19.149999999999999" customHeight="1">
      <c r="A171" s="178"/>
      <c r="B171" s="179"/>
      <c r="C171" s="178"/>
      <c r="D171" s="180"/>
      <c r="E171" s="145"/>
      <c r="F171" s="32"/>
      <c r="G171" s="33"/>
      <c r="I171" s="22"/>
      <c r="J171" s="77"/>
      <c r="K171" s="78"/>
    </row>
    <row r="172" spans="1:11" s="34" customFormat="1" ht="19.149999999999999" customHeight="1">
      <c r="A172" s="178"/>
      <c r="B172" s="179"/>
      <c r="C172" s="178"/>
      <c r="D172" s="180"/>
      <c r="E172" s="145"/>
      <c r="F172" s="32"/>
      <c r="G172" s="33"/>
      <c r="I172" s="22"/>
      <c r="J172" s="77"/>
      <c r="K172" s="78"/>
    </row>
    <row r="173" spans="1:11" s="34" customFormat="1" ht="19.149999999999999" customHeight="1">
      <c r="A173" s="178"/>
      <c r="B173" s="179"/>
      <c r="C173" s="178"/>
      <c r="D173" s="180"/>
      <c r="E173" s="145"/>
      <c r="F173" s="32"/>
      <c r="G173" s="33"/>
      <c r="I173" s="22"/>
      <c r="J173" s="77"/>
      <c r="K173" s="78"/>
    </row>
    <row r="174" spans="1:11" s="34" customFormat="1" ht="19.149999999999999" customHeight="1">
      <c r="A174" s="178"/>
      <c r="B174" s="179"/>
      <c r="C174" s="178"/>
      <c r="D174" s="180"/>
      <c r="E174" s="145"/>
      <c r="F174" s="32"/>
      <c r="G174" s="33"/>
      <c r="I174" s="22"/>
      <c r="J174" s="77"/>
      <c r="K174" s="78"/>
    </row>
    <row r="175" spans="1:11" s="34" customFormat="1" ht="19.149999999999999" customHeight="1">
      <c r="A175" s="178"/>
      <c r="B175" s="179"/>
      <c r="C175" s="178"/>
      <c r="D175" s="180"/>
      <c r="E175" s="145"/>
      <c r="F175" s="32"/>
      <c r="G175" s="33"/>
      <c r="I175" s="22"/>
      <c r="J175" s="77"/>
      <c r="K175" s="78"/>
    </row>
    <row r="176" spans="1:11" s="34" customFormat="1" ht="19.149999999999999" customHeight="1">
      <c r="A176" s="178"/>
      <c r="B176" s="179"/>
      <c r="C176" s="178"/>
      <c r="D176" s="180"/>
      <c r="E176" s="145"/>
      <c r="F176" s="32"/>
      <c r="G176" s="33"/>
      <c r="I176" s="22"/>
      <c r="J176" s="77"/>
      <c r="K176" s="78"/>
    </row>
    <row r="177" spans="1:7" s="34" customFormat="1" ht="19.149999999999999" customHeight="1">
      <c r="A177" s="182" t="s">
        <v>132</v>
      </c>
      <c r="B177" s="173"/>
      <c r="C177" s="175"/>
      <c r="D177" s="183"/>
      <c r="E177" s="145"/>
      <c r="F177" s="32"/>
      <c r="G177" s="33"/>
    </row>
    <row r="178" spans="1:7" s="34" customFormat="1" ht="19.149999999999999" customHeight="1">
      <c r="A178" s="178" t="s">
        <v>766</v>
      </c>
      <c r="B178" s="173"/>
      <c r="C178" s="175"/>
      <c r="D178" s="183"/>
      <c r="E178" s="145"/>
      <c r="F178" s="32"/>
      <c r="G178" s="33"/>
    </row>
    <row r="179" spans="1:7" s="34" customFormat="1" ht="19.149999999999999" customHeight="1">
      <c r="A179" s="209" t="s">
        <v>562</v>
      </c>
      <c r="B179" s="173" t="s">
        <v>563</v>
      </c>
      <c r="C179" s="175" t="s">
        <v>177</v>
      </c>
      <c r="D179" s="183">
        <v>33</v>
      </c>
      <c r="E179" s="145"/>
      <c r="F179" s="32"/>
      <c r="G179" s="33" t="s">
        <v>690</v>
      </c>
    </row>
    <row r="180" spans="1:7" s="34" customFormat="1" ht="19.149999999999999" customHeight="1">
      <c r="A180" s="209"/>
      <c r="B180" s="173"/>
      <c r="C180" s="175"/>
      <c r="D180" s="183"/>
      <c r="E180" s="145"/>
      <c r="F180" s="32"/>
      <c r="G180" s="33"/>
    </row>
    <row r="181" spans="1:7" s="34" customFormat="1" ht="19.149999999999999" customHeight="1">
      <c r="A181" s="209"/>
      <c r="B181" s="173"/>
      <c r="C181" s="175"/>
      <c r="D181" s="183"/>
      <c r="E181" s="145"/>
      <c r="F181" s="32"/>
      <c r="G181" s="33"/>
    </row>
    <row r="182" spans="1:7" s="34" customFormat="1" ht="19.149999999999999" customHeight="1">
      <c r="A182" s="209"/>
      <c r="B182" s="173"/>
      <c r="C182" s="175"/>
      <c r="D182" s="183"/>
      <c r="E182" s="145"/>
      <c r="F182" s="32"/>
      <c r="G182" s="33"/>
    </row>
    <row r="183" spans="1:7" s="34" customFormat="1" ht="19.149999999999999" customHeight="1">
      <c r="A183" s="209"/>
      <c r="B183" s="173"/>
      <c r="C183" s="175"/>
      <c r="D183" s="183"/>
      <c r="E183" s="145"/>
      <c r="F183" s="32"/>
      <c r="G183" s="33"/>
    </row>
    <row r="184" spans="1:7" s="34" customFormat="1" ht="19.149999999999999" customHeight="1">
      <c r="A184" s="209"/>
      <c r="B184" s="173"/>
      <c r="C184" s="175"/>
      <c r="D184" s="183"/>
      <c r="E184" s="145"/>
      <c r="F184" s="32"/>
      <c r="G184" s="33"/>
    </row>
    <row r="185" spans="1:7" s="34" customFormat="1" ht="19.149999999999999" customHeight="1">
      <c r="A185" s="209"/>
      <c r="B185" s="173"/>
      <c r="C185" s="175"/>
      <c r="D185" s="183"/>
      <c r="E185" s="145"/>
      <c r="F185" s="32"/>
      <c r="G185" s="33"/>
    </row>
    <row r="186" spans="1:7" s="34" customFormat="1" ht="19.149999999999999" customHeight="1">
      <c r="A186" s="209"/>
      <c r="B186" s="173"/>
      <c r="C186" s="175"/>
      <c r="D186" s="183"/>
      <c r="E186" s="145"/>
      <c r="F186" s="32"/>
      <c r="G186" s="33"/>
    </row>
    <row r="187" spans="1:7" s="34" customFormat="1" ht="19.149999999999999" customHeight="1">
      <c r="A187" s="209"/>
      <c r="B187" s="173"/>
      <c r="C187" s="175"/>
      <c r="D187" s="183"/>
      <c r="E187" s="145"/>
      <c r="F187" s="32"/>
      <c r="G187" s="33"/>
    </row>
    <row r="188" spans="1:7" s="34" customFormat="1" ht="19.149999999999999" customHeight="1">
      <c r="A188" s="209"/>
      <c r="B188" s="173"/>
      <c r="C188" s="175"/>
      <c r="D188" s="183"/>
      <c r="E188" s="145"/>
      <c r="F188" s="32"/>
      <c r="G188" s="33"/>
    </row>
    <row r="189" spans="1:7" s="34" customFormat="1" ht="19.149999999999999" customHeight="1">
      <c r="A189" s="209"/>
      <c r="B189" s="173"/>
      <c r="C189" s="175"/>
      <c r="D189" s="183"/>
      <c r="E189" s="145"/>
      <c r="F189" s="32"/>
      <c r="G189" s="33"/>
    </row>
    <row r="190" spans="1:7" s="34" customFormat="1" ht="19.149999999999999" customHeight="1">
      <c r="A190" s="209"/>
      <c r="B190" s="173"/>
      <c r="C190" s="175"/>
      <c r="D190" s="183"/>
      <c r="E190" s="145"/>
      <c r="F190" s="32"/>
      <c r="G190" s="33"/>
    </row>
    <row r="191" spans="1:7" s="34" customFormat="1" ht="19.149999999999999" customHeight="1">
      <c r="A191" s="209"/>
      <c r="B191" s="173"/>
      <c r="C191" s="175"/>
      <c r="D191" s="183"/>
      <c r="E191" s="145"/>
      <c r="F191" s="32"/>
      <c r="G191" s="33"/>
    </row>
    <row r="192" spans="1:7" s="34" customFormat="1" ht="19.149999999999999" customHeight="1">
      <c r="A192" s="209"/>
      <c r="B192" s="173"/>
      <c r="C192" s="175"/>
      <c r="D192" s="183"/>
      <c r="E192" s="145"/>
      <c r="F192" s="32"/>
      <c r="G192" s="33"/>
    </row>
    <row r="193" spans="1:7" s="34" customFormat="1" ht="19.149999999999999" customHeight="1">
      <c r="A193" s="209"/>
      <c r="B193" s="173"/>
      <c r="C193" s="175"/>
      <c r="D193" s="183"/>
      <c r="E193" s="145"/>
      <c r="F193" s="32"/>
      <c r="G193" s="33"/>
    </row>
    <row r="194" spans="1:7" s="34" customFormat="1" ht="19.149999999999999" customHeight="1">
      <c r="A194" s="209"/>
      <c r="B194" s="173"/>
      <c r="C194" s="175"/>
      <c r="D194" s="183"/>
      <c r="E194" s="145"/>
      <c r="F194" s="32"/>
      <c r="G194" s="33"/>
    </row>
    <row r="195" spans="1:7" s="34" customFormat="1" ht="19.149999999999999" customHeight="1">
      <c r="A195" s="209"/>
      <c r="B195" s="173"/>
      <c r="C195" s="175"/>
      <c r="D195" s="183"/>
      <c r="E195" s="145"/>
      <c r="F195" s="32"/>
      <c r="G195" s="33"/>
    </row>
    <row r="196" spans="1:7" s="34" customFormat="1" ht="19.149999999999999" customHeight="1">
      <c r="A196" s="209"/>
      <c r="B196" s="173"/>
      <c r="C196" s="175"/>
      <c r="D196" s="183"/>
      <c r="E196" s="145"/>
      <c r="F196" s="32"/>
      <c r="G196" s="33"/>
    </row>
    <row r="197" spans="1:7" s="34" customFormat="1" ht="19.149999999999999" customHeight="1">
      <c r="A197" s="209"/>
      <c r="B197" s="173"/>
      <c r="C197" s="175"/>
      <c r="D197" s="183"/>
      <c r="E197" s="145"/>
      <c r="F197" s="32"/>
      <c r="G197" s="33"/>
    </row>
    <row r="198" spans="1:7" s="34" customFormat="1" ht="19.149999999999999" customHeight="1">
      <c r="A198" s="209"/>
      <c r="B198" s="173"/>
      <c r="C198" s="175"/>
      <c r="D198" s="183"/>
      <c r="E198" s="145"/>
      <c r="F198" s="32"/>
      <c r="G198" s="33"/>
    </row>
    <row r="199" spans="1:7" s="34" customFormat="1" ht="19.149999999999999" customHeight="1">
      <c r="A199" s="209"/>
      <c r="B199" s="173"/>
      <c r="C199" s="175"/>
      <c r="D199" s="183"/>
      <c r="E199" s="145"/>
      <c r="F199" s="32"/>
      <c r="G199" s="33"/>
    </row>
    <row r="200" spans="1:7" s="34" customFormat="1" ht="19.149999999999999" customHeight="1">
      <c r="A200" s="209"/>
      <c r="B200" s="173"/>
      <c r="C200" s="175"/>
      <c r="D200" s="183"/>
      <c r="E200" s="145"/>
      <c r="F200" s="32"/>
      <c r="G200" s="33"/>
    </row>
    <row r="201" spans="1:7" s="34" customFormat="1" ht="19.149999999999999" customHeight="1">
      <c r="A201" s="209"/>
      <c r="B201" s="173"/>
      <c r="C201" s="175"/>
      <c r="D201" s="183"/>
      <c r="E201" s="145"/>
      <c r="F201" s="32"/>
      <c r="G201" s="33"/>
    </row>
    <row r="202" spans="1:7" s="34" customFormat="1" ht="19.149999999999999" customHeight="1">
      <c r="A202" s="182" t="s">
        <v>132</v>
      </c>
      <c r="B202" s="173"/>
      <c r="C202" s="175"/>
      <c r="D202" s="183"/>
      <c r="E202" s="145"/>
      <c r="F202" s="32"/>
      <c r="G202" s="33"/>
    </row>
    <row r="203" spans="1:7" s="34" customFormat="1" ht="19.149999999999999" customHeight="1">
      <c r="A203" s="178" t="s">
        <v>767</v>
      </c>
      <c r="B203" s="173"/>
      <c r="C203" s="175"/>
      <c r="D203" s="183"/>
      <c r="E203" s="145"/>
      <c r="F203" s="32"/>
      <c r="G203" s="33"/>
    </row>
    <row r="204" spans="1:7" s="34" customFormat="1" ht="19.149999999999999" customHeight="1">
      <c r="A204" s="209" t="s">
        <v>359</v>
      </c>
      <c r="B204" s="173" t="s">
        <v>360</v>
      </c>
      <c r="C204" s="175" t="s">
        <v>177</v>
      </c>
      <c r="D204" s="183">
        <v>178</v>
      </c>
      <c r="E204" s="145"/>
      <c r="F204" s="32"/>
      <c r="G204" s="33" t="s">
        <v>367</v>
      </c>
    </row>
    <row r="205" spans="1:7" s="34" customFormat="1" ht="19.149999999999999" customHeight="1">
      <c r="A205" s="209" t="s">
        <v>362</v>
      </c>
      <c r="B205" s="173" t="s">
        <v>363</v>
      </c>
      <c r="C205" s="175" t="s">
        <v>177</v>
      </c>
      <c r="D205" s="183">
        <v>535</v>
      </c>
      <c r="E205" s="145"/>
      <c r="F205" s="32"/>
      <c r="G205" s="33" t="s">
        <v>369</v>
      </c>
    </row>
    <row r="206" spans="1:7" s="34" customFormat="1" ht="19.149999999999999" customHeight="1">
      <c r="A206" s="209" t="s">
        <v>384</v>
      </c>
      <c r="B206" s="173" t="s">
        <v>385</v>
      </c>
      <c r="C206" s="175" t="s">
        <v>177</v>
      </c>
      <c r="D206" s="183">
        <v>5</v>
      </c>
      <c r="E206" s="145"/>
      <c r="F206" s="32"/>
      <c r="G206" s="33" t="s">
        <v>408</v>
      </c>
    </row>
    <row r="207" spans="1:7" s="34" customFormat="1" ht="19.149999999999999" customHeight="1">
      <c r="A207" s="209" t="s">
        <v>397</v>
      </c>
      <c r="B207" s="173" t="s">
        <v>398</v>
      </c>
      <c r="C207" s="175" t="s">
        <v>85</v>
      </c>
      <c r="D207" s="183">
        <v>16</v>
      </c>
      <c r="E207" s="145"/>
      <c r="F207" s="32"/>
      <c r="G207" s="33" t="s">
        <v>415</v>
      </c>
    </row>
    <row r="208" spans="1:7" s="34" customFormat="1" ht="19.149999999999999" customHeight="1">
      <c r="A208" s="209"/>
      <c r="B208" s="173"/>
      <c r="C208" s="175"/>
      <c r="D208" s="183"/>
      <c r="E208" s="145"/>
      <c r="F208" s="32"/>
      <c r="G208" s="33"/>
    </row>
    <row r="209" spans="1:7" s="34" customFormat="1" ht="19.149999999999999" customHeight="1">
      <c r="A209" s="209"/>
      <c r="B209" s="173"/>
      <c r="C209" s="175"/>
      <c r="D209" s="183"/>
      <c r="E209" s="145"/>
      <c r="F209" s="32"/>
      <c r="G209" s="33"/>
    </row>
    <row r="210" spans="1:7" s="34" customFormat="1" ht="19.149999999999999" customHeight="1">
      <c r="A210" s="209"/>
      <c r="B210" s="173"/>
      <c r="C210" s="175"/>
      <c r="D210" s="183"/>
      <c r="E210" s="145"/>
      <c r="F210" s="32"/>
      <c r="G210" s="33"/>
    </row>
    <row r="211" spans="1:7" s="34" customFormat="1" ht="19.149999999999999" customHeight="1">
      <c r="A211" s="209"/>
      <c r="B211" s="173"/>
      <c r="C211" s="175"/>
      <c r="D211" s="183"/>
      <c r="E211" s="145"/>
      <c r="F211" s="32"/>
      <c r="G211" s="33"/>
    </row>
    <row r="212" spans="1:7" s="34" customFormat="1" ht="19.149999999999999" customHeight="1">
      <c r="A212" s="209"/>
      <c r="B212" s="173"/>
      <c r="C212" s="175"/>
      <c r="D212" s="183"/>
      <c r="E212" s="145"/>
      <c r="F212" s="32"/>
      <c r="G212" s="33"/>
    </row>
    <row r="213" spans="1:7" s="34" customFormat="1" ht="19.149999999999999" customHeight="1">
      <c r="A213" s="209"/>
      <c r="B213" s="173"/>
      <c r="C213" s="175"/>
      <c r="D213" s="183"/>
      <c r="E213" s="145"/>
      <c r="F213" s="32"/>
      <c r="G213" s="33"/>
    </row>
    <row r="214" spans="1:7" s="34" customFormat="1" ht="19.149999999999999" customHeight="1">
      <c r="A214" s="209"/>
      <c r="B214" s="173"/>
      <c r="C214" s="175"/>
      <c r="D214" s="183"/>
      <c r="E214" s="145"/>
      <c r="F214" s="32"/>
      <c r="G214" s="33"/>
    </row>
    <row r="215" spans="1:7" s="34" customFormat="1" ht="19.149999999999999" customHeight="1">
      <c r="A215" s="209"/>
      <c r="B215" s="173"/>
      <c r="C215" s="175"/>
      <c r="D215" s="183"/>
      <c r="E215" s="145"/>
      <c r="F215" s="32"/>
      <c r="G215" s="33"/>
    </row>
    <row r="216" spans="1:7" s="34" customFormat="1" ht="19.149999999999999" customHeight="1">
      <c r="A216" s="209"/>
      <c r="B216" s="173"/>
      <c r="C216" s="175"/>
      <c r="D216" s="183"/>
      <c r="E216" s="145"/>
      <c r="F216" s="32"/>
      <c r="G216" s="33"/>
    </row>
    <row r="217" spans="1:7" s="34" customFormat="1" ht="19.149999999999999" customHeight="1">
      <c r="A217" s="209"/>
      <c r="B217" s="173"/>
      <c r="C217" s="175"/>
      <c r="D217" s="183"/>
      <c r="E217" s="145"/>
      <c r="F217" s="32"/>
      <c r="G217" s="33"/>
    </row>
    <row r="218" spans="1:7" s="34" customFormat="1" ht="19.149999999999999" customHeight="1">
      <c r="A218" s="209"/>
      <c r="B218" s="173"/>
      <c r="C218" s="175"/>
      <c r="D218" s="183"/>
      <c r="E218" s="145"/>
      <c r="F218" s="32"/>
      <c r="G218" s="33"/>
    </row>
    <row r="219" spans="1:7" s="34" customFormat="1" ht="19.149999999999999" customHeight="1">
      <c r="A219" s="209"/>
      <c r="B219" s="173"/>
      <c r="C219" s="175"/>
      <c r="D219" s="183"/>
      <c r="E219" s="145"/>
      <c r="F219" s="32"/>
      <c r="G219" s="33"/>
    </row>
    <row r="220" spans="1:7" s="34" customFormat="1" ht="19.149999999999999" customHeight="1">
      <c r="A220" s="209"/>
      <c r="B220" s="173"/>
      <c r="C220" s="175"/>
      <c r="D220" s="183"/>
      <c r="E220" s="145"/>
      <c r="F220" s="32"/>
      <c r="G220" s="33"/>
    </row>
    <row r="221" spans="1:7" s="34" customFormat="1" ht="19.149999999999999" customHeight="1">
      <c r="A221" s="209"/>
      <c r="B221" s="173"/>
      <c r="C221" s="175"/>
      <c r="D221" s="183"/>
      <c r="E221" s="145"/>
      <c r="F221" s="32"/>
      <c r="G221" s="33"/>
    </row>
    <row r="222" spans="1:7" s="34" customFormat="1" ht="19.149999999999999" customHeight="1">
      <c r="A222" s="209"/>
      <c r="B222" s="173"/>
      <c r="C222" s="175"/>
      <c r="D222" s="183"/>
      <c r="E222" s="145"/>
      <c r="F222" s="32"/>
      <c r="G222" s="33"/>
    </row>
    <row r="223" spans="1:7" s="34" customFormat="1" ht="19.149999999999999" customHeight="1">
      <c r="A223" s="209"/>
      <c r="B223" s="173"/>
      <c r="C223" s="175"/>
      <c r="D223" s="183"/>
      <c r="E223" s="145"/>
      <c r="F223" s="32"/>
      <c r="G223" s="33"/>
    </row>
    <row r="224" spans="1:7" s="34" customFormat="1" ht="19.149999999999999" customHeight="1">
      <c r="A224" s="209"/>
      <c r="B224" s="173"/>
      <c r="C224" s="175"/>
      <c r="D224" s="183"/>
      <c r="E224" s="145"/>
      <c r="F224" s="32"/>
      <c r="G224" s="33"/>
    </row>
    <row r="225" spans="1:7" s="34" customFormat="1" ht="19.149999999999999" customHeight="1">
      <c r="A225" s="209"/>
      <c r="B225" s="173"/>
      <c r="C225" s="175"/>
      <c r="D225" s="183"/>
      <c r="E225" s="145"/>
      <c r="F225" s="32"/>
      <c r="G225" s="33"/>
    </row>
    <row r="226" spans="1:7" s="34" customFormat="1" ht="19.149999999999999" customHeight="1">
      <c r="A226" s="209"/>
      <c r="B226" s="173"/>
      <c r="C226" s="175"/>
      <c r="D226" s="183"/>
      <c r="E226" s="145"/>
      <c r="F226" s="32"/>
      <c r="G226" s="33"/>
    </row>
    <row r="227" spans="1:7" s="34" customFormat="1" ht="19.149999999999999" customHeight="1">
      <c r="A227" s="182" t="s">
        <v>132</v>
      </c>
      <c r="B227" s="173"/>
      <c r="C227" s="175"/>
      <c r="D227" s="183"/>
      <c r="E227" s="145"/>
      <c r="F227" s="32"/>
      <c r="G227" s="33"/>
    </row>
    <row r="228" spans="1:7" s="34" customFormat="1" ht="19.149999999999999" customHeight="1">
      <c r="A228" s="178" t="s">
        <v>768</v>
      </c>
      <c r="B228" s="173"/>
      <c r="C228" s="175"/>
      <c r="D228" s="183"/>
      <c r="E228" s="145"/>
      <c r="F228" s="32"/>
      <c r="G228" s="33"/>
    </row>
    <row r="229" spans="1:7" s="34" customFormat="1" ht="19.149999999999999" customHeight="1">
      <c r="A229" s="209" t="s">
        <v>359</v>
      </c>
      <c r="B229" s="173" t="s">
        <v>361</v>
      </c>
      <c r="C229" s="175" t="s">
        <v>177</v>
      </c>
      <c r="D229" s="183">
        <v>744</v>
      </c>
      <c r="E229" s="145"/>
      <c r="F229" s="32"/>
      <c r="G229" s="33" t="s">
        <v>368</v>
      </c>
    </row>
    <row r="230" spans="1:7" s="34" customFormat="1" ht="19.149999999999999" customHeight="1">
      <c r="A230" s="209" t="s">
        <v>362</v>
      </c>
      <c r="B230" s="173" t="s">
        <v>363</v>
      </c>
      <c r="C230" s="175" t="s">
        <v>177</v>
      </c>
      <c r="D230" s="183">
        <v>2233</v>
      </c>
      <c r="E230" s="145"/>
      <c r="F230" s="32"/>
      <c r="G230" s="33" t="s">
        <v>369</v>
      </c>
    </row>
    <row r="231" spans="1:7" s="34" customFormat="1" ht="19.149999999999999" customHeight="1">
      <c r="A231" s="209" t="s">
        <v>389</v>
      </c>
      <c r="B231" s="173" t="s">
        <v>456</v>
      </c>
      <c r="C231" s="175" t="s">
        <v>85</v>
      </c>
      <c r="D231" s="183">
        <v>98</v>
      </c>
      <c r="E231" s="145"/>
      <c r="F231" s="32"/>
      <c r="G231" s="33" t="s">
        <v>529</v>
      </c>
    </row>
    <row r="232" spans="1:7" s="34" customFormat="1" ht="19.149999999999999" customHeight="1">
      <c r="A232" s="209" t="s">
        <v>395</v>
      </c>
      <c r="B232" s="173" t="s">
        <v>396</v>
      </c>
      <c r="C232" s="175" t="s">
        <v>85</v>
      </c>
      <c r="D232" s="183">
        <v>34</v>
      </c>
      <c r="E232" s="145"/>
      <c r="F232" s="32"/>
      <c r="G232" s="33" t="s">
        <v>414</v>
      </c>
    </row>
    <row r="233" spans="1:7" s="34" customFormat="1" ht="19.149999999999999" customHeight="1">
      <c r="A233" s="209" t="s">
        <v>571</v>
      </c>
      <c r="B233" s="173" t="s">
        <v>572</v>
      </c>
      <c r="C233" s="175" t="s">
        <v>85</v>
      </c>
      <c r="D233" s="183">
        <v>10</v>
      </c>
      <c r="E233" s="145"/>
      <c r="F233" s="32"/>
      <c r="G233" s="33" t="s">
        <v>585</v>
      </c>
    </row>
    <row r="234" spans="1:7" s="34" customFormat="1" ht="19.149999999999999" customHeight="1">
      <c r="A234" s="209" t="s">
        <v>574</v>
      </c>
      <c r="B234" s="173" t="s">
        <v>575</v>
      </c>
      <c r="C234" s="175" t="s">
        <v>85</v>
      </c>
      <c r="D234" s="183">
        <v>26</v>
      </c>
      <c r="E234" s="145"/>
      <c r="F234" s="32"/>
      <c r="G234" s="33" t="s">
        <v>587</v>
      </c>
    </row>
    <row r="235" spans="1:7" s="34" customFormat="1" ht="19.149999999999999" customHeight="1">
      <c r="A235" s="209" t="s">
        <v>122</v>
      </c>
      <c r="B235" s="173" t="s">
        <v>576</v>
      </c>
      <c r="C235" s="175" t="s">
        <v>85</v>
      </c>
      <c r="D235" s="183">
        <v>54</v>
      </c>
      <c r="E235" s="145"/>
      <c r="F235" s="32"/>
      <c r="G235" s="33" t="s">
        <v>588</v>
      </c>
    </row>
    <row r="236" spans="1:7" s="34" customFormat="1" ht="19.149999999999999" customHeight="1">
      <c r="A236" s="209" t="s">
        <v>691</v>
      </c>
      <c r="B236" s="173" t="s">
        <v>577</v>
      </c>
      <c r="C236" s="175" t="s">
        <v>85</v>
      </c>
      <c r="D236" s="183">
        <v>26</v>
      </c>
      <c r="E236" s="145"/>
      <c r="F236" s="32"/>
      <c r="G236" s="33">
        <v>0</v>
      </c>
    </row>
    <row r="237" spans="1:7" s="34" customFormat="1" ht="19.149999999999999" customHeight="1">
      <c r="A237" s="209" t="s">
        <v>397</v>
      </c>
      <c r="B237" s="173" t="s">
        <v>398</v>
      </c>
      <c r="C237" s="175" t="s">
        <v>85</v>
      </c>
      <c r="D237" s="183">
        <v>1</v>
      </c>
      <c r="E237" s="145"/>
      <c r="F237" s="32"/>
      <c r="G237" s="33" t="s">
        <v>415</v>
      </c>
    </row>
    <row r="238" spans="1:7" s="34" customFormat="1" ht="19.149999999999999" customHeight="1">
      <c r="A238" s="209"/>
      <c r="B238" s="173"/>
      <c r="C238" s="175"/>
      <c r="D238" s="183"/>
      <c r="E238" s="145"/>
      <c r="F238" s="32"/>
      <c r="G238" s="33"/>
    </row>
    <row r="239" spans="1:7" s="34" customFormat="1" ht="19.149999999999999" customHeight="1">
      <c r="A239" s="209"/>
      <c r="B239" s="173"/>
      <c r="C239" s="175"/>
      <c r="D239" s="183"/>
      <c r="E239" s="145"/>
      <c r="F239" s="32"/>
      <c r="G239" s="33"/>
    </row>
    <row r="240" spans="1:7" s="34" customFormat="1" ht="19.149999999999999" customHeight="1">
      <c r="A240" s="209"/>
      <c r="B240" s="173"/>
      <c r="C240" s="175"/>
      <c r="D240" s="183"/>
      <c r="E240" s="145"/>
      <c r="F240" s="32"/>
      <c r="G240" s="33"/>
    </row>
    <row r="241" spans="1:7" s="34" customFormat="1" ht="19.149999999999999" customHeight="1">
      <c r="A241" s="209"/>
      <c r="B241" s="173"/>
      <c r="C241" s="175"/>
      <c r="D241" s="183"/>
      <c r="E241" s="145"/>
      <c r="F241" s="32"/>
      <c r="G241" s="33"/>
    </row>
    <row r="242" spans="1:7" s="34" customFormat="1" ht="19.149999999999999" customHeight="1">
      <c r="A242" s="209"/>
      <c r="B242" s="173"/>
      <c r="C242" s="175"/>
      <c r="D242" s="183"/>
      <c r="E242" s="145"/>
      <c r="F242" s="32"/>
      <c r="G242" s="33"/>
    </row>
    <row r="243" spans="1:7" s="34" customFormat="1" ht="19.149999999999999" customHeight="1">
      <c r="A243" s="209"/>
      <c r="B243" s="173"/>
      <c r="C243" s="175"/>
      <c r="D243" s="183"/>
      <c r="E243" s="145"/>
      <c r="F243" s="32"/>
      <c r="G243" s="33"/>
    </row>
    <row r="244" spans="1:7" s="34" customFormat="1" ht="19.149999999999999" customHeight="1">
      <c r="A244" s="209"/>
      <c r="B244" s="173"/>
      <c r="C244" s="175"/>
      <c r="D244" s="183"/>
      <c r="E244" s="145"/>
      <c r="F244" s="32"/>
      <c r="G244" s="33"/>
    </row>
    <row r="245" spans="1:7" s="34" customFormat="1" ht="19.149999999999999" customHeight="1">
      <c r="A245" s="209"/>
      <c r="B245" s="173"/>
      <c r="C245" s="175"/>
      <c r="D245" s="183"/>
      <c r="E245" s="145"/>
      <c r="F245" s="32"/>
      <c r="G245" s="33"/>
    </row>
    <row r="246" spans="1:7" s="34" customFormat="1" ht="19.149999999999999" customHeight="1">
      <c r="A246" s="182"/>
      <c r="B246" s="173"/>
      <c r="C246" s="175"/>
      <c r="D246" s="183"/>
      <c r="E246" s="145"/>
      <c r="F246" s="32"/>
      <c r="G246" s="33"/>
    </row>
    <row r="247" spans="1:7" s="34" customFormat="1" ht="19.149999999999999" customHeight="1">
      <c r="A247" s="182"/>
      <c r="B247" s="173"/>
      <c r="C247" s="175"/>
      <c r="D247" s="183"/>
      <c r="E247" s="145"/>
      <c r="F247" s="32"/>
      <c r="G247" s="33"/>
    </row>
    <row r="248" spans="1:7" s="34" customFormat="1" ht="19.149999999999999" customHeight="1">
      <c r="A248" s="182"/>
      <c r="B248" s="173"/>
      <c r="C248" s="175"/>
      <c r="D248" s="183"/>
      <c r="E248" s="145"/>
      <c r="F248" s="32"/>
      <c r="G248" s="33"/>
    </row>
    <row r="249" spans="1:7" s="34" customFormat="1" ht="19.149999999999999" customHeight="1">
      <c r="A249" s="182"/>
      <c r="B249" s="173"/>
      <c r="C249" s="175"/>
      <c r="D249" s="183"/>
      <c r="E249" s="145"/>
      <c r="F249" s="32"/>
      <c r="G249" s="33"/>
    </row>
    <row r="250" spans="1:7" s="34" customFormat="1" ht="19.149999999999999" customHeight="1">
      <c r="A250" s="182"/>
      <c r="B250" s="173"/>
      <c r="C250" s="175"/>
      <c r="D250" s="183"/>
      <c r="E250" s="145"/>
      <c r="F250" s="32"/>
      <c r="G250" s="33"/>
    </row>
    <row r="251" spans="1:7" s="34" customFormat="1" ht="19.149999999999999" customHeight="1">
      <c r="A251" s="182"/>
      <c r="B251" s="173"/>
      <c r="C251" s="175"/>
      <c r="D251" s="183"/>
      <c r="E251" s="145"/>
      <c r="F251" s="32"/>
      <c r="G251" s="33"/>
    </row>
    <row r="252" spans="1:7" s="34" customFormat="1" ht="19.149999999999999" customHeight="1">
      <c r="A252" s="182" t="s">
        <v>132</v>
      </c>
      <c r="B252" s="173"/>
      <c r="C252" s="175"/>
      <c r="D252" s="183"/>
      <c r="E252" s="145"/>
      <c r="F252" s="32"/>
      <c r="G252" s="33"/>
    </row>
    <row r="253" spans="1:7" s="34" customFormat="1" ht="19.149999999999999" customHeight="1">
      <c r="A253" s="178" t="s">
        <v>160</v>
      </c>
      <c r="B253" s="179"/>
      <c r="C253" s="184" t="s">
        <v>86</v>
      </c>
      <c r="D253" s="185">
        <v>1</v>
      </c>
      <c r="E253" s="145"/>
      <c r="F253" s="32"/>
      <c r="G253" s="33"/>
    </row>
    <row r="254" spans="1:7" s="34" customFormat="1" ht="19.149999999999999" customHeight="1">
      <c r="A254" s="148"/>
      <c r="B254" s="148"/>
      <c r="C254" s="157"/>
      <c r="D254" s="158"/>
      <c r="E254" s="145"/>
      <c r="F254" s="32"/>
      <c r="G254" s="33"/>
    </row>
    <row r="255" spans="1:7" s="34" customFormat="1" ht="19.149999999999999" customHeight="1">
      <c r="A255" s="148"/>
      <c r="B255" s="148"/>
      <c r="C255" s="157"/>
      <c r="D255" s="158"/>
      <c r="E255" s="145"/>
      <c r="F255" s="32"/>
      <c r="G255" s="33"/>
    </row>
    <row r="256" spans="1:7" s="34" customFormat="1" ht="19.149999999999999" customHeight="1">
      <c r="A256" s="148"/>
      <c r="B256" s="148"/>
      <c r="C256" s="157"/>
      <c r="D256" s="158"/>
      <c r="E256" s="145"/>
      <c r="F256" s="32"/>
      <c r="G256" s="33"/>
    </row>
    <row r="257" spans="1:7" s="34" customFormat="1" ht="19.149999999999999" customHeight="1">
      <c r="A257" s="148"/>
      <c r="B257" s="148"/>
      <c r="C257" s="157"/>
      <c r="D257" s="158"/>
      <c r="E257" s="145"/>
      <c r="F257" s="32"/>
      <c r="G257" s="33"/>
    </row>
    <row r="258" spans="1:7" s="34" customFormat="1" ht="19.149999999999999" customHeight="1">
      <c r="A258" s="148"/>
      <c r="B258" s="148"/>
      <c r="C258" s="157"/>
      <c r="D258" s="158"/>
      <c r="E258" s="145"/>
      <c r="F258" s="32"/>
      <c r="G258" s="33"/>
    </row>
    <row r="259" spans="1:7" s="34" customFormat="1" ht="19.149999999999999" customHeight="1">
      <c r="A259" s="148"/>
      <c r="B259" s="148"/>
      <c r="C259" s="157"/>
      <c r="D259" s="158"/>
      <c r="E259" s="145"/>
      <c r="F259" s="32"/>
      <c r="G259" s="33"/>
    </row>
    <row r="260" spans="1:7" s="34" customFormat="1" ht="19.149999999999999" customHeight="1">
      <c r="A260" s="148"/>
      <c r="B260" s="148"/>
      <c r="C260" s="157"/>
      <c r="D260" s="158"/>
      <c r="E260" s="145"/>
      <c r="F260" s="32"/>
      <c r="G260" s="33"/>
    </row>
    <row r="261" spans="1:7" s="34" customFormat="1" ht="19.149999999999999" customHeight="1">
      <c r="A261" s="148"/>
      <c r="B261" s="148"/>
      <c r="C261" s="157"/>
      <c r="D261" s="158"/>
      <c r="E261" s="145"/>
      <c r="F261" s="32"/>
      <c r="G261" s="33"/>
    </row>
    <row r="262" spans="1:7" s="34" customFormat="1" ht="19.149999999999999" customHeight="1">
      <c r="A262" s="148"/>
      <c r="B262" s="148"/>
      <c r="C262" s="157"/>
      <c r="D262" s="158"/>
      <c r="E262" s="145"/>
      <c r="F262" s="32"/>
      <c r="G262" s="33"/>
    </row>
    <row r="263" spans="1:7" s="34" customFormat="1" ht="19.149999999999999" customHeight="1">
      <c r="A263" s="148"/>
      <c r="B263" s="148"/>
      <c r="C263" s="157"/>
      <c r="D263" s="158"/>
      <c r="E263" s="145"/>
      <c r="F263" s="32"/>
      <c r="G263" s="33"/>
    </row>
    <row r="264" spans="1:7" s="34" customFormat="1" ht="19.149999999999999" customHeight="1">
      <c r="A264" s="148"/>
      <c r="B264" s="148"/>
      <c r="C264" s="157"/>
      <c r="D264" s="158"/>
      <c r="E264" s="145"/>
      <c r="F264" s="32"/>
      <c r="G264" s="33"/>
    </row>
    <row r="265" spans="1:7" s="34" customFormat="1" ht="19.149999999999999" customHeight="1">
      <c r="A265" s="148"/>
      <c r="B265" s="148"/>
      <c r="C265" s="157"/>
      <c r="D265" s="158"/>
      <c r="E265" s="145"/>
      <c r="F265" s="32"/>
      <c r="G265" s="33"/>
    </row>
    <row r="266" spans="1:7" s="34" customFormat="1" ht="19.149999999999999" customHeight="1">
      <c r="A266" s="148"/>
      <c r="B266" s="148"/>
      <c r="C266" s="157"/>
      <c r="D266" s="158"/>
      <c r="E266" s="145"/>
      <c r="F266" s="32"/>
      <c r="G266" s="33"/>
    </row>
    <row r="267" spans="1:7" s="34" customFormat="1" ht="19.149999999999999" customHeight="1">
      <c r="A267" s="148"/>
      <c r="B267" s="148"/>
      <c r="C267" s="157"/>
      <c r="D267" s="158"/>
      <c r="E267" s="145"/>
      <c r="F267" s="32"/>
      <c r="G267" s="33"/>
    </row>
    <row r="268" spans="1:7" s="34" customFormat="1" ht="19.149999999999999" customHeight="1">
      <c r="A268" s="148"/>
      <c r="B268" s="148"/>
      <c r="C268" s="157"/>
      <c r="D268" s="158"/>
      <c r="E268" s="145"/>
      <c r="F268" s="32"/>
      <c r="G268" s="33"/>
    </row>
    <row r="269" spans="1:7" s="34" customFormat="1" ht="19.149999999999999" customHeight="1">
      <c r="A269" s="148"/>
      <c r="B269" s="148"/>
      <c r="C269" s="157"/>
      <c r="D269" s="158"/>
      <c r="E269" s="145"/>
      <c r="F269" s="32"/>
      <c r="G269" s="33"/>
    </row>
    <row r="270" spans="1:7" s="34" customFormat="1" ht="19.149999999999999" customHeight="1">
      <c r="A270" s="148"/>
      <c r="B270" s="148"/>
      <c r="C270" s="157"/>
      <c r="D270" s="158"/>
      <c r="E270" s="145"/>
      <c r="F270" s="32"/>
      <c r="G270" s="33"/>
    </row>
    <row r="271" spans="1:7" s="34" customFormat="1" ht="19.149999999999999" customHeight="1">
      <c r="A271" s="148"/>
      <c r="B271" s="148"/>
      <c r="C271" s="157"/>
      <c r="D271" s="158"/>
      <c r="E271" s="145"/>
      <c r="F271" s="32"/>
      <c r="G271" s="33"/>
    </row>
    <row r="272" spans="1:7" s="34" customFormat="1" ht="19.149999999999999" customHeight="1">
      <c r="A272" s="148"/>
      <c r="B272" s="148"/>
      <c r="C272" s="157"/>
      <c r="D272" s="158"/>
      <c r="E272" s="145"/>
      <c r="F272" s="32"/>
      <c r="G272" s="33"/>
    </row>
    <row r="273" spans="1:7" s="34" customFormat="1" ht="19.149999999999999" customHeight="1">
      <c r="A273" s="148"/>
      <c r="B273" s="148"/>
      <c r="C273" s="157"/>
      <c r="D273" s="158"/>
      <c r="E273" s="145"/>
      <c r="F273" s="32"/>
      <c r="G273" s="33"/>
    </row>
    <row r="274" spans="1:7" s="34" customFormat="1" ht="19.149999999999999" customHeight="1">
      <c r="A274" s="148"/>
      <c r="B274" s="148"/>
      <c r="C274" s="157"/>
      <c r="D274" s="158"/>
      <c r="E274" s="145"/>
      <c r="F274" s="32"/>
      <c r="G274" s="33"/>
    </row>
    <row r="275" spans="1:7" s="34" customFormat="1" ht="19.149999999999999" customHeight="1">
      <c r="A275" s="148"/>
      <c r="B275" s="148"/>
      <c r="C275" s="157"/>
      <c r="D275" s="158"/>
      <c r="E275" s="145"/>
      <c r="F275" s="32"/>
      <c r="G275" s="33"/>
    </row>
    <row r="276" spans="1:7" s="34" customFormat="1" ht="19.149999999999999" customHeight="1">
      <c r="A276" s="148"/>
      <c r="B276" s="148"/>
      <c r="C276" s="157"/>
      <c r="D276" s="158"/>
      <c r="E276" s="145"/>
      <c r="F276" s="32"/>
      <c r="G276" s="33"/>
    </row>
    <row r="277" spans="1:7" s="34" customFormat="1" ht="19.149999999999999" customHeight="1">
      <c r="A277" s="182" t="s">
        <v>132</v>
      </c>
      <c r="B277" s="173"/>
      <c r="C277" s="175"/>
      <c r="D277" s="183"/>
      <c r="E277" s="145"/>
      <c r="F277" s="32"/>
      <c r="G277" s="33"/>
    </row>
    <row r="278" spans="1:7" s="34" customFormat="1" ht="19.149999999999999" customHeight="1">
      <c r="A278" s="178" t="s">
        <v>161</v>
      </c>
      <c r="B278" s="179"/>
      <c r="C278" s="184" t="s">
        <v>86</v>
      </c>
      <c r="D278" s="185">
        <v>1</v>
      </c>
      <c r="E278" s="145"/>
      <c r="F278" s="32"/>
      <c r="G278" s="33"/>
    </row>
    <row r="279" spans="1:7" s="34" customFormat="1" ht="19.149999999999999" customHeight="1">
      <c r="A279" s="187" t="s">
        <v>162</v>
      </c>
      <c r="B279" s="186"/>
      <c r="C279" s="184" t="s">
        <v>86</v>
      </c>
      <c r="D279" s="185">
        <v>1</v>
      </c>
      <c r="E279" s="145"/>
      <c r="F279" s="32"/>
      <c r="G279" s="33"/>
    </row>
    <row r="280" spans="1:7" s="34" customFormat="1" ht="19.149999999999999" customHeight="1">
      <c r="A280" s="187" t="s">
        <v>163</v>
      </c>
      <c r="B280" s="186"/>
      <c r="C280" s="184" t="s">
        <v>86</v>
      </c>
      <c r="D280" s="185">
        <v>1</v>
      </c>
      <c r="E280" s="145"/>
      <c r="F280" s="32"/>
      <c r="G280" s="33"/>
    </row>
    <row r="281" spans="1:7" s="34" customFormat="1" ht="19.149999999999999" customHeight="1">
      <c r="A281" s="187"/>
      <c r="B281" s="186"/>
      <c r="C281" s="184"/>
      <c r="D281" s="185"/>
      <c r="E281" s="145"/>
      <c r="F281" s="32"/>
      <c r="G281" s="33"/>
    </row>
    <row r="282" spans="1:7" s="34" customFormat="1" ht="19.149999999999999" customHeight="1">
      <c r="A282" s="187"/>
      <c r="B282" s="186"/>
      <c r="C282" s="184"/>
      <c r="D282" s="185"/>
      <c r="E282" s="145"/>
      <c r="F282" s="32"/>
      <c r="G282" s="33"/>
    </row>
    <row r="283" spans="1:7" s="34" customFormat="1" ht="19.149999999999999" customHeight="1">
      <c r="A283" s="187"/>
      <c r="B283" s="186"/>
      <c r="C283" s="184"/>
      <c r="D283" s="185"/>
      <c r="E283" s="145"/>
      <c r="F283" s="32"/>
      <c r="G283" s="33"/>
    </row>
    <row r="284" spans="1:7" s="34" customFormat="1" ht="19.149999999999999" customHeight="1">
      <c r="A284" s="187"/>
      <c r="B284" s="186"/>
      <c r="C284" s="184"/>
      <c r="D284" s="185"/>
      <c r="E284" s="145"/>
      <c r="F284" s="32"/>
      <c r="G284" s="33"/>
    </row>
    <row r="285" spans="1:7" s="34" customFormat="1" ht="19.149999999999999" customHeight="1">
      <c r="A285" s="187"/>
      <c r="B285" s="186"/>
      <c r="C285" s="184"/>
      <c r="D285" s="185"/>
      <c r="E285" s="145"/>
      <c r="F285" s="32"/>
      <c r="G285" s="33"/>
    </row>
    <row r="286" spans="1:7" s="34" customFormat="1" ht="19.149999999999999" customHeight="1">
      <c r="A286" s="148"/>
      <c r="B286" s="148"/>
      <c r="C286" s="158"/>
      <c r="D286" s="158"/>
      <c r="E286" s="145"/>
      <c r="F286" s="32"/>
      <c r="G286" s="33"/>
    </row>
    <row r="287" spans="1:7" s="34" customFormat="1" ht="19.149999999999999" customHeight="1">
      <c r="A287" s="148"/>
      <c r="B287" s="148"/>
      <c r="C287" s="157"/>
      <c r="D287" s="158"/>
      <c r="E287" s="145"/>
      <c r="F287" s="32"/>
      <c r="G287" s="33"/>
    </row>
    <row r="288" spans="1:7" s="34" customFormat="1" ht="19.149999999999999" customHeight="1">
      <c r="A288" s="148"/>
      <c r="B288" s="148"/>
      <c r="C288" s="157"/>
      <c r="D288" s="158"/>
      <c r="E288" s="145"/>
      <c r="F288" s="32"/>
      <c r="G288" s="33"/>
    </row>
    <row r="289" spans="1:7" s="34" customFormat="1" ht="19.149999999999999" customHeight="1">
      <c r="A289" s="148"/>
      <c r="B289" s="148"/>
      <c r="C289" s="157"/>
      <c r="D289" s="158"/>
      <c r="E289" s="145"/>
      <c r="F289" s="32"/>
      <c r="G289" s="33"/>
    </row>
    <row r="290" spans="1:7" s="34" customFormat="1" ht="19.149999999999999" customHeight="1">
      <c r="A290" s="148"/>
      <c r="B290" s="148"/>
      <c r="C290" s="157"/>
      <c r="D290" s="158"/>
      <c r="E290" s="145"/>
      <c r="F290" s="32"/>
      <c r="G290" s="33"/>
    </row>
    <row r="291" spans="1:7" s="34" customFormat="1" ht="19.149999999999999" customHeight="1">
      <c r="A291" s="148"/>
      <c r="B291" s="148"/>
      <c r="C291" s="157"/>
      <c r="D291" s="158"/>
      <c r="E291" s="145"/>
      <c r="F291" s="32"/>
      <c r="G291" s="33"/>
    </row>
    <row r="292" spans="1:7" s="34" customFormat="1" ht="19.149999999999999" customHeight="1">
      <c r="A292" s="148"/>
      <c r="B292" s="148"/>
      <c r="C292" s="157"/>
      <c r="D292" s="158"/>
      <c r="E292" s="145"/>
      <c r="F292" s="32"/>
      <c r="G292" s="33"/>
    </row>
    <row r="293" spans="1:7" s="34" customFormat="1" ht="19.149999999999999" customHeight="1">
      <c r="A293" s="148"/>
      <c r="B293" s="148"/>
      <c r="C293" s="157"/>
      <c r="D293" s="158"/>
      <c r="E293" s="145"/>
      <c r="F293" s="32"/>
      <c r="G293" s="33"/>
    </row>
    <row r="294" spans="1:7" s="34" customFormat="1" ht="19.149999999999999" customHeight="1">
      <c r="A294" s="148"/>
      <c r="B294" s="148"/>
      <c r="C294" s="157"/>
      <c r="D294" s="158"/>
      <c r="E294" s="145"/>
      <c r="F294" s="32"/>
      <c r="G294" s="33"/>
    </row>
    <row r="295" spans="1:7" s="34" customFormat="1" ht="19.149999999999999" customHeight="1">
      <c r="A295" s="148"/>
      <c r="B295" s="148"/>
      <c r="C295" s="157"/>
      <c r="D295" s="158"/>
      <c r="E295" s="145"/>
      <c r="F295" s="32"/>
      <c r="G295" s="33"/>
    </row>
    <row r="296" spans="1:7" s="34" customFormat="1" ht="19.149999999999999" customHeight="1">
      <c r="A296" s="148"/>
      <c r="B296" s="148"/>
      <c r="C296" s="157"/>
      <c r="D296" s="158"/>
      <c r="E296" s="145"/>
      <c r="F296" s="32"/>
      <c r="G296" s="33"/>
    </row>
    <row r="297" spans="1:7" s="34" customFormat="1" ht="19.149999999999999" customHeight="1">
      <c r="A297" s="148"/>
      <c r="B297" s="148"/>
      <c r="C297" s="157"/>
      <c r="D297" s="158"/>
      <c r="E297" s="145"/>
      <c r="F297" s="32"/>
      <c r="G297" s="33"/>
    </row>
    <row r="298" spans="1:7" s="34" customFormat="1" ht="19.149999999999999" customHeight="1">
      <c r="A298" s="148"/>
      <c r="B298" s="148"/>
      <c r="C298" s="157"/>
      <c r="D298" s="158"/>
      <c r="E298" s="145"/>
      <c r="F298" s="32"/>
      <c r="G298" s="33"/>
    </row>
    <row r="299" spans="1:7" s="34" customFormat="1" ht="19.149999999999999" customHeight="1">
      <c r="A299" s="148"/>
      <c r="B299" s="148"/>
      <c r="C299" s="157"/>
      <c r="D299" s="158"/>
      <c r="E299" s="145"/>
      <c r="F299" s="32"/>
      <c r="G299" s="33"/>
    </row>
    <row r="300" spans="1:7" s="34" customFormat="1" ht="19.149999999999999" customHeight="1">
      <c r="A300" s="148"/>
      <c r="B300" s="148"/>
      <c r="C300" s="157"/>
      <c r="D300" s="158"/>
      <c r="E300" s="145"/>
      <c r="F300" s="32"/>
      <c r="G300" s="33"/>
    </row>
    <row r="301" spans="1:7" s="34" customFormat="1" ht="19.149999999999999" customHeight="1">
      <c r="A301" s="148"/>
      <c r="B301" s="148"/>
      <c r="C301" s="157"/>
      <c r="D301" s="158"/>
      <c r="E301" s="145"/>
      <c r="F301" s="32"/>
      <c r="G301" s="33"/>
    </row>
    <row r="302" spans="1:7" s="34" customFormat="1" ht="19.149999999999999" customHeight="1">
      <c r="A302" s="182" t="s">
        <v>132</v>
      </c>
      <c r="B302" s="173"/>
      <c r="C302" s="175"/>
      <c r="D302" s="183"/>
      <c r="E302" s="145"/>
      <c r="F302" s="32"/>
      <c r="G302" s="33"/>
    </row>
    <row r="303" spans="1:7" s="34" customFormat="1" ht="19.149999999999999" customHeight="1">
      <c r="A303" s="151" t="s">
        <v>46</v>
      </c>
      <c r="B303" s="177" t="s">
        <v>167</v>
      </c>
      <c r="C303" s="152" t="s">
        <v>6</v>
      </c>
      <c r="D303" s="153">
        <v>1</v>
      </c>
      <c r="E303" s="145"/>
      <c r="F303" s="32"/>
      <c r="G303" s="33"/>
    </row>
    <row r="304" spans="1:7" s="34" customFormat="1" ht="19.149999999999999" customHeight="1">
      <c r="A304" s="151" t="s">
        <v>47</v>
      </c>
      <c r="B304" s="177" t="s">
        <v>800</v>
      </c>
      <c r="C304" s="152" t="s">
        <v>6</v>
      </c>
      <c r="D304" s="153">
        <v>1</v>
      </c>
      <c r="E304" s="145"/>
      <c r="F304" s="32"/>
      <c r="G304" s="33"/>
    </row>
    <row r="305" spans="1:7" s="34" customFormat="1" ht="19.149999999999999" customHeight="1">
      <c r="A305" s="151" t="s">
        <v>48</v>
      </c>
      <c r="B305" s="177" t="s">
        <v>108</v>
      </c>
      <c r="C305" s="152" t="s">
        <v>6</v>
      </c>
      <c r="D305" s="153">
        <v>1</v>
      </c>
      <c r="E305" s="145"/>
      <c r="F305" s="32"/>
      <c r="G305" s="33"/>
    </row>
    <row r="306" spans="1:7" s="34" customFormat="1" ht="19.149999999999999" customHeight="1">
      <c r="A306" s="151" t="s">
        <v>49</v>
      </c>
      <c r="B306" s="177" t="s">
        <v>137</v>
      </c>
      <c r="C306" s="152" t="s">
        <v>6</v>
      </c>
      <c r="D306" s="153">
        <v>1</v>
      </c>
      <c r="E306" s="145"/>
      <c r="F306" s="32"/>
      <c r="G306" s="33"/>
    </row>
    <row r="307" spans="1:7" s="34" customFormat="1" ht="19.149999999999999" customHeight="1">
      <c r="A307" s="151" t="s">
        <v>97</v>
      </c>
      <c r="B307" s="177" t="s">
        <v>788</v>
      </c>
      <c r="C307" s="152" t="s">
        <v>86</v>
      </c>
      <c r="D307" s="153">
        <v>1</v>
      </c>
      <c r="E307" s="145"/>
      <c r="F307" s="32"/>
      <c r="G307" s="33"/>
    </row>
    <row r="308" spans="1:7" s="34" customFormat="1" ht="19.149999999999999" customHeight="1">
      <c r="A308" s="151" t="s">
        <v>98</v>
      </c>
      <c r="B308" s="177" t="s">
        <v>109</v>
      </c>
      <c r="C308" s="152" t="s">
        <v>86</v>
      </c>
      <c r="D308" s="153">
        <v>1</v>
      </c>
      <c r="E308" s="145"/>
      <c r="F308" s="32"/>
      <c r="G308" s="33"/>
    </row>
    <row r="309" spans="1:7" s="34" customFormat="1" ht="19.149999999999999" customHeight="1">
      <c r="A309" s="151" t="s">
        <v>99</v>
      </c>
      <c r="B309" s="177" t="s">
        <v>789</v>
      </c>
      <c r="C309" s="152" t="s">
        <v>6</v>
      </c>
      <c r="D309" s="153">
        <v>1</v>
      </c>
      <c r="E309" s="145"/>
      <c r="F309" s="32"/>
      <c r="G309" s="33"/>
    </row>
    <row r="310" spans="1:7" s="34" customFormat="1" ht="19.149999999999999" customHeight="1">
      <c r="A310" s="151" t="s">
        <v>100</v>
      </c>
      <c r="B310" s="177" t="s">
        <v>101</v>
      </c>
      <c r="C310" s="152" t="s">
        <v>6</v>
      </c>
      <c r="D310" s="153">
        <v>1</v>
      </c>
      <c r="E310" s="145"/>
      <c r="F310" s="32"/>
      <c r="G310" s="33"/>
    </row>
    <row r="311" spans="1:7" s="34" customFormat="1" ht="19.149999999999999" customHeight="1">
      <c r="A311" s="151" t="s">
        <v>66</v>
      </c>
      <c r="B311" s="177" t="s">
        <v>138</v>
      </c>
      <c r="C311" s="152" t="s">
        <v>6</v>
      </c>
      <c r="D311" s="153">
        <v>1</v>
      </c>
      <c r="E311" s="145"/>
      <c r="F311" s="32"/>
      <c r="G311" s="33"/>
    </row>
    <row r="312" spans="1:7" s="34" customFormat="1" ht="19.149999999999999" customHeight="1">
      <c r="A312" s="151" t="s">
        <v>139</v>
      </c>
      <c r="B312" s="177"/>
      <c r="C312" s="152" t="s">
        <v>6</v>
      </c>
      <c r="D312" s="153">
        <v>1</v>
      </c>
      <c r="E312" s="145"/>
      <c r="F312" s="32"/>
      <c r="G312" s="33"/>
    </row>
    <row r="313" spans="1:7" s="34" customFormat="1" ht="19.149999999999999" customHeight="1">
      <c r="A313" s="151" t="s">
        <v>140</v>
      </c>
      <c r="B313" s="177"/>
      <c r="C313" s="152" t="s">
        <v>6</v>
      </c>
      <c r="D313" s="153">
        <v>1</v>
      </c>
      <c r="E313" s="145"/>
      <c r="F313" s="32"/>
      <c r="G313" s="33"/>
    </row>
    <row r="314" spans="1:7" s="34" customFormat="1" ht="19.149999999999999" customHeight="1">
      <c r="A314" s="151" t="s">
        <v>142</v>
      </c>
      <c r="B314" s="177"/>
      <c r="C314" s="152" t="s">
        <v>6</v>
      </c>
      <c r="D314" s="153">
        <v>1</v>
      </c>
      <c r="E314" s="145"/>
      <c r="F314" s="32"/>
      <c r="G314" s="33"/>
    </row>
    <row r="315" spans="1:7" s="34" customFormat="1" ht="19.149999999999999" customHeight="1">
      <c r="A315" s="151" t="s">
        <v>50</v>
      </c>
      <c r="B315" s="177" t="s">
        <v>141</v>
      </c>
      <c r="C315" s="152" t="s">
        <v>6</v>
      </c>
      <c r="D315" s="153">
        <v>1</v>
      </c>
      <c r="E315" s="145"/>
      <c r="F315" s="32"/>
      <c r="G315" s="33"/>
    </row>
    <row r="316" spans="1:7" s="34" customFormat="1" ht="19.149999999999999" customHeight="1">
      <c r="A316" s="151" t="s">
        <v>51</v>
      </c>
      <c r="B316" s="177" t="s">
        <v>102</v>
      </c>
      <c r="C316" s="152" t="s">
        <v>6</v>
      </c>
      <c r="D316" s="153">
        <v>1</v>
      </c>
      <c r="E316" s="145"/>
      <c r="F316" s="32"/>
      <c r="G316" s="33"/>
    </row>
    <row r="317" spans="1:7" s="34" customFormat="1" ht="19.149999999999999" customHeight="1">
      <c r="A317" s="151" t="s">
        <v>67</v>
      </c>
      <c r="B317" s="177"/>
      <c r="C317" s="152" t="s">
        <v>6</v>
      </c>
      <c r="D317" s="153">
        <v>1</v>
      </c>
      <c r="E317" s="145"/>
      <c r="F317" s="32"/>
      <c r="G317" s="33"/>
    </row>
    <row r="318" spans="1:7" s="34" customFormat="1" ht="19.149999999999999" customHeight="1">
      <c r="A318" s="151" t="s">
        <v>68</v>
      </c>
      <c r="B318" s="188">
        <v>0.1</v>
      </c>
      <c r="C318" s="152" t="s">
        <v>6</v>
      </c>
      <c r="D318" s="153">
        <v>1</v>
      </c>
      <c r="E318" s="145"/>
      <c r="F318" s="32"/>
      <c r="G318" s="33"/>
    </row>
    <row r="319" spans="1:7" s="34" customFormat="1" ht="19.149999999999999" customHeight="1">
      <c r="A319" s="151" t="s">
        <v>65</v>
      </c>
      <c r="B319" s="177"/>
      <c r="C319" s="152" t="s">
        <v>6</v>
      </c>
      <c r="D319" s="153">
        <v>1</v>
      </c>
      <c r="E319" s="145"/>
      <c r="F319" s="32"/>
      <c r="G319" s="33"/>
    </row>
    <row r="320" spans="1:7" s="34" customFormat="1" ht="19.149999999999999" customHeight="1">
      <c r="A320" s="151"/>
      <c r="B320" s="177"/>
      <c r="C320" s="152"/>
      <c r="D320" s="153"/>
      <c r="E320" s="145"/>
      <c r="F320" s="32"/>
      <c r="G320" s="33"/>
    </row>
    <row r="321" spans="1:7" s="34" customFormat="1" ht="19.149999999999999" customHeight="1">
      <c r="A321" s="151"/>
      <c r="B321" s="177"/>
      <c r="C321" s="152"/>
      <c r="D321" s="153"/>
      <c r="E321" s="145"/>
      <c r="F321" s="32"/>
      <c r="G321" s="33"/>
    </row>
    <row r="322" spans="1:7" s="34" customFormat="1" ht="19.149999999999999" customHeight="1">
      <c r="A322" s="151"/>
      <c r="B322" s="177"/>
      <c r="C322" s="152"/>
      <c r="D322" s="153"/>
      <c r="E322" s="145"/>
      <c r="F322" s="32"/>
      <c r="G322" s="33"/>
    </row>
    <row r="323" spans="1:7" s="34" customFormat="1" ht="19.149999999999999" customHeight="1">
      <c r="A323" s="151"/>
      <c r="B323" s="177"/>
      <c r="C323" s="152"/>
      <c r="D323" s="153"/>
      <c r="E323" s="145"/>
      <c r="F323" s="32"/>
      <c r="G323" s="33"/>
    </row>
    <row r="324" spans="1:7" s="34" customFormat="1" ht="19.149999999999999" customHeight="1">
      <c r="A324" s="176"/>
      <c r="B324" s="177"/>
      <c r="C324" s="152"/>
      <c r="D324" s="153"/>
      <c r="E324" s="145"/>
      <c r="F324" s="32"/>
      <c r="G324" s="33"/>
    </row>
    <row r="325" spans="1:7" s="34" customFormat="1" ht="19.149999999999999" customHeight="1">
      <c r="A325" s="176"/>
      <c r="B325" s="177"/>
      <c r="C325" s="152"/>
      <c r="D325" s="153"/>
      <c r="E325" s="145"/>
      <c r="F325" s="32"/>
      <c r="G325" s="33"/>
    </row>
    <row r="326" spans="1:7" s="34" customFormat="1" ht="19.149999999999999" customHeight="1">
      <c r="A326" s="176"/>
      <c r="B326" s="177"/>
      <c r="C326" s="152"/>
      <c r="D326" s="153"/>
      <c r="E326" s="145"/>
      <c r="F326" s="32"/>
      <c r="G326" s="33"/>
    </row>
    <row r="327" spans="1:7" s="34" customFormat="1" ht="19.149999999999999" customHeight="1">
      <c r="A327" s="176"/>
      <c r="B327" s="177"/>
      <c r="C327" s="152"/>
      <c r="D327" s="153"/>
      <c r="E327" s="145"/>
      <c r="F327" s="32"/>
      <c r="G327" s="33"/>
    </row>
  </sheetData>
  <mergeCells count="1">
    <mergeCell ref="A1:G1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9" fitToHeight="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  <pageSetUpPr fitToPage="1"/>
  </sheetPr>
  <dimension ref="A1:K327"/>
  <sheetViews>
    <sheetView showZeros="0" view="pageBreakPreview" zoomScaleNormal="100" zoomScaleSheetLayoutView="100" workbookViewId="0">
      <pane ySplit="2" topLeftCell="A3" activePane="bottomLeft" state="frozen"/>
      <selection activeCell="D4" sqref="D4"/>
      <selection pane="bottomLeft" activeCell="D4" sqref="D4"/>
    </sheetView>
  </sheetViews>
  <sheetFormatPr defaultColWidth="8.88671875" defaultRowHeight="24.95" customHeight="1"/>
  <cols>
    <col min="1" max="1" width="28.21875" style="35" customWidth="1"/>
    <col min="2" max="2" width="28.109375" style="35" customWidth="1"/>
    <col min="3" max="3" width="6.88671875" style="36" customWidth="1"/>
    <col min="4" max="4" width="10.109375" style="36" customWidth="1"/>
    <col min="5" max="5" width="14" style="25" customWidth="1"/>
    <col min="6" max="6" width="14.77734375" style="25" customWidth="1"/>
    <col min="7" max="7" width="11.33203125" style="37" customWidth="1"/>
    <col min="8" max="8" width="8.88671875" style="25"/>
    <col min="9" max="9" width="43.44140625" style="25" customWidth="1"/>
    <col min="10" max="16384" width="8.88671875" style="25"/>
  </cols>
  <sheetData>
    <row r="1" spans="1:11" ht="27.75" customHeight="1">
      <c r="A1" s="395" t="s">
        <v>784</v>
      </c>
      <c r="B1" s="395"/>
      <c r="C1" s="395"/>
      <c r="D1" s="395"/>
      <c r="E1" s="395"/>
      <c r="F1" s="395"/>
      <c r="G1" s="395"/>
    </row>
    <row r="2" spans="1:11" s="26" customFormat="1" ht="17.45" customHeight="1">
      <c r="A2" s="207" t="s">
        <v>44</v>
      </c>
      <c r="B2" s="207" t="s">
        <v>8</v>
      </c>
      <c r="C2" s="207" t="s">
        <v>3</v>
      </c>
      <c r="D2" s="207" t="s">
        <v>9</v>
      </c>
      <c r="E2" s="207" t="s">
        <v>10</v>
      </c>
      <c r="F2" s="207" t="s">
        <v>11</v>
      </c>
      <c r="G2" s="207" t="s">
        <v>12</v>
      </c>
    </row>
    <row r="3" spans="1:11" s="34" customFormat="1" ht="19.149999999999999" customHeight="1">
      <c r="A3" s="178" t="s">
        <v>769</v>
      </c>
      <c r="B3" s="179"/>
      <c r="C3" s="178"/>
      <c r="D3" s="180"/>
      <c r="E3" s="145"/>
      <c r="F3" s="32"/>
      <c r="G3" s="33"/>
      <c r="I3" s="22"/>
      <c r="J3" s="77"/>
      <c r="K3" s="78"/>
    </row>
    <row r="4" spans="1:11" s="34" customFormat="1" ht="19.149999999999999" customHeight="1">
      <c r="A4" s="210" t="s">
        <v>267</v>
      </c>
      <c r="B4" s="211" t="s">
        <v>268</v>
      </c>
      <c r="C4" s="213" t="s">
        <v>177</v>
      </c>
      <c r="D4" s="212">
        <v>30</v>
      </c>
      <c r="E4" s="145"/>
      <c r="F4" s="32"/>
      <c r="G4" s="33" t="s">
        <v>316</v>
      </c>
      <c r="I4" s="22"/>
      <c r="J4" s="77"/>
      <c r="K4" s="78"/>
    </row>
    <row r="5" spans="1:11" s="34" customFormat="1" ht="19.149999999999999" customHeight="1">
      <c r="A5" s="210" t="s">
        <v>273</v>
      </c>
      <c r="B5" s="211" t="s">
        <v>274</v>
      </c>
      <c r="C5" s="213" t="s">
        <v>85</v>
      </c>
      <c r="D5" s="212">
        <v>2</v>
      </c>
      <c r="E5" s="145"/>
      <c r="F5" s="32"/>
      <c r="G5" s="33">
        <v>0</v>
      </c>
      <c r="I5" s="22"/>
      <c r="J5" s="77"/>
      <c r="K5" s="78"/>
    </row>
    <row r="6" spans="1:11" s="34" customFormat="1" ht="19.149999999999999" customHeight="1">
      <c r="A6" s="210" t="s">
        <v>250</v>
      </c>
      <c r="B6" s="211" t="s">
        <v>133</v>
      </c>
      <c r="C6" s="213" t="s">
        <v>177</v>
      </c>
      <c r="D6" s="212">
        <v>146</v>
      </c>
      <c r="E6" s="145"/>
      <c r="F6" s="32"/>
      <c r="G6" s="33" t="s">
        <v>321</v>
      </c>
      <c r="I6" s="22"/>
      <c r="J6" s="77"/>
      <c r="K6" s="78"/>
    </row>
    <row r="7" spans="1:11" s="34" customFormat="1" ht="19.149999999999999" customHeight="1">
      <c r="A7" s="210" t="s">
        <v>250</v>
      </c>
      <c r="B7" s="211" t="s">
        <v>105</v>
      </c>
      <c r="C7" s="213" t="s">
        <v>177</v>
      </c>
      <c r="D7" s="212">
        <v>162</v>
      </c>
      <c r="E7" s="145"/>
      <c r="F7" s="32"/>
      <c r="G7" s="33" t="s">
        <v>322</v>
      </c>
      <c r="I7" s="22"/>
      <c r="J7" s="77"/>
      <c r="K7" s="78"/>
    </row>
    <row r="8" spans="1:11" s="34" customFormat="1" ht="19.149999999999999" customHeight="1">
      <c r="A8" s="210" t="s">
        <v>250</v>
      </c>
      <c r="B8" s="211" t="s">
        <v>121</v>
      </c>
      <c r="C8" s="213" t="s">
        <v>177</v>
      </c>
      <c r="D8" s="212">
        <v>96</v>
      </c>
      <c r="E8" s="145"/>
      <c r="F8" s="32"/>
      <c r="G8" s="33" t="s">
        <v>260</v>
      </c>
      <c r="I8" s="22"/>
      <c r="J8" s="77"/>
      <c r="K8" s="78"/>
    </row>
    <row r="9" spans="1:11" s="34" customFormat="1" ht="19.149999999999999" customHeight="1">
      <c r="A9" s="210" t="s">
        <v>251</v>
      </c>
      <c r="B9" s="211" t="s">
        <v>279</v>
      </c>
      <c r="C9" s="213" t="s">
        <v>177</v>
      </c>
      <c r="D9" s="212">
        <v>146</v>
      </c>
      <c r="E9" s="145"/>
      <c r="F9" s="32"/>
      <c r="G9" s="33" t="s">
        <v>324</v>
      </c>
      <c r="I9" s="22"/>
      <c r="J9" s="77"/>
      <c r="K9" s="78"/>
    </row>
    <row r="10" spans="1:11" s="34" customFormat="1" ht="19.149999999999999" customHeight="1">
      <c r="A10" s="210" t="s">
        <v>251</v>
      </c>
      <c r="B10" s="211" t="s">
        <v>280</v>
      </c>
      <c r="C10" s="213" t="s">
        <v>177</v>
      </c>
      <c r="D10" s="212">
        <v>162</v>
      </c>
      <c r="E10" s="145"/>
      <c r="F10" s="32"/>
      <c r="G10" s="33" t="s">
        <v>325</v>
      </c>
      <c r="I10" s="22"/>
      <c r="J10" s="77"/>
      <c r="K10" s="78"/>
    </row>
    <row r="11" spans="1:11" s="34" customFormat="1" ht="19.149999999999999" customHeight="1">
      <c r="A11" s="210" t="s">
        <v>251</v>
      </c>
      <c r="B11" s="211" t="s">
        <v>184</v>
      </c>
      <c r="C11" s="213" t="s">
        <v>177</v>
      </c>
      <c r="D11" s="212">
        <v>96</v>
      </c>
      <c r="E11" s="145"/>
      <c r="F11" s="32"/>
      <c r="G11" s="33" t="s">
        <v>787</v>
      </c>
      <c r="I11" s="22"/>
      <c r="J11" s="77"/>
      <c r="K11" s="78"/>
    </row>
    <row r="12" spans="1:11" s="34" customFormat="1" ht="19.149999999999999" customHeight="1">
      <c r="A12" s="210" t="s">
        <v>195</v>
      </c>
      <c r="B12" s="211" t="s">
        <v>118</v>
      </c>
      <c r="C12" s="213" t="s">
        <v>85</v>
      </c>
      <c r="D12" s="212">
        <v>2</v>
      </c>
      <c r="E12" s="145"/>
      <c r="F12" s="32"/>
      <c r="G12" s="33" t="s">
        <v>330</v>
      </c>
      <c r="I12" s="22"/>
      <c r="J12" s="77"/>
      <c r="K12" s="78"/>
    </row>
    <row r="13" spans="1:11" s="34" customFormat="1" ht="19.149999999999999" customHeight="1">
      <c r="A13" s="210" t="s">
        <v>119</v>
      </c>
      <c r="B13" s="211" t="s">
        <v>286</v>
      </c>
      <c r="C13" s="213" t="s">
        <v>85</v>
      </c>
      <c r="D13" s="212">
        <v>24</v>
      </c>
      <c r="E13" s="145"/>
      <c r="F13" s="32"/>
      <c r="G13" s="33" t="s">
        <v>331</v>
      </c>
      <c r="I13" s="22"/>
      <c r="J13" s="77"/>
      <c r="K13" s="78"/>
    </row>
    <row r="14" spans="1:11" s="34" customFormat="1" ht="19.149999999999999" customHeight="1">
      <c r="A14" s="210" t="s">
        <v>119</v>
      </c>
      <c r="B14" s="211" t="s">
        <v>198</v>
      </c>
      <c r="C14" s="213" t="s">
        <v>85</v>
      </c>
      <c r="D14" s="212">
        <v>8</v>
      </c>
      <c r="E14" s="145"/>
      <c r="F14" s="32"/>
      <c r="G14" s="33" t="s">
        <v>238</v>
      </c>
      <c r="I14" s="22"/>
      <c r="J14" s="77"/>
      <c r="K14" s="78"/>
    </row>
    <row r="15" spans="1:11" s="34" customFormat="1" ht="19.149999999999999" customHeight="1">
      <c r="A15" s="210" t="s">
        <v>200</v>
      </c>
      <c r="B15" s="211" t="s">
        <v>201</v>
      </c>
      <c r="C15" s="213" t="s">
        <v>85</v>
      </c>
      <c r="D15" s="212">
        <v>6</v>
      </c>
      <c r="E15" s="145"/>
      <c r="F15" s="32"/>
      <c r="G15" s="33" t="s">
        <v>240</v>
      </c>
      <c r="I15" s="22"/>
      <c r="J15" s="77"/>
      <c r="K15" s="78"/>
    </row>
    <row r="16" spans="1:11" s="34" customFormat="1" ht="19.149999999999999" customHeight="1">
      <c r="A16" s="210" t="s">
        <v>200</v>
      </c>
      <c r="B16" s="211" t="s">
        <v>202</v>
      </c>
      <c r="C16" s="213" t="s">
        <v>85</v>
      </c>
      <c r="D16" s="212">
        <v>2</v>
      </c>
      <c r="E16" s="145"/>
      <c r="F16" s="32"/>
      <c r="G16" s="33" t="s">
        <v>241</v>
      </c>
      <c r="I16" s="22"/>
      <c r="J16" s="77"/>
      <c r="K16" s="78"/>
    </row>
    <row r="17" spans="1:11" s="34" customFormat="1" ht="19.149999999999999" customHeight="1">
      <c r="A17" s="210" t="s">
        <v>291</v>
      </c>
      <c r="B17" s="211" t="s">
        <v>292</v>
      </c>
      <c r="C17" s="213" t="s">
        <v>75</v>
      </c>
      <c r="D17" s="212">
        <v>1</v>
      </c>
      <c r="E17" s="145"/>
      <c r="F17" s="32"/>
      <c r="G17" s="33" t="s">
        <v>336</v>
      </c>
      <c r="I17" s="22"/>
      <c r="J17" s="77"/>
      <c r="K17" s="78"/>
    </row>
    <row r="18" spans="1:11" s="34" customFormat="1" ht="19.149999999999999" customHeight="1">
      <c r="A18" s="210" t="s">
        <v>291</v>
      </c>
      <c r="B18" s="211" t="s">
        <v>293</v>
      </c>
      <c r="C18" s="213" t="s">
        <v>75</v>
      </c>
      <c r="D18" s="212">
        <v>1</v>
      </c>
      <c r="E18" s="145"/>
      <c r="F18" s="32"/>
      <c r="G18" s="33" t="s">
        <v>337</v>
      </c>
      <c r="I18" s="22"/>
      <c r="J18" s="77"/>
      <c r="K18" s="78"/>
    </row>
    <row r="19" spans="1:11" s="34" customFormat="1" ht="19.149999999999999" customHeight="1">
      <c r="A19" s="210" t="s">
        <v>291</v>
      </c>
      <c r="B19" s="211" t="s">
        <v>309</v>
      </c>
      <c r="C19" s="213" t="s">
        <v>75</v>
      </c>
      <c r="D19" s="212">
        <v>1</v>
      </c>
      <c r="E19" s="145"/>
      <c r="F19" s="32"/>
      <c r="G19" s="33" t="s">
        <v>353</v>
      </c>
      <c r="I19" s="22"/>
      <c r="J19" s="77"/>
      <c r="K19" s="78"/>
    </row>
    <row r="20" spans="1:11" s="34" customFormat="1" ht="19.149999999999999" customHeight="1">
      <c r="A20" s="210" t="s">
        <v>291</v>
      </c>
      <c r="B20" s="211" t="s">
        <v>310</v>
      </c>
      <c r="C20" s="213" t="s">
        <v>75</v>
      </c>
      <c r="D20" s="212">
        <v>1</v>
      </c>
      <c r="E20" s="145"/>
      <c r="F20" s="32"/>
      <c r="G20" s="33" t="s">
        <v>354</v>
      </c>
      <c r="I20" s="22"/>
      <c r="J20" s="77"/>
      <c r="K20" s="78"/>
    </row>
    <row r="21" spans="1:11" s="34" customFormat="1" ht="19.149999999999999" customHeight="1">
      <c r="A21" s="210" t="s">
        <v>291</v>
      </c>
      <c r="B21" s="211" t="s">
        <v>785</v>
      </c>
      <c r="C21" s="213" t="s">
        <v>75</v>
      </c>
      <c r="D21" s="212">
        <v>1</v>
      </c>
      <c r="E21" s="145"/>
      <c r="F21" s="32"/>
      <c r="G21" s="33" t="s">
        <v>350</v>
      </c>
      <c r="I21" s="22"/>
      <c r="J21" s="77"/>
      <c r="K21" s="78"/>
    </row>
    <row r="22" spans="1:11" s="34" customFormat="1" ht="19.149999999999999" customHeight="1">
      <c r="A22" s="210" t="s">
        <v>311</v>
      </c>
      <c r="B22" s="211" t="s">
        <v>312</v>
      </c>
      <c r="C22" s="213" t="s">
        <v>6</v>
      </c>
      <c r="D22" s="212">
        <v>20</v>
      </c>
      <c r="E22" s="145"/>
      <c r="F22" s="32"/>
      <c r="G22" s="33" t="s">
        <v>416</v>
      </c>
      <c r="I22" s="22"/>
      <c r="J22" s="77"/>
      <c r="K22" s="78"/>
    </row>
    <row r="23" spans="1:11" s="34" customFormat="1" ht="19.149999999999999" customHeight="1">
      <c r="A23" s="210"/>
      <c r="B23" s="211"/>
      <c r="C23" s="213"/>
      <c r="D23" s="212"/>
      <c r="E23" s="145"/>
      <c r="F23" s="32"/>
      <c r="G23" s="33"/>
      <c r="I23" s="22"/>
      <c r="J23" s="77"/>
      <c r="K23" s="78"/>
    </row>
    <row r="24" spans="1:11" s="34" customFormat="1" ht="19.149999999999999" customHeight="1">
      <c r="A24" s="210"/>
      <c r="B24" s="211"/>
      <c r="C24" s="213"/>
      <c r="D24" s="212"/>
      <c r="E24" s="145"/>
      <c r="F24" s="32"/>
      <c r="G24" s="33"/>
      <c r="I24" s="22"/>
      <c r="J24" s="77"/>
      <c r="K24" s="78"/>
    </row>
    <row r="25" spans="1:11" s="34" customFormat="1" ht="19.149999999999999" customHeight="1">
      <c r="A25" s="210"/>
      <c r="B25" s="211"/>
      <c r="C25" s="213"/>
      <c r="D25" s="212"/>
      <c r="E25" s="145"/>
      <c r="F25" s="32"/>
      <c r="G25" s="33"/>
      <c r="I25" s="22"/>
      <c r="J25" s="77"/>
      <c r="K25" s="78"/>
    </row>
    <row r="26" spans="1:11" s="34" customFormat="1" ht="19.149999999999999" customHeight="1">
      <c r="A26" s="210"/>
      <c r="B26" s="211"/>
      <c r="C26" s="213"/>
      <c r="D26" s="212"/>
      <c r="E26" s="145"/>
      <c r="F26" s="32"/>
      <c r="G26" s="33"/>
      <c r="I26" s="22"/>
      <c r="J26" s="77"/>
      <c r="K26" s="78"/>
    </row>
    <row r="27" spans="1:11" s="34" customFormat="1" ht="19.149999999999999" customHeight="1">
      <c r="A27" s="182" t="s">
        <v>132</v>
      </c>
      <c r="B27" s="173"/>
      <c r="C27" s="175"/>
      <c r="D27" s="183"/>
      <c r="E27" s="145"/>
      <c r="F27" s="32"/>
      <c r="G27" s="33"/>
    </row>
    <row r="28" spans="1:11" s="34" customFormat="1" ht="19.149999999999999" customHeight="1">
      <c r="A28" s="178" t="s">
        <v>770</v>
      </c>
      <c r="B28" s="179"/>
      <c r="C28" s="178"/>
      <c r="D28" s="180"/>
      <c r="E28" s="145"/>
      <c r="F28" s="32"/>
      <c r="G28" s="33"/>
      <c r="I28" s="22"/>
      <c r="J28" s="77"/>
      <c r="K28" s="78"/>
    </row>
    <row r="29" spans="1:11" s="34" customFormat="1" ht="19.149999999999999" customHeight="1">
      <c r="A29" s="210" t="s">
        <v>359</v>
      </c>
      <c r="B29" s="211" t="s">
        <v>373</v>
      </c>
      <c r="C29" s="213" t="s">
        <v>177</v>
      </c>
      <c r="D29" s="212">
        <v>82</v>
      </c>
      <c r="E29" s="145"/>
      <c r="F29" s="32"/>
      <c r="G29" s="33" t="s">
        <v>400</v>
      </c>
      <c r="I29" s="22"/>
      <c r="J29" s="77"/>
      <c r="K29" s="78"/>
    </row>
    <row r="30" spans="1:11" s="34" customFormat="1" ht="19.149999999999999" customHeight="1">
      <c r="A30" s="210" t="s">
        <v>267</v>
      </c>
      <c r="B30" s="211" t="s">
        <v>268</v>
      </c>
      <c r="C30" s="213" t="s">
        <v>177</v>
      </c>
      <c r="D30" s="212">
        <v>10</v>
      </c>
      <c r="E30" s="145"/>
      <c r="F30" s="32"/>
      <c r="G30" s="33" t="s">
        <v>316</v>
      </c>
      <c r="I30" s="22"/>
      <c r="J30" s="77"/>
      <c r="K30" s="78"/>
    </row>
    <row r="31" spans="1:11" s="34" customFormat="1" ht="19.149999999999999" customHeight="1">
      <c r="A31" s="210" t="s">
        <v>267</v>
      </c>
      <c r="B31" s="211" t="s">
        <v>269</v>
      </c>
      <c r="C31" s="213" t="s">
        <v>177</v>
      </c>
      <c r="D31" s="212">
        <v>126</v>
      </c>
      <c r="E31" s="145"/>
      <c r="F31" s="32"/>
      <c r="G31" s="33" t="s">
        <v>317</v>
      </c>
      <c r="I31" s="22"/>
      <c r="J31" s="77"/>
      <c r="K31" s="78"/>
    </row>
    <row r="32" spans="1:11" s="34" customFormat="1" ht="19.149999999999999" customHeight="1">
      <c r="A32" s="210" t="s">
        <v>273</v>
      </c>
      <c r="B32" s="211" t="s">
        <v>274</v>
      </c>
      <c r="C32" s="213" t="s">
        <v>85</v>
      </c>
      <c r="D32" s="212">
        <v>2</v>
      </c>
      <c r="E32" s="145"/>
      <c r="F32" s="32"/>
      <c r="G32" s="33">
        <v>0</v>
      </c>
      <c r="I32" s="22"/>
      <c r="J32" s="77"/>
      <c r="K32" s="78"/>
    </row>
    <row r="33" spans="1:11" s="34" customFormat="1" ht="19.149999999999999" customHeight="1">
      <c r="A33" s="210" t="s">
        <v>273</v>
      </c>
      <c r="B33" s="211" t="s">
        <v>275</v>
      </c>
      <c r="C33" s="213" t="s">
        <v>85</v>
      </c>
      <c r="D33" s="212">
        <v>4</v>
      </c>
      <c r="E33" s="145"/>
      <c r="F33" s="32"/>
      <c r="G33" s="33">
        <v>0</v>
      </c>
      <c r="I33" s="22"/>
      <c r="J33" s="77"/>
      <c r="K33" s="78"/>
    </row>
    <row r="34" spans="1:11" s="34" customFormat="1" ht="19.149999999999999" customHeight="1">
      <c r="A34" s="210" t="s">
        <v>362</v>
      </c>
      <c r="B34" s="211" t="s">
        <v>363</v>
      </c>
      <c r="C34" s="213" t="s">
        <v>177</v>
      </c>
      <c r="D34" s="212">
        <v>127</v>
      </c>
      <c r="E34" s="145"/>
      <c r="F34" s="32"/>
      <c r="G34" s="33" t="s">
        <v>369</v>
      </c>
      <c r="I34" s="22"/>
      <c r="J34" s="77"/>
      <c r="K34" s="78"/>
    </row>
    <row r="35" spans="1:11" s="34" customFormat="1" ht="19.149999999999999" customHeight="1">
      <c r="A35" s="210" t="s">
        <v>250</v>
      </c>
      <c r="B35" s="211" t="s">
        <v>692</v>
      </c>
      <c r="C35" s="213" t="s">
        <v>177</v>
      </c>
      <c r="D35" s="212">
        <v>145</v>
      </c>
      <c r="E35" s="145"/>
      <c r="F35" s="32"/>
      <c r="G35" s="33" t="s">
        <v>322</v>
      </c>
      <c r="I35" s="22"/>
      <c r="J35" s="77"/>
      <c r="K35" s="78"/>
    </row>
    <row r="36" spans="1:11" s="34" customFormat="1" ht="19.149999999999999" customHeight="1">
      <c r="A36" s="210" t="s">
        <v>251</v>
      </c>
      <c r="B36" s="211" t="s">
        <v>280</v>
      </c>
      <c r="C36" s="213" t="s">
        <v>177</v>
      </c>
      <c r="D36" s="212">
        <v>177</v>
      </c>
      <c r="E36" s="145"/>
      <c r="F36" s="32"/>
      <c r="G36" s="33" t="s">
        <v>325</v>
      </c>
      <c r="I36" s="22"/>
      <c r="J36" s="77"/>
      <c r="K36" s="78"/>
    </row>
    <row r="37" spans="1:11" s="34" customFormat="1" ht="19.149999999999999" customHeight="1">
      <c r="A37" s="210" t="s">
        <v>251</v>
      </c>
      <c r="B37" s="211" t="s">
        <v>281</v>
      </c>
      <c r="C37" s="213" t="s">
        <v>177</v>
      </c>
      <c r="D37" s="212">
        <v>55</v>
      </c>
      <c r="E37" s="145"/>
      <c r="F37" s="32"/>
      <c r="G37" s="33" t="s">
        <v>326</v>
      </c>
      <c r="I37" s="22"/>
      <c r="J37" s="77"/>
      <c r="K37" s="78"/>
    </row>
    <row r="38" spans="1:11" s="34" customFormat="1" ht="19.149999999999999" customHeight="1">
      <c r="A38" s="210" t="s">
        <v>251</v>
      </c>
      <c r="B38" s="211" t="s">
        <v>365</v>
      </c>
      <c r="C38" s="213" t="s">
        <v>177</v>
      </c>
      <c r="D38" s="212">
        <v>127</v>
      </c>
      <c r="E38" s="145"/>
      <c r="F38" s="32"/>
      <c r="G38" s="33" t="s">
        <v>371</v>
      </c>
      <c r="I38" s="22"/>
      <c r="J38" s="77"/>
      <c r="K38" s="78"/>
    </row>
    <row r="39" spans="1:11" s="34" customFormat="1" ht="19.149999999999999" customHeight="1">
      <c r="A39" s="210" t="s">
        <v>389</v>
      </c>
      <c r="B39" s="211" t="s">
        <v>390</v>
      </c>
      <c r="C39" s="213" t="s">
        <v>85</v>
      </c>
      <c r="D39" s="212">
        <v>4</v>
      </c>
      <c r="E39" s="145"/>
      <c r="F39" s="32"/>
      <c r="G39" s="33" t="s">
        <v>412</v>
      </c>
      <c r="I39" s="22"/>
      <c r="J39" s="77"/>
      <c r="K39" s="78"/>
    </row>
    <row r="40" spans="1:11" s="34" customFormat="1" ht="19.149999999999999" customHeight="1">
      <c r="A40" s="210" t="s">
        <v>392</v>
      </c>
      <c r="B40" s="211" t="s">
        <v>393</v>
      </c>
      <c r="C40" s="213" t="s">
        <v>85</v>
      </c>
      <c r="D40" s="212">
        <v>4</v>
      </c>
      <c r="E40" s="145"/>
      <c r="F40" s="32"/>
      <c r="G40" s="33">
        <v>0</v>
      </c>
      <c r="I40" s="22"/>
      <c r="J40" s="77"/>
      <c r="K40" s="78"/>
    </row>
    <row r="41" spans="1:11" s="34" customFormat="1" ht="19.149999999999999" customHeight="1">
      <c r="A41" s="210" t="s">
        <v>395</v>
      </c>
      <c r="B41" s="211" t="s">
        <v>396</v>
      </c>
      <c r="C41" s="213" t="s">
        <v>85</v>
      </c>
      <c r="D41" s="212">
        <v>4</v>
      </c>
      <c r="E41" s="145"/>
      <c r="F41" s="32"/>
      <c r="G41" s="33" t="s">
        <v>414</v>
      </c>
      <c r="I41" s="22"/>
      <c r="J41" s="77"/>
      <c r="K41" s="78"/>
    </row>
    <row r="42" spans="1:11" s="34" customFormat="1" ht="19.149999999999999" customHeight="1">
      <c r="A42" s="210" t="s">
        <v>119</v>
      </c>
      <c r="B42" s="211" t="s">
        <v>286</v>
      </c>
      <c r="C42" s="213" t="s">
        <v>85</v>
      </c>
      <c r="D42" s="215">
        <v>16</v>
      </c>
      <c r="E42" s="145"/>
      <c r="F42" s="32"/>
      <c r="G42" s="33" t="s">
        <v>331</v>
      </c>
      <c r="I42" s="22"/>
      <c r="J42" s="77"/>
      <c r="K42" s="78"/>
    </row>
    <row r="43" spans="1:11" s="34" customFormat="1" ht="19.149999999999999" customHeight="1">
      <c r="A43" s="210" t="s">
        <v>119</v>
      </c>
      <c r="B43" s="211" t="s">
        <v>287</v>
      </c>
      <c r="C43" s="213" t="s">
        <v>85</v>
      </c>
      <c r="D43" s="215">
        <v>32</v>
      </c>
      <c r="E43" s="145"/>
      <c r="F43" s="32"/>
      <c r="G43" s="33" t="s">
        <v>332</v>
      </c>
      <c r="I43" s="22"/>
      <c r="J43" s="77"/>
      <c r="K43" s="78"/>
    </row>
    <row r="44" spans="1:11" s="34" customFormat="1" ht="19.149999999999999" customHeight="1">
      <c r="A44" s="210" t="s">
        <v>200</v>
      </c>
      <c r="B44" s="211" t="s">
        <v>201</v>
      </c>
      <c r="C44" s="213" t="s">
        <v>85</v>
      </c>
      <c r="D44" s="215">
        <v>12</v>
      </c>
      <c r="E44" s="145"/>
      <c r="F44" s="32"/>
      <c r="G44" s="33" t="s">
        <v>240</v>
      </c>
      <c r="I44" s="22"/>
      <c r="J44" s="77"/>
      <c r="K44" s="78"/>
    </row>
    <row r="45" spans="1:11" s="34" customFormat="1" ht="19.149999999999999" customHeight="1">
      <c r="A45" s="210" t="s">
        <v>311</v>
      </c>
      <c r="B45" s="211" t="s">
        <v>312</v>
      </c>
      <c r="C45" s="213" t="s">
        <v>6</v>
      </c>
      <c r="D45" s="215">
        <v>4</v>
      </c>
      <c r="E45" s="145"/>
      <c r="F45" s="32"/>
      <c r="G45" s="33" t="s">
        <v>416</v>
      </c>
      <c r="I45" s="22"/>
      <c r="J45" s="77"/>
      <c r="K45" s="78"/>
    </row>
    <row r="46" spans="1:11" s="34" customFormat="1" ht="19.149999999999999" customHeight="1">
      <c r="A46" s="210" t="s">
        <v>311</v>
      </c>
      <c r="B46" s="211" t="s">
        <v>313</v>
      </c>
      <c r="C46" s="213" t="s">
        <v>6</v>
      </c>
      <c r="D46" s="215">
        <v>12</v>
      </c>
      <c r="E46" s="145"/>
      <c r="F46" s="32"/>
      <c r="G46" s="33" t="s">
        <v>355</v>
      </c>
      <c r="I46" s="22"/>
      <c r="J46" s="77"/>
      <c r="K46" s="78"/>
    </row>
    <row r="47" spans="1:11" s="34" customFormat="1" ht="19.149999999999999" customHeight="1">
      <c r="A47" s="178"/>
      <c r="B47" s="179"/>
      <c r="C47" s="178"/>
      <c r="D47" s="180"/>
      <c r="E47" s="145"/>
      <c r="F47" s="32"/>
      <c r="G47" s="33"/>
      <c r="I47" s="22"/>
      <c r="J47" s="77"/>
      <c r="K47" s="78"/>
    </row>
    <row r="48" spans="1:11" s="34" customFormat="1" ht="19.149999999999999" customHeight="1">
      <c r="A48" s="178"/>
      <c r="B48" s="179"/>
      <c r="C48" s="178"/>
      <c r="D48" s="180"/>
      <c r="E48" s="145"/>
      <c r="F48" s="32"/>
      <c r="G48" s="33"/>
      <c r="I48" s="22"/>
      <c r="J48" s="77"/>
      <c r="K48" s="78"/>
    </row>
    <row r="49" spans="1:11" s="34" customFormat="1" ht="19.149999999999999" customHeight="1">
      <c r="A49" s="178"/>
      <c r="B49" s="179"/>
      <c r="C49" s="178"/>
      <c r="D49" s="180"/>
      <c r="E49" s="145"/>
      <c r="F49" s="32"/>
      <c r="G49" s="33"/>
      <c r="I49" s="22"/>
      <c r="J49" s="77"/>
      <c r="K49" s="78"/>
    </row>
    <row r="50" spans="1:11" s="34" customFormat="1" ht="19.149999999999999" customHeight="1">
      <c r="A50" s="178"/>
      <c r="B50" s="179"/>
      <c r="C50" s="178"/>
      <c r="D50" s="180"/>
      <c r="E50" s="145"/>
      <c r="F50" s="32"/>
      <c r="G50" s="33"/>
      <c r="I50" s="22"/>
      <c r="J50" s="77"/>
      <c r="K50" s="78"/>
    </row>
    <row r="51" spans="1:11" s="34" customFormat="1" ht="19.149999999999999" customHeight="1">
      <c r="A51" s="178"/>
      <c r="B51" s="179"/>
      <c r="C51" s="178"/>
      <c r="D51" s="180"/>
      <c r="E51" s="145"/>
      <c r="F51" s="32"/>
      <c r="G51" s="33"/>
      <c r="I51" s="22"/>
      <c r="J51" s="77"/>
      <c r="K51" s="78"/>
    </row>
    <row r="52" spans="1:11" s="34" customFormat="1" ht="19.149999999999999" customHeight="1">
      <c r="A52" s="182" t="s">
        <v>132</v>
      </c>
      <c r="B52" s="173"/>
      <c r="C52" s="175"/>
      <c r="D52" s="183"/>
      <c r="E52" s="145"/>
      <c r="F52" s="32"/>
      <c r="G52" s="33"/>
    </row>
    <row r="53" spans="1:11" s="34" customFormat="1" ht="19.149999999999999" customHeight="1">
      <c r="A53" s="178" t="s">
        <v>771</v>
      </c>
      <c r="B53" s="179"/>
      <c r="C53" s="178"/>
      <c r="D53" s="180"/>
      <c r="E53" s="145"/>
      <c r="F53" s="32"/>
      <c r="G53" s="33"/>
      <c r="I53" s="22"/>
      <c r="J53" s="77"/>
      <c r="K53" s="78"/>
    </row>
    <row r="54" spans="1:11" s="34" customFormat="1" ht="19.149999999999999" customHeight="1">
      <c r="A54" s="210" t="s">
        <v>123</v>
      </c>
      <c r="B54" s="211" t="s">
        <v>417</v>
      </c>
      <c r="C54" s="213" t="s">
        <v>177</v>
      </c>
      <c r="D54" s="212">
        <v>191</v>
      </c>
      <c r="E54" s="145"/>
      <c r="F54" s="32"/>
      <c r="G54" s="33" t="s">
        <v>432</v>
      </c>
      <c r="I54" s="22"/>
      <c r="J54" s="77"/>
      <c r="K54" s="78"/>
    </row>
    <row r="55" spans="1:11" s="34" customFormat="1" ht="19.149999999999999" customHeight="1">
      <c r="A55" s="210" t="s">
        <v>124</v>
      </c>
      <c r="B55" s="211" t="s">
        <v>420</v>
      </c>
      <c r="C55" s="213" t="s">
        <v>85</v>
      </c>
      <c r="D55" s="212">
        <v>8</v>
      </c>
      <c r="E55" s="145"/>
      <c r="F55" s="32"/>
      <c r="G55" s="33" t="s">
        <v>435</v>
      </c>
      <c r="I55" s="22"/>
      <c r="J55" s="77"/>
      <c r="K55" s="78"/>
    </row>
    <row r="56" spans="1:11" s="34" customFormat="1" ht="19.149999999999999" customHeight="1">
      <c r="A56" s="210" t="s">
        <v>124</v>
      </c>
      <c r="B56" s="211" t="s">
        <v>421</v>
      </c>
      <c r="C56" s="213" t="s">
        <v>85</v>
      </c>
      <c r="D56" s="212">
        <v>10</v>
      </c>
      <c r="E56" s="145"/>
      <c r="F56" s="32"/>
      <c r="G56" s="33" t="s">
        <v>436</v>
      </c>
      <c r="I56" s="22"/>
      <c r="J56" s="77"/>
      <c r="K56" s="78"/>
    </row>
    <row r="57" spans="1:11" s="34" customFormat="1" ht="19.149999999999999" customHeight="1">
      <c r="A57" s="210" t="s">
        <v>124</v>
      </c>
      <c r="B57" s="211" t="s">
        <v>422</v>
      </c>
      <c r="C57" s="213" t="s">
        <v>85</v>
      </c>
      <c r="D57" s="212">
        <v>4</v>
      </c>
      <c r="E57" s="145"/>
      <c r="F57" s="32"/>
      <c r="G57" s="33" t="s">
        <v>437</v>
      </c>
      <c r="I57" s="22"/>
      <c r="J57" s="77"/>
      <c r="K57" s="78"/>
    </row>
    <row r="58" spans="1:11" s="34" customFormat="1" ht="19.149999999999999" customHeight="1">
      <c r="A58" s="210" t="s">
        <v>124</v>
      </c>
      <c r="B58" s="211" t="s">
        <v>427</v>
      </c>
      <c r="C58" s="213" t="s">
        <v>85</v>
      </c>
      <c r="D58" s="212">
        <v>126</v>
      </c>
      <c r="E58" s="145"/>
      <c r="F58" s="32"/>
      <c r="G58" s="33">
        <v>0</v>
      </c>
      <c r="I58" s="22"/>
      <c r="J58" s="77"/>
      <c r="K58" s="78"/>
    </row>
    <row r="59" spans="1:11" s="34" customFormat="1" ht="19.149999999999999" customHeight="1">
      <c r="A59" s="210" t="s">
        <v>124</v>
      </c>
      <c r="B59" s="211" t="s">
        <v>135</v>
      </c>
      <c r="C59" s="213" t="s">
        <v>85</v>
      </c>
      <c r="D59" s="212">
        <v>63</v>
      </c>
      <c r="E59" s="145"/>
      <c r="F59" s="32"/>
      <c r="G59" s="33">
        <v>0</v>
      </c>
      <c r="I59" s="22"/>
      <c r="J59" s="77"/>
      <c r="K59" s="78"/>
    </row>
    <row r="60" spans="1:11" s="34" customFormat="1" ht="19.149999999999999" customHeight="1">
      <c r="A60" s="210" t="s">
        <v>124</v>
      </c>
      <c r="B60" s="211" t="s">
        <v>136</v>
      </c>
      <c r="C60" s="213" t="s">
        <v>85</v>
      </c>
      <c r="D60" s="212">
        <v>1008</v>
      </c>
      <c r="E60" s="145"/>
      <c r="F60" s="32"/>
      <c r="G60" s="33">
        <v>0</v>
      </c>
      <c r="I60" s="22"/>
      <c r="J60" s="77"/>
      <c r="K60" s="78"/>
    </row>
    <row r="61" spans="1:11" s="34" customFormat="1" ht="19.149999999999999" customHeight="1">
      <c r="A61" s="210" t="s">
        <v>428</v>
      </c>
      <c r="B61" s="211" t="s">
        <v>429</v>
      </c>
      <c r="C61" s="213" t="s">
        <v>95</v>
      </c>
      <c r="D61" s="212">
        <v>127</v>
      </c>
      <c r="E61" s="145"/>
      <c r="F61" s="32"/>
      <c r="G61" s="33" t="s">
        <v>235</v>
      </c>
      <c r="I61" s="22"/>
      <c r="J61" s="77"/>
      <c r="K61" s="78"/>
    </row>
    <row r="62" spans="1:11" s="34" customFormat="1" ht="19.149999999999999" customHeight="1">
      <c r="A62" s="210"/>
      <c r="B62" s="211"/>
      <c r="C62" s="213"/>
      <c r="D62" s="212"/>
      <c r="E62" s="145"/>
      <c r="F62" s="32"/>
      <c r="G62" s="33"/>
      <c r="I62" s="22"/>
      <c r="J62" s="77"/>
      <c r="K62" s="78"/>
    </row>
    <row r="63" spans="1:11" s="34" customFormat="1" ht="19.149999999999999" customHeight="1">
      <c r="A63" s="178"/>
      <c r="B63" s="179"/>
      <c r="C63" s="178"/>
      <c r="D63" s="180"/>
      <c r="E63" s="145"/>
      <c r="F63" s="32"/>
      <c r="G63" s="33"/>
      <c r="I63" s="22"/>
      <c r="J63" s="77"/>
      <c r="K63" s="78"/>
    </row>
    <row r="64" spans="1:11" s="34" customFormat="1" ht="19.149999999999999" customHeight="1">
      <c r="A64" s="178"/>
      <c r="B64" s="179"/>
      <c r="C64" s="178"/>
      <c r="D64" s="180"/>
      <c r="E64" s="145"/>
      <c r="F64" s="32"/>
      <c r="G64" s="33"/>
      <c r="I64" s="22"/>
      <c r="J64" s="77"/>
      <c r="K64" s="78"/>
    </row>
    <row r="65" spans="1:11" s="34" customFormat="1" ht="19.149999999999999" customHeight="1">
      <c r="A65" s="178"/>
      <c r="B65" s="179"/>
      <c r="C65" s="178"/>
      <c r="D65" s="180"/>
      <c r="E65" s="145"/>
      <c r="F65" s="32"/>
      <c r="G65" s="33"/>
      <c r="I65" s="22"/>
      <c r="J65" s="77"/>
      <c r="K65" s="78"/>
    </row>
    <row r="66" spans="1:11" s="34" customFormat="1" ht="19.149999999999999" customHeight="1">
      <c r="A66" s="178"/>
      <c r="B66" s="179"/>
      <c r="C66" s="178"/>
      <c r="D66" s="180"/>
      <c r="E66" s="145"/>
      <c r="F66" s="32"/>
      <c r="G66" s="33"/>
      <c r="I66" s="22"/>
      <c r="J66" s="77"/>
      <c r="K66" s="78"/>
    </row>
    <row r="67" spans="1:11" s="34" customFormat="1" ht="19.149999999999999" customHeight="1">
      <c r="A67" s="178"/>
      <c r="B67" s="179"/>
      <c r="C67" s="178"/>
      <c r="D67" s="180"/>
      <c r="E67" s="145"/>
      <c r="F67" s="32"/>
      <c r="G67" s="33"/>
      <c r="I67" s="22"/>
      <c r="J67" s="77"/>
      <c r="K67" s="78"/>
    </row>
    <row r="68" spans="1:11" s="34" customFormat="1" ht="19.149999999999999" customHeight="1">
      <c r="A68" s="178"/>
      <c r="B68" s="179"/>
      <c r="C68" s="178"/>
      <c r="D68" s="180"/>
      <c r="E68" s="145"/>
      <c r="F68" s="32"/>
      <c r="G68" s="33"/>
      <c r="I68" s="22"/>
      <c r="J68" s="77"/>
      <c r="K68" s="78"/>
    </row>
    <row r="69" spans="1:11" s="34" customFormat="1" ht="19.149999999999999" customHeight="1">
      <c r="A69" s="178"/>
      <c r="B69" s="179"/>
      <c r="C69" s="178"/>
      <c r="D69" s="180"/>
      <c r="E69" s="145"/>
      <c r="F69" s="32"/>
      <c r="G69" s="33"/>
      <c r="I69" s="22"/>
      <c r="J69" s="77"/>
      <c r="K69" s="78"/>
    </row>
    <row r="70" spans="1:11" s="34" customFormat="1" ht="19.149999999999999" customHeight="1">
      <c r="A70" s="178"/>
      <c r="B70" s="179"/>
      <c r="C70" s="178"/>
      <c r="D70" s="180"/>
      <c r="E70" s="145"/>
      <c r="F70" s="32"/>
      <c r="G70" s="33"/>
      <c r="I70" s="22"/>
      <c r="J70" s="77"/>
      <c r="K70" s="78"/>
    </row>
    <row r="71" spans="1:11" s="34" customFormat="1" ht="19.149999999999999" customHeight="1">
      <c r="A71" s="178"/>
      <c r="B71" s="179"/>
      <c r="C71" s="178"/>
      <c r="D71" s="180"/>
      <c r="E71" s="145"/>
      <c r="F71" s="32"/>
      <c r="G71" s="33"/>
      <c r="I71" s="22"/>
      <c r="J71" s="77"/>
      <c r="K71" s="78"/>
    </row>
    <row r="72" spans="1:11" s="34" customFormat="1" ht="19.149999999999999" customHeight="1">
      <c r="A72" s="178"/>
      <c r="B72" s="179"/>
      <c r="C72" s="178"/>
      <c r="D72" s="180"/>
      <c r="E72" s="145"/>
      <c r="F72" s="32"/>
      <c r="G72" s="33"/>
      <c r="I72" s="22"/>
      <c r="J72" s="77"/>
      <c r="K72" s="78"/>
    </row>
    <row r="73" spans="1:11" s="34" customFormat="1" ht="19.149999999999999" customHeight="1">
      <c r="A73" s="178"/>
      <c r="B73" s="179"/>
      <c r="C73" s="178"/>
      <c r="D73" s="180"/>
      <c r="E73" s="145"/>
      <c r="F73" s="32"/>
      <c r="G73" s="33"/>
      <c r="I73" s="22"/>
      <c r="J73" s="77"/>
      <c r="K73" s="78"/>
    </row>
    <row r="74" spans="1:11" s="34" customFormat="1" ht="19.149999999999999" customHeight="1">
      <c r="A74" s="178"/>
      <c r="B74" s="179"/>
      <c r="C74" s="178"/>
      <c r="D74" s="180"/>
      <c r="E74" s="145"/>
      <c r="F74" s="32"/>
      <c r="G74" s="33"/>
      <c r="I74" s="22"/>
      <c r="J74" s="77"/>
      <c r="K74" s="78"/>
    </row>
    <row r="75" spans="1:11" s="34" customFormat="1" ht="19.149999999999999" customHeight="1">
      <c r="A75" s="178"/>
      <c r="B75" s="179"/>
      <c r="C75" s="178"/>
      <c r="D75" s="180"/>
      <c r="E75" s="145"/>
      <c r="F75" s="32"/>
      <c r="G75" s="33"/>
      <c r="I75" s="22"/>
      <c r="J75" s="77"/>
      <c r="K75" s="78"/>
    </row>
    <row r="76" spans="1:11" s="34" customFormat="1" ht="19.149999999999999" customHeight="1">
      <c r="A76" s="178"/>
      <c r="B76" s="179"/>
      <c r="C76" s="178"/>
      <c r="D76" s="180"/>
      <c r="E76" s="145"/>
      <c r="F76" s="32"/>
      <c r="G76" s="33"/>
      <c r="I76" s="22"/>
      <c r="J76" s="77"/>
      <c r="K76" s="78"/>
    </row>
    <row r="77" spans="1:11" s="34" customFormat="1" ht="19.149999999999999" customHeight="1">
      <c r="A77" s="182" t="s">
        <v>132</v>
      </c>
      <c r="B77" s="173"/>
      <c r="C77" s="175"/>
      <c r="D77" s="183"/>
      <c r="E77" s="145"/>
      <c r="F77" s="32"/>
      <c r="G77" s="33"/>
    </row>
    <row r="78" spans="1:11" s="34" customFormat="1" ht="19.149999999999999" customHeight="1">
      <c r="A78" s="178" t="s">
        <v>772</v>
      </c>
      <c r="B78" s="179"/>
      <c r="C78" s="178"/>
      <c r="D78" s="180"/>
      <c r="E78" s="145"/>
      <c r="F78" s="32"/>
      <c r="G78" s="33"/>
      <c r="I78" s="22"/>
      <c r="J78" s="77"/>
      <c r="K78" s="78"/>
    </row>
    <row r="79" spans="1:11" s="34" customFormat="1" ht="19.149999999999999" customHeight="1">
      <c r="A79" s="210" t="s">
        <v>267</v>
      </c>
      <c r="B79" s="211" t="s">
        <v>444</v>
      </c>
      <c r="C79" s="213" t="s">
        <v>177</v>
      </c>
      <c r="D79" s="212">
        <v>12</v>
      </c>
      <c r="E79" s="145"/>
      <c r="F79" s="32"/>
      <c r="G79" s="33" t="s">
        <v>518</v>
      </c>
      <c r="I79" s="22"/>
      <c r="J79" s="77"/>
      <c r="K79" s="78"/>
    </row>
    <row r="80" spans="1:11" s="34" customFormat="1" ht="19.149999999999999" customHeight="1">
      <c r="A80" s="210" t="s">
        <v>267</v>
      </c>
      <c r="B80" s="211" t="s">
        <v>375</v>
      </c>
      <c r="C80" s="213" t="s">
        <v>177</v>
      </c>
      <c r="D80" s="212">
        <v>296</v>
      </c>
      <c r="E80" s="145"/>
      <c r="F80" s="32"/>
      <c r="G80" s="33" t="s">
        <v>402</v>
      </c>
      <c r="I80" s="22"/>
      <c r="J80" s="77"/>
      <c r="K80" s="78"/>
    </row>
    <row r="81" spans="1:11" s="34" customFormat="1" ht="19.149999999999999" customHeight="1">
      <c r="A81" s="210" t="s">
        <v>384</v>
      </c>
      <c r="B81" s="211" t="s">
        <v>445</v>
      </c>
      <c r="C81" s="213" t="s">
        <v>177</v>
      </c>
      <c r="D81" s="212">
        <v>34</v>
      </c>
      <c r="E81" s="145"/>
      <c r="F81" s="32"/>
      <c r="G81" s="33" t="s">
        <v>519</v>
      </c>
      <c r="I81" s="22"/>
      <c r="J81" s="77"/>
      <c r="K81" s="78"/>
    </row>
    <row r="82" spans="1:11" s="34" customFormat="1" ht="19.149999999999999" customHeight="1">
      <c r="A82" s="210" t="s">
        <v>384</v>
      </c>
      <c r="B82" s="211" t="s">
        <v>446</v>
      </c>
      <c r="C82" s="213" t="s">
        <v>177</v>
      </c>
      <c r="D82" s="212">
        <v>135</v>
      </c>
      <c r="E82" s="145"/>
      <c r="F82" s="32"/>
      <c r="G82" s="33" t="s">
        <v>520</v>
      </c>
      <c r="I82" s="22"/>
      <c r="J82" s="77"/>
      <c r="K82" s="78"/>
    </row>
    <row r="83" spans="1:11" s="34" customFormat="1" ht="19.149999999999999" customHeight="1">
      <c r="A83" s="210" t="s">
        <v>384</v>
      </c>
      <c r="B83" s="211" t="s">
        <v>447</v>
      </c>
      <c r="C83" s="213" t="s">
        <v>177</v>
      </c>
      <c r="D83" s="212">
        <v>212</v>
      </c>
      <c r="E83" s="145"/>
      <c r="F83" s="32"/>
      <c r="G83" s="33" t="s">
        <v>521</v>
      </c>
      <c r="I83" s="22"/>
      <c r="J83" s="77"/>
      <c r="K83" s="78"/>
    </row>
    <row r="84" spans="1:11" s="34" customFormat="1" ht="19.149999999999999" customHeight="1">
      <c r="A84" s="210" t="s">
        <v>449</v>
      </c>
      <c r="B84" s="211" t="s">
        <v>447</v>
      </c>
      <c r="C84" s="213" t="s">
        <v>177</v>
      </c>
      <c r="D84" s="212">
        <v>193</v>
      </c>
      <c r="E84" s="145"/>
      <c r="F84" s="32"/>
      <c r="G84" s="33" t="s">
        <v>523</v>
      </c>
      <c r="I84" s="22"/>
      <c r="J84" s="77"/>
      <c r="K84" s="78"/>
    </row>
    <row r="85" spans="1:11" s="34" customFormat="1" ht="19.149999999999999" customHeight="1">
      <c r="A85" s="210" t="s">
        <v>450</v>
      </c>
      <c r="B85" s="211" t="s">
        <v>447</v>
      </c>
      <c r="C85" s="213" t="s">
        <v>177</v>
      </c>
      <c r="D85" s="212">
        <v>212</v>
      </c>
      <c r="E85" s="145"/>
      <c r="F85" s="32"/>
      <c r="G85" s="33" t="s">
        <v>524</v>
      </c>
      <c r="I85" s="22"/>
      <c r="J85" s="77"/>
      <c r="K85" s="78"/>
    </row>
    <row r="86" spans="1:11" s="34" customFormat="1" ht="19.149999999999999" customHeight="1">
      <c r="A86" s="210" t="s">
        <v>362</v>
      </c>
      <c r="B86" s="211" t="s">
        <v>451</v>
      </c>
      <c r="C86" s="213" t="s">
        <v>177</v>
      </c>
      <c r="D86" s="215">
        <v>1516</v>
      </c>
      <c r="E86" s="145"/>
      <c r="F86" s="32"/>
      <c r="G86" s="33" t="s">
        <v>525</v>
      </c>
      <c r="I86" s="22"/>
      <c r="J86" s="77"/>
      <c r="K86" s="78"/>
    </row>
    <row r="87" spans="1:11" s="34" customFormat="1" ht="19.149999999999999" customHeight="1">
      <c r="A87" s="210" t="s">
        <v>452</v>
      </c>
      <c r="B87" s="211" t="s">
        <v>453</v>
      </c>
      <c r="C87" s="213" t="s">
        <v>177</v>
      </c>
      <c r="D87" s="215">
        <v>358</v>
      </c>
      <c r="E87" s="145"/>
      <c r="F87" s="32"/>
      <c r="G87" s="33" t="s">
        <v>526</v>
      </c>
      <c r="I87" s="22"/>
      <c r="J87" s="77"/>
      <c r="K87" s="78"/>
    </row>
    <row r="88" spans="1:11" s="34" customFormat="1" ht="19.149999999999999" customHeight="1">
      <c r="A88" s="210" t="s">
        <v>250</v>
      </c>
      <c r="B88" s="211" t="s">
        <v>454</v>
      </c>
      <c r="C88" s="213" t="s">
        <v>177</v>
      </c>
      <c r="D88" s="215">
        <v>115</v>
      </c>
      <c r="E88" s="145"/>
      <c r="F88" s="32"/>
      <c r="G88" s="33" t="s">
        <v>527</v>
      </c>
      <c r="I88" s="22"/>
      <c r="J88" s="77"/>
      <c r="K88" s="78"/>
    </row>
    <row r="89" spans="1:11" s="34" customFormat="1" ht="19.149999999999999" customHeight="1">
      <c r="A89" s="210" t="s">
        <v>391</v>
      </c>
      <c r="B89" s="211" t="s">
        <v>455</v>
      </c>
      <c r="C89" s="213" t="s">
        <v>85</v>
      </c>
      <c r="D89" s="215">
        <v>68</v>
      </c>
      <c r="E89" s="145"/>
      <c r="F89" s="32"/>
      <c r="G89" s="33" t="s">
        <v>528</v>
      </c>
      <c r="I89" s="22"/>
      <c r="J89" s="77"/>
      <c r="K89" s="78"/>
    </row>
    <row r="90" spans="1:11" s="34" customFormat="1" ht="19.149999999999999" customHeight="1">
      <c r="A90" s="210" t="s">
        <v>391</v>
      </c>
      <c r="B90" s="211" t="s">
        <v>117</v>
      </c>
      <c r="C90" s="213" t="s">
        <v>85</v>
      </c>
      <c r="D90" s="215">
        <v>122</v>
      </c>
      <c r="E90" s="145"/>
      <c r="F90" s="32"/>
      <c r="G90" s="33" t="s">
        <v>413</v>
      </c>
      <c r="I90" s="22"/>
      <c r="J90" s="77"/>
      <c r="K90" s="78"/>
    </row>
    <row r="91" spans="1:11" s="34" customFormat="1" ht="19.149999999999999" customHeight="1">
      <c r="A91" s="210" t="s">
        <v>392</v>
      </c>
      <c r="B91" s="211" t="s">
        <v>457</v>
      </c>
      <c r="C91" s="213" t="s">
        <v>85</v>
      </c>
      <c r="D91" s="215">
        <v>68</v>
      </c>
      <c r="E91" s="145"/>
      <c r="F91" s="32"/>
      <c r="G91" s="33">
        <v>0</v>
      </c>
      <c r="I91" s="22"/>
      <c r="J91" s="77"/>
      <c r="K91" s="78"/>
    </row>
    <row r="92" spans="1:11" s="34" customFormat="1" ht="19.149999999999999" customHeight="1">
      <c r="A92" s="210" t="s">
        <v>392</v>
      </c>
      <c r="B92" s="211" t="s">
        <v>394</v>
      </c>
      <c r="C92" s="213" t="s">
        <v>85</v>
      </c>
      <c r="D92" s="215">
        <v>122</v>
      </c>
      <c r="E92" s="145"/>
      <c r="F92" s="32"/>
      <c r="G92" s="33">
        <v>0</v>
      </c>
      <c r="I92" s="22"/>
      <c r="J92" s="77"/>
      <c r="K92" s="78"/>
    </row>
    <row r="93" spans="1:11" s="34" customFormat="1" ht="19.149999999999999" customHeight="1">
      <c r="A93" s="210" t="s">
        <v>468</v>
      </c>
      <c r="B93" s="211" t="s">
        <v>469</v>
      </c>
      <c r="C93" s="213" t="s">
        <v>85</v>
      </c>
      <c r="D93" s="215">
        <v>58</v>
      </c>
      <c r="E93" s="145"/>
      <c r="F93" s="32"/>
      <c r="G93" s="33" t="s">
        <v>537</v>
      </c>
      <c r="I93" s="22"/>
      <c r="J93" s="77"/>
      <c r="K93" s="78"/>
    </row>
    <row r="94" spans="1:11" s="34" customFormat="1" ht="19.149999999999999" customHeight="1">
      <c r="A94" s="210" t="s">
        <v>476</v>
      </c>
      <c r="B94" s="211" t="s">
        <v>477</v>
      </c>
      <c r="C94" s="213" t="s">
        <v>85</v>
      </c>
      <c r="D94" s="215">
        <v>48</v>
      </c>
      <c r="E94" s="145"/>
      <c r="F94" s="32"/>
      <c r="G94" s="33" t="s">
        <v>542</v>
      </c>
      <c r="I94" s="22"/>
      <c r="J94" s="77"/>
      <c r="K94" s="78"/>
    </row>
    <row r="95" spans="1:11" s="34" customFormat="1" ht="19.149999999999999" customHeight="1">
      <c r="A95" s="210" t="s">
        <v>478</v>
      </c>
      <c r="B95" s="211" t="s">
        <v>479</v>
      </c>
      <c r="C95" s="213" t="s">
        <v>85</v>
      </c>
      <c r="D95" s="215">
        <v>20</v>
      </c>
      <c r="E95" s="145"/>
      <c r="F95" s="32"/>
      <c r="G95" s="33" t="s">
        <v>543</v>
      </c>
      <c r="I95" s="22"/>
      <c r="J95" s="77"/>
      <c r="K95" s="78"/>
    </row>
    <row r="96" spans="1:11" s="34" customFormat="1" ht="19.149999999999999" customHeight="1">
      <c r="A96" s="210" t="s">
        <v>204</v>
      </c>
      <c r="B96" s="211" t="s">
        <v>489</v>
      </c>
      <c r="C96" s="213" t="s">
        <v>85</v>
      </c>
      <c r="D96" s="215">
        <v>64</v>
      </c>
      <c r="E96" s="145"/>
      <c r="F96" s="32"/>
      <c r="G96" s="33" t="s">
        <v>243</v>
      </c>
      <c r="I96" s="22"/>
      <c r="J96" s="77"/>
      <c r="K96" s="78"/>
    </row>
    <row r="97" spans="1:11" s="34" customFormat="1" ht="19.149999999999999" customHeight="1">
      <c r="A97" s="210" t="s">
        <v>504</v>
      </c>
      <c r="B97" s="211" t="s">
        <v>125</v>
      </c>
      <c r="C97" s="213" t="s">
        <v>85</v>
      </c>
      <c r="D97" s="215">
        <v>290</v>
      </c>
      <c r="E97" s="145"/>
      <c r="F97" s="32"/>
      <c r="G97" s="33" t="s">
        <v>557</v>
      </c>
      <c r="I97" s="22"/>
      <c r="J97" s="77"/>
      <c r="K97" s="78"/>
    </row>
    <row r="98" spans="1:11" s="34" customFormat="1" ht="19.149999999999999" customHeight="1">
      <c r="A98" s="210" t="s">
        <v>505</v>
      </c>
      <c r="B98" s="211" t="s">
        <v>125</v>
      </c>
      <c r="C98" s="213" t="s">
        <v>85</v>
      </c>
      <c r="D98" s="215">
        <v>458</v>
      </c>
      <c r="E98" s="145"/>
      <c r="F98" s="32"/>
      <c r="G98" s="33" t="s">
        <v>558</v>
      </c>
      <c r="I98" s="22"/>
      <c r="J98" s="77"/>
      <c r="K98" s="78"/>
    </row>
    <row r="99" spans="1:11" s="34" customFormat="1" ht="19.149999999999999" customHeight="1">
      <c r="A99" s="210" t="s">
        <v>506</v>
      </c>
      <c r="B99" s="211" t="s">
        <v>507</v>
      </c>
      <c r="C99" s="213" t="s">
        <v>177</v>
      </c>
      <c r="D99" s="215">
        <v>96</v>
      </c>
      <c r="E99" s="145"/>
      <c r="F99" s="32"/>
      <c r="G99" s="33" t="s">
        <v>559</v>
      </c>
      <c r="I99" s="22"/>
      <c r="J99" s="77"/>
      <c r="K99" s="78"/>
    </row>
    <row r="100" spans="1:11" s="34" customFormat="1" ht="19.149999999999999" customHeight="1">
      <c r="A100" s="210" t="s">
        <v>506</v>
      </c>
      <c r="B100" s="211" t="s">
        <v>508</v>
      </c>
      <c r="C100" s="213" t="s">
        <v>177</v>
      </c>
      <c r="D100" s="215">
        <v>96</v>
      </c>
      <c r="E100" s="145"/>
      <c r="F100" s="32"/>
      <c r="G100" s="33">
        <v>0</v>
      </c>
      <c r="I100" s="22"/>
      <c r="J100" s="77"/>
      <c r="K100" s="78"/>
    </row>
    <row r="101" spans="1:11" s="34" customFormat="1" ht="19.149999999999999" customHeight="1">
      <c r="A101" s="210" t="s">
        <v>506</v>
      </c>
      <c r="B101" s="211" t="s">
        <v>509</v>
      </c>
      <c r="C101" s="213" t="s">
        <v>85</v>
      </c>
      <c r="D101" s="215">
        <v>32</v>
      </c>
      <c r="E101" s="145"/>
      <c r="F101" s="32"/>
      <c r="G101" s="33">
        <v>0</v>
      </c>
      <c r="I101" s="22"/>
      <c r="J101" s="77"/>
      <c r="K101" s="78"/>
    </row>
    <row r="102" spans="1:11" s="34" customFormat="1" ht="19.149999999999999" customHeight="1">
      <c r="A102" s="210" t="s">
        <v>506</v>
      </c>
      <c r="B102" s="211" t="s">
        <v>511</v>
      </c>
      <c r="C102" s="213" t="s">
        <v>85</v>
      </c>
      <c r="D102" s="215">
        <v>312</v>
      </c>
      <c r="E102" s="145"/>
      <c r="F102" s="32"/>
      <c r="G102" s="33">
        <v>0</v>
      </c>
      <c r="I102" s="22"/>
      <c r="J102" s="77"/>
      <c r="K102" s="78"/>
    </row>
    <row r="103" spans="1:11" s="34" customFormat="1" ht="19.149999999999999" customHeight="1">
      <c r="A103" s="210" t="s">
        <v>506</v>
      </c>
      <c r="B103" s="211" t="s">
        <v>513</v>
      </c>
      <c r="C103" s="213" t="s">
        <v>85</v>
      </c>
      <c r="D103" s="215">
        <v>4</v>
      </c>
      <c r="E103" s="145"/>
      <c r="F103" s="32"/>
      <c r="G103" s="33">
        <v>0</v>
      </c>
      <c r="I103" s="22"/>
      <c r="J103" s="77"/>
      <c r="K103" s="78"/>
    </row>
    <row r="104" spans="1:11" s="34" customFormat="1" ht="19.149999999999999" customHeight="1">
      <c r="A104" s="210" t="s">
        <v>506</v>
      </c>
      <c r="B104" s="211" t="s">
        <v>514</v>
      </c>
      <c r="C104" s="213" t="s">
        <v>85</v>
      </c>
      <c r="D104" s="215">
        <v>48</v>
      </c>
      <c r="E104" s="145"/>
      <c r="F104" s="32"/>
      <c r="G104" s="33">
        <v>0</v>
      </c>
      <c r="I104" s="22"/>
      <c r="J104" s="77"/>
      <c r="K104" s="78"/>
    </row>
    <row r="105" spans="1:11" s="34" customFormat="1" ht="19.149999999999999" customHeight="1">
      <c r="A105" s="210" t="s">
        <v>515</v>
      </c>
      <c r="B105" s="211" t="s">
        <v>516</v>
      </c>
      <c r="C105" s="213" t="s">
        <v>6</v>
      </c>
      <c r="D105" s="215">
        <v>48</v>
      </c>
      <c r="E105" s="145"/>
      <c r="F105" s="32"/>
      <c r="G105" s="33" t="s">
        <v>244</v>
      </c>
      <c r="I105" s="22"/>
      <c r="J105" s="77"/>
      <c r="K105" s="78"/>
    </row>
    <row r="106" spans="1:11" s="34" customFormat="1" ht="19.149999999999999" customHeight="1">
      <c r="A106" s="210" t="s">
        <v>311</v>
      </c>
      <c r="B106" s="211" t="s">
        <v>517</v>
      </c>
      <c r="C106" s="213" t="s">
        <v>6</v>
      </c>
      <c r="D106" s="215">
        <v>16</v>
      </c>
      <c r="E106" s="145"/>
      <c r="F106" s="32"/>
      <c r="G106" s="33" t="s">
        <v>589</v>
      </c>
      <c r="I106" s="22"/>
      <c r="J106" s="77"/>
      <c r="K106" s="78"/>
    </row>
    <row r="107" spans="1:11" s="34" customFormat="1" ht="19.149999999999999" customHeight="1">
      <c r="A107" s="210" t="s">
        <v>195</v>
      </c>
      <c r="B107" s="211" t="s">
        <v>196</v>
      </c>
      <c r="C107" s="213" t="s">
        <v>85</v>
      </c>
      <c r="D107" s="215">
        <v>32</v>
      </c>
      <c r="E107" s="145"/>
      <c r="F107" s="32"/>
      <c r="G107" s="33" t="s">
        <v>236</v>
      </c>
      <c r="I107" s="22"/>
      <c r="J107" s="77"/>
      <c r="K107" s="78"/>
    </row>
    <row r="108" spans="1:11" s="34" customFormat="1" ht="19.149999999999999" customHeight="1">
      <c r="A108" s="178"/>
      <c r="B108" s="179"/>
      <c r="C108" s="178"/>
      <c r="D108" s="180"/>
      <c r="E108" s="145"/>
      <c r="F108" s="32"/>
      <c r="G108" s="33"/>
      <c r="I108" s="22"/>
      <c r="J108" s="77"/>
      <c r="K108" s="78"/>
    </row>
    <row r="109" spans="1:11" s="34" customFormat="1" ht="19.149999999999999" customHeight="1">
      <c r="A109" s="178"/>
      <c r="B109" s="179"/>
      <c r="C109" s="178"/>
      <c r="D109" s="180"/>
      <c r="E109" s="145"/>
      <c r="F109" s="32"/>
      <c r="G109" s="33"/>
      <c r="I109" s="22"/>
      <c r="J109" s="77"/>
      <c r="K109" s="78"/>
    </row>
    <row r="110" spans="1:11" s="34" customFormat="1" ht="19.149999999999999" customHeight="1">
      <c r="A110" s="178"/>
      <c r="B110" s="179"/>
      <c r="C110" s="178"/>
      <c r="D110" s="180"/>
      <c r="E110" s="145"/>
      <c r="F110" s="32"/>
      <c r="G110" s="33"/>
      <c r="I110" s="22"/>
      <c r="J110" s="77"/>
      <c r="K110" s="78"/>
    </row>
    <row r="111" spans="1:11" s="34" customFormat="1" ht="19.149999999999999" customHeight="1">
      <c r="A111" s="178"/>
      <c r="B111" s="179"/>
      <c r="C111" s="178"/>
      <c r="D111" s="180"/>
      <c r="E111" s="145"/>
      <c r="F111" s="32"/>
      <c r="G111" s="33"/>
      <c r="I111" s="22"/>
      <c r="J111" s="77"/>
      <c r="K111" s="78"/>
    </row>
    <row r="112" spans="1:11" s="34" customFormat="1" ht="19.149999999999999" customHeight="1">
      <c r="A112" s="178"/>
      <c r="B112" s="179"/>
      <c r="C112" s="178"/>
      <c r="D112" s="180"/>
      <c r="E112" s="145"/>
      <c r="F112" s="32"/>
      <c r="G112" s="33"/>
      <c r="I112" s="22"/>
      <c r="J112" s="77"/>
      <c r="K112" s="78"/>
    </row>
    <row r="113" spans="1:11" s="34" customFormat="1" ht="19.149999999999999" customHeight="1">
      <c r="A113" s="178"/>
      <c r="B113" s="179"/>
      <c r="C113" s="178"/>
      <c r="D113" s="180"/>
      <c r="E113" s="145"/>
      <c r="F113" s="32"/>
      <c r="G113" s="33"/>
      <c r="I113" s="22"/>
      <c r="J113" s="77"/>
      <c r="K113" s="78"/>
    </row>
    <row r="114" spans="1:11" s="34" customFormat="1" ht="19.149999999999999" customHeight="1">
      <c r="A114" s="178"/>
      <c r="B114" s="179"/>
      <c r="C114" s="178"/>
      <c r="D114" s="180"/>
      <c r="E114" s="145"/>
      <c r="F114" s="32"/>
      <c r="G114" s="33"/>
      <c r="I114" s="22"/>
      <c r="J114" s="77"/>
      <c r="K114" s="78"/>
    </row>
    <row r="115" spans="1:11" s="34" customFormat="1" ht="19.149999999999999" customHeight="1">
      <c r="A115" s="178"/>
      <c r="B115" s="179"/>
      <c r="C115" s="178"/>
      <c r="D115" s="180"/>
      <c r="E115" s="145"/>
      <c r="F115" s="32"/>
      <c r="G115" s="33"/>
      <c r="I115" s="22"/>
      <c r="J115" s="77"/>
      <c r="K115" s="78"/>
    </row>
    <row r="116" spans="1:11" s="34" customFormat="1" ht="19.149999999999999" customHeight="1">
      <c r="A116" s="178"/>
      <c r="B116" s="179"/>
      <c r="C116" s="178"/>
      <c r="D116" s="180"/>
      <c r="E116" s="145"/>
      <c r="F116" s="32"/>
      <c r="G116" s="33"/>
      <c r="I116" s="22"/>
      <c r="J116" s="77"/>
      <c r="K116" s="78"/>
    </row>
    <row r="117" spans="1:11" s="34" customFormat="1" ht="19.149999999999999" customHeight="1">
      <c r="A117" s="178"/>
      <c r="B117" s="179"/>
      <c r="C117" s="178"/>
      <c r="D117" s="180"/>
      <c r="E117" s="145"/>
      <c r="F117" s="32"/>
      <c r="G117" s="33"/>
      <c r="I117" s="22"/>
      <c r="J117" s="77"/>
      <c r="K117" s="78"/>
    </row>
    <row r="118" spans="1:11" s="34" customFormat="1" ht="19.149999999999999" customHeight="1">
      <c r="A118" s="178"/>
      <c r="B118" s="179"/>
      <c r="C118" s="178"/>
      <c r="D118" s="180"/>
      <c r="E118" s="145"/>
      <c r="F118" s="32"/>
      <c r="G118" s="33"/>
      <c r="I118" s="22"/>
      <c r="J118" s="77"/>
      <c r="K118" s="78"/>
    </row>
    <row r="119" spans="1:11" s="34" customFormat="1" ht="19.149999999999999" customHeight="1">
      <c r="A119" s="178"/>
      <c r="B119" s="179"/>
      <c r="C119" s="178"/>
      <c r="D119" s="180"/>
      <c r="E119" s="145"/>
      <c r="F119" s="32"/>
      <c r="G119" s="33"/>
      <c r="I119" s="22"/>
      <c r="J119" s="77"/>
      <c r="K119" s="78"/>
    </row>
    <row r="120" spans="1:11" s="34" customFormat="1" ht="19.149999999999999" customHeight="1">
      <c r="A120" s="178"/>
      <c r="B120" s="179"/>
      <c r="C120" s="178"/>
      <c r="D120" s="180"/>
      <c r="E120" s="145"/>
      <c r="F120" s="32"/>
      <c r="G120" s="33"/>
      <c r="I120" s="22"/>
      <c r="J120" s="77"/>
      <c r="K120" s="78"/>
    </row>
    <row r="121" spans="1:11" s="34" customFormat="1" ht="19.149999999999999" customHeight="1">
      <c r="A121" s="178"/>
      <c r="B121" s="179"/>
      <c r="C121" s="178"/>
      <c r="D121" s="180"/>
      <c r="E121" s="145"/>
      <c r="F121" s="32"/>
      <c r="G121" s="33"/>
      <c r="I121" s="22"/>
      <c r="J121" s="77"/>
      <c r="K121" s="78"/>
    </row>
    <row r="122" spans="1:11" s="34" customFormat="1" ht="19.149999999999999" customHeight="1">
      <c r="A122" s="178"/>
      <c r="B122" s="179"/>
      <c r="C122" s="178"/>
      <c r="D122" s="180"/>
      <c r="E122" s="145"/>
      <c r="F122" s="32"/>
      <c r="G122" s="33"/>
      <c r="I122" s="22"/>
      <c r="J122" s="77"/>
      <c r="K122" s="78"/>
    </row>
    <row r="123" spans="1:11" s="34" customFormat="1" ht="19.149999999999999" customHeight="1">
      <c r="A123" s="178"/>
      <c r="B123" s="179"/>
      <c r="C123" s="178"/>
      <c r="D123" s="180"/>
      <c r="E123" s="145"/>
      <c r="F123" s="32"/>
      <c r="G123" s="33"/>
      <c r="I123" s="22"/>
      <c r="J123" s="77"/>
      <c r="K123" s="78"/>
    </row>
    <row r="124" spans="1:11" s="34" customFormat="1" ht="19.149999999999999" customHeight="1">
      <c r="A124" s="178"/>
      <c r="B124" s="179"/>
      <c r="C124" s="178"/>
      <c r="D124" s="180"/>
      <c r="E124" s="145"/>
      <c r="F124" s="32"/>
      <c r="G124" s="33"/>
      <c r="I124" s="22"/>
      <c r="J124" s="77"/>
      <c r="K124" s="78"/>
    </row>
    <row r="125" spans="1:11" s="34" customFormat="1" ht="19.149999999999999" customHeight="1">
      <c r="A125" s="178"/>
      <c r="B125" s="179"/>
      <c r="C125" s="178"/>
      <c r="D125" s="180"/>
      <c r="E125" s="145"/>
      <c r="F125" s="32"/>
      <c r="G125" s="33"/>
      <c r="I125" s="22"/>
      <c r="J125" s="77"/>
      <c r="K125" s="78"/>
    </row>
    <row r="126" spans="1:11" s="34" customFormat="1" ht="19.149999999999999" customHeight="1">
      <c r="A126" s="178"/>
      <c r="B126" s="179"/>
      <c r="C126" s="178"/>
      <c r="D126" s="180"/>
      <c r="E126" s="145"/>
      <c r="F126" s="32"/>
      <c r="G126" s="33"/>
      <c r="I126" s="22"/>
      <c r="J126" s="77"/>
      <c r="K126" s="78"/>
    </row>
    <row r="127" spans="1:11" s="34" customFormat="1" ht="19.149999999999999" customHeight="1">
      <c r="A127" s="182" t="s">
        <v>132</v>
      </c>
      <c r="B127" s="173"/>
      <c r="C127" s="175"/>
      <c r="D127" s="183"/>
      <c r="E127" s="145"/>
      <c r="F127" s="32"/>
      <c r="G127" s="33"/>
    </row>
    <row r="128" spans="1:11" s="34" customFormat="1" ht="19.149999999999999" customHeight="1">
      <c r="A128" s="178" t="s">
        <v>773</v>
      </c>
      <c r="B128" s="179"/>
      <c r="C128" s="178"/>
      <c r="D128" s="180"/>
      <c r="E128" s="145"/>
      <c r="F128" s="32"/>
      <c r="G128" s="33"/>
      <c r="I128" s="22"/>
      <c r="J128" s="77"/>
      <c r="K128" s="78"/>
    </row>
    <row r="129" spans="1:11" s="34" customFormat="1" ht="19.149999999999999" customHeight="1">
      <c r="A129" s="210" t="s">
        <v>562</v>
      </c>
      <c r="B129" s="211" t="s">
        <v>563</v>
      </c>
      <c r="C129" s="213" t="s">
        <v>177</v>
      </c>
      <c r="D129" s="212">
        <v>132</v>
      </c>
      <c r="E129" s="145"/>
      <c r="F129" s="32"/>
      <c r="G129" s="33" t="s">
        <v>690</v>
      </c>
      <c r="I129" s="22"/>
      <c r="J129" s="77"/>
      <c r="K129" s="78"/>
    </row>
    <row r="130" spans="1:11" s="34" customFormat="1" ht="19.149999999999999" customHeight="1">
      <c r="A130" s="210"/>
      <c r="B130" s="211"/>
      <c r="C130" s="213"/>
      <c r="D130" s="212"/>
      <c r="E130" s="145"/>
      <c r="F130" s="32"/>
      <c r="G130" s="33"/>
      <c r="I130" s="22"/>
      <c r="J130" s="77"/>
      <c r="K130" s="78"/>
    </row>
    <row r="131" spans="1:11" s="34" customFormat="1" ht="19.149999999999999" customHeight="1">
      <c r="A131" s="210"/>
      <c r="B131" s="211"/>
      <c r="C131" s="213"/>
      <c r="D131" s="212"/>
      <c r="E131" s="145"/>
      <c r="F131" s="32"/>
      <c r="G131" s="33"/>
      <c r="I131" s="22"/>
      <c r="J131" s="77"/>
      <c r="K131" s="78"/>
    </row>
    <row r="132" spans="1:11" s="34" customFormat="1" ht="19.149999999999999" customHeight="1">
      <c r="A132" s="210"/>
      <c r="B132" s="211"/>
      <c r="C132" s="213"/>
      <c r="D132" s="212"/>
      <c r="E132" s="145"/>
      <c r="F132" s="32"/>
      <c r="G132" s="33"/>
      <c r="I132" s="22"/>
      <c r="J132" s="77"/>
      <c r="K132" s="78"/>
    </row>
    <row r="133" spans="1:11" s="34" customFormat="1" ht="19.149999999999999" customHeight="1">
      <c r="A133" s="210"/>
      <c r="B133" s="211"/>
      <c r="C133" s="213"/>
      <c r="D133" s="212"/>
      <c r="E133" s="145"/>
      <c r="F133" s="32"/>
      <c r="G133" s="33"/>
      <c r="I133" s="22"/>
      <c r="J133" s="77"/>
      <c r="K133" s="78"/>
    </row>
    <row r="134" spans="1:11" s="34" customFormat="1" ht="19.149999999999999" customHeight="1">
      <c r="A134" s="210"/>
      <c r="B134" s="211"/>
      <c r="C134" s="213"/>
      <c r="D134" s="212"/>
      <c r="E134" s="145"/>
      <c r="F134" s="32"/>
      <c r="G134" s="33"/>
      <c r="I134" s="22"/>
      <c r="J134" s="77"/>
      <c r="K134" s="78"/>
    </row>
    <row r="135" spans="1:11" s="34" customFormat="1" ht="19.149999999999999" customHeight="1">
      <c r="A135" s="210"/>
      <c r="B135" s="211"/>
      <c r="C135" s="213"/>
      <c r="D135" s="212"/>
      <c r="E135" s="145"/>
      <c r="F135" s="32"/>
      <c r="G135" s="33"/>
      <c r="I135" s="22"/>
      <c r="J135" s="77"/>
      <c r="K135" s="78"/>
    </row>
    <row r="136" spans="1:11" s="34" customFormat="1" ht="19.149999999999999" customHeight="1">
      <c r="A136" s="210"/>
      <c r="B136" s="211"/>
      <c r="C136" s="213"/>
      <c r="D136" s="212"/>
      <c r="E136" s="145"/>
      <c r="F136" s="32"/>
      <c r="G136" s="33"/>
      <c r="I136" s="22"/>
      <c r="J136" s="77"/>
      <c r="K136" s="78"/>
    </row>
    <row r="137" spans="1:11" s="34" customFormat="1" ht="19.149999999999999" customHeight="1">
      <c r="A137" s="210"/>
      <c r="B137" s="211"/>
      <c r="C137" s="213"/>
      <c r="D137" s="212"/>
      <c r="E137" s="145"/>
      <c r="F137" s="32"/>
      <c r="G137" s="33"/>
      <c r="I137" s="22"/>
      <c r="J137" s="77"/>
      <c r="K137" s="78"/>
    </row>
    <row r="138" spans="1:11" s="34" customFormat="1" ht="19.149999999999999" customHeight="1">
      <c r="A138" s="210"/>
      <c r="B138" s="211"/>
      <c r="C138" s="213"/>
      <c r="D138" s="212"/>
      <c r="E138" s="145"/>
      <c r="F138" s="32"/>
      <c r="G138" s="33"/>
      <c r="I138" s="22"/>
      <c r="J138" s="77"/>
      <c r="K138" s="78"/>
    </row>
    <row r="139" spans="1:11" s="34" customFormat="1" ht="19.149999999999999" customHeight="1">
      <c r="A139" s="210"/>
      <c r="B139" s="211"/>
      <c r="C139" s="213"/>
      <c r="D139" s="212"/>
      <c r="E139" s="145"/>
      <c r="F139" s="32"/>
      <c r="G139" s="33"/>
      <c r="I139" s="22"/>
      <c r="J139" s="77"/>
      <c r="K139" s="78"/>
    </row>
    <row r="140" spans="1:11" s="34" customFormat="1" ht="19.149999999999999" customHeight="1">
      <c r="A140" s="210"/>
      <c r="B140" s="211"/>
      <c r="C140" s="213"/>
      <c r="D140" s="212"/>
      <c r="E140" s="145"/>
      <c r="F140" s="32"/>
      <c r="G140" s="33"/>
      <c r="I140" s="22"/>
      <c r="J140" s="77"/>
      <c r="K140" s="78"/>
    </row>
    <row r="141" spans="1:11" s="34" customFormat="1" ht="19.149999999999999" customHeight="1">
      <c r="A141" s="210"/>
      <c r="B141" s="211"/>
      <c r="C141" s="213"/>
      <c r="D141" s="212"/>
      <c r="E141" s="145"/>
      <c r="F141" s="32"/>
      <c r="G141" s="33"/>
      <c r="I141" s="22"/>
      <c r="J141" s="77"/>
      <c r="K141" s="78"/>
    </row>
    <row r="142" spans="1:11" s="34" customFormat="1" ht="19.149999999999999" customHeight="1">
      <c r="A142" s="210"/>
      <c r="B142" s="211"/>
      <c r="C142" s="213"/>
      <c r="D142" s="212"/>
      <c r="E142" s="145"/>
      <c r="F142" s="32"/>
      <c r="G142" s="33"/>
      <c r="I142" s="22"/>
      <c r="J142" s="77"/>
      <c r="K142" s="78"/>
    </row>
    <row r="143" spans="1:11" s="34" customFormat="1" ht="19.149999999999999" customHeight="1">
      <c r="A143" s="210"/>
      <c r="B143" s="211"/>
      <c r="C143" s="213"/>
      <c r="D143" s="212"/>
      <c r="E143" s="145"/>
      <c r="F143" s="32"/>
      <c r="G143" s="33"/>
      <c r="I143" s="22"/>
      <c r="J143" s="77"/>
      <c r="K143" s="78"/>
    </row>
    <row r="144" spans="1:11" s="34" customFormat="1" ht="19.149999999999999" customHeight="1">
      <c r="A144" s="210"/>
      <c r="B144" s="211"/>
      <c r="C144" s="213"/>
      <c r="D144" s="212"/>
      <c r="E144" s="145"/>
      <c r="F144" s="32"/>
      <c r="G144" s="33"/>
      <c r="I144" s="22"/>
      <c r="J144" s="77"/>
      <c r="K144" s="78"/>
    </row>
    <row r="145" spans="1:11" s="34" customFormat="1" ht="19.149999999999999" customHeight="1">
      <c r="A145" s="210"/>
      <c r="B145" s="211"/>
      <c r="C145" s="213"/>
      <c r="D145" s="212"/>
      <c r="E145" s="145"/>
      <c r="F145" s="32"/>
      <c r="G145" s="33"/>
      <c r="I145" s="22"/>
      <c r="J145" s="77"/>
      <c r="K145" s="78"/>
    </row>
    <row r="146" spans="1:11" s="34" customFormat="1" ht="19.149999999999999" customHeight="1">
      <c r="A146" s="210"/>
      <c r="B146" s="211"/>
      <c r="C146" s="213"/>
      <c r="D146" s="212"/>
      <c r="E146" s="145"/>
      <c r="F146" s="32"/>
      <c r="G146" s="33"/>
      <c r="I146" s="22"/>
      <c r="J146" s="77"/>
      <c r="K146" s="78"/>
    </row>
    <row r="147" spans="1:11" s="34" customFormat="1" ht="19.149999999999999" customHeight="1">
      <c r="A147" s="210"/>
      <c r="B147" s="211"/>
      <c r="C147" s="213"/>
      <c r="D147" s="212"/>
      <c r="E147" s="145"/>
      <c r="F147" s="32"/>
      <c r="G147" s="33"/>
      <c r="I147" s="22"/>
      <c r="J147" s="77"/>
      <c r="K147" s="78"/>
    </row>
    <row r="148" spans="1:11" s="34" customFormat="1" ht="19.149999999999999" customHeight="1">
      <c r="A148" s="210"/>
      <c r="B148" s="211"/>
      <c r="C148" s="213"/>
      <c r="D148" s="212"/>
      <c r="E148" s="145"/>
      <c r="F148" s="32"/>
      <c r="G148" s="33"/>
      <c r="I148" s="22"/>
      <c r="J148" s="77"/>
      <c r="K148" s="78"/>
    </row>
    <row r="149" spans="1:11" s="34" customFormat="1" ht="19.149999999999999" customHeight="1">
      <c r="A149" s="210"/>
      <c r="B149" s="211"/>
      <c r="C149" s="213"/>
      <c r="D149" s="212"/>
      <c r="E149" s="145"/>
      <c r="F149" s="32"/>
      <c r="G149" s="33"/>
      <c r="I149" s="22"/>
      <c r="J149" s="77"/>
      <c r="K149" s="78"/>
    </row>
    <row r="150" spans="1:11" s="34" customFormat="1" ht="19.149999999999999" customHeight="1">
      <c r="A150" s="210"/>
      <c r="B150" s="211"/>
      <c r="C150" s="213"/>
      <c r="D150" s="212"/>
      <c r="E150" s="145"/>
      <c r="F150" s="32"/>
      <c r="G150" s="33"/>
      <c r="I150" s="22"/>
      <c r="J150" s="77"/>
      <c r="K150" s="78"/>
    </row>
    <row r="151" spans="1:11" s="34" customFormat="1" ht="19.149999999999999" customHeight="1">
      <c r="A151" s="210"/>
      <c r="B151" s="211"/>
      <c r="C151" s="213"/>
      <c r="D151" s="212"/>
      <c r="E151" s="145"/>
      <c r="F151" s="32"/>
      <c r="G151" s="33"/>
      <c r="I151" s="22"/>
      <c r="J151" s="77"/>
      <c r="K151" s="78"/>
    </row>
    <row r="152" spans="1:11" s="34" customFormat="1" ht="19.149999999999999" customHeight="1">
      <c r="A152" s="182" t="s">
        <v>132</v>
      </c>
      <c r="B152" s="173"/>
      <c r="C152" s="175"/>
      <c r="D152" s="183"/>
      <c r="E152" s="145"/>
      <c r="F152" s="32"/>
      <c r="G152" s="33"/>
    </row>
    <row r="153" spans="1:11" s="34" customFormat="1" ht="19.149999999999999" customHeight="1">
      <c r="A153" s="178" t="s">
        <v>774</v>
      </c>
      <c r="B153" s="179"/>
      <c r="C153" s="178"/>
      <c r="D153" s="180"/>
      <c r="E153" s="145"/>
      <c r="F153" s="32"/>
      <c r="G153" s="33"/>
      <c r="I153" s="22"/>
      <c r="J153" s="77"/>
      <c r="K153" s="78"/>
    </row>
    <row r="154" spans="1:11" s="34" customFormat="1" ht="19.149999999999999" customHeight="1">
      <c r="A154" s="210" t="s">
        <v>267</v>
      </c>
      <c r="B154" s="211" t="s">
        <v>444</v>
      </c>
      <c r="C154" s="213" t="s">
        <v>177</v>
      </c>
      <c r="D154" s="212">
        <v>24</v>
      </c>
      <c r="E154" s="145"/>
      <c r="F154" s="32"/>
      <c r="G154" s="33" t="s">
        <v>518</v>
      </c>
      <c r="I154" s="22"/>
      <c r="J154" s="77"/>
      <c r="K154" s="78"/>
    </row>
    <row r="155" spans="1:11" s="34" customFormat="1" ht="19.149999999999999" customHeight="1">
      <c r="A155" s="210" t="s">
        <v>267</v>
      </c>
      <c r="B155" s="211" t="s">
        <v>375</v>
      </c>
      <c r="C155" s="213" t="s">
        <v>177</v>
      </c>
      <c r="D155" s="212">
        <v>3</v>
      </c>
      <c r="E155" s="145"/>
      <c r="F155" s="32"/>
      <c r="G155" s="33" t="s">
        <v>402</v>
      </c>
      <c r="I155" s="22"/>
      <c r="J155" s="77"/>
      <c r="K155" s="78"/>
    </row>
    <row r="156" spans="1:11" s="34" customFormat="1" ht="19.149999999999999" customHeight="1">
      <c r="A156" s="210" t="s">
        <v>362</v>
      </c>
      <c r="B156" s="211" t="s">
        <v>363</v>
      </c>
      <c r="C156" s="213" t="s">
        <v>177</v>
      </c>
      <c r="D156" s="212">
        <v>162</v>
      </c>
      <c r="E156" s="145"/>
      <c r="F156" s="32"/>
      <c r="G156" s="33" t="s">
        <v>369</v>
      </c>
      <c r="I156" s="22"/>
      <c r="J156" s="77"/>
      <c r="K156" s="78"/>
    </row>
    <row r="157" spans="1:11" s="34" customFormat="1" ht="19.149999999999999" customHeight="1">
      <c r="A157" s="210" t="s">
        <v>251</v>
      </c>
      <c r="B157" s="211" t="s">
        <v>365</v>
      </c>
      <c r="C157" s="213" t="s">
        <v>177</v>
      </c>
      <c r="D157" s="212">
        <v>111</v>
      </c>
      <c r="E157" s="145"/>
      <c r="F157" s="32"/>
      <c r="G157" s="33" t="s">
        <v>371</v>
      </c>
      <c r="I157" s="22"/>
      <c r="J157" s="77"/>
      <c r="K157" s="78"/>
    </row>
    <row r="158" spans="1:11" s="34" customFormat="1" ht="19.149999999999999" customHeight="1">
      <c r="A158" s="210" t="s">
        <v>250</v>
      </c>
      <c r="B158" s="211" t="s">
        <v>569</v>
      </c>
      <c r="C158" s="213" t="s">
        <v>177</v>
      </c>
      <c r="D158" s="212">
        <v>72</v>
      </c>
      <c r="E158" s="145"/>
      <c r="F158" s="32"/>
      <c r="G158" s="33" t="s">
        <v>583</v>
      </c>
      <c r="I158" s="22"/>
      <c r="J158" s="77"/>
      <c r="K158" s="78"/>
    </row>
    <row r="159" spans="1:11" s="34" customFormat="1" ht="19.149999999999999" customHeight="1">
      <c r="A159" s="210" t="s">
        <v>389</v>
      </c>
      <c r="B159" s="211" t="s">
        <v>456</v>
      </c>
      <c r="C159" s="213" t="s">
        <v>85</v>
      </c>
      <c r="D159" s="215">
        <v>2</v>
      </c>
      <c r="E159" s="145"/>
      <c r="F159" s="32"/>
      <c r="G159" s="33" t="s">
        <v>529</v>
      </c>
      <c r="I159" s="22"/>
      <c r="J159" s="77"/>
      <c r="K159" s="78"/>
    </row>
    <row r="160" spans="1:11" s="34" customFormat="1" ht="19.149999999999999" customHeight="1">
      <c r="A160" s="210" t="s">
        <v>311</v>
      </c>
      <c r="B160" s="211" t="s">
        <v>578</v>
      </c>
      <c r="C160" s="213" t="s">
        <v>6</v>
      </c>
      <c r="D160" s="215">
        <v>16</v>
      </c>
      <c r="E160" s="145"/>
      <c r="F160" s="32"/>
      <c r="G160" s="33" t="s">
        <v>231</v>
      </c>
      <c r="I160" s="22"/>
      <c r="J160" s="77"/>
      <c r="K160" s="78"/>
    </row>
    <row r="161" spans="1:11" s="34" customFormat="1" ht="19.149999999999999" customHeight="1">
      <c r="A161" s="210" t="s">
        <v>311</v>
      </c>
      <c r="B161" s="211" t="s">
        <v>517</v>
      </c>
      <c r="C161" s="213" t="s">
        <v>6</v>
      </c>
      <c r="D161" s="215">
        <v>12</v>
      </c>
      <c r="E161" s="145"/>
      <c r="F161" s="32"/>
      <c r="G161" s="33" t="s">
        <v>589</v>
      </c>
      <c r="I161" s="22"/>
      <c r="J161" s="77"/>
      <c r="K161" s="78"/>
    </row>
    <row r="162" spans="1:11" s="34" customFormat="1" ht="19.149999999999999" customHeight="1">
      <c r="A162" s="210" t="s">
        <v>571</v>
      </c>
      <c r="B162" s="211" t="s">
        <v>573</v>
      </c>
      <c r="C162" s="213" t="s">
        <v>85</v>
      </c>
      <c r="D162" s="215">
        <v>2</v>
      </c>
      <c r="E162" s="145"/>
      <c r="F162" s="32"/>
      <c r="G162" s="33" t="s">
        <v>586</v>
      </c>
      <c r="I162" s="22"/>
      <c r="J162" s="77"/>
      <c r="K162" s="78"/>
    </row>
    <row r="163" spans="1:11" s="34" customFormat="1" ht="19.149999999999999" customHeight="1">
      <c r="A163" s="210" t="s">
        <v>579</v>
      </c>
      <c r="B163" s="211" t="s">
        <v>580</v>
      </c>
      <c r="C163" s="213" t="s">
        <v>215</v>
      </c>
      <c r="D163" s="215">
        <v>2</v>
      </c>
      <c r="E163" s="145"/>
      <c r="F163" s="32"/>
      <c r="G163" s="33" t="s">
        <v>358</v>
      </c>
      <c r="I163" s="22"/>
      <c r="J163" s="77"/>
      <c r="K163" s="78"/>
    </row>
    <row r="164" spans="1:11" s="34" customFormat="1" ht="19.149999999999999" customHeight="1">
      <c r="A164" s="210" t="s">
        <v>581</v>
      </c>
      <c r="B164" s="211" t="s">
        <v>582</v>
      </c>
      <c r="C164" s="213" t="s">
        <v>215</v>
      </c>
      <c r="D164" s="215">
        <v>2</v>
      </c>
      <c r="E164" s="145"/>
      <c r="F164" s="32"/>
      <c r="G164" s="33" t="s">
        <v>590</v>
      </c>
      <c r="I164" s="22"/>
      <c r="J164" s="77"/>
      <c r="K164" s="78"/>
    </row>
    <row r="165" spans="1:11" s="34" customFormat="1" ht="19.149999999999999" customHeight="1">
      <c r="A165" s="178"/>
      <c r="B165" s="179"/>
      <c r="C165" s="178"/>
      <c r="D165" s="180"/>
      <c r="E165" s="145"/>
      <c r="F165" s="32"/>
      <c r="G165" s="33"/>
      <c r="I165" s="22"/>
      <c r="J165" s="77"/>
      <c r="K165" s="78"/>
    </row>
    <row r="166" spans="1:11" s="34" customFormat="1" ht="19.149999999999999" customHeight="1">
      <c r="A166" s="178"/>
      <c r="B166" s="179"/>
      <c r="C166" s="178"/>
      <c r="D166" s="180"/>
      <c r="E166" s="145"/>
      <c r="F166" s="32"/>
      <c r="G166" s="33"/>
      <c r="I166" s="22"/>
      <c r="J166" s="77"/>
      <c r="K166" s="78"/>
    </row>
    <row r="167" spans="1:11" s="34" customFormat="1" ht="19.149999999999999" customHeight="1">
      <c r="A167" s="178"/>
      <c r="B167" s="179"/>
      <c r="C167" s="178"/>
      <c r="D167" s="180"/>
      <c r="E167" s="145"/>
      <c r="F167" s="32"/>
      <c r="G167" s="33"/>
      <c r="I167" s="22"/>
      <c r="J167" s="77"/>
      <c r="K167" s="78"/>
    </row>
    <row r="168" spans="1:11" s="34" customFormat="1" ht="19.149999999999999" customHeight="1">
      <c r="A168" s="178"/>
      <c r="B168" s="179"/>
      <c r="C168" s="178"/>
      <c r="D168" s="180"/>
      <c r="E168" s="145"/>
      <c r="F168" s="32"/>
      <c r="G168" s="33"/>
      <c r="I168" s="22"/>
      <c r="J168" s="77"/>
      <c r="K168" s="78"/>
    </row>
    <row r="169" spans="1:11" s="34" customFormat="1" ht="19.149999999999999" customHeight="1">
      <c r="A169" s="178"/>
      <c r="B169" s="179"/>
      <c r="C169" s="178"/>
      <c r="D169" s="180"/>
      <c r="E169" s="145"/>
      <c r="F169" s="32"/>
      <c r="G169" s="33"/>
      <c r="I169" s="22"/>
      <c r="J169" s="77"/>
      <c r="K169" s="78"/>
    </row>
    <row r="170" spans="1:11" s="34" customFormat="1" ht="19.149999999999999" customHeight="1">
      <c r="A170" s="178"/>
      <c r="B170" s="179"/>
      <c r="C170" s="178"/>
      <c r="D170" s="180"/>
      <c r="E170" s="145"/>
      <c r="F170" s="32"/>
      <c r="G170" s="33"/>
      <c r="I170" s="22"/>
      <c r="J170" s="77"/>
      <c r="K170" s="78"/>
    </row>
    <row r="171" spans="1:11" s="34" customFormat="1" ht="19.149999999999999" customHeight="1">
      <c r="A171" s="178"/>
      <c r="B171" s="179"/>
      <c r="C171" s="178"/>
      <c r="D171" s="180"/>
      <c r="E171" s="145"/>
      <c r="F171" s="32"/>
      <c r="G171" s="33"/>
      <c r="I171" s="22"/>
      <c r="J171" s="77"/>
      <c r="K171" s="78"/>
    </row>
    <row r="172" spans="1:11" s="34" customFormat="1" ht="19.149999999999999" customHeight="1">
      <c r="A172" s="178"/>
      <c r="B172" s="179"/>
      <c r="C172" s="178"/>
      <c r="D172" s="180"/>
      <c r="E172" s="145"/>
      <c r="F172" s="32"/>
      <c r="G172" s="33"/>
      <c r="I172" s="22"/>
      <c r="J172" s="77"/>
      <c r="K172" s="78"/>
    </row>
    <row r="173" spans="1:11" s="34" customFormat="1" ht="19.149999999999999" customHeight="1">
      <c r="A173" s="178"/>
      <c r="B173" s="179"/>
      <c r="C173" s="178"/>
      <c r="D173" s="180"/>
      <c r="E173" s="145"/>
      <c r="F173" s="32"/>
      <c r="G173" s="33"/>
      <c r="I173" s="22"/>
      <c r="J173" s="77"/>
      <c r="K173" s="78"/>
    </row>
    <row r="174" spans="1:11" s="34" customFormat="1" ht="19.149999999999999" customHeight="1">
      <c r="A174" s="178"/>
      <c r="B174" s="179"/>
      <c r="C174" s="178"/>
      <c r="D174" s="180"/>
      <c r="E174" s="145"/>
      <c r="F174" s="32"/>
      <c r="G174" s="33"/>
      <c r="I174" s="22"/>
      <c r="J174" s="77"/>
      <c r="K174" s="78"/>
    </row>
    <row r="175" spans="1:11" s="34" customFormat="1" ht="19.149999999999999" customHeight="1">
      <c r="A175" s="178"/>
      <c r="B175" s="179"/>
      <c r="C175" s="178"/>
      <c r="D175" s="180"/>
      <c r="E175" s="145"/>
      <c r="F175" s="32"/>
      <c r="G175" s="33"/>
      <c r="I175" s="22"/>
      <c r="J175" s="77"/>
      <c r="K175" s="78"/>
    </row>
    <row r="176" spans="1:11" s="34" customFormat="1" ht="19.149999999999999" customHeight="1">
      <c r="A176" s="178"/>
      <c r="B176" s="179"/>
      <c r="C176" s="178"/>
      <c r="D176" s="180"/>
      <c r="E176" s="145"/>
      <c r="F176" s="32"/>
      <c r="G176" s="33"/>
      <c r="I176" s="22"/>
      <c r="J176" s="77"/>
      <c r="K176" s="78"/>
    </row>
    <row r="177" spans="1:11" s="34" customFormat="1" ht="19.149999999999999" customHeight="1">
      <c r="A177" s="182" t="s">
        <v>132</v>
      </c>
      <c r="B177" s="179"/>
      <c r="C177" s="178"/>
      <c r="D177" s="180"/>
      <c r="E177" s="145"/>
      <c r="F177" s="32"/>
      <c r="G177" s="33"/>
      <c r="I177" s="22"/>
      <c r="J177" s="77"/>
      <c r="K177" s="78"/>
    </row>
    <row r="178" spans="1:11" s="34" customFormat="1" ht="19.149999999999999" customHeight="1">
      <c r="A178" s="178" t="s">
        <v>775</v>
      </c>
      <c r="B178" s="179"/>
      <c r="C178" s="178"/>
      <c r="D178" s="180"/>
      <c r="E178" s="145"/>
      <c r="F178" s="32"/>
      <c r="G178" s="33"/>
      <c r="I178" s="22"/>
      <c r="J178" s="77"/>
      <c r="K178" s="78"/>
    </row>
    <row r="179" spans="1:11" s="34" customFormat="1" ht="19.149999999999999" customHeight="1">
      <c r="A179" s="209" t="s">
        <v>592</v>
      </c>
      <c r="B179" s="211" t="s">
        <v>593</v>
      </c>
      <c r="C179" s="213" t="s">
        <v>85</v>
      </c>
      <c r="D179" s="215">
        <v>10</v>
      </c>
      <c r="E179" s="145"/>
      <c r="F179" s="32"/>
      <c r="G179" s="33" t="s">
        <v>630</v>
      </c>
      <c r="I179" s="22"/>
      <c r="J179" s="77"/>
      <c r="K179" s="78"/>
    </row>
    <row r="180" spans="1:11" s="34" customFormat="1" ht="19.149999999999999" customHeight="1">
      <c r="A180" s="209" t="s">
        <v>594</v>
      </c>
      <c r="B180" s="211" t="s">
        <v>595</v>
      </c>
      <c r="C180" s="213" t="s">
        <v>85</v>
      </c>
      <c r="D180" s="215">
        <v>10</v>
      </c>
      <c r="E180" s="145"/>
      <c r="F180" s="32"/>
      <c r="G180" s="33" t="s">
        <v>652</v>
      </c>
      <c r="I180" s="22"/>
      <c r="J180" s="77"/>
      <c r="K180" s="78"/>
    </row>
    <row r="181" spans="1:11" s="34" customFormat="1" ht="19.149999999999999" customHeight="1">
      <c r="A181" s="209" t="s">
        <v>596</v>
      </c>
      <c r="B181" s="211" t="s">
        <v>128</v>
      </c>
      <c r="C181" s="213" t="s">
        <v>177</v>
      </c>
      <c r="D181" s="215">
        <v>407</v>
      </c>
      <c r="E181" s="145"/>
      <c r="F181" s="32"/>
      <c r="G181" s="33" t="s">
        <v>632</v>
      </c>
      <c r="I181" s="22"/>
      <c r="J181" s="77"/>
      <c r="K181" s="78"/>
    </row>
    <row r="182" spans="1:11" s="34" customFormat="1" ht="19.149999999999999" customHeight="1">
      <c r="A182" s="209" t="s">
        <v>597</v>
      </c>
      <c r="B182" s="211" t="s">
        <v>128</v>
      </c>
      <c r="C182" s="213" t="s">
        <v>85</v>
      </c>
      <c r="D182" s="215">
        <v>95</v>
      </c>
      <c r="E182" s="145"/>
      <c r="F182" s="32"/>
      <c r="G182" s="33" t="s">
        <v>633</v>
      </c>
      <c r="I182" s="22"/>
      <c r="J182" s="77"/>
      <c r="K182" s="78"/>
    </row>
    <row r="183" spans="1:11" s="34" customFormat="1" ht="19.149999999999999" customHeight="1">
      <c r="A183" s="209" t="s">
        <v>598</v>
      </c>
      <c r="B183" s="211" t="s">
        <v>599</v>
      </c>
      <c r="C183" s="213" t="s">
        <v>85</v>
      </c>
      <c r="D183" s="215">
        <v>9</v>
      </c>
      <c r="E183" s="145"/>
      <c r="F183" s="32"/>
      <c r="G183" s="33" t="s">
        <v>634</v>
      </c>
      <c r="I183" s="22"/>
      <c r="J183" s="77"/>
      <c r="K183" s="78"/>
    </row>
    <row r="184" spans="1:11" s="34" customFormat="1" ht="19.149999999999999" customHeight="1">
      <c r="A184" s="209" t="s">
        <v>126</v>
      </c>
      <c r="B184" s="211" t="s">
        <v>600</v>
      </c>
      <c r="C184" s="213" t="s">
        <v>75</v>
      </c>
      <c r="D184" s="215">
        <v>2</v>
      </c>
      <c r="E184" s="145"/>
      <c r="F184" s="32"/>
      <c r="G184" s="33" t="s">
        <v>635</v>
      </c>
      <c r="I184" s="22"/>
      <c r="J184" s="77"/>
      <c r="K184" s="78"/>
    </row>
    <row r="185" spans="1:11" s="34" customFormat="1" ht="19.149999999999999" customHeight="1">
      <c r="A185" s="209" t="s">
        <v>126</v>
      </c>
      <c r="B185" s="211" t="s">
        <v>601</v>
      </c>
      <c r="C185" s="213" t="s">
        <v>75</v>
      </c>
      <c r="D185" s="215">
        <v>1</v>
      </c>
      <c r="E185" s="145"/>
      <c r="F185" s="32"/>
      <c r="G185" s="33" t="s">
        <v>636</v>
      </c>
      <c r="I185" s="22"/>
      <c r="J185" s="77"/>
      <c r="K185" s="78"/>
    </row>
    <row r="186" spans="1:11" s="34" customFormat="1" ht="19.149999999999999" customHeight="1">
      <c r="A186" s="209" t="s">
        <v>126</v>
      </c>
      <c r="B186" s="211" t="s">
        <v>602</v>
      </c>
      <c r="C186" s="213" t="s">
        <v>85</v>
      </c>
      <c r="D186" s="215">
        <v>3</v>
      </c>
      <c r="E186" s="145"/>
      <c r="F186" s="32"/>
      <c r="G186" s="33" t="s">
        <v>637</v>
      </c>
      <c r="I186" s="22"/>
      <c r="J186" s="77"/>
      <c r="K186" s="78"/>
    </row>
    <row r="187" spans="1:11" s="34" customFormat="1" ht="19.149999999999999" customHeight="1">
      <c r="A187" s="209" t="s">
        <v>250</v>
      </c>
      <c r="B187" s="211" t="s">
        <v>105</v>
      </c>
      <c r="C187" s="213" t="s">
        <v>177</v>
      </c>
      <c r="D187" s="215">
        <v>30</v>
      </c>
      <c r="E187" s="145"/>
      <c r="F187" s="32"/>
      <c r="G187" s="33" t="s">
        <v>322</v>
      </c>
      <c r="I187" s="22"/>
      <c r="J187" s="77"/>
      <c r="K187" s="78"/>
    </row>
    <row r="188" spans="1:11" s="34" customFormat="1" ht="19.149999999999999" customHeight="1">
      <c r="A188" s="209" t="s">
        <v>250</v>
      </c>
      <c r="B188" s="211" t="s">
        <v>106</v>
      </c>
      <c r="C188" s="213" t="s">
        <v>177</v>
      </c>
      <c r="D188" s="215">
        <v>25</v>
      </c>
      <c r="E188" s="145"/>
      <c r="F188" s="32"/>
      <c r="G188" s="33" t="s">
        <v>323</v>
      </c>
      <c r="I188" s="22"/>
      <c r="J188" s="77"/>
      <c r="K188" s="78"/>
    </row>
    <row r="189" spans="1:11" s="34" customFormat="1" ht="19.149999999999999" customHeight="1">
      <c r="A189" s="209" t="s">
        <v>250</v>
      </c>
      <c r="B189" s="211" t="s">
        <v>104</v>
      </c>
      <c r="C189" s="213" t="s">
        <v>177</v>
      </c>
      <c r="D189" s="215">
        <v>5</v>
      </c>
      <c r="E189" s="145"/>
      <c r="F189" s="32"/>
      <c r="G189" s="33" t="s">
        <v>638</v>
      </c>
      <c r="I189" s="22"/>
      <c r="J189" s="77"/>
      <c r="K189" s="78"/>
    </row>
    <row r="190" spans="1:11" s="34" customFormat="1" ht="19.149999999999999" customHeight="1">
      <c r="A190" s="209" t="s">
        <v>250</v>
      </c>
      <c r="B190" s="211" t="s">
        <v>128</v>
      </c>
      <c r="C190" s="213" t="s">
        <v>177</v>
      </c>
      <c r="D190" s="215">
        <v>35</v>
      </c>
      <c r="E190" s="145"/>
      <c r="F190" s="32"/>
      <c r="G190" s="33" t="s">
        <v>639</v>
      </c>
      <c r="I190" s="22"/>
      <c r="J190" s="77"/>
      <c r="K190" s="78"/>
    </row>
    <row r="191" spans="1:11" s="34" customFormat="1" ht="19.149999999999999" customHeight="1">
      <c r="A191" s="209" t="s">
        <v>603</v>
      </c>
      <c r="B191" s="211" t="s">
        <v>604</v>
      </c>
      <c r="C191" s="213" t="s">
        <v>85</v>
      </c>
      <c r="D191" s="215">
        <v>2</v>
      </c>
      <c r="E191" s="145"/>
      <c r="F191" s="32"/>
      <c r="G191" s="33" t="s">
        <v>640</v>
      </c>
      <c r="I191" s="22"/>
      <c r="J191" s="77"/>
      <c r="K191" s="78"/>
    </row>
    <row r="192" spans="1:11" s="34" customFormat="1" ht="19.149999999999999" customHeight="1">
      <c r="A192" s="209" t="s">
        <v>603</v>
      </c>
      <c r="B192" s="211" t="s">
        <v>605</v>
      </c>
      <c r="C192" s="213" t="s">
        <v>85</v>
      </c>
      <c r="D192" s="215">
        <v>2</v>
      </c>
      <c r="E192" s="145"/>
      <c r="F192" s="32"/>
      <c r="G192" s="33" t="s">
        <v>641</v>
      </c>
      <c r="I192" s="22"/>
      <c r="J192" s="77"/>
      <c r="K192" s="78"/>
    </row>
    <row r="193" spans="1:11" s="34" customFormat="1" ht="19.149999999999999" customHeight="1">
      <c r="A193" s="209" t="s">
        <v>603</v>
      </c>
      <c r="B193" s="211" t="s">
        <v>606</v>
      </c>
      <c r="C193" s="213" t="s">
        <v>85</v>
      </c>
      <c r="D193" s="215">
        <v>1</v>
      </c>
      <c r="E193" s="145"/>
      <c r="F193" s="32"/>
      <c r="G193" s="33" t="s">
        <v>642</v>
      </c>
      <c r="I193" s="22"/>
      <c r="J193" s="77"/>
      <c r="K193" s="78"/>
    </row>
    <row r="194" spans="1:11" s="34" customFormat="1" ht="19.149999999999999" customHeight="1">
      <c r="A194" s="209" t="s">
        <v>603</v>
      </c>
      <c r="B194" s="211" t="s">
        <v>607</v>
      </c>
      <c r="C194" s="213" t="s">
        <v>85</v>
      </c>
      <c r="D194" s="215">
        <v>7</v>
      </c>
      <c r="E194" s="145"/>
      <c r="F194" s="32"/>
      <c r="G194" s="33" t="s">
        <v>643</v>
      </c>
      <c r="I194" s="22"/>
      <c r="J194" s="77"/>
      <c r="K194" s="78"/>
    </row>
    <row r="195" spans="1:11" s="34" customFormat="1" ht="19.149999999999999" customHeight="1">
      <c r="A195" s="209" t="s">
        <v>608</v>
      </c>
      <c r="B195" s="211" t="s">
        <v>609</v>
      </c>
      <c r="C195" s="213" t="s">
        <v>85</v>
      </c>
      <c r="D195" s="215">
        <v>2</v>
      </c>
      <c r="E195" s="145"/>
      <c r="F195" s="32"/>
      <c r="G195" s="33" t="s">
        <v>644</v>
      </c>
      <c r="I195" s="22"/>
      <c r="J195" s="77"/>
      <c r="K195" s="78"/>
    </row>
    <row r="196" spans="1:11" s="34" customFormat="1" ht="19.149999999999999" customHeight="1">
      <c r="A196" s="209" t="s">
        <v>610</v>
      </c>
      <c r="B196" s="211"/>
      <c r="C196" s="213" t="s">
        <v>85</v>
      </c>
      <c r="D196" s="215">
        <v>1</v>
      </c>
      <c r="E196" s="145"/>
      <c r="F196" s="32"/>
      <c r="G196" s="33">
        <v>0</v>
      </c>
      <c r="I196" s="22"/>
      <c r="J196" s="77"/>
      <c r="K196" s="78"/>
    </row>
    <row r="197" spans="1:11" s="34" customFormat="1" ht="19.149999999999999" customHeight="1">
      <c r="A197" s="209" t="s">
        <v>134</v>
      </c>
      <c r="B197" s="211" t="s">
        <v>611</v>
      </c>
      <c r="C197" s="213" t="s">
        <v>85</v>
      </c>
      <c r="D197" s="215">
        <v>1</v>
      </c>
      <c r="E197" s="145"/>
      <c r="F197" s="32"/>
      <c r="G197" s="33">
        <v>0</v>
      </c>
      <c r="I197" s="22"/>
      <c r="J197" s="77"/>
      <c r="K197" s="78"/>
    </row>
    <row r="198" spans="1:11" s="34" customFormat="1" ht="19.149999999999999" customHeight="1">
      <c r="A198" s="209" t="s">
        <v>612</v>
      </c>
      <c r="B198" s="211" t="s">
        <v>613</v>
      </c>
      <c r="C198" s="213" t="s">
        <v>85</v>
      </c>
      <c r="D198" s="215">
        <v>1</v>
      </c>
      <c r="E198" s="145"/>
      <c r="F198" s="32"/>
      <c r="G198" s="33" t="s">
        <v>647</v>
      </c>
      <c r="I198" s="22"/>
      <c r="J198" s="77"/>
      <c r="K198" s="78"/>
    </row>
    <row r="199" spans="1:11" s="34" customFormat="1" ht="19.149999999999999" customHeight="1">
      <c r="A199" s="209" t="s">
        <v>614</v>
      </c>
      <c r="B199" s="211" t="s">
        <v>615</v>
      </c>
      <c r="C199" s="213" t="s">
        <v>85</v>
      </c>
      <c r="D199" s="215">
        <v>195</v>
      </c>
      <c r="E199" s="145"/>
      <c r="F199" s="32"/>
      <c r="G199" s="33" t="s">
        <v>631</v>
      </c>
      <c r="I199" s="22"/>
      <c r="J199" s="77"/>
      <c r="K199" s="78"/>
    </row>
    <row r="200" spans="1:11" s="34" customFormat="1" ht="19.149999999999999" customHeight="1">
      <c r="A200" s="209" t="s">
        <v>616</v>
      </c>
      <c r="B200" s="211" t="s">
        <v>617</v>
      </c>
      <c r="C200" s="213" t="s">
        <v>85</v>
      </c>
      <c r="D200" s="215">
        <v>195</v>
      </c>
      <c r="E200" s="145"/>
      <c r="F200" s="32"/>
      <c r="G200" s="33" t="s">
        <v>648</v>
      </c>
      <c r="I200" s="22"/>
      <c r="J200" s="77"/>
      <c r="K200" s="78"/>
    </row>
    <row r="201" spans="1:11" s="34" customFormat="1" ht="19.149999999999999" customHeight="1">
      <c r="A201" s="209" t="s">
        <v>618</v>
      </c>
      <c r="B201" s="211" t="s">
        <v>619</v>
      </c>
      <c r="C201" s="213" t="s">
        <v>85</v>
      </c>
      <c r="D201" s="215">
        <v>65</v>
      </c>
      <c r="E201" s="145"/>
      <c r="F201" s="32"/>
      <c r="G201" s="33" t="s">
        <v>649</v>
      </c>
      <c r="I201" s="22"/>
      <c r="J201" s="77"/>
      <c r="K201" s="78"/>
    </row>
    <row r="202" spans="1:11" s="34" customFormat="1" ht="19.149999999999999" customHeight="1">
      <c r="A202" s="209" t="s">
        <v>618</v>
      </c>
      <c r="B202" s="211" t="s">
        <v>620</v>
      </c>
      <c r="C202" s="213" t="s">
        <v>85</v>
      </c>
      <c r="D202" s="215">
        <v>12</v>
      </c>
      <c r="E202" s="145"/>
      <c r="F202" s="32"/>
      <c r="G202" s="33" t="s">
        <v>646</v>
      </c>
      <c r="I202" s="22"/>
      <c r="J202" s="77"/>
      <c r="K202" s="78"/>
    </row>
    <row r="203" spans="1:11" s="34" customFormat="1" ht="19.149999999999999" customHeight="1">
      <c r="A203" s="209" t="s">
        <v>621</v>
      </c>
      <c r="B203" s="211" t="s">
        <v>622</v>
      </c>
      <c r="C203" s="213" t="s">
        <v>85</v>
      </c>
      <c r="D203" s="215">
        <v>10</v>
      </c>
      <c r="E203" s="145"/>
      <c r="F203" s="32"/>
      <c r="G203" s="33" t="s">
        <v>650</v>
      </c>
      <c r="I203" s="22"/>
      <c r="J203" s="77"/>
      <c r="K203" s="78"/>
    </row>
    <row r="204" spans="1:11" s="34" customFormat="1" ht="19.149999999999999" customHeight="1">
      <c r="A204" s="209" t="s">
        <v>623</v>
      </c>
      <c r="B204" s="211" t="s">
        <v>624</v>
      </c>
      <c r="C204" s="213" t="s">
        <v>85</v>
      </c>
      <c r="D204" s="215">
        <v>16</v>
      </c>
      <c r="E204" s="145"/>
      <c r="F204" s="32"/>
      <c r="G204" s="33" t="s">
        <v>651</v>
      </c>
      <c r="I204" s="22"/>
      <c r="J204" s="77"/>
      <c r="K204" s="78"/>
    </row>
    <row r="205" spans="1:11" s="34" customFormat="1" ht="19.149999999999999" customHeight="1">
      <c r="A205" s="209" t="s">
        <v>625</v>
      </c>
      <c r="B205" s="211" t="s">
        <v>599</v>
      </c>
      <c r="C205" s="213" t="s">
        <v>85</v>
      </c>
      <c r="D205" s="215">
        <v>12</v>
      </c>
      <c r="E205" s="145"/>
      <c r="F205" s="32"/>
      <c r="G205" s="33" t="s">
        <v>556</v>
      </c>
      <c r="I205" s="22"/>
      <c r="J205" s="77"/>
      <c r="K205" s="78"/>
    </row>
    <row r="206" spans="1:11" s="34" customFormat="1" ht="19.149999999999999" customHeight="1">
      <c r="A206" s="209" t="s">
        <v>626</v>
      </c>
      <c r="B206" s="211" t="s">
        <v>104</v>
      </c>
      <c r="C206" s="213" t="s">
        <v>85</v>
      </c>
      <c r="D206" s="215">
        <v>12</v>
      </c>
      <c r="E206" s="145"/>
      <c r="F206" s="32"/>
      <c r="G206" s="33" t="s">
        <v>653</v>
      </c>
      <c r="I206" s="22"/>
      <c r="J206" s="77"/>
      <c r="K206" s="78"/>
    </row>
    <row r="207" spans="1:11" s="34" customFormat="1" ht="19.149999999999999" customHeight="1">
      <c r="A207" s="209" t="s">
        <v>627</v>
      </c>
      <c r="B207" s="211" t="s">
        <v>628</v>
      </c>
      <c r="C207" s="213" t="s">
        <v>85</v>
      </c>
      <c r="D207" s="215">
        <v>12</v>
      </c>
      <c r="E207" s="145"/>
      <c r="F207" s="32"/>
      <c r="G207" s="33" t="s">
        <v>654</v>
      </c>
      <c r="I207" s="22"/>
      <c r="J207" s="77"/>
      <c r="K207" s="78"/>
    </row>
    <row r="208" spans="1:11" s="34" customFormat="1" ht="19.149999999999999" customHeight="1">
      <c r="A208" s="209" t="s">
        <v>200</v>
      </c>
      <c r="B208" s="211" t="s">
        <v>629</v>
      </c>
      <c r="C208" s="213" t="s">
        <v>85</v>
      </c>
      <c r="D208" s="215">
        <v>12</v>
      </c>
      <c r="E208" s="145"/>
      <c r="F208" s="32"/>
      <c r="G208" s="33" t="s">
        <v>655</v>
      </c>
      <c r="I208" s="22"/>
      <c r="J208" s="77"/>
      <c r="K208" s="78"/>
    </row>
    <row r="209" spans="1:11" s="34" customFormat="1" ht="19.149999999999999" customHeight="1">
      <c r="A209" s="182"/>
      <c r="B209" s="179"/>
      <c r="C209" s="178"/>
      <c r="D209" s="180"/>
      <c r="E209" s="145"/>
      <c r="F209" s="32"/>
      <c r="G209" s="33"/>
      <c r="I209" s="22"/>
      <c r="J209" s="77"/>
      <c r="K209" s="78"/>
    </row>
    <row r="210" spans="1:11" s="34" customFormat="1" ht="19.149999999999999" customHeight="1">
      <c r="A210" s="182"/>
      <c r="B210" s="179"/>
      <c r="C210" s="178"/>
      <c r="D210" s="180"/>
      <c r="E210" s="145"/>
      <c r="F210" s="32"/>
      <c r="G210" s="33"/>
      <c r="I210" s="22"/>
      <c r="J210" s="77"/>
      <c r="K210" s="78"/>
    </row>
    <row r="211" spans="1:11" s="34" customFormat="1" ht="19.149999999999999" customHeight="1">
      <c r="A211" s="182"/>
      <c r="B211" s="179"/>
      <c r="C211" s="178"/>
      <c r="D211" s="180"/>
      <c r="E211" s="145"/>
      <c r="F211" s="32"/>
      <c r="G211" s="33"/>
      <c r="I211" s="22"/>
      <c r="J211" s="77"/>
      <c r="K211" s="78"/>
    </row>
    <row r="212" spans="1:11" s="34" customFormat="1" ht="19.149999999999999" customHeight="1">
      <c r="A212" s="182"/>
      <c r="B212" s="179"/>
      <c r="C212" s="178"/>
      <c r="D212" s="180"/>
      <c r="E212" s="145"/>
      <c r="F212" s="32"/>
      <c r="G212" s="33"/>
      <c r="I212" s="22"/>
      <c r="J212" s="77"/>
      <c r="K212" s="78"/>
    </row>
    <row r="213" spans="1:11" s="34" customFormat="1" ht="19.149999999999999" customHeight="1">
      <c r="A213" s="182"/>
      <c r="B213" s="179"/>
      <c r="C213" s="178"/>
      <c r="D213" s="180"/>
      <c r="E213" s="145"/>
      <c r="F213" s="32"/>
      <c r="G213" s="33"/>
      <c r="I213" s="22"/>
      <c r="J213" s="77"/>
      <c r="K213" s="78"/>
    </row>
    <row r="214" spans="1:11" s="34" customFormat="1" ht="19.149999999999999" customHeight="1">
      <c r="A214" s="182"/>
      <c r="B214" s="179"/>
      <c r="C214" s="178"/>
      <c r="D214" s="180"/>
      <c r="E214" s="145"/>
      <c r="F214" s="32"/>
      <c r="G214" s="33"/>
      <c r="I214" s="22"/>
      <c r="J214" s="77"/>
      <c r="K214" s="78"/>
    </row>
    <row r="215" spans="1:11" s="34" customFormat="1" ht="19.149999999999999" customHeight="1">
      <c r="A215" s="182"/>
      <c r="B215" s="179"/>
      <c r="C215" s="178"/>
      <c r="D215" s="180"/>
      <c r="E215" s="145"/>
      <c r="F215" s="32"/>
      <c r="G215" s="33"/>
      <c r="I215" s="22"/>
      <c r="J215" s="77"/>
      <c r="K215" s="78"/>
    </row>
    <row r="216" spans="1:11" s="34" customFormat="1" ht="19.149999999999999" customHeight="1">
      <c r="A216" s="182"/>
      <c r="B216" s="179"/>
      <c r="C216" s="178"/>
      <c r="D216" s="180"/>
      <c r="E216" s="145"/>
      <c r="F216" s="32"/>
      <c r="G216" s="33"/>
      <c r="I216" s="22"/>
      <c r="J216" s="77"/>
      <c r="K216" s="78"/>
    </row>
    <row r="217" spans="1:11" s="34" customFormat="1" ht="19.149999999999999" customHeight="1">
      <c r="A217" s="182"/>
      <c r="B217" s="179"/>
      <c r="C217" s="178"/>
      <c r="D217" s="180"/>
      <c r="E217" s="145"/>
      <c r="F217" s="32"/>
      <c r="G217" s="33"/>
      <c r="I217" s="22"/>
      <c r="J217" s="77"/>
      <c r="K217" s="78"/>
    </row>
    <row r="218" spans="1:11" s="34" customFormat="1" ht="19.149999999999999" customHeight="1">
      <c r="A218" s="182"/>
      <c r="B218" s="179"/>
      <c r="C218" s="178"/>
      <c r="D218" s="180"/>
      <c r="E218" s="145"/>
      <c r="F218" s="32"/>
      <c r="G218" s="33"/>
      <c r="I218" s="22"/>
      <c r="J218" s="77"/>
      <c r="K218" s="78"/>
    </row>
    <row r="219" spans="1:11" s="34" customFormat="1" ht="19.149999999999999" customHeight="1">
      <c r="A219" s="182"/>
      <c r="B219" s="179"/>
      <c r="C219" s="178"/>
      <c r="D219" s="180"/>
      <c r="E219" s="145"/>
      <c r="F219" s="32"/>
      <c r="G219" s="33"/>
      <c r="I219" s="22"/>
      <c r="J219" s="77"/>
      <c r="K219" s="78"/>
    </row>
    <row r="220" spans="1:11" s="34" customFormat="1" ht="19.149999999999999" customHeight="1">
      <c r="A220" s="182"/>
      <c r="B220" s="179"/>
      <c r="C220" s="178"/>
      <c r="D220" s="180"/>
      <c r="E220" s="145"/>
      <c r="F220" s="32"/>
      <c r="G220" s="33"/>
      <c r="I220" s="22"/>
      <c r="J220" s="77"/>
      <c r="K220" s="78"/>
    </row>
    <row r="221" spans="1:11" s="34" customFormat="1" ht="19.149999999999999" customHeight="1">
      <c r="A221" s="182"/>
      <c r="B221" s="179"/>
      <c r="C221" s="178"/>
      <c r="D221" s="180"/>
      <c r="E221" s="145"/>
      <c r="F221" s="32"/>
      <c r="G221" s="33"/>
      <c r="I221" s="22"/>
      <c r="J221" s="77"/>
      <c r="K221" s="78"/>
    </row>
    <row r="222" spans="1:11" s="34" customFormat="1" ht="19.149999999999999" customHeight="1">
      <c r="A222" s="182"/>
      <c r="B222" s="179"/>
      <c r="C222" s="178"/>
      <c r="D222" s="180"/>
      <c r="E222" s="145"/>
      <c r="F222" s="32"/>
      <c r="G222" s="33"/>
      <c r="I222" s="22"/>
      <c r="J222" s="77"/>
      <c r="K222" s="78"/>
    </row>
    <row r="223" spans="1:11" s="34" customFormat="1" ht="19.149999999999999" customHeight="1">
      <c r="A223" s="182"/>
      <c r="B223" s="179"/>
      <c r="C223" s="178"/>
      <c r="D223" s="180"/>
      <c r="E223" s="145"/>
      <c r="F223" s="32"/>
      <c r="G223" s="33"/>
      <c r="I223" s="22"/>
      <c r="J223" s="77"/>
      <c r="K223" s="78"/>
    </row>
    <row r="224" spans="1:11" s="34" customFormat="1" ht="19.149999999999999" customHeight="1">
      <c r="A224" s="182"/>
      <c r="B224" s="179"/>
      <c r="C224" s="178"/>
      <c r="D224" s="180"/>
      <c r="E224" s="145"/>
      <c r="F224" s="32"/>
      <c r="G224" s="33"/>
      <c r="I224" s="22"/>
      <c r="J224" s="77"/>
      <c r="K224" s="78"/>
    </row>
    <row r="225" spans="1:11" s="34" customFormat="1" ht="19.149999999999999" customHeight="1">
      <c r="A225" s="182"/>
      <c r="B225" s="179"/>
      <c r="C225" s="178"/>
      <c r="D225" s="180"/>
      <c r="E225" s="145"/>
      <c r="F225" s="32"/>
      <c r="G225" s="33"/>
      <c r="I225" s="22"/>
      <c r="J225" s="77"/>
      <c r="K225" s="78"/>
    </row>
    <row r="226" spans="1:11" s="34" customFormat="1" ht="19.149999999999999" customHeight="1">
      <c r="A226" s="182"/>
      <c r="B226" s="179"/>
      <c r="C226" s="178"/>
      <c r="D226" s="180"/>
      <c r="E226" s="145"/>
      <c r="F226" s="32"/>
      <c r="G226" s="33"/>
      <c r="I226" s="22"/>
      <c r="J226" s="77"/>
      <c r="K226" s="78"/>
    </row>
    <row r="227" spans="1:11" s="34" customFormat="1" ht="19.149999999999999" customHeight="1">
      <c r="A227" s="182" t="s">
        <v>132</v>
      </c>
      <c r="B227" s="179"/>
      <c r="C227" s="178"/>
      <c r="D227" s="180"/>
      <c r="E227" s="145"/>
      <c r="F227" s="32"/>
      <c r="G227" s="33"/>
      <c r="I227" s="22"/>
      <c r="J227" s="77"/>
      <c r="K227" s="78"/>
    </row>
    <row r="228" spans="1:11" s="34" customFormat="1" ht="19.149999999999999" customHeight="1">
      <c r="A228" s="178" t="s">
        <v>776</v>
      </c>
      <c r="B228" s="179"/>
      <c r="C228" s="178"/>
      <c r="D228" s="180"/>
      <c r="E228" s="145"/>
      <c r="F228" s="32"/>
      <c r="G228" s="33"/>
      <c r="I228" s="22"/>
      <c r="J228" s="77"/>
      <c r="K228" s="78"/>
    </row>
    <row r="229" spans="1:11" s="34" customFormat="1" ht="19.149999999999999" customHeight="1">
      <c r="A229" s="210" t="s">
        <v>656</v>
      </c>
      <c r="B229" s="211" t="s">
        <v>657</v>
      </c>
      <c r="C229" s="213" t="s">
        <v>85</v>
      </c>
      <c r="D229" s="215">
        <v>78</v>
      </c>
      <c r="E229" s="145"/>
      <c r="F229" s="32"/>
      <c r="G229" s="33" t="s">
        <v>670</v>
      </c>
      <c r="I229" s="22"/>
      <c r="J229" s="77"/>
      <c r="K229" s="78"/>
    </row>
    <row r="230" spans="1:11" s="34" customFormat="1" ht="19.149999999999999" customHeight="1">
      <c r="A230" s="210" t="s">
        <v>658</v>
      </c>
      <c r="B230" s="211" t="s">
        <v>659</v>
      </c>
      <c r="C230" s="213" t="s">
        <v>85</v>
      </c>
      <c r="D230" s="215">
        <v>207</v>
      </c>
      <c r="E230" s="145"/>
      <c r="F230" s="32"/>
      <c r="G230" s="33" t="s">
        <v>671</v>
      </c>
      <c r="I230" s="22"/>
      <c r="J230" s="77"/>
      <c r="K230" s="78"/>
    </row>
    <row r="231" spans="1:11" s="34" customFormat="1" ht="19.149999999999999" customHeight="1">
      <c r="A231" s="210" t="s">
        <v>660</v>
      </c>
      <c r="B231" s="211" t="s">
        <v>661</v>
      </c>
      <c r="C231" s="213" t="s">
        <v>85</v>
      </c>
      <c r="D231" s="215">
        <v>48</v>
      </c>
      <c r="E231" s="145"/>
      <c r="F231" s="32"/>
      <c r="G231" s="33" t="s">
        <v>672</v>
      </c>
      <c r="I231" s="22"/>
      <c r="J231" s="77"/>
      <c r="K231" s="78"/>
    </row>
    <row r="232" spans="1:11" s="34" customFormat="1" ht="19.149999999999999" customHeight="1">
      <c r="A232" s="210" t="s">
        <v>662</v>
      </c>
      <c r="B232" s="211" t="s">
        <v>663</v>
      </c>
      <c r="C232" s="213" t="s">
        <v>85</v>
      </c>
      <c r="D232" s="215">
        <v>179</v>
      </c>
      <c r="E232" s="145"/>
      <c r="F232" s="32"/>
      <c r="G232" s="33" t="s">
        <v>673</v>
      </c>
      <c r="I232" s="22"/>
      <c r="J232" s="77"/>
      <c r="K232" s="78"/>
    </row>
    <row r="233" spans="1:11" s="34" customFormat="1" ht="19.149999999999999" customHeight="1">
      <c r="A233" s="210" t="s">
        <v>664</v>
      </c>
      <c r="B233" s="211"/>
      <c r="C233" s="213" t="s">
        <v>85</v>
      </c>
      <c r="D233" s="215">
        <v>7</v>
      </c>
      <c r="E233" s="145"/>
      <c r="F233" s="32"/>
      <c r="G233" s="33" t="s">
        <v>674</v>
      </c>
      <c r="I233" s="22"/>
      <c r="J233" s="77"/>
      <c r="K233" s="78"/>
    </row>
    <row r="234" spans="1:11" s="34" customFormat="1" ht="19.149999999999999" customHeight="1">
      <c r="A234" s="210" t="s">
        <v>665</v>
      </c>
      <c r="B234" s="211" t="s">
        <v>666</v>
      </c>
      <c r="C234" s="213" t="s">
        <v>103</v>
      </c>
      <c r="D234" s="215">
        <v>200</v>
      </c>
      <c r="E234" s="145"/>
      <c r="F234" s="32"/>
      <c r="G234" s="33" t="s">
        <v>675</v>
      </c>
      <c r="I234" s="22"/>
      <c r="J234" s="77"/>
      <c r="K234" s="78"/>
    </row>
    <row r="235" spans="1:11" s="34" customFormat="1" ht="19.149999999999999" customHeight="1">
      <c r="A235" s="210" t="s">
        <v>665</v>
      </c>
      <c r="B235" s="211" t="s">
        <v>667</v>
      </c>
      <c r="C235" s="213" t="s">
        <v>103</v>
      </c>
      <c r="D235" s="215">
        <v>1048</v>
      </c>
      <c r="E235" s="145"/>
      <c r="F235" s="32"/>
      <c r="G235" s="33" t="s">
        <v>676</v>
      </c>
      <c r="I235" s="22"/>
      <c r="J235" s="77"/>
      <c r="K235" s="78"/>
    </row>
    <row r="236" spans="1:11" s="34" customFormat="1" ht="19.149999999999999" customHeight="1">
      <c r="A236" s="210" t="s">
        <v>665</v>
      </c>
      <c r="B236" s="211" t="s">
        <v>668</v>
      </c>
      <c r="C236" s="213" t="s">
        <v>103</v>
      </c>
      <c r="D236" s="215">
        <v>138</v>
      </c>
      <c r="E236" s="145"/>
      <c r="F236" s="32"/>
      <c r="G236" s="33" t="s">
        <v>677</v>
      </c>
      <c r="I236" s="22"/>
      <c r="J236" s="77"/>
      <c r="K236" s="78"/>
    </row>
    <row r="237" spans="1:11" s="34" customFormat="1" ht="19.149999999999999" customHeight="1">
      <c r="A237" s="210" t="s">
        <v>665</v>
      </c>
      <c r="B237" s="211" t="s">
        <v>669</v>
      </c>
      <c r="C237" s="213" t="s">
        <v>103</v>
      </c>
      <c r="D237" s="215">
        <v>106</v>
      </c>
      <c r="E237" s="145"/>
      <c r="F237" s="32"/>
      <c r="G237" s="33" t="s">
        <v>678</v>
      </c>
      <c r="I237" s="22"/>
      <c r="J237" s="77"/>
      <c r="K237" s="78"/>
    </row>
    <row r="238" spans="1:11" s="34" customFormat="1" ht="19.149999999999999" customHeight="1">
      <c r="A238" s="210"/>
      <c r="B238" s="211"/>
      <c r="C238" s="213"/>
      <c r="D238" s="215"/>
      <c r="E238" s="145"/>
      <c r="F238" s="32"/>
      <c r="G238" s="33"/>
      <c r="I238" s="22"/>
      <c r="J238" s="77"/>
      <c r="K238" s="78"/>
    </row>
    <row r="239" spans="1:11" s="34" customFormat="1" ht="19.149999999999999" customHeight="1">
      <c r="A239" s="210"/>
      <c r="B239" s="211"/>
      <c r="C239" s="213"/>
      <c r="D239" s="215"/>
      <c r="E239" s="145"/>
      <c r="F239" s="32"/>
      <c r="G239" s="33"/>
      <c r="I239" s="22"/>
      <c r="J239" s="77"/>
      <c r="K239" s="78"/>
    </row>
    <row r="240" spans="1:11" s="34" customFormat="1" ht="19.149999999999999" customHeight="1">
      <c r="A240" s="210"/>
      <c r="B240" s="211"/>
      <c r="C240" s="213"/>
      <c r="D240" s="215"/>
      <c r="E240" s="145"/>
      <c r="F240" s="32"/>
      <c r="G240" s="33"/>
      <c r="I240" s="22"/>
      <c r="J240" s="77"/>
      <c r="K240" s="78"/>
    </row>
    <row r="241" spans="1:11" s="34" customFormat="1" ht="19.149999999999999" customHeight="1">
      <c r="A241" s="210"/>
      <c r="B241" s="211"/>
      <c r="C241" s="213"/>
      <c r="D241" s="215"/>
      <c r="E241" s="145"/>
      <c r="F241" s="32"/>
      <c r="G241" s="33"/>
      <c r="I241" s="22"/>
      <c r="J241" s="77"/>
      <c r="K241" s="78"/>
    </row>
    <row r="242" spans="1:11" s="34" customFormat="1" ht="19.149999999999999" customHeight="1">
      <c r="A242" s="210"/>
      <c r="B242" s="211"/>
      <c r="C242" s="213"/>
      <c r="D242" s="215"/>
      <c r="E242" s="145"/>
      <c r="F242" s="32"/>
      <c r="G242" s="33"/>
      <c r="I242" s="22"/>
      <c r="J242" s="77"/>
      <c r="K242" s="78"/>
    </row>
    <row r="243" spans="1:11" s="34" customFormat="1" ht="19.149999999999999" customHeight="1">
      <c r="A243" s="210"/>
      <c r="B243" s="211"/>
      <c r="C243" s="213"/>
      <c r="D243" s="215"/>
      <c r="E243" s="145"/>
      <c r="F243" s="32"/>
      <c r="G243" s="33"/>
      <c r="I243" s="22"/>
      <c r="J243" s="77"/>
      <c r="K243" s="78"/>
    </row>
    <row r="244" spans="1:11" s="34" customFormat="1" ht="19.149999999999999" customHeight="1">
      <c r="A244" s="210"/>
      <c r="B244" s="211"/>
      <c r="C244" s="213"/>
      <c r="D244" s="215"/>
      <c r="E244" s="145"/>
      <c r="F244" s="32"/>
      <c r="G244" s="33"/>
      <c r="I244" s="22"/>
      <c r="J244" s="77"/>
      <c r="K244" s="78"/>
    </row>
    <row r="245" spans="1:11" s="34" customFormat="1" ht="19.149999999999999" customHeight="1">
      <c r="A245" s="182"/>
      <c r="B245" s="179"/>
      <c r="C245" s="178"/>
      <c r="D245" s="180"/>
      <c r="E245" s="145"/>
      <c r="F245" s="32"/>
      <c r="G245" s="33"/>
      <c r="I245" s="22"/>
      <c r="J245" s="77"/>
      <c r="K245" s="78"/>
    </row>
    <row r="246" spans="1:11" s="34" customFormat="1" ht="18.75" customHeight="1">
      <c r="A246" s="182"/>
      <c r="B246" s="179"/>
      <c r="C246" s="178"/>
      <c r="D246" s="180"/>
      <c r="E246" s="145"/>
      <c r="F246" s="32"/>
      <c r="G246" s="33"/>
      <c r="I246" s="22"/>
      <c r="J246" s="77"/>
      <c r="K246" s="78"/>
    </row>
    <row r="247" spans="1:11" s="34" customFormat="1" ht="19.149999999999999" customHeight="1">
      <c r="A247" s="178"/>
      <c r="B247" s="179"/>
      <c r="C247" s="178"/>
      <c r="D247" s="180"/>
      <c r="E247" s="145"/>
      <c r="F247" s="32"/>
      <c r="G247" s="33"/>
      <c r="I247" s="22"/>
      <c r="J247" s="77"/>
      <c r="K247" s="78"/>
    </row>
    <row r="248" spans="1:11" s="34" customFormat="1" ht="19.149999999999999" customHeight="1">
      <c r="A248" s="178"/>
      <c r="B248" s="179"/>
      <c r="C248" s="178"/>
      <c r="D248" s="180"/>
      <c r="E248" s="145"/>
      <c r="F248" s="32"/>
      <c r="G248" s="33"/>
      <c r="I248" s="22"/>
      <c r="J248" s="77"/>
      <c r="K248" s="78"/>
    </row>
    <row r="249" spans="1:11" s="34" customFormat="1" ht="19.149999999999999" customHeight="1">
      <c r="A249" s="178"/>
      <c r="B249" s="179"/>
      <c r="C249" s="178"/>
      <c r="D249" s="180"/>
      <c r="E249" s="145"/>
      <c r="F249" s="32"/>
      <c r="G249" s="33"/>
      <c r="I249" s="22"/>
      <c r="J249" s="77"/>
      <c r="K249" s="78"/>
    </row>
    <row r="250" spans="1:11" s="34" customFormat="1" ht="19.149999999999999" customHeight="1">
      <c r="A250" s="178"/>
      <c r="B250" s="179"/>
      <c r="C250" s="178"/>
      <c r="D250" s="180"/>
      <c r="E250" s="145"/>
      <c r="F250" s="32"/>
      <c r="G250" s="33"/>
      <c r="I250" s="22"/>
      <c r="J250" s="77"/>
      <c r="K250" s="78"/>
    </row>
    <row r="251" spans="1:11" s="34" customFormat="1" ht="19.149999999999999" customHeight="1">
      <c r="A251" s="182" t="s">
        <v>132</v>
      </c>
      <c r="B251" s="173"/>
      <c r="C251" s="175"/>
      <c r="D251" s="183"/>
      <c r="E251" s="145"/>
      <c r="F251" s="32"/>
      <c r="G251" s="33"/>
    </row>
    <row r="252" spans="1:11" s="34" customFormat="1" ht="19.149999999999999" customHeight="1">
      <c r="A252" s="178" t="s">
        <v>160</v>
      </c>
      <c r="B252" s="179"/>
      <c r="C252" s="184" t="s">
        <v>86</v>
      </c>
      <c r="D252" s="185">
        <v>1</v>
      </c>
      <c r="E252" s="145"/>
      <c r="F252" s="32"/>
      <c r="G252" s="33"/>
    </row>
    <row r="253" spans="1:11" s="34" customFormat="1" ht="19.149999999999999" customHeight="1">
      <c r="A253" s="148"/>
      <c r="B253" s="148"/>
      <c r="C253" s="157"/>
      <c r="D253" s="158"/>
      <c r="E253" s="145"/>
      <c r="F253" s="32"/>
      <c r="G253" s="33"/>
    </row>
    <row r="254" spans="1:11" s="34" customFormat="1" ht="19.149999999999999" customHeight="1">
      <c r="A254" s="148"/>
      <c r="B254" s="148"/>
      <c r="C254" s="157"/>
      <c r="D254" s="158"/>
      <c r="E254" s="145"/>
      <c r="F254" s="32"/>
      <c r="G254" s="33"/>
    </row>
    <row r="255" spans="1:11" s="34" customFormat="1" ht="19.149999999999999" customHeight="1">
      <c r="A255" s="148"/>
      <c r="B255" s="148"/>
      <c r="C255" s="157"/>
      <c r="D255" s="158"/>
      <c r="E255" s="145"/>
      <c r="F255" s="32"/>
      <c r="G255" s="33"/>
    </row>
    <row r="256" spans="1:11" s="34" customFormat="1" ht="19.149999999999999" customHeight="1">
      <c r="A256" s="148"/>
      <c r="B256" s="148"/>
      <c r="C256" s="157"/>
      <c r="D256" s="158"/>
      <c r="E256" s="145"/>
      <c r="F256" s="32"/>
      <c r="G256" s="33"/>
    </row>
    <row r="257" spans="1:7" s="34" customFormat="1" ht="19.149999999999999" customHeight="1">
      <c r="A257" s="148"/>
      <c r="B257" s="148"/>
      <c r="C257" s="157"/>
      <c r="D257" s="158"/>
      <c r="E257" s="145"/>
      <c r="F257" s="32"/>
      <c r="G257" s="33"/>
    </row>
    <row r="258" spans="1:7" s="34" customFormat="1" ht="19.149999999999999" customHeight="1">
      <c r="A258" s="148"/>
      <c r="B258" s="148"/>
      <c r="C258" s="157"/>
      <c r="D258" s="158"/>
      <c r="E258" s="145"/>
      <c r="F258" s="32"/>
      <c r="G258" s="33"/>
    </row>
    <row r="259" spans="1:7" s="34" customFormat="1" ht="19.149999999999999" customHeight="1">
      <c r="A259" s="148"/>
      <c r="B259" s="148"/>
      <c r="C259" s="157"/>
      <c r="D259" s="158"/>
      <c r="E259" s="145"/>
      <c r="F259" s="32"/>
      <c r="G259" s="33"/>
    </row>
    <row r="260" spans="1:7" s="34" customFormat="1" ht="19.149999999999999" customHeight="1">
      <c r="A260" s="148"/>
      <c r="B260" s="148"/>
      <c r="C260" s="157"/>
      <c r="D260" s="158"/>
      <c r="E260" s="145"/>
      <c r="F260" s="32"/>
      <c r="G260" s="33"/>
    </row>
    <row r="261" spans="1:7" s="34" customFormat="1" ht="19.149999999999999" customHeight="1">
      <c r="A261" s="148"/>
      <c r="B261" s="148"/>
      <c r="C261" s="157"/>
      <c r="D261" s="158"/>
      <c r="E261" s="145"/>
      <c r="F261" s="32"/>
      <c r="G261" s="33"/>
    </row>
    <row r="262" spans="1:7" s="34" customFormat="1" ht="19.149999999999999" customHeight="1">
      <c r="A262" s="148"/>
      <c r="B262" s="148"/>
      <c r="C262" s="157"/>
      <c r="D262" s="158"/>
      <c r="E262" s="145"/>
      <c r="F262" s="32"/>
      <c r="G262" s="33"/>
    </row>
    <row r="263" spans="1:7" s="34" customFormat="1" ht="19.149999999999999" customHeight="1">
      <c r="A263" s="148"/>
      <c r="B263" s="148"/>
      <c r="C263" s="157"/>
      <c r="D263" s="158"/>
      <c r="E263" s="145"/>
      <c r="F263" s="32"/>
      <c r="G263" s="33"/>
    </row>
    <row r="264" spans="1:7" s="34" customFormat="1" ht="19.149999999999999" customHeight="1">
      <c r="A264" s="148"/>
      <c r="B264" s="148"/>
      <c r="C264" s="157"/>
      <c r="D264" s="158"/>
      <c r="E264" s="145"/>
      <c r="F264" s="32"/>
      <c r="G264" s="33"/>
    </row>
    <row r="265" spans="1:7" s="34" customFormat="1" ht="19.149999999999999" customHeight="1">
      <c r="A265" s="148"/>
      <c r="B265" s="148"/>
      <c r="C265" s="157"/>
      <c r="D265" s="158"/>
      <c r="E265" s="145"/>
      <c r="F265" s="32"/>
      <c r="G265" s="33"/>
    </row>
    <row r="266" spans="1:7" s="34" customFormat="1" ht="19.149999999999999" customHeight="1">
      <c r="A266" s="148"/>
      <c r="B266" s="148"/>
      <c r="C266" s="157"/>
      <c r="D266" s="158"/>
      <c r="E266" s="145"/>
      <c r="F266" s="32"/>
      <c r="G266" s="33"/>
    </row>
    <row r="267" spans="1:7" s="34" customFormat="1" ht="19.149999999999999" customHeight="1">
      <c r="A267" s="148"/>
      <c r="B267" s="148"/>
      <c r="C267" s="157"/>
      <c r="D267" s="158"/>
      <c r="E267" s="145"/>
      <c r="F267" s="32"/>
      <c r="G267" s="33"/>
    </row>
    <row r="268" spans="1:7" s="34" customFormat="1" ht="19.149999999999999" customHeight="1">
      <c r="A268" s="148"/>
      <c r="B268" s="148"/>
      <c r="C268" s="157"/>
      <c r="D268" s="158"/>
      <c r="E268" s="145"/>
      <c r="F268" s="32"/>
      <c r="G268" s="33"/>
    </row>
    <row r="269" spans="1:7" s="34" customFormat="1" ht="19.149999999999999" customHeight="1">
      <c r="A269" s="148"/>
      <c r="B269" s="148"/>
      <c r="C269" s="157"/>
      <c r="D269" s="158"/>
      <c r="E269" s="145"/>
      <c r="F269" s="32"/>
      <c r="G269" s="33"/>
    </row>
    <row r="270" spans="1:7" s="34" customFormat="1" ht="19.149999999999999" customHeight="1">
      <c r="A270" s="148"/>
      <c r="B270" s="148"/>
      <c r="C270" s="157"/>
      <c r="D270" s="158"/>
      <c r="E270" s="145"/>
      <c r="F270" s="32"/>
      <c r="G270" s="33"/>
    </row>
    <row r="271" spans="1:7" s="34" customFormat="1" ht="19.149999999999999" customHeight="1">
      <c r="A271" s="148"/>
      <c r="B271" s="148"/>
      <c r="C271" s="157"/>
      <c r="D271" s="158"/>
      <c r="E271" s="145"/>
      <c r="F271" s="32"/>
      <c r="G271" s="33"/>
    </row>
    <row r="272" spans="1:7" s="34" customFormat="1" ht="19.149999999999999" customHeight="1">
      <c r="A272" s="148"/>
      <c r="B272" s="148"/>
      <c r="C272" s="157"/>
      <c r="D272" s="158"/>
      <c r="E272" s="145"/>
      <c r="F272" s="32"/>
      <c r="G272" s="33"/>
    </row>
    <row r="273" spans="1:7" s="34" customFormat="1" ht="19.149999999999999" customHeight="1">
      <c r="A273" s="148"/>
      <c r="B273" s="148"/>
      <c r="C273" s="157"/>
      <c r="D273" s="158"/>
      <c r="E273" s="145"/>
      <c r="F273" s="32"/>
      <c r="G273" s="33"/>
    </row>
    <row r="274" spans="1:7" s="34" customFormat="1" ht="19.149999999999999" customHeight="1">
      <c r="A274" s="148"/>
      <c r="B274" s="148"/>
      <c r="C274" s="157"/>
      <c r="D274" s="158"/>
      <c r="E274" s="145"/>
      <c r="F274" s="32"/>
      <c r="G274" s="33"/>
    </row>
    <row r="275" spans="1:7" s="34" customFormat="1" ht="19.149999999999999" customHeight="1">
      <c r="A275" s="148"/>
      <c r="B275" s="148"/>
      <c r="C275" s="157"/>
      <c r="D275" s="158"/>
      <c r="E275" s="145"/>
      <c r="F275" s="32"/>
      <c r="G275" s="33"/>
    </row>
    <row r="276" spans="1:7" s="34" customFormat="1" ht="19.149999999999999" customHeight="1">
      <c r="A276" s="182" t="s">
        <v>132</v>
      </c>
      <c r="B276" s="173"/>
      <c r="C276" s="175"/>
      <c r="D276" s="183"/>
      <c r="E276" s="145"/>
      <c r="F276" s="32"/>
      <c r="G276" s="33"/>
    </row>
    <row r="277" spans="1:7" s="34" customFormat="1" ht="19.149999999999999" customHeight="1">
      <c r="A277" s="178" t="s">
        <v>161</v>
      </c>
      <c r="B277" s="179"/>
      <c r="C277" s="184" t="s">
        <v>86</v>
      </c>
      <c r="D277" s="185">
        <v>1</v>
      </c>
      <c r="E277" s="145"/>
      <c r="F277" s="32"/>
      <c r="G277" s="33"/>
    </row>
    <row r="278" spans="1:7" s="34" customFormat="1" ht="19.149999999999999" customHeight="1">
      <c r="A278" s="187" t="s">
        <v>162</v>
      </c>
      <c r="B278" s="186"/>
      <c r="C278" s="184" t="s">
        <v>86</v>
      </c>
      <c r="D278" s="185">
        <v>1</v>
      </c>
      <c r="E278" s="145"/>
      <c r="F278" s="32"/>
      <c r="G278" s="33"/>
    </row>
    <row r="279" spans="1:7" s="34" customFormat="1" ht="19.149999999999999" customHeight="1">
      <c r="A279" s="187" t="s">
        <v>163</v>
      </c>
      <c r="B279" s="186"/>
      <c r="C279" s="184" t="s">
        <v>86</v>
      </c>
      <c r="D279" s="185">
        <v>1</v>
      </c>
      <c r="E279" s="145"/>
      <c r="F279" s="32"/>
      <c r="G279" s="33"/>
    </row>
    <row r="280" spans="1:7" s="34" customFormat="1" ht="19.149999999999999" customHeight="1">
      <c r="A280" s="187"/>
      <c r="B280" s="186"/>
      <c r="C280" s="184"/>
      <c r="D280" s="185"/>
      <c r="E280" s="145"/>
      <c r="F280" s="32"/>
      <c r="G280" s="33"/>
    </row>
    <row r="281" spans="1:7" s="34" customFormat="1" ht="19.149999999999999" customHeight="1">
      <c r="A281" s="187"/>
      <c r="B281" s="186"/>
      <c r="C281" s="184"/>
      <c r="D281" s="185"/>
      <c r="E281" s="145"/>
      <c r="F281" s="32"/>
      <c r="G281" s="33"/>
    </row>
    <row r="282" spans="1:7" s="34" customFormat="1" ht="19.149999999999999" customHeight="1">
      <c r="A282" s="187"/>
      <c r="B282" s="186"/>
      <c r="C282" s="184"/>
      <c r="D282" s="185"/>
      <c r="E282" s="145"/>
      <c r="F282" s="32"/>
      <c r="G282" s="33"/>
    </row>
    <row r="283" spans="1:7" s="34" customFormat="1" ht="19.149999999999999" customHeight="1">
      <c r="A283" s="187"/>
      <c r="B283" s="186"/>
      <c r="C283" s="184"/>
      <c r="D283" s="185"/>
      <c r="E283" s="145"/>
      <c r="F283" s="32"/>
      <c r="G283" s="33"/>
    </row>
    <row r="284" spans="1:7" s="34" customFormat="1" ht="19.149999999999999" customHeight="1">
      <c r="A284" s="187"/>
      <c r="B284" s="186"/>
      <c r="C284" s="184"/>
      <c r="D284" s="185"/>
      <c r="E284" s="145"/>
      <c r="F284" s="32"/>
      <c r="G284" s="33"/>
    </row>
    <row r="285" spans="1:7" s="34" customFormat="1" ht="19.149999999999999" customHeight="1">
      <c r="A285" s="148"/>
      <c r="B285" s="148"/>
      <c r="C285" s="158"/>
      <c r="D285" s="158"/>
      <c r="E285" s="145"/>
      <c r="F285" s="32"/>
      <c r="G285" s="33"/>
    </row>
    <row r="286" spans="1:7" s="34" customFormat="1" ht="19.149999999999999" customHeight="1">
      <c r="A286" s="148"/>
      <c r="B286" s="148"/>
      <c r="C286" s="157"/>
      <c r="D286" s="158"/>
      <c r="E286" s="145"/>
      <c r="F286" s="32"/>
      <c r="G286" s="33"/>
    </row>
    <row r="287" spans="1:7" s="34" customFormat="1" ht="19.149999999999999" customHeight="1">
      <c r="A287" s="148"/>
      <c r="B287" s="148"/>
      <c r="C287" s="157"/>
      <c r="D287" s="158"/>
      <c r="E287" s="145"/>
      <c r="F287" s="32"/>
      <c r="G287" s="33"/>
    </row>
    <row r="288" spans="1:7" s="34" customFormat="1" ht="19.149999999999999" customHeight="1">
      <c r="A288" s="148"/>
      <c r="B288" s="148"/>
      <c r="C288" s="157"/>
      <c r="D288" s="158"/>
      <c r="E288" s="145"/>
      <c r="F288" s="32"/>
      <c r="G288" s="33"/>
    </row>
    <row r="289" spans="1:7" s="34" customFormat="1" ht="19.149999999999999" customHeight="1">
      <c r="A289" s="148"/>
      <c r="B289" s="148"/>
      <c r="C289" s="157"/>
      <c r="D289" s="158"/>
      <c r="E289" s="145"/>
      <c r="F289" s="32"/>
      <c r="G289" s="33"/>
    </row>
    <row r="290" spans="1:7" s="34" customFormat="1" ht="19.149999999999999" customHeight="1">
      <c r="A290" s="148"/>
      <c r="B290" s="148"/>
      <c r="C290" s="157"/>
      <c r="D290" s="158"/>
      <c r="E290" s="145"/>
      <c r="F290" s="32"/>
      <c r="G290" s="33"/>
    </row>
    <row r="291" spans="1:7" s="34" customFormat="1" ht="19.149999999999999" customHeight="1">
      <c r="A291" s="148"/>
      <c r="B291" s="148"/>
      <c r="C291" s="157"/>
      <c r="D291" s="158"/>
      <c r="E291" s="145"/>
      <c r="F291" s="32"/>
      <c r="G291" s="33"/>
    </row>
    <row r="292" spans="1:7" s="34" customFormat="1" ht="19.149999999999999" customHeight="1">
      <c r="A292" s="148"/>
      <c r="B292" s="148"/>
      <c r="C292" s="157"/>
      <c r="D292" s="158"/>
      <c r="E292" s="145"/>
      <c r="F292" s="32"/>
      <c r="G292" s="33"/>
    </row>
    <row r="293" spans="1:7" s="34" customFormat="1" ht="19.149999999999999" customHeight="1">
      <c r="A293" s="148"/>
      <c r="B293" s="148"/>
      <c r="C293" s="157"/>
      <c r="D293" s="158"/>
      <c r="E293" s="145"/>
      <c r="F293" s="32"/>
      <c r="G293" s="33"/>
    </row>
    <row r="294" spans="1:7" s="34" customFormat="1" ht="19.149999999999999" customHeight="1">
      <c r="A294" s="148"/>
      <c r="B294" s="148"/>
      <c r="C294" s="157"/>
      <c r="D294" s="158"/>
      <c r="E294" s="145"/>
      <c r="F294" s="32"/>
      <c r="G294" s="33"/>
    </row>
    <row r="295" spans="1:7" s="34" customFormat="1" ht="19.149999999999999" customHeight="1">
      <c r="A295" s="148"/>
      <c r="B295" s="148"/>
      <c r="C295" s="157"/>
      <c r="D295" s="158"/>
      <c r="E295" s="145"/>
      <c r="F295" s="32"/>
      <c r="G295" s="33"/>
    </row>
    <row r="296" spans="1:7" s="34" customFormat="1" ht="19.149999999999999" customHeight="1">
      <c r="A296" s="148"/>
      <c r="B296" s="148"/>
      <c r="C296" s="157"/>
      <c r="D296" s="158"/>
      <c r="E296" s="145"/>
      <c r="F296" s="32"/>
      <c r="G296" s="33"/>
    </row>
    <row r="297" spans="1:7" s="34" customFormat="1" ht="19.149999999999999" customHeight="1">
      <c r="A297" s="148"/>
      <c r="B297" s="148"/>
      <c r="C297" s="157"/>
      <c r="D297" s="158"/>
      <c r="E297" s="145"/>
      <c r="F297" s="32"/>
      <c r="G297" s="33"/>
    </row>
    <row r="298" spans="1:7" s="34" customFormat="1" ht="19.149999999999999" customHeight="1">
      <c r="A298" s="148"/>
      <c r="B298" s="148"/>
      <c r="C298" s="157"/>
      <c r="D298" s="158"/>
      <c r="E298" s="145"/>
      <c r="F298" s="32"/>
      <c r="G298" s="33"/>
    </row>
    <row r="299" spans="1:7" s="34" customFormat="1" ht="19.149999999999999" customHeight="1">
      <c r="A299" s="148"/>
      <c r="B299" s="148"/>
      <c r="C299" s="157"/>
      <c r="D299" s="158"/>
      <c r="E299" s="145"/>
      <c r="F299" s="32"/>
      <c r="G299" s="33"/>
    </row>
    <row r="300" spans="1:7" s="34" customFormat="1" ht="19.149999999999999" customHeight="1">
      <c r="A300" s="148"/>
      <c r="B300" s="148"/>
      <c r="C300" s="157"/>
      <c r="D300" s="158"/>
      <c r="E300" s="145"/>
      <c r="F300" s="32"/>
      <c r="G300" s="33"/>
    </row>
    <row r="301" spans="1:7" s="34" customFormat="1" ht="19.149999999999999" customHeight="1">
      <c r="A301" s="148"/>
      <c r="B301" s="148"/>
      <c r="C301" s="157"/>
      <c r="D301" s="158"/>
      <c r="E301" s="145"/>
      <c r="F301" s="32"/>
      <c r="G301" s="33"/>
    </row>
    <row r="302" spans="1:7" s="34" customFormat="1" ht="19.149999999999999" customHeight="1">
      <c r="A302" s="182" t="s">
        <v>132</v>
      </c>
      <c r="B302" s="173"/>
      <c r="C302" s="175"/>
      <c r="D302" s="183"/>
      <c r="E302" s="145"/>
      <c r="F302" s="32"/>
      <c r="G302" s="33"/>
    </row>
    <row r="303" spans="1:7" s="34" customFormat="1" ht="19.149999999999999" customHeight="1">
      <c r="A303" s="151" t="s">
        <v>46</v>
      </c>
      <c r="B303" s="177" t="s">
        <v>167</v>
      </c>
      <c r="C303" s="152" t="s">
        <v>6</v>
      </c>
      <c r="D303" s="153">
        <v>1</v>
      </c>
      <c r="E303" s="145"/>
      <c r="F303" s="32"/>
      <c r="G303" s="33"/>
    </row>
    <row r="304" spans="1:7" s="34" customFormat="1" ht="19.149999999999999" customHeight="1">
      <c r="A304" s="151" t="s">
        <v>47</v>
      </c>
      <c r="B304" s="177" t="s">
        <v>799</v>
      </c>
      <c r="C304" s="152" t="s">
        <v>6</v>
      </c>
      <c r="D304" s="153">
        <v>1</v>
      </c>
      <c r="E304" s="145"/>
      <c r="F304" s="32"/>
      <c r="G304" s="33"/>
    </row>
    <row r="305" spans="1:7" s="34" customFormat="1" ht="19.149999999999999" customHeight="1">
      <c r="A305" s="151" t="s">
        <v>48</v>
      </c>
      <c r="B305" s="177" t="s">
        <v>108</v>
      </c>
      <c r="C305" s="152" t="s">
        <v>6</v>
      </c>
      <c r="D305" s="153">
        <v>1</v>
      </c>
      <c r="E305" s="145"/>
      <c r="F305" s="32"/>
      <c r="G305" s="33"/>
    </row>
    <row r="306" spans="1:7" s="34" customFormat="1" ht="19.149999999999999" customHeight="1">
      <c r="A306" s="151" t="s">
        <v>49</v>
      </c>
      <c r="B306" s="177" t="s">
        <v>137</v>
      </c>
      <c r="C306" s="152" t="s">
        <v>6</v>
      </c>
      <c r="D306" s="153">
        <v>1</v>
      </c>
      <c r="E306" s="145"/>
      <c r="F306" s="32"/>
      <c r="G306" s="33"/>
    </row>
    <row r="307" spans="1:7" s="34" customFormat="1" ht="19.149999999999999" customHeight="1">
      <c r="A307" s="151" t="s">
        <v>97</v>
      </c>
      <c r="B307" s="177" t="s">
        <v>788</v>
      </c>
      <c r="C307" s="152" t="s">
        <v>86</v>
      </c>
      <c r="D307" s="153">
        <v>1</v>
      </c>
      <c r="E307" s="145"/>
      <c r="F307" s="32"/>
      <c r="G307" s="33"/>
    </row>
    <row r="308" spans="1:7" s="34" customFormat="1" ht="19.149999999999999" customHeight="1">
      <c r="A308" s="151" t="s">
        <v>98</v>
      </c>
      <c r="B308" s="177" t="s">
        <v>109</v>
      </c>
      <c r="C308" s="152" t="s">
        <v>86</v>
      </c>
      <c r="D308" s="153">
        <v>1</v>
      </c>
      <c r="E308" s="145"/>
      <c r="F308" s="32"/>
      <c r="G308" s="33"/>
    </row>
    <row r="309" spans="1:7" s="34" customFormat="1" ht="19.149999999999999" customHeight="1">
      <c r="A309" s="151" t="s">
        <v>99</v>
      </c>
      <c r="B309" s="177" t="s">
        <v>789</v>
      </c>
      <c r="C309" s="152" t="s">
        <v>6</v>
      </c>
      <c r="D309" s="153">
        <v>1</v>
      </c>
      <c r="E309" s="145"/>
      <c r="F309" s="32"/>
      <c r="G309" s="33"/>
    </row>
    <row r="310" spans="1:7" s="34" customFormat="1" ht="19.149999999999999" customHeight="1">
      <c r="A310" s="151" t="s">
        <v>100</v>
      </c>
      <c r="B310" s="177" t="s">
        <v>101</v>
      </c>
      <c r="C310" s="152" t="s">
        <v>6</v>
      </c>
      <c r="D310" s="153">
        <v>1</v>
      </c>
      <c r="E310" s="145"/>
      <c r="F310" s="32"/>
      <c r="G310" s="33"/>
    </row>
    <row r="311" spans="1:7" s="34" customFormat="1" ht="19.149999999999999" customHeight="1">
      <c r="A311" s="151" t="s">
        <v>66</v>
      </c>
      <c r="B311" s="177" t="s">
        <v>138</v>
      </c>
      <c r="C311" s="152" t="s">
        <v>6</v>
      </c>
      <c r="D311" s="153">
        <v>1</v>
      </c>
      <c r="E311" s="145"/>
      <c r="F311" s="32"/>
      <c r="G311" s="33"/>
    </row>
    <row r="312" spans="1:7" s="34" customFormat="1" ht="19.149999999999999" customHeight="1">
      <c r="A312" s="151" t="s">
        <v>139</v>
      </c>
      <c r="B312" s="177"/>
      <c r="C312" s="152" t="s">
        <v>6</v>
      </c>
      <c r="D312" s="153">
        <v>1</v>
      </c>
      <c r="E312" s="145"/>
      <c r="F312" s="32"/>
      <c r="G312" s="33"/>
    </row>
    <row r="313" spans="1:7" s="34" customFormat="1" ht="19.149999999999999" customHeight="1">
      <c r="A313" s="151" t="s">
        <v>140</v>
      </c>
      <c r="B313" s="177"/>
      <c r="C313" s="152" t="s">
        <v>6</v>
      </c>
      <c r="D313" s="153">
        <v>1</v>
      </c>
      <c r="E313" s="145"/>
      <c r="F313" s="32"/>
      <c r="G313" s="33"/>
    </row>
    <row r="314" spans="1:7" s="34" customFormat="1" ht="19.149999999999999" customHeight="1">
      <c r="A314" s="151" t="s">
        <v>142</v>
      </c>
      <c r="B314" s="177"/>
      <c r="C314" s="152" t="s">
        <v>6</v>
      </c>
      <c r="D314" s="153">
        <v>1</v>
      </c>
      <c r="E314" s="145"/>
      <c r="F314" s="32"/>
      <c r="G314" s="33"/>
    </row>
    <row r="315" spans="1:7" s="34" customFormat="1" ht="19.149999999999999" customHeight="1">
      <c r="A315" s="151" t="s">
        <v>50</v>
      </c>
      <c r="B315" s="177" t="s">
        <v>141</v>
      </c>
      <c r="C315" s="152" t="s">
        <v>6</v>
      </c>
      <c r="D315" s="153">
        <v>1</v>
      </c>
      <c r="E315" s="145"/>
      <c r="F315" s="32"/>
      <c r="G315" s="33"/>
    </row>
    <row r="316" spans="1:7" s="34" customFormat="1" ht="19.149999999999999" customHeight="1">
      <c r="A316" s="151" t="s">
        <v>51</v>
      </c>
      <c r="B316" s="177" t="s">
        <v>102</v>
      </c>
      <c r="C316" s="152" t="s">
        <v>6</v>
      </c>
      <c r="D316" s="153">
        <v>1</v>
      </c>
      <c r="E316" s="145"/>
      <c r="F316" s="32"/>
      <c r="G316" s="33"/>
    </row>
    <row r="317" spans="1:7" s="34" customFormat="1" ht="19.149999999999999" customHeight="1">
      <c r="A317" s="151" t="s">
        <v>67</v>
      </c>
      <c r="B317" s="177"/>
      <c r="C317" s="152" t="s">
        <v>6</v>
      </c>
      <c r="D317" s="153">
        <v>1</v>
      </c>
      <c r="E317" s="145"/>
      <c r="F317" s="32"/>
      <c r="G317" s="33"/>
    </row>
    <row r="318" spans="1:7" s="34" customFormat="1" ht="19.149999999999999" customHeight="1">
      <c r="A318" s="151" t="s">
        <v>68</v>
      </c>
      <c r="B318" s="188">
        <v>0.1</v>
      </c>
      <c r="C318" s="152" t="s">
        <v>6</v>
      </c>
      <c r="D318" s="153">
        <v>1</v>
      </c>
      <c r="E318" s="145"/>
      <c r="F318" s="32"/>
      <c r="G318" s="33"/>
    </row>
    <row r="319" spans="1:7" s="34" customFormat="1" ht="19.149999999999999" customHeight="1">
      <c r="A319" s="151" t="s">
        <v>65</v>
      </c>
      <c r="B319" s="177"/>
      <c r="C319" s="152" t="s">
        <v>6</v>
      </c>
      <c r="D319" s="153">
        <v>1</v>
      </c>
      <c r="E319" s="145"/>
      <c r="F319" s="32"/>
      <c r="G319" s="33"/>
    </row>
    <row r="320" spans="1:7" s="34" customFormat="1" ht="19.149999999999999" customHeight="1">
      <c r="A320" s="151"/>
      <c r="B320" s="177"/>
      <c r="C320" s="152"/>
      <c r="D320" s="153"/>
      <c r="E320" s="145"/>
      <c r="F320" s="32"/>
      <c r="G320" s="33"/>
    </row>
    <row r="321" spans="1:7" s="34" customFormat="1" ht="19.149999999999999" customHeight="1">
      <c r="A321" s="151"/>
      <c r="B321" s="177"/>
      <c r="C321" s="152"/>
      <c r="D321" s="153"/>
      <c r="E321" s="145"/>
      <c r="F321" s="32"/>
      <c r="G321" s="33"/>
    </row>
    <row r="322" spans="1:7" s="34" customFormat="1" ht="19.149999999999999" customHeight="1">
      <c r="A322" s="151"/>
      <c r="B322" s="177"/>
      <c r="C322" s="152"/>
      <c r="D322" s="153"/>
      <c r="E322" s="145"/>
      <c r="F322" s="32"/>
      <c r="G322" s="33"/>
    </row>
    <row r="323" spans="1:7" s="34" customFormat="1" ht="19.149999999999999" customHeight="1">
      <c r="A323" s="151"/>
      <c r="B323" s="177"/>
      <c r="C323" s="152"/>
      <c r="D323" s="153"/>
      <c r="E323" s="145"/>
      <c r="F323" s="32"/>
      <c r="G323" s="33"/>
    </row>
    <row r="324" spans="1:7" s="34" customFormat="1" ht="19.149999999999999" customHeight="1">
      <c r="A324" s="176"/>
      <c r="B324" s="177"/>
      <c r="C324" s="152"/>
      <c r="D324" s="153"/>
      <c r="E324" s="145"/>
      <c r="F324" s="32"/>
      <c r="G324" s="33"/>
    </row>
    <row r="325" spans="1:7" s="34" customFormat="1" ht="19.149999999999999" customHeight="1">
      <c r="A325" s="176"/>
      <c r="B325" s="177"/>
      <c r="C325" s="152"/>
      <c r="D325" s="153"/>
      <c r="E325" s="145"/>
      <c r="F325" s="32"/>
      <c r="G325" s="33"/>
    </row>
    <row r="326" spans="1:7" s="34" customFormat="1" ht="19.149999999999999" customHeight="1">
      <c r="A326" s="176"/>
      <c r="B326" s="177"/>
      <c r="C326" s="152"/>
      <c r="D326" s="153"/>
      <c r="E326" s="145"/>
      <c r="F326" s="32"/>
      <c r="G326" s="33"/>
    </row>
    <row r="327" spans="1:7" s="34" customFormat="1" ht="19.149999999999999" customHeight="1">
      <c r="A327" s="176"/>
      <c r="B327" s="177"/>
      <c r="C327" s="152"/>
      <c r="D327" s="153"/>
      <c r="E327" s="145"/>
      <c r="F327" s="32"/>
      <c r="G327" s="33"/>
    </row>
  </sheetData>
  <mergeCells count="1">
    <mergeCell ref="A1:G1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9" fitToHeight="0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0"/>
  <sheetViews>
    <sheetView view="pageBreakPreview" zoomScale="85" zoomScaleNormal="130" zoomScaleSheetLayoutView="85" workbookViewId="0">
      <selection activeCell="E11" sqref="E11"/>
    </sheetView>
  </sheetViews>
  <sheetFormatPr defaultRowHeight="13.5"/>
  <cols>
    <col min="1" max="1" width="24" style="235" customWidth="1"/>
    <col min="2" max="2" width="20.88671875" style="235" customWidth="1"/>
    <col min="3" max="3" width="10.77734375" style="237" customWidth="1"/>
    <col min="4" max="4" width="10.77734375" style="238" customWidth="1"/>
    <col min="5" max="8" width="20.77734375" style="238" customWidth="1"/>
    <col min="9" max="9" width="15.77734375" style="235" customWidth="1"/>
    <col min="10" max="11" width="8.77734375" style="235" customWidth="1"/>
    <col min="12" max="12" width="8.88671875" style="235" customWidth="1"/>
    <col min="13" max="16384" width="8.88671875" style="235"/>
  </cols>
  <sheetData>
    <row r="1" spans="1:12" ht="27">
      <c r="A1" s="403" t="s">
        <v>817</v>
      </c>
      <c r="B1" s="403"/>
      <c r="C1" s="403"/>
      <c r="D1" s="403"/>
      <c r="E1" s="403"/>
      <c r="F1" s="403"/>
      <c r="G1" s="403"/>
      <c r="H1" s="403"/>
      <c r="I1" s="403"/>
      <c r="J1" s="293"/>
      <c r="K1" s="293"/>
      <c r="L1" s="255"/>
    </row>
    <row r="2" spans="1:12" s="236" customFormat="1" ht="20.25">
      <c r="A2" s="404" t="str">
        <f>"[공사명]  "&amp;'0. 설계서'!C6</f>
        <v>[공사명]  부산역 4층(부고열소) 내부개수에 따른 전기공사</v>
      </c>
      <c r="B2" s="404"/>
      <c r="C2" s="404"/>
      <c r="D2" s="404"/>
      <c r="E2" s="404"/>
      <c r="F2" s="404"/>
      <c r="G2" s="404"/>
      <c r="H2" s="404"/>
      <c r="I2" s="404"/>
      <c r="J2" s="256"/>
      <c r="K2" s="256"/>
      <c r="L2" s="256"/>
    </row>
    <row r="3" spans="1:12" ht="24.95" customHeight="1">
      <c r="A3" s="405" t="s">
        <v>697</v>
      </c>
      <c r="B3" s="405" t="s">
        <v>698</v>
      </c>
      <c r="C3" s="405" t="s">
        <v>3</v>
      </c>
      <c r="D3" s="402" t="s">
        <v>5</v>
      </c>
      <c r="E3" s="402" t="s">
        <v>693</v>
      </c>
      <c r="F3" s="402"/>
      <c r="G3" s="402" t="s">
        <v>114</v>
      </c>
      <c r="H3" s="402"/>
      <c r="I3" s="405" t="s">
        <v>694</v>
      </c>
      <c r="J3" s="258"/>
      <c r="K3" s="258"/>
      <c r="L3" s="258"/>
    </row>
    <row r="4" spans="1:12" ht="24.95" customHeight="1">
      <c r="A4" s="405"/>
      <c r="B4" s="405"/>
      <c r="C4" s="405"/>
      <c r="D4" s="402"/>
      <c r="E4" s="257" t="s">
        <v>695</v>
      </c>
      <c r="F4" s="257" t="s">
        <v>696</v>
      </c>
      <c r="G4" s="257" t="s">
        <v>695</v>
      </c>
      <c r="H4" s="257" t="s">
        <v>696</v>
      </c>
      <c r="I4" s="405"/>
      <c r="J4" s="258"/>
      <c r="K4" s="258"/>
      <c r="L4" s="258"/>
    </row>
    <row r="5" spans="1:12" s="236" customFormat="1" ht="24.95" customHeight="1">
      <c r="A5" s="396" t="s">
        <v>689</v>
      </c>
      <c r="B5" s="397"/>
      <c r="C5" s="398"/>
      <c r="D5" s="259"/>
      <c r="E5" s="259"/>
      <c r="F5" s="259"/>
      <c r="G5" s="259"/>
      <c r="H5" s="259"/>
      <c r="I5" s="260"/>
      <c r="J5" s="261"/>
      <c r="K5" s="261"/>
      <c r="L5" s="261"/>
    </row>
    <row r="6" spans="1:12" ht="24.95" customHeight="1">
      <c r="A6" s="399" t="s">
        <v>699</v>
      </c>
      <c r="B6" s="400"/>
      <c r="C6" s="401"/>
      <c r="D6" s="262"/>
      <c r="E6" s="262"/>
      <c r="F6" s="262"/>
      <c r="G6" s="262"/>
      <c r="H6" s="262"/>
      <c r="I6" s="263"/>
      <c r="J6" s="258"/>
      <c r="K6" s="258"/>
      <c r="L6" s="258"/>
    </row>
    <row r="7" spans="1:12" ht="24.95" customHeight="1">
      <c r="A7" s="399" t="s">
        <v>700</v>
      </c>
      <c r="B7" s="400"/>
      <c r="C7" s="401"/>
      <c r="D7" s="262"/>
      <c r="E7" s="262"/>
      <c r="F7" s="262"/>
      <c r="G7" s="262"/>
      <c r="H7" s="262"/>
      <c r="I7" s="263"/>
      <c r="J7" s="258"/>
      <c r="K7" s="258"/>
      <c r="L7" s="258"/>
    </row>
    <row r="8" spans="1:12" ht="24.95" customHeight="1">
      <c r="A8" s="264" t="s">
        <v>679</v>
      </c>
      <c r="B8" s="264" t="s">
        <v>807</v>
      </c>
      <c r="C8" s="265" t="s">
        <v>75</v>
      </c>
      <c r="D8" s="266">
        <v>1</v>
      </c>
      <c r="E8" s="266"/>
      <c r="F8" s="266">
        <f>TRUNC(D8*E8,0)</f>
        <v>0</v>
      </c>
      <c r="G8" s="266"/>
      <c r="H8" s="266">
        <f>+F8</f>
        <v>0</v>
      </c>
      <c r="I8" s="267" t="s">
        <v>701</v>
      </c>
      <c r="J8" s="258"/>
      <c r="K8" s="258"/>
      <c r="L8" s="258"/>
    </row>
    <row r="9" spans="1:12" ht="24.95" customHeight="1">
      <c r="A9" s="264" t="s">
        <v>679</v>
      </c>
      <c r="B9" s="264" t="s">
        <v>808</v>
      </c>
      <c r="C9" s="265" t="s">
        <v>75</v>
      </c>
      <c r="D9" s="266">
        <v>1</v>
      </c>
      <c r="E9" s="266"/>
      <c r="F9" s="266">
        <f t="shared" ref="F9" si="0">TRUNC(D9*E9,0)</f>
        <v>0</v>
      </c>
      <c r="G9" s="266"/>
      <c r="H9" s="266">
        <f t="shared" ref="H9:H10" si="1">+F9</f>
        <v>0</v>
      </c>
      <c r="I9" s="267" t="s">
        <v>701</v>
      </c>
      <c r="J9" s="258"/>
      <c r="K9" s="258"/>
      <c r="L9" s="258"/>
    </row>
    <row r="10" spans="1:12" ht="24.95" customHeight="1">
      <c r="A10" s="264" t="s">
        <v>682</v>
      </c>
      <c r="B10" s="264" t="s">
        <v>702</v>
      </c>
      <c r="C10" s="265" t="s">
        <v>75</v>
      </c>
      <c r="D10" s="266">
        <v>1</v>
      </c>
      <c r="E10" s="266"/>
      <c r="F10" s="266">
        <f>TRUNC(D10*E10,0)</f>
        <v>0</v>
      </c>
      <c r="G10" s="266"/>
      <c r="H10" s="266">
        <f t="shared" si="1"/>
        <v>0</v>
      </c>
      <c r="I10" s="267" t="s">
        <v>701</v>
      </c>
      <c r="J10" s="258"/>
      <c r="K10" s="258"/>
      <c r="L10" s="258"/>
    </row>
    <row r="11" spans="1:12" ht="24.95" customHeight="1">
      <c r="A11" s="264"/>
      <c r="B11" s="264"/>
      <c r="C11" s="265"/>
      <c r="D11" s="266"/>
      <c r="E11" s="266"/>
      <c r="F11" s="266"/>
      <c r="G11" s="266"/>
      <c r="H11" s="266"/>
      <c r="I11" s="267"/>
      <c r="J11" s="258"/>
      <c r="K11" s="258"/>
      <c r="L11" s="258"/>
    </row>
    <row r="12" spans="1:12" ht="24.95" customHeight="1">
      <c r="A12" s="264"/>
      <c r="B12" s="264"/>
      <c r="C12" s="265"/>
      <c r="D12" s="266"/>
      <c r="E12" s="266"/>
      <c r="F12" s="266"/>
      <c r="G12" s="266"/>
      <c r="H12" s="266"/>
      <c r="I12" s="267"/>
      <c r="J12" s="258"/>
      <c r="K12" s="258"/>
      <c r="L12" s="258"/>
    </row>
    <row r="13" spans="1:12" ht="24.95" customHeight="1">
      <c r="A13" s="264"/>
      <c r="B13" s="264"/>
      <c r="C13" s="265"/>
      <c r="D13" s="266"/>
      <c r="E13" s="266"/>
      <c r="F13" s="266"/>
      <c r="G13" s="266"/>
      <c r="H13" s="266"/>
      <c r="I13" s="267"/>
      <c r="J13" s="258"/>
      <c r="K13" s="258"/>
      <c r="L13" s="258"/>
    </row>
    <row r="14" spans="1:12" ht="24.95" customHeight="1">
      <c r="A14" s="264"/>
      <c r="B14" s="264"/>
      <c r="C14" s="265"/>
      <c r="D14" s="266"/>
      <c r="E14" s="266"/>
      <c r="F14" s="266"/>
      <c r="G14" s="266"/>
      <c r="H14" s="266"/>
      <c r="I14" s="267"/>
      <c r="J14" s="258"/>
      <c r="K14" s="258"/>
      <c r="L14" s="258"/>
    </row>
    <row r="15" spans="1:12" ht="24.95" customHeight="1">
      <c r="A15" s="264"/>
      <c r="B15" s="264"/>
      <c r="C15" s="265"/>
      <c r="D15" s="266"/>
      <c r="E15" s="266"/>
      <c r="F15" s="266"/>
      <c r="G15" s="266"/>
      <c r="H15" s="266"/>
      <c r="I15" s="267"/>
      <c r="J15" s="258"/>
      <c r="K15" s="258"/>
      <c r="L15" s="258"/>
    </row>
    <row r="16" spans="1:12" ht="24.95" customHeight="1">
      <c r="A16" s="264"/>
      <c r="B16" s="264"/>
      <c r="C16" s="265"/>
      <c r="D16" s="266"/>
      <c r="E16" s="266"/>
      <c r="F16" s="266"/>
      <c r="G16" s="266"/>
      <c r="H16" s="266"/>
      <c r="I16" s="267"/>
      <c r="J16" s="258"/>
      <c r="K16" s="258"/>
      <c r="L16" s="258"/>
    </row>
    <row r="17" spans="1:12" ht="24.95" customHeight="1">
      <c r="A17" s="264"/>
      <c r="B17" s="264"/>
      <c r="C17" s="265"/>
      <c r="D17" s="266"/>
      <c r="E17" s="266"/>
      <c r="F17" s="266"/>
      <c r="G17" s="266"/>
      <c r="H17" s="266"/>
      <c r="I17" s="267"/>
      <c r="J17" s="258"/>
      <c r="K17" s="258"/>
      <c r="L17" s="258"/>
    </row>
    <row r="18" spans="1:12" ht="24.95" customHeight="1">
      <c r="A18" s="264"/>
      <c r="B18" s="264"/>
      <c r="C18" s="265"/>
      <c r="D18" s="266"/>
      <c r="E18" s="266"/>
      <c r="F18" s="266"/>
      <c r="G18" s="266"/>
      <c r="H18" s="266"/>
      <c r="I18" s="267"/>
      <c r="J18" s="258"/>
      <c r="K18" s="258"/>
      <c r="L18" s="258"/>
    </row>
    <row r="19" spans="1:12" ht="24.95" customHeight="1">
      <c r="A19" s="264"/>
      <c r="B19" s="264"/>
      <c r="C19" s="265"/>
      <c r="D19" s="266"/>
      <c r="E19" s="266"/>
      <c r="F19" s="266"/>
      <c r="G19" s="266"/>
      <c r="H19" s="266"/>
      <c r="I19" s="267"/>
      <c r="J19" s="258"/>
      <c r="K19" s="258"/>
      <c r="L19" s="258"/>
    </row>
    <row r="20" spans="1:12" ht="24.95" customHeight="1">
      <c r="A20" s="264"/>
      <c r="B20" s="264"/>
      <c r="C20" s="265"/>
      <c r="D20" s="266"/>
      <c r="E20" s="266"/>
      <c r="F20" s="266"/>
      <c r="G20" s="266"/>
      <c r="H20" s="266"/>
      <c r="I20" s="267"/>
      <c r="J20" s="258"/>
      <c r="K20" s="258"/>
      <c r="L20" s="258"/>
    </row>
    <row r="21" spans="1:12" ht="24.95" customHeight="1">
      <c r="A21" s="264"/>
      <c r="B21" s="264"/>
      <c r="C21" s="265"/>
      <c r="D21" s="266"/>
      <c r="E21" s="266"/>
      <c r="F21" s="266"/>
      <c r="G21" s="266"/>
      <c r="H21" s="266"/>
      <c r="I21" s="267"/>
      <c r="J21" s="258"/>
      <c r="K21" s="258"/>
      <c r="L21" s="258"/>
    </row>
    <row r="22" spans="1:12" ht="24.95" customHeight="1">
      <c r="A22" s="264"/>
      <c r="B22" s="264"/>
      <c r="C22" s="265"/>
      <c r="D22" s="266"/>
      <c r="E22" s="266"/>
      <c r="F22" s="266"/>
      <c r="G22" s="266"/>
      <c r="H22" s="266"/>
      <c r="I22" s="267"/>
      <c r="J22" s="258"/>
      <c r="K22" s="258"/>
      <c r="L22" s="258"/>
    </row>
    <row r="23" spans="1:12" ht="24.95" customHeight="1">
      <c r="A23" s="264"/>
      <c r="B23" s="264"/>
      <c r="C23" s="265"/>
      <c r="D23" s="266"/>
      <c r="E23" s="266"/>
      <c r="F23" s="266"/>
      <c r="G23" s="266"/>
      <c r="H23" s="266"/>
      <c r="I23" s="267"/>
      <c r="J23" s="258"/>
      <c r="K23" s="258"/>
      <c r="L23" s="258"/>
    </row>
    <row r="24" spans="1:12" ht="24.95" customHeight="1">
      <c r="A24" s="264"/>
      <c r="B24" s="264"/>
      <c r="C24" s="265"/>
      <c r="D24" s="266"/>
      <c r="E24" s="266"/>
      <c r="F24" s="266"/>
      <c r="G24" s="266"/>
      <c r="H24" s="266"/>
      <c r="I24" s="267"/>
      <c r="J24" s="258"/>
      <c r="K24" s="258"/>
      <c r="L24" s="258"/>
    </row>
    <row r="25" spans="1:12" ht="24.95" customHeight="1">
      <c r="A25" s="264"/>
      <c r="B25" s="264"/>
      <c r="C25" s="265"/>
      <c r="D25" s="266"/>
      <c r="E25" s="266"/>
      <c r="F25" s="266"/>
      <c r="G25" s="266"/>
      <c r="H25" s="266"/>
      <c r="I25" s="267"/>
      <c r="J25" s="258"/>
      <c r="K25" s="258"/>
      <c r="L25" s="258"/>
    </row>
    <row r="26" spans="1:12" ht="24.95" customHeight="1">
      <c r="A26" s="268" t="s">
        <v>703</v>
      </c>
      <c r="B26" s="268"/>
      <c r="C26" s="269"/>
      <c r="D26" s="270"/>
      <c r="E26" s="270"/>
      <c r="F26" s="270">
        <f>SUM(F8:F25)</f>
        <v>0</v>
      </c>
      <c r="G26" s="270"/>
      <c r="H26" s="271">
        <f>SUM(H8:H25)</f>
        <v>0</v>
      </c>
      <c r="I26" s="270"/>
      <c r="J26" s="258"/>
      <c r="K26" s="258"/>
      <c r="L26" s="258"/>
    </row>
    <row r="27" spans="1:12" ht="24.95" customHeight="1">
      <c r="A27" s="272"/>
      <c r="B27" s="273"/>
      <c r="C27" s="274"/>
      <c r="D27" s="270"/>
      <c r="E27" s="270"/>
      <c r="F27" s="270"/>
      <c r="G27" s="270"/>
      <c r="H27" s="271"/>
      <c r="I27" s="270"/>
      <c r="J27" s="258"/>
      <c r="K27" s="258"/>
      <c r="L27" s="258"/>
    </row>
    <row r="28" spans="1:12">
      <c r="A28" s="255"/>
      <c r="B28" s="255"/>
      <c r="C28" s="275"/>
      <c r="D28" s="276"/>
      <c r="E28" s="276"/>
      <c r="F28" s="276"/>
      <c r="G28" s="276"/>
      <c r="H28" s="276"/>
      <c r="I28" s="255"/>
      <c r="J28" s="255"/>
      <c r="K28" s="255"/>
      <c r="L28" s="255"/>
    </row>
    <row r="29" spans="1:12">
      <c r="A29" s="255"/>
      <c r="B29" s="255"/>
      <c r="C29" s="275"/>
      <c r="D29" s="276"/>
      <c r="E29" s="276"/>
      <c r="F29" s="276"/>
      <c r="G29" s="276"/>
      <c r="H29" s="276"/>
      <c r="I29" s="255"/>
      <c r="J29" s="255"/>
      <c r="K29" s="255"/>
      <c r="L29" s="255"/>
    </row>
    <row r="30" spans="1:12">
      <c r="A30" s="255"/>
      <c r="B30" s="255"/>
      <c r="C30" s="275"/>
      <c r="D30" s="276"/>
      <c r="E30" s="276"/>
      <c r="F30" s="276"/>
      <c r="G30" s="276"/>
      <c r="H30" s="276"/>
      <c r="I30" s="255"/>
      <c r="J30" s="255"/>
      <c r="K30" s="255"/>
      <c r="L30" s="255"/>
    </row>
  </sheetData>
  <mergeCells count="12">
    <mergeCell ref="G3:H3"/>
    <mergeCell ref="A1:I1"/>
    <mergeCell ref="A2:I2"/>
    <mergeCell ref="I3:I4"/>
    <mergeCell ref="A3:A4"/>
    <mergeCell ref="B3:B4"/>
    <mergeCell ref="C3:C4"/>
    <mergeCell ref="A5:C5"/>
    <mergeCell ref="A6:C6"/>
    <mergeCell ref="A7:C7"/>
    <mergeCell ref="D3:D4"/>
    <mergeCell ref="E3:F3"/>
  </mergeCells>
  <phoneticPr fontId="2" type="noConversion"/>
  <pageMargins left="0.78740157480314965" right="0.59055118110236215" top="0.98425196850393704" bottom="0.59055118110236215" header="0.39370078740157483" footer="0.39370078740157483"/>
  <pageSetup paperSize="9" scale="69" fitToHeight="0" orientation="landscape" r:id="rId1"/>
  <colBreaks count="1" manualBreakCount="1">
    <brk id="15" max="1048575" man="1"/>
  </col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9"/>
  <sheetViews>
    <sheetView view="pageBreakPreview" zoomScaleNormal="100" zoomScaleSheetLayoutView="100" workbookViewId="0">
      <selection activeCell="E12" sqref="E12"/>
    </sheetView>
  </sheetViews>
  <sheetFormatPr defaultRowHeight="13.5"/>
  <cols>
    <col min="1" max="1" width="10.33203125" customWidth="1"/>
    <col min="2" max="2" width="30.77734375" customWidth="1"/>
    <col min="3" max="3" width="6.33203125" customWidth="1"/>
    <col min="4" max="10" width="7.77734375" customWidth="1"/>
    <col min="11" max="11" width="12.44140625" customWidth="1"/>
  </cols>
  <sheetData>
    <row r="1" spans="1:11" ht="26.25">
      <c r="A1" s="406" t="s">
        <v>831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1" ht="21.2" customHeight="1">
      <c r="A2" s="407" t="s">
        <v>52</v>
      </c>
      <c r="B2" s="408" t="s">
        <v>53</v>
      </c>
      <c r="C2" s="407" t="s">
        <v>3</v>
      </c>
      <c r="D2" s="407" t="s">
        <v>54</v>
      </c>
      <c r="E2" s="409" t="s">
        <v>55</v>
      </c>
      <c r="F2" s="409"/>
      <c r="G2" s="409"/>
      <c r="H2" s="409"/>
      <c r="I2" s="409"/>
      <c r="J2" s="409"/>
      <c r="K2" s="407" t="s">
        <v>56</v>
      </c>
    </row>
    <row r="3" spans="1:11" ht="21.2" customHeight="1">
      <c r="A3" s="407"/>
      <c r="B3" s="408"/>
      <c r="C3" s="407"/>
      <c r="D3" s="407"/>
      <c r="E3" s="409" t="s">
        <v>57</v>
      </c>
      <c r="F3" s="135" t="s">
        <v>57</v>
      </c>
      <c r="G3" s="135" t="s">
        <v>57</v>
      </c>
      <c r="H3" s="278" t="s">
        <v>58</v>
      </c>
      <c r="I3" s="135" t="s">
        <v>58</v>
      </c>
      <c r="J3" s="135" t="s">
        <v>58</v>
      </c>
      <c r="K3" s="407"/>
    </row>
    <row r="4" spans="1:11" ht="21.2" customHeight="1">
      <c r="A4" s="407"/>
      <c r="B4" s="408"/>
      <c r="C4" s="407"/>
      <c r="D4" s="407"/>
      <c r="E4" s="409"/>
      <c r="F4" s="67" t="s">
        <v>59</v>
      </c>
      <c r="G4" s="67" t="s">
        <v>60</v>
      </c>
      <c r="H4" s="277" t="s">
        <v>61</v>
      </c>
      <c r="I4" s="67" t="s">
        <v>62</v>
      </c>
      <c r="J4" s="67" t="s">
        <v>63</v>
      </c>
      <c r="K4" s="407"/>
    </row>
    <row r="5" spans="1:11" ht="21.2" customHeight="1">
      <c r="A5" s="14"/>
      <c r="B5" s="15" t="s">
        <v>833</v>
      </c>
      <c r="C5" s="14"/>
      <c r="D5" s="13"/>
      <c r="E5" s="12"/>
      <c r="F5" s="13"/>
      <c r="G5" s="11"/>
      <c r="H5" s="239"/>
      <c r="I5" s="11"/>
      <c r="J5" s="12"/>
      <c r="K5" s="12"/>
    </row>
    <row r="6" spans="1:11" ht="21.2" customHeight="1">
      <c r="A6" s="241"/>
      <c r="B6" s="291" t="s">
        <v>1066</v>
      </c>
      <c r="C6" s="246" t="s">
        <v>806</v>
      </c>
      <c r="D6" s="282">
        <v>107</v>
      </c>
      <c r="E6" s="283"/>
      <c r="F6" s="282"/>
      <c r="G6" s="284"/>
      <c r="H6" s="284">
        <f>D6</f>
        <v>107</v>
      </c>
      <c r="I6" s="248"/>
      <c r="J6" s="247"/>
      <c r="K6" s="247"/>
    </row>
    <row r="7" spans="1:11" ht="21.2" customHeight="1">
      <c r="A7" s="244"/>
      <c r="B7" s="291" t="s">
        <v>1067</v>
      </c>
      <c r="C7" s="246" t="s">
        <v>806</v>
      </c>
      <c r="D7" s="282">
        <v>118</v>
      </c>
      <c r="E7" s="283"/>
      <c r="F7" s="282"/>
      <c r="G7" s="284"/>
      <c r="H7" s="284">
        <f t="shared" ref="H7:H12" si="0">D7</f>
        <v>118</v>
      </c>
      <c r="I7" s="248"/>
      <c r="J7" s="247"/>
      <c r="K7" s="247"/>
    </row>
    <row r="8" spans="1:11" ht="21.2" customHeight="1">
      <c r="A8" s="244"/>
      <c r="B8" s="249" t="s">
        <v>1068</v>
      </c>
      <c r="C8" s="246" t="s">
        <v>806</v>
      </c>
      <c r="D8" s="282">
        <v>6</v>
      </c>
      <c r="E8" s="283"/>
      <c r="F8" s="282"/>
      <c r="G8" s="283"/>
      <c r="H8" s="284">
        <f t="shared" si="0"/>
        <v>6</v>
      </c>
      <c r="I8" s="248"/>
      <c r="J8" s="247"/>
      <c r="K8" s="247"/>
    </row>
    <row r="9" spans="1:11" ht="21.2" customHeight="1">
      <c r="A9" s="244"/>
      <c r="B9" s="249" t="s">
        <v>1069</v>
      </c>
      <c r="C9" s="246" t="s">
        <v>806</v>
      </c>
      <c r="D9" s="282">
        <v>5</v>
      </c>
      <c r="E9" s="283"/>
      <c r="F9" s="282"/>
      <c r="G9" s="284"/>
      <c r="H9" s="284">
        <f t="shared" si="0"/>
        <v>5</v>
      </c>
      <c r="I9" s="248"/>
      <c r="J9" s="247"/>
      <c r="K9" s="247"/>
    </row>
    <row r="10" spans="1:11" ht="21.2" customHeight="1">
      <c r="A10" s="245"/>
      <c r="B10" s="249" t="s">
        <v>1070</v>
      </c>
      <c r="C10" s="246" t="s">
        <v>806</v>
      </c>
      <c r="D10" s="285">
        <v>6</v>
      </c>
      <c r="E10" s="286"/>
      <c r="F10" s="285"/>
      <c r="G10" s="287"/>
      <c r="H10" s="284">
        <f t="shared" si="0"/>
        <v>6</v>
      </c>
      <c r="I10" s="248"/>
      <c r="J10" s="247"/>
      <c r="K10" s="247"/>
    </row>
    <row r="11" spans="1:11" ht="21.2" customHeight="1">
      <c r="A11" s="245"/>
      <c r="B11" s="249" t="s">
        <v>1071</v>
      </c>
      <c r="C11" s="246" t="s">
        <v>806</v>
      </c>
      <c r="D11" s="282">
        <v>3</v>
      </c>
      <c r="E11" s="283"/>
      <c r="F11" s="282"/>
      <c r="G11" s="284"/>
      <c r="H11" s="284">
        <f t="shared" si="0"/>
        <v>3</v>
      </c>
      <c r="I11" s="248"/>
      <c r="J11" s="247"/>
      <c r="K11" s="247"/>
    </row>
    <row r="12" spans="1:11" ht="21.2" customHeight="1">
      <c r="A12" s="245"/>
      <c r="B12" s="249" t="s">
        <v>1168</v>
      </c>
      <c r="C12" s="246" t="s">
        <v>806</v>
      </c>
      <c r="D12" s="288">
        <v>100</v>
      </c>
      <c r="E12" s="289"/>
      <c r="F12" s="288"/>
      <c r="G12" s="290"/>
      <c r="H12" s="284">
        <f t="shared" si="0"/>
        <v>100</v>
      </c>
      <c r="I12" s="11"/>
      <c r="J12" s="12"/>
      <c r="K12" s="12"/>
    </row>
    <row r="13" spans="1:11" ht="21.2" customHeight="1">
      <c r="A13" s="245"/>
      <c r="B13" s="253"/>
      <c r="C13" s="246"/>
      <c r="D13" s="285"/>
      <c r="E13" s="286"/>
      <c r="F13" s="285"/>
      <c r="G13" s="287"/>
      <c r="H13" s="284"/>
      <c r="I13" s="248"/>
      <c r="J13" s="247"/>
      <c r="K13" s="247"/>
    </row>
    <row r="14" spans="1:11" ht="21.2" customHeight="1">
      <c r="A14" s="245"/>
      <c r="B14" s="253"/>
      <c r="C14" s="246"/>
      <c r="D14" s="285"/>
      <c r="E14" s="286"/>
      <c r="F14" s="285"/>
      <c r="G14" s="287"/>
      <c r="H14" s="284"/>
      <c r="I14" s="248"/>
      <c r="J14" s="247"/>
      <c r="K14" s="247"/>
    </row>
    <row r="15" spans="1:11" ht="21.2" customHeight="1">
      <c r="A15" s="245"/>
      <c r="B15" s="253"/>
      <c r="C15" s="254"/>
      <c r="D15" s="250"/>
      <c r="E15" s="251"/>
      <c r="F15" s="250"/>
      <c r="G15" s="252"/>
      <c r="H15" s="251"/>
      <c r="I15" s="248"/>
      <c r="J15" s="247"/>
      <c r="K15" s="247"/>
    </row>
    <row r="16" spans="1:11" ht="21.2" customHeight="1">
      <c r="A16" s="245"/>
      <c r="B16" s="245"/>
      <c r="C16" s="243"/>
      <c r="D16" s="242"/>
      <c r="E16" s="240"/>
      <c r="F16" s="9"/>
      <c r="G16" s="7"/>
      <c r="H16" s="8"/>
      <c r="I16" s="11"/>
      <c r="J16" s="12"/>
      <c r="K16" s="12"/>
    </row>
    <row r="17" spans="1:11" ht="21.2" customHeight="1">
      <c r="A17" s="10"/>
      <c r="B17" s="10"/>
      <c r="C17" s="6"/>
      <c r="D17" s="9"/>
      <c r="E17" s="8"/>
      <c r="F17" s="9"/>
      <c r="G17" s="7"/>
      <c r="H17" s="8"/>
      <c r="I17" s="8"/>
      <c r="J17" s="8"/>
      <c r="K17" s="12"/>
    </row>
    <row r="18" spans="1:11" ht="21.2" customHeight="1">
      <c r="A18" s="10"/>
      <c r="B18" s="10"/>
      <c r="C18" s="6"/>
      <c r="D18" s="9"/>
      <c r="E18" s="8"/>
      <c r="F18" s="9"/>
      <c r="G18" s="7"/>
      <c r="H18" s="8"/>
      <c r="I18" s="8"/>
      <c r="J18" s="8"/>
      <c r="K18" s="12"/>
    </row>
    <row r="19" spans="1:11" ht="21.2" customHeight="1">
      <c r="A19" s="10"/>
      <c r="B19" s="10"/>
      <c r="C19" s="6"/>
      <c r="D19" s="9"/>
      <c r="E19" s="8"/>
      <c r="F19" s="9"/>
      <c r="G19" s="7"/>
      <c r="H19" s="8"/>
      <c r="I19" s="8"/>
      <c r="J19" s="8"/>
      <c r="K19" s="12"/>
    </row>
    <row r="20" spans="1:11" ht="21.2" customHeight="1">
      <c r="A20" s="10"/>
      <c r="B20" s="10"/>
      <c r="C20" s="6"/>
      <c r="D20" s="9"/>
      <c r="E20" s="8"/>
      <c r="F20" s="9"/>
      <c r="G20" s="7"/>
      <c r="H20" s="8"/>
      <c r="I20" s="8"/>
      <c r="J20" s="8"/>
      <c r="K20" s="12"/>
    </row>
    <row r="21" spans="1:11" ht="21.2" customHeight="1">
      <c r="A21" s="10"/>
      <c r="B21" s="10"/>
      <c r="C21" s="6"/>
      <c r="D21" s="9"/>
      <c r="E21" s="8"/>
      <c r="F21" s="9"/>
      <c r="G21" s="7"/>
      <c r="H21" s="8"/>
      <c r="I21" s="8"/>
      <c r="J21" s="8"/>
      <c r="K21" s="12"/>
    </row>
    <row r="22" spans="1:11" ht="21.2" customHeight="1">
      <c r="A22" s="10"/>
      <c r="B22" s="10"/>
      <c r="C22" s="6"/>
      <c r="D22" s="9"/>
      <c r="E22" s="8"/>
      <c r="F22" s="9"/>
      <c r="G22" s="7"/>
      <c r="H22" s="8"/>
      <c r="I22" s="8"/>
      <c r="J22" s="8"/>
      <c r="K22" s="12"/>
    </row>
    <row r="23" spans="1:11" ht="21.2" customHeight="1">
      <c r="A23" s="10"/>
      <c r="B23" s="10"/>
      <c r="C23" s="6"/>
      <c r="D23" s="9"/>
      <c r="E23" s="8"/>
      <c r="F23" s="9"/>
      <c r="G23" s="7"/>
      <c r="H23" s="8"/>
      <c r="I23" s="8"/>
      <c r="J23" s="8"/>
      <c r="K23" s="12"/>
    </row>
    <row r="24" spans="1:11" ht="21.2" customHeight="1">
      <c r="A24" s="10"/>
      <c r="B24" s="10"/>
      <c r="C24" s="6"/>
      <c r="D24" s="9"/>
      <c r="E24" s="5"/>
      <c r="F24" s="9"/>
      <c r="G24" s="4"/>
      <c r="H24" s="5"/>
      <c r="I24" s="5"/>
      <c r="J24" s="5"/>
      <c r="K24" s="3"/>
    </row>
    <row r="25" spans="1:11" ht="21.2" customHeight="1">
      <c r="A25" s="68"/>
      <c r="B25" s="68"/>
      <c r="C25" s="69"/>
      <c r="D25" s="70"/>
      <c r="E25" s="71"/>
      <c r="F25" s="70"/>
      <c r="G25" s="72"/>
      <c r="H25" s="71"/>
      <c r="I25" s="71"/>
      <c r="J25" s="71"/>
      <c r="K25" s="71"/>
    </row>
    <row r="26" spans="1:11" ht="21.2" customHeight="1">
      <c r="A26" s="68"/>
      <c r="B26" s="68"/>
      <c r="C26" s="69"/>
      <c r="D26" s="70"/>
      <c r="E26" s="71"/>
      <c r="F26" s="70"/>
      <c r="G26" s="72"/>
      <c r="H26" s="71"/>
      <c r="I26" s="71"/>
      <c r="J26" s="71"/>
      <c r="K26" s="71"/>
    </row>
    <row r="27" spans="1:11" ht="21.2" customHeight="1">
      <c r="A27" s="90"/>
      <c r="B27" s="90"/>
      <c r="C27" s="91"/>
      <c r="D27" s="92"/>
      <c r="E27" s="71"/>
      <c r="F27" s="92"/>
      <c r="G27" s="72"/>
      <c r="H27" s="71"/>
      <c r="I27" s="71"/>
      <c r="J27" s="71"/>
      <c r="K27" s="71"/>
    </row>
    <row r="28" spans="1:11" ht="21.2" customHeight="1">
      <c r="A28" s="68"/>
      <c r="B28" s="68"/>
      <c r="C28" s="69"/>
      <c r="D28" s="70"/>
      <c r="E28" s="66"/>
      <c r="F28" s="70"/>
      <c r="G28" s="73"/>
      <c r="H28" s="66"/>
      <c r="I28" s="66"/>
      <c r="J28" s="66"/>
      <c r="K28" s="66"/>
    </row>
    <row r="29" spans="1:11" ht="20.45" customHeight="1"/>
  </sheetData>
  <mergeCells count="8">
    <mergeCell ref="A1:K1"/>
    <mergeCell ref="A2:A4"/>
    <mergeCell ref="B2:B4"/>
    <mergeCell ref="C2:C4"/>
    <mergeCell ref="D2:D4"/>
    <mergeCell ref="E2:J2"/>
    <mergeCell ref="K2:K4"/>
    <mergeCell ref="E3:E4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8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9"/>
  <sheetViews>
    <sheetView view="pageBreakPreview" zoomScaleNormal="100" zoomScaleSheetLayoutView="100" workbookViewId="0">
      <selection activeCell="H20" sqref="H20"/>
    </sheetView>
  </sheetViews>
  <sheetFormatPr defaultRowHeight="13.5"/>
  <cols>
    <col min="1" max="1" width="10.33203125" customWidth="1"/>
    <col min="2" max="2" width="30.77734375" customWidth="1"/>
    <col min="3" max="3" width="6.33203125" customWidth="1"/>
    <col min="4" max="10" width="7.77734375" customWidth="1"/>
    <col min="11" max="11" width="12.44140625" customWidth="1"/>
    <col min="12" max="12" width="16.5546875" bestFit="1" customWidth="1"/>
    <col min="13" max="13" width="10.109375" bestFit="1" customWidth="1"/>
  </cols>
  <sheetData>
    <row r="1" spans="1:15" ht="26.25">
      <c r="A1" s="406" t="s">
        <v>737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5" ht="21.2" customHeight="1">
      <c r="A2" s="407" t="s">
        <v>52</v>
      </c>
      <c r="B2" s="408" t="s">
        <v>53</v>
      </c>
      <c r="C2" s="407" t="s">
        <v>3</v>
      </c>
      <c r="D2" s="407" t="s">
        <v>54</v>
      </c>
      <c r="E2" s="409" t="s">
        <v>55</v>
      </c>
      <c r="F2" s="409"/>
      <c r="G2" s="409"/>
      <c r="H2" s="409"/>
      <c r="I2" s="409"/>
      <c r="J2" s="409"/>
      <c r="K2" s="407" t="s">
        <v>56</v>
      </c>
    </row>
    <row r="3" spans="1:15" ht="21.2" customHeight="1">
      <c r="A3" s="407"/>
      <c r="B3" s="408"/>
      <c r="C3" s="407"/>
      <c r="D3" s="407"/>
      <c r="E3" s="409" t="s">
        <v>57</v>
      </c>
      <c r="F3" s="135" t="s">
        <v>57</v>
      </c>
      <c r="G3" s="135" t="s">
        <v>57</v>
      </c>
      <c r="H3" s="135" t="s">
        <v>58</v>
      </c>
      <c r="I3" s="135" t="s">
        <v>58</v>
      </c>
      <c r="J3" s="135" t="s">
        <v>58</v>
      </c>
      <c r="K3" s="407"/>
    </row>
    <row r="4" spans="1:15" ht="21.2" customHeight="1">
      <c r="A4" s="407"/>
      <c r="B4" s="408"/>
      <c r="C4" s="407"/>
      <c r="D4" s="407"/>
      <c r="E4" s="409"/>
      <c r="F4" s="67" t="s">
        <v>59</v>
      </c>
      <c r="G4" s="67" t="s">
        <v>60</v>
      </c>
      <c r="H4" s="67" t="s">
        <v>61</v>
      </c>
      <c r="I4" s="67" t="s">
        <v>164</v>
      </c>
      <c r="J4" s="67" t="s">
        <v>63</v>
      </c>
      <c r="K4" s="407"/>
    </row>
    <row r="5" spans="1:15" ht="21.2" customHeight="1">
      <c r="A5" s="136"/>
      <c r="B5" s="208"/>
      <c r="C5" s="136"/>
      <c r="D5" s="138"/>
      <c r="E5" s="139"/>
      <c r="F5" s="138"/>
      <c r="G5" s="140"/>
      <c r="H5" s="140"/>
      <c r="I5" s="140"/>
      <c r="J5" s="139"/>
      <c r="K5" s="139"/>
      <c r="L5" s="150"/>
      <c r="M5" s="150"/>
      <c r="N5" s="150"/>
      <c r="O5" s="154"/>
    </row>
    <row r="6" spans="1:15" ht="21.2" customHeight="1">
      <c r="A6" s="136"/>
      <c r="B6" s="208"/>
      <c r="C6" s="136"/>
      <c r="D6" s="138"/>
      <c r="E6" s="139"/>
      <c r="F6" s="138"/>
      <c r="G6" s="140"/>
      <c r="H6" s="140"/>
      <c r="I6" s="140"/>
      <c r="J6" s="139"/>
      <c r="K6" s="139"/>
      <c r="L6" s="150"/>
      <c r="M6" s="150"/>
      <c r="N6" s="150"/>
      <c r="O6" s="154"/>
    </row>
    <row r="7" spans="1:15" ht="21.2" customHeight="1">
      <c r="A7" s="137"/>
      <c r="B7" s="208"/>
      <c r="C7" s="136"/>
      <c r="D7" s="138"/>
      <c r="E7" s="139"/>
      <c r="F7" s="138"/>
      <c r="G7" s="140"/>
      <c r="H7" s="140"/>
      <c r="I7" s="140"/>
      <c r="J7" s="139"/>
      <c r="K7" s="139"/>
      <c r="L7" s="150"/>
      <c r="M7" s="150"/>
      <c r="N7" s="150"/>
      <c r="O7" s="154"/>
    </row>
    <row r="8" spans="1:15" ht="21.2" customHeight="1">
      <c r="A8" s="137"/>
      <c r="B8" s="137"/>
      <c r="C8" s="136"/>
      <c r="D8" s="138"/>
      <c r="E8" s="139"/>
      <c r="F8" s="138"/>
      <c r="G8" s="139"/>
      <c r="H8" s="139"/>
      <c r="I8" s="140"/>
      <c r="J8" s="139"/>
      <c r="K8" s="139"/>
    </row>
    <row r="9" spans="1:15" ht="21.2" customHeight="1">
      <c r="A9" s="137"/>
      <c r="B9" s="137"/>
      <c r="C9" s="136"/>
      <c r="D9" s="138"/>
      <c r="E9" s="139"/>
      <c r="F9" s="138"/>
      <c r="G9" s="140"/>
      <c r="H9" s="139"/>
      <c r="I9" s="140"/>
      <c r="J9" s="139"/>
      <c r="K9" s="139"/>
    </row>
    <row r="10" spans="1:15" ht="21.2" customHeight="1">
      <c r="A10" s="141"/>
      <c r="B10" s="136"/>
      <c r="C10" s="136"/>
      <c r="D10" s="143"/>
      <c r="E10" s="21"/>
      <c r="F10" s="143"/>
      <c r="G10" s="144"/>
      <c r="H10" s="21"/>
      <c r="I10" s="140"/>
      <c r="J10" s="139"/>
      <c r="K10" s="139"/>
    </row>
    <row r="11" spans="1:15" ht="21.2" customHeight="1">
      <c r="A11" s="141"/>
      <c r="B11" s="137"/>
      <c r="C11" s="136"/>
      <c r="D11" s="138"/>
      <c r="E11" s="139"/>
      <c r="F11" s="138"/>
      <c r="G11" s="140"/>
      <c r="H11" s="139"/>
      <c r="I11" s="140"/>
      <c r="J11" s="139"/>
      <c r="K11" s="139"/>
    </row>
    <row r="12" spans="1:15" ht="21.2" customHeight="1">
      <c r="A12" s="410" t="s">
        <v>165</v>
      </c>
      <c r="B12" s="411"/>
      <c r="C12" s="411"/>
      <c r="D12" s="411"/>
      <c r="E12" s="411"/>
      <c r="F12" s="411"/>
      <c r="G12" s="411"/>
      <c r="H12" s="411"/>
      <c r="I12" s="411"/>
      <c r="J12" s="411"/>
      <c r="K12" s="412"/>
    </row>
    <row r="13" spans="1:15" ht="21.2" customHeight="1">
      <c r="A13" s="141"/>
      <c r="B13" s="141"/>
      <c r="C13" s="142"/>
      <c r="D13" s="143"/>
      <c r="E13" s="21"/>
      <c r="F13" s="143"/>
      <c r="G13" s="144"/>
      <c r="H13" s="21"/>
      <c r="I13" s="140"/>
      <c r="J13" s="139"/>
      <c r="K13" s="139"/>
    </row>
    <row r="14" spans="1:15" ht="21.2" customHeight="1">
      <c r="A14" s="141"/>
      <c r="B14" s="141"/>
      <c r="C14" s="142"/>
      <c r="D14" s="143"/>
      <c r="E14" s="21"/>
      <c r="F14" s="143"/>
      <c r="G14" s="144"/>
      <c r="H14" s="21"/>
      <c r="I14" s="140"/>
      <c r="J14" s="139"/>
      <c r="K14" s="139"/>
    </row>
    <row r="15" spans="1:15" ht="21.2" customHeight="1">
      <c r="A15" s="141"/>
      <c r="B15" s="141"/>
      <c r="C15" s="142"/>
      <c r="D15" s="143"/>
      <c r="E15" s="21"/>
      <c r="F15" s="143"/>
      <c r="G15" s="144"/>
      <c r="H15" s="21"/>
      <c r="I15" s="140"/>
      <c r="J15" s="139"/>
      <c r="K15" s="139"/>
    </row>
    <row r="16" spans="1:15" ht="21.2" customHeight="1">
      <c r="A16" s="141"/>
      <c r="B16" s="141"/>
      <c r="C16" s="142"/>
      <c r="D16" s="143"/>
      <c r="E16" s="21"/>
      <c r="F16" s="143"/>
      <c r="G16" s="144"/>
      <c r="H16" s="21"/>
      <c r="I16" s="21"/>
      <c r="J16" s="21"/>
      <c r="K16" s="139"/>
    </row>
    <row r="17" spans="1:11" ht="21.2" customHeight="1">
      <c r="A17" s="141"/>
      <c r="B17" s="141"/>
      <c r="C17" s="142"/>
      <c r="D17" s="143"/>
      <c r="E17" s="21"/>
      <c r="F17" s="143"/>
      <c r="G17" s="144"/>
      <c r="H17" s="21"/>
      <c r="I17" s="21"/>
      <c r="J17" s="21"/>
      <c r="K17" s="139"/>
    </row>
    <row r="18" spans="1:11" ht="21.2" customHeight="1">
      <c r="A18" s="141"/>
      <c r="B18" s="141"/>
      <c r="C18" s="142"/>
      <c r="D18" s="143"/>
      <c r="E18" s="21"/>
      <c r="F18" s="143"/>
      <c r="G18" s="144"/>
      <c r="H18" s="21"/>
      <c r="I18" s="21"/>
      <c r="J18" s="21"/>
      <c r="K18" s="139"/>
    </row>
    <row r="19" spans="1:11" ht="21.2" customHeight="1">
      <c r="A19" s="141"/>
      <c r="B19" s="141"/>
      <c r="C19" s="142"/>
      <c r="D19" s="143"/>
      <c r="E19" s="21"/>
      <c r="F19" s="143"/>
      <c r="G19" s="144"/>
      <c r="H19" s="21"/>
      <c r="I19" s="21"/>
      <c r="J19" s="21"/>
      <c r="K19" s="139"/>
    </row>
    <row r="20" spans="1:11" ht="21.2" customHeight="1">
      <c r="A20" s="141"/>
      <c r="B20" s="141"/>
      <c r="C20" s="142"/>
      <c r="D20" s="143"/>
      <c r="E20" s="21"/>
      <c r="F20" s="143"/>
      <c r="G20" s="144"/>
      <c r="H20" s="21"/>
      <c r="I20" s="21"/>
      <c r="J20" s="21"/>
      <c r="K20" s="139"/>
    </row>
    <row r="21" spans="1:11" ht="21.2" customHeight="1">
      <c r="A21" s="141"/>
      <c r="B21" s="141"/>
      <c r="C21" s="142"/>
      <c r="D21" s="143"/>
      <c r="E21" s="21"/>
      <c r="F21" s="143"/>
      <c r="G21" s="144"/>
      <c r="H21" s="21"/>
      <c r="I21" s="21"/>
      <c r="J21" s="21"/>
      <c r="K21" s="139"/>
    </row>
    <row r="22" spans="1:11" ht="21.2" customHeight="1">
      <c r="A22" s="141"/>
      <c r="B22" s="141"/>
      <c r="C22" s="142"/>
      <c r="D22" s="143"/>
      <c r="E22" s="21"/>
      <c r="F22" s="143"/>
      <c r="G22" s="144"/>
      <c r="H22" s="21"/>
      <c r="I22" s="21"/>
      <c r="J22" s="21"/>
      <c r="K22" s="139"/>
    </row>
    <row r="23" spans="1:11" ht="21.2" customHeight="1">
      <c r="A23" s="141"/>
      <c r="B23" s="141"/>
      <c r="C23" s="142"/>
      <c r="D23" s="143"/>
      <c r="E23" s="21"/>
      <c r="F23" s="143"/>
      <c r="G23" s="144"/>
      <c r="H23" s="21"/>
      <c r="I23" s="21"/>
      <c r="J23" s="21"/>
      <c r="K23" s="139"/>
    </row>
    <row r="24" spans="1:11" ht="21.2" customHeight="1">
      <c r="A24" s="141"/>
      <c r="B24" s="141"/>
      <c r="C24" s="142"/>
      <c r="D24" s="143"/>
      <c r="E24" s="145"/>
      <c r="F24" s="143"/>
      <c r="G24" s="146"/>
      <c r="H24" s="145"/>
      <c r="I24" s="145"/>
      <c r="J24" s="145"/>
      <c r="K24" s="147"/>
    </row>
    <row r="25" spans="1:11" ht="21.2" customHeight="1">
      <c r="A25" s="141"/>
      <c r="B25" s="141"/>
      <c r="C25" s="142"/>
      <c r="D25" s="143"/>
      <c r="E25" s="21"/>
      <c r="F25" s="143"/>
      <c r="G25" s="144"/>
      <c r="H25" s="21"/>
      <c r="I25" s="21"/>
      <c r="J25" s="21"/>
      <c r="K25" s="21"/>
    </row>
    <row r="26" spans="1:11" ht="21.2" customHeight="1">
      <c r="A26" s="141"/>
      <c r="B26" s="141"/>
      <c r="C26" s="142"/>
      <c r="D26" s="143"/>
      <c r="E26" s="21"/>
      <c r="F26" s="143"/>
      <c r="G26" s="144"/>
      <c r="H26" s="21"/>
      <c r="I26" s="21"/>
      <c r="J26" s="21"/>
      <c r="K26" s="21"/>
    </row>
    <row r="27" spans="1:11" ht="21.2" customHeight="1">
      <c r="A27" s="141"/>
      <c r="B27" s="141"/>
      <c r="C27" s="142"/>
      <c r="D27" s="143"/>
      <c r="E27" s="21"/>
      <c r="F27" s="143"/>
      <c r="G27" s="144"/>
      <c r="H27" s="21"/>
      <c r="I27" s="21"/>
      <c r="J27" s="21"/>
      <c r="K27" s="21"/>
    </row>
    <row r="28" spans="1:11" ht="21.2" customHeight="1">
      <c r="A28" s="141"/>
      <c r="B28" s="141"/>
      <c r="C28" s="142"/>
      <c r="D28" s="143"/>
      <c r="E28" s="145"/>
      <c r="F28" s="143"/>
      <c r="G28" s="146"/>
      <c r="H28" s="145"/>
      <c r="I28" s="145"/>
      <c r="J28" s="145"/>
      <c r="K28" s="145"/>
    </row>
    <row r="29" spans="1:11" ht="20.45" customHeight="1"/>
  </sheetData>
  <mergeCells count="9">
    <mergeCell ref="A12:K12"/>
    <mergeCell ref="A1:K1"/>
    <mergeCell ref="A2:A4"/>
    <mergeCell ref="B2:B4"/>
    <mergeCell ref="C2:C4"/>
    <mergeCell ref="D2:D4"/>
    <mergeCell ref="E2:J2"/>
    <mergeCell ref="K2:K4"/>
    <mergeCell ref="E3:E4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8" fitToHeight="0" orientation="landscape" horizontalDpi="4294967293" vertic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9"/>
  <sheetViews>
    <sheetView view="pageBreakPreview" zoomScaleNormal="100" zoomScaleSheetLayoutView="100" workbookViewId="0">
      <selection activeCell="H20" sqref="H20"/>
    </sheetView>
  </sheetViews>
  <sheetFormatPr defaultRowHeight="13.5"/>
  <cols>
    <col min="1" max="1" width="10.33203125" customWidth="1"/>
    <col min="2" max="2" width="30.77734375" customWidth="1"/>
    <col min="3" max="3" width="6.33203125" customWidth="1"/>
    <col min="4" max="10" width="7.77734375" customWidth="1"/>
    <col min="11" max="11" width="12.44140625" customWidth="1"/>
    <col min="12" max="12" width="16.5546875" bestFit="1" customWidth="1"/>
    <col min="13" max="13" width="10.109375" bestFit="1" customWidth="1"/>
  </cols>
  <sheetData>
    <row r="1" spans="1:15" ht="26.25">
      <c r="A1" s="406" t="s">
        <v>736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5" ht="21.2" customHeight="1">
      <c r="A2" s="407" t="s">
        <v>52</v>
      </c>
      <c r="B2" s="408" t="s">
        <v>53</v>
      </c>
      <c r="C2" s="407" t="s">
        <v>3</v>
      </c>
      <c r="D2" s="407" t="s">
        <v>54</v>
      </c>
      <c r="E2" s="409" t="s">
        <v>55</v>
      </c>
      <c r="F2" s="409"/>
      <c r="G2" s="409"/>
      <c r="H2" s="409"/>
      <c r="I2" s="409"/>
      <c r="J2" s="409"/>
      <c r="K2" s="407" t="s">
        <v>56</v>
      </c>
    </row>
    <row r="3" spans="1:15" ht="21.2" customHeight="1">
      <c r="A3" s="407"/>
      <c r="B3" s="408"/>
      <c r="C3" s="407"/>
      <c r="D3" s="407"/>
      <c r="E3" s="409" t="s">
        <v>57</v>
      </c>
      <c r="F3" s="135" t="s">
        <v>57</v>
      </c>
      <c r="G3" s="135" t="s">
        <v>57</v>
      </c>
      <c r="H3" s="135" t="s">
        <v>58</v>
      </c>
      <c r="I3" s="135" t="s">
        <v>58</v>
      </c>
      <c r="J3" s="135" t="s">
        <v>58</v>
      </c>
      <c r="K3" s="407"/>
    </row>
    <row r="4" spans="1:15" ht="21.2" customHeight="1">
      <c r="A4" s="407"/>
      <c r="B4" s="408"/>
      <c r="C4" s="407"/>
      <c r="D4" s="407"/>
      <c r="E4" s="409"/>
      <c r="F4" s="67" t="s">
        <v>59</v>
      </c>
      <c r="G4" s="67" t="s">
        <v>60</v>
      </c>
      <c r="H4" s="67" t="s">
        <v>61</v>
      </c>
      <c r="I4" s="67" t="s">
        <v>62</v>
      </c>
      <c r="J4" s="67" t="s">
        <v>63</v>
      </c>
      <c r="K4" s="407"/>
    </row>
    <row r="5" spans="1:15" ht="21.2" customHeight="1">
      <c r="A5" s="136"/>
      <c r="B5" s="208"/>
      <c r="C5" s="136"/>
      <c r="D5" s="138"/>
      <c r="E5" s="139"/>
      <c r="F5" s="138"/>
      <c r="G5" s="140"/>
      <c r="H5" s="140"/>
      <c r="I5" s="140"/>
      <c r="J5" s="139"/>
      <c r="K5" s="139"/>
      <c r="L5" s="150"/>
      <c r="M5" s="150"/>
      <c r="N5" s="150"/>
      <c r="O5" s="154"/>
    </row>
    <row r="6" spans="1:15" ht="21.2" customHeight="1">
      <c r="A6" s="136"/>
      <c r="B6" s="208"/>
      <c r="C6" s="136"/>
      <c r="D6" s="138"/>
      <c r="E6" s="139"/>
      <c r="F6" s="138"/>
      <c r="G6" s="140"/>
      <c r="H6" s="140"/>
      <c r="I6" s="140"/>
      <c r="J6" s="139"/>
      <c r="K6" s="139"/>
      <c r="L6" s="150"/>
      <c r="M6" s="150"/>
      <c r="N6" s="150"/>
      <c r="O6" s="154"/>
    </row>
    <row r="7" spans="1:15" ht="21.2" customHeight="1">
      <c r="A7" s="137"/>
      <c r="B7" s="208"/>
      <c r="C7" s="136"/>
      <c r="D7" s="138"/>
      <c r="E7" s="139"/>
      <c r="F7" s="138"/>
      <c r="G7" s="140"/>
      <c r="H7" s="140"/>
      <c r="I7" s="140"/>
      <c r="J7" s="139"/>
      <c r="K7" s="139"/>
      <c r="L7" s="150"/>
      <c r="M7" s="150"/>
      <c r="N7" s="150"/>
      <c r="O7" s="154"/>
    </row>
    <row r="8" spans="1:15" ht="21.2" customHeight="1">
      <c r="A8" s="137"/>
      <c r="B8" s="137"/>
      <c r="C8" s="136"/>
      <c r="D8" s="138"/>
      <c r="E8" s="139"/>
      <c r="F8" s="138"/>
      <c r="G8" s="139"/>
      <c r="H8" s="139"/>
      <c r="I8" s="140"/>
      <c r="J8" s="139"/>
      <c r="K8" s="139"/>
    </row>
    <row r="9" spans="1:15" ht="21.2" customHeight="1">
      <c r="A9" s="137"/>
      <c r="B9" s="137"/>
      <c r="C9" s="136"/>
      <c r="D9" s="138"/>
      <c r="E9" s="139"/>
      <c r="F9" s="138"/>
      <c r="G9" s="140"/>
      <c r="H9" s="139"/>
      <c r="I9" s="140"/>
      <c r="J9" s="139"/>
      <c r="K9" s="139"/>
    </row>
    <row r="10" spans="1:15" ht="21.2" customHeight="1">
      <c r="A10" s="141"/>
      <c r="B10" s="136"/>
      <c r="C10" s="136"/>
      <c r="D10" s="143"/>
      <c r="E10" s="21"/>
      <c r="F10" s="143"/>
      <c r="G10" s="144"/>
      <c r="H10" s="21"/>
      <c r="I10" s="140"/>
      <c r="J10" s="139"/>
      <c r="K10" s="139"/>
    </row>
    <row r="11" spans="1:15" ht="21.2" customHeight="1">
      <c r="A11" s="141"/>
      <c r="B11" s="137"/>
      <c r="C11" s="136"/>
      <c r="D11" s="138"/>
      <c r="E11" s="139"/>
      <c r="F11" s="138"/>
      <c r="G11" s="140"/>
      <c r="H11" s="139"/>
      <c r="I11" s="140"/>
      <c r="J11" s="139"/>
      <c r="K11" s="139"/>
    </row>
    <row r="12" spans="1:15" ht="21.2" customHeight="1">
      <c r="A12" s="410" t="s">
        <v>165</v>
      </c>
      <c r="B12" s="411"/>
      <c r="C12" s="411"/>
      <c r="D12" s="411"/>
      <c r="E12" s="411"/>
      <c r="F12" s="411"/>
      <c r="G12" s="411"/>
      <c r="H12" s="411"/>
      <c r="I12" s="411"/>
      <c r="J12" s="411"/>
      <c r="K12" s="412"/>
    </row>
    <row r="13" spans="1:15" ht="21.2" customHeight="1">
      <c r="A13" s="141"/>
      <c r="B13" s="141"/>
      <c r="C13" s="142"/>
      <c r="D13" s="143"/>
      <c r="E13" s="21"/>
      <c r="F13" s="143"/>
      <c r="G13" s="144"/>
      <c r="H13" s="21"/>
      <c r="I13" s="140"/>
      <c r="J13" s="139"/>
      <c r="K13" s="139"/>
    </row>
    <row r="14" spans="1:15" ht="21.2" customHeight="1">
      <c r="A14" s="141"/>
      <c r="B14" s="141"/>
      <c r="C14" s="142"/>
      <c r="D14" s="143"/>
      <c r="E14" s="21"/>
      <c r="F14" s="143"/>
      <c r="G14" s="144"/>
      <c r="H14" s="21"/>
      <c r="I14" s="140"/>
      <c r="J14" s="139"/>
      <c r="K14" s="139"/>
    </row>
    <row r="15" spans="1:15" ht="21.2" customHeight="1">
      <c r="A15" s="141"/>
      <c r="B15" s="141"/>
      <c r="C15" s="142"/>
      <c r="D15" s="143"/>
      <c r="E15" s="21"/>
      <c r="F15" s="143"/>
      <c r="G15" s="144"/>
      <c r="H15" s="21"/>
      <c r="I15" s="140"/>
      <c r="J15" s="139"/>
      <c r="K15" s="139"/>
    </row>
    <row r="16" spans="1:15" ht="21.2" customHeight="1">
      <c r="A16" s="141"/>
      <c r="B16" s="141"/>
      <c r="C16" s="142"/>
      <c r="D16" s="143"/>
      <c r="E16" s="21"/>
      <c r="F16" s="143"/>
      <c r="G16" s="144"/>
      <c r="H16" s="21"/>
      <c r="I16" s="21"/>
      <c r="J16" s="21"/>
      <c r="K16" s="139"/>
    </row>
    <row r="17" spans="1:11" ht="21.2" customHeight="1">
      <c r="A17" s="141"/>
      <c r="B17" s="141"/>
      <c r="C17" s="142"/>
      <c r="D17" s="143"/>
      <c r="E17" s="21"/>
      <c r="F17" s="143"/>
      <c r="G17" s="144"/>
      <c r="H17" s="21"/>
      <c r="I17" s="21"/>
      <c r="J17" s="21"/>
      <c r="K17" s="139"/>
    </row>
    <row r="18" spans="1:11" ht="21.2" customHeight="1">
      <c r="A18" s="141"/>
      <c r="B18" s="141"/>
      <c r="C18" s="142"/>
      <c r="D18" s="143"/>
      <c r="E18" s="21"/>
      <c r="F18" s="143"/>
      <c r="G18" s="144"/>
      <c r="H18" s="21"/>
      <c r="I18" s="21"/>
      <c r="J18" s="21"/>
      <c r="K18" s="139"/>
    </row>
    <row r="19" spans="1:11" ht="21.2" customHeight="1">
      <c r="A19" s="141"/>
      <c r="B19" s="141"/>
      <c r="C19" s="142"/>
      <c r="D19" s="143"/>
      <c r="E19" s="21"/>
      <c r="F19" s="143"/>
      <c r="G19" s="144"/>
      <c r="H19" s="21"/>
      <c r="I19" s="21"/>
      <c r="J19" s="21"/>
      <c r="K19" s="139"/>
    </row>
    <row r="20" spans="1:11" ht="21.2" customHeight="1">
      <c r="A20" s="141"/>
      <c r="B20" s="141"/>
      <c r="C20" s="142"/>
      <c r="D20" s="143"/>
      <c r="E20" s="21"/>
      <c r="F20" s="143"/>
      <c r="G20" s="144"/>
      <c r="H20" s="21"/>
      <c r="I20" s="21"/>
      <c r="J20" s="21"/>
      <c r="K20" s="139"/>
    </row>
    <row r="21" spans="1:11" ht="21.2" customHeight="1">
      <c r="A21" s="141"/>
      <c r="B21" s="141"/>
      <c r="C21" s="142"/>
      <c r="D21" s="143"/>
      <c r="E21" s="21"/>
      <c r="F21" s="143"/>
      <c r="G21" s="144"/>
      <c r="H21" s="21"/>
      <c r="I21" s="21"/>
      <c r="J21" s="21"/>
      <c r="K21" s="139"/>
    </row>
    <row r="22" spans="1:11" ht="21.2" customHeight="1">
      <c r="A22" s="141"/>
      <c r="B22" s="141"/>
      <c r="C22" s="142"/>
      <c r="D22" s="143"/>
      <c r="E22" s="21"/>
      <c r="F22" s="143"/>
      <c r="G22" s="144"/>
      <c r="H22" s="21"/>
      <c r="I22" s="21"/>
      <c r="J22" s="21"/>
      <c r="K22" s="139"/>
    </row>
    <row r="23" spans="1:11" ht="21.2" customHeight="1">
      <c r="A23" s="141"/>
      <c r="B23" s="141"/>
      <c r="C23" s="142"/>
      <c r="D23" s="143"/>
      <c r="E23" s="21"/>
      <c r="F23" s="143"/>
      <c r="G23" s="144"/>
      <c r="H23" s="21"/>
      <c r="I23" s="21"/>
      <c r="J23" s="21"/>
      <c r="K23" s="139"/>
    </row>
    <row r="24" spans="1:11" ht="21.2" customHeight="1">
      <c r="A24" s="141"/>
      <c r="B24" s="141"/>
      <c r="C24" s="142"/>
      <c r="D24" s="143"/>
      <c r="E24" s="145"/>
      <c r="F24" s="143"/>
      <c r="G24" s="146"/>
      <c r="H24" s="145"/>
      <c r="I24" s="145"/>
      <c r="J24" s="145"/>
      <c r="K24" s="147"/>
    </row>
    <row r="25" spans="1:11" ht="21.2" customHeight="1">
      <c r="A25" s="141"/>
      <c r="B25" s="141"/>
      <c r="C25" s="142"/>
      <c r="D25" s="143"/>
      <c r="E25" s="21"/>
      <c r="F25" s="143"/>
      <c r="G25" s="144"/>
      <c r="H25" s="21"/>
      <c r="I25" s="21"/>
      <c r="J25" s="21"/>
      <c r="K25" s="21"/>
    </row>
    <row r="26" spans="1:11" ht="21.2" customHeight="1">
      <c r="A26" s="141"/>
      <c r="B26" s="141"/>
      <c r="C26" s="142"/>
      <c r="D26" s="143"/>
      <c r="E26" s="21"/>
      <c r="F26" s="143"/>
      <c r="G26" s="144"/>
      <c r="H26" s="21"/>
      <c r="I26" s="21"/>
      <c r="J26" s="21"/>
      <c r="K26" s="21"/>
    </row>
    <row r="27" spans="1:11" ht="21.2" customHeight="1">
      <c r="A27" s="141"/>
      <c r="B27" s="141"/>
      <c r="C27" s="142"/>
      <c r="D27" s="143"/>
      <c r="E27" s="21"/>
      <c r="F27" s="143"/>
      <c r="G27" s="144"/>
      <c r="H27" s="21"/>
      <c r="I27" s="21"/>
      <c r="J27" s="21"/>
      <c r="K27" s="21"/>
    </row>
    <row r="28" spans="1:11" ht="21.2" customHeight="1">
      <c r="A28" s="141"/>
      <c r="B28" s="141"/>
      <c r="C28" s="142"/>
      <c r="D28" s="143"/>
      <c r="E28" s="145"/>
      <c r="F28" s="143"/>
      <c r="G28" s="146"/>
      <c r="H28" s="145"/>
      <c r="I28" s="145"/>
      <c r="J28" s="145"/>
      <c r="K28" s="145"/>
    </row>
    <row r="29" spans="1:11" ht="20.45" customHeight="1"/>
  </sheetData>
  <mergeCells count="9">
    <mergeCell ref="A12:K12"/>
    <mergeCell ref="A1:K1"/>
    <mergeCell ref="A2:A4"/>
    <mergeCell ref="B2:B4"/>
    <mergeCell ref="C2:C4"/>
    <mergeCell ref="D2:D4"/>
    <mergeCell ref="E2:J2"/>
    <mergeCell ref="K2:K4"/>
    <mergeCell ref="E3:E4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8" fitToHeight="0" orientation="landscape" horizontalDpi="4294967293" vertic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9"/>
  <sheetViews>
    <sheetView view="pageBreakPreview" zoomScaleNormal="100" zoomScaleSheetLayoutView="100" workbookViewId="0">
      <selection activeCell="H20" sqref="H20"/>
    </sheetView>
  </sheetViews>
  <sheetFormatPr defaultRowHeight="13.5"/>
  <cols>
    <col min="1" max="1" width="10.33203125" customWidth="1"/>
    <col min="2" max="2" width="30.77734375" customWidth="1"/>
    <col min="3" max="3" width="6.33203125" customWidth="1"/>
    <col min="4" max="10" width="7.77734375" customWidth="1"/>
    <col min="11" max="11" width="12.44140625" customWidth="1"/>
    <col min="12" max="12" width="16.5546875" bestFit="1" customWidth="1"/>
    <col min="13" max="13" width="10.109375" bestFit="1" customWidth="1"/>
  </cols>
  <sheetData>
    <row r="1" spans="1:15" ht="26.25">
      <c r="A1" s="406" t="s">
        <v>735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5" ht="21.2" customHeight="1">
      <c r="A2" s="407" t="s">
        <v>52</v>
      </c>
      <c r="B2" s="408" t="s">
        <v>53</v>
      </c>
      <c r="C2" s="407" t="s">
        <v>3</v>
      </c>
      <c r="D2" s="407" t="s">
        <v>54</v>
      </c>
      <c r="E2" s="409" t="s">
        <v>55</v>
      </c>
      <c r="F2" s="409"/>
      <c r="G2" s="409"/>
      <c r="H2" s="409"/>
      <c r="I2" s="409"/>
      <c r="J2" s="409"/>
      <c r="K2" s="407" t="s">
        <v>56</v>
      </c>
    </row>
    <row r="3" spans="1:15" ht="21.2" customHeight="1">
      <c r="A3" s="407"/>
      <c r="B3" s="408"/>
      <c r="C3" s="407"/>
      <c r="D3" s="407"/>
      <c r="E3" s="409" t="s">
        <v>57</v>
      </c>
      <c r="F3" s="135" t="s">
        <v>57</v>
      </c>
      <c r="G3" s="135" t="s">
        <v>57</v>
      </c>
      <c r="H3" s="135" t="s">
        <v>58</v>
      </c>
      <c r="I3" s="135" t="s">
        <v>58</v>
      </c>
      <c r="J3" s="135" t="s">
        <v>58</v>
      </c>
      <c r="K3" s="407"/>
    </row>
    <row r="4" spans="1:15" ht="21.2" customHeight="1">
      <c r="A4" s="407"/>
      <c r="B4" s="408"/>
      <c r="C4" s="407"/>
      <c r="D4" s="407"/>
      <c r="E4" s="409"/>
      <c r="F4" s="67" t="s">
        <v>59</v>
      </c>
      <c r="G4" s="67" t="s">
        <v>60</v>
      </c>
      <c r="H4" s="67" t="s">
        <v>61</v>
      </c>
      <c r="I4" s="67" t="s">
        <v>62</v>
      </c>
      <c r="J4" s="67" t="s">
        <v>63</v>
      </c>
      <c r="K4" s="407"/>
    </row>
    <row r="5" spans="1:15" ht="21.2" customHeight="1">
      <c r="A5" s="136"/>
      <c r="B5" s="208"/>
      <c r="C5" s="136"/>
      <c r="D5" s="138"/>
      <c r="E5" s="139"/>
      <c r="F5" s="138"/>
      <c r="G5" s="140"/>
      <c r="H5" s="140"/>
      <c r="I5" s="140"/>
      <c r="J5" s="139"/>
      <c r="K5" s="139"/>
      <c r="L5" s="150"/>
      <c r="M5" s="150"/>
      <c r="N5" s="150"/>
      <c r="O5" s="154"/>
    </row>
    <row r="6" spans="1:15" ht="21.2" customHeight="1">
      <c r="A6" s="136"/>
      <c r="B6" s="208"/>
      <c r="C6" s="136"/>
      <c r="D6" s="138"/>
      <c r="E6" s="139"/>
      <c r="F6" s="138"/>
      <c r="G6" s="140"/>
      <c r="H6" s="140"/>
      <c r="I6" s="140"/>
      <c r="J6" s="139"/>
      <c r="K6" s="139"/>
      <c r="L6" s="150"/>
      <c r="M6" s="150"/>
      <c r="N6" s="150"/>
      <c r="O6" s="154"/>
    </row>
    <row r="7" spans="1:15" ht="21.2" customHeight="1">
      <c r="A7" s="137"/>
      <c r="B7" s="208"/>
      <c r="C7" s="136"/>
      <c r="D7" s="138"/>
      <c r="E7" s="139"/>
      <c r="F7" s="138"/>
      <c r="G7" s="140"/>
      <c r="H7" s="140"/>
      <c r="I7" s="140"/>
      <c r="J7" s="139"/>
      <c r="K7" s="139"/>
      <c r="L7" s="150"/>
      <c r="M7" s="150"/>
      <c r="N7" s="150"/>
      <c r="O7" s="154"/>
    </row>
    <row r="8" spans="1:15" ht="21.2" customHeight="1">
      <c r="A8" s="137"/>
      <c r="B8" s="137"/>
      <c r="C8" s="136"/>
      <c r="D8" s="138"/>
      <c r="E8" s="139"/>
      <c r="F8" s="138"/>
      <c r="G8" s="139"/>
      <c r="H8" s="139"/>
      <c r="I8" s="140"/>
      <c r="J8" s="139"/>
      <c r="K8" s="139"/>
    </row>
    <row r="9" spans="1:15" ht="21.2" customHeight="1">
      <c r="A9" s="137"/>
      <c r="B9" s="137"/>
      <c r="C9" s="136"/>
      <c r="D9" s="138"/>
      <c r="E9" s="139"/>
      <c r="F9" s="138"/>
      <c r="G9" s="140"/>
      <c r="H9" s="139"/>
      <c r="I9" s="140"/>
      <c r="J9" s="139"/>
      <c r="K9" s="139"/>
    </row>
    <row r="10" spans="1:15" ht="21.2" customHeight="1">
      <c r="A10" s="141"/>
      <c r="B10" s="136"/>
      <c r="C10" s="136"/>
      <c r="D10" s="143"/>
      <c r="E10" s="21"/>
      <c r="F10" s="143"/>
      <c r="G10" s="144"/>
      <c r="H10" s="21"/>
      <c r="I10" s="140"/>
      <c r="J10" s="139"/>
      <c r="K10" s="139"/>
    </row>
    <row r="11" spans="1:15" ht="21.2" customHeight="1">
      <c r="A11" s="141"/>
      <c r="B11" s="137"/>
      <c r="C11" s="136"/>
      <c r="D11" s="138"/>
      <c r="E11" s="139"/>
      <c r="F11" s="138"/>
      <c r="G11" s="140"/>
      <c r="H11" s="139"/>
      <c r="I11" s="140"/>
      <c r="J11" s="139"/>
      <c r="K11" s="139"/>
    </row>
    <row r="12" spans="1:15" ht="21.2" customHeight="1">
      <c r="A12" s="410" t="s">
        <v>165</v>
      </c>
      <c r="B12" s="411"/>
      <c r="C12" s="411"/>
      <c r="D12" s="411"/>
      <c r="E12" s="411"/>
      <c r="F12" s="411"/>
      <c r="G12" s="411"/>
      <c r="H12" s="411"/>
      <c r="I12" s="411"/>
      <c r="J12" s="411"/>
      <c r="K12" s="412"/>
    </row>
    <row r="13" spans="1:15" ht="21.2" customHeight="1">
      <c r="A13" s="141"/>
      <c r="B13" s="141"/>
      <c r="C13" s="142"/>
      <c r="D13" s="143"/>
      <c r="E13" s="21"/>
      <c r="F13" s="143"/>
      <c r="G13" s="144"/>
      <c r="H13" s="21"/>
      <c r="I13" s="140"/>
      <c r="J13" s="139"/>
      <c r="K13" s="139"/>
    </row>
    <row r="14" spans="1:15" ht="21.2" customHeight="1">
      <c r="A14" s="141"/>
      <c r="B14" s="141"/>
      <c r="C14" s="142"/>
      <c r="D14" s="143"/>
      <c r="E14" s="21"/>
      <c r="F14" s="143"/>
      <c r="G14" s="144"/>
      <c r="H14" s="21"/>
      <c r="I14" s="140"/>
      <c r="J14" s="139"/>
      <c r="K14" s="139"/>
    </row>
    <row r="15" spans="1:15" ht="21.2" customHeight="1">
      <c r="A15" s="141"/>
      <c r="B15" s="141"/>
      <c r="C15" s="142"/>
      <c r="D15" s="143"/>
      <c r="E15" s="21"/>
      <c r="F15" s="143"/>
      <c r="G15" s="144"/>
      <c r="H15" s="21"/>
      <c r="I15" s="140"/>
      <c r="J15" s="139"/>
      <c r="K15" s="139"/>
    </row>
    <row r="16" spans="1:15" ht="21.2" customHeight="1">
      <c r="A16" s="141"/>
      <c r="B16" s="141"/>
      <c r="C16" s="142"/>
      <c r="D16" s="143"/>
      <c r="E16" s="21"/>
      <c r="F16" s="143"/>
      <c r="G16" s="144"/>
      <c r="H16" s="21"/>
      <c r="I16" s="21"/>
      <c r="J16" s="21"/>
      <c r="K16" s="139"/>
    </row>
    <row r="17" spans="1:11" ht="21.2" customHeight="1">
      <c r="A17" s="141"/>
      <c r="B17" s="141"/>
      <c r="C17" s="142"/>
      <c r="D17" s="143"/>
      <c r="E17" s="21"/>
      <c r="F17" s="143"/>
      <c r="G17" s="144"/>
      <c r="H17" s="21"/>
      <c r="I17" s="21"/>
      <c r="J17" s="21"/>
      <c r="K17" s="139"/>
    </row>
    <row r="18" spans="1:11" ht="21.2" customHeight="1">
      <c r="A18" s="141"/>
      <c r="B18" s="141"/>
      <c r="C18" s="142"/>
      <c r="D18" s="143"/>
      <c r="E18" s="21"/>
      <c r="F18" s="143"/>
      <c r="G18" s="144"/>
      <c r="H18" s="21"/>
      <c r="I18" s="21"/>
      <c r="J18" s="21"/>
      <c r="K18" s="139"/>
    </row>
    <row r="19" spans="1:11" ht="21.2" customHeight="1">
      <c r="A19" s="141"/>
      <c r="B19" s="141"/>
      <c r="C19" s="142"/>
      <c r="D19" s="143"/>
      <c r="E19" s="21"/>
      <c r="F19" s="143"/>
      <c r="G19" s="144"/>
      <c r="H19" s="21"/>
      <c r="I19" s="21"/>
      <c r="J19" s="21"/>
      <c r="K19" s="139"/>
    </row>
    <row r="20" spans="1:11" ht="21.2" customHeight="1">
      <c r="A20" s="141"/>
      <c r="B20" s="141"/>
      <c r="C20" s="142"/>
      <c r="D20" s="143"/>
      <c r="E20" s="21"/>
      <c r="F20" s="143"/>
      <c r="G20" s="144"/>
      <c r="H20" s="21"/>
      <c r="I20" s="21"/>
      <c r="J20" s="21"/>
      <c r="K20" s="139"/>
    </row>
    <row r="21" spans="1:11" ht="21.2" customHeight="1">
      <c r="A21" s="141"/>
      <c r="B21" s="141"/>
      <c r="C21" s="142"/>
      <c r="D21" s="143"/>
      <c r="E21" s="21"/>
      <c r="F21" s="143"/>
      <c r="G21" s="144"/>
      <c r="H21" s="21"/>
      <c r="I21" s="21"/>
      <c r="J21" s="21"/>
      <c r="K21" s="139"/>
    </row>
    <row r="22" spans="1:11" ht="21.2" customHeight="1">
      <c r="A22" s="141"/>
      <c r="B22" s="141"/>
      <c r="C22" s="142"/>
      <c r="D22" s="143"/>
      <c r="E22" s="21"/>
      <c r="F22" s="143"/>
      <c r="G22" s="144"/>
      <c r="H22" s="21"/>
      <c r="I22" s="21"/>
      <c r="J22" s="21"/>
      <c r="K22" s="139"/>
    </row>
    <row r="23" spans="1:11" ht="21.2" customHeight="1">
      <c r="A23" s="141"/>
      <c r="B23" s="141"/>
      <c r="C23" s="142"/>
      <c r="D23" s="143"/>
      <c r="E23" s="21"/>
      <c r="F23" s="143"/>
      <c r="G23" s="144"/>
      <c r="H23" s="21"/>
      <c r="I23" s="21"/>
      <c r="J23" s="21"/>
      <c r="K23" s="139"/>
    </row>
    <row r="24" spans="1:11" ht="21.2" customHeight="1">
      <c r="A24" s="141"/>
      <c r="B24" s="141"/>
      <c r="C24" s="142"/>
      <c r="D24" s="143"/>
      <c r="E24" s="145"/>
      <c r="F24" s="143"/>
      <c r="G24" s="146"/>
      <c r="H24" s="145"/>
      <c r="I24" s="145"/>
      <c r="J24" s="145"/>
      <c r="K24" s="147"/>
    </row>
    <row r="25" spans="1:11" ht="21.2" customHeight="1">
      <c r="A25" s="141"/>
      <c r="B25" s="141"/>
      <c r="C25" s="142"/>
      <c r="D25" s="143"/>
      <c r="E25" s="21"/>
      <c r="F25" s="143"/>
      <c r="G25" s="144"/>
      <c r="H25" s="21"/>
      <c r="I25" s="21"/>
      <c r="J25" s="21"/>
      <c r="K25" s="21"/>
    </row>
    <row r="26" spans="1:11" ht="21.2" customHeight="1">
      <c r="A26" s="141"/>
      <c r="B26" s="141"/>
      <c r="C26" s="142"/>
      <c r="D26" s="143"/>
      <c r="E26" s="21"/>
      <c r="F26" s="143"/>
      <c r="G26" s="144"/>
      <c r="H26" s="21"/>
      <c r="I26" s="21"/>
      <c r="J26" s="21"/>
      <c r="K26" s="21"/>
    </row>
    <row r="27" spans="1:11" ht="21.2" customHeight="1">
      <c r="A27" s="141"/>
      <c r="B27" s="141"/>
      <c r="C27" s="142"/>
      <c r="D27" s="143"/>
      <c r="E27" s="21"/>
      <c r="F27" s="143"/>
      <c r="G27" s="144"/>
      <c r="H27" s="21"/>
      <c r="I27" s="21"/>
      <c r="J27" s="21"/>
      <c r="K27" s="21"/>
    </row>
    <row r="28" spans="1:11" ht="21.2" customHeight="1">
      <c r="A28" s="141"/>
      <c r="B28" s="141"/>
      <c r="C28" s="142"/>
      <c r="D28" s="143"/>
      <c r="E28" s="145"/>
      <c r="F28" s="143"/>
      <c r="G28" s="146"/>
      <c r="H28" s="145"/>
      <c r="I28" s="145"/>
      <c r="J28" s="145"/>
      <c r="K28" s="145"/>
    </row>
    <row r="29" spans="1:11" ht="20.45" customHeight="1"/>
  </sheetData>
  <mergeCells count="9">
    <mergeCell ref="A12:K12"/>
    <mergeCell ref="A1:K1"/>
    <mergeCell ref="A2:A4"/>
    <mergeCell ref="B2:B4"/>
    <mergeCell ref="C2:C4"/>
    <mergeCell ref="D2:D4"/>
    <mergeCell ref="E2:J2"/>
    <mergeCell ref="K2:K4"/>
    <mergeCell ref="E3:E4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8" fitToHeight="0" orientation="landscape" horizontalDpi="4294967293" vertic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9"/>
  <sheetViews>
    <sheetView view="pageBreakPreview" zoomScaleNormal="100" zoomScaleSheetLayoutView="100" workbookViewId="0">
      <selection activeCell="H20" sqref="H20"/>
    </sheetView>
  </sheetViews>
  <sheetFormatPr defaultRowHeight="13.5"/>
  <cols>
    <col min="1" max="1" width="10.33203125" customWidth="1"/>
    <col min="2" max="2" width="30.77734375" customWidth="1"/>
    <col min="3" max="3" width="6.33203125" customWidth="1"/>
    <col min="4" max="10" width="7.77734375" customWidth="1"/>
    <col min="11" max="11" width="12.44140625" customWidth="1"/>
    <col min="12" max="12" width="16.5546875" bestFit="1" customWidth="1"/>
    <col min="13" max="13" width="10.109375" bestFit="1" customWidth="1"/>
  </cols>
  <sheetData>
    <row r="1" spans="1:15" ht="26.25">
      <c r="A1" s="406" t="s">
        <v>734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5" ht="21.2" customHeight="1">
      <c r="A2" s="407" t="s">
        <v>52</v>
      </c>
      <c r="B2" s="408" t="s">
        <v>53</v>
      </c>
      <c r="C2" s="407" t="s">
        <v>3</v>
      </c>
      <c r="D2" s="407" t="s">
        <v>54</v>
      </c>
      <c r="E2" s="409" t="s">
        <v>55</v>
      </c>
      <c r="F2" s="409"/>
      <c r="G2" s="409"/>
      <c r="H2" s="409"/>
      <c r="I2" s="409"/>
      <c r="J2" s="409"/>
      <c r="K2" s="407" t="s">
        <v>56</v>
      </c>
    </row>
    <row r="3" spans="1:15" ht="21.2" customHeight="1">
      <c r="A3" s="407"/>
      <c r="B3" s="408"/>
      <c r="C3" s="407"/>
      <c r="D3" s="407"/>
      <c r="E3" s="409" t="s">
        <v>57</v>
      </c>
      <c r="F3" s="135" t="s">
        <v>57</v>
      </c>
      <c r="G3" s="135" t="s">
        <v>57</v>
      </c>
      <c r="H3" s="135" t="s">
        <v>58</v>
      </c>
      <c r="I3" s="135" t="s">
        <v>58</v>
      </c>
      <c r="J3" s="135" t="s">
        <v>58</v>
      </c>
      <c r="K3" s="407"/>
    </row>
    <row r="4" spans="1:15" ht="21.2" customHeight="1">
      <c r="A4" s="407"/>
      <c r="B4" s="408"/>
      <c r="C4" s="407"/>
      <c r="D4" s="407"/>
      <c r="E4" s="409"/>
      <c r="F4" s="67" t="s">
        <v>59</v>
      </c>
      <c r="G4" s="67" t="s">
        <v>60</v>
      </c>
      <c r="H4" s="67" t="s">
        <v>61</v>
      </c>
      <c r="I4" s="67" t="s">
        <v>62</v>
      </c>
      <c r="J4" s="67" t="s">
        <v>63</v>
      </c>
      <c r="K4" s="407"/>
    </row>
    <row r="5" spans="1:15" ht="21.2" customHeight="1">
      <c r="A5" s="136"/>
      <c r="B5" s="55"/>
      <c r="C5" s="136"/>
      <c r="D5" s="138"/>
      <c r="E5" s="139"/>
      <c r="F5" s="138"/>
      <c r="G5" s="140"/>
      <c r="H5" s="140"/>
      <c r="I5" s="140"/>
      <c r="J5" s="139"/>
      <c r="K5" s="139"/>
      <c r="L5" s="150"/>
      <c r="M5" s="150"/>
      <c r="N5" s="150"/>
      <c r="O5" s="154"/>
    </row>
    <row r="6" spans="1:15" ht="21.2" customHeight="1">
      <c r="A6" s="136"/>
      <c r="B6" s="55"/>
      <c r="C6" s="136"/>
      <c r="D6" s="138"/>
      <c r="E6" s="139"/>
      <c r="F6" s="138"/>
      <c r="G6" s="140"/>
      <c r="H6" s="140"/>
      <c r="I6" s="140"/>
      <c r="J6" s="139"/>
      <c r="K6" s="139"/>
      <c r="L6" s="150"/>
      <c r="M6" s="150"/>
      <c r="N6" s="150"/>
      <c r="O6" s="154"/>
    </row>
    <row r="7" spans="1:15" ht="21.2" customHeight="1">
      <c r="A7" s="137"/>
      <c r="B7" s="208"/>
      <c r="C7" s="136"/>
      <c r="D7" s="138"/>
      <c r="E7" s="139"/>
      <c r="F7" s="138"/>
      <c r="G7" s="140"/>
      <c r="H7" s="140"/>
      <c r="I7" s="140"/>
      <c r="J7" s="139"/>
      <c r="K7" s="139"/>
      <c r="L7" s="150"/>
      <c r="M7" s="150"/>
      <c r="N7" s="150"/>
      <c r="O7" s="154"/>
    </row>
    <row r="8" spans="1:15" ht="21.2" customHeight="1">
      <c r="A8" s="137"/>
      <c r="B8" s="137"/>
      <c r="C8" s="136"/>
      <c r="D8" s="138"/>
      <c r="E8" s="139"/>
      <c r="F8" s="138"/>
      <c r="G8" s="139"/>
      <c r="H8" s="139"/>
      <c r="I8" s="140"/>
      <c r="J8" s="139"/>
      <c r="K8" s="139"/>
    </row>
    <row r="9" spans="1:15" ht="21.2" customHeight="1">
      <c r="A9" s="137"/>
      <c r="B9" s="137"/>
      <c r="C9" s="136"/>
      <c r="D9" s="138"/>
      <c r="E9" s="139"/>
      <c r="F9" s="138"/>
      <c r="G9" s="140"/>
      <c r="H9" s="139"/>
      <c r="I9" s="140"/>
      <c r="J9" s="139"/>
      <c r="K9" s="139"/>
    </row>
    <row r="10" spans="1:15" ht="21.2" customHeight="1">
      <c r="A10" s="141"/>
      <c r="B10" s="136"/>
      <c r="C10" s="136"/>
      <c r="D10" s="143"/>
      <c r="E10" s="21"/>
      <c r="F10" s="143"/>
      <c r="G10" s="144"/>
      <c r="H10" s="21"/>
      <c r="I10" s="140"/>
      <c r="J10" s="139"/>
      <c r="K10" s="139"/>
    </row>
    <row r="11" spans="1:15" ht="21.2" customHeight="1">
      <c r="A11" s="141"/>
      <c r="B11" s="137"/>
      <c r="C11" s="136"/>
      <c r="D11" s="138"/>
      <c r="E11" s="139"/>
      <c r="F11" s="138"/>
      <c r="G11" s="140"/>
      <c r="H11" s="139"/>
      <c r="I11" s="140"/>
      <c r="J11" s="139"/>
      <c r="K11" s="139"/>
    </row>
    <row r="12" spans="1:15" ht="21.2" customHeight="1">
      <c r="A12" s="141"/>
      <c r="B12" s="141"/>
      <c r="C12" s="142"/>
      <c r="D12" s="143"/>
      <c r="E12" s="21"/>
      <c r="F12" s="143"/>
      <c r="G12" s="144"/>
      <c r="H12" s="21"/>
      <c r="I12" s="140"/>
      <c r="J12" s="139"/>
      <c r="K12" s="139"/>
    </row>
    <row r="13" spans="1:15" ht="21.2" customHeight="1">
      <c r="A13" s="141"/>
      <c r="B13" s="141"/>
      <c r="C13" s="142"/>
      <c r="D13" s="143"/>
      <c r="E13" s="21"/>
      <c r="F13" s="143"/>
      <c r="G13" s="144"/>
      <c r="H13" s="21"/>
      <c r="I13" s="140"/>
      <c r="J13" s="139"/>
      <c r="K13" s="139"/>
    </row>
    <row r="14" spans="1:15" ht="21.2" customHeight="1">
      <c r="A14" s="141"/>
      <c r="B14" s="141"/>
      <c r="C14" s="142"/>
      <c r="D14" s="143"/>
      <c r="E14" s="21"/>
      <c r="F14" s="143"/>
      <c r="G14" s="144"/>
      <c r="H14" s="21"/>
      <c r="I14" s="140"/>
      <c r="J14" s="139"/>
      <c r="K14" s="139"/>
    </row>
    <row r="15" spans="1:15" ht="21.2" customHeight="1">
      <c r="A15" s="141"/>
      <c r="B15" s="141"/>
      <c r="C15" s="142"/>
      <c r="D15" s="143"/>
      <c r="E15" s="21"/>
      <c r="F15" s="143"/>
      <c r="G15" s="144"/>
      <c r="H15" s="21"/>
      <c r="I15" s="140"/>
      <c r="J15" s="139"/>
      <c r="K15" s="139"/>
    </row>
    <row r="16" spans="1:15" ht="21.2" customHeight="1">
      <c r="A16" s="141"/>
      <c r="B16" s="141"/>
      <c r="C16" s="142"/>
      <c r="D16" s="143"/>
      <c r="E16" s="21"/>
      <c r="F16" s="143"/>
      <c r="G16" s="144"/>
      <c r="H16" s="21"/>
      <c r="I16" s="21"/>
      <c r="J16" s="21"/>
      <c r="K16" s="139"/>
    </row>
    <row r="17" spans="1:11" ht="21.2" customHeight="1">
      <c r="A17" s="141"/>
      <c r="B17" s="141"/>
      <c r="C17" s="142"/>
      <c r="D17" s="143"/>
      <c r="E17" s="21"/>
      <c r="F17" s="143"/>
      <c r="G17" s="144"/>
      <c r="H17" s="21"/>
      <c r="I17" s="21"/>
      <c r="J17" s="21"/>
      <c r="K17" s="139"/>
    </row>
    <row r="18" spans="1:11" ht="21.2" customHeight="1">
      <c r="A18" s="141"/>
      <c r="B18" s="141"/>
      <c r="C18" s="142"/>
      <c r="D18" s="143"/>
      <c r="E18" s="21"/>
      <c r="F18" s="143"/>
      <c r="G18" s="144"/>
      <c r="H18" s="21"/>
      <c r="I18" s="21"/>
      <c r="J18" s="21"/>
      <c r="K18" s="139"/>
    </row>
    <row r="19" spans="1:11" ht="21.2" customHeight="1">
      <c r="A19" s="141"/>
      <c r="B19" s="141"/>
      <c r="C19" s="142"/>
      <c r="D19" s="143"/>
      <c r="E19" s="21"/>
      <c r="F19" s="143"/>
      <c r="G19" s="144"/>
      <c r="H19" s="21"/>
      <c r="I19" s="21"/>
      <c r="J19" s="21"/>
      <c r="K19" s="139"/>
    </row>
    <row r="20" spans="1:11" ht="21.2" customHeight="1">
      <c r="A20" s="141"/>
      <c r="B20" s="141"/>
      <c r="C20" s="142"/>
      <c r="D20" s="143"/>
      <c r="E20" s="21"/>
      <c r="F20" s="143"/>
      <c r="G20" s="144"/>
      <c r="H20" s="21"/>
      <c r="I20" s="21"/>
      <c r="J20" s="21"/>
      <c r="K20" s="139"/>
    </row>
    <row r="21" spans="1:11" ht="21.2" customHeight="1">
      <c r="A21" s="141"/>
      <c r="B21" s="141"/>
      <c r="C21" s="142"/>
      <c r="D21" s="143"/>
      <c r="E21" s="21"/>
      <c r="F21" s="143"/>
      <c r="G21" s="144"/>
      <c r="H21" s="21"/>
      <c r="I21" s="21"/>
      <c r="J21" s="21"/>
      <c r="K21" s="139"/>
    </row>
    <row r="22" spans="1:11" ht="21.2" customHeight="1">
      <c r="A22" s="141"/>
      <c r="B22" s="141"/>
      <c r="C22" s="142"/>
      <c r="D22" s="143"/>
      <c r="E22" s="21"/>
      <c r="F22" s="143"/>
      <c r="G22" s="144"/>
      <c r="H22" s="21"/>
      <c r="I22" s="21"/>
      <c r="J22" s="21"/>
      <c r="K22" s="139"/>
    </row>
    <row r="23" spans="1:11" ht="21.2" customHeight="1">
      <c r="A23" s="141"/>
      <c r="B23" s="141"/>
      <c r="C23" s="142"/>
      <c r="D23" s="143"/>
      <c r="E23" s="21"/>
      <c r="F23" s="143"/>
      <c r="G23" s="144"/>
      <c r="H23" s="21"/>
      <c r="I23" s="21"/>
      <c r="J23" s="21"/>
      <c r="K23" s="139"/>
    </row>
    <row r="24" spans="1:11" ht="21.2" customHeight="1">
      <c r="A24" s="141"/>
      <c r="B24" s="141"/>
      <c r="C24" s="142"/>
      <c r="D24" s="143"/>
      <c r="E24" s="145"/>
      <c r="F24" s="143"/>
      <c r="G24" s="146"/>
      <c r="H24" s="145"/>
      <c r="I24" s="145"/>
      <c r="J24" s="145"/>
      <c r="K24" s="147"/>
    </row>
    <row r="25" spans="1:11" ht="21.2" customHeight="1">
      <c r="A25" s="141"/>
      <c r="B25" s="141"/>
      <c r="C25" s="142"/>
      <c r="D25" s="143"/>
      <c r="E25" s="21"/>
      <c r="F25" s="143"/>
      <c r="G25" s="144"/>
      <c r="H25" s="21"/>
      <c r="I25" s="21"/>
      <c r="J25" s="21"/>
      <c r="K25" s="21"/>
    </row>
    <row r="26" spans="1:11" ht="21.2" customHeight="1">
      <c r="A26" s="141"/>
      <c r="B26" s="141"/>
      <c r="C26" s="142"/>
      <c r="D26" s="143"/>
      <c r="E26" s="21"/>
      <c r="F26" s="143"/>
      <c r="G26" s="144"/>
      <c r="H26" s="21"/>
      <c r="I26" s="21"/>
      <c r="J26" s="21"/>
      <c r="K26" s="21"/>
    </row>
    <row r="27" spans="1:11" ht="21.2" customHeight="1">
      <c r="A27" s="141"/>
      <c r="B27" s="141"/>
      <c r="C27" s="142"/>
      <c r="D27" s="143"/>
      <c r="E27" s="21"/>
      <c r="F27" s="143"/>
      <c r="G27" s="144"/>
      <c r="H27" s="21"/>
      <c r="I27" s="21"/>
      <c r="J27" s="21"/>
      <c r="K27" s="21"/>
    </row>
    <row r="28" spans="1:11" ht="21.2" customHeight="1">
      <c r="A28" s="141"/>
      <c r="B28" s="141"/>
      <c r="C28" s="142"/>
      <c r="D28" s="143"/>
      <c r="E28" s="145"/>
      <c r="F28" s="143"/>
      <c r="G28" s="146"/>
      <c r="H28" s="145"/>
      <c r="I28" s="145"/>
      <c r="J28" s="145"/>
      <c r="K28" s="145"/>
    </row>
    <row r="29" spans="1:11" ht="20.45" customHeight="1"/>
  </sheetData>
  <mergeCells count="8">
    <mergeCell ref="A1:K1"/>
    <mergeCell ref="A2:A4"/>
    <mergeCell ref="B2:B4"/>
    <mergeCell ref="C2:C4"/>
    <mergeCell ref="D2:D4"/>
    <mergeCell ref="E2:J2"/>
    <mergeCell ref="K2:K4"/>
    <mergeCell ref="E3:E4"/>
  </mergeCells>
  <phoneticPr fontId="2" type="noConversion"/>
  <printOptions horizontalCentered="1"/>
  <pageMargins left="0.9055118110236221" right="0.62992125984251968" top="0.55118110236220474" bottom="0.31496062992125984" header="0.51181102362204722" footer="0.15748031496062992"/>
  <pageSetup paperSize="9" scale="98" fitToHeight="0" orientation="landscape" horizontalDpi="4294967293" vertic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1:I3050"/>
  <sheetViews>
    <sheetView view="pageBreakPreview" zoomScale="110" zoomScaleNormal="100" zoomScaleSheetLayoutView="110" workbookViewId="0">
      <pane ySplit="2" topLeftCell="A3" activePane="bottomLeft" state="frozen"/>
      <selection activeCell="D22" sqref="D22"/>
      <selection pane="bottomLeft" activeCell="H20" sqref="H20"/>
    </sheetView>
  </sheetViews>
  <sheetFormatPr defaultColWidth="8.88671875" defaultRowHeight="21.4" customHeight="1"/>
  <cols>
    <col min="1" max="1" width="6.21875" style="149" customWidth="1"/>
    <col min="2" max="2" width="25.33203125" style="149" customWidth="1"/>
    <col min="3" max="3" width="31.109375" style="149" customWidth="1"/>
    <col min="4" max="4" width="6.5546875" style="149" customWidth="1"/>
    <col min="5" max="5" width="8.109375" style="298" customWidth="1"/>
    <col min="6" max="6" width="8.88671875" style="298" customWidth="1"/>
    <col min="7" max="7" width="7.77734375" style="299" customWidth="1"/>
    <col min="8" max="8" width="15.33203125" style="299" customWidth="1"/>
    <col min="9" max="9" width="15.109375" style="149" customWidth="1"/>
    <col min="10" max="10" width="8.88671875" style="149"/>
    <col min="11" max="11" width="20.6640625" style="149" customWidth="1"/>
    <col min="12" max="16384" width="8.88671875" style="149"/>
  </cols>
  <sheetData>
    <row r="1" spans="2:9" ht="26.25">
      <c r="B1" s="395" t="s">
        <v>832</v>
      </c>
      <c r="C1" s="395"/>
      <c r="D1" s="395"/>
      <c r="E1" s="395"/>
      <c r="F1" s="395"/>
      <c r="G1" s="395"/>
      <c r="H1" s="395"/>
      <c r="I1" s="395"/>
    </row>
    <row r="2" spans="2:9" s="297" customFormat="1" ht="20.100000000000001" customHeight="1">
      <c r="B2" s="155" t="s">
        <v>87</v>
      </c>
      <c r="C2" s="155" t="s">
        <v>88</v>
      </c>
      <c r="D2" s="155" t="s">
        <v>115</v>
      </c>
      <c r="E2" s="413" t="s">
        <v>89</v>
      </c>
      <c r="F2" s="414"/>
      <c r="G2" s="156" t="s">
        <v>90</v>
      </c>
      <c r="H2" s="156" t="s">
        <v>91</v>
      </c>
      <c r="I2" s="155" t="s">
        <v>92</v>
      </c>
    </row>
    <row r="3" spans="2:9" s="297" customFormat="1" ht="21" customHeight="1">
      <c r="B3" s="300" t="str">
        <f>'5. 공종별예산조서'!A4</f>
        <v>1-1. 케이블 철거</v>
      </c>
      <c r="C3" s="300" t="str">
        <f>'5. 공종별예산조서'!B4</f>
        <v>0.6/1kV, F-CV 60SQ/1C 이하</v>
      </c>
      <c r="D3" s="301" t="str">
        <f>'5. 공종별예산조서'!C4</f>
        <v>M</v>
      </c>
      <c r="E3" s="309">
        <f>'5. 공종별예산조서'!D4</f>
        <v>188</v>
      </c>
      <c r="F3" s="302"/>
      <c r="G3" s="303"/>
      <c r="H3" s="304"/>
      <c r="I3" s="301"/>
    </row>
    <row r="4" spans="2:9" s="297" customFormat="1" ht="21" customHeight="1">
      <c r="B4" s="312" t="s">
        <v>834</v>
      </c>
      <c r="C4" s="305"/>
      <c r="D4" s="234"/>
      <c r="E4" s="310"/>
      <c r="F4" s="306"/>
      <c r="G4" s="232"/>
      <c r="H4" s="233"/>
      <c r="I4" s="234"/>
    </row>
    <row r="5" spans="2:9" s="297" customFormat="1" ht="21" customHeight="1">
      <c r="B5" s="305" t="s">
        <v>1072</v>
      </c>
      <c r="C5" s="305" t="str">
        <f>C3</f>
        <v>0.6/1kV, F-CV 60SQ/1C 이하</v>
      </c>
      <c r="D5" s="234" t="str">
        <f>D3</f>
        <v>M</v>
      </c>
      <c r="E5" s="311">
        <f>E3</f>
        <v>188</v>
      </c>
      <c r="F5" s="307"/>
      <c r="G5" s="232"/>
      <c r="H5" s="233"/>
      <c r="I5" s="234"/>
    </row>
    <row r="6" spans="2:9" s="297" customFormat="1" ht="21" customHeight="1">
      <c r="B6" s="305"/>
      <c r="C6" s="305"/>
      <c r="D6" s="234"/>
      <c r="E6" s="311"/>
      <c r="F6" s="307"/>
      <c r="G6" s="232"/>
      <c r="H6" s="233"/>
      <c r="I6" s="234"/>
    </row>
    <row r="7" spans="2:9" s="297" customFormat="1" ht="21" customHeight="1">
      <c r="B7" s="305"/>
      <c r="C7" s="305"/>
      <c r="D7" s="234"/>
      <c r="E7" s="311"/>
      <c r="F7" s="307"/>
      <c r="G7" s="232"/>
      <c r="H7" s="233"/>
      <c r="I7" s="234"/>
    </row>
    <row r="8" spans="2:9" s="297" customFormat="1" ht="21" customHeight="1">
      <c r="B8" s="305"/>
      <c r="C8" s="305"/>
      <c r="D8" s="234"/>
      <c r="E8" s="311"/>
      <c r="F8" s="307"/>
      <c r="G8" s="232"/>
      <c r="H8" s="233"/>
      <c r="I8" s="234"/>
    </row>
    <row r="9" spans="2:9" s="297" customFormat="1" ht="21" customHeight="1">
      <c r="B9" s="305"/>
      <c r="C9" s="305"/>
      <c r="D9" s="234"/>
      <c r="E9" s="311"/>
      <c r="F9" s="307"/>
      <c r="G9" s="232"/>
      <c r="H9" s="233"/>
      <c r="I9" s="234"/>
    </row>
    <row r="10" spans="2:9" s="297" customFormat="1" ht="21" customHeight="1">
      <c r="B10" s="305"/>
      <c r="C10" s="305"/>
      <c r="D10" s="234"/>
      <c r="E10" s="311"/>
      <c r="F10" s="307"/>
      <c r="G10" s="232"/>
      <c r="H10" s="233"/>
      <c r="I10" s="234"/>
    </row>
    <row r="11" spans="2:9" s="297" customFormat="1" ht="21" customHeight="1">
      <c r="B11" s="305"/>
      <c r="C11" s="305"/>
      <c r="D11" s="234"/>
      <c r="E11" s="307"/>
      <c r="F11" s="307"/>
      <c r="G11" s="232"/>
      <c r="H11" s="232"/>
      <c r="I11" s="234"/>
    </row>
    <row r="12" spans="2:9" s="297" customFormat="1" ht="21" customHeight="1">
      <c r="B12" s="312" t="s">
        <v>835</v>
      </c>
      <c r="C12" s="305"/>
      <c r="D12" s="234"/>
      <c r="E12" s="307"/>
      <c r="F12" s="307"/>
      <c r="G12" s="232"/>
      <c r="H12" s="233"/>
      <c r="I12" s="234"/>
    </row>
    <row r="13" spans="2:9" s="297" customFormat="1" ht="21" customHeight="1">
      <c r="B13" s="305"/>
      <c r="C13" s="305" t="s">
        <v>1166</v>
      </c>
      <c r="D13" s="234" t="s">
        <v>836</v>
      </c>
      <c r="E13" s="307">
        <v>3.915</v>
      </c>
      <c r="F13" s="307"/>
      <c r="G13" s="232"/>
      <c r="H13" s="233"/>
      <c r="I13" s="234"/>
    </row>
    <row r="14" spans="2:9" s="297" customFormat="1" ht="21" customHeight="1">
      <c r="B14" s="305"/>
      <c r="C14" s="305"/>
      <c r="D14" s="234"/>
      <c r="E14" s="307"/>
      <c r="F14" s="307"/>
      <c r="G14" s="232"/>
      <c r="H14" s="233"/>
      <c r="I14" s="234"/>
    </row>
    <row r="15" spans="2:9" s="297" customFormat="1" ht="21" customHeight="1">
      <c r="B15" s="305"/>
      <c r="C15" s="305"/>
      <c r="D15" s="234"/>
      <c r="E15" s="306"/>
      <c r="F15" s="306"/>
      <c r="G15" s="232"/>
      <c r="H15" s="232"/>
      <c r="I15" s="234"/>
    </row>
    <row r="16" spans="2:9" s="297" customFormat="1" ht="21" customHeight="1">
      <c r="B16" s="305"/>
      <c r="C16" s="305"/>
      <c r="D16" s="234"/>
      <c r="E16" s="306"/>
      <c r="F16" s="306"/>
      <c r="G16" s="308"/>
      <c r="H16" s="233"/>
      <c r="I16" s="234"/>
    </row>
    <row r="17" spans="2:9" s="297" customFormat="1" ht="21" customHeight="1">
      <c r="B17" s="305"/>
      <c r="C17" s="305"/>
      <c r="D17" s="234"/>
      <c r="E17" s="306"/>
      <c r="F17" s="306"/>
      <c r="G17" s="308"/>
      <c r="H17" s="233"/>
      <c r="I17" s="234"/>
    </row>
    <row r="18" spans="2:9" s="297" customFormat="1" ht="21" customHeight="1">
      <c r="B18" s="305"/>
      <c r="C18" s="305"/>
      <c r="D18" s="234"/>
      <c r="E18" s="306"/>
      <c r="F18" s="306"/>
      <c r="G18" s="308"/>
      <c r="H18" s="233"/>
      <c r="I18" s="234"/>
    </row>
    <row r="19" spans="2:9" s="297" customFormat="1" ht="21" customHeight="1">
      <c r="B19" s="312" t="s">
        <v>837</v>
      </c>
      <c r="C19" s="305"/>
      <c r="D19" s="234"/>
      <c r="E19" s="307"/>
      <c r="F19" s="307"/>
      <c r="G19" s="232"/>
      <c r="H19" s="233"/>
      <c r="I19" s="234"/>
    </row>
    <row r="20" spans="2:9" s="297" customFormat="1" ht="21" customHeight="1">
      <c r="B20" s="305"/>
      <c r="C20" s="305" t="s">
        <v>1166</v>
      </c>
      <c r="D20" s="234" t="s">
        <v>836</v>
      </c>
      <c r="E20" s="307">
        <v>0.11700000000000001</v>
      </c>
      <c r="F20" s="307"/>
      <c r="G20" s="232"/>
      <c r="H20" s="233"/>
      <c r="I20" s="234"/>
    </row>
    <row r="21" spans="2:9" s="297" customFormat="1" ht="21" customHeight="1">
      <c r="B21" s="305"/>
      <c r="C21" s="305"/>
      <c r="D21" s="234"/>
      <c r="E21" s="307"/>
      <c r="F21" s="307"/>
      <c r="G21" s="232"/>
      <c r="H21" s="233"/>
      <c r="I21" s="234"/>
    </row>
    <row r="22" spans="2:9" s="297" customFormat="1" ht="21" customHeight="1">
      <c r="B22" s="305"/>
      <c r="C22" s="305"/>
      <c r="D22" s="234"/>
      <c r="E22" s="306"/>
      <c r="F22" s="306"/>
      <c r="G22" s="232"/>
      <c r="H22" s="232"/>
      <c r="I22" s="234"/>
    </row>
    <row r="23" spans="2:9" s="297" customFormat="1" ht="21" customHeight="1">
      <c r="B23" s="305"/>
      <c r="C23" s="305"/>
      <c r="D23" s="234"/>
      <c r="E23" s="306"/>
      <c r="F23" s="306"/>
      <c r="G23" s="308"/>
      <c r="H23" s="233"/>
      <c r="I23" s="234"/>
    </row>
    <row r="24" spans="2:9" s="297" customFormat="1" ht="21" customHeight="1">
      <c r="B24" s="305"/>
      <c r="C24" s="305"/>
      <c r="D24" s="234"/>
      <c r="E24" s="306"/>
      <c r="F24" s="306"/>
      <c r="G24" s="308"/>
      <c r="H24" s="233"/>
      <c r="I24" s="234"/>
    </row>
    <row r="25" spans="2:9" s="297" customFormat="1" ht="21" customHeight="1">
      <c r="B25" s="305"/>
      <c r="C25" s="305"/>
      <c r="D25" s="234"/>
      <c r="E25" s="306"/>
      <c r="F25" s="306"/>
      <c r="G25" s="308"/>
      <c r="H25" s="233"/>
      <c r="I25" s="234"/>
    </row>
    <row r="26" spans="2:9" s="297" customFormat="1" ht="21" customHeight="1">
      <c r="B26" s="305"/>
      <c r="C26" s="305"/>
      <c r="D26" s="234"/>
      <c r="E26" s="306"/>
      <c r="F26" s="306"/>
      <c r="G26" s="308"/>
      <c r="H26" s="233"/>
      <c r="I26" s="234"/>
    </row>
    <row r="27" spans="2:9" s="297" customFormat="1" ht="21" customHeight="1">
      <c r="B27" s="300" t="str">
        <f>'5. 공종별예산조서'!A5</f>
        <v>1-2. 케이블 철거</v>
      </c>
      <c r="C27" s="300" t="str">
        <f>'5. 공종별예산조서'!B5</f>
        <v>0.6/1kV, F-CV 60SQ/1C 이하</v>
      </c>
      <c r="D27" s="301" t="str">
        <f>'5. 공종별예산조서'!C5</f>
        <v>M</v>
      </c>
      <c r="E27" s="309">
        <f>'5. 공종별예산조서'!D5</f>
        <v>12</v>
      </c>
      <c r="F27" s="302"/>
      <c r="G27" s="303"/>
      <c r="H27" s="304"/>
      <c r="I27" s="301"/>
    </row>
    <row r="28" spans="2:9" s="297" customFormat="1" ht="21" customHeight="1">
      <c r="B28" s="312" t="s">
        <v>834</v>
      </c>
      <c r="C28" s="305"/>
      <c r="D28" s="234"/>
      <c r="E28" s="310"/>
      <c r="F28" s="306"/>
      <c r="G28" s="232"/>
      <c r="H28" s="233"/>
      <c r="I28" s="234"/>
    </row>
    <row r="29" spans="2:9" s="297" customFormat="1" ht="21" customHeight="1">
      <c r="B29" s="305" t="s">
        <v>1073</v>
      </c>
      <c r="C29" s="305" t="str">
        <f>C27</f>
        <v>0.6/1kV, F-CV 60SQ/1C 이하</v>
      </c>
      <c r="D29" s="234" t="str">
        <f>D27</f>
        <v>M</v>
      </c>
      <c r="E29" s="311">
        <f>E27</f>
        <v>12</v>
      </c>
      <c r="F29" s="307"/>
      <c r="G29" s="232"/>
      <c r="H29" s="233"/>
      <c r="I29" s="234"/>
    </row>
    <row r="30" spans="2:9" s="297" customFormat="1" ht="21" customHeight="1">
      <c r="B30" s="305"/>
      <c r="C30" s="305"/>
      <c r="D30" s="234"/>
      <c r="E30" s="311"/>
      <c r="F30" s="307"/>
      <c r="G30" s="232"/>
      <c r="H30" s="233"/>
      <c r="I30" s="234"/>
    </row>
    <row r="31" spans="2:9" s="297" customFormat="1" ht="21" customHeight="1">
      <c r="B31" s="305"/>
      <c r="C31" s="305"/>
      <c r="D31" s="234"/>
      <c r="E31" s="311"/>
      <c r="F31" s="307"/>
      <c r="G31" s="232"/>
      <c r="H31" s="233"/>
      <c r="I31" s="234"/>
    </row>
    <row r="32" spans="2:9" s="297" customFormat="1" ht="21" customHeight="1">
      <c r="B32" s="305"/>
      <c r="C32" s="305"/>
      <c r="D32" s="234"/>
      <c r="E32" s="311"/>
      <c r="F32" s="307"/>
      <c r="G32" s="232"/>
      <c r="H32" s="233"/>
      <c r="I32" s="234"/>
    </row>
    <row r="33" spans="2:9" s="297" customFormat="1" ht="21" customHeight="1">
      <c r="B33" s="305"/>
      <c r="C33" s="305"/>
      <c r="D33" s="234"/>
      <c r="E33" s="311"/>
      <c r="F33" s="307"/>
      <c r="G33" s="232"/>
      <c r="H33" s="233"/>
      <c r="I33" s="234"/>
    </row>
    <row r="34" spans="2:9" s="297" customFormat="1" ht="21" customHeight="1">
      <c r="B34" s="305"/>
      <c r="C34" s="305"/>
      <c r="D34" s="234"/>
      <c r="E34" s="311"/>
      <c r="F34" s="307"/>
      <c r="G34" s="232"/>
      <c r="H34" s="233"/>
      <c r="I34" s="234"/>
    </row>
    <row r="35" spans="2:9" s="297" customFormat="1" ht="21" customHeight="1">
      <c r="B35" s="305"/>
      <c r="C35" s="305"/>
      <c r="D35" s="234"/>
      <c r="E35" s="307"/>
      <c r="F35" s="307"/>
      <c r="G35" s="232"/>
      <c r="H35" s="232"/>
      <c r="I35" s="234"/>
    </row>
    <row r="36" spans="2:9" s="297" customFormat="1" ht="21" customHeight="1">
      <c r="B36" s="312" t="s">
        <v>835</v>
      </c>
      <c r="C36" s="305"/>
      <c r="D36" s="234"/>
      <c r="E36" s="307"/>
      <c r="F36" s="307"/>
      <c r="G36" s="232"/>
      <c r="H36" s="233"/>
      <c r="I36" s="234"/>
    </row>
    <row r="37" spans="2:9" s="297" customFormat="1" ht="21" customHeight="1">
      <c r="B37" s="305"/>
      <c r="C37" s="305" t="s">
        <v>1166</v>
      </c>
      <c r="D37" s="234" t="s">
        <v>836</v>
      </c>
      <c r="E37" s="307">
        <v>0.255</v>
      </c>
      <c r="F37" s="307"/>
      <c r="G37" s="232"/>
      <c r="H37" s="233"/>
      <c r="I37" s="234"/>
    </row>
    <row r="38" spans="2:9" s="297" customFormat="1" ht="21" customHeight="1">
      <c r="B38" s="305"/>
      <c r="C38" s="305"/>
      <c r="D38" s="234"/>
      <c r="E38" s="307"/>
      <c r="F38" s="307"/>
      <c r="G38" s="232"/>
      <c r="H38" s="233"/>
      <c r="I38" s="234"/>
    </row>
    <row r="39" spans="2:9" s="297" customFormat="1" ht="21" customHeight="1">
      <c r="B39" s="305"/>
      <c r="C39" s="305"/>
      <c r="D39" s="234"/>
      <c r="E39" s="306"/>
      <c r="F39" s="306"/>
      <c r="G39" s="232"/>
      <c r="H39" s="232"/>
      <c r="I39" s="234"/>
    </row>
    <row r="40" spans="2:9" s="297" customFormat="1" ht="21" customHeight="1">
      <c r="B40" s="305"/>
      <c r="C40" s="305"/>
      <c r="D40" s="234"/>
      <c r="E40" s="306"/>
      <c r="F40" s="306"/>
      <c r="G40" s="308"/>
      <c r="H40" s="233"/>
      <c r="I40" s="234"/>
    </row>
    <row r="41" spans="2:9" s="297" customFormat="1" ht="21" customHeight="1">
      <c r="B41" s="305"/>
      <c r="C41" s="305"/>
      <c r="D41" s="234"/>
      <c r="E41" s="306"/>
      <c r="F41" s="306"/>
      <c r="G41" s="308"/>
      <c r="H41" s="233"/>
      <c r="I41" s="234"/>
    </row>
    <row r="42" spans="2:9" s="297" customFormat="1" ht="21" customHeight="1">
      <c r="B42" s="305"/>
      <c r="C42" s="305"/>
      <c r="D42" s="234"/>
      <c r="E42" s="306"/>
      <c r="F42" s="306"/>
      <c r="G42" s="308"/>
      <c r="H42" s="233"/>
      <c r="I42" s="234"/>
    </row>
    <row r="43" spans="2:9" s="297" customFormat="1" ht="21" customHeight="1">
      <c r="B43" s="312" t="s">
        <v>837</v>
      </c>
      <c r="C43" s="305"/>
      <c r="D43" s="234"/>
      <c r="E43" s="307"/>
      <c r="F43" s="307"/>
      <c r="G43" s="232"/>
      <c r="H43" s="233"/>
      <c r="I43" s="234"/>
    </row>
    <row r="44" spans="2:9" s="297" customFormat="1" ht="21" customHeight="1">
      <c r="B44" s="305"/>
      <c r="C44" s="305" t="s">
        <v>1166</v>
      </c>
      <c r="D44" s="234" t="s">
        <v>836</v>
      </c>
      <c r="E44" s="307">
        <v>8.0000000000000002E-3</v>
      </c>
      <c r="F44" s="307"/>
      <c r="G44" s="232"/>
      <c r="H44" s="233"/>
      <c r="I44" s="234"/>
    </row>
    <row r="45" spans="2:9" s="297" customFormat="1" ht="21" customHeight="1">
      <c r="B45" s="305"/>
      <c r="C45" s="305"/>
      <c r="D45" s="234"/>
      <c r="E45" s="307"/>
      <c r="F45" s="307"/>
      <c r="G45" s="232"/>
      <c r="H45" s="233"/>
      <c r="I45" s="234"/>
    </row>
    <row r="46" spans="2:9" s="297" customFormat="1" ht="21" customHeight="1">
      <c r="B46" s="305"/>
      <c r="C46" s="305"/>
      <c r="D46" s="234"/>
      <c r="E46" s="306"/>
      <c r="F46" s="306"/>
      <c r="G46" s="232"/>
      <c r="H46" s="232"/>
      <c r="I46" s="234"/>
    </row>
    <row r="47" spans="2:9" s="297" customFormat="1" ht="21" customHeight="1">
      <c r="B47" s="305"/>
      <c r="C47" s="305"/>
      <c r="D47" s="234"/>
      <c r="E47" s="306"/>
      <c r="F47" s="306"/>
      <c r="G47" s="308"/>
      <c r="H47" s="233"/>
      <c r="I47" s="234"/>
    </row>
    <row r="48" spans="2:9" s="297" customFormat="1" ht="21" customHeight="1">
      <c r="B48" s="305"/>
      <c r="C48" s="305"/>
      <c r="D48" s="234"/>
      <c r="E48" s="306"/>
      <c r="F48" s="306"/>
      <c r="G48" s="308"/>
      <c r="H48" s="233"/>
      <c r="I48" s="234"/>
    </row>
    <row r="49" spans="2:9" s="297" customFormat="1" ht="21" customHeight="1">
      <c r="B49" s="305"/>
      <c r="C49" s="305"/>
      <c r="D49" s="234"/>
      <c r="E49" s="306"/>
      <c r="F49" s="306"/>
      <c r="G49" s="308"/>
      <c r="H49" s="233"/>
      <c r="I49" s="234"/>
    </row>
    <row r="50" spans="2:9" s="297" customFormat="1" ht="21" customHeight="1">
      <c r="B50" s="305"/>
      <c r="C50" s="305"/>
      <c r="D50" s="234"/>
      <c r="E50" s="306"/>
      <c r="F50" s="306"/>
      <c r="G50" s="308"/>
      <c r="H50" s="233"/>
      <c r="I50" s="234"/>
    </row>
    <row r="51" spans="2:9" s="297" customFormat="1" ht="21" customHeight="1">
      <c r="B51" s="300" t="str">
        <f>'5. 공종별예산조서'!A6</f>
        <v>1-3. 케이블 철거</v>
      </c>
      <c r="C51" s="300" t="str">
        <f>'5. 공종별예산조서'!B6</f>
        <v>0.6/1kV, F-CV 38SQ/1C 이하</v>
      </c>
      <c r="D51" s="301" t="str">
        <f>'5. 공종별예산조서'!C6</f>
        <v>M</v>
      </c>
      <c r="E51" s="309">
        <f>'5. 공종별예산조서'!D6</f>
        <v>196</v>
      </c>
      <c r="F51" s="302"/>
      <c r="G51" s="303"/>
      <c r="H51" s="304"/>
      <c r="I51" s="301"/>
    </row>
    <row r="52" spans="2:9" s="297" customFormat="1" ht="21" customHeight="1">
      <c r="B52" s="312" t="s">
        <v>834</v>
      </c>
      <c r="C52" s="305"/>
      <c r="D52" s="234"/>
      <c r="E52" s="310"/>
      <c r="F52" s="306"/>
      <c r="G52" s="232"/>
      <c r="H52" s="233"/>
      <c r="I52" s="234"/>
    </row>
    <row r="53" spans="2:9" s="297" customFormat="1" ht="21" customHeight="1">
      <c r="B53" s="305" t="s">
        <v>1072</v>
      </c>
      <c r="C53" s="305" t="str">
        <f>C51</f>
        <v>0.6/1kV, F-CV 38SQ/1C 이하</v>
      </c>
      <c r="D53" s="234" t="str">
        <f>D51</f>
        <v>M</v>
      </c>
      <c r="E53" s="311">
        <f>E51</f>
        <v>196</v>
      </c>
      <c r="F53" s="307"/>
      <c r="G53" s="232"/>
      <c r="H53" s="233"/>
      <c r="I53" s="234"/>
    </row>
    <row r="54" spans="2:9" s="297" customFormat="1" ht="21" customHeight="1">
      <c r="B54" s="305"/>
      <c r="C54" s="305"/>
      <c r="D54" s="234"/>
      <c r="E54" s="311"/>
      <c r="F54" s="307"/>
      <c r="G54" s="232"/>
      <c r="H54" s="233"/>
      <c r="I54" s="234"/>
    </row>
    <row r="55" spans="2:9" s="297" customFormat="1" ht="21" customHeight="1">
      <c r="B55" s="305"/>
      <c r="C55" s="305"/>
      <c r="D55" s="234"/>
      <c r="E55" s="311"/>
      <c r="F55" s="307"/>
      <c r="G55" s="232"/>
      <c r="H55" s="233"/>
      <c r="I55" s="234"/>
    </row>
    <row r="56" spans="2:9" s="297" customFormat="1" ht="21" customHeight="1">
      <c r="B56" s="305"/>
      <c r="C56" s="305"/>
      <c r="D56" s="234"/>
      <c r="E56" s="311"/>
      <c r="F56" s="307"/>
      <c r="G56" s="232"/>
      <c r="H56" s="233"/>
      <c r="I56" s="234"/>
    </row>
    <row r="57" spans="2:9" s="297" customFormat="1" ht="21" customHeight="1">
      <c r="B57" s="305"/>
      <c r="C57" s="305"/>
      <c r="D57" s="234"/>
      <c r="E57" s="311"/>
      <c r="F57" s="307"/>
      <c r="G57" s="232"/>
      <c r="H57" s="233"/>
      <c r="I57" s="234"/>
    </row>
    <row r="58" spans="2:9" s="297" customFormat="1" ht="21" customHeight="1">
      <c r="B58" s="305"/>
      <c r="C58" s="305"/>
      <c r="D58" s="234"/>
      <c r="E58" s="311"/>
      <c r="F58" s="307"/>
      <c r="G58" s="232"/>
      <c r="H58" s="233"/>
      <c r="I58" s="234"/>
    </row>
    <row r="59" spans="2:9" s="297" customFormat="1" ht="21" customHeight="1">
      <c r="B59" s="305"/>
      <c r="C59" s="305"/>
      <c r="D59" s="234"/>
      <c r="E59" s="307"/>
      <c r="F59" s="307"/>
      <c r="G59" s="232"/>
      <c r="H59" s="232"/>
      <c r="I59" s="234"/>
    </row>
    <row r="60" spans="2:9" s="297" customFormat="1" ht="21" customHeight="1">
      <c r="B60" s="312" t="s">
        <v>835</v>
      </c>
      <c r="C60" s="305"/>
      <c r="D60" s="234"/>
      <c r="E60" s="307"/>
      <c r="F60" s="307"/>
      <c r="G60" s="232"/>
      <c r="H60" s="233"/>
      <c r="I60" s="234"/>
    </row>
    <row r="61" spans="2:9" s="297" customFormat="1" ht="21" customHeight="1">
      <c r="B61" s="305"/>
      <c r="C61" s="305" t="s">
        <v>1166</v>
      </c>
      <c r="D61" s="234" t="s">
        <v>836</v>
      </c>
      <c r="E61" s="307">
        <v>2.9990000000000001</v>
      </c>
      <c r="F61" s="307"/>
      <c r="G61" s="232"/>
      <c r="H61" s="233"/>
      <c r="I61" s="234"/>
    </row>
    <row r="62" spans="2:9" s="297" customFormat="1" ht="21" customHeight="1">
      <c r="B62" s="305"/>
      <c r="C62" s="305"/>
      <c r="D62" s="234"/>
      <c r="E62" s="307"/>
      <c r="F62" s="307"/>
      <c r="G62" s="232"/>
      <c r="H62" s="233"/>
      <c r="I62" s="234"/>
    </row>
    <row r="63" spans="2:9" s="297" customFormat="1" ht="21" customHeight="1">
      <c r="B63" s="305"/>
      <c r="C63" s="305"/>
      <c r="D63" s="234"/>
      <c r="E63" s="306"/>
      <c r="F63" s="306"/>
      <c r="G63" s="232"/>
      <c r="H63" s="232"/>
      <c r="I63" s="234"/>
    </row>
    <row r="64" spans="2:9" s="297" customFormat="1" ht="21" customHeight="1">
      <c r="B64" s="305"/>
      <c r="C64" s="305"/>
      <c r="D64" s="234"/>
      <c r="E64" s="306"/>
      <c r="F64" s="306"/>
      <c r="G64" s="308"/>
      <c r="H64" s="233"/>
      <c r="I64" s="234"/>
    </row>
    <row r="65" spans="2:9" s="297" customFormat="1" ht="21" customHeight="1">
      <c r="B65" s="305"/>
      <c r="C65" s="305"/>
      <c r="D65" s="234"/>
      <c r="E65" s="306"/>
      <c r="F65" s="306"/>
      <c r="G65" s="308"/>
      <c r="H65" s="233"/>
      <c r="I65" s="234"/>
    </row>
    <row r="66" spans="2:9" s="297" customFormat="1" ht="21" customHeight="1">
      <c r="B66" s="305"/>
      <c r="C66" s="305"/>
      <c r="D66" s="234"/>
      <c r="E66" s="306"/>
      <c r="F66" s="306"/>
      <c r="G66" s="308"/>
      <c r="H66" s="233"/>
      <c r="I66" s="234"/>
    </row>
    <row r="67" spans="2:9" s="297" customFormat="1" ht="21" customHeight="1">
      <c r="B67" s="312" t="s">
        <v>837</v>
      </c>
      <c r="C67" s="305"/>
      <c r="D67" s="234"/>
      <c r="E67" s="307"/>
      <c r="F67" s="307"/>
      <c r="G67" s="232"/>
      <c r="H67" s="233"/>
      <c r="I67" s="234"/>
    </row>
    <row r="68" spans="2:9" s="297" customFormat="1" ht="21" customHeight="1">
      <c r="B68" s="305"/>
      <c r="C68" s="305" t="s">
        <v>1166</v>
      </c>
      <c r="D68" s="234" t="s">
        <v>836</v>
      </c>
      <c r="E68" s="307">
        <v>0.09</v>
      </c>
      <c r="F68" s="307"/>
      <c r="G68" s="232"/>
      <c r="H68" s="233"/>
      <c r="I68" s="234"/>
    </row>
    <row r="69" spans="2:9" s="297" customFormat="1" ht="21" customHeight="1">
      <c r="B69" s="305"/>
      <c r="C69" s="305"/>
      <c r="D69" s="234"/>
      <c r="E69" s="307"/>
      <c r="F69" s="307"/>
      <c r="G69" s="232"/>
      <c r="H69" s="233"/>
      <c r="I69" s="234"/>
    </row>
    <row r="70" spans="2:9" s="297" customFormat="1" ht="21" customHeight="1">
      <c r="B70" s="305"/>
      <c r="C70" s="305"/>
      <c r="D70" s="234"/>
      <c r="E70" s="306"/>
      <c r="F70" s="306"/>
      <c r="G70" s="232"/>
      <c r="H70" s="232"/>
      <c r="I70" s="234"/>
    </row>
    <row r="71" spans="2:9" s="297" customFormat="1" ht="21" customHeight="1">
      <c r="B71" s="305"/>
      <c r="C71" s="305"/>
      <c r="D71" s="234"/>
      <c r="E71" s="306"/>
      <c r="F71" s="306"/>
      <c r="G71" s="308"/>
      <c r="H71" s="233"/>
      <c r="I71" s="234"/>
    </row>
    <row r="72" spans="2:9" s="297" customFormat="1" ht="21" customHeight="1">
      <c r="B72" s="305"/>
      <c r="C72" s="305"/>
      <c r="D72" s="234"/>
      <c r="E72" s="306"/>
      <c r="F72" s="306"/>
      <c r="G72" s="308"/>
      <c r="H72" s="233"/>
      <c r="I72" s="234"/>
    </row>
    <row r="73" spans="2:9" s="297" customFormat="1" ht="21" customHeight="1">
      <c r="B73" s="305"/>
      <c r="C73" s="305"/>
      <c r="D73" s="234"/>
      <c r="E73" s="306"/>
      <c r="F73" s="306"/>
      <c r="G73" s="308"/>
      <c r="H73" s="233"/>
      <c r="I73" s="234"/>
    </row>
    <row r="74" spans="2:9" s="297" customFormat="1" ht="21" customHeight="1">
      <c r="B74" s="305"/>
      <c r="C74" s="305"/>
      <c r="D74" s="234"/>
      <c r="E74" s="306"/>
      <c r="F74" s="306"/>
      <c r="G74" s="308"/>
      <c r="H74" s="233"/>
      <c r="I74" s="234"/>
    </row>
    <row r="75" spans="2:9" s="297" customFormat="1" ht="21" customHeight="1">
      <c r="B75" s="300" t="str">
        <f>'5. 공종별예산조서'!A7</f>
        <v>1-4. 케이블 철거</v>
      </c>
      <c r="C75" s="300" t="str">
        <f>'5. 공종별예산조서'!B7</f>
        <v>0.6/1kV, F-CV 38SQ/1C 이하</v>
      </c>
      <c r="D75" s="301" t="str">
        <f>'5. 공종별예산조서'!C7</f>
        <v>M</v>
      </c>
      <c r="E75" s="309">
        <f>'5. 공종별예산조서'!D7</f>
        <v>152</v>
      </c>
      <c r="F75" s="302"/>
      <c r="G75" s="303"/>
      <c r="H75" s="304"/>
      <c r="I75" s="301"/>
    </row>
    <row r="76" spans="2:9" s="297" customFormat="1" ht="21" customHeight="1">
      <c r="B76" s="312" t="s">
        <v>834</v>
      </c>
      <c r="C76" s="305"/>
      <c r="D76" s="234"/>
      <c r="E76" s="310"/>
      <c r="F76" s="306"/>
      <c r="G76" s="232"/>
      <c r="H76" s="233"/>
      <c r="I76" s="234"/>
    </row>
    <row r="77" spans="2:9" s="297" customFormat="1" ht="21" customHeight="1">
      <c r="B77" s="305" t="s">
        <v>1074</v>
      </c>
      <c r="C77" s="305" t="str">
        <f>C75</f>
        <v>0.6/1kV, F-CV 38SQ/1C 이하</v>
      </c>
      <c r="D77" s="234" t="str">
        <f>D75</f>
        <v>M</v>
      </c>
      <c r="E77" s="311">
        <f>E75</f>
        <v>152</v>
      </c>
      <c r="F77" s="307"/>
      <c r="G77" s="232"/>
      <c r="H77" s="233"/>
      <c r="I77" s="234"/>
    </row>
    <row r="78" spans="2:9" s="297" customFormat="1" ht="21" customHeight="1">
      <c r="B78" s="305"/>
      <c r="C78" s="305"/>
      <c r="D78" s="234"/>
      <c r="E78" s="311"/>
      <c r="F78" s="307"/>
      <c r="G78" s="232"/>
      <c r="H78" s="233"/>
      <c r="I78" s="234"/>
    </row>
    <row r="79" spans="2:9" s="297" customFormat="1" ht="21" customHeight="1">
      <c r="B79" s="305"/>
      <c r="C79" s="305"/>
      <c r="D79" s="234"/>
      <c r="E79" s="311"/>
      <c r="F79" s="307"/>
      <c r="G79" s="232"/>
      <c r="H79" s="233"/>
      <c r="I79" s="234"/>
    </row>
    <row r="80" spans="2:9" s="297" customFormat="1" ht="21" customHeight="1">
      <c r="B80" s="305"/>
      <c r="C80" s="305"/>
      <c r="D80" s="234"/>
      <c r="E80" s="311"/>
      <c r="F80" s="307"/>
      <c r="G80" s="232"/>
      <c r="H80" s="233"/>
      <c r="I80" s="234"/>
    </row>
    <row r="81" spans="2:9" s="297" customFormat="1" ht="21" customHeight="1">
      <c r="B81" s="305"/>
      <c r="C81" s="305"/>
      <c r="D81" s="234"/>
      <c r="E81" s="311"/>
      <c r="F81" s="307"/>
      <c r="G81" s="232"/>
      <c r="H81" s="233"/>
      <c r="I81" s="234"/>
    </row>
    <row r="82" spans="2:9" s="297" customFormat="1" ht="21" customHeight="1">
      <c r="B82" s="305"/>
      <c r="C82" s="305"/>
      <c r="D82" s="234"/>
      <c r="E82" s="311"/>
      <c r="F82" s="307"/>
      <c r="G82" s="232"/>
      <c r="H82" s="233"/>
      <c r="I82" s="234"/>
    </row>
    <row r="83" spans="2:9" s="297" customFormat="1" ht="21" customHeight="1">
      <c r="B83" s="305"/>
      <c r="C83" s="305"/>
      <c r="D83" s="234"/>
      <c r="E83" s="307"/>
      <c r="F83" s="307"/>
      <c r="G83" s="232"/>
      <c r="H83" s="232"/>
      <c r="I83" s="234"/>
    </row>
    <row r="84" spans="2:9" s="297" customFormat="1" ht="21" customHeight="1">
      <c r="B84" s="312" t="s">
        <v>835</v>
      </c>
      <c r="C84" s="305"/>
      <c r="D84" s="234"/>
      <c r="E84" s="307"/>
      <c r="F84" s="307"/>
      <c r="G84" s="232"/>
      <c r="H84" s="233"/>
      <c r="I84" s="234"/>
    </row>
    <row r="85" spans="2:9" s="297" customFormat="1" ht="21" customHeight="1">
      <c r="B85" s="305"/>
      <c r="C85" s="305" t="s">
        <v>1166</v>
      </c>
      <c r="D85" s="234" t="s">
        <v>836</v>
      </c>
      <c r="E85" s="307">
        <v>2.4620000000000002</v>
      </c>
      <c r="F85" s="307"/>
      <c r="G85" s="232"/>
      <c r="H85" s="233"/>
      <c r="I85" s="234"/>
    </row>
    <row r="86" spans="2:9" s="297" customFormat="1" ht="21" customHeight="1">
      <c r="B86" s="305"/>
      <c r="C86" s="305"/>
      <c r="D86" s="234"/>
      <c r="E86" s="307"/>
      <c r="F86" s="307"/>
      <c r="G86" s="232"/>
      <c r="H86" s="233"/>
      <c r="I86" s="234"/>
    </row>
    <row r="87" spans="2:9" s="297" customFormat="1" ht="21" customHeight="1">
      <c r="B87" s="305"/>
      <c r="C87" s="305"/>
      <c r="D87" s="234"/>
      <c r="E87" s="306"/>
      <c r="F87" s="306"/>
      <c r="G87" s="232"/>
      <c r="H87" s="232"/>
      <c r="I87" s="234"/>
    </row>
    <row r="88" spans="2:9" s="297" customFormat="1" ht="21" customHeight="1">
      <c r="B88" s="305"/>
      <c r="C88" s="305"/>
      <c r="D88" s="234"/>
      <c r="E88" s="306"/>
      <c r="F88" s="306"/>
      <c r="G88" s="308"/>
      <c r="H88" s="233"/>
      <c r="I88" s="234"/>
    </row>
    <row r="89" spans="2:9" s="297" customFormat="1" ht="21" customHeight="1">
      <c r="B89" s="305"/>
      <c r="C89" s="305"/>
      <c r="D89" s="234"/>
      <c r="E89" s="306"/>
      <c r="F89" s="306"/>
      <c r="G89" s="308"/>
      <c r="H89" s="233"/>
      <c r="I89" s="234"/>
    </row>
    <row r="90" spans="2:9" s="297" customFormat="1" ht="21" customHeight="1">
      <c r="B90" s="305"/>
      <c r="C90" s="305"/>
      <c r="D90" s="234"/>
      <c r="E90" s="306"/>
      <c r="F90" s="306"/>
      <c r="G90" s="308"/>
      <c r="H90" s="233"/>
      <c r="I90" s="234"/>
    </row>
    <row r="91" spans="2:9" s="297" customFormat="1" ht="21" customHeight="1">
      <c r="B91" s="312" t="s">
        <v>837</v>
      </c>
      <c r="C91" s="305"/>
      <c r="D91" s="234"/>
      <c r="E91" s="307"/>
      <c r="F91" s="307"/>
      <c r="G91" s="232"/>
      <c r="H91" s="233"/>
      <c r="I91" s="234"/>
    </row>
    <row r="92" spans="2:9" s="297" customFormat="1" ht="21" customHeight="1">
      <c r="B92" s="305"/>
      <c r="C92" s="305" t="s">
        <v>1166</v>
      </c>
      <c r="D92" s="234" t="s">
        <v>836</v>
      </c>
      <c r="E92" s="307">
        <v>7.3999999999999996E-2</v>
      </c>
      <c r="F92" s="307"/>
      <c r="G92" s="232"/>
      <c r="H92" s="233"/>
      <c r="I92" s="234"/>
    </row>
    <row r="93" spans="2:9" s="297" customFormat="1" ht="21" customHeight="1">
      <c r="B93" s="305"/>
      <c r="C93" s="305"/>
      <c r="D93" s="234"/>
      <c r="E93" s="307"/>
      <c r="F93" s="307"/>
      <c r="G93" s="232"/>
      <c r="H93" s="233"/>
      <c r="I93" s="234"/>
    </row>
    <row r="94" spans="2:9" s="297" customFormat="1" ht="21" customHeight="1">
      <c r="B94" s="305"/>
      <c r="C94" s="305"/>
      <c r="D94" s="234"/>
      <c r="E94" s="306"/>
      <c r="F94" s="306"/>
      <c r="G94" s="232"/>
      <c r="H94" s="232"/>
      <c r="I94" s="234"/>
    </row>
    <row r="95" spans="2:9" s="297" customFormat="1" ht="21" customHeight="1">
      <c r="B95" s="305"/>
      <c r="C95" s="305"/>
      <c r="D95" s="234"/>
      <c r="E95" s="306"/>
      <c r="F95" s="306"/>
      <c r="G95" s="308"/>
      <c r="H95" s="233"/>
      <c r="I95" s="234"/>
    </row>
    <row r="96" spans="2:9" s="297" customFormat="1" ht="21" customHeight="1">
      <c r="B96" s="305"/>
      <c r="C96" s="305"/>
      <c r="D96" s="234"/>
      <c r="E96" s="306"/>
      <c r="F96" s="306"/>
      <c r="G96" s="308"/>
      <c r="H96" s="233"/>
      <c r="I96" s="234"/>
    </row>
    <row r="97" spans="2:9" s="297" customFormat="1" ht="21" customHeight="1">
      <c r="B97" s="305"/>
      <c r="C97" s="305"/>
      <c r="D97" s="234"/>
      <c r="E97" s="306"/>
      <c r="F97" s="306"/>
      <c r="G97" s="308"/>
      <c r="H97" s="233"/>
      <c r="I97" s="234"/>
    </row>
    <row r="98" spans="2:9" s="297" customFormat="1" ht="21" customHeight="1">
      <c r="B98" s="305"/>
      <c r="C98" s="305"/>
      <c r="D98" s="234"/>
      <c r="E98" s="306"/>
      <c r="F98" s="306"/>
      <c r="G98" s="308"/>
      <c r="H98" s="233"/>
      <c r="I98" s="234"/>
    </row>
    <row r="99" spans="2:9" s="297" customFormat="1" ht="21" customHeight="1">
      <c r="B99" s="300" t="str">
        <f>'5. 공종별예산조서'!A8</f>
        <v>1-5. 접지선 철거</v>
      </c>
      <c r="C99" s="300" t="str">
        <f>'5. 공종별예산조서'!B8</f>
        <v>0.6/1kV, F-GV 14SQ</v>
      </c>
      <c r="D99" s="301" t="str">
        <f>'5. 공종별예산조서'!C8</f>
        <v>M</v>
      </c>
      <c r="E99" s="309">
        <f>'5. 공종별예산조서'!D8</f>
        <v>47</v>
      </c>
      <c r="F99" s="302"/>
      <c r="G99" s="303"/>
      <c r="H99" s="304"/>
      <c r="I99" s="301"/>
    </row>
    <row r="100" spans="2:9" s="297" customFormat="1" ht="21" customHeight="1">
      <c r="B100" s="312" t="s">
        <v>834</v>
      </c>
      <c r="C100" s="305"/>
      <c r="D100" s="234"/>
      <c r="E100" s="310"/>
      <c r="F100" s="306"/>
      <c r="G100" s="232"/>
      <c r="H100" s="233"/>
      <c r="I100" s="234"/>
    </row>
    <row r="101" spans="2:9" s="297" customFormat="1" ht="21" customHeight="1">
      <c r="B101" s="305" t="s">
        <v>1075</v>
      </c>
      <c r="C101" s="305" t="str">
        <f>C99</f>
        <v>0.6/1kV, F-GV 14SQ</v>
      </c>
      <c r="D101" s="234" t="str">
        <f>D99</f>
        <v>M</v>
      </c>
      <c r="E101" s="311">
        <f>E99</f>
        <v>47</v>
      </c>
      <c r="F101" s="307"/>
      <c r="G101" s="232"/>
      <c r="H101" s="233"/>
      <c r="I101" s="234"/>
    </row>
    <row r="102" spans="2:9" s="297" customFormat="1" ht="21" customHeight="1">
      <c r="B102" s="305"/>
      <c r="C102" s="305"/>
      <c r="D102" s="234"/>
      <c r="E102" s="311"/>
      <c r="F102" s="307"/>
      <c r="G102" s="232"/>
      <c r="H102" s="233"/>
      <c r="I102" s="234"/>
    </row>
    <row r="103" spans="2:9" s="297" customFormat="1" ht="21" customHeight="1">
      <c r="B103" s="305"/>
      <c r="C103" s="305"/>
      <c r="D103" s="234"/>
      <c r="E103" s="311"/>
      <c r="F103" s="307"/>
      <c r="G103" s="232"/>
      <c r="H103" s="233"/>
      <c r="I103" s="234"/>
    </row>
    <row r="104" spans="2:9" s="297" customFormat="1" ht="21" customHeight="1">
      <c r="B104" s="305"/>
      <c r="C104" s="305"/>
      <c r="D104" s="234"/>
      <c r="E104" s="311"/>
      <c r="F104" s="307"/>
      <c r="G104" s="232"/>
      <c r="H104" s="233"/>
      <c r="I104" s="234"/>
    </row>
    <row r="105" spans="2:9" s="297" customFormat="1" ht="21" customHeight="1">
      <c r="B105" s="305"/>
      <c r="C105" s="305"/>
      <c r="D105" s="234"/>
      <c r="E105" s="311"/>
      <c r="F105" s="307"/>
      <c r="G105" s="232"/>
      <c r="H105" s="233"/>
      <c r="I105" s="234"/>
    </row>
    <row r="106" spans="2:9" s="297" customFormat="1" ht="21" customHeight="1">
      <c r="B106" s="305"/>
      <c r="C106" s="305"/>
      <c r="D106" s="234"/>
      <c r="E106" s="311"/>
      <c r="F106" s="307"/>
      <c r="G106" s="232"/>
      <c r="H106" s="233"/>
      <c r="I106" s="234"/>
    </row>
    <row r="107" spans="2:9" s="297" customFormat="1" ht="21" customHeight="1">
      <c r="B107" s="305"/>
      <c r="C107" s="305"/>
      <c r="D107" s="234"/>
      <c r="E107" s="307"/>
      <c r="F107" s="307"/>
      <c r="G107" s="232"/>
      <c r="H107" s="232"/>
      <c r="I107" s="234"/>
    </row>
    <row r="108" spans="2:9" s="297" customFormat="1" ht="21" customHeight="1">
      <c r="B108" s="312" t="s">
        <v>835</v>
      </c>
      <c r="C108" s="305"/>
      <c r="D108" s="234"/>
      <c r="E108" s="307"/>
      <c r="F108" s="307"/>
      <c r="G108" s="232"/>
      <c r="H108" s="233"/>
      <c r="I108" s="234"/>
    </row>
    <row r="109" spans="2:9" s="297" customFormat="1" ht="21" customHeight="1">
      <c r="B109" s="305"/>
      <c r="C109" s="305" t="s">
        <v>64</v>
      </c>
      <c r="D109" s="234" t="s">
        <v>836</v>
      </c>
      <c r="E109" s="307">
        <v>0.16500000000000001</v>
      </c>
      <c r="F109" s="307"/>
      <c r="G109" s="232"/>
      <c r="H109" s="233"/>
      <c r="I109" s="234"/>
    </row>
    <row r="110" spans="2:9" s="297" customFormat="1" ht="21" customHeight="1">
      <c r="B110" s="305"/>
      <c r="C110" s="305"/>
      <c r="D110" s="234"/>
      <c r="E110" s="307"/>
      <c r="F110" s="307"/>
      <c r="G110" s="232"/>
      <c r="H110" s="233"/>
      <c r="I110" s="234"/>
    </row>
    <row r="111" spans="2:9" s="297" customFormat="1" ht="21" customHeight="1">
      <c r="B111" s="305"/>
      <c r="C111" s="305"/>
      <c r="D111" s="234"/>
      <c r="E111" s="306"/>
      <c r="F111" s="306"/>
      <c r="G111" s="232"/>
      <c r="H111" s="232"/>
      <c r="I111" s="234"/>
    </row>
    <row r="112" spans="2:9" s="297" customFormat="1" ht="21" customHeight="1">
      <c r="B112" s="305"/>
      <c r="C112" s="305"/>
      <c r="D112" s="234"/>
      <c r="E112" s="306"/>
      <c r="F112" s="306"/>
      <c r="G112" s="308"/>
      <c r="H112" s="233"/>
      <c r="I112" s="234"/>
    </row>
    <row r="113" spans="2:9" s="297" customFormat="1" ht="21" customHeight="1">
      <c r="B113" s="305"/>
      <c r="C113" s="305"/>
      <c r="D113" s="234"/>
      <c r="E113" s="306"/>
      <c r="F113" s="306"/>
      <c r="G113" s="308"/>
      <c r="H113" s="233"/>
      <c r="I113" s="234"/>
    </row>
    <row r="114" spans="2:9" s="297" customFormat="1" ht="21" customHeight="1">
      <c r="B114" s="305"/>
      <c r="C114" s="305"/>
      <c r="D114" s="234"/>
      <c r="E114" s="306"/>
      <c r="F114" s="306"/>
      <c r="G114" s="308"/>
      <c r="H114" s="233"/>
      <c r="I114" s="234"/>
    </row>
    <row r="115" spans="2:9" s="297" customFormat="1" ht="21" customHeight="1">
      <c r="B115" s="312" t="s">
        <v>837</v>
      </c>
      <c r="C115" s="305"/>
      <c r="D115" s="234"/>
      <c r="E115" s="307"/>
      <c r="F115" s="307"/>
      <c r="G115" s="232"/>
      <c r="H115" s="233"/>
      <c r="I115" s="234"/>
    </row>
    <row r="116" spans="2:9" s="297" customFormat="1" ht="21" customHeight="1">
      <c r="B116" s="305"/>
      <c r="C116" s="305" t="s">
        <v>64</v>
      </c>
      <c r="D116" s="234" t="s">
        <v>836</v>
      </c>
      <c r="E116" s="307">
        <v>5.0000000000000001E-3</v>
      </c>
      <c r="F116" s="307"/>
      <c r="G116" s="232"/>
      <c r="H116" s="233"/>
      <c r="I116" s="234"/>
    </row>
    <row r="117" spans="2:9" s="297" customFormat="1" ht="21" customHeight="1">
      <c r="B117" s="305"/>
      <c r="C117" s="305"/>
      <c r="D117" s="234"/>
      <c r="E117" s="307"/>
      <c r="F117" s="307"/>
      <c r="G117" s="232"/>
      <c r="H117" s="233"/>
      <c r="I117" s="234"/>
    </row>
    <row r="118" spans="2:9" s="297" customFormat="1" ht="21" customHeight="1">
      <c r="B118" s="305"/>
      <c r="C118" s="305"/>
      <c r="D118" s="234"/>
      <c r="E118" s="306"/>
      <c r="F118" s="306"/>
      <c r="G118" s="232"/>
      <c r="H118" s="232"/>
      <c r="I118" s="234"/>
    </row>
    <row r="119" spans="2:9" s="297" customFormat="1" ht="21" customHeight="1">
      <c r="B119" s="305"/>
      <c r="C119" s="305"/>
      <c r="D119" s="234"/>
      <c r="E119" s="306"/>
      <c r="F119" s="306"/>
      <c r="G119" s="308"/>
      <c r="H119" s="233"/>
      <c r="I119" s="234"/>
    </row>
    <row r="120" spans="2:9" s="297" customFormat="1" ht="21" customHeight="1">
      <c r="B120" s="305"/>
      <c r="C120" s="305"/>
      <c r="D120" s="234"/>
      <c r="E120" s="306"/>
      <c r="F120" s="306"/>
      <c r="G120" s="308"/>
      <c r="H120" s="233"/>
      <c r="I120" s="234"/>
    </row>
    <row r="121" spans="2:9" s="297" customFormat="1" ht="21" customHeight="1">
      <c r="B121" s="305"/>
      <c r="C121" s="305"/>
      <c r="D121" s="234"/>
      <c r="E121" s="306"/>
      <c r="F121" s="306"/>
      <c r="G121" s="308"/>
      <c r="H121" s="233"/>
      <c r="I121" s="234"/>
    </row>
    <row r="122" spans="2:9" s="297" customFormat="1" ht="21" customHeight="1">
      <c r="B122" s="305"/>
      <c r="C122" s="305"/>
      <c r="D122" s="234"/>
      <c r="E122" s="306"/>
      <c r="F122" s="306"/>
      <c r="G122" s="308"/>
      <c r="H122" s="233"/>
      <c r="I122" s="234"/>
    </row>
    <row r="123" spans="2:9" s="297" customFormat="1" ht="21" customHeight="1">
      <c r="B123" s="300" t="str">
        <f>'5. 공종별예산조서'!A9</f>
        <v>1-6. 접지선 철거</v>
      </c>
      <c r="C123" s="300" t="str">
        <f>'5. 공종별예산조서'!B9</f>
        <v>0.6/1kV, F-GV 5.5SQ</v>
      </c>
      <c r="D123" s="301" t="str">
        <f>'5. 공종별예산조서'!C9</f>
        <v>M</v>
      </c>
      <c r="E123" s="309">
        <f>'5. 공종별예산조서'!D9</f>
        <v>125</v>
      </c>
      <c r="F123" s="302"/>
      <c r="G123" s="303"/>
      <c r="H123" s="304"/>
      <c r="I123" s="301"/>
    </row>
    <row r="124" spans="2:9" s="297" customFormat="1" ht="21" customHeight="1">
      <c r="B124" s="312" t="s">
        <v>834</v>
      </c>
      <c r="C124" s="305"/>
      <c r="D124" s="234"/>
      <c r="E124" s="306"/>
      <c r="F124" s="306"/>
      <c r="G124" s="232"/>
      <c r="H124" s="233"/>
      <c r="I124" s="234"/>
    </row>
    <row r="125" spans="2:9" s="297" customFormat="1" ht="21" customHeight="1">
      <c r="B125" s="305" t="s">
        <v>1075</v>
      </c>
      <c r="C125" s="305" t="str">
        <f>C123</f>
        <v>0.6/1kV, F-GV 5.5SQ</v>
      </c>
      <c r="D125" s="234" t="str">
        <f>D123</f>
        <v>M</v>
      </c>
      <c r="E125" s="311">
        <f>E123</f>
        <v>125</v>
      </c>
      <c r="F125" s="307"/>
      <c r="G125" s="232"/>
      <c r="H125" s="233"/>
      <c r="I125" s="234"/>
    </row>
    <row r="126" spans="2:9" s="297" customFormat="1" ht="21" customHeight="1">
      <c r="B126" s="305"/>
      <c r="C126" s="305"/>
      <c r="D126" s="234"/>
      <c r="E126" s="307"/>
      <c r="F126" s="307"/>
      <c r="G126" s="232"/>
      <c r="H126" s="232"/>
      <c r="I126" s="234"/>
    </row>
    <row r="127" spans="2:9" s="297" customFormat="1" ht="21" customHeight="1">
      <c r="B127" s="305"/>
      <c r="C127" s="305"/>
      <c r="D127" s="234"/>
      <c r="E127" s="307"/>
      <c r="F127" s="307"/>
      <c r="G127" s="308"/>
      <c r="H127" s="233"/>
      <c r="I127" s="234"/>
    </row>
    <row r="128" spans="2:9" s="297" customFormat="1" ht="21" customHeight="1">
      <c r="B128" s="305"/>
      <c r="C128" s="305"/>
      <c r="D128" s="234"/>
      <c r="E128" s="307"/>
      <c r="F128" s="307"/>
      <c r="G128" s="308"/>
      <c r="H128" s="233"/>
      <c r="I128" s="234"/>
    </row>
    <row r="129" spans="2:9" s="297" customFormat="1" ht="21" customHeight="1">
      <c r="B129" s="305"/>
      <c r="C129" s="305"/>
      <c r="D129" s="234"/>
      <c r="E129" s="307"/>
      <c r="F129" s="307"/>
      <c r="G129" s="308"/>
      <c r="H129" s="233"/>
      <c r="I129" s="234"/>
    </row>
    <row r="130" spans="2:9" s="297" customFormat="1" ht="21" customHeight="1">
      <c r="B130" s="305"/>
      <c r="C130" s="305"/>
      <c r="D130" s="234"/>
      <c r="E130" s="307"/>
      <c r="F130" s="307"/>
      <c r="G130" s="308"/>
      <c r="H130" s="233"/>
      <c r="I130" s="234"/>
    </row>
    <row r="131" spans="2:9" s="297" customFormat="1" ht="21" customHeight="1">
      <c r="B131" s="312" t="s">
        <v>835</v>
      </c>
      <c r="C131" s="305"/>
      <c r="D131" s="234"/>
      <c r="E131" s="307"/>
      <c r="F131" s="307"/>
      <c r="G131" s="232"/>
      <c r="H131" s="233"/>
      <c r="I131" s="234"/>
    </row>
    <row r="132" spans="2:9" s="297" customFormat="1" ht="21" customHeight="1">
      <c r="B132" s="305"/>
      <c r="C132" s="305" t="s">
        <v>64</v>
      </c>
      <c r="D132" s="234" t="s">
        <v>836</v>
      </c>
      <c r="E132" s="307">
        <v>0.375</v>
      </c>
      <c r="F132" s="307"/>
      <c r="G132" s="232"/>
      <c r="H132" s="233"/>
      <c r="I132" s="234"/>
    </row>
    <row r="133" spans="2:9" s="297" customFormat="1" ht="21" customHeight="1">
      <c r="B133" s="305"/>
      <c r="C133" s="305"/>
      <c r="D133" s="234"/>
      <c r="E133" s="306"/>
      <c r="F133" s="306"/>
      <c r="G133" s="232"/>
      <c r="H133" s="232"/>
      <c r="I133" s="234"/>
    </row>
    <row r="134" spans="2:9" s="297" customFormat="1" ht="21" customHeight="1">
      <c r="B134" s="305"/>
      <c r="C134" s="305"/>
      <c r="D134" s="234"/>
      <c r="E134" s="306"/>
      <c r="F134" s="306"/>
      <c r="G134" s="308"/>
      <c r="H134" s="233"/>
      <c r="I134" s="234"/>
    </row>
    <row r="135" spans="2:9" s="297" customFormat="1" ht="21" customHeight="1">
      <c r="B135" s="305"/>
      <c r="C135" s="305"/>
      <c r="D135" s="234"/>
      <c r="E135" s="306"/>
      <c r="F135" s="306"/>
      <c r="G135" s="308"/>
      <c r="H135" s="233"/>
      <c r="I135" s="234"/>
    </row>
    <row r="136" spans="2:9" s="297" customFormat="1" ht="21" customHeight="1">
      <c r="B136" s="305"/>
      <c r="C136" s="305"/>
      <c r="D136" s="234"/>
      <c r="E136" s="306"/>
      <c r="F136" s="306"/>
      <c r="G136" s="308"/>
      <c r="H136" s="233"/>
      <c r="I136" s="234"/>
    </row>
    <row r="137" spans="2:9" s="297" customFormat="1" ht="21" customHeight="1">
      <c r="B137" s="312" t="s">
        <v>837</v>
      </c>
      <c r="C137" s="305"/>
      <c r="D137" s="234"/>
      <c r="E137" s="307"/>
      <c r="F137" s="307"/>
      <c r="G137" s="232"/>
      <c r="H137" s="233"/>
      <c r="I137" s="234"/>
    </row>
    <row r="138" spans="2:9" s="297" customFormat="1" ht="21" customHeight="1">
      <c r="B138" s="305"/>
      <c r="C138" s="305" t="s">
        <v>64</v>
      </c>
      <c r="D138" s="234" t="s">
        <v>836</v>
      </c>
      <c r="E138" s="307">
        <v>1.1299999999999999E-2</v>
      </c>
      <c r="F138" s="307"/>
      <c r="G138" s="232"/>
      <c r="H138" s="233"/>
      <c r="I138" s="234"/>
    </row>
    <row r="139" spans="2:9" s="297" customFormat="1" ht="21" customHeight="1">
      <c r="B139" s="305"/>
      <c r="C139" s="305"/>
      <c r="D139" s="234"/>
      <c r="E139" s="306"/>
      <c r="F139" s="306"/>
      <c r="G139" s="232"/>
      <c r="H139" s="232"/>
      <c r="I139" s="234"/>
    </row>
    <row r="140" spans="2:9" s="297" customFormat="1" ht="21" customHeight="1">
      <c r="B140" s="305"/>
      <c r="C140" s="305"/>
      <c r="D140" s="234"/>
      <c r="E140" s="306"/>
      <c r="F140" s="306"/>
      <c r="G140" s="308"/>
      <c r="H140" s="233"/>
      <c r="I140" s="234"/>
    </row>
    <row r="141" spans="2:9" s="297" customFormat="1" ht="21" customHeight="1">
      <c r="B141" s="305"/>
      <c r="C141" s="305"/>
      <c r="D141" s="234"/>
      <c r="E141" s="306"/>
      <c r="F141" s="306"/>
      <c r="G141" s="308"/>
      <c r="H141" s="233"/>
      <c r="I141" s="234"/>
    </row>
    <row r="142" spans="2:9" s="297" customFormat="1" ht="21" customHeight="1">
      <c r="B142" s="305"/>
      <c r="C142" s="305"/>
      <c r="D142" s="234"/>
      <c r="E142" s="306"/>
      <c r="F142" s="306"/>
      <c r="G142" s="308"/>
      <c r="H142" s="233"/>
      <c r="I142" s="234"/>
    </row>
    <row r="143" spans="2:9" s="297" customFormat="1" ht="21" customHeight="1">
      <c r="B143" s="305"/>
      <c r="C143" s="305"/>
      <c r="D143" s="234"/>
      <c r="E143" s="306"/>
      <c r="F143" s="306"/>
      <c r="G143" s="308"/>
      <c r="H143" s="233"/>
      <c r="I143" s="234"/>
    </row>
    <row r="144" spans="2:9" s="297" customFormat="1" ht="21" customHeight="1">
      <c r="B144" s="305"/>
      <c r="C144" s="305"/>
      <c r="D144" s="234"/>
      <c r="E144" s="306"/>
      <c r="F144" s="306"/>
      <c r="G144" s="308"/>
      <c r="H144" s="233"/>
      <c r="I144" s="234"/>
    </row>
    <row r="145" spans="2:9" s="297" customFormat="1" ht="21" customHeight="1">
      <c r="B145" s="305"/>
      <c r="C145" s="305"/>
      <c r="D145" s="234"/>
      <c r="E145" s="306"/>
      <c r="F145" s="306"/>
      <c r="G145" s="308"/>
      <c r="H145" s="233"/>
      <c r="I145" s="301"/>
    </row>
    <row r="146" spans="2:9" s="297" customFormat="1" ht="21" customHeight="1">
      <c r="B146" s="305"/>
      <c r="C146" s="305"/>
      <c r="D146" s="234"/>
      <c r="E146" s="306"/>
      <c r="F146" s="306"/>
      <c r="G146" s="308"/>
      <c r="H146" s="233"/>
      <c r="I146" s="301"/>
    </row>
    <row r="147" spans="2:9" s="297" customFormat="1" ht="21" customHeight="1">
      <c r="B147" s="300" t="str">
        <f>'5. 공종별예산조서'!A10</f>
        <v>1-7. 분전반 철거</v>
      </c>
      <c r="C147" s="300" t="str">
        <f>'5. 공종별예산조서'!B10</f>
        <v>열차승무사업소 PNL</v>
      </c>
      <c r="D147" s="301" t="str">
        <f>'5. 공종별예산조서'!C10</f>
        <v>면</v>
      </c>
      <c r="E147" s="309">
        <f>'5. 공종별예산조서'!D10</f>
        <v>1</v>
      </c>
      <c r="F147" s="302"/>
      <c r="G147" s="303"/>
      <c r="H147" s="304"/>
      <c r="I147" s="301"/>
    </row>
    <row r="148" spans="2:9" s="297" customFormat="1" ht="21" customHeight="1">
      <c r="B148" s="312" t="s">
        <v>834</v>
      </c>
      <c r="C148" s="305"/>
      <c r="D148" s="234"/>
      <c r="E148" s="306"/>
      <c r="F148" s="306"/>
      <c r="G148" s="232"/>
      <c r="H148" s="233"/>
      <c r="I148" s="301"/>
    </row>
    <row r="149" spans="2:9" s="297" customFormat="1" ht="21" customHeight="1">
      <c r="B149" s="305" t="s">
        <v>1076</v>
      </c>
      <c r="C149" s="305" t="str">
        <f>C147</f>
        <v>열차승무사업소 PNL</v>
      </c>
      <c r="D149" s="234" t="str">
        <f>D147</f>
        <v>면</v>
      </c>
      <c r="E149" s="311">
        <f>E147</f>
        <v>1</v>
      </c>
      <c r="F149" s="307"/>
      <c r="G149" s="232"/>
      <c r="H149" s="233"/>
      <c r="I149" s="301"/>
    </row>
    <row r="150" spans="2:9" s="297" customFormat="1" ht="21" customHeight="1">
      <c r="B150" s="305"/>
      <c r="C150" s="305"/>
      <c r="D150" s="234"/>
      <c r="E150" s="311"/>
      <c r="F150" s="307"/>
      <c r="G150" s="232"/>
      <c r="H150" s="233"/>
      <c r="I150" s="301"/>
    </row>
    <row r="151" spans="2:9" s="297" customFormat="1" ht="21" customHeight="1">
      <c r="B151" s="305"/>
      <c r="C151" s="305"/>
      <c r="D151" s="234"/>
      <c r="E151" s="311"/>
      <c r="F151" s="307"/>
      <c r="G151" s="232"/>
      <c r="H151" s="232"/>
      <c r="I151" s="301"/>
    </row>
    <row r="152" spans="2:9" s="297" customFormat="1" ht="21" customHeight="1">
      <c r="B152" s="305"/>
      <c r="C152" s="305"/>
      <c r="D152" s="234"/>
      <c r="E152" s="307"/>
      <c r="F152" s="307"/>
      <c r="G152" s="232"/>
      <c r="H152" s="232"/>
      <c r="I152" s="301"/>
    </row>
    <row r="153" spans="2:9" s="297" customFormat="1" ht="21" customHeight="1">
      <c r="B153" s="305"/>
      <c r="C153" s="305"/>
      <c r="D153" s="234"/>
      <c r="E153" s="307"/>
      <c r="F153" s="307"/>
      <c r="G153" s="308"/>
      <c r="H153" s="233"/>
      <c r="I153" s="301"/>
    </row>
    <row r="154" spans="2:9" s="297" customFormat="1" ht="21" customHeight="1">
      <c r="B154" s="305"/>
      <c r="C154" s="305"/>
      <c r="D154" s="234"/>
      <c r="E154" s="307"/>
      <c r="F154" s="307"/>
      <c r="G154" s="308"/>
      <c r="H154" s="233"/>
      <c r="I154" s="301"/>
    </row>
    <row r="155" spans="2:9" s="297" customFormat="1" ht="21" customHeight="1">
      <c r="B155" s="305"/>
      <c r="C155" s="305"/>
      <c r="D155" s="234"/>
      <c r="E155" s="307"/>
      <c r="F155" s="307"/>
      <c r="G155" s="308"/>
      <c r="H155" s="233"/>
      <c r="I155" s="301"/>
    </row>
    <row r="156" spans="2:9" s="297" customFormat="1" ht="21" customHeight="1">
      <c r="B156" s="312" t="s">
        <v>835</v>
      </c>
      <c r="C156" s="305"/>
      <c r="D156" s="234"/>
      <c r="E156" s="307"/>
      <c r="F156" s="307"/>
      <c r="G156" s="232"/>
      <c r="H156" s="233"/>
      <c r="I156" s="301"/>
    </row>
    <row r="157" spans="2:9" s="297" customFormat="1" ht="21" customHeight="1">
      <c r="B157" s="305"/>
      <c r="C157" s="305" t="s">
        <v>64</v>
      </c>
      <c r="D157" s="234" t="s">
        <v>836</v>
      </c>
      <c r="E157" s="307">
        <v>0.28500000000000003</v>
      </c>
      <c r="F157" s="307"/>
      <c r="G157" s="232"/>
      <c r="H157" s="233"/>
      <c r="I157" s="301"/>
    </row>
    <row r="158" spans="2:9" s="297" customFormat="1" ht="21" customHeight="1">
      <c r="B158" s="305"/>
      <c r="C158" s="305"/>
      <c r="D158" s="234"/>
      <c r="E158" s="306"/>
      <c r="F158" s="306"/>
      <c r="G158" s="232"/>
      <c r="H158" s="232"/>
      <c r="I158" s="301"/>
    </row>
    <row r="159" spans="2:9" s="297" customFormat="1" ht="21" customHeight="1">
      <c r="B159" s="305"/>
      <c r="C159" s="305"/>
      <c r="D159" s="234"/>
      <c r="E159" s="306"/>
      <c r="F159" s="306"/>
      <c r="G159" s="308"/>
      <c r="H159" s="233"/>
      <c r="I159" s="301"/>
    </row>
    <row r="160" spans="2:9" s="297" customFormat="1" ht="21" customHeight="1">
      <c r="B160" s="305"/>
      <c r="C160" s="305"/>
      <c r="D160" s="234"/>
      <c r="E160" s="306"/>
      <c r="F160" s="306"/>
      <c r="G160" s="308"/>
      <c r="H160" s="233"/>
      <c r="I160" s="301"/>
    </row>
    <row r="161" spans="2:9" s="297" customFormat="1" ht="21" customHeight="1">
      <c r="B161" s="305"/>
      <c r="C161" s="305"/>
      <c r="D161" s="234"/>
      <c r="E161" s="306"/>
      <c r="F161" s="306"/>
      <c r="G161" s="308"/>
      <c r="H161" s="233"/>
      <c r="I161" s="301"/>
    </row>
    <row r="162" spans="2:9" s="297" customFormat="1" ht="21" customHeight="1">
      <c r="B162" s="312" t="s">
        <v>837</v>
      </c>
      <c r="C162" s="305"/>
      <c r="D162" s="234"/>
      <c r="E162" s="307"/>
      <c r="F162" s="307"/>
      <c r="G162" s="232"/>
      <c r="H162" s="233"/>
      <c r="I162" s="301"/>
    </row>
    <row r="163" spans="2:9" s="297" customFormat="1" ht="21" customHeight="1">
      <c r="B163" s="305"/>
      <c r="C163" s="305" t="s">
        <v>64</v>
      </c>
      <c r="D163" s="234" t="s">
        <v>836</v>
      </c>
      <c r="E163" s="307">
        <v>8.5000000000000006E-3</v>
      </c>
      <c r="F163" s="307"/>
      <c r="G163" s="232"/>
      <c r="H163" s="233"/>
      <c r="I163" s="301"/>
    </row>
    <row r="164" spans="2:9" s="297" customFormat="1" ht="21" customHeight="1">
      <c r="B164" s="305"/>
      <c r="C164" s="305"/>
      <c r="D164" s="234"/>
      <c r="E164" s="306"/>
      <c r="F164" s="306"/>
      <c r="G164" s="232"/>
      <c r="H164" s="232"/>
      <c r="I164" s="301"/>
    </row>
    <row r="165" spans="2:9" s="297" customFormat="1" ht="21" customHeight="1">
      <c r="B165" s="305"/>
      <c r="C165" s="305"/>
      <c r="D165" s="234"/>
      <c r="E165" s="306"/>
      <c r="F165" s="306"/>
      <c r="G165" s="308"/>
      <c r="H165" s="233"/>
      <c r="I165" s="301"/>
    </row>
    <row r="166" spans="2:9" s="297" customFormat="1" ht="21" customHeight="1">
      <c r="B166" s="305"/>
      <c r="C166" s="305"/>
      <c r="D166" s="234"/>
      <c r="E166" s="306"/>
      <c r="F166" s="306"/>
      <c r="G166" s="308"/>
      <c r="H166" s="233"/>
      <c r="I166" s="301"/>
    </row>
    <row r="167" spans="2:9" s="297" customFormat="1" ht="21" customHeight="1">
      <c r="B167" s="305"/>
      <c r="C167" s="305"/>
      <c r="D167" s="234"/>
      <c r="E167" s="306"/>
      <c r="F167" s="306"/>
      <c r="G167" s="308"/>
      <c r="H167" s="233"/>
      <c r="I167" s="301"/>
    </row>
    <row r="168" spans="2:9" s="297" customFormat="1" ht="21" customHeight="1">
      <c r="B168" s="305"/>
      <c r="C168" s="305"/>
      <c r="D168" s="234"/>
      <c r="E168" s="306"/>
      <c r="F168" s="306"/>
      <c r="G168" s="308"/>
      <c r="H168" s="233"/>
      <c r="I168" s="301"/>
    </row>
    <row r="169" spans="2:9" s="297" customFormat="1" ht="21" customHeight="1">
      <c r="B169" s="305"/>
      <c r="C169" s="305"/>
      <c r="D169" s="234"/>
      <c r="E169" s="306"/>
      <c r="F169" s="306"/>
      <c r="G169" s="308"/>
      <c r="H169" s="233"/>
      <c r="I169" s="301"/>
    </row>
    <row r="170" spans="2:9" s="297" customFormat="1" ht="21" customHeight="1">
      <c r="B170" s="305"/>
      <c r="C170" s="305"/>
      <c r="D170" s="234"/>
      <c r="E170" s="306"/>
      <c r="F170" s="306"/>
      <c r="G170" s="308"/>
      <c r="H170" s="233"/>
      <c r="I170" s="301"/>
    </row>
    <row r="171" spans="2:9" s="297" customFormat="1" ht="21" customHeight="1">
      <c r="B171" s="300" t="str">
        <f>'5. 공종별예산조서'!A11</f>
        <v>1-8. 화인박스 철거</v>
      </c>
      <c r="C171" s="300" t="str">
        <f>'5. 공종별예산조서'!B11</f>
        <v>화인박스 철거</v>
      </c>
      <c r="D171" s="301" t="str">
        <f>'5. 공종별예산조서'!C11</f>
        <v>개</v>
      </c>
      <c r="E171" s="309">
        <f>'5. 공종별예산조서'!D11</f>
        <v>1</v>
      </c>
      <c r="F171" s="302"/>
      <c r="G171" s="303"/>
      <c r="H171" s="304"/>
      <c r="I171" s="301"/>
    </row>
    <row r="172" spans="2:9" s="297" customFormat="1" ht="21" customHeight="1">
      <c r="B172" s="312" t="s">
        <v>834</v>
      </c>
      <c r="C172" s="305"/>
      <c r="D172" s="234"/>
      <c r="E172" s="310"/>
      <c r="F172" s="306"/>
      <c r="G172" s="232"/>
      <c r="H172" s="233"/>
      <c r="I172" s="301"/>
    </row>
    <row r="173" spans="2:9" s="297" customFormat="1" ht="21" customHeight="1">
      <c r="B173" s="305" t="s">
        <v>1077</v>
      </c>
      <c r="C173" s="305" t="str">
        <f>C171</f>
        <v>화인박스 철거</v>
      </c>
      <c r="D173" s="234" t="str">
        <f>D171</f>
        <v>개</v>
      </c>
      <c r="E173" s="311">
        <f>E171</f>
        <v>1</v>
      </c>
      <c r="F173" s="307"/>
      <c r="G173" s="232"/>
      <c r="H173" s="233"/>
      <c r="I173" s="301"/>
    </row>
    <row r="174" spans="2:9" s="297" customFormat="1" ht="21" customHeight="1">
      <c r="B174" s="305"/>
      <c r="C174" s="305"/>
      <c r="D174" s="234"/>
      <c r="E174" s="311"/>
      <c r="F174" s="307"/>
      <c r="G174" s="232"/>
      <c r="H174" s="233"/>
      <c r="I174" s="301"/>
    </row>
    <row r="175" spans="2:9" s="297" customFormat="1" ht="21" customHeight="1">
      <c r="B175" s="305"/>
      <c r="C175" s="305"/>
      <c r="D175" s="234"/>
      <c r="E175" s="307"/>
      <c r="F175" s="307"/>
      <c r="G175" s="232"/>
      <c r="H175" s="232"/>
      <c r="I175" s="301"/>
    </row>
    <row r="176" spans="2:9" s="297" customFormat="1" ht="21" customHeight="1">
      <c r="B176" s="305"/>
      <c r="C176" s="305"/>
      <c r="D176" s="234"/>
      <c r="E176" s="307"/>
      <c r="F176" s="307"/>
      <c r="G176" s="308"/>
      <c r="H176" s="233"/>
      <c r="I176" s="301"/>
    </row>
    <row r="177" spans="2:9" s="297" customFormat="1" ht="21" customHeight="1">
      <c r="B177" s="305"/>
      <c r="C177" s="305"/>
      <c r="D177" s="234"/>
      <c r="E177" s="307"/>
      <c r="F177" s="307"/>
      <c r="G177" s="308"/>
      <c r="H177" s="233"/>
      <c r="I177" s="301"/>
    </row>
    <row r="178" spans="2:9" s="297" customFormat="1" ht="21" customHeight="1">
      <c r="B178" s="305"/>
      <c r="C178" s="305"/>
      <c r="D178" s="234"/>
      <c r="E178" s="307"/>
      <c r="F178" s="307"/>
      <c r="G178" s="308"/>
      <c r="H178" s="233"/>
      <c r="I178" s="301"/>
    </row>
    <row r="179" spans="2:9" s="297" customFormat="1" ht="21" customHeight="1">
      <c r="B179" s="305"/>
      <c r="C179" s="305"/>
      <c r="D179" s="234"/>
      <c r="E179" s="307"/>
      <c r="F179" s="307"/>
      <c r="G179" s="308"/>
      <c r="H179" s="233"/>
      <c r="I179" s="301"/>
    </row>
    <row r="180" spans="2:9" s="297" customFormat="1" ht="21" customHeight="1">
      <c r="B180" s="312" t="s">
        <v>835</v>
      </c>
      <c r="C180" s="305"/>
      <c r="D180" s="234"/>
      <c r="E180" s="307"/>
      <c r="F180" s="307"/>
      <c r="G180" s="232"/>
      <c r="H180" s="233"/>
      <c r="I180" s="301"/>
    </row>
    <row r="181" spans="2:9" s="297" customFormat="1" ht="21" customHeight="1">
      <c r="B181" s="305"/>
      <c r="C181" s="305" t="s">
        <v>64</v>
      </c>
      <c r="D181" s="234" t="s">
        <v>836</v>
      </c>
      <c r="E181" s="307">
        <v>0.19800000000000001</v>
      </c>
      <c r="F181" s="307"/>
      <c r="G181" s="232"/>
      <c r="H181" s="233"/>
      <c r="I181" s="301"/>
    </row>
    <row r="182" spans="2:9" s="297" customFormat="1" ht="21" customHeight="1">
      <c r="B182" s="305"/>
      <c r="C182" s="305"/>
      <c r="D182" s="234"/>
      <c r="E182" s="306"/>
      <c r="F182" s="306"/>
      <c r="G182" s="232"/>
      <c r="H182" s="232"/>
      <c r="I182" s="301"/>
    </row>
    <row r="183" spans="2:9" s="297" customFormat="1" ht="21" customHeight="1">
      <c r="B183" s="305"/>
      <c r="C183" s="305"/>
      <c r="D183" s="234"/>
      <c r="E183" s="306"/>
      <c r="F183" s="306"/>
      <c r="G183" s="308"/>
      <c r="H183" s="233"/>
      <c r="I183" s="301"/>
    </row>
    <row r="184" spans="2:9" s="297" customFormat="1" ht="21" customHeight="1">
      <c r="B184" s="305"/>
      <c r="C184" s="305"/>
      <c r="D184" s="234"/>
      <c r="E184" s="306"/>
      <c r="F184" s="306"/>
      <c r="G184" s="308"/>
      <c r="H184" s="233"/>
      <c r="I184" s="301"/>
    </row>
    <row r="185" spans="2:9" s="297" customFormat="1" ht="21" customHeight="1">
      <c r="B185" s="305"/>
      <c r="C185" s="305"/>
      <c r="D185" s="234"/>
      <c r="E185" s="306"/>
      <c r="F185" s="306"/>
      <c r="G185" s="308"/>
      <c r="H185" s="233"/>
      <c r="I185" s="301"/>
    </row>
    <row r="186" spans="2:9" s="297" customFormat="1" ht="21" customHeight="1">
      <c r="B186" s="312" t="s">
        <v>837</v>
      </c>
      <c r="C186" s="305"/>
      <c r="D186" s="234"/>
      <c r="E186" s="307"/>
      <c r="F186" s="307"/>
      <c r="G186" s="232"/>
      <c r="H186" s="233"/>
      <c r="I186" s="301"/>
    </row>
    <row r="187" spans="2:9" s="297" customFormat="1" ht="21" customHeight="1">
      <c r="B187" s="305"/>
      <c r="C187" s="305" t="s">
        <v>64</v>
      </c>
      <c r="D187" s="234" t="s">
        <v>836</v>
      </c>
      <c r="E187" s="307">
        <v>6.0000000000000001E-3</v>
      </c>
      <c r="F187" s="307"/>
      <c r="G187" s="232"/>
      <c r="H187" s="233"/>
      <c r="I187" s="301"/>
    </row>
    <row r="188" spans="2:9" s="297" customFormat="1" ht="21" customHeight="1">
      <c r="B188" s="305"/>
      <c r="C188" s="305"/>
      <c r="D188" s="234"/>
      <c r="E188" s="306"/>
      <c r="F188" s="306"/>
      <c r="G188" s="232"/>
      <c r="H188" s="232"/>
      <c r="I188" s="301"/>
    </row>
    <row r="189" spans="2:9" s="297" customFormat="1" ht="21" customHeight="1">
      <c r="B189" s="305"/>
      <c r="C189" s="305"/>
      <c r="D189" s="234"/>
      <c r="E189" s="306"/>
      <c r="F189" s="306"/>
      <c r="G189" s="308"/>
      <c r="H189" s="233"/>
      <c r="I189" s="301"/>
    </row>
    <row r="190" spans="2:9" s="297" customFormat="1" ht="21" customHeight="1">
      <c r="B190" s="305"/>
      <c r="C190" s="305"/>
      <c r="D190" s="234"/>
      <c r="E190" s="306"/>
      <c r="F190" s="306"/>
      <c r="G190" s="308"/>
      <c r="H190" s="233"/>
      <c r="I190" s="301"/>
    </row>
    <row r="191" spans="2:9" s="297" customFormat="1" ht="21" customHeight="1">
      <c r="B191" s="305"/>
      <c r="C191" s="305"/>
      <c r="D191" s="234"/>
      <c r="E191" s="306"/>
      <c r="F191" s="306"/>
      <c r="G191" s="308"/>
      <c r="H191" s="233"/>
      <c r="I191" s="301"/>
    </row>
    <row r="192" spans="2:9" s="297" customFormat="1" ht="21" customHeight="1">
      <c r="B192" s="305"/>
      <c r="C192" s="305"/>
      <c r="D192" s="234"/>
      <c r="E192" s="306"/>
      <c r="F192" s="306"/>
      <c r="G192" s="308"/>
      <c r="H192" s="233"/>
      <c r="I192" s="301"/>
    </row>
    <row r="193" spans="2:9" s="297" customFormat="1" ht="21" customHeight="1">
      <c r="B193" s="305"/>
      <c r="C193" s="305"/>
      <c r="D193" s="234"/>
      <c r="E193" s="306"/>
      <c r="F193" s="306"/>
      <c r="G193" s="308"/>
      <c r="H193" s="233"/>
      <c r="I193" s="301"/>
    </row>
    <row r="194" spans="2:9" s="297" customFormat="1" ht="21" customHeight="1">
      <c r="B194" s="305"/>
      <c r="C194" s="305"/>
      <c r="D194" s="234"/>
      <c r="E194" s="306"/>
      <c r="F194" s="306"/>
      <c r="G194" s="308"/>
      <c r="H194" s="233"/>
      <c r="I194" s="301"/>
    </row>
    <row r="195" spans="2:9" s="297" customFormat="1" ht="21" customHeight="1">
      <c r="B195" s="300" t="str">
        <f>'5. 공종별예산조서'!A12</f>
        <v>1-9. 변압기(80KVA) 철거</v>
      </c>
      <c r="C195" s="300" t="str">
        <f>'5. 공종별예산조서'!B12</f>
        <v>변압기(80KVA) 철거</v>
      </c>
      <c r="D195" s="301" t="str">
        <f>'5. 공종별예산조서'!C12</f>
        <v>대</v>
      </c>
      <c r="E195" s="309">
        <f>'5. 공종별예산조서'!D12</f>
        <v>1</v>
      </c>
      <c r="F195" s="302"/>
      <c r="G195" s="303"/>
      <c r="H195" s="304"/>
      <c r="I195" s="301"/>
    </row>
    <row r="196" spans="2:9" s="297" customFormat="1" ht="21" customHeight="1">
      <c r="B196" s="312" t="s">
        <v>834</v>
      </c>
      <c r="C196" s="305"/>
      <c r="D196" s="234"/>
      <c r="E196" s="310"/>
      <c r="F196" s="306"/>
      <c r="G196" s="232"/>
      <c r="H196" s="233"/>
      <c r="I196" s="301"/>
    </row>
    <row r="197" spans="2:9" s="297" customFormat="1" ht="21" customHeight="1">
      <c r="B197" s="305" t="s">
        <v>1078</v>
      </c>
      <c r="C197" s="305" t="str">
        <f>C195</f>
        <v>변압기(80KVA) 철거</v>
      </c>
      <c r="D197" s="234" t="str">
        <f>D195</f>
        <v>대</v>
      </c>
      <c r="E197" s="311">
        <f>E195</f>
        <v>1</v>
      </c>
      <c r="F197" s="307"/>
      <c r="G197" s="232"/>
      <c r="H197" s="233"/>
      <c r="I197" s="301"/>
    </row>
    <row r="198" spans="2:9" s="297" customFormat="1" ht="21" customHeight="1">
      <c r="B198" s="305"/>
      <c r="C198" s="305"/>
      <c r="D198" s="234"/>
      <c r="E198" s="311"/>
      <c r="F198" s="307"/>
      <c r="G198" s="232"/>
      <c r="H198" s="233"/>
      <c r="I198" s="301"/>
    </row>
    <row r="199" spans="2:9" s="297" customFormat="1" ht="21" customHeight="1">
      <c r="B199" s="305"/>
      <c r="C199" s="305"/>
      <c r="D199" s="234"/>
      <c r="E199" s="311"/>
      <c r="F199" s="307"/>
      <c r="G199" s="232"/>
      <c r="H199" s="233"/>
      <c r="I199" s="301"/>
    </row>
    <row r="200" spans="2:9" s="297" customFormat="1" ht="21" customHeight="1">
      <c r="B200" s="305"/>
      <c r="C200" s="305"/>
      <c r="D200" s="234"/>
      <c r="E200" s="311"/>
      <c r="F200" s="307"/>
      <c r="G200" s="232"/>
      <c r="H200" s="233"/>
      <c r="I200" s="301"/>
    </row>
    <row r="201" spans="2:9" s="297" customFormat="1" ht="21" customHeight="1">
      <c r="B201" s="305"/>
      <c r="C201" s="305"/>
      <c r="D201" s="234"/>
      <c r="E201" s="311"/>
      <c r="F201" s="307"/>
      <c r="G201" s="232"/>
      <c r="H201" s="233"/>
      <c r="I201" s="301"/>
    </row>
    <row r="202" spans="2:9" s="297" customFormat="1" ht="21" customHeight="1">
      <c r="B202" s="305"/>
      <c r="C202" s="305"/>
      <c r="D202" s="234"/>
      <c r="E202" s="307"/>
      <c r="F202" s="307"/>
      <c r="G202" s="232"/>
      <c r="H202" s="232"/>
      <c r="I202" s="301"/>
    </row>
    <row r="203" spans="2:9" s="297" customFormat="1" ht="21" customHeight="1">
      <c r="B203" s="305"/>
      <c r="C203" s="305"/>
      <c r="D203" s="234"/>
      <c r="E203" s="307"/>
      <c r="F203" s="307"/>
      <c r="G203" s="308"/>
      <c r="H203" s="233"/>
      <c r="I203" s="301"/>
    </row>
    <row r="204" spans="2:9" s="297" customFormat="1" ht="21" customHeight="1">
      <c r="B204" s="305"/>
      <c r="C204" s="305"/>
      <c r="D204" s="234"/>
      <c r="E204" s="307"/>
      <c r="F204" s="307"/>
      <c r="G204" s="308"/>
      <c r="H204" s="233"/>
      <c r="I204" s="301"/>
    </row>
    <row r="205" spans="2:9" s="297" customFormat="1" ht="21" customHeight="1">
      <c r="B205" s="305"/>
      <c r="C205" s="305"/>
      <c r="D205" s="234"/>
      <c r="E205" s="307"/>
      <c r="F205" s="307"/>
      <c r="G205" s="308"/>
      <c r="H205" s="233"/>
      <c r="I205" s="301"/>
    </row>
    <row r="206" spans="2:9" s="297" customFormat="1" ht="21" customHeight="1">
      <c r="B206" s="305"/>
      <c r="C206" s="305"/>
      <c r="D206" s="234"/>
      <c r="E206" s="307"/>
      <c r="F206" s="307"/>
      <c r="G206" s="308"/>
      <c r="H206" s="233"/>
      <c r="I206" s="301"/>
    </row>
    <row r="207" spans="2:9" s="297" customFormat="1" ht="21" customHeight="1">
      <c r="B207" s="312" t="s">
        <v>835</v>
      </c>
      <c r="C207" s="305"/>
      <c r="D207" s="234"/>
      <c r="E207" s="307"/>
      <c r="F207" s="307"/>
      <c r="G207" s="232"/>
      <c r="H207" s="233"/>
      <c r="I207" s="301"/>
    </row>
    <row r="208" spans="2:9" s="297" customFormat="1" ht="21" customHeight="1">
      <c r="B208" s="305"/>
      <c r="C208" s="305" t="s">
        <v>1079</v>
      </c>
      <c r="D208" s="234" t="s">
        <v>836</v>
      </c>
      <c r="E208" s="307">
        <v>2.1000000000000001E-2</v>
      </c>
      <c r="F208" s="307"/>
      <c r="G208" s="232"/>
      <c r="H208" s="233"/>
      <c r="I208" s="301"/>
    </row>
    <row r="209" spans="2:9" s="297" customFormat="1" ht="21" customHeight="1">
      <c r="B209" s="305"/>
      <c r="C209" s="305" t="s">
        <v>1080</v>
      </c>
      <c r="D209" s="234" t="s">
        <v>836</v>
      </c>
      <c r="E209" s="307">
        <v>2.1000000000000001E-2</v>
      </c>
      <c r="F209" s="306"/>
      <c r="G209" s="232"/>
      <c r="H209" s="232"/>
      <c r="I209" s="301"/>
    </row>
    <row r="210" spans="2:9" s="297" customFormat="1" ht="21" customHeight="1">
      <c r="B210" s="305"/>
      <c r="C210" s="305"/>
      <c r="D210" s="234"/>
      <c r="E210" s="306"/>
      <c r="F210" s="306"/>
      <c r="G210" s="308"/>
      <c r="H210" s="233"/>
      <c r="I210" s="301"/>
    </row>
    <row r="211" spans="2:9" s="297" customFormat="1" ht="21" customHeight="1">
      <c r="B211" s="305"/>
      <c r="C211" s="305"/>
      <c r="D211" s="234"/>
      <c r="E211" s="306"/>
      <c r="F211" s="306"/>
      <c r="G211" s="308"/>
      <c r="H211" s="233"/>
      <c r="I211" s="301"/>
    </row>
    <row r="212" spans="2:9" s="297" customFormat="1" ht="21" customHeight="1">
      <c r="B212" s="305"/>
      <c r="C212" s="305"/>
      <c r="D212" s="234"/>
      <c r="E212" s="306"/>
      <c r="F212" s="306"/>
      <c r="G212" s="308"/>
      <c r="H212" s="233"/>
      <c r="I212" s="301"/>
    </row>
    <row r="213" spans="2:9" s="297" customFormat="1" ht="21" customHeight="1">
      <c r="B213" s="312" t="s">
        <v>837</v>
      </c>
      <c r="C213" s="305"/>
      <c r="D213" s="234"/>
      <c r="E213" s="307"/>
      <c r="F213" s="307"/>
      <c r="G213" s="232"/>
      <c r="H213" s="233"/>
      <c r="I213" s="301"/>
    </row>
    <row r="214" spans="2:9" s="297" customFormat="1" ht="21" customHeight="1">
      <c r="B214" s="305"/>
      <c r="C214" s="305" t="s">
        <v>1079</v>
      </c>
      <c r="D214" s="234" t="s">
        <v>836</v>
      </c>
      <c r="E214" s="307">
        <v>1.1088</v>
      </c>
      <c r="F214" s="307"/>
      <c r="G214" s="232"/>
      <c r="H214" s="233"/>
      <c r="I214" s="301"/>
    </row>
    <row r="215" spans="2:9" s="297" customFormat="1" ht="21" customHeight="1">
      <c r="B215" s="305"/>
      <c r="C215" s="305" t="s">
        <v>1080</v>
      </c>
      <c r="D215" s="234" t="s">
        <v>836</v>
      </c>
      <c r="E215" s="307">
        <v>1.1088</v>
      </c>
      <c r="F215" s="306"/>
      <c r="G215" s="232"/>
      <c r="H215" s="232"/>
      <c r="I215" s="301"/>
    </row>
    <row r="216" spans="2:9" s="297" customFormat="1" ht="21" customHeight="1">
      <c r="B216" s="305"/>
      <c r="C216" s="305"/>
      <c r="D216" s="234"/>
      <c r="E216" s="306"/>
      <c r="F216" s="306"/>
      <c r="G216" s="308"/>
      <c r="H216" s="233"/>
      <c r="I216" s="301"/>
    </row>
    <row r="217" spans="2:9" s="297" customFormat="1" ht="21" customHeight="1">
      <c r="B217" s="305"/>
      <c r="C217" s="305"/>
      <c r="D217" s="234"/>
      <c r="E217" s="306"/>
      <c r="F217" s="306"/>
      <c r="G217" s="308"/>
      <c r="H217" s="233"/>
      <c r="I217" s="301"/>
    </row>
    <row r="218" spans="2:9" s="297" customFormat="1" ht="21" customHeight="1">
      <c r="B218" s="305"/>
      <c r="C218" s="305"/>
      <c r="D218" s="234"/>
      <c r="E218" s="306"/>
      <c r="F218" s="306"/>
      <c r="G218" s="308"/>
      <c r="H218" s="233"/>
      <c r="I218" s="301"/>
    </row>
    <row r="219" spans="2:9" s="297" customFormat="1" ht="21" customHeight="1">
      <c r="B219" s="300" t="str">
        <f>'5. 공종별예산조서'!A13</f>
        <v>1-10. 분전반 중판 철거</v>
      </c>
      <c r="C219" s="300" t="str">
        <f>'5. 공종별예산조서'!B13</f>
        <v>L-4-C1 PNL 중판철거</v>
      </c>
      <c r="D219" s="301" t="str">
        <f>'5. 공종별예산조서'!C13</f>
        <v>면</v>
      </c>
      <c r="E219" s="309">
        <f>'5. 공종별예산조서'!D13</f>
        <v>1</v>
      </c>
      <c r="F219" s="302"/>
      <c r="G219" s="303"/>
      <c r="H219" s="304"/>
      <c r="I219" s="301"/>
    </row>
    <row r="220" spans="2:9" s="297" customFormat="1" ht="21" customHeight="1">
      <c r="B220" s="312" t="s">
        <v>834</v>
      </c>
      <c r="C220" s="305"/>
      <c r="D220" s="234"/>
      <c r="E220" s="310"/>
      <c r="F220" s="306"/>
      <c r="G220" s="232"/>
      <c r="H220" s="233"/>
      <c r="I220" s="301"/>
    </row>
    <row r="221" spans="2:9" s="297" customFormat="1" ht="21" customHeight="1">
      <c r="B221" s="305" t="s">
        <v>1082</v>
      </c>
      <c r="C221" s="305" t="str">
        <f>C219</f>
        <v>L-4-C1 PNL 중판철거</v>
      </c>
      <c r="D221" s="234" t="str">
        <f>D219</f>
        <v>면</v>
      </c>
      <c r="E221" s="311">
        <f>E219</f>
        <v>1</v>
      </c>
      <c r="F221" s="307"/>
      <c r="G221" s="232"/>
      <c r="H221" s="233"/>
      <c r="I221" s="301"/>
    </row>
    <row r="222" spans="2:9" s="297" customFormat="1" ht="21" customHeight="1">
      <c r="B222" s="305"/>
      <c r="C222" s="305"/>
      <c r="D222" s="234"/>
      <c r="E222" s="311"/>
      <c r="F222" s="307"/>
      <c r="G222" s="232"/>
      <c r="H222" s="233"/>
      <c r="I222" s="301"/>
    </row>
    <row r="223" spans="2:9" s="297" customFormat="1" ht="21" customHeight="1">
      <c r="B223" s="305"/>
      <c r="C223" s="305"/>
      <c r="D223" s="234"/>
      <c r="E223" s="311"/>
      <c r="F223" s="307"/>
      <c r="G223" s="232"/>
      <c r="H223" s="233"/>
      <c r="I223" s="301"/>
    </row>
    <row r="224" spans="2:9" s="297" customFormat="1" ht="21" customHeight="1">
      <c r="B224" s="305"/>
      <c r="C224" s="305"/>
      <c r="D224" s="234"/>
      <c r="E224" s="311"/>
      <c r="F224" s="307"/>
      <c r="G224" s="232"/>
      <c r="H224" s="233"/>
      <c r="I224" s="301"/>
    </row>
    <row r="225" spans="2:9" s="297" customFormat="1" ht="21" customHeight="1">
      <c r="B225" s="305"/>
      <c r="C225" s="305"/>
      <c r="D225" s="234"/>
      <c r="E225" s="311"/>
      <c r="F225" s="307"/>
      <c r="G225" s="232"/>
      <c r="H225" s="233"/>
      <c r="I225" s="301"/>
    </row>
    <row r="226" spans="2:9" s="297" customFormat="1" ht="21" customHeight="1">
      <c r="B226" s="305"/>
      <c r="C226" s="305"/>
      <c r="D226" s="234"/>
      <c r="E226" s="307"/>
      <c r="F226" s="307"/>
      <c r="G226" s="232"/>
      <c r="H226" s="232"/>
      <c r="I226" s="301"/>
    </row>
    <row r="227" spans="2:9" s="297" customFormat="1" ht="21" customHeight="1">
      <c r="B227" s="305"/>
      <c r="C227" s="305"/>
      <c r="D227" s="234"/>
      <c r="E227" s="307"/>
      <c r="F227" s="307"/>
      <c r="G227" s="308"/>
      <c r="H227" s="233"/>
      <c r="I227" s="301"/>
    </row>
    <row r="228" spans="2:9" s="297" customFormat="1" ht="21" customHeight="1">
      <c r="B228" s="305"/>
      <c r="C228" s="305"/>
      <c r="D228" s="234"/>
      <c r="E228" s="307"/>
      <c r="F228" s="307"/>
      <c r="G228" s="308"/>
      <c r="H228" s="233"/>
      <c r="I228" s="301"/>
    </row>
    <row r="229" spans="2:9" s="297" customFormat="1" ht="21" customHeight="1">
      <c r="B229" s="305"/>
      <c r="C229" s="305"/>
      <c r="D229" s="234"/>
      <c r="E229" s="307"/>
      <c r="F229" s="307"/>
      <c r="G229" s="308"/>
      <c r="H229" s="233"/>
      <c r="I229" s="301"/>
    </row>
    <row r="230" spans="2:9" s="297" customFormat="1" ht="21" customHeight="1">
      <c r="B230" s="305"/>
      <c r="C230" s="305"/>
      <c r="D230" s="234"/>
      <c r="E230" s="307"/>
      <c r="F230" s="307"/>
      <c r="G230" s="308"/>
      <c r="H230" s="233"/>
      <c r="I230" s="301"/>
    </row>
    <row r="231" spans="2:9" s="297" customFormat="1" ht="21" customHeight="1">
      <c r="B231" s="312" t="s">
        <v>835</v>
      </c>
      <c r="C231" s="305"/>
      <c r="D231" s="234"/>
      <c r="E231" s="307"/>
      <c r="F231" s="307"/>
      <c r="G231" s="232"/>
      <c r="H231" s="233"/>
      <c r="I231" s="301"/>
    </row>
    <row r="232" spans="2:9" s="297" customFormat="1" ht="21" customHeight="1">
      <c r="B232" s="305"/>
      <c r="C232" s="305" t="s">
        <v>64</v>
      </c>
      <c r="D232" s="234" t="s">
        <v>836</v>
      </c>
      <c r="E232" s="307">
        <v>0.28499999999999998</v>
      </c>
      <c r="F232" s="307"/>
      <c r="G232" s="232"/>
      <c r="H232" s="233"/>
      <c r="I232" s="301"/>
    </row>
    <row r="233" spans="2:9" s="297" customFormat="1" ht="21" customHeight="1">
      <c r="B233" s="305"/>
      <c r="C233" s="305"/>
      <c r="D233" s="234"/>
      <c r="E233" s="306"/>
      <c r="F233" s="306"/>
      <c r="G233" s="232"/>
      <c r="H233" s="232"/>
      <c r="I233" s="301"/>
    </row>
    <row r="234" spans="2:9" s="297" customFormat="1" ht="21" customHeight="1">
      <c r="B234" s="305"/>
      <c r="C234" s="305"/>
      <c r="D234" s="234"/>
      <c r="E234" s="306"/>
      <c r="F234" s="306"/>
      <c r="G234" s="308"/>
      <c r="H234" s="233"/>
      <c r="I234" s="301"/>
    </row>
    <row r="235" spans="2:9" s="297" customFormat="1" ht="21" customHeight="1">
      <c r="B235" s="305"/>
      <c r="C235" s="305"/>
      <c r="D235" s="234"/>
      <c r="E235" s="306"/>
      <c r="F235" s="306"/>
      <c r="G235" s="308"/>
      <c r="H235" s="233"/>
      <c r="I235" s="301"/>
    </row>
    <row r="236" spans="2:9" s="297" customFormat="1" ht="21" customHeight="1">
      <c r="B236" s="305"/>
      <c r="C236" s="305"/>
      <c r="D236" s="234"/>
      <c r="E236" s="306"/>
      <c r="F236" s="306"/>
      <c r="G236" s="308"/>
      <c r="H236" s="233"/>
      <c r="I236" s="301"/>
    </row>
    <row r="237" spans="2:9" s="297" customFormat="1" ht="21" customHeight="1">
      <c r="B237" s="312" t="s">
        <v>837</v>
      </c>
      <c r="C237" s="305"/>
      <c r="D237" s="234"/>
      <c r="E237" s="307"/>
      <c r="F237" s="307"/>
      <c r="G237" s="232"/>
      <c r="H237" s="233"/>
      <c r="I237" s="301"/>
    </row>
    <row r="238" spans="2:9" s="297" customFormat="1" ht="21" customHeight="1">
      <c r="B238" s="305"/>
      <c r="C238" s="305" t="s">
        <v>64</v>
      </c>
      <c r="D238" s="234" t="s">
        <v>836</v>
      </c>
      <c r="E238" s="307">
        <v>8.9999999999999993E-3</v>
      </c>
      <c r="F238" s="307"/>
      <c r="G238" s="232"/>
      <c r="H238" s="233"/>
      <c r="I238" s="301"/>
    </row>
    <row r="239" spans="2:9" s="297" customFormat="1" ht="21" customHeight="1">
      <c r="B239" s="305"/>
      <c r="C239" s="305"/>
      <c r="D239" s="234"/>
      <c r="E239" s="306"/>
      <c r="F239" s="306"/>
      <c r="G239" s="232"/>
      <c r="H239" s="232"/>
      <c r="I239" s="301"/>
    </row>
    <row r="240" spans="2:9" s="297" customFormat="1" ht="21" customHeight="1">
      <c r="B240" s="305"/>
      <c r="C240" s="305"/>
      <c r="D240" s="234"/>
      <c r="E240" s="306"/>
      <c r="F240" s="306"/>
      <c r="G240" s="308"/>
      <c r="H240" s="233"/>
      <c r="I240" s="301"/>
    </row>
    <row r="241" spans="2:9" s="297" customFormat="1" ht="21" customHeight="1">
      <c r="B241" s="305"/>
      <c r="C241" s="305"/>
      <c r="D241" s="234"/>
      <c r="E241" s="306"/>
      <c r="F241" s="306"/>
      <c r="G241" s="308"/>
      <c r="H241" s="233"/>
      <c r="I241" s="301"/>
    </row>
    <row r="242" spans="2:9" s="297" customFormat="1" ht="21" customHeight="1">
      <c r="B242" s="305"/>
      <c r="C242" s="305"/>
      <c r="D242" s="234"/>
      <c r="E242" s="306"/>
      <c r="F242" s="306"/>
      <c r="G242" s="308"/>
      <c r="H242" s="233"/>
      <c r="I242" s="301"/>
    </row>
    <row r="243" spans="2:9" s="297" customFormat="1" ht="21" customHeight="1">
      <c r="B243" s="300" t="str">
        <f>'5. 공종별예산조서'!A14</f>
        <v>1-11. 기존 배선기구 및 케이블정리</v>
      </c>
      <c r="C243" s="300" t="str">
        <f>'5. 공종별예산조서'!B14</f>
        <v>기존 배선기구 및 케이블정리</v>
      </c>
      <c r="D243" s="301" t="str">
        <f>'5. 공종별예산조서'!C14</f>
        <v>식</v>
      </c>
      <c r="E243" s="309">
        <f>'5. 공종별예산조서'!D14</f>
        <v>1</v>
      </c>
      <c r="F243" s="302"/>
      <c r="G243" s="303"/>
      <c r="H243" s="304"/>
      <c r="I243" s="301"/>
    </row>
    <row r="244" spans="2:9" s="297" customFormat="1" ht="21" customHeight="1">
      <c r="B244" s="312" t="s">
        <v>834</v>
      </c>
      <c r="C244" s="305"/>
      <c r="D244" s="234"/>
      <c r="E244" s="310"/>
      <c r="F244" s="306"/>
      <c r="G244" s="232"/>
      <c r="H244" s="233"/>
      <c r="I244" s="301"/>
    </row>
    <row r="245" spans="2:9" s="297" customFormat="1" ht="21" customHeight="1">
      <c r="B245" s="305" t="s">
        <v>1083</v>
      </c>
      <c r="C245" s="305" t="str">
        <f>C243</f>
        <v>기존 배선기구 및 케이블정리</v>
      </c>
      <c r="D245" s="234" t="str">
        <f>D243</f>
        <v>식</v>
      </c>
      <c r="E245" s="311">
        <f>E243</f>
        <v>1</v>
      </c>
      <c r="F245" s="307"/>
      <c r="G245" s="232"/>
      <c r="H245" s="233"/>
      <c r="I245" s="301"/>
    </row>
    <row r="246" spans="2:9" s="297" customFormat="1" ht="21" customHeight="1">
      <c r="B246" s="305"/>
      <c r="C246" s="305"/>
      <c r="D246" s="234"/>
      <c r="E246" s="311"/>
      <c r="F246" s="307"/>
      <c r="G246" s="232"/>
      <c r="H246" s="233"/>
      <c r="I246" s="301"/>
    </row>
    <row r="247" spans="2:9" s="297" customFormat="1" ht="21" customHeight="1">
      <c r="B247" s="305"/>
      <c r="C247" s="305"/>
      <c r="D247" s="234"/>
      <c r="E247" s="311"/>
      <c r="F247" s="307"/>
      <c r="G247" s="232"/>
      <c r="H247" s="233"/>
      <c r="I247" s="301"/>
    </row>
    <row r="248" spans="2:9" s="297" customFormat="1" ht="21" customHeight="1">
      <c r="B248" s="305"/>
      <c r="C248" s="305"/>
      <c r="D248" s="234"/>
      <c r="E248" s="311"/>
      <c r="F248" s="307"/>
      <c r="G248" s="232"/>
      <c r="H248" s="233"/>
      <c r="I248" s="301"/>
    </row>
    <row r="249" spans="2:9" s="297" customFormat="1" ht="21" customHeight="1">
      <c r="B249" s="305"/>
      <c r="C249" s="305"/>
      <c r="D249" s="234"/>
      <c r="E249" s="311"/>
      <c r="F249" s="307"/>
      <c r="G249" s="232"/>
      <c r="H249" s="233"/>
      <c r="I249" s="301"/>
    </row>
    <row r="250" spans="2:9" s="297" customFormat="1" ht="21" customHeight="1">
      <c r="B250" s="305"/>
      <c r="C250" s="305"/>
      <c r="D250" s="234"/>
      <c r="E250" s="307"/>
      <c r="F250" s="307"/>
      <c r="G250" s="232"/>
      <c r="H250" s="232"/>
      <c r="I250" s="301"/>
    </row>
    <row r="251" spans="2:9" s="297" customFormat="1" ht="21" customHeight="1">
      <c r="B251" s="305"/>
      <c r="C251" s="305"/>
      <c r="D251" s="234"/>
      <c r="E251" s="307"/>
      <c r="F251" s="307"/>
      <c r="G251" s="308"/>
      <c r="H251" s="233"/>
      <c r="I251" s="301"/>
    </row>
    <row r="252" spans="2:9" s="297" customFormat="1" ht="21" customHeight="1">
      <c r="B252" s="305"/>
      <c r="C252" s="305"/>
      <c r="D252" s="234"/>
      <c r="E252" s="307"/>
      <c r="F252" s="307"/>
      <c r="G252" s="308"/>
      <c r="H252" s="233"/>
      <c r="I252" s="301"/>
    </row>
    <row r="253" spans="2:9" s="297" customFormat="1" ht="21" customHeight="1">
      <c r="B253" s="305"/>
      <c r="C253" s="305"/>
      <c r="D253" s="234"/>
      <c r="E253" s="307"/>
      <c r="F253" s="307"/>
      <c r="G253" s="308"/>
      <c r="H253" s="233"/>
      <c r="I253" s="301"/>
    </row>
    <row r="254" spans="2:9" s="297" customFormat="1" ht="21" customHeight="1">
      <c r="B254" s="305"/>
      <c r="C254" s="305"/>
      <c r="D254" s="234"/>
      <c r="E254" s="307"/>
      <c r="F254" s="307"/>
      <c r="G254" s="308"/>
      <c r="H254" s="233"/>
      <c r="I254" s="301"/>
    </row>
    <row r="255" spans="2:9" s="297" customFormat="1" ht="21" customHeight="1">
      <c r="B255" s="312" t="s">
        <v>835</v>
      </c>
      <c r="C255" s="305"/>
      <c r="D255" s="234"/>
      <c r="E255" s="307"/>
      <c r="F255" s="307"/>
      <c r="G255" s="232"/>
      <c r="H255" s="233"/>
      <c r="I255" s="301"/>
    </row>
    <row r="256" spans="2:9" s="297" customFormat="1" ht="21" customHeight="1">
      <c r="B256" s="305"/>
      <c r="C256" s="305" t="s">
        <v>64</v>
      </c>
      <c r="D256" s="234" t="s">
        <v>836</v>
      </c>
      <c r="E256" s="307">
        <v>1</v>
      </c>
      <c r="F256" s="307"/>
      <c r="G256" s="232"/>
      <c r="H256" s="233"/>
      <c r="I256" s="301"/>
    </row>
    <row r="257" spans="2:9" s="297" customFormat="1" ht="21" customHeight="1">
      <c r="B257" s="305"/>
      <c r="C257" s="305" t="s">
        <v>1080</v>
      </c>
      <c r="D257" s="234" t="s">
        <v>836</v>
      </c>
      <c r="E257" s="306">
        <v>1</v>
      </c>
      <c r="F257" s="306"/>
      <c r="G257" s="232"/>
      <c r="H257" s="232"/>
      <c r="I257" s="301"/>
    </row>
    <row r="258" spans="2:9" s="297" customFormat="1" ht="21" customHeight="1">
      <c r="B258" s="305"/>
      <c r="C258" s="305"/>
      <c r="D258" s="234"/>
      <c r="E258" s="306"/>
      <c r="F258" s="306"/>
      <c r="G258" s="308"/>
      <c r="H258" s="233"/>
      <c r="I258" s="301"/>
    </row>
    <row r="259" spans="2:9" s="297" customFormat="1" ht="21" customHeight="1">
      <c r="B259" s="305"/>
      <c r="C259" s="305"/>
      <c r="D259" s="234"/>
      <c r="E259" s="306"/>
      <c r="F259" s="306"/>
      <c r="G259" s="308"/>
      <c r="H259" s="233"/>
      <c r="I259" s="301"/>
    </row>
    <row r="260" spans="2:9" s="297" customFormat="1" ht="21" customHeight="1">
      <c r="B260" s="305"/>
      <c r="C260" s="305"/>
      <c r="D260" s="234"/>
      <c r="E260" s="306"/>
      <c r="F260" s="306"/>
      <c r="G260" s="308"/>
      <c r="H260" s="233"/>
      <c r="I260" s="301"/>
    </row>
    <row r="261" spans="2:9" s="297" customFormat="1" ht="21" customHeight="1">
      <c r="B261" s="312" t="s">
        <v>837</v>
      </c>
      <c r="C261" s="305"/>
      <c r="D261" s="234"/>
      <c r="E261" s="307"/>
      <c r="F261" s="307"/>
      <c r="G261" s="232"/>
      <c r="H261" s="233"/>
      <c r="I261" s="301"/>
    </row>
    <row r="262" spans="2:9" s="297" customFormat="1" ht="21" customHeight="1">
      <c r="B262" s="305"/>
      <c r="C262" s="305" t="s">
        <v>64</v>
      </c>
      <c r="D262" s="234" t="s">
        <v>836</v>
      </c>
      <c r="E262" s="307">
        <v>0.03</v>
      </c>
      <c r="F262" s="307"/>
      <c r="G262" s="232"/>
      <c r="H262" s="233"/>
      <c r="I262" s="301"/>
    </row>
    <row r="263" spans="2:9" s="297" customFormat="1" ht="21" customHeight="1">
      <c r="B263" s="305"/>
      <c r="C263" s="305" t="s">
        <v>1080</v>
      </c>
      <c r="D263" s="234" t="s">
        <v>836</v>
      </c>
      <c r="E263" s="306">
        <v>0.03</v>
      </c>
      <c r="F263" s="306"/>
      <c r="G263" s="232"/>
      <c r="H263" s="232"/>
      <c r="I263" s="301"/>
    </row>
    <row r="264" spans="2:9" s="297" customFormat="1" ht="21" customHeight="1">
      <c r="B264" s="305"/>
      <c r="C264" s="305"/>
      <c r="D264" s="234"/>
      <c r="E264" s="306"/>
      <c r="F264" s="306"/>
      <c r="G264" s="308"/>
      <c r="H264" s="233"/>
      <c r="I264" s="301"/>
    </row>
    <row r="265" spans="2:9" s="297" customFormat="1" ht="21" customHeight="1">
      <c r="B265" s="305"/>
      <c r="C265" s="305"/>
      <c r="D265" s="234"/>
      <c r="E265" s="306"/>
      <c r="F265" s="306"/>
      <c r="G265" s="308"/>
      <c r="H265" s="233"/>
      <c r="I265" s="301"/>
    </row>
    <row r="266" spans="2:9" s="297" customFormat="1" ht="21" customHeight="1">
      <c r="B266" s="305"/>
      <c r="C266" s="305"/>
      <c r="D266" s="234"/>
      <c r="E266" s="306"/>
      <c r="F266" s="306"/>
      <c r="G266" s="308"/>
      <c r="H266" s="233"/>
      <c r="I266" s="301"/>
    </row>
    <row r="267" spans="2:9" s="297" customFormat="1" ht="21" customHeight="1">
      <c r="B267" s="300" t="str">
        <f>'5. 공종별예산조서'!A15</f>
        <v>1-12. 1종금속제가요전선관 신설</v>
      </c>
      <c r="C267" s="300" t="str">
        <f>'5. 공종별예산조서'!B15</f>
        <v>방수, 36C</v>
      </c>
      <c r="D267" s="301" t="str">
        <f>'5. 공종별예산조서'!C15</f>
        <v>M</v>
      </c>
      <c r="E267" s="309">
        <f>'5. 공종별예산조서'!D15</f>
        <v>10</v>
      </c>
      <c r="F267" s="302"/>
      <c r="G267" s="303"/>
      <c r="H267" s="304"/>
      <c r="I267" s="301"/>
    </row>
    <row r="268" spans="2:9" s="297" customFormat="1" ht="21" customHeight="1">
      <c r="B268" s="312" t="s">
        <v>834</v>
      </c>
      <c r="C268" s="305"/>
      <c r="D268" s="234"/>
      <c r="E268" s="310"/>
      <c r="F268" s="306"/>
      <c r="G268" s="232"/>
      <c r="H268" s="233"/>
      <c r="I268" s="301"/>
    </row>
    <row r="269" spans="2:9" s="297" customFormat="1" ht="21" customHeight="1">
      <c r="B269" s="305" t="s">
        <v>1084</v>
      </c>
      <c r="C269" s="305" t="str">
        <f>C267</f>
        <v>방수, 36C</v>
      </c>
      <c r="D269" s="234" t="str">
        <f>D267</f>
        <v>M</v>
      </c>
      <c r="E269" s="311">
        <f>E267</f>
        <v>10</v>
      </c>
      <c r="F269" s="307"/>
      <c r="G269" s="232"/>
      <c r="H269" s="233"/>
      <c r="I269" s="301"/>
    </row>
    <row r="270" spans="2:9" s="297" customFormat="1" ht="21" customHeight="1">
      <c r="B270" s="305" t="s">
        <v>839</v>
      </c>
      <c r="C270" s="305" t="s">
        <v>840</v>
      </c>
      <c r="D270" s="234" t="s">
        <v>6</v>
      </c>
      <c r="E270" s="311">
        <v>1</v>
      </c>
      <c r="F270" s="307"/>
      <c r="G270" s="232"/>
      <c r="H270" s="233"/>
      <c r="I270" s="301"/>
    </row>
    <row r="271" spans="2:9" s="297" customFormat="1" ht="21" customHeight="1">
      <c r="B271" s="305"/>
      <c r="C271" s="305"/>
      <c r="D271" s="234"/>
      <c r="E271" s="311"/>
      <c r="F271" s="307"/>
      <c r="G271" s="232"/>
      <c r="H271" s="233"/>
      <c r="I271" s="301"/>
    </row>
    <row r="272" spans="2:9" s="297" customFormat="1" ht="21" customHeight="1">
      <c r="B272" s="305"/>
      <c r="C272" s="305"/>
      <c r="D272" s="234"/>
      <c r="E272" s="311"/>
      <c r="F272" s="307"/>
      <c r="G272" s="232"/>
      <c r="H272" s="233"/>
      <c r="I272" s="301"/>
    </row>
    <row r="273" spans="2:9" s="297" customFormat="1" ht="21" customHeight="1">
      <c r="B273" s="305"/>
      <c r="C273" s="305"/>
      <c r="D273" s="234"/>
      <c r="E273" s="311"/>
      <c r="F273" s="307"/>
      <c r="G273" s="232"/>
      <c r="H273" s="233"/>
      <c r="I273" s="301"/>
    </row>
    <row r="274" spans="2:9" s="297" customFormat="1" ht="21" customHeight="1">
      <c r="B274" s="305"/>
      <c r="C274" s="305"/>
      <c r="D274" s="234"/>
      <c r="E274" s="307"/>
      <c r="F274" s="307"/>
      <c r="G274" s="232"/>
      <c r="H274" s="232"/>
      <c r="I274" s="301"/>
    </row>
    <row r="275" spans="2:9" s="297" customFormat="1" ht="21" customHeight="1">
      <c r="B275" s="305"/>
      <c r="C275" s="305"/>
      <c r="D275" s="234"/>
      <c r="E275" s="307"/>
      <c r="F275" s="307"/>
      <c r="G275" s="308"/>
      <c r="H275" s="233"/>
      <c r="I275" s="301"/>
    </row>
    <row r="276" spans="2:9" s="297" customFormat="1" ht="21" customHeight="1">
      <c r="B276" s="305"/>
      <c r="C276" s="305"/>
      <c r="D276" s="234"/>
      <c r="E276" s="307"/>
      <c r="F276" s="307"/>
      <c r="G276" s="308"/>
      <c r="H276" s="233"/>
      <c r="I276" s="301"/>
    </row>
    <row r="277" spans="2:9" s="297" customFormat="1" ht="21" customHeight="1">
      <c r="B277" s="305"/>
      <c r="C277" s="305"/>
      <c r="D277" s="234"/>
      <c r="E277" s="307"/>
      <c r="F277" s="307"/>
      <c r="G277" s="308"/>
      <c r="H277" s="233"/>
      <c r="I277" s="301"/>
    </row>
    <row r="278" spans="2:9" s="297" customFormat="1" ht="21" customHeight="1">
      <c r="B278" s="305"/>
      <c r="C278" s="305"/>
      <c r="D278" s="234"/>
      <c r="E278" s="307"/>
      <c r="F278" s="307"/>
      <c r="G278" s="308"/>
      <c r="H278" s="233"/>
      <c r="I278" s="301"/>
    </row>
    <row r="279" spans="2:9" s="297" customFormat="1" ht="21" customHeight="1">
      <c r="B279" s="312" t="s">
        <v>835</v>
      </c>
      <c r="C279" s="305"/>
      <c r="D279" s="234"/>
      <c r="E279" s="307"/>
      <c r="F279" s="307"/>
      <c r="G279" s="232"/>
      <c r="H279" s="233"/>
      <c r="I279" s="301"/>
    </row>
    <row r="280" spans="2:9" s="297" customFormat="1" ht="21" customHeight="1">
      <c r="B280" s="305"/>
      <c r="C280" s="305" t="s">
        <v>64</v>
      </c>
      <c r="D280" s="234" t="s">
        <v>836</v>
      </c>
      <c r="E280" s="307">
        <v>0.78300000000000003</v>
      </c>
      <c r="F280" s="307"/>
      <c r="G280" s="232"/>
      <c r="H280" s="233"/>
      <c r="I280" s="301"/>
    </row>
    <row r="281" spans="2:9" s="297" customFormat="1" ht="21" customHeight="1">
      <c r="B281" s="305"/>
      <c r="C281" s="305"/>
      <c r="D281" s="234"/>
      <c r="E281" s="306"/>
      <c r="F281" s="306"/>
      <c r="G281" s="232"/>
      <c r="H281" s="232"/>
      <c r="I281" s="301"/>
    </row>
    <row r="282" spans="2:9" s="297" customFormat="1" ht="21" customHeight="1">
      <c r="B282" s="305"/>
      <c r="C282" s="305"/>
      <c r="D282" s="234"/>
      <c r="E282" s="306"/>
      <c r="F282" s="306"/>
      <c r="G282" s="308"/>
      <c r="H282" s="233"/>
      <c r="I282" s="301"/>
    </row>
    <row r="283" spans="2:9" s="297" customFormat="1" ht="21" customHeight="1">
      <c r="B283" s="305"/>
      <c r="C283" s="305"/>
      <c r="D283" s="234"/>
      <c r="E283" s="306"/>
      <c r="F283" s="306"/>
      <c r="G283" s="308"/>
      <c r="H283" s="233"/>
      <c r="I283" s="301"/>
    </row>
    <row r="284" spans="2:9" s="297" customFormat="1" ht="21" customHeight="1">
      <c r="B284" s="305"/>
      <c r="C284" s="305"/>
      <c r="D284" s="234"/>
      <c r="E284" s="306"/>
      <c r="F284" s="306"/>
      <c r="G284" s="308"/>
      <c r="H284" s="233"/>
      <c r="I284" s="301"/>
    </row>
    <row r="285" spans="2:9" s="297" customFormat="1" ht="21" customHeight="1">
      <c r="B285" s="312" t="s">
        <v>837</v>
      </c>
      <c r="C285" s="305"/>
      <c r="D285" s="234"/>
      <c r="E285" s="307"/>
      <c r="F285" s="307"/>
      <c r="G285" s="232"/>
      <c r="H285" s="233"/>
      <c r="I285" s="301"/>
    </row>
    <row r="286" spans="2:9" s="297" customFormat="1" ht="21" customHeight="1">
      <c r="B286" s="305"/>
      <c r="C286" s="305" t="s">
        <v>64</v>
      </c>
      <c r="D286" s="234" t="s">
        <v>836</v>
      </c>
      <c r="E286" s="307">
        <v>2.3E-2</v>
      </c>
      <c r="F286" s="307"/>
      <c r="G286" s="232"/>
      <c r="H286" s="233"/>
      <c r="I286" s="301"/>
    </row>
    <row r="287" spans="2:9" s="297" customFormat="1" ht="21" customHeight="1">
      <c r="B287" s="305"/>
      <c r="C287" s="305"/>
      <c r="D287" s="234"/>
      <c r="E287" s="306"/>
      <c r="F287" s="306"/>
      <c r="G287" s="232"/>
      <c r="H287" s="232"/>
      <c r="I287" s="301"/>
    </row>
    <row r="288" spans="2:9" s="297" customFormat="1" ht="21" customHeight="1">
      <c r="B288" s="305"/>
      <c r="C288" s="305"/>
      <c r="D288" s="234"/>
      <c r="E288" s="306"/>
      <c r="F288" s="306"/>
      <c r="G288" s="308"/>
      <c r="H288" s="233"/>
      <c r="I288" s="301"/>
    </row>
    <row r="289" spans="2:9" s="297" customFormat="1" ht="21" customHeight="1">
      <c r="B289" s="305"/>
      <c r="C289" s="305"/>
      <c r="D289" s="234"/>
      <c r="E289" s="306"/>
      <c r="F289" s="306"/>
      <c r="G289" s="308"/>
      <c r="H289" s="233"/>
      <c r="I289" s="301"/>
    </row>
    <row r="290" spans="2:9" s="297" customFormat="1" ht="21" customHeight="1">
      <c r="B290" s="305"/>
      <c r="C290" s="305"/>
      <c r="D290" s="234"/>
      <c r="E290" s="306"/>
      <c r="F290" s="306"/>
      <c r="G290" s="308"/>
      <c r="H290" s="233"/>
      <c r="I290" s="301"/>
    </row>
    <row r="291" spans="2:9" s="297" customFormat="1" ht="21" customHeight="1">
      <c r="B291" s="300" t="str">
        <f>'5. 공종별예산조서'!A16</f>
        <v>1-13. 강제전선관 신설</v>
      </c>
      <c r="C291" s="300" t="str">
        <f>'5. 공종별예산조서'!B16</f>
        <v>아연도, 54C</v>
      </c>
      <c r="D291" s="301" t="str">
        <f>'5. 공종별예산조서'!C16</f>
        <v>M</v>
      </c>
      <c r="E291" s="309">
        <f>'5. 공종별예산조서'!D16</f>
        <v>34</v>
      </c>
      <c r="F291" s="302"/>
      <c r="G291" s="303"/>
      <c r="H291" s="304"/>
      <c r="I291" s="301"/>
    </row>
    <row r="292" spans="2:9" s="297" customFormat="1" ht="21" customHeight="1">
      <c r="B292" s="312" t="s">
        <v>834</v>
      </c>
      <c r="C292" s="305"/>
      <c r="D292" s="234"/>
      <c r="E292" s="310"/>
      <c r="F292" s="306"/>
      <c r="G292" s="232"/>
      <c r="H292" s="233"/>
      <c r="I292" s="301"/>
    </row>
    <row r="293" spans="2:9" s="297" customFormat="1" ht="21" customHeight="1">
      <c r="B293" s="305" t="s">
        <v>1085</v>
      </c>
      <c r="C293" s="305" t="str">
        <f>C291</f>
        <v>아연도, 54C</v>
      </c>
      <c r="D293" s="234" t="str">
        <f>D291</f>
        <v>M</v>
      </c>
      <c r="E293" s="311">
        <f>E291</f>
        <v>34</v>
      </c>
      <c r="F293" s="307"/>
      <c r="G293" s="232"/>
      <c r="H293" s="233"/>
      <c r="I293" s="301"/>
    </row>
    <row r="294" spans="2:9" s="297" customFormat="1" ht="21" customHeight="1">
      <c r="B294" s="305" t="s">
        <v>839</v>
      </c>
      <c r="C294" s="305" t="s">
        <v>840</v>
      </c>
      <c r="D294" s="234" t="s">
        <v>6</v>
      </c>
      <c r="E294" s="311">
        <v>1</v>
      </c>
      <c r="F294" s="307"/>
      <c r="G294" s="232"/>
      <c r="H294" s="233"/>
      <c r="I294" s="301"/>
    </row>
    <row r="295" spans="2:9" s="297" customFormat="1" ht="21" customHeight="1">
      <c r="B295" s="305"/>
      <c r="C295" s="305"/>
      <c r="D295" s="234"/>
      <c r="E295" s="311"/>
      <c r="F295" s="307"/>
      <c r="G295" s="232"/>
      <c r="H295" s="233"/>
      <c r="I295" s="301"/>
    </row>
    <row r="296" spans="2:9" s="297" customFormat="1" ht="21" customHeight="1">
      <c r="B296" s="305"/>
      <c r="C296" s="305"/>
      <c r="D296" s="234"/>
      <c r="E296" s="311"/>
      <c r="F296" s="307"/>
      <c r="G296" s="232"/>
      <c r="H296" s="233"/>
      <c r="I296" s="301"/>
    </row>
    <row r="297" spans="2:9" s="297" customFormat="1" ht="21" customHeight="1">
      <c r="B297" s="305"/>
      <c r="C297" s="305"/>
      <c r="D297" s="234"/>
      <c r="E297" s="311"/>
      <c r="F297" s="307"/>
      <c r="G297" s="232"/>
      <c r="H297" s="232"/>
      <c r="I297" s="301"/>
    </row>
    <row r="298" spans="2:9" s="297" customFormat="1" ht="21" customHeight="1">
      <c r="B298" s="305"/>
      <c r="C298" s="305"/>
      <c r="D298" s="234"/>
      <c r="E298" s="307"/>
      <c r="F298" s="307"/>
      <c r="G298" s="308"/>
      <c r="H298" s="233"/>
      <c r="I298" s="301"/>
    </row>
    <row r="299" spans="2:9" s="297" customFormat="1" ht="21" customHeight="1">
      <c r="B299" s="305"/>
      <c r="C299" s="305"/>
      <c r="D299" s="234"/>
      <c r="E299" s="307"/>
      <c r="F299" s="307"/>
      <c r="G299" s="308"/>
      <c r="H299" s="233"/>
      <c r="I299" s="301"/>
    </row>
    <row r="300" spans="2:9" s="297" customFormat="1" ht="21" customHeight="1">
      <c r="B300" s="305"/>
      <c r="C300" s="305"/>
      <c r="D300" s="234"/>
      <c r="E300" s="307"/>
      <c r="F300" s="307"/>
      <c r="G300" s="308"/>
      <c r="H300" s="233"/>
      <c r="I300" s="301"/>
    </row>
    <row r="301" spans="2:9" s="297" customFormat="1" ht="21" customHeight="1">
      <c r="B301" s="305"/>
      <c r="C301" s="305"/>
      <c r="D301" s="234"/>
      <c r="E301" s="307"/>
      <c r="F301" s="307"/>
      <c r="G301" s="308"/>
      <c r="H301" s="233"/>
      <c r="I301" s="301"/>
    </row>
    <row r="302" spans="2:9" s="297" customFormat="1" ht="21" customHeight="1">
      <c r="B302" s="312" t="s">
        <v>835</v>
      </c>
      <c r="C302" s="305"/>
      <c r="D302" s="234"/>
      <c r="E302" s="307"/>
      <c r="F302" s="307"/>
      <c r="G302" s="232"/>
      <c r="H302" s="233"/>
      <c r="I302" s="301"/>
    </row>
    <row r="303" spans="2:9" s="297" customFormat="1" ht="21" customHeight="1">
      <c r="B303" s="305"/>
      <c r="C303" s="305" t="s">
        <v>64</v>
      </c>
      <c r="D303" s="234" t="s">
        <v>836</v>
      </c>
      <c r="E303" s="307">
        <v>10.404</v>
      </c>
      <c r="F303" s="307"/>
      <c r="G303" s="232"/>
      <c r="H303" s="233"/>
      <c r="I303" s="301"/>
    </row>
    <row r="304" spans="2:9" s="297" customFormat="1" ht="21" customHeight="1">
      <c r="B304" s="305"/>
      <c r="C304" s="305"/>
      <c r="D304" s="234"/>
      <c r="E304" s="306"/>
      <c r="F304" s="306"/>
      <c r="G304" s="232"/>
      <c r="H304" s="232"/>
      <c r="I304" s="301"/>
    </row>
    <row r="305" spans="2:9" s="297" customFormat="1" ht="21" customHeight="1">
      <c r="B305" s="305"/>
      <c r="C305" s="305"/>
      <c r="D305" s="234"/>
      <c r="E305" s="306"/>
      <c r="F305" s="306"/>
      <c r="G305" s="308"/>
      <c r="H305" s="233"/>
      <c r="I305" s="301"/>
    </row>
    <row r="306" spans="2:9" s="297" customFormat="1" ht="21" customHeight="1">
      <c r="B306" s="305"/>
      <c r="C306" s="305"/>
      <c r="D306" s="234"/>
      <c r="E306" s="306"/>
      <c r="F306" s="306"/>
      <c r="G306" s="308"/>
      <c r="H306" s="233"/>
      <c r="I306" s="301"/>
    </row>
    <row r="307" spans="2:9" s="297" customFormat="1" ht="21" customHeight="1">
      <c r="B307" s="305"/>
      <c r="C307" s="305"/>
      <c r="D307" s="234"/>
      <c r="E307" s="306"/>
      <c r="F307" s="306"/>
      <c r="G307" s="308"/>
      <c r="H307" s="233"/>
      <c r="I307" s="301"/>
    </row>
    <row r="308" spans="2:9" s="297" customFormat="1" ht="21" customHeight="1">
      <c r="B308" s="312" t="s">
        <v>837</v>
      </c>
      <c r="C308" s="305"/>
      <c r="D308" s="234"/>
      <c r="E308" s="307"/>
      <c r="F308" s="307"/>
      <c r="G308" s="232"/>
      <c r="H308" s="233"/>
      <c r="I308" s="301"/>
    </row>
    <row r="309" spans="2:9" s="297" customFormat="1" ht="21" customHeight="1">
      <c r="B309" s="305"/>
      <c r="C309" s="305" t="s">
        <v>64</v>
      </c>
      <c r="D309" s="234" t="s">
        <v>836</v>
      </c>
      <c r="E309" s="307">
        <v>0.312</v>
      </c>
      <c r="F309" s="307"/>
      <c r="G309" s="232"/>
      <c r="H309" s="233"/>
      <c r="I309" s="301"/>
    </row>
    <row r="310" spans="2:9" s="297" customFormat="1" ht="21" customHeight="1">
      <c r="B310" s="305"/>
      <c r="C310" s="305"/>
      <c r="D310" s="234"/>
      <c r="E310" s="306"/>
      <c r="F310" s="306"/>
      <c r="G310" s="232"/>
      <c r="H310" s="232"/>
      <c r="I310" s="301"/>
    </row>
    <row r="311" spans="2:9" s="297" customFormat="1" ht="21" customHeight="1">
      <c r="B311" s="305"/>
      <c r="C311" s="305"/>
      <c r="D311" s="234"/>
      <c r="E311" s="306"/>
      <c r="F311" s="306"/>
      <c r="G311" s="308"/>
      <c r="H311" s="233"/>
      <c r="I311" s="301"/>
    </row>
    <row r="312" spans="2:9" s="297" customFormat="1" ht="21" customHeight="1">
      <c r="B312" s="305"/>
      <c r="C312" s="305"/>
      <c r="D312" s="234"/>
      <c r="E312" s="306"/>
      <c r="F312" s="306"/>
      <c r="G312" s="308"/>
      <c r="H312" s="233"/>
      <c r="I312" s="301"/>
    </row>
    <row r="313" spans="2:9" s="297" customFormat="1" ht="21" customHeight="1">
      <c r="B313" s="305"/>
      <c r="C313" s="305"/>
      <c r="D313" s="234"/>
      <c r="E313" s="306"/>
      <c r="F313" s="306"/>
      <c r="G313" s="308"/>
      <c r="H313" s="233"/>
      <c r="I313" s="301"/>
    </row>
    <row r="314" spans="2:9" s="297" customFormat="1" ht="21" customHeight="1">
      <c r="B314" s="305"/>
      <c r="C314" s="305"/>
      <c r="D314" s="234"/>
      <c r="E314" s="306"/>
      <c r="F314" s="306"/>
      <c r="G314" s="308"/>
      <c r="H314" s="233"/>
      <c r="I314" s="301"/>
    </row>
    <row r="315" spans="2:9" s="297" customFormat="1" ht="21" customHeight="1">
      <c r="B315" s="300" t="str">
        <f>'5. 공종별예산조서'!A17</f>
        <v>1-14. 강제전선관 신설</v>
      </c>
      <c r="C315" s="300" t="str">
        <f>'5. 공종별예산조서'!B17</f>
        <v>아연도, 42C</v>
      </c>
      <c r="D315" s="301" t="str">
        <f>'5. 공종별예산조서'!C17</f>
        <v>M</v>
      </c>
      <c r="E315" s="309">
        <f>'5. 공종별예산조서'!D17</f>
        <v>33</v>
      </c>
      <c r="F315" s="302"/>
      <c r="G315" s="303"/>
      <c r="H315" s="304"/>
      <c r="I315" s="301"/>
    </row>
    <row r="316" spans="2:9" s="297" customFormat="1" ht="21" customHeight="1">
      <c r="B316" s="312" t="s">
        <v>834</v>
      </c>
      <c r="C316" s="305"/>
      <c r="D316" s="234"/>
      <c r="E316" s="310"/>
      <c r="F316" s="306"/>
      <c r="G316" s="232"/>
      <c r="H316" s="233"/>
      <c r="I316" s="301"/>
    </row>
    <row r="317" spans="2:9" s="297" customFormat="1" ht="21" customHeight="1">
      <c r="B317" s="305" t="s">
        <v>1085</v>
      </c>
      <c r="C317" s="305" t="str">
        <f>C315</f>
        <v>아연도, 42C</v>
      </c>
      <c r="D317" s="234" t="str">
        <f>D315</f>
        <v>M</v>
      </c>
      <c r="E317" s="311">
        <f>E315</f>
        <v>33</v>
      </c>
      <c r="F317" s="307"/>
      <c r="G317" s="232"/>
      <c r="H317" s="233"/>
      <c r="I317" s="301"/>
    </row>
    <row r="318" spans="2:9" s="297" customFormat="1" ht="21" customHeight="1">
      <c r="B318" s="305" t="s">
        <v>839</v>
      </c>
      <c r="C318" s="305" t="s">
        <v>840</v>
      </c>
      <c r="D318" s="234" t="s">
        <v>6</v>
      </c>
      <c r="E318" s="311">
        <v>1</v>
      </c>
      <c r="F318" s="307"/>
      <c r="G318" s="232"/>
      <c r="H318" s="233"/>
      <c r="I318" s="301"/>
    </row>
    <row r="319" spans="2:9" s="297" customFormat="1" ht="21" customHeight="1">
      <c r="B319" s="305"/>
      <c r="C319" s="305"/>
      <c r="D319" s="234"/>
      <c r="E319" s="311"/>
      <c r="F319" s="307"/>
      <c r="G319" s="232"/>
      <c r="H319" s="233"/>
      <c r="I319" s="301"/>
    </row>
    <row r="320" spans="2:9" s="297" customFormat="1" ht="21" customHeight="1">
      <c r="B320" s="305"/>
      <c r="C320" s="305"/>
      <c r="D320" s="234"/>
      <c r="E320" s="311"/>
      <c r="F320" s="307"/>
      <c r="G320" s="232"/>
      <c r="H320" s="233"/>
      <c r="I320" s="301"/>
    </row>
    <row r="321" spans="2:9" s="297" customFormat="1" ht="21" customHeight="1">
      <c r="B321" s="305"/>
      <c r="C321" s="305"/>
      <c r="D321" s="234"/>
      <c r="E321" s="311"/>
      <c r="F321" s="307"/>
      <c r="G321" s="232"/>
      <c r="H321" s="232"/>
      <c r="I321" s="301"/>
    </row>
    <row r="322" spans="2:9" s="297" customFormat="1" ht="21" customHeight="1">
      <c r="B322" s="305"/>
      <c r="C322" s="305"/>
      <c r="D322" s="234"/>
      <c r="E322" s="307"/>
      <c r="F322" s="307"/>
      <c r="G322" s="308"/>
      <c r="H322" s="233"/>
      <c r="I322" s="301"/>
    </row>
    <row r="323" spans="2:9" s="297" customFormat="1" ht="21" customHeight="1">
      <c r="B323" s="305"/>
      <c r="C323" s="305"/>
      <c r="D323" s="234"/>
      <c r="E323" s="307"/>
      <c r="F323" s="307"/>
      <c r="G323" s="308"/>
      <c r="H323" s="233"/>
      <c r="I323" s="301"/>
    </row>
    <row r="324" spans="2:9" s="297" customFormat="1" ht="21" customHeight="1">
      <c r="B324" s="305"/>
      <c r="C324" s="305"/>
      <c r="D324" s="234"/>
      <c r="E324" s="307"/>
      <c r="F324" s="307"/>
      <c r="G324" s="308"/>
      <c r="H324" s="233"/>
      <c r="I324" s="301"/>
    </row>
    <row r="325" spans="2:9" s="297" customFormat="1" ht="21" customHeight="1">
      <c r="B325" s="305"/>
      <c r="C325" s="305"/>
      <c r="D325" s="234"/>
      <c r="E325" s="307"/>
      <c r="F325" s="307"/>
      <c r="G325" s="308"/>
      <c r="H325" s="233"/>
      <c r="I325" s="301"/>
    </row>
    <row r="326" spans="2:9" s="297" customFormat="1" ht="21" customHeight="1">
      <c r="B326" s="312" t="s">
        <v>835</v>
      </c>
      <c r="C326" s="305"/>
      <c r="D326" s="234"/>
      <c r="E326" s="307"/>
      <c r="F326" s="307"/>
      <c r="G326" s="232"/>
      <c r="H326" s="233"/>
      <c r="I326" s="301"/>
    </row>
    <row r="327" spans="2:9" s="297" customFormat="1" ht="21" customHeight="1">
      <c r="B327" s="305"/>
      <c r="C327" s="305" t="s">
        <v>64</v>
      </c>
      <c r="D327" s="234" t="s">
        <v>836</v>
      </c>
      <c r="E327" s="307">
        <v>7.4249999999999998</v>
      </c>
      <c r="F327" s="307"/>
      <c r="G327" s="232"/>
      <c r="H327" s="233"/>
      <c r="I327" s="301"/>
    </row>
    <row r="328" spans="2:9" s="297" customFormat="1" ht="21" customHeight="1">
      <c r="B328" s="305"/>
      <c r="C328" s="305"/>
      <c r="D328" s="234"/>
      <c r="E328" s="306"/>
      <c r="F328" s="306"/>
      <c r="G328" s="232"/>
      <c r="H328" s="232"/>
      <c r="I328" s="301"/>
    </row>
    <row r="329" spans="2:9" s="297" customFormat="1" ht="21" customHeight="1">
      <c r="B329" s="305"/>
      <c r="C329" s="305"/>
      <c r="D329" s="234"/>
      <c r="E329" s="306"/>
      <c r="F329" s="306"/>
      <c r="G329" s="308"/>
      <c r="H329" s="233"/>
      <c r="I329" s="301"/>
    </row>
    <row r="330" spans="2:9" s="297" customFormat="1" ht="21" customHeight="1">
      <c r="B330" s="305"/>
      <c r="C330" s="305"/>
      <c r="D330" s="234"/>
      <c r="E330" s="306"/>
      <c r="F330" s="306"/>
      <c r="G330" s="308"/>
      <c r="H330" s="233"/>
      <c r="I330" s="301"/>
    </row>
    <row r="331" spans="2:9" s="297" customFormat="1" ht="21" customHeight="1">
      <c r="B331" s="305"/>
      <c r="C331" s="305"/>
      <c r="D331" s="234"/>
      <c r="E331" s="306"/>
      <c r="F331" s="306"/>
      <c r="G331" s="308"/>
      <c r="H331" s="233"/>
      <c r="I331" s="301"/>
    </row>
    <row r="332" spans="2:9" s="297" customFormat="1" ht="21" customHeight="1">
      <c r="B332" s="312" t="s">
        <v>837</v>
      </c>
      <c r="C332" s="305"/>
      <c r="D332" s="234"/>
      <c r="E332" s="307"/>
      <c r="F332" s="307"/>
      <c r="G332" s="232"/>
      <c r="H332" s="233"/>
      <c r="I332" s="301"/>
    </row>
    <row r="333" spans="2:9" s="297" customFormat="1" ht="21" customHeight="1">
      <c r="B333" s="305"/>
      <c r="C333" s="305" t="s">
        <v>64</v>
      </c>
      <c r="D333" s="234" t="s">
        <v>836</v>
      </c>
      <c r="E333" s="307">
        <v>0.223</v>
      </c>
      <c r="F333" s="307"/>
      <c r="G333" s="232"/>
      <c r="H333" s="233"/>
      <c r="I333" s="301"/>
    </row>
    <row r="334" spans="2:9" s="297" customFormat="1" ht="21" customHeight="1">
      <c r="B334" s="305"/>
      <c r="C334" s="305"/>
      <c r="D334" s="234"/>
      <c r="E334" s="306"/>
      <c r="F334" s="306"/>
      <c r="G334" s="232"/>
      <c r="H334" s="232"/>
      <c r="I334" s="301"/>
    </row>
    <row r="335" spans="2:9" s="297" customFormat="1" ht="21" customHeight="1">
      <c r="B335" s="305"/>
      <c r="C335" s="305"/>
      <c r="D335" s="234"/>
      <c r="E335" s="306"/>
      <c r="F335" s="306"/>
      <c r="G335" s="308"/>
      <c r="H335" s="233"/>
      <c r="I335" s="301"/>
    </row>
    <row r="336" spans="2:9" s="297" customFormat="1" ht="21" customHeight="1">
      <c r="B336" s="305"/>
      <c r="C336" s="305"/>
      <c r="D336" s="234"/>
      <c r="E336" s="306"/>
      <c r="F336" s="306"/>
      <c r="G336" s="308"/>
      <c r="H336" s="233"/>
      <c r="I336" s="301"/>
    </row>
    <row r="337" spans="2:9" s="297" customFormat="1" ht="21" customHeight="1">
      <c r="B337" s="305"/>
      <c r="C337" s="305"/>
      <c r="D337" s="234"/>
      <c r="E337" s="306"/>
      <c r="F337" s="306"/>
      <c r="G337" s="308"/>
      <c r="H337" s="233"/>
      <c r="I337" s="301"/>
    </row>
    <row r="338" spans="2:9" s="297" customFormat="1" ht="21" customHeight="1">
      <c r="B338" s="305"/>
      <c r="C338" s="305"/>
      <c r="D338" s="234"/>
      <c r="E338" s="306"/>
      <c r="F338" s="306"/>
      <c r="G338" s="308"/>
      <c r="H338" s="233"/>
      <c r="I338" s="301"/>
    </row>
    <row r="339" spans="2:9" s="297" customFormat="1" ht="21" customHeight="1">
      <c r="B339" s="300" t="str">
        <f>'5. 공종별예산조서'!A18</f>
        <v>1-15. 케이블 신설</v>
      </c>
      <c r="C339" s="300" t="str">
        <f>'5. 공종별예산조서'!B18</f>
        <v>0.6/1kV, F-CV 35SQ/1C</v>
      </c>
      <c r="D339" s="301" t="str">
        <f>'5. 공종별예산조서'!C18</f>
        <v>M</v>
      </c>
      <c r="E339" s="309">
        <f>'5. 공종별예산조서'!D18</f>
        <v>136</v>
      </c>
      <c r="F339" s="302"/>
      <c r="G339" s="303"/>
      <c r="H339" s="304"/>
      <c r="I339" s="301"/>
    </row>
    <row r="340" spans="2:9" s="297" customFormat="1" ht="21" customHeight="1">
      <c r="B340" s="312" t="s">
        <v>834</v>
      </c>
      <c r="C340" s="305"/>
      <c r="D340" s="234"/>
      <c r="E340" s="310"/>
      <c r="F340" s="306"/>
      <c r="G340" s="232"/>
      <c r="H340" s="233"/>
      <c r="I340" s="301"/>
    </row>
    <row r="341" spans="2:9" s="297" customFormat="1" ht="21" customHeight="1">
      <c r="B341" s="305" t="s">
        <v>1086</v>
      </c>
      <c r="C341" s="305" t="str">
        <f>C339</f>
        <v>0.6/1kV, F-CV 35SQ/1C</v>
      </c>
      <c r="D341" s="234" t="str">
        <f>D339</f>
        <v>M</v>
      </c>
      <c r="E341" s="311">
        <f>E339</f>
        <v>136</v>
      </c>
      <c r="F341" s="307"/>
      <c r="G341" s="232"/>
      <c r="H341" s="233"/>
      <c r="I341" s="301"/>
    </row>
    <row r="342" spans="2:9" s="297" customFormat="1" ht="21" customHeight="1">
      <c r="B342" s="305"/>
      <c r="C342" s="305"/>
      <c r="D342" s="234"/>
      <c r="E342" s="311"/>
      <c r="F342" s="307"/>
      <c r="G342" s="232"/>
      <c r="H342" s="233"/>
      <c r="I342" s="301"/>
    </row>
    <row r="343" spans="2:9" s="297" customFormat="1" ht="21" customHeight="1">
      <c r="B343" s="305"/>
      <c r="C343" s="305"/>
      <c r="D343" s="234"/>
      <c r="E343" s="311"/>
      <c r="F343" s="307"/>
      <c r="G343" s="232"/>
      <c r="H343" s="233"/>
      <c r="I343" s="301"/>
    </row>
    <row r="344" spans="2:9" s="297" customFormat="1" ht="21" customHeight="1">
      <c r="B344" s="305"/>
      <c r="C344" s="305"/>
      <c r="D344" s="234"/>
      <c r="E344" s="311"/>
      <c r="F344" s="307"/>
      <c r="G344" s="232"/>
      <c r="H344" s="233"/>
      <c r="I344" s="301"/>
    </row>
    <row r="345" spans="2:9" s="297" customFormat="1" ht="21" customHeight="1">
      <c r="B345" s="305"/>
      <c r="C345" s="305"/>
      <c r="D345" s="234"/>
      <c r="E345" s="311"/>
      <c r="F345" s="307"/>
      <c r="G345" s="232"/>
      <c r="H345" s="232"/>
      <c r="I345" s="301"/>
    </row>
    <row r="346" spans="2:9" s="297" customFormat="1" ht="21" customHeight="1">
      <c r="B346" s="305"/>
      <c r="C346" s="305"/>
      <c r="D346" s="234"/>
      <c r="E346" s="307"/>
      <c r="F346" s="307"/>
      <c r="G346" s="308"/>
      <c r="H346" s="233"/>
      <c r="I346" s="301"/>
    </row>
    <row r="347" spans="2:9" s="297" customFormat="1" ht="21" customHeight="1">
      <c r="B347" s="305"/>
      <c r="C347" s="305"/>
      <c r="D347" s="234"/>
      <c r="E347" s="307"/>
      <c r="F347" s="307"/>
      <c r="G347" s="308"/>
      <c r="H347" s="233"/>
      <c r="I347" s="301"/>
    </row>
    <row r="348" spans="2:9" s="297" customFormat="1" ht="21" customHeight="1">
      <c r="B348" s="305"/>
      <c r="C348" s="305"/>
      <c r="D348" s="234"/>
      <c r="E348" s="307"/>
      <c r="F348" s="307"/>
      <c r="G348" s="308"/>
      <c r="H348" s="233"/>
      <c r="I348" s="301"/>
    </row>
    <row r="349" spans="2:9" s="297" customFormat="1" ht="21" customHeight="1">
      <c r="B349" s="305"/>
      <c r="C349" s="305"/>
      <c r="D349" s="234"/>
      <c r="E349" s="307"/>
      <c r="F349" s="307"/>
      <c r="G349" s="308"/>
      <c r="H349" s="233"/>
      <c r="I349" s="301"/>
    </row>
    <row r="350" spans="2:9" s="297" customFormat="1" ht="21" customHeight="1">
      <c r="B350" s="312" t="s">
        <v>835</v>
      </c>
      <c r="C350" s="305"/>
      <c r="D350" s="234"/>
      <c r="E350" s="307"/>
      <c r="F350" s="307"/>
      <c r="G350" s="232"/>
      <c r="H350" s="233"/>
      <c r="I350" s="301"/>
    </row>
    <row r="351" spans="2:9" s="297" customFormat="1" ht="21" customHeight="1">
      <c r="B351" s="305"/>
      <c r="C351" s="305" t="s">
        <v>1166</v>
      </c>
      <c r="D351" s="234" t="s">
        <v>836</v>
      </c>
      <c r="E351" s="307">
        <v>4.1619999999999999</v>
      </c>
      <c r="F351" s="307"/>
      <c r="G351" s="232"/>
      <c r="H351" s="233"/>
      <c r="I351" s="301"/>
    </row>
    <row r="352" spans="2:9" s="297" customFormat="1" ht="21" customHeight="1">
      <c r="B352" s="305"/>
      <c r="C352" s="305"/>
      <c r="D352" s="234"/>
      <c r="E352" s="306"/>
      <c r="F352" s="306"/>
      <c r="G352" s="232"/>
      <c r="H352" s="232"/>
      <c r="I352" s="301"/>
    </row>
    <row r="353" spans="2:9" s="297" customFormat="1" ht="21" customHeight="1">
      <c r="B353" s="305"/>
      <c r="C353" s="305"/>
      <c r="D353" s="234"/>
      <c r="E353" s="306"/>
      <c r="F353" s="306"/>
      <c r="G353" s="308"/>
      <c r="H353" s="233"/>
      <c r="I353" s="301"/>
    </row>
    <row r="354" spans="2:9" s="297" customFormat="1" ht="21" customHeight="1">
      <c r="B354" s="305"/>
      <c r="C354" s="305"/>
      <c r="D354" s="234"/>
      <c r="E354" s="306"/>
      <c r="F354" s="306"/>
      <c r="G354" s="308"/>
      <c r="H354" s="233"/>
      <c r="I354" s="301"/>
    </row>
    <row r="355" spans="2:9" s="297" customFormat="1" ht="21" customHeight="1">
      <c r="B355" s="305"/>
      <c r="C355" s="305"/>
      <c r="D355" s="234"/>
      <c r="E355" s="306"/>
      <c r="F355" s="306"/>
      <c r="G355" s="308"/>
      <c r="H355" s="233"/>
      <c r="I355" s="301"/>
    </row>
    <row r="356" spans="2:9" s="297" customFormat="1" ht="21" customHeight="1">
      <c r="B356" s="312" t="s">
        <v>837</v>
      </c>
      <c r="C356" s="305"/>
      <c r="D356" s="234"/>
      <c r="E356" s="307"/>
      <c r="F356" s="307"/>
      <c r="G356" s="232"/>
      <c r="H356" s="233"/>
      <c r="I356" s="301"/>
    </row>
    <row r="357" spans="2:9" s="297" customFormat="1" ht="21" customHeight="1">
      <c r="B357" s="305"/>
      <c r="C357" s="305" t="s">
        <v>1166</v>
      </c>
      <c r="D357" s="234" t="s">
        <v>836</v>
      </c>
      <c r="E357" s="307">
        <v>0.125</v>
      </c>
      <c r="F357" s="307"/>
      <c r="G357" s="232"/>
      <c r="H357" s="233"/>
      <c r="I357" s="301"/>
    </row>
    <row r="358" spans="2:9" s="297" customFormat="1" ht="21" customHeight="1">
      <c r="B358" s="305"/>
      <c r="C358" s="305"/>
      <c r="D358" s="234"/>
      <c r="E358" s="306"/>
      <c r="F358" s="306"/>
      <c r="G358" s="232"/>
      <c r="H358" s="232"/>
      <c r="I358" s="301"/>
    </row>
    <row r="359" spans="2:9" s="297" customFormat="1" ht="21" customHeight="1">
      <c r="B359" s="305"/>
      <c r="C359" s="305"/>
      <c r="D359" s="234"/>
      <c r="E359" s="306"/>
      <c r="F359" s="306"/>
      <c r="G359" s="308"/>
      <c r="H359" s="233"/>
      <c r="I359" s="301"/>
    </row>
    <row r="360" spans="2:9" s="297" customFormat="1" ht="21" customHeight="1">
      <c r="B360" s="305"/>
      <c r="C360" s="305"/>
      <c r="D360" s="234"/>
      <c r="E360" s="306"/>
      <c r="F360" s="306"/>
      <c r="G360" s="308"/>
      <c r="H360" s="233"/>
      <c r="I360" s="301"/>
    </row>
    <row r="361" spans="2:9" s="297" customFormat="1" ht="21" customHeight="1">
      <c r="B361" s="305"/>
      <c r="C361" s="305"/>
      <c r="D361" s="234"/>
      <c r="E361" s="306"/>
      <c r="F361" s="306"/>
      <c r="G361" s="308"/>
      <c r="H361" s="233"/>
      <c r="I361" s="301"/>
    </row>
    <row r="362" spans="2:9" s="297" customFormat="1" ht="21" customHeight="1">
      <c r="B362" s="305"/>
      <c r="C362" s="305"/>
      <c r="D362" s="234"/>
      <c r="E362" s="306"/>
      <c r="F362" s="306"/>
      <c r="G362" s="308"/>
      <c r="H362" s="233"/>
      <c r="I362" s="301"/>
    </row>
    <row r="363" spans="2:9" s="297" customFormat="1" ht="21" customHeight="1">
      <c r="B363" s="300" t="str">
        <f>'5. 공종별예산조서'!A19</f>
        <v>1-16. 케이블 신설</v>
      </c>
      <c r="C363" s="300" t="str">
        <f>'5. 공종별예산조서'!B19</f>
        <v>0.6/1kV, F-CV 4SQ/4C</v>
      </c>
      <c r="D363" s="301" t="str">
        <f>'5. 공종별예산조서'!C19</f>
        <v>M</v>
      </c>
      <c r="E363" s="309">
        <f>'5. 공종별예산조서'!D19</f>
        <v>34</v>
      </c>
      <c r="F363" s="302"/>
      <c r="G363" s="303"/>
      <c r="H363" s="304"/>
      <c r="I363" s="301"/>
    </row>
    <row r="364" spans="2:9" s="297" customFormat="1" ht="21" customHeight="1">
      <c r="B364" s="312" t="s">
        <v>834</v>
      </c>
      <c r="C364" s="305"/>
      <c r="D364" s="234"/>
      <c r="E364" s="310"/>
      <c r="F364" s="306"/>
      <c r="G364" s="232"/>
      <c r="H364" s="233"/>
      <c r="I364" s="301"/>
    </row>
    <row r="365" spans="2:9" s="297" customFormat="1" ht="21" customHeight="1">
      <c r="B365" s="305" t="s">
        <v>1087</v>
      </c>
      <c r="C365" s="305" t="str">
        <f>C363</f>
        <v>0.6/1kV, F-CV 4SQ/4C</v>
      </c>
      <c r="D365" s="234" t="str">
        <f>D363</f>
        <v>M</v>
      </c>
      <c r="E365" s="311">
        <f>E363</f>
        <v>34</v>
      </c>
      <c r="F365" s="307"/>
      <c r="G365" s="232"/>
      <c r="H365" s="233"/>
      <c r="I365" s="301"/>
    </row>
    <row r="366" spans="2:9" s="297" customFormat="1" ht="21" customHeight="1">
      <c r="B366" s="305"/>
      <c r="C366" s="305"/>
      <c r="D366" s="234"/>
      <c r="E366" s="311"/>
      <c r="F366" s="307"/>
      <c r="G366" s="232"/>
      <c r="H366" s="233"/>
      <c r="I366" s="301"/>
    </row>
    <row r="367" spans="2:9" s="297" customFormat="1" ht="21" customHeight="1">
      <c r="B367" s="305"/>
      <c r="C367" s="305"/>
      <c r="D367" s="234"/>
      <c r="E367" s="311"/>
      <c r="F367" s="307"/>
      <c r="G367" s="232"/>
      <c r="H367" s="233"/>
      <c r="I367" s="301"/>
    </row>
    <row r="368" spans="2:9" s="297" customFormat="1" ht="21" customHeight="1">
      <c r="B368" s="305"/>
      <c r="C368" s="305"/>
      <c r="D368" s="234"/>
      <c r="E368" s="311"/>
      <c r="F368" s="307"/>
      <c r="G368" s="232"/>
      <c r="H368" s="233"/>
      <c r="I368" s="301"/>
    </row>
    <row r="369" spans="2:9" s="297" customFormat="1" ht="21" customHeight="1">
      <c r="B369" s="305"/>
      <c r="C369" s="305"/>
      <c r="D369" s="234"/>
      <c r="E369" s="311"/>
      <c r="F369" s="307"/>
      <c r="G369" s="232"/>
      <c r="H369" s="232"/>
      <c r="I369" s="301"/>
    </row>
    <row r="370" spans="2:9" s="297" customFormat="1" ht="21" customHeight="1">
      <c r="B370" s="305"/>
      <c r="C370" s="305"/>
      <c r="D370" s="234"/>
      <c r="E370" s="307"/>
      <c r="F370" s="307"/>
      <c r="G370" s="308"/>
      <c r="H370" s="233"/>
      <c r="I370" s="301"/>
    </row>
    <row r="371" spans="2:9" s="297" customFormat="1" ht="21" customHeight="1">
      <c r="B371" s="305"/>
      <c r="C371" s="305"/>
      <c r="D371" s="234"/>
      <c r="E371" s="307"/>
      <c r="F371" s="307"/>
      <c r="G371" s="308"/>
      <c r="H371" s="233"/>
      <c r="I371" s="301"/>
    </row>
    <row r="372" spans="2:9" s="297" customFormat="1" ht="21" customHeight="1">
      <c r="B372" s="305"/>
      <c r="C372" s="305"/>
      <c r="D372" s="234"/>
      <c r="E372" s="307"/>
      <c r="F372" s="307"/>
      <c r="G372" s="308"/>
      <c r="H372" s="233"/>
      <c r="I372" s="301"/>
    </row>
    <row r="373" spans="2:9" s="297" customFormat="1" ht="21" customHeight="1">
      <c r="B373" s="305"/>
      <c r="C373" s="305"/>
      <c r="D373" s="234"/>
      <c r="E373" s="307"/>
      <c r="F373" s="307"/>
      <c r="G373" s="308"/>
      <c r="H373" s="233"/>
      <c r="I373" s="301"/>
    </row>
    <row r="374" spans="2:9" s="297" customFormat="1" ht="21" customHeight="1">
      <c r="B374" s="312" t="s">
        <v>835</v>
      </c>
      <c r="C374" s="305"/>
      <c r="D374" s="234"/>
      <c r="E374" s="307"/>
      <c r="F374" s="307"/>
      <c r="G374" s="232"/>
      <c r="H374" s="233"/>
      <c r="I374" s="301"/>
    </row>
    <row r="375" spans="2:9" s="297" customFormat="1" ht="21" customHeight="1">
      <c r="B375" s="305"/>
      <c r="C375" s="305" t="s">
        <v>1166</v>
      </c>
      <c r="D375" s="234" t="s">
        <v>836</v>
      </c>
      <c r="E375" s="307">
        <v>0.88700000000000001</v>
      </c>
      <c r="F375" s="307"/>
      <c r="G375" s="232"/>
      <c r="H375" s="233"/>
      <c r="I375" s="301"/>
    </row>
    <row r="376" spans="2:9" s="297" customFormat="1" ht="21" customHeight="1">
      <c r="B376" s="305"/>
      <c r="C376" s="305"/>
      <c r="D376" s="234"/>
      <c r="E376" s="306"/>
      <c r="F376" s="306"/>
      <c r="G376" s="232"/>
      <c r="H376" s="232"/>
      <c r="I376" s="301"/>
    </row>
    <row r="377" spans="2:9" s="297" customFormat="1" ht="21" customHeight="1">
      <c r="B377" s="305"/>
      <c r="C377" s="305"/>
      <c r="D377" s="234"/>
      <c r="E377" s="306"/>
      <c r="F377" s="306"/>
      <c r="G377" s="308"/>
      <c r="H377" s="233"/>
      <c r="I377" s="301"/>
    </row>
    <row r="378" spans="2:9" s="297" customFormat="1" ht="21" customHeight="1">
      <c r="B378" s="305"/>
      <c r="C378" s="305"/>
      <c r="D378" s="234"/>
      <c r="E378" s="306"/>
      <c r="F378" s="306"/>
      <c r="G378" s="308"/>
      <c r="H378" s="233"/>
      <c r="I378" s="301"/>
    </row>
    <row r="379" spans="2:9" s="297" customFormat="1" ht="21" customHeight="1">
      <c r="B379" s="305"/>
      <c r="C379" s="305"/>
      <c r="D379" s="234"/>
      <c r="E379" s="306"/>
      <c r="F379" s="306"/>
      <c r="G379" s="308"/>
      <c r="H379" s="233"/>
      <c r="I379" s="301"/>
    </row>
    <row r="380" spans="2:9" s="297" customFormat="1" ht="21" customHeight="1">
      <c r="B380" s="312" t="s">
        <v>837</v>
      </c>
      <c r="C380" s="305"/>
      <c r="D380" s="234"/>
      <c r="E380" s="307"/>
      <c r="F380" s="307"/>
      <c r="G380" s="232"/>
      <c r="H380" s="233"/>
      <c r="I380" s="301"/>
    </row>
    <row r="381" spans="2:9" s="297" customFormat="1" ht="21" customHeight="1">
      <c r="B381" s="305"/>
      <c r="C381" s="305" t="s">
        <v>1166</v>
      </c>
      <c r="D381" s="234" t="s">
        <v>836</v>
      </c>
      <c r="E381" s="307">
        <v>2.7E-2</v>
      </c>
      <c r="F381" s="307"/>
      <c r="G381" s="232"/>
      <c r="H381" s="233"/>
      <c r="I381" s="301"/>
    </row>
    <row r="382" spans="2:9" s="297" customFormat="1" ht="21" customHeight="1">
      <c r="B382" s="305"/>
      <c r="C382" s="305"/>
      <c r="D382" s="234"/>
      <c r="E382" s="306"/>
      <c r="F382" s="306"/>
      <c r="G382" s="232"/>
      <c r="H382" s="232"/>
      <c r="I382" s="301"/>
    </row>
    <row r="383" spans="2:9" s="297" customFormat="1" ht="21" customHeight="1">
      <c r="B383" s="305"/>
      <c r="C383" s="305"/>
      <c r="D383" s="234"/>
      <c r="E383" s="306"/>
      <c r="F383" s="306"/>
      <c r="G383" s="308"/>
      <c r="H383" s="233"/>
      <c r="I383" s="301"/>
    </row>
    <row r="384" spans="2:9" s="297" customFormat="1" ht="21" customHeight="1">
      <c r="B384" s="305"/>
      <c r="C384" s="305"/>
      <c r="D384" s="234"/>
      <c r="E384" s="306"/>
      <c r="F384" s="306"/>
      <c r="G384" s="308"/>
      <c r="H384" s="233"/>
      <c r="I384" s="301"/>
    </row>
    <row r="385" spans="2:9" s="297" customFormat="1" ht="21" customHeight="1">
      <c r="B385" s="305"/>
      <c r="C385" s="305"/>
      <c r="D385" s="234"/>
      <c r="E385" s="306"/>
      <c r="F385" s="306"/>
      <c r="G385" s="308"/>
      <c r="H385" s="233"/>
      <c r="I385" s="301"/>
    </row>
    <row r="386" spans="2:9" s="297" customFormat="1" ht="21" customHeight="1">
      <c r="B386" s="305"/>
      <c r="C386" s="305"/>
      <c r="D386" s="234"/>
      <c r="E386" s="306"/>
      <c r="F386" s="306"/>
      <c r="G386" s="308"/>
      <c r="H386" s="233"/>
      <c r="I386" s="301"/>
    </row>
    <row r="387" spans="2:9" s="297" customFormat="1" ht="21" customHeight="1">
      <c r="B387" s="300" t="str">
        <f>'5. 공종별예산조서'!A20</f>
        <v>1-17. 케이블 신설</v>
      </c>
      <c r="C387" s="300" t="str">
        <f>'5. 공종별예산조서'!B20</f>
        <v>0.6/1kV, F-CV 4SQ/4C</v>
      </c>
      <c r="D387" s="301" t="str">
        <f>'5. 공종별예산조서'!C20</f>
        <v>M</v>
      </c>
      <c r="E387" s="309">
        <f>'5. 공종별예산조서'!D20</f>
        <v>10</v>
      </c>
      <c r="F387" s="302"/>
      <c r="G387" s="303"/>
      <c r="H387" s="304"/>
      <c r="I387" s="301"/>
    </row>
    <row r="388" spans="2:9" s="297" customFormat="1" ht="21" customHeight="1">
      <c r="B388" s="312" t="s">
        <v>834</v>
      </c>
      <c r="C388" s="305"/>
      <c r="D388" s="234"/>
      <c r="E388" s="310"/>
      <c r="F388" s="306"/>
      <c r="G388" s="232"/>
      <c r="H388" s="233"/>
      <c r="I388" s="301"/>
    </row>
    <row r="389" spans="2:9" s="297" customFormat="1" ht="21" customHeight="1">
      <c r="B389" s="305" t="s">
        <v>1088</v>
      </c>
      <c r="C389" s="305" t="str">
        <f>C387</f>
        <v>0.6/1kV, F-CV 4SQ/4C</v>
      </c>
      <c r="D389" s="234" t="str">
        <f>D387</f>
        <v>M</v>
      </c>
      <c r="E389" s="311">
        <f>E387</f>
        <v>10</v>
      </c>
      <c r="F389" s="307"/>
      <c r="G389" s="232"/>
      <c r="H389" s="233"/>
      <c r="I389" s="301"/>
    </row>
    <row r="390" spans="2:9" s="297" customFormat="1" ht="21" customHeight="1">
      <c r="B390" s="305"/>
      <c r="C390" s="305"/>
      <c r="D390" s="234"/>
      <c r="E390" s="311"/>
      <c r="F390" s="307"/>
      <c r="G390" s="232"/>
      <c r="H390" s="233"/>
      <c r="I390" s="301"/>
    </row>
    <row r="391" spans="2:9" s="297" customFormat="1" ht="21" customHeight="1">
      <c r="B391" s="305"/>
      <c r="C391" s="305"/>
      <c r="D391" s="234"/>
      <c r="E391" s="311"/>
      <c r="F391" s="307"/>
      <c r="G391" s="232"/>
      <c r="H391" s="232"/>
      <c r="I391" s="301"/>
    </row>
    <row r="392" spans="2:9" s="297" customFormat="1" ht="21" customHeight="1">
      <c r="B392" s="305"/>
      <c r="C392" s="305"/>
      <c r="D392" s="234"/>
      <c r="E392" s="307"/>
      <c r="F392" s="307"/>
      <c r="G392" s="308"/>
      <c r="H392" s="233"/>
      <c r="I392" s="301"/>
    </row>
    <row r="393" spans="2:9" s="297" customFormat="1" ht="21" customHeight="1">
      <c r="B393" s="305"/>
      <c r="C393" s="305"/>
      <c r="D393" s="234"/>
      <c r="E393" s="307"/>
      <c r="F393" s="307"/>
      <c r="G393" s="308"/>
      <c r="H393" s="233"/>
      <c r="I393" s="301"/>
    </row>
    <row r="394" spans="2:9" s="297" customFormat="1" ht="21" customHeight="1">
      <c r="B394" s="305"/>
      <c r="C394" s="305"/>
      <c r="D394" s="234"/>
      <c r="E394" s="307"/>
      <c r="F394" s="307"/>
      <c r="G394" s="308"/>
      <c r="H394" s="233"/>
      <c r="I394" s="301"/>
    </row>
    <row r="395" spans="2:9" s="297" customFormat="1" ht="21" customHeight="1">
      <c r="B395" s="305"/>
      <c r="C395" s="305"/>
      <c r="D395" s="234"/>
      <c r="E395" s="307"/>
      <c r="F395" s="307"/>
      <c r="G395" s="308"/>
      <c r="H395" s="233"/>
      <c r="I395" s="301"/>
    </row>
    <row r="396" spans="2:9" s="297" customFormat="1" ht="21" customHeight="1">
      <c r="B396" s="312" t="s">
        <v>835</v>
      </c>
      <c r="C396" s="305"/>
      <c r="D396" s="234"/>
      <c r="E396" s="307"/>
      <c r="F396" s="307"/>
      <c r="G396" s="232"/>
      <c r="H396" s="233"/>
      <c r="I396" s="301"/>
    </row>
    <row r="397" spans="2:9" s="297" customFormat="1" ht="21" customHeight="1">
      <c r="B397" s="305"/>
      <c r="C397" s="305" t="s">
        <v>1166</v>
      </c>
      <c r="D397" s="234" t="s">
        <v>836</v>
      </c>
      <c r="E397" s="307">
        <v>0.28999999999999998</v>
      </c>
      <c r="F397" s="307"/>
      <c r="G397" s="232"/>
      <c r="H397" s="233"/>
      <c r="I397" s="301"/>
    </row>
    <row r="398" spans="2:9" s="297" customFormat="1" ht="21" customHeight="1">
      <c r="B398" s="305"/>
      <c r="C398" s="305"/>
      <c r="D398" s="234"/>
      <c r="E398" s="306"/>
      <c r="F398" s="306"/>
      <c r="G398" s="232"/>
      <c r="H398" s="232"/>
      <c r="I398" s="301"/>
    </row>
    <row r="399" spans="2:9" s="297" customFormat="1" ht="21" customHeight="1">
      <c r="B399" s="305"/>
      <c r="C399" s="305"/>
      <c r="D399" s="234"/>
      <c r="E399" s="306"/>
      <c r="F399" s="306"/>
      <c r="G399" s="308"/>
      <c r="H399" s="233"/>
      <c r="I399" s="301"/>
    </row>
    <row r="400" spans="2:9" s="297" customFormat="1" ht="21" customHeight="1">
      <c r="B400" s="305"/>
      <c r="C400" s="305"/>
      <c r="D400" s="234"/>
      <c r="E400" s="306"/>
      <c r="F400" s="306"/>
      <c r="G400" s="308"/>
      <c r="H400" s="233"/>
      <c r="I400" s="301"/>
    </row>
    <row r="401" spans="2:9" s="297" customFormat="1" ht="21" customHeight="1">
      <c r="B401" s="305"/>
      <c r="C401" s="305"/>
      <c r="D401" s="234"/>
      <c r="E401" s="306"/>
      <c r="F401" s="306"/>
      <c r="G401" s="308"/>
      <c r="H401" s="233"/>
      <c r="I401" s="301"/>
    </row>
    <row r="402" spans="2:9" s="297" customFormat="1" ht="21" customHeight="1">
      <c r="B402" s="312" t="s">
        <v>837</v>
      </c>
      <c r="C402" s="305"/>
      <c r="D402" s="234"/>
      <c r="E402" s="307"/>
      <c r="F402" s="307"/>
      <c r="G402" s="232"/>
      <c r="H402" s="233"/>
      <c r="I402" s="301"/>
    </row>
    <row r="403" spans="2:9" s="297" customFormat="1" ht="21" customHeight="1">
      <c r="B403" s="305"/>
      <c r="C403" s="305" t="s">
        <v>1166</v>
      </c>
      <c r="D403" s="234" t="s">
        <v>836</v>
      </c>
      <c r="E403" s="307">
        <v>8.9999999999999993E-3</v>
      </c>
      <c r="F403" s="307"/>
      <c r="G403" s="232"/>
      <c r="H403" s="233"/>
      <c r="I403" s="301"/>
    </row>
    <row r="404" spans="2:9" s="297" customFormat="1" ht="21" customHeight="1">
      <c r="B404" s="305"/>
      <c r="C404" s="305"/>
      <c r="D404" s="234"/>
      <c r="E404" s="306"/>
      <c r="F404" s="306"/>
      <c r="G404" s="232"/>
      <c r="H404" s="232"/>
      <c r="I404" s="301"/>
    </row>
    <row r="405" spans="2:9" s="297" customFormat="1" ht="21" customHeight="1">
      <c r="B405" s="305"/>
      <c r="C405" s="305"/>
      <c r="D405" s="234"/>
      <c r="E405" s="306"/>
      <c r="F405" s="306"/>
      <c r="G405" s="308"/>
      <c r="H405" s="233"/>
      <c r="I405" s="301"/>
    </row>
    <row r="406" spans="2:9" s="297" customFormat="1" ht="21" customHeight="1">
      <c r="B406" s="305"/>
      <c r="C406" s="305"/>
      <c r="D406" s="234"/>
      <c r="E406" s="306"/>
      <c r="F406" s="306"/>
      <c r="G406" s="308"/>
      <c r="H406" s="233"/>
      <c r="I406" s="301"/>
    </row>
    <row r="407" spans="2:9" s="297" customFormat="1" ht="21" customHeight="1">
      <c r="B407" s="305"/>
      <c r="C407" s="305"/>
      <c r="D407" s="234"/>
      <c r="E407" s="306"/>
      <c r="F407" s="306"/>
      <c r="G407" s="308"/>
      <c r="H407" s="233"/>
      <c r="I407" s="301"/>
    </row>
    <row r="408" spans="2:9" s="297" customFormat="1" ht="21" customHeight="1">
      <c r="B408" s="305"/>
      <c r="C408" s="305"/>
      <c r="D408" s="234"/>
      <c r="E408" s="306"/>
      <c r="F408" s="306"/>
      <c r="G408" s="308"/>
      <c r="H408" s="233"/>
      <c r="I408" s="301"/>
    </row>
    <row r="409" spans="2:9" s="297" customFormat="1" ht="21" customHeight="1">
      <c r="B409" s="305"/>
      <c r="C409" s="305"/>
      <c r="D409" s="234"/>
      <c r="E409" s="306"/>
      <c r="F409" s="306"/>
      <c r="G409" s="308"/>
      <c r="H409" s="233"/>
      <c r="I409" s="301"/>
    </row>
    <row r="410" spans="2:9" s="297" customFormat="1" ht="21" customHeight="1">
      <c r="B410" s="305"/>
      <c r="C410" s="305"/>
      <c r="D410" s="234"/>
      <c r="E410" s="306"/>
      <c r="F410" s="306"/>
      <c r="G410" s="308"/>
      <c r="H410" s="233"/>
      <c r="I410" s="301"/>
    </row>
    <row r="411" spans="2:9" s="346" customFormat="1" ht="21" customHeight="1">
      <c r="B411" s="300" t="str">
        <f>'5. 공종별예산조서'!A21</f>
        <v>1-18. 케이블 신설</v>
      </c>
      <c r="C411" s="300" t="str">
        <f>'5. 공종별예산조서'!B21</f>
        <v>0.6/1kV, F-CV 4SQ/2C</v>
      </c>
      <c r="D411" s="301" t="str">
        <f>'5. 공종별예산조서'!C21</f>
        <v>M</v>
      </c>
      <c r="E411" s="309">
        <f>'5. 공종별예산조서'!D21</f>
        <v>32</v>
      </c>
      <c r="F411" s="302"/>
      <c r="G411" s="303"/>
      <c r="H411" s="304"/>
      <c r="I411" s="301"/>
    </row>
    <row r="412" spans="2:9" s="346" customFormat="1" ht="21" customHeight="1">
      <c r="B412" s="312" t="s">
        <v>834</v>
      </c>
      <c r="C412" s="305"/>
      <c r="D412" s="234"/>
      <c r="E412" s="310"/>
      <c r="F412" s="306"/>
      <c r="G412" s="232"/>
      <c r="H412" s="233"/>
      <c r="I412" s="301"/>
    </row>
    <row r="413" spans="2:9" s="346" customFormat="1" ht="21" customHeight="1">
      <c r="B413" s="305" t="s">
        <v>1087</v>
      </c>
      <c r="C413" s="305" t="str">
        <f>C411</f>
        <v>0.6/1kV, F-CV 4SQ/2C</v>
      </c>
      <c r="D413" s="234" t="str">
        <f>D411</f>
        <v>M</v>
      </c>
      <c r="E413" s="311">
        <f>E411</f>
        <v>32</v>
      </c>
      <c r="F413" s="307"/>
      <c r="G413" s="232"/>
      <c r="H413" s="233"/>
      <c r="I413" s="301"/>
    </row>
    <row r="414" spans="2:9" s="346" customFormat="1" ht="21" customHeight="1">
      <c r="B414" s="305"/>
      <c r="C414" s="305"/>
      <c r="D414" s="234"/>
      <c r="E414" s="311"/>
      <c r="F414" s="307"/>
      <c r="G414" s="232"/>
      <c r="H414" s="233"/>
      <c r="I414" s="301"/>
    </row>
    <row r="415" spans="2:9" s="346" customFormat="1" ht="21" customHeight="1">
      <c r="B415" s="305"/>
      <c r="C415" s="305"/>
      <c r="D415" s="234"/>
      <c r="E415" s="311"/>
      <c r="F415" s="307"/>
      <c r="G415" s="232"/>
      <c r="H415" s="232"/>
      <c r="I415" s="301"/>
    </row>
    <row r="416" spans="2:9" s="346" customFormat="1" ht="21" customHeight="1">
      <c r="B416" s="305"/>
      <c r="C416" s="305"/>
      <c r="D416" s="234"/>
      <c r="E416" s="307"/>
      <c r="F416" s="307"/>
      <c r="G416" s="308"/>
      <c r="H416" s="233"/>
      <c r="I416" s="301"/>
    </row>
    <row r="417" spans="2:9" s="346" customFormat="1" ht="21" customHeight="1">
      <c r="B417" s="305"/>
      <c r="C417" s="305"/>
      <c r="D417" s="234"/>
      <c r="E417" s="307"/>
      <c r="F417" s="307"/>
      <c r="G417" s="308"/>
      <c r="H417" s="233"/>
      <c r="I417" s="301"/>
    </row>
    <row r="418" spans="2:9" s="346" customFormat="1" ht="21" customHeight="1">
      <c r="B418" s="305"/>
      <c r="C418" s="305"/>
      <c r="D418" s="234"/>
      <c r="E418" s="307"/>
      <c r="F418" s="307"/>
      <c r="G418" s="308"/>
      <c r="H418" s="233"/>
      <c r="I418" s="301"/>
    </row>
    <row r="419" spans="2:9" s="346" customFormat="1" ht="21" customHeight="1">
      <c r="B419" s="305"/>
      <c r="C419" s="305"/>
      <c r="D419" s="234"/>
      <c r="E419" s="307"/>
      <c r="F419" s="307"/>
      <c r="G419" s="308"/>
      <c r="H419" s="233"/>
      <c r="I419" s="301"/>
    </row>
    <row r="420" spans="2:9" s="346" customFormat="1" ht="21" customHeight="1">
      <c r="B420" s="312" t="s">
        <v>835</v>
      </c>
      <c r="C420" s="305"/>
      <c r="D420" s="234"/>
      <c r="E420" s="307"/>
      <c r="F420" s="307"/>
      <c r="G420" s="232"/>
      <c r="H420" s="233"/>
      <c r="I420" s="301"/>
    </row>
    <row r="421" spans="2:9" s="346" customFormat="1" ht="21" customHeight="1">
      <c r="B421" s="305"/>
      <c r="C421" s="305" t="s">
        <v>1166</v>
      </c>
      <c r="D421" s="234" t="s">
        <v>836</v>
      </c>
      <c r="E421" s="307">
        <v>0.46100000000000002</v>
      </c>
      <c r="F421" s="307"/>
      <c r="G421" s="232"/>
      <c r="H421" s="233"/>
      <c r="I421" s="301"/>
    </row>
    <row r="422" spans="2:9" s="346" customFormat="1" ht="21" customHeight="1">
      <c r="B422" s="305"/>
      <c r="C422" s="305"/>
      <c r="D422" s="234"/>
      <c r="E422" s="306"/>
      <c r="F422" s="306"/>
      <c r="G422" s="232"/>
      <c r="H422" s="232"/>
      <c r="I422" s="301"/>
    </row>
    <row r="423" spans="2:9" s="346" customFormat="1" ht="21" customHeight="1">
      <c r="B423" s="305"/>
      <c r="C423" s="305"/>
      <c r="D423" s="234"/>
      <c r="E423" s="306"/>
      <c r="F423" s="306"/>
      <c r="G423" s="308"/>
      <c r="H423" s="233"/>
      <c r="I423" s="301"/>
    </row>
    <row r="424" spans="2:9" s="346" customFormat="1" ht="21" customHeight="1">
      <c r="B424" s="305"/>
      <c r="C424" s="305"/>
      <c r="D424" s="234"/>
      <c r="E424" s="306"/>
      <c r="F424" s="306"/>
      <c r="G424" s="308"/>
      <c r="H424" s="233"/>
      <c r="I424" s="301"/>
    </row>
    <row r="425" spans="2:9" s="346" customFormat="1" ht="21" customHeight="1">
      <c r="B425" s="305"/>
      <c r="C425" s="305"/>
      <c r="D425" s="234"/>
      <c r="E425" s="306"/>
      <c r="F425" s="306"/>
      <c r="G425" s="308"/>
      <c r="H425" s="233"/>
      <c r="I425" s="301"/>
    </row>
    <row r="426" spans="2:9" s="346" customFormat="1" ht="21" customHeight="1">
      <c r="B426" s="312" t="s">
        <v>837</v>
      </c>
      <c r="C426" s="305"/>
      <c r="D426" s="234"/>
      <c r="E426" s="307"/>
      <c r="F426" s="307"/>
      <c r="G426" s="232"/>
      <c r="H426" s="233"/>
      <c r="I426" s="301"/>
    </row>
    <row r="427" spans="2:9" s="346" customFormat="1" ht="21" customHeight="1">
      <c r="B427" s="305"/>
      <c r="C427" s="305" t="s">
        <v>1166</v>
      </c>
      <c r="D427" s="234" t="s">
        <v>836</v>
      </c>
      <c r="E427" s="307">
        <v>1.4E-2</v>
      </c>
      <c r="F427" s="307"/>
      <c r="G427" s="232"/>
      <c r="H427" s="233"/>
      <c r="I427" s="301"/>
    </row>
    <row r="428" spans="2:9" s="346" customFormat="1" ht="21" customHeight="1">
      <c r="B428" s="305"/>
      <c r="C428" s="305"/>
      <c r="D428" s="234"/>
      <c r="E428" s="306"/>
      <c r="F428" s="306"/>
      <c r="G428" s="232"/>
      <c r="H428" s="232"/>
      <c r="I428" s="301"/>
    </row>
    <row r="429" spans="2:9" s="346" customFormat="1" ht="21" customHeight="1">
      <c r="B429" s="305"/>
      <c r="C429" s="305"/>
      <c r="D429" s="234"/>
      <c r="E429" s="306"/>
      <c r="F429" s="306"/>
      <c r="G429" s="308"/>
      <c r="H429" s="233"/>
      <c r="I429" s="301"/>
    </row>
    <row r="430" spans="2:9" s="346" customFormat="1" ht="21" customHeight="1">
      <c r="B430" s="305"/>
      <c r="C430" s="305"/>
      <c r="D430" s="234"/>
      <c r="E430" s="306"/>
      <c r="F430" s="306"/>
      <c r="G430" s="308"/>
      <c r="H430" s="233"/>
      <c r="I430" s="301"/>
    </row>
    <row r="431" spans="2:9" s="346" customFormat="1" ht="21" customHeight="1">
      <c r="B431" s="305"/>
      <c r="C431" s="305"/>
      <c r="D431" s="234"/>
      <c r="E431" s="306"/>
      <c r="F431" s="306"/>
      <c r="G431" s="308"/>
      <c r="H431" s="233"/>
      <c r="I431" s="301"/>
    </row>
    <row r="432" spans="2:9" s="346" customFormat="1" ht="21" customHeight="1">
      <c r="B432" s="305"/>
      <c r="C432" s="305"/>
      <c r="D432" s="234"/>
      <c r="E432" s="306"/>
      <c r="F432" s="306"/>
      <c r="G432" s="308"/>
      <c r="H432" s="233"/>
      <c r="I432" s="301"/>
    </row>
    <row r="433" spans="2:9" s="346" customFormat="1" ht="21" customHeight="1">
      <c r="B433" s="305"/>
      <c r="C433" s="305"/>
      <c r="D433" s="234"/>
      <c r="E433" s="306"/>
      <c r="F433" s="306"/>
      <c r="G433" s="308"/>
      <c r="H433" s="233"/>
      <c r="I433" s="301"/>
    </row>
    <row r="434" spans="2:9" s="346" customFormat="1" ht="21" customHeight="1">
      <c r="B434" s="305"/>
      <c r="C434" s="305"/>
      <c r="D434" s="234"/>
      <c r="E434" s="306"/>
      <c r="F434" s="306"/>
      <c r="G434" s="308"/>
      <c r="H434" s="233"/>
      <c r="I434" s="301"/>
    </row>
    <row r="435" spans="2:9" s="346" customFormat="1" ht="21" customHeight="1">
      <c r="B435" s="300" t="str">
        <f>'5. 공종별예산조서'!A22</f>
        <v>1-19. 케이블 신설</v>
      </c>
      <c r="C435" s="300" t="str">
        <f>'5. 공종별예산조서'!B22</f>
        <v>0.6/1kV, F-CV 4SQ/2C</v>
      </c>
      <c r="D435" s="301" t="str">
        <f>'5. 공종별예산조서'!C22</f>
        <v>M</v>
      </c>
      <c r="E435" s="309">
        <f>'5. 공종별예산조서'!D22</f>
        <v>10</v>
      </c>
      <c r="F435" s="302"/>
      <c r="G435" s="303"/>
      <c r="H435" s="304"/>
      <c r="I435" s="301"/>
    </row>
    <row r="436" spans="2:9" s="346" customFormat="1" ht="21" customHeight="1">
      <c r="B436" s="312" t="s">
        <v>834</v>
      </c>
      <c r="C436" s="305"/>
      <c r="D436" s="234"/>
      <c r="E436" s="310"/>
      <c r="F436" s="306"/>
      <c r="G436" s="232"/>
      <c r="H436" s="233"/>
      <c r="I436" s="301"/>
    </row>
    <row r="437" spans="2:9" s="346" customFormat="1" ht="21" customHeight="1">
      <c r="B437" s="305" t="s">
        <v>1088</v>
      </c>
      <c r="C437" s="305" t="str">
        <f>C435</f>
        <v>0.6/1kV, F-CV 4SQ/2C</v>
      </c>
      <c r="D437" s="234" t="str">
        <f>D435</f>
        <v>M</v>
      </c>
      <c r="E437" s="311">
        <f>E435</f>
        <v>10</v>
      </c>
      <c r="F437" s="307"/>
      <c r="G437" s="232"/>
      <c r="H437" s="233"/>
      <c r="I437" s="301"/>
    </row>
    <row r="438" spans="2:9" s="346" customFormat="1" ht="21" customHeight="1">
      <c r="B438" s="305"/>
      <c r="C438" s="305"/>
      <c r="D438" s="234"/>
      <c r="E438" s="311"/>
      <c r="F438" s="307"/>
      <c r="G438" s="232"/>
      <c r="H438" s="233"/>
      <c r="I438" s="301"/>
    </row>
    <row r="439" spans="2:9" s="346" customFormat="1" ht="21" customHeight="1">
      <c r="B439" s="305"/>
      <c r="C439" s="305"/>
      <c r="D439" s="234"/>
      <c r="E439" s="311"/>
      <c r="F439" s="307"/>
      <c r="G439" s="232"/>
      <c r="H439" s="232"/>
      <c r="I439" s="301"/>
    </row>
    <row r="440" spans="2:9" s="346" customFormat="1" ht="21" customHeight="1">
      <c r="B440" s="305"/>
      <c r="C440" s="305"/>
      <c r="D440" s="234"/>
      <c r="E440" s="307"/>
      <c r="F440" s="307"/>
      <c r="G440" s="308"/>
      <c r="H440" s="233"/>
      <c r="I440" s="301"/>
    </row>
    <row r="441" spans="2:9" s="346" customFormat="1" ht="21" customHeight="1">
      <c r="B441" s="305"/>
      <c r="C441" s="305"/>
      <c r="D441" s="234"/>
      <c r="E441" s="307"/>
      <c r="F441" s="307"/>
      <c r="G441" s="308"/>
      <c r="H441" s="233"/>
      <c r="I441" s="301"/>
    </row>
    <row r="442" spans="2:9" s="346" customFormat="1" ht="21" customHeight="1">
      <c r="B442" s="305"/>
      <c r="C442" s="305"/>
      <c r="D442" s="234"/>
      <c r="E442" s="307"/>
      <c r="F442" s="307"/>
      <c r="G442" s="308"/>
      <c r="H442" s="233"/>
      <c r="I442" s="301"/>
    </row>
    <row r="443" spans="2:9" s="346" customFormat="1" ht="21" customHeight="1">
      <c r="B443" s="305"/>
      <c r="C443" s="305"/>
      <c r="D443" s="234"/>
      <c r="E443" s="307"/>
      <c r="F443" s="307"/>
      <c r="G443" s="308"/>
      <c r="H443" s="233"/>
      <c r="I443" s="301"/>
    </row>
    <row r="444" spans="2:9" s="346" customFormat="1" ht="21" customHeight="1">
      <c r="B444" s="312" t="s">
        <v>835</v>
      </c>
      <c r="C444" s="305"/>
      <c r="D444" s="234"/>
      <c r="E444" s="307"/>
      <c r="F444" s="307"/>
      <c r="G444" s="232"/>
      <c r="H444" s="233"/>
      <c r="I444" s="301"/>
    </row>
    <row r="445" spans="2:9" s="346" customFormat="1" ht="21" customHeight="1">
      <c r="B445" s="305"/>
      <c r="C445" s="305" t="s">
        <v>1166</v>
      </c>
      <c r="D445" s="234" t="s">
        <v>836</v>
      </c>
      <c r="E445" s="307">
        <v>0.16</v>
      </c>
      <c r="F445" s="307"/>
      <c r="G445" s="232"/>
      <c r="H445" s="233"/>
      <c r="I445" s="301"/>
    </row>
    <row r="446" spans="2:9" s="346" customFormat="1" ht="21" customHeight="1">
      <c r="B446" s="305"/>
      <c r="C446" s="305"/>
      <c r="D446" s="234"/>
      <c r="E446" s="306"/>
      <c r="F446" s="306"/>
      <c r="G446" s="232"/>
      <c r="H446" s="232"/>
      <c r="I446" s="301"/>
    </row>
    <row r="447" spans="2:9" s="346" customFormat="1" ht="21" customHeight="1">
      <c r="B447" s="305"/>
      <c r="C447" s="305"/>
      <c r="D447" s="234"/>
      <c r="E447" s="306"/>
      <c r="F447" s="306"/>
      <c r="G447" s="308"/>
      <c r="H447" s="233"/>
      <c r="I447" s="301"/>
    </row>
    <row r="448" spans="2:9" s="346" customFormat="1" ht="21" customHeight="1">
      <c r="B448" s="305"/>
      <c r="C448" s="305"/>
      <c r="D448" s="234"/>
      <c r="E448" s="306"/>
      <c r="F448" s="306"/>
      <c r="G448" s="308"/>
      <c r="H448" s="233"/>
      <c r="I448" s="301"/>
    </row>
    <row r="449" spans="2:9" s="346" customFormat="1" ht="21" customHeight="1">
      <c r="B449" s="305"/>
      <c r="C449" s="305"/>
      <c r="D449" s="234"/>
      <c r="E449" s="306"/>
      <c r="F449" s="306"/>
      <c r="G449" s="308"/>
      <c r="H449" s="233"/>
      <c r="I449" s="301"/>
    </row>
    <row r="450" spans="2:9" s="346" customFormat="1" ht="21" customHeight="1">
      <c r="B450" s="312" t="s">
        <v>837</v>
      </c>
      <c r="C450" s="305"/>
      <c r="D450" s="234"/>
      <c r="E450" s="307"/>
      <c r="F450" s="307"/>
      <c r="G450" s="232"/>
      <c r="H450" s="233"/>
      <c r="I450" s="301"/>
    </row>
    <row r="451" spans="2:9" s="346" customFormat="1" ht="21" customHeight="1">
      <c r="B451" s="305"/>
      <c r="C451" s="305" t="s">
        <v>1166</v>
      </c>
      <c r="D451" s="234" t="s">
        <v>836</v>
      </c>
      <c r="E451" s="307">
        <v>5.0000000000000001E-3</v>
      </c>
      <c r="F451" s="307"/>
      <c r="G451" s="232"/>
      <c r="H451" s="233"/>
      <c r="I451" s="301"/>
    </row>
    <row r="452" spans="2:9" s="346" customFormat="1" ht="21" customHeight="1">
      <c r="B452" s="305"/>
      <c r="C452" s="305"/>
      <c r="D452" s="234"/>
      <c r="E452" s="306"/>
      <c r="F452" s="306"/>
      <c r="G452" s="232"/>
      <c r="H452" s="232"/>
      <c r="I452" s="301"/>
    </row>
    <row r="453" spans="2:9" s="346" customFormat="1" ht="21" customHeight="1">
      <c r="B453" s="305"/>
      <c r="C453" s="305"/>
      <c r="D453" s="234"/>
      <c r="E453" s="306"/>
      <c r="F453" s="306"/>
      <c r="G453" s="308"/>
      <c r="H453" s="233"/>
      <c r="I453" s="301"/>
    </row>
    <row r="454" spans="2:9" s="346" customFormat="1" ht="21" customHeight="1">
      <c r="B454" s="305"/>
      <c r="C454" s="305"/>
      <c r="D454" s="234"/>
      <c r="E454" s="306"/>
      <c r="F454" s="306"/>
      <c r="G454" s="308"/>
      <c r="H454" s="233"/>
      <c r="I454" s="301"/>
    </row>
    <row r="455" spans="2:9" s="346" customFormat="1" ht="21" customHeight="1">
      <c r="B455" s="305"/>
      <c r="C455" s="305"/>
      <c r="D455" s="234"/>
      <c r="E455" s="306"/>
      <c r="F455" s="306"/>
      <c r="G455" s="308"/>
      <c r="H455" s="233"/>
      <c r="I455" s="301"/>
    </row>
    <row r="456" spans="2:9" s="346" customFormat="1" ht="21" customHeight="1">
      <c r="B456" s="305"/>
      <c r="C456" s="305"/>
      <c r="D456" s="234"/>
      <c r="E456" s="306"/>
      <c r="F456" s="306"/>
      <c r="G456" s="308"/>
      <c r="H456" s="233"/>
      <c r="I456" s="301"/>
    </row>
    <row r="457" spans="2:9" s="346" customFormat="1" ht="21" customHeight="1">
      <c r="B457" s="305"/>
      <c r="C457" s="305"/>
      <c r="D457" s="234"/>
      <c r="E457" s="306"/>
      <c r="F457" s="306"/>
      <c r="G457" s="308"/>
      <c r="H457" s="233"/>
      <c r="I457" s="301"/>
    </row>
    <row r="458" spans="2:9" s="346" customFormat="1" ht="21" customHeight="1">
      <c r="B458" s="305"/>
      <c r="C458" s="305"/>
      <c r="D458" s="234"/>
      <c r="E458" s="306"/>
      <c r="F458" s="306"/>
      <c r="G458" s="308"/>
      <c r="H458" s="233"/>
      <c r="I458" s="301"/>
    </row>
    <row r="459" spans="2:9" s="346" customFormat="1" ht="21" customHeight="1">
      <c r="B459" s="300" t="str">
        <f>'5. 공종별예산조서'!A23</f>
        <v>1-20. 접지선 신설</v>
      </c>
      <c r="C459" s="300" t="str">
        <f>'5. 공종별예산조서'!B23</f>
        <v>0.6/1kV, F-GV 16SQ</v>
      </c>
      <c r="D459" s="301" t="str">
        <f>'5. 공종별예산조서'!C23</f>
        <v>M</v>
      </c>
      <c r="E459" s="309">
        <f>'5. 공종별예산조서'!D23</f>
        <v>34</v>
      </c>
      <c r="F459" s="302"/>
      <c r="G459" s="303"/>
      <c r="H459" s="304"/>
      <c r="I459" s="301"/>
    </row>
    <row r="460" spans="2:9" s="346" customFormat="1" ht="21" customHeight="1">
      <c r="B460" s="312" t="s">
        <v>834</v>
      </c>
      <c r="C460" s="305"/>
      <c r="D460" s="234"/>
      <c r="E460" s="310"/>
      <c r="F460" s="306"/>
      <c r="G460" s="232"/>
      <c r="H460" s="233"/>
      <c r="I460" s="301"/>
    </row>
    <row r="461" spans="2:9" s="346" customFormat="1" ht="21" customHeight="1">
      <c r="B461" s="305" t="s">
        <v>1089</v>
      </c>
      <c r="C461" s="305" t="str">
        <f>C459</f>
        <v>0.6/1kV, F-GV 16SQ</v>
      </c>
      <c r="D461" s="234" t="str">
        <f>D459</f>
        <v>M</v>
      </c>
      <c r="E461" s="311">
        <f>E459</f>
        <v>34</v>
      </c>
      <c r="F461" s="307"/>
      <c r="G461" s="232"/>
      <c r="H461" s="233"/>
      <c r="I461" s="301"/>
    </row>
    <row r="462" spans="2:9" s="346" customFormat="1" ht="21" customHeight="1">
      <c r="B462" s="305"/>
      <c r="C462" s="305"/>
      <c r="D462" s="234"/>
      <c r="E462" s="311"/>
      <c r="F462" s="307"/>
      <c r="G462" s="232"/>
      <c r="H462" s="233"/>
      <c r="I462" s="301"/>
    </row>
    <row r="463" spans="2:9" s="346" customFormat="1" ht="21" customHeight="1">
      <c r="B463" s="305"/>
      <c r="C463" s="305"/>
      <c r="D463" s="234"/>
      <c r="E463" s="311"/>
      <c r="F463" s="307"/>
      <c r="G463" s="232"/>
      <c r="H463" s="232"/>
      <c r="I463" s="301"/>
    </row>
    <row r="464" spans="2:9" s="346" customFormat="1" ht="21" customHeight="1">
      <c r="B464" s="305"/>
      <c r="C464" s="305"/>
      <c r="D464" s="234"/>
      <c r="E464" s="307"/>
      <c r="F464" s="307"/>
      <c r="G464" s="308"/>
      <c r="H464" s="233"/>
      <c r="I464" s="301"/>
    </row>
    <row r="465" spans="2:9" s="346" customFormat="1" ht="21" customHeight="1">
      <c r="B465" s="305"/>
      <c r="C465" s="305"/>
      <c r="D465" s="234"/>
      <c r="E465" s="307"/>
      <c r="F465" s="307"/>
      <c r="G465" s="308"/>
      <c r="H465" s="233"/>
      <c r="I465" s="301"/>
    </row>
    <row r="466" spans="2:9" s="346" customFormat="1" ht="21" customHeight="1">
      <c r="B466" s="305"/>
      <c r="C466" s="305"/>
      <c r="D466" s="234"/>
      <c r="E466" s="307"/>
      <c r="F466" s="307"/>
      <c r="G466" s="308"/>
      <c r="H466" s="233"/>
      <c r="I466" s="301"/>
    </row>
    <row r="467" spans="2:9" s="346" customFormat="1" ht="21" customHeight="1">
      <c r="B467" s="305"/>
      <c r="C467" s="305"/>
      <c r="D467" s="234"/>
      <c r="E467" s="307"/>
      <c r="F467" s="307"/>
      <c r="G467" s="308"/>
      <c r="H467" s="233"/>
      <c r="I467" s="301"/>
    </row>
    <row r="468" spans="2:9" s="346" customFormat="1" ht="21" customHeight="1">
      <c r="B468" s="312" t="s">
        <v>835</v>
      </c>
      <c r="C468" s="305"/>
      <c r="D468" s="234"/>
      <c r="E468" s="307"/>
      <c r="F468" s="307"/>
      <c r="G468" s="232"/>
      <c r="H468" s="233"/>
      <c r="I468" s="301"/>
    </row>
    <row r="469" spans="2:9" s="346" customFormat="1" ht="21" customHeight="1">
      <c r="B469" s="305"/>
      <c r="C469" s="305" t="s">
        <v>64</v>
      </c>
      <c r="D469" s="234" t="s">
        <v>836</v>
      </c>
      <c r="E469" s="307">
        <v>0.23799999999999999</v>
      </c>
      <c r="F469" s="307"/>
      <c r="G469" s="232"/>
      <c r="H469" s="233"/>
      <c r="I469" s="301"/>
    </row>
    <row r="470" spans="2:9" s="346" customFormat="1" ht="21" customHeight="1">
      <c r="B470" s="305"/>
      <c r="C470" s="305"/>
      <c r="D470" s="234"/>
      <c r="E470" s="306"/>
      <c r="F470" s="306"/>
      <c r="G470" s="232"/>
      <c r="H470" s="232"/>
      <c r="I470" s="301"/>
    </row>
    <row r="471" spans="2:9" s="346" customFormat="1" ht="21" customHeight="1">
      <c r="B471" s="305"/>
      <c r="C471" s="305"/>
      <c r="D471" s="234"/>
      <c r="E471" s="306"/>
      <c r="F471" s="306"/>
      <c r="G471" s="308"/>
      <c r="H471" s="233"/>
      <c r="I471" s="301"/>
    </row>
    <row r="472" spans="2:9" s="346" customFormat="1" ht="21" customHeight="1">
      <c r="B472" s="305"/>
      <c r="C472" s="305"/>
      <c r="D472" s="234"/>
      <c r="E472" s="306"/>
      <c r="F472" s="306"/>
      <c r="G472" s="308"/>
      <c r="H472" s="233"/>
      <c r="I472" s="301"/>
    </row>
    <row r="473" spans="2:9" s="346" customFormat="1" ht="21" customHeight="1">
      <c r="B473" s="305"/>
      <c r="C473" s="305"/>
      <c r="D473" s="234"/>
      <c r="E473" s="306"/>
      <c r="F473" s="306"/>
      <c r="G473" s="308"/>
      <c r="H473" s="233"/>
      <c r="I473" s="301"/>
    </row>
    <row r="474" spans="2:9" s="346" customFormat="1" ht="21" customHeight="1">
      <c r="B474" s="312" t="s">
        <v>837</v>
      </c>
      <c r="C474" s="305"/>
      <c r="D474" s="234"/>
      <c r="E474" s="307"/>
      <c r="F474" s="307"/>
      <c r="G474" s="232"/>
      <c r="H474" s="233"/>
      <c r="I474" s="301"/>
    </row>
    <row r="475" spans="2:9" s="346" customFormat="1" ht="21" customHeight="1">
      <c r="B475" s="305"/>
      <c r="C475" s="305" t="s">
        <v>64</v>
      </c>
      <c r="D475" s="234" t="s">
        <v>836</v>
      </c>
      <c r="E475" s="307">
        <v>7.0000000000000001E-3</v>
      </c>
      <c r="F475" s="307"/>
      <c r="G475" s="232"/>
      <c r="H475" s="233"/>
      <c r="I475" s="301"/>
    </row>
    <row r="476" spans="2:9" s="346" customFormat="1" ht="21" customHeight="1">
      <c r="B476" s="305"/>
      <c r="C476" s="305"/>
      <c r="D476" s="234"/>
      <c r="E476" s="306"/>
      <c r="F476" s="306"/>
      <c r="G476" s="232"/>
      <c r="H476" s="232"/>
      <c r="I476" s="301"/>
    </row>
    <row r="477" spans="2:9" s="346" customFormat="1" ht="21" customHeight="1">
      <c r="B477" s="305"/>
      <c r="C477" s="305"/>
      <c r="D477" s="234"/>
      <c r="E477" s="306"/>
      <c r="F477" s="306"/>
      <c r="G477" s="308"/>
      <c r="H477" s="233"/>
      <c r="I477" s="301"/>
    </row>
    <row r="478" spans="2:9" s="346" customFormat="1" ht="21" customHeight="1">
      <c r="B478" s="305"/>
      <c r="C478" s="305"/>
      <c r="D478" s="234"/>
      <c r="E478" s="306"/>
      <c r="F478" s="306"/>
      <c r="G478" s="308"/>
      <c r="H478" s="233"/>
      <c r="I478" s="301"/>
    </row>
    <row r="479" spans="2:9" s="346" customFormat="1" ht="21" customHeight="1">
      <c r="B479" s="305"/>
      <c r="C479" s="305"/>
      <c r="D479" s="234"/>
      <c r="E479" s="306"/>
      <c r="F479" s="306"/>
      <c r="G479" s="308"/>
      <c r="H479" s="233"/>
      <c r="I479" s="301"/>
    </row>
    <row r="480" spans="2:9" s="346" customFormat="1" ht="21" customHeight="1">
      <c r="B480" s="305"/>
      <c r="C480" s="305"/>
      <c r="D480" s="234"/>
      <c r="E480" s="306"/>
      <c r="F480" s="306"/>
      <c r="G480" s="308"/>
      <c r="H480" s="233"/>
      <c r="I480" s="301"/>
    </row>
    <row r="481" spans="2:9" s="346" customFormat="1" ht="21" customHeight="1">
      <c r="B481" s="305"/>
      <c r="C481" s="305"/>
      <c r="D481" s="234"/>
      <c r="E481" s="306"/>
      <c r="F481" s="306"/>
      <c r="G481" s="308"/>
      <c r="H481" s="233"/>
      <c r="I481" s="301"/>
    </row>
    <row r="482" spans="2:9" s="346" customFormat="1" ht="21" customHeight="1">
      <c r="B482" s="305"/>
      <c r="C482" s="305"/>
      <c r="D482" s="234"/>
      <c r="E482" s="306"/>
      <c r="F482" s="306"/>
      <c r="G482" s="308"/>
      <c r="H482" s="233"/>
      <c r="I482" s="301"/>
    </row>
    <row r="483" spans="2:9" s="346" customFormat="1" ht="21" customHeight="1">
      <c r="B483" s="300" t="str">
        <f>'5. 공종별예산조서'!A24</f>
        <v>1-21. 접지선 신설</v>
      </c>
      <c r="C483" s="300" t="str">
        <f>'5. 공종별예산조서'!B24</f>
        <v>0.6/1kV, F-GV 4SQ</v>
      </c>
      <c r="D483" s="301" t="str">
        <f>'5. 공종별예산조서'!C24</f>
        <v>M</v>
      </c>
      <c r="E483" s="309">
        <f>'5. 공종별예산조서'!D24</f>
        <v>86</v>
      </c>
      <c r="F483" s="302"/>
      <c r="G483" s="303"/>
      <c r="H483" s="304"/>
      <c r="I483" s="301"/>
    </row>
    <row r="484" spans="2:9" s="346" customFormat="1" ht="21" customHeight="1">
      <c r="B484" s="312" t="s">
        <v>834</v>
      </c>
      <c r="C484" s="305"/>
      <c r="D484" s="234"/>
      <c r="E484" s="310"/>
      <c r="F484" s="306"/>
      <c r="G484" s="232"/>
      <c r="H484" s="233"/>
      <c r="I484" s="301"/>
    </row>
    <row r="485" spans="2:9" s="346" customFormat="1" ht="21" customHeight="1">
      <c r="B485" s="305" t="s">
        <v>1089</v>
      </c>
      <c r="C485" s="305" t="str">
        <f>C483</f>
        <v>0.6/1kV, F-GV 4SQ</v>
      </c>
      <c r="D485" s="234" t="str">
        <f>D483</f>
        <v>M</v>
      </c>
      <c r="E485" s="311">
        <f>E483</f>
        <v>86</v>
      </c>
      <c r="F485" s="307"/>
      <c r="G485" s="232"/>
      <c r="H485" s="233"/>
      <c r="I485" s="301"/>
    </row>
    <row r="486" spans="2:9" s="346" customFormat="1" ht="21" customHeight="1">
      <c r="B486" s="305"/>
      <c r="C486" s="305"/>
      <c r="D486" s="234"/>
      <c r="E486" s="311"/>
      <c r="F486" s="307"/>
      <c r="G486" s="232"/>
      <c r="H486" s="233"/>
      <c r="I486" s="301"/>
    </row>
    <row r="487" spans="2:9" s="346" customFormat="1" ht="21" customHeight="1">
      <c r="B487" s="305"/>
      <c r="C487" s="305"/>
      <c r="D487" s="234"/>
      <c r="E487" s="311"/>
      <c r="F487" s="307"/>
      <c r="G487" s="232"/>
      <c r="H487" s="232"/>
      <c r="I487" s="301"/>
    </row>
    <row r="488" spans="2:9" s="346" customFormat="1" ht="21" customHeight="1">
      <c r="B488" s="305"/>
      <c r="C488" s="305"/>
      <c r="D488" s="234"/>
      <c r="E488" s="307"/>
      <c r="F488" s="307"/>
      <c r="G488" s="308"/>
      <c r="H488" s="233"/>
      <c r="I488" s="301"/>
    </row>
    <row r="489" spans="2:9" s="346" customFormat="1" ht="21" customHeight="1">
      <c r="B489" s="305"/>
      <c r="C489" s="305"/>
      <c r="D489" s="234"/>
      <c r="E489" s="307"/>
      <c r="F489" s="307"/>
      <c r="G489" s="308"/>
      <c r="H489" s="233"/>
      <c r="I489" s="301"/>
    </row>
    <row r="490" spans="2:9" s="346" customFormat="1" ht="21" customHeight="1">
      <c r="B490" s="305"/>
      <c r="C490" s="305"/>
      <c r="D490" s="234"/>
      <c r="E490" s="307"/>
      <c r="F490" s="307"/>
      <c r="G490" s="308"/>
      <c r="H490" s="233"/>
      <c r="I490" s="301"/>
    </row>
    <row r="491" spans="2:9" s="346" customFormat="1" ht="21" customHeight="1">
      <c r="B491" s="305"/>
      <c r="C491" s="305"/>
      <c r="D491" s="234"/>
      <c r="E491" s="307"/>
      <c r="F491" s="307"/>
      <c r="G491" s="308"/>
      <c r="H491" s="233"/>
      <c r="I491" s="301"/>
    </row>
    <row r="492" spans="2:9" s="346" customFormat="1" ht="21" customHeight="1">
      <c r="B492" s="312" t="s">
        <v>835</v>
      </c>
      <c r="C492" s="305"/>
      <c r="D492" s="234"/>
      <c r="E492" s="307"/>
      <c r="F492" s="307"/>
      <c r="G492" s="232"/>
      <c r="H492" s="233"/>
      <c r="I492" s="301"/>
    </row>
    <row r="493" spans="2:9" s="346" customFormat="1" ht="21" customHeight="1">
      <c r="B493" s="305"/>
      <c r="C493" s="305" t="s">
        <v>64</v>
      </c>
      <c r="D493" s="234" t="s">
        <v>836</v>
      </c>
      <c r="E493" s="307">
        <v>0.51600000000000001</v>
      </c>
      <c r="F493" s="307"/>
      <c r="G493" s="232"/>
      <c r="H493" s="233"/>
      <c r="I493" s="301"/>
    </row>
    <row r="494" spans="2:9" s="346" customFormat="1" ht="21" customHeight="1">
      <c r="B494" s="305"/>
      <c r="C494" s="305"/>
      <c r="D494" s="234"/>
      <c r="E494" s="306"/>
      <c r="F494" s="306"/>
      <c r="G494" s="232"/>
      <c r="H494" s="232"/>
      <c r="I494" s="301"/>
    </row>
    <row r="495" spans="2:9" s="346" customFormat="1" ht="21" customHeight="1">
      <c r="B495" s="305"/>
      <c r="C495" s="305"/>
      <c r="D495" s="234"/>
      <c r="E495" s="306"/>
      <c r="F495" s="306"/>
      <c r="G495" s="308"/>
      <c r="H495" s="233"/>
      <c r="I495" s="301"/>
    </row>
    <row r="496" spans="2:9" s="346" customFormat="1" ht="21" customHeight="1">
      <c r="B496" s="305"/>
      <c r="C496" s="305"/>
      <c r="D496" s="234"/>
      <c r="E496" s="306"/>
      <c r="F496" s="306"/>
      <c r="G496" s="308"/>
      <c r="H496" s="233"/>
      <c r="I496" s="301"/>
    </row>
    <row r="497" spans="2:9" s="346" customFormat="1" ht="21" customHeight="1">
      <c r="B497" s="305"/>
      <c r="C497" s="305"/>
      <c r="D497" s="234"/>
      <c r="E497" s="306"/>
      <c r="F497" s="306"/>
      <c r="G497" s="308"/>
      <c r="H497" s="233"/>
      <c r="I497" s="301"/>
    </row>
    <row r="498" spans="2:9" s="346" customFormat="1" ht="21" customHeight="1">
      <c r="B498" s="312" t="s">
        <v>837</v>
      </c>
      <c r="C498" s="305"/>
      <c r="D498" s="234"/>
      <c r="E498" s="307"/>
      <c r="F498" s="307"/>
      <c r="G498" s="232"/>
      <c r="H498" s="233"/>
      <c r="I498" s="301"/>
    </row>
    <row r="499" spans="2:9" s="346" customFormat="1" ht="21" customHeight="1">
      <c r="B499" s="305"/>
      <c r="C499" s="305" t="s">
        <v>64</v>
      </c>
      <c r="D499" s="234" t="s">
        <v>836</v>
      </c>
      <c r="E499" s="307">
        <v>1.4999999999999999E-2</v>
      </c>
      <c r="F499" s="307"/>
      <c r="G499" s="232"/>
      <c r="H499" s="233"/>
      <c r="I499" s="301"/>
    </row>
    <row r="500" spans="2:9" s="346" customFormat="1" ht="21" customHeight="1">
      <c r="B500" s="305"/>
      <c r="C500" s="305"/>
      <c r="D500" s="234"/>
      <c r="E500" s="306"/>
      <c r="F500" s="306"/>
      <c r="G500" s="232"/>
      <c r="H500" s="232"/>
      <c r="I500" s="301"/>
    </row>
    <row r="501" spans="2:9" s="346" customFormat="1" ht="21" customHeight="1">
      <c r="B501" s="305"/>
      <c r="C501" s="305"/>
      <c r="D501" s="234"/>
      <c r="E501" s="306"/>
      <c r="F501" s="306"/>
      <c r="G501" s="308"/>
      <c r="H501" s="233"/>
      <c r="I501" s="301"/>
    </row>
    <row r="502" spans="2:9" s="346" customFormat="1" ht="21" customHeight="1">
      <c r="B502" s="305"/>
      <c r="C502" s="305"/>
      <c r="D502" s="234"/>
      <c r="E502" s="306"/>
      <c r="F502" s="306"/>
      <c r="G502" s="308"/>
      <c r="H502" s="233"/>
      <c r="I502" s="301"/>
    </row>
    <row r="503" spans="2:9" s="346" customFormat="1" ht="21" customHeight="1">
      <c r="B503" s="305"/>
      <c r="C503" s="305"/>
      <c r="D503" s="234"/>
      <c r="E503" s="306"/>
      <c r="F503" s="306"/>
      <c r="G503" s="308"/>
      <c r="H503" s="233"/>
      <c r="I503" s="301"/>
    </row>
    <row r="504" spans="2:9" s="346" customFormat="1" ht="21" customHeight="1">
      <c r="B504" s="305"/>
      <c r="C504" s="305"/>
      <c r="D504" s="234"/>
      <c r="E504" s="306"/>
      <c r="F504" s="306"/>
      <c r="G504" s="308"/>
      <c r="H504" s="233"/>
      <c r="I504" s="301"/>
    </row>
    <row r="505" spans="2:9" s="346" customFormat="1" ht="21" customHeight="1">
      <c r="B505" s="305"/>
      <c r="C505" s="305"/>
      <c r="D505" s="234"/>
      <c r="E505" s="306"/>
      <c r="F505" s="306"/>
      <c r="G505" s="308"/>
      <c r="H505" s="233"/>
      <c r="I505" s="301"/>
    </row>
    <row r="506" spans="2:9" s="346" customFormat="1" ht="21" customHeight="1">
      <c r="B506" s="305"/>
      <c r="C506" s="305"/>
      <c r="D506" s="234"/>
      <c r="E506" s="306"/>
      <c r="F506" s="306"/>
      <c r="G506" s="308"/>
      <c r="H506" s="233"/>
      <c r="I506" s="301"/>
    </row>
    <row r="507" spans="2:9" s="346" customFormat="1" ht="21" customHeight="1">
      <c r="B507" s="300" t="str">
        <f>'5. 공종별예산조서'!A25</f>
        <v>1-22. 분전반 신설</v>
      </c>
      <c r="C507" s="300" t="str">
        <f>'5. 공종별예산조서'!B25</f>
        <v>L-4 PNL</v>
      </c>
      <c r="D507" s="301" t="str">
        <f>'5. 공종별예산조서'!C25</f>
        <v>면</v>
      </c>
      <c r="E507" s="309">
        <f>'5. 공종별예산조서'!D25</f>
        <v>1</v>
      </c>
      <c r="F507" s="302"/>
      <c r="G507" s="303"/>
      <c r="H507" s="304"/>
      <c r="I507" s="301"/>
    </row>
    <row r="508" spans="2:9" s="346" customFormat="1" ht="21" customHeight="1">
      <c r="B508" s="312" t="s">
        <v>834</v>
      </c>
      <c r="C508" s="305"/>
      <c r="D508" s="234"/>
      <c r="E508" s="310"/>
      <c r="F508" s="306"/>
      <c r="G508" s="232"/>
      <c r="H508" s="233"/>
      <c r="I508" s="301"/>
    </row>
    <row r="509" spans="2:9" s="346" customFormat="1" ht="21" customHeight="1">
      <c r="B509" s="305" t="s">
        <v>1090</v>
      </c>
      <c r="C509" s="305" t="str">
        <f>C507</f>
        <v>L-4 PNL</v>
      </c>
      <c r="D509" s="234" t="str">
        <f>D507</f>
        <v>면</v>
      </c>
      <c r="E509" s="311">
        <f>E507</f>
        <v>1</v>
      </c>
      <c r="F509" s="307"/>
      <c r="G509" s="232"/>
      <c r="H509" s="233"/>
      <c r="I509" s="301"/>
    </row>
    <row r="510" spans="2:9" s="346" customFormat="1" ht="21" customHeight="1">
      <c r="B510" s="305"/>
      <c r="C510" s="305"/>
      <c r="D510" s="234"/>
      <c r="E510" s="311"/>
      <c r="F510" s="307"/>
      <c r="G510" s="232"/>
      <c r="H510" s="233"/>
      <c r="I510" s="301"/>
    </row>
    <row r="511" spans="2:9" s="346" customFormat="1" ht="21" customHeight="1">
      <c r="B511" s="305"/>
      <c r="C511" s="305"/>
      <c r="D511" s="234"/>
      <c r="E511" s="311"/>
      <c r="F511" s="307"/>
      <c r="G511" s="232"/>
      <c r="H511" s="232"/>
      <c r="I511" s="301"/>
    </row>
    <row r="512" spans="2:9" s="346" customFormat="1" ht="21" customHeight="1">
      <c r="B512" s="305"/>
      <c r="C512" s="305"/>
      <c r="D512" s="234"/>
      <c r="E512" s="307"/>
      <c r="F512" s="307"/>
      <c r="G512" s="308"/>
      <c r="H512" s="233"/>
      <c r="I512" s="301"/>
    </row>
    <row r="513" spans="2:9" s="346" customFormat="1" ht="21" customHeight="1">
      <c r="B513" s="305"/>
      <c r="C513" s="305"/>
      <c r="D513" s="234"/>
      <c r="E513" s="307"/>
      <c r="F513" s="307"/>
      <c r="G513" s="308"/>
      <c r="H513" s="233"/>
      <c r="I513" s="301"/>
    </row>
    <row r="514" spans="2:9" s="346" customFormat="1" ht="21" customHeight="1">
      <c r="B514" s="305"/>
      <c r="C514" s="305"/>
      <c r="D514" s="234"/>
      <c r="E514" s="307"/>
      <c r="F514" s="307"/>
      <c r="G514" s="308"/>
      <c r="H514" s="233"/>
      <c r="I514" s="301"/>
    </row>
    <row r="515" spans="2:9" s="346" customFormat="1" ht="21" customHeight="1">
      <c r="B515" s="305"/>
      <c r="C515" s="305"/>
      <c r="D515" s="234"/>
      <c r="E515" s="307"/>
      <c r="F515" s="307"/>
      <c r="G515" s="308"/>
      <c r="H515" s="233"/>
      <c r="I515" s="301"/>
    </row>
    <row r="516" spans="2:9" s="346" customFormat="1" ht="21" customHeight="1">
      <c r="B516" s="312" t="s">
        <v>835</v>
      </c>
      <c r="C516" s="305"/>
      <c r="D516" s="234"/>
      <c r="E516" s="307"/>
      <c r="F516" s="307"/>
      <c r="G516" s="232"/>
      <c r="H516" s="233"/>
      <c r="I516" s="301"/>
    </row>
    <row r="517" spans="2:9" s="346" customFormat="1" ht="21" customHeight="1">
      <c r="B517" s="305"/>
      <c r="C517" s="305" t="s">
        <v>64</v>
      </c>
      <c r="D517" s="234" t="s">
        <v>836</v>
      </c>
      <c r="E517" s="307">
        <v>1.56</v>
      </c>
      <c r="F517" s="307"/>
      <c r="G517" s="232"/>
      <c r="H517" s="233"/>
      <c r="I517" s="301"/>
    </row>
    <row r="518" spans="2:9" s="346" customFormat="1" ht="21" customHeight="1">
      <c r="B518" s="305"/>
      <c r="C518" s="305"/>
      <c r="D518" s="234"/>
      <c r="E518" s="306"/>
      <c r="F518" s="306"/>
      <c r="G518" s="232"/>
      <c r="H518" s="232"/>
      <c r="I518" s="301"/>
    </row>
    <row r="519" spans="2:9" s="346" customFormat="1" ht="21" customHeight="1">
      <c r="B519" s="305"/>
      <c r="C519" s="305"/>
      <c r="D519" s="234"/>
      <c r="E519" s="306"/>
      <c r="F519" s="306"/>
      <c r="G519" s="308"/>
      <c r="H519" s="233"/>
      <c r="I519" s="301"/>
    </row>
    <row r="520" spans="2:9" s="346" customFormat="1" ht="21" customHeight="1">
      <c r="B520" s="305"/>
      <c r="C520" s="305"/>
      <c r="D520" s="234"/>
      <c r="E520" s="306"/>
      <c r="F520" s="306"/>
      <c r="G520" s="308"/>
      <c r="H520" s="233"/>
      <c r="I520" s="301"/>
    </row>
    <row r="521" spans="2:9" s="346" customFormat="1" ht="21" customHeight="1">
      <c r="B521" s="305"/>
      <c r="C521" s="305"/>
      <c r="D521" s="234"/>
      <c r="E521" s="306"/>
      <c r="F521" s="306"/>
      <c r="G521" s="308"/>
      <c r="H521" s="233"/>
      <c r="I521" s="301"/>
    </row>
    <row r="522" spans="2:9" s="346" customFormat="1" ht="21" customHeight="1">
      <c r="B522" s="312" t="s">
        <v>837</v>
      </c>
      <c r="C522" s="305"/>
      <c r="D522" s="234"/>
      <c r="E522" s="307"/>
      <c r="F522" s="307"/>
      <c r="G522" s="232"/>
      <c r="H522" s="233"/>
      <c r="I522" s="301"/>
    </row>
    <row r="523" spans="2:9" s="346" customFormat="1" ht="21" customHeight="1">
      <c r="B523" s="305"/>
      <c r="C523" s="305" t="s">
        <v>64</v>
      </c>
      <c r="D523" s="234" t="s">
        <v>836</v>
      </c>
      <c r="E523" s="307">
        <v>4.7E-2</v>
      </c>
      <c r="F523" s="307"/>
      <c r="G523" s="232"/>
      <c r="H523" s="233"/>
      <c r="I523" s="301"/>
    </row>
    <row r="524" spans="2:9" s="346" customFormat="1" ht="21" customHeight="1">
      <c r="B524" s="305"/>
      <c r="C524" s="305"/>
      <c r="D524" s="234"/>
      <c r="E524" s="306"/>
      <c r="F524" s="306"/>
      <c r="G524" s="232"/>
      <c r="H524" s="232"/>
      <c r="I524" s="301"/>
    </row>
    <row r="525" spans="2:9" s="346" customFormat="1" ht="21" customHeight="1">
      <c r="B525" s="305"/>
      <c r="C525" s="305"/>
      <c r="D525" s="234"/>
      <c r="E525" s="306"/>
      <c r="F525" s="306"/>
      <c r="G525" s="308"/>
      <c r="H525" s="233"/>
      <c r="I525" s="301"/>
    </row>
    <row r="526" spans="2:9" s="346" customFormat="1" ht="21" customHeight="1">
      <c r="B526" s="305"/>
      <c r="C526" s="305"/>
      <c r="D526" s="234"/>
      <c r="E526" s="306"/>
      <c r="F526" s="306"/>
      <c r="G526" s="308"/>
      <c r="H526" s="233"/>
      <c r="I526" s="301"/>
    </row>
    <row r="527" spans="2:9" s="346" customFormat="1" ht="21" customHeight="1">
      <c r="B527" s="305"/>
      <c r="C527" s="305"/>
      <c r="D527" s="234"/>
      <c r="E527" s="306"/>
      <c r="F527" s="306"/>
      <c r="G527" s="308"/>
      <c r="H527" s="233"/>
      <c r="I527" s="301"/>
    </row>
    <row r="528" spans="2:9" s="346" customFormat="1" ht="21" customHeight="1">
      <c r="B528" s="305"/>
      <c r="C528" s="305"/>
      <c r="D528" s="234"/>
      <c r="E528" s="306"/>
      <c r="F528" s="306"/>
      <c r="G528" s="308"/>
      <c r="H528" s="233"/>
      <c r="I528" s="301"/>
    </row>
    <row r="529" spans="2:9" s="346" customFormat="1" ht="21" customHeight="1">
      <c r="B529" s="305"/>
      <c r="C529" s="305"/>
      <c r="D529" s="234"/>
      <c r="E529" s="306"/>
      <c r="F529" s="306"/>
      <c r="G529" s="308"/>
      <c r="H529" s="233"/>
      <c r="I529" s="301"/>
    </row>
    <row r="530" spans="2:9" s="346" customFormat="1" ht="21" customHeight="1">
      <c r="B530" s="305"/>
      <c r="C530" s="305"/>
      <c r="D530" s="234"/>
      <c r="E530" s="306"/>
      <c r="F530" s="306"/>
      <c r="G530" s="308"/>
      <c r="H530" s="233"/>
      <c r="I530" s="301"/>
    </row>
    <row r="531" spans="2:9" s="346" customFormat="1" ht="21" customHeight="1">
      <c r="B531" s="300" t="str">
        <f>'5. 공종별예산조서'!A26</f>
        <v>1-23. 분전반 신설</v>
      </c>
      <c r="C531" s="300" t="str">
        <f>'5. 공종별예산조서'!B26</f>
        <v>L-4-C1  PNL</v>
      </c>
      <c r="D531" s="301" t="str">
        <f>'5. 공종별예산조서'!C26</f>
        <v>면</v>
      </c>
      <c r="E531" s="309">
        <f>'5. 공종별예산조서'!D26</f>
        <v>1</v>
      </c>
      <c r="F531" s="302"/>
      <c r="G531" s="303"/>
      <c r="H531" s="304"/>
      <c r="I531" s="301"/>
    </row>
    <row r="532" spans="2:9" s="346" customFormat="1" ht="21" customHeight="1">
      <c r="B532" s="312" t="s">
        <v>834</v>
      </c>
      <c r="C532" s="305"/>
      <c r="D532" s="234"/>
      <c r="E532" s="310"/>
      <c r="F532" s="306"/>
      <c r="G532" s="232"/>
      <c r="H532" s="233"/>
      <c r="I532" s="301"/>
    </row>
    <row r="533" spans="2:9" s="346" customFormat="1" ht="21" customHeight="1">
      <c r="B533" s="305" t="s">
        <v>1108</v>
      </c>
      <c r="C533" s="305" t="str">
        <f>C531</f>
        <v>L-4-C1  PNL</v>
      </c>
      <c r="D533" s="234" t="str">
        <f>D531</f>
        <v>면</v>
      </c>
      <c r="E533" s="311">
        <f>E531</f>
        <v>1</v>
      </c>
      <c r="F533" s="307"/>
      <c r="G533" s="232"/>
      <c r="H533" s="233"/>
      <c r="I533" s="301"/>
    </row>
    <row r="534" spans="2:9" s="346" customFormat="1" ht="21" customHeight="1">
      <c r="B534" s="305"/>
      <c r="C534" s="305"/>
      <c r="D534" s="234"/>
      <c r="E534" s="311"/>
      <c r="F534" s="307"/>
      <c r="G534" s="232"/>
      <c r="H534" s="233"/>
      <c r="I534" s="301"/>
    </row>
    <row r="535" spans="2:9" s="346" customFormat="1" ht="21" customHeight="1">
      <c r="B535" s="305"/>
      <c r="C535" s="305"/>
      <c r="D535" s="234"/>
      <c r="E535" s="311"/>
      <c r="F535" s="307"/>
      <c r="G535" s="232"/>
      <c r="H535" s="232"/>
      <c r="I535" s="301"/>
    </row>
    <row r="536" spans="2:9" s="346" customFormat="1" ht="21" customHeight="1">
      <c r="B536" s="305"/>
      <c r="C536" s="305"/>
      <c r="D536" s="234"/>
      <c r="E536" s="307"/>
      <c r="F536" s="307"/>
      <c r="G536" s="308"/>
      <c r="H536" s="233"/>
      <c r="I536" s="301"/>
    </row>
    <row r="537" spans="2:9" s="346" customFormat="1" ht="21" customHeight="1">
      <c r="B537" s="305"/>
      <c r="C537" s="305"/>
      <c r="D537" s="234"/>
      <c r="E537" s="307"/>
      <c r="F537" s="307"/>
      <c r="G537" s="308"/>
      <c r="H537" s="233"/>
      <c r="I537" s="301"/>
    </row>
    <row r="538" spans="2:9" s="346" customFormat="1" ht="21" customHeight="1">
      <c r="B538" s="305"/>
      <c r="C538" s="305"/>
      <c r="D538" s="234"/>
      <c r="E538" s="307"/>
      <c r="F538" s="307"/>
      <c r="G538" s="308"/>
      <c r="H538" s="233"/>
      <c r="I538" s="301"/>
    </row>
    <row r="539" spans="2:9" s="346" customFormat="1" ht="21" customHeight="1">
      <c r="B539" s="305"/>
      <c r="C539" s="305"/>
      <c r="D539" s="234"/>
      <c r="E539" s="307"/>
      <c r="F539" s="307"/>
      <c r="G539" s="308"/>
      <c r="H539" s="233"/>
      <c r="I539" s="301"/>
    </row>
    <row r="540" spans="2:9" s="346" customFormat="1" ht="21" customHeight="1">
      <c r="B540" s="312" t="s">
        <v>835</v>
      </c>
      <c r="C540" s="305"/>
      <c r="D540" s="234"/>
      <c r="E540" s="307"/>
      <c r="F540" s="307"/>
      <c r="G540" s="232"/>
      <c r="H540" s="233"/>
      <c r="I540" s="301"/>
    </row>
    <row r="541" spans="2:9" s="346" customFormat="1" ht="21" customHeight="1">
      <c r="B541" s="305"/>
      <c r="C541" s="305" t="s">
        <v>64</v>
      </c>
      <c r="D541" s="234" t="s">
        <v>836</v>
      </c>
      <c r="E541" s="307">
        <v>0.95</v>
      </c>
      <c r="F541" s="307"/>
      <c r="G541" s="232"/>
      <c r="H541" s="233"/>
      <c r="I541" s="301"/>
    </row>
    <row r="542" spans="2:9" s="346" customFormat="1" ht="21" customHeight="1">
      <c r="B542" s="305"/>
      <c r="C542" s="305"/>
      <c r="D542" s="234"/>
      <c r="E542" s="306"/>
      <c r="F542" s="306"/>
      <c r="G542" s="232"/>
      <c r="H542" s="232"/>
      <c r="I542" s="301"/>
    </row>
    <row r="543" spans="2:9" s="346" customFormat="1" ht="21" customHeight="1">
      <c r="B543" s="305"/>
      <c r="C543" s="305"/>
      <c r="D543" s="234"/>
      <c r="E543" s="306"/>
      <c r="F543" s="306"/>
      <c r="G543" s="308"/>
      <c r="H543" s="233"/>
      <c r="I543" s="301"/>
    </row>
    <row r="544" spans="2:9" s="346" customFormat="1" ht="21" customHeight="1">
      <c r="B544" s="305"/>
      <c r="C544" s="305"/>
      <c r="D544" s="234"/>
      <c r="E544" s="306"/>
      <c r="F544" s="306"/>
      <c r="G544" s="308"/>
      <c r="H544" s="233"/>
      <c r="I544" s="301"/>
    </row>
    <row r="545" spans="2:9" s="346" customFormat="1" ht="21" customHeight="1">
      <c r="B545" s="305"/>
      <c r="C545" s="305"/>
      <c r="D545" s="234"/>
      <c r="E545" s="306"/>
      <c r="F545" s="306"/>
      <c r="G545" s="308"/>
      <c r="H545" s="233"/>
      <c r="I545" s="301"/>
    </row>
    <row r="546" spans="2:9" s="346" customFormat="1" ht="21" customHeight="1">
      <c r="B546" s="312" t="s">
        <v>837</v>
      </c>
      <c r="C546" s="305"/>
      <c r="D546" s="234"/>
      <c r="E546" s="307"/>
      <c r="F546" s="307"/>
      <c r="G546" s="232"/>
      <c r="H546" s="233"/>
      <c r="I546" s="301"/>
    </row>
    <row r="547" spans="2:9" s="346" customFormat="1" ht="21" customHeight="1">
      <c r="B547" s="305"/>
      <c r="C547" s="305" t="s">
        <v>64</v>
      </c>
      <c r="D547" s="234" t="s">
        <v>836</v>
      </c>
      <c r="E547" s="307">
        <v>2.9000000000000001E-2</v>
      </c>
      <c r="F547" s="307"/>
      <c r="G547" s="232"/>
      <c r="H547" s="233"/>
      <c r="I547" s="301"/>
    </row>
    <row r="548" spans="2:9" s="346" customFormat="1" ht="21" customHeight="1">
      <c r="B548" s="305"/>
      <c r="C548" s="305"/>
      <c r="D548" s="234"/>
      <c r="E548" s="306"/>
      <c r="F548" s="306"/>
      <c r="G548" s="232"/>
      <c r="H548" s="232"/>
      <c r="I548" s="301"/>
    </row>
    <row r="549" spans="2:9" s="346" customFormat="1" ht="21" customHeight="1">
      <c r="B549" s="305"/>
      <c r="C549" s="305"/>
      <c r="D549" s="234"/>
      <c r="E549" s="306"/>
      <c r="F549" s="306"/>
      <c r="G549" s="308"/>
      <c r="H549" s="233"/>
      <c r="I549" s="301"/>
    </row>
    <row r="550" spans="2:9" s="346" customFormat="1" ht="21" customHeight="1">
      <c r="B550" s="305"/>
      <c r="C550" s="305"/>
      <c r="D550" s="234"/>
      <c r="E550" s="306"/>
      <c r="F550" s="306"/>
      <c r="G550" s="308"/>
      <c r="H550" s="233"/>
      <c r="I550" s="301"/>
    </row>
    <row r="551" spans="2:9" s="346" customFormat="1" ht="21" customHeight="1">
      <c r="B551" s="305"/>
      <c r="C551" s="305"/>
      <c r="D551" s="234"/>
      <c r="E551" s="306"/>
      <c r="F551" s="306"/>
      <c r="G551" s="308"/>
      <c r="H551" s="233"/>
      <c r="I551" s="301"/>
    </row>
    <row r="552" spans="2:9" s="346" customFormat="1" ht="21" customHeight="1">
      <c r="B552" s="305"/>
      <c r="C552" s="305"/>
      <c r="D552" s="234"/>
      <c r="E552" s="306"/>
      <c r="F552" s="306"/>
      <c r="G552" s="308"/>
      <c r="H552" s="233"/>
      <c r="I552" s="301"/>
    </row>
    <row r="553" spans="2:9" s="346" customFormat="1" ht="21" customHeight="1">
      <c r="B553" s="305"/>
      <c r="C553" s="305"/>
      <c r="D553" s="234"/>
      <c r="E553" s="306"/>
      <c r="F553" s="306"/>
      <c r="G553" s="308"/>
      <c r="H553" s="233"/>
      <c r="I553" s="301"/>
    </row>
    <row r="554" spans="2:9" s="346" customFormat="1" ht="21" customHeight="1">
      <c r="B554" s="305"/>
      <c r="C554" s="305"/>
      <c r="D554" s="234"/>
      <c r="E554" s="306"/>
      <c r="F554" s="306"/>
      <c r="G554" s="308"/>
      <c r="H554" s="233"/>
      <c r="I554" s="301"/>
    </row>
    <row r="555" spans="2:9" s="346" customFormat="1" ht="21" customHeight="1">
      <c r="B555" s="300" t="str">
        <f>'5. 공종별예산조서'!A27</f>
        <v>1-24. 풀박스 설치</v>
      </c>
      <c r="C555" s="300" t="str">
        <f>'5. 공종별예산조서'!B27</f>
        <v>100*100*100</v>
      </c>
      <c r="D555" s="301" t="str">
        <f>'5. 공종별예산조서'!C27</f>
        <v>개</v>
      </c>
      <c r="E555" s="309">
        <f>'5. 공종별예산조서'!D27</f>
        <v>1</v>
      </c>
      <c r="F555" s="302"/>
      <c r="G555" s="303"/>
      <c r="H555" s="304"/>
      <c r="I555" s="301"/>
    </row>
    <row r="556" spans="2:9" s="346" customFormat="1" ht="21" customHeight="1">
      <c r="B556" s="312" t="s">
        <v>834</v>
      </c>
      <c r="C556" s="305"/>
      <c r="D556" s="234"/>
      <c r="E556" s="310"/>
      <c r="F556" s="306"/>
      <c r="G556" s="232"/>
      <c r="H556" s="233"/>
      <c r="I556" s="301"/>
    </row>
    <row r="557" spans="2:9" s="346" customFormat="1" ht="21" customHeight="1">
      <c r="B557" s="305" t="s">
        <v>1091</v>
      </c>
      <c r="C557" s="305" t="str">
        <f>C555</f>
        <v>100*100*100</v>
      </c>
      <c r="D557" s="234" t="str">
        <f>D555</f>
        <v>개</v>
      </c>
      <c r="E557" s="311">
        <f>E555</f>
        <v>1</v>
      </c>
      <c r="F557" s="307"/>
      <c r="G557" s="232"/>
      <c r="H557" s="233"/>
      <c r="I557" s="301"/>
    </row>
    <row r="558" spans="2:9" s="346" customFormat="1" ht="21" customHeight="1">
      <c r="B558" s="305"/>
      <c r="C558" s="305"/>
      <c r="D558" s="234"/>
      <c r="E558" s="311"/>
      <c r="F558" s="307"/>
      <c r="G558" s="232"/>
      <c r="H558" s="233"/>
      <c r="I558" s="301"/>
    </row>
    <row r="559" spans="2:9" s="346" customFormat="1" ht="21" customHeight="1">
      <c r="B559" s="305"/>
      <c r="C559" s="305"/>
      <c r="D559" s="234"/>
      <c r="E559" s="311"/>
      <c r="F559" s="307"/>
      <c r="G559" s="232"/>
      <c r="H559" s="232"/>
      <c r="I559" s="301"/>
    </row>
    <row r="560" spans="2:9" s="346" customFormat="1" ht="21" customHeight="1">
      <c r="B560" s="305"/>
      <c r="C560" s="305"/>
      <c r="D560" s="234"/>
      <c r="E560" s="307"/>
      <c r="F560" s="307"/>
      <c r="G560" s="308"/>
      <c r="H560" s="233"/>
      <c r="I560" s="301"/>
    </row>
    <row r="561" spans="2:9" s="346" customFormat="1" ht="21" customHeight="1">
      <c r="B561" s="305"/>
      <c r="C561" s="305"/>
      <c r="D561" s="234"/>
      <c r="E561" s="307"/>
      <c r="F561" s="307"/>
      <c r="G561" s="308"/>
      <c r="H561" s="233"/>
      <c r="I561" s="301"/>
    </row>
    <row r="562" spans="2:9" s="346" customFormat="1" ht="21" customHeight="1">
      <c r="B562" s="305"/>
      <c r="C562" s="305"/>
      <c r="D562" s="234"/>
      <c r="E562" s="307"/>
      <c r="F562" s="307"/>
      <c r="G562" s="308"/>
      <c r="H562" s="233"/>
      <c r="I562" s="301"/>
    </row>
    <row r="563" spans="2:9" s="346" customFormat="1" ht="21" customHeight="1">
      <c r="B563" s="305"/>
      <c r="C563" s="305"/>
      <c r="D563" s="234"/>
      <c r="E563" s="307"/>
      <c r="F563" s="307"/>
      <c r="G563" s="308"/>
      <c r="H563" s="233"/>
      <c r="I563" s="301"/>
    </row>
    <row r="564" spans="2:9" s="346" customFormat="1" ht="21" customHeight="1">
      <c r="B564" s="312" t="s">
        <v>835</v>
      </c>
      <c r="C564" s="305"/>
      <c r="D564" s="234"/>
      <c r="E564" s="307"/>
      <c r="F564" s="307"/>
      <c r="G564" s="232"/>
      <c r="H564" s="233"/>
      <c r="I564" s="301"/>
    </row>
    <row r="565" spans="2:9" s="346" customFormat="1" ht="21" customHeight="1">
      <c r="B565" s="305"/>
      <c r="C565" s="305" t="s">
        <v>64</v>
      </c>
      <c r="D565" s="234" t="s">
        <v>836</v>
      </c>
      <c r="E565" s="307">
        <v>3.5999999999999997E-2</v>
      </c>
      <c r="F565" s="307"/>
      <c r="G565" s="232"/>
      <c r="H565" s="233"/>
      <c r="I565" s="301"/>
    </row>
    <row r="566" spans="2:9" s="346" customFormat="1" ht="21" customHeight="1">
      <c r="B566" s="305"/>
      <c r="C566" s="305"/>
      <c r="D566" s="234"/>
      <c r="E566" s="306"/>
      <c r="F566" s="306"/>
      <c r="G566" s="232"/>
      <c r="H566" s="232"/>
      <c r="I566" s="301"/>
    </row>
    <row r="567" spans="2:9" s="346" customFormat="1" ht="21" customHeight="1">
      <c r="B567" s="305"/>
      <c r="C567" s="305"/>
      <c r="D567" s="234"/>
      <c r="E567" s="306"/>
      <c r="F567" s="306"/>
      <c r="G567" s="308"/>
      <c r="H567" s="233"/>
      <c r="I567" s="301"/>
    </row>
    <row r="568" spans="2:9" s="346" customFormat="1" ht="21" customHeight="1">
      <c r="B568" s="305"/>
      <c r="C568" s="305"/>
      <c r="D568" s="234"/>
      <c r="E568" s="306"/>
      <c r="F568" s="306"/>
      <c r="G568" s="308"/>
      <c r="H568" s="233"/>
      <c r="I568" s="301"/>
    </row>
    <row r="569" spans="2:9" s="346" customFormat="1" ht="21" customHeight="1">
      <c r="B569" s="305"/>
      <c r="C569" s="305"/>
      <c r="D569" s="234"/>
      <c r="E569" s="306"/>
      <c r="F569" s="306"/>
      <c r="G569" s="308"/>
      <c r="H569" s="233"/>
      <c r="I569" s="301"/>
    </row>
    <row r="570" spans="2:9" s="346" customFormat="1" ht="21" customHeight="1">
      <c r="B570" s="312" t="s">
        <v>837</v>
      </c>
      <c r="C570" s="305"/>
      <c r="D570" s="234"/>
      <c r="E570" s="307"/>
      <c r="F570" s="307"/>
      <c r="G570" s="232"/>
      <c r="H570" s="233"/>
      <c r="I570" s="301"/>
    </row>
    <row r="571" spans="2:9" s="346" customFormat="1" ht="21" customHeight="1">
      <c r="B571" s="305"/>
      <c r="C571" s="305" t="s">
        <v>64</v>
      </c>
      <c r="D571" s="234" t="s">
        <v>836</v>
      </c>
      <c r="E571" s="307">
        <v>1E-3</v>
      </c>
      <c r="F571" s="307"/>
      <c r="G571" s="232"/>
      <c r="H571" s="233"/>
      <c r="I571" s="301"/>
    </row>
    <row r="572" spans="2:9" s="346" customFormat="1" ht="21" customHeight="1">
      <c r="B572" s="305"/>
      <c r="C572" s="305"/>
      <c r="D572" s="234"/>
      <c r="E572" s="306"/>
      <c r="F572" s="306"/>
      <c r="G572" s="232"/>
      <c r="H572" s="232"/>
      <c r="I572" s="301"/>
    </row>
    <row r="573" spans="2:9" s="346" customFormat="1" ht="21" customHeight="1">
      <c r="B573" s="305"/>
      <c r="C573" s="305"/>
      <c r="D573" s="234"/>
      <c r="E573" s="306"/>
      <c r="F573" s="306"/>
      <c r="G573" s="308"/>
      <c r="H573" s="233"/>
      <c r="I573" s="301"/>
    </row>
    <row r="574" spans="2:9" s="346" customFormat="1" ht="21" customHeight="1">
      <c r="B574" s="305"/>
      <c r="C574" s="305"/>
      <c r="D574" s="234"/>
      <c r="E574" s="306"/>
      <c r="F574" s="306"/>
      <c r="G574" s="308"/>
      <c r="H574" s="233"/>
      <c r="I574" s="301"/>
    </row>
    <row r="575" spans="2:9" s="346" customFormat="1" ht="21" customHeight="1">
      <c r="B575" s="305"/>
      <c r="C575" s="305"/>
      <c r="D575" s="234"/>
      <c r="E575" s="306"/>
      <c r="F575" s="306"/>
      <c r="G575" s="308"/>
      <c r="H575" s="233"/>
      <c r="I575" s="301"/>
    </row>
    <row r="576" spans="2:9" s="346" customFormat="1" ht="21" customHeight="1">
      <c r="B576" s="305"/>
      <c r="C576" s="305"/>
      <c r="D576" s="234"/>
      <c r="E576" s="306"/>
      <c r="F576" s="306"/>
      <c r="G576" s="308"/>
      <c r="H576" s="233"/>
      <c r="I576" s="301"/>
    </row>
    <row r="577" spans="2:9" s="346" customFormat="1" ht="21" customHeight="1">
      <c r="B577" s="305"/>
      <c r="C577" s="305"/>
      <c r="D577" s="234"/>
      <c r="E577" s="306"/>
      <c r="F577" s="306"/>
      <c r="G577" s="308"/>
      <c r="H577" s="233"/>
      <c r="I577" s="301"/>
    </row>
    <row r="578" spans="2:9" s="346" customFormat="1" ht="21" customHeight="1">
      <c r="B578" s="305"/>
      <c r="C578" s="305"/>
      <c r="D578" s="234"/>
      <c r="E578" s="306"/>
      <c r="F578" s="306"/>
      <c r="G578" s="308"/>
      <c r="H578" s="233"/>
      <c r="I578" s="301"/>
    </row>
    <row r="579" spans="2:9" s="346" customFormat="1" ht="21" customHeight="1">
      <c r="B579" s="300" t="str">
        <f>'5. 공종별예산조서'!A28</f>
        <v>1-25. 풀박스 설치</v>
      </c>
      <c r="C579" s="300" t="str">
        <f>'5. 공종별예산조서'!B28</f>
        <v>200*200*100</v>
      </c>
      <c r="D579" s="301" t="str">
        <f>'5. 공종별예산조서'!C28</f>
        <v>개</v>
      </c>
      <c r="E579" s="309">
        <f>'5. 공종별예산조서'!D28</f>
        <v>3</v>
      </c>
      <c r="F579" s="302"/>
      <c r="G579" s="303"/>
      <c r="H579" s="304"/>
      <c r="I579" s="301"/>
    </row>
    <row r="580" spans="2:9" s="346" customFormat="1" ht="21" customHeight="1">
      <c r="B580" s="312" t="s">
        <v>834</v>
      </c>
      <c r="C580" s="305"/>
      <c r="D580" s="234"/>
      <c r="E580" s="310"/>
      <c r="F580" s="306"/>
      <c r="G580" s="232"/>
      <c r="H580" s="233"/>
      <c r="I580" s="301"/>
    </row>
    <row r="581" spans="2:9" s="346" customFormat="1" ht="21" customHeight="1">
      <c r="B581" s="305" t="s">
        <v>1091</v>
      </c>
      <c r="C581" s="305" t="str">
        <f>C579</f>
        <v>200*200*100</v>
      </c>
      <c r="D581" s="234" t="str">
        <f>D579</f>
        <v>개</v>
      </c>
      <c r="E581" s="311">
        <f>E579</f>
        <v>3</v>
      </c>
      <c r="F581" s="307"/>
      <c r="G581" s="232"/>
      <c r="H581" s="233"/>
      <c r="I581" s="301"/>
    </row>
    <row r="582" spans="2:9" s="346" customFormat="1" ht="21" customHeight="1">
      <c r="B582" s="305"/>
      <c r="C582" s="305"/>
      <c r="D582" s="234"/>
      <c r="E582" s="311"/>
      <c r="F582" s="307"/>
      <c r="G582" s="232"/>
      <c r="H582" s="233"/>
      <c r="I582" s="301"/>
    </row>
    <row r="583" spans="2:9" s="346" customFormat="1" ht="21" customHeight="1">
      <c r="B583" s="305"/>
      <c r="C583" s="305"/>
      <c r="D583" s="234"/>
      <c r="E583" s="311"/>
      <c r="F583" s="307"/>
      <c r="G583" s="232"/>
      <c r="H583" s="232"/>
      <c r="I583" s="301"/>
    </row>
    <row r="584" spans="2:9" s="346" customFormat="1" ht="21" customHeight="1">
      <c r="B584" s="305"/>
      <c r="C584" s="305"/>
      <c r="D584" s="234"/>
      <c r="E584" s="307"/>
      <c r="F584" s="307"/>
      <c r="G584" s="308"/>
      <c r="H584" s="233"/>
      <c r="I584" s="301"/>
    </row>
    <row r="585" spans="2:9" s="346" customFormat="1" ht="21" customHeight="1">
      <c r="B585" s="305"/>
      <c r="C585" s="305"/>
      <c r="D585" s="234"/>
      <c r="E585" s="307"/>
      <c r="F585" s="307"/>
      <c r="G585" s="308"/>
      <c r="H585" s="233"/>
      <c r="I585" s="301"/>
    </row>
    <row r="586" spans="2:9" s="346" customFormat="1" ht="21" customHeight="1">
      <c r="B586" s="305"/>
      <c r="C586" s="305"/>
      <c r="D586" s="234"/>
      <c r="E586" s="307"/>
      <c r="F586" s="307"/>
      <c r="G586" s="308"/>
      <c r="H586" s="233"/>
      <c r="I586" s="301"/>
    </row>
    <row r="587" spans="2:9" s="346" customFormat="1" ht="21" customHeight="1">
      <c r="B587" s="305"/>
      <c r="C587" s="305"/>
      <c r="D587" s="234"/>
      <c r="E587" s="307"/>
      <c r="F587" s="307"/>
      <c r="G587" s="308"/>
      <c r="H587" s="233"/>
      <c r="I587" s="301"/>
    </row>
    <row r="588" spans="2:9" s="346" customFormat="1" ht="21" customHeight="1">
      <c r="B588" s="312" t="s">
        <v>835</v>
      </c>
      <c r="C588" s="305"/>
      <c r="D588" s="234"/>
      <c r="E588" s="307"/>
      <c r="F588" s="307"/>
      <c r="G588" s="232"/>
      <c r="H588" s="233"/>
      <c r="I588" s="301"/>
    </row>
    <row r="589" spans="2:9" s="346" customFormat="1" ht="21" customHeight="1">
      <c r="B589" s="305"/>
      <c r="C589" s="305" t="s">
        <v>64</v>
      </c>
      <c r="D589" s="234" t="s">
        <v>836</v>
      </c>
      <c r="E589" s="307">
        <v>0.59399999999999997</v>
      </c>
      <c r="F589" s="307"/>
      <c r="G589" s="232"/>
      <c r="H589" s="233"/>
      <c r="I589" s="301"/>
    </row>
    <row r="590" spans="2:9" s="346" customFormat="1" ht="21" customHeight="1">
      <c r="B590" s="305"/>
      <c r="C590" s="305"/>
      <c r="D590" s="234"/>
      <c r="E590" s="306"/>
      <c r="F590" s="306"/>
      <c r="G590" s="232"/>
      <c r="H590" s="232"/>
      <c r="I590" s="301"/>
    </row>
    <row r="591" spans="2:9" s="346" customFormat="1" ht="21" customHeight="1">
      <c r="B591" s="305"/>
      <c r="C591" s="305"/>
      <c r="D591" s="234"/>
      <c r="E591" s="306"/>
      <c r="F591" s="306"/>
      <c r="G591" s="308"/>
      <c r="H591" s="233"/>
      <c r="I591" s="301"/>
    </row>
    <row r="592" spans="2:9" s="346" customFormat="1" ht="21" customHeight="1">
      <c r="B592" s="305"/>
      <c r="C592" s="305"/>
      <c r="D592" s="234"/>
      <c r="E592" s="306"/>
      <c r="F592" s="306"/>
      <c r="G592" s="308"/>
      <c r="H592" s="233"/>
      <c r="I592" s="301"/>
    </row>
    <row r="593" spans="2:9" s="346" customFormat="1" ht="21" customHeight="1">
      <c r="B593" s="305"/>
      <c r="C593" s="305"/>
      <c r="D593" s="234"/>
      <c r="E593" s="306"/>
      <c r="F593" s="306"/>
      <c r="G593" s="308"/>
      <c r="H593" s="233"/>
      <c r="I593" s="301"/>
    </row>
    <row r="594" spans="2:9" s="346" customFormat="1" ht="21" customHeight="1">
      <c r="B594" s="312" t="s">
        <v>837</v>
      </c>
      <c r="C594" s="305"/>
      <c r="D594" s="234"/>
      <c r="E594" s="307"/>
      <c r="F594" s="307"/>
      <c r="G594" s="232"/>
      <c r="H594" s="233"/>
      <c r="I594" s="301"/>
    </row>
    <row r="595" spans="2:9" s="346" customFormat="1" ht="21" customHeight="1">
      <c r="B595" s="305"/>
      <c r="C595" s="305" t="s">
        <v>64</v>
      </c>
      <c r="D595" s="234" t="s">
        <v>836</v>
      </c>
      <c r="E595" s="307">
        <v>1.7999999999999999E-2</v>
      </c>
      <c r="F595" s="307"/>
      <c r="G595" s="232"/>
      <c r="H595" s="233"/>
      <c r="I595" s="301"/>
    </row>
    <row r="596" spans="2:9" s="346" customFormat="1" ht="21" customHeight="1">
      <c r="B596" s="305"/>
      <c r="C596" s="305"/>
      <c r="D596" s="234"/>
      <c r="E596" s="306"/>
      <c r="F596" s="306"/>
      <c r="G596" s="232"/>
      <c r="H596" s="232"/>
      <c r="I596" s="301"/>
    </row>
    <row r="597" spans="2:9" s="346" customFormat="1" ht="21" customHeight="1">
      <c r="B597" s="305"/>
      <c r="C597" s="305"/>
      <c r="D597" s="234"/>
      <c r="E597" s="306"/>
      <c r="F597" s="306"/>
      <c r="G597" s="308"/>
      <c r="H597" s="233"/>
      <c r="I597" s="301"/>
    </row>
    <row r="598" spans="2:9" s="346" customFormat="1" ht="21" customHeight="1">
      <c r="B598" s="305"/>
      <c r="C598" s="305"/>
      <c r="D598" s="234"/>
      <c r="E598" s="306"/>
      <c r="F598" s="306"/>
      <c r="G598" s="308"/>
      <c r="H598" s="233"/>
      <c r="I598" s="301"/>
    </row>
    <row r="599" spans="2:9" s="346" customFormat="1" ht="21" customHeight="1">
      <c r="B599" s="305"/>
      <c r="C599" s="305"/>
      <c r="D599" s="234"/>
      <c r="E599" s="306"/>
      <c r="F599" s="306"/>
      <c r="G599" s="308"/>
      <c r="H599" s="233"/>
      <c r="I599" s="301"/>
    </row>
    <row r="600" spans="2:9" s="346" customFormat="1" ht="21" customHeight="1">
      <c r="B600" s="305"/>
      <c r="C600" s="305"/>
      <c r="D600" s="234"/>
      <c r="E600" s="306"/>
      <c r="F600" s="306"/>
      <c r="G600" s="308"/>
      <c r="H600" s="233"/>
      <c r="I600" s="301"/>
    </row>
    <row r="601" spans="2:9" s="346" customFormat="1" ht="21" customHeight="1">
      <c r="B601" s="305"/>
      <c r="C601" s="305"/>
      <c r="D601" s="234"/>
      <c r="E601" s="306"/>
      <c r="F601" s="306"/>
      <c r="G601" s="308"/>
      <c r="H601" s="233"/>
      <c r="I601" s="301"/>
    </row>
    <row r="602" spans="2:9" s="346" customFormat="1" ht="21" customHeight="1">
      <c r="B602" s="305"/>
      <c r="C602" s="305"/>
      <c r="D602" s="234"/>
      <c r="E602" s="306"/>
      <c r="F602" s="306"/>
      <c r="G602" s="308"/>
      <c r="H602" s="233"/>
      <c r="I602" s="301"/>
    </row>
    <row r="603" spans="2:9" s="346" customFormat="1" ht="21" customHeight="1">
      <c r="B603" s="300" t="str">
        <f>'5. 공종별예산조서'!A29</f>
        <v>1-26. 코어 구멍뚫기</v>
      </c>
      <c r="C603" s="300" t="str">
        <f>'5. 공종별예산조서'!B29</f>
        <v>75Φ</v>
      </c>
      <c r="D603" s="301" t="str">
        <f>'5. 공종별예산조서'!C29</f>
        <v>개소</v>
      </c>
      <c r="E603" s="309">
        <f>'5. 공종별예산조서'!D29</f>
        <v>1</v>
      </c>
      <c r="F603" s="302"/>
      <c r="G603" s="303"/>
      <c r="H603" s="304"/>
      <c r="I603" s="301"/>
    </row>
    <row r="604" spans="2:9" s="346" customFormat="1" ht="21" customHeight="1">
      <c r="B604" s="312" t="s">
        <v>834</v>
      </c>
      <c r="C604" s="305"/>
      <c r="D604" s="234"/>
      <c r="E604" s="310"/>
      <c r="F604" s="306"/>
      <c r="G604" s="232"/>
      <c r="H604" s="233"/>
      <c r="I604" s="301"/>
    </row>
    <row r="605" spans="2:9" s="346" customFormat="1" ht="21" customHeight="1">
      <c r="B605" s="305" t="s">
        <v>1092</v>
      </c>
      <c r="C605" s="305" t="str">
        <f>C603</f>
        <v>75Φ</v>
      </c>
      <c r="D605" s="234" t="str">
        <f>D603</f>
        <v>개소</v>
      </c>
      <c r="E605" s="311">
        <f>E603</f>
        <v>1</v>
      </c>
      <c r="F605" s="307"/>
      <c r="G605" s="232"/>
      <c r="H605" s="233"/>
      <c r="I605" s="301"/>
    </row>
    <row r="606" spans="2:9" s="346" customFormat="1" ht="21" customHeight="1">
      <c r="B606" s="305"/>
      <c r="C606" s="305"/>
      <c r="D606" s="234"/>
      <c r="E606" s="311"/>
      <c r="F606" s="307"/>
      <c r="G606" s="232"/>
      <c r="H606" s="233"/>
      <c r="I606" s="301"/>
    </row>
    <row r="607" spans="2:9" s="346" customFormat="1" ht="21" customHeight="1">
      <c r="B607" s="305"/>
      <c r="C607" s="305"/>
      <c r="D607" s="234"/>
      <c r="E607" s="311"/>
      <c r="F607" s="307"/>
      <c r="G607" s="232"/>
      <c r="H607" s="232"/>
      <c r="I607" s="301"/>
    </row>
    <row r="608" spans="2:9" s="346" customFormat="1" ht="21" customHeight="1">
      <c r="B608" s="305"/>
      <c r="C608" s="305"/>
      <c r="D608" s="234"/>
      <c r="E608" s="307"/>
      <c r="F608" s="307"/>
      <c r="G608" s="308"/>
      <c r="H608" s="233"/>
      <c r="I608" s="301"/>
    </row>
    <row r="609" spans="2:9" s="346" customFormat="1" ht="21" customHeight="1">
      <c r="B609" s="305"/>
      <c r="C609" s="305"/>
      <c r="D609" s="234"/>
      <c r="E609" s="307"/>
      <c r="F609" s="307"/>
      <c r="G609" s="308"/>
      <c r="H609" s="233"/>
      <c r="I609" s="301"/>
    </row>
    <row r="610" spans="2:9" s="346" customFormat="1" ht="21" customHeight="1">
      <c r="B610" s="305"/>
      <c r="C610" s="305"/>
      <c r="D610" s="234"/>
      <c r="E610" s="307"/>
      <c r="F610" s="307"/>
      <c r="G610" s="308"/>
      <c r="H610" s="233"/>
      <c r="I610" s="301"/>
    </row>
    <row r="611" spans="2:9" s="346" customFormat="1" ht="21" customHeight="1">
      <c r="B611" s="305"/>
      <c r="C611" s="305"/>
      <c r="D611" s="234"/>
      <c r="E611" s="307"/>
      <c r="F611" s="307"/>
      <c r="G611" s="308"/>
      <c r="H611" s="233"/>
      <c r="I611" s="301"/>
    </row>
    <row r="612" spans="2:9" s="346" customFormat="1" ht="21" customHeight="1">
      <c r="B612" s="312" t="s">
        <v>835</v>
      </c>
      <c r="C612" s="305"/>
      <c r="D612" s="234"/>
      <c r="E612" s="307"/>
      <c r="F612" s="307"/>
      <c r="G612" s="232"/>
      <c r="H612" s="233"/>
      <c r="I612" s="301"/>
    </row>
    <row r="613" spans="2:9" s="346" customFormat="1" ht="21" customHeight="1">
      <c r="B613" s="305"/>
      <c r="C613" s="305" t="s">
        <v>1093</v>
      </c>
      <c r="D613" s="234" t="s">
        <v>836</v>
      </c>
      <c r="E613" s="307">
        <v>0.23</v>
      </c>
      <c r="F613" s="307"/>
      <c r="G613" s="232"/>
      <c r="H613" s="233"/>
      <c r="I613" s="301"/>
    </row>
    <row r="614" spans="2:9" s="346" customFormat="1" ht="21" customHeight="1">
      <c r="B614" s="305"/>
      <c r="C614" s="305"/>
      <c r="D614" s="234"/>
      <c r="E614" s="306"/>
      <c r="F614" s="306"/>
      <c r="G614" s="232"/>
      <c r="H614" s="232"/>
      <c r="I614" s="301"/>
    </row>
    <row r="615" spans="2:9" s="346" customFormat="1" ht="21" customHeight="1">
      <c r="B615" s="305"/>
      <c r="C615" s="305"/>
      <c r="D615" s="234"/>
      <c r="E615" s="306"/>
      <c r="F615" s="306"/>
      <c r="G615" s="308"/>
      <c r="H615" s="233"/>
      <c r="I615" s="301"/>
    </row>
    <row r="616" spans="2:9" s="346" customFormat="1" ht="21" customHeight="1">
      <c r="B616" s="305"/>
      <c r="C616" s="305"/>
      <c r="D616" s="234"/>
      <c r="E616" s="306"/>
      <c r="F616" s="306"/>
      <c r="G616" s="308"/>
      <c r="H616" s="233"/>
      <c r="I616" s="301"/>
    </row>
    <row r="617" spans="2:9" s="346" customFormat="1" ht="21" customHeight="1">
      <c r="B617" s="305"/>
      <c r="C617" s="305"/>
      <c r="D617" s="234"/>
      <c r="E617" s="306"/>
      <c r="F617" s="306"/>
      <c r="G617" s="308"/>
      <c r="H617" s="233"/>
      <c r="I617" s="301"/>
    </row>
    <row r="618" spans="2:9" s="346" customFormat="1" ht="21" customHeight="1">
      <c r="B618" s="312" t="s">
        <v>837</v>
      </c>
      <c r="C618" s="305"/>
      <c r="D618" s="234"/>
      <c r="E618" s="307"/>
      <c r="F618" s="307"/>
      <c r="G618" s="232"/>
      <c r="H618" s="233"/>
      <c r="I618" s="301"/>
    </row>
    <row r="619" spans="2:9" s="346" customFormat="1" ht="21" customHeight="1">
      <c r="B619" s="305"/>
      <c r="C619" s="305" t="s">
        <v>1093</v>
      </c>
      <c r="D619" s="234" t="s">
        <v>836</v>
      </c>
      <c r="E619" s="307">
        <v>7.0000000000000001E-3</v>
      </c>
      <c r="F619" s="307"/>
      <c r="G619" s="232"/>
      <c r="H619" s="233"/>
      <c r="I619" s="301"/>
    </row>
    <row r="620" spans="2:9" s="346" customFormat="1" ht="21" customHeight="1">
      <c r="B620" s="305"/>
      <c r="C620" s="305"/>
      <c r="D620" s="234"/>
      <c r="E620" s="306"/>
      <c r="F620" s="306"/>
      <c r="G620" s="232"/>
      <c r="H620" s="232"/>
      <c r="I620" s="301"/>
    </row>
    <row r="621" spans="2:9" s="346" customFormat="1" ht="21" customHeight="1">
      <c r="B621" s="305"/>
      <c r="C621" s="305"/>
      <c r="D621" s="234"/>
      <c r="E621" s="306"/>
      <c r="F621" s="306"/>
      <c r="G621" s="308"/>
      <c r="H621" s="233"/>
      <c r="I621" s="301"/>
    </row>
    <row r="622" spans="2:9" s="346" customFormat="1" ht="21" customHeight="1">
      <c r="B622" s="305"/>
      <c r="C622" s="305"/>
      <c r="D622" s="234"/>
      <c r="E622" s="306"/>
      <c r="F622" s="306"/>
      <c r="G622" s="308"/>
      <c r="H622" s="233"/>
      <c r="I622" s="301"/>
    </row>
    <row r="623" spans="2:9" s="346" customFormat="1" ht="21" customHeight="1">
      <c r="B623" s="305"/>
      <c r="C623" s="305"/>
      <c r="D623" s="234"/>
      <c r="E623" s="306"/>
      <c r="F623" s="306"/>
      <c r="G623" s="308"/>
      <c r="H623" s="233"/>
      <c r="I623" s="301"/>
    </row>
    <row r="624" spans="2:9" s="346" customFormat="1" ht="21" customHeight="1">
      <c r="B624" s="305"/>
      <c r="C624" s="305"/>
      <c r="D624" s="234"/>
      <c r="E624" s="306"/>
      <c r="F624" s="306"/>
      <c r="G624" s="308"/>
      <c r="H624" s="233"/>
      <c r="I624" s="301"/>
    </row>
    <row r="625" spans="2:9" s="346" customFormat="1" ht="21" customHeight="1">
      <c r="B625" s="305"/>
      <c r="C625" s="305"/>
      <c r="D625" s="234"/>
      <c r="E625" s="306"/>
      <c r="F625" s="306"/>
      <c r="G625" s="308"/>
      <c r="H625" s="233"/>
      <c r="I625" s="301"/>
    </row>
    <row r="626" spans="2:9" s="346" customFormat="1" ht="21" customHeight="1">
      <c r="B626" s="305"/>
      <c r="C626" s="305"/>
      <c r="D626" s="234"/>
      <c r="E626" s="306"/>
      <c r="F626" s="306"/>
      <c r="G626" s="308"/>
      <c r="H626" s="233"/>
      <c r="I626" s="301"/>
    </row>
    <row r="627" spans="2:9" s="346" customFormat="1" ht="21" customHeight="1">
      <c r="B627" s="300" t="str">
        <f>'5. 공종별예산조서'!A30</f>
        <v>1-27. 전선관 천장지지</v>
      </c>
      <c r="C627" s="300" t="str">
        <f>'5. 공종별예산조서'!B30</f>
        <v>ST 54C</v>
      </c>
      <c r="D627" s="301" t="str">
        <f>'5. 공종별예산조서'!C30</f>
        <v>개소</v>
      </c>
      <c r="E627" s="309">
        <f>'5. 공종별예산조서'!D30</f>
        <v>22.6666666666667</v>
      </c>
      <c r="F627" s="302"/>
      <c r="G627" s="303"/>
      <c r="H627" s="304"/>
      <c r="I627" s="301"/>
    </row>
    <row r="628" spans="2:9" s="346" customFormat="1" ht="21" customHeight="1">
      <c r="B628" s="312" t="s">
        <v>834</v>
      </c>
      <c r="C628" s="305"/>
      <c r="D628" s="234"/>
      <c r="E628" s="310"/>
      <c r="F628" s="306"/>
      <c r="G628" s="232"/>
      <c r="H628" s="233"/>
      <c r="I628" s="301"/>
    </row>
    <row r="629" spans="2:9" s="346" customFormat="1" ht="21" customHeight="1">
      <c r="B629" s="305" t="s">
        <v>1094</v>
      </c>
      <c r="C629" s="305" t="str">
        <f>C627</f>
        <v>ST 54C</v>
      </c>
      <c r="D629" s="234" t="str">
        <f>D627</f>
        <v>개소</v>
      </c>
      <c r="E629" s="311">
        <f>E627</f>
        <v>22.6666666666667</v>
      </c>
      <c r="F629" s="307"/>
      <c r="G629" s="232"/>
      <c r="H629" s="233"/>
      <c r="I629" s="301"/>
    </row>
    <row r="630" spans="2:9" s="346" customFormat="1" ht="21" customHeight="1">
      <c r="B630" s="305" t="s">
        <v>1095</v>
      </c>
      <c r="C630" s="305" t="s">
        <v>1100</v>
      </c>
      <c r="D630" s="234" t="s">
        <v>1104</v>
      </c>
      <c r="E630" s="311">
        <v>23</v>
      </c>
      <c r="F630" s="307"/>
      <c r="G630" s="232"/>
      <c r="H630" s="233"/>
      <c r="I630" s="301"/>
    </row>
    <row r="631" spans="2:9" s="346" customFormat="1" ht="21" customHeight="1">
      <c r="B631" s="305" t="s">
        <v>1096</v>
      </c>
      <c r="C631" s="305" t="s">
        <v>1101</v>
      </c>
      <c r="D631" s="234" t="s">
        <v>1104</v>
      </c>
      <c r="E631" s="311">
        <v>23</v>
      </c>
      <c r="F631" s="307"/>
      <c r="G631" s="232"/>
      <c r="H631" s="232"/>
      <c r="I631" s="301"/>
    </row>
    <row r="632" spans="2:9" s="346" customFormat="1" ht="21" customHeight="1">
      <c r="B632" s="305" t="s">
        <v>1097</v>
      </c>
      <c r="C632" s="305" t="s">
        <v>1102</v>
      </c>
      <c r="D632" s="234" t="s">
        <v>1104</v>
      </c>
      <c r="E632" s="311">
        <v>23</v>
      </c>
      <c r="F632" s="307"/>
      <c r="G632" s="308"/>
      <c r="H632" s="233"/>
      <c r="I632" s="301"/>
    </row>
    <row r="633" spans="2:9" s="346" customFormat="1" ht="21" customHeight="1">
      <c r="B633" s="305" t="s">
        <v>1098</v>
      </c>
      <c r="C633" s="305" t="s">
        <v>1103</v>
      </c>
      <c r="D633" s="234" t="s">
        <v>1104</v>
      </c>
      <c r="E633" s="311">
        <v>23</v>
      </c>
      <c r="F633" s="307"/>
      <c r="G633" s="308"/>
      <c r="H633" s="233"/>
      <c r="I633" s="301"/>
    </row>
    <row r="634" spans="2:9" s="346" customFormat="1" ht="21" customHeight="1">
      <c r="B634" s="305"/>
      <c r="C634" s="305"/>
      <c r="D634" s="234"/>
      <c r="E634" s="307"/>
      <c r="F634" s="307"/>
      <c r="G634" s="308"/>
      <c r="H634" s="233"/>
      <c r="I634" s="301"/>
    </row>
    <row r="635" spans="2:9" s="346" customFormat="1" ht="21" customHeight="1">
      <c r="B635" s="305"/>
      <c r="C635" s="305"/>
      <c r="D635" s="234"/>
      <c r="E635" s="307"/>
      <c r="F635" s="307"/>
      <c r="G635" s="308"/>
      <c r="H635" s="233"/>
      <c r="I635" s="301"/>
    </row>
    <row r="636" spans="2:9" s="346" customFormat="1" ht="21" customHeight="1">
      <c r="B636" s="312" t="s">
        <v>835</v>
      </c>
      <c r="C636" s="305"/>
      <c r="D636" s="234"/>
      <c r="E636" s="307"/>
      <c r="F636" s="307"/>
      <c r="G636" s="232"/>
      <c r="H636" s="233"/>
      <c r="I636" s="301"/>
    </row>
    <row r="637" spans="2:9" s="346" customFormat="1" ht="21" customHeight="1">
      <c r="B637" s="305"/>
      <c r="C637" s="305" t="s">
        <v>1093</v>
      </c>
      <c r="D637" s="234" t="s">
        <v>836</v>
      </c>
      <c r="E637" s="307">
        <v>0.81599999999999995</v>
      </c>
      <c r="F637" s="307"/>
      <c r="G637" s="232"/>
      <c r="H637" s="233"/>
      <c r="I637" s="301"/>
    </row>
    <row r="638" spans="2:9" s="346" customFormat="1" ht="21" customHeight="1">
      <c r="B638" s="305"/>
      <c r="C638" s="305"/>
      <c r="D638" s="234"/>
      <c r="E638" s="306"/>
      <c r="F638" s="306"/>
      <c r="G638" s="232"/>
      <c r="H638" s="232"/>
      <c r="I638" s="301"/>
    </row>
    <row r="639" spans="2:9" s="346" customFormat="1" ht="21" customHeight="1">
      <c r="B639" s="305"/>
      <c r="C639" s="305"/>
      <c r="D639" s="234"/>
      <c r="E639" s="306"/>
      <c r="F639" s="306"/>
      <c r="G639" s="308"/>
      <c r="H639" s="233"/>
      <c r="I639" s="301"/>
    </row>
    <row r="640" spans="2:9" s="346" customFormat="1" ht="21" customHeight="1">
      <c r="B640" s="305"/>
      <c r="C640" s="305"/>
      <c r="D640" s="234"/>
      <c r="E640" s="306"/>
      <c r="F640" s="306"/>
      <c r="G640" s="308"/>
      <c r="H640" s="233"/>
      <c r="I640" s="301"/>
    </row>
    <row r="641" spans="2:9" s="346" customFormat="1" ht="21" customHeight="1">
      <c r="B641" s="305"/>
      <c r="C641" s="305"/>
      <c r="D641" s="234"/>
      <c r="E641" s="306"/>
      <c r="F641" s="306"/>
      <c r="G641" s="308"/>
      <c r="H641" s="233"/>
      <c r="I641" s="301"/>
    </row>
    <row r="642" spans="2:9" s="346" customFormat="1" ht="21" customHeight="1">
      <c r="B642" s="312" t="s">
        <v>837</v>
      </c>
      <c r="C642" s="305"/>
      <c r="D642" s="234"/>
      <c r="E642" s="307"/>
      <c r="F642" s="307"/>
      <c r="G642" s="232"/>
      <c r="H642" s="233"/>
      <c r="I642" s="301"/>
    </row>
    <row r="643" spans="2:9" s="346" customFormat="1" ht="21" customHeight="1">
      <c r="B643" s="305"/>
      <c r="C643" s="305" t="s">
        <v>1093</v>
      </c>
      <c r="D643" s="234" t="s">
        <v>836</v>
      </c>
      <c r="E643" s="307">
        <v>2.4E-2</v>
      </c>
      <c r="F643" s="307"/>
      <c r="G643" s="232"/>
      <c r="H643" s="233"/>
      <c r="I643" s="301"/>
    </row>
    <row r="644" spans="2:9" s="346" customFormat="1" ht="21" customHeight="1">
      <c r="B644" s="305"/>
      <c r="C644" s="305"/>
      <c r="D644" s="234"/>
      <c r="E644" s="306"/>
      <c r="F644" s="306"/>
      <c r="G644" s="232"/>
      <c r="H644" s="232"/>
      <c r="I644" s="301"/>
    </row>
    <row r="645" spans="2:9" s="346" customFormat="1" ht="21" customHeight="1">
      <c r="B645" s="305"/>
      <c r="C645" s="305"/>
      <c r="D645" s="234"/>
      <c r="E645" s="306"/>
      <c r="F645" s="306"/>
      <c r="G645" s="308"/>
      <c r="H645" s="233"/>
      <c r="I645" s="301"/>
    </row>
    <row r="646" spans="2:9" s="346" customFormat="1" ht="21" customHeight="1">
      <c r="B646" s="305"/>
      <c r="C646" s="305"/>
      <c r="D646" s="234"/>
      <c r="E646" s="306"/>
      <c r="F646" s="306"/>
      <c r="G646" s="308"/>
      <c r="H646" s="233"/>
      <c r="I646" s="301"/>
    </row>
    <row r="647" spans="2:9" s="346" customFormat="1" ht="21" customHeight="1">
      <c r="B647" s="305"/>
      <c r="C647" s="305"/>
      <c r="D647" s="234"/>
      <c r="E647" s="306"/>
      <c r="F647" s="306"/>
      <c r="G647" s="308"/>
      <c r="H647" s="233"/>
      <c r="I647" s="301"/>
    </row>
    <row r="648" spans="2:9" s="346" customFormat="1" ht="21" customHeight="1">
      <c r="B648" s="305"/>
      <c r="C648" s="305"/>
      <c r="D648" s="234"/>
      <c r="E648" s="306"/>
      <c r="F648" s="306"/>
      <c r="G648" s="308"/>
      <c r="H648" s="233"/>
      <c r="I648" s="301"/>
    </row>
    <row r="649" spans="2:9" s="346" customFormat="1" ht="21" customHeight="1">
      <c r="B649" s="305"/>
      <c r="C649" s="305"/>
      <c r="D649" s="234"/>
      <c r="E649" s="306"/>
      <c r="F649" s="306"/>
      <c r="G649" s="308"/>
      <c r="H649" s="233"/>
      <c r="I649" s="301"/>
    </row>
    <row r="650" spans="2:9" s="346" customFormat="1" ht="21" customHeight="1">
      <c r="B650" s="305"/>
      <c r="C650" s="305"/>
      <c r="D650" s="234"/>
      <c r="E650" s="306"/>
      <c r="F650" s="306"/>
      <c r="G650" s="308"/>
      <c r="H650" s="233"/>
      <c r="I650" s="301"/>
    </row>
    <row r="651" spans="2:9" s="346" customFormat="1" ht="21" customHeight="1">
      <c r="B651" s="300" t="str">
        <f>'5. 공종별예산조서'!A31</f>
        <v>1-28. 전선관 천장지지</v>
      </c>
      <c r="C651" s="300" t="str">
        <f>'5. 공종별예산조서'!B31</f>
        <v>ST 42C-2L</v>
      </c>
      <c r="D651" s="301" t="str">
        <f>'5. 공종별예산조서'!C31</f>
        <v>개소</v>
      </c>
      <c r="E651" s="309">
        <f>'5. 공종별예산조서'!D31</f>
        <v>2</v>
      </c>
      <c r="F651" s="302"/>
      <c r="G651" s="303"/>
      <c r="H651" s="304"/>
      <c r="I651" s="301"/>
    </row>
    <row r="652" spans="2:9" s="346" customFormat="1" ht="21" customHeight="1">
      <c r="B652" s="312" t="s">
        <v>834</v>
      </c>
      <c r="C652" s="305"/>
      <c r="D652" s="234"/>
      <c r="E652" s="310"/>
      <c r="F652" s="306"/>
      <c r="G652" s="232"/>
      <c r="H652" s="233"/>
      <c r="I652" s="301"/>
    </row>
    <row r="653" spans="2:9" s="346" customFormat="1" ht="21" customHeight="1">
      <c r="B653" s="305" t="s">
        <v>1094</v>
      </c>
      <c r="C653" s="305" t="str">
        <f>C651</f>
        <v>ST 42C-2L</v>
      </c>
      <c r="D653" s="234" t="str">
        <f>D651</f>
        <v>개소</v>
      </c>
      <c r="E653" s="311">
        <f>E651</f>
        <v>2</v>
      </c>
      <c r="F653" s="321"/>
      <c r="G653" s="333"/>
      <c r="H653" s="322"/>
      <c r="I653" s="343"/>
    </row>
    <row r="654" spans="2:9" s="346" customFormat="1" ht="21" customHeight="1">
      <c r="B654" s="305" t="s">
        <v>1105</v>
      </c>
      <c r="C654" s="305" t="s">
        <v>1106</v>
      </c>
      <c r="D654" s="234" t="s">
        <v>1107</v>
      </c>
      <c r="E654" s="311">
        <v>1</v>
      </c>
      <c r="F654" s="307"/>
      <c r="G654" s="232"/>
      <c r="H654" s="233"/>
      <c r="I654" s="301"/>
    </row>
    <row r="655" spans="2:9" s="346" customFormat="1" ht="21" customHeight="1">
      <c r="B655" s="305" t="s">
        <v>1095</v>
      </c>
      <c r="C655" s="305" t="s">
        <v>1100</v>
      </c>
      <c r="D655" s="234" t="s">
        <v>1104</v>
      </c>
      <c r="E655" s="311">
        <v>4</v>
      </c>
      <c r="F655" s="307"/>
      <c r="G655" s="232"/>
      <c r="H655" s="233"/>
      <c r="I655" s="301"/>
    </row>
    <row r="656" spans="2:9" s="346" customFormat="1" ht="21" customHeight="1">
      <c r="B656" s="305" t="s">
        <v>1096</v>
      </c>
      <c r="C656" s="305" t="s">
        <v>1101</v>
      </c>
      <c r="D656" s="234" t="s">
        <v>1104</v>
      </c>
      <c r="E656" s="311">
        <v>4</v>
      </c>
      <c r="F656" s="307"/>
      <c r="G656" s="232"/>
      <c r="H656" s="232"/>
      <c r="I656" s="301"/>
    </row>
    <row r="657" spans="2:9" s="346" customFormat="1" ht="21" customHeight="1">
      <c r="B657" s="305" t="s">
        <v>1109</v>
      </c>
      <c r="C657" s="305" t="s">
        <v>1112</v>
      </c>
      <c r="D657" s="234" t="s">
        <v>1104</v>
      </c>
      <c r="E657" s="311">
        <v>4</v>
      </c>
      <c r="F657" s="307"/>
      <c r="G657" s="308"/>
      <c r="H657" s="233"/>
      <c r="I657" s="301"/>
    </row>
    <row r="658" spans="2:9" s="346" customFormat="1" ht="21" customHeight="1">
      <c r="B658" s="305" t="s">
        <v>1097</v>
      </c>
      <c r="C658" s="305" t="s">
        <v>1102</v>
      </c>
      <c r="D658" s="234" t="s">
        <v>1104</v>
      </c>
      <c r="E658" s="311">
        <v>4</v>
      </c>
      <c r="F658" s="307"/>
      <c r="G658" s="308"/>
      <c r="H658" s="233"/>
      <c r="I658" s="301"/>
    </row>
    <row r="659" spans="2:9" s="346" customFormat="1" ht="21" customHeight="1">
      <c r="B659" s="305" t="s">
        <v>1110</v>
      </c>
      <c r="C659" s="305" t="s">
        <v>1113</v>
      </c>
      <c r="D659" s="234" t="s">
        <v>1104</v>
      </c>
      <c r="E659" s="311">
        <v>4</v>
      </c>
      <c r="F659" s="307"/>
      <c r="G659" s="308"/>
      <c r="H659" s="233"/>
      <c r="I659" s="301"/>
    </row>
    <row r="660" spans="2:9" s="346" customFormat="1" ht="21" customHeight="1">
      <c r="B660" s="342" t="s">
        <v>1111</v>
      </c>
      <c r="C660" s="342" t="s">
        <v>1114</v>
      </c>
      <c r="D660" s="234" t="s">
        <v>1104</v>
      </c>
      <c r="E660" s="311">
        <v>4</v>
      </c>
      <c r="F660" s="334"/>
      <c r="G660" s="344"/>
      <c r="H660" s="322"/>
      <c r="I660" s="343"/>
    </row>
    <row r="661" spans="2:9" s="346" customFormat="1" ht="21" customHeight="1">
      <c r="B661" s="305"/>
      <c r="C661" s="305"/>
      <c r="D661" s="234"/>
      <c r="E661" s="307"/>
      <c r="F661" s="307"/>
      <c r="G661" s="308"/>
      <c r="H661" s="233"/>
      <c r="I661" s="301"/>
    </row>
    <row r="662" spans="2:9" s="346" customFormat="1" ht="21" customHeight="1">
      <c r="B662" s="312" t="s">
        <v>835</v>
      </c>
      <c r="C662" s="305"/>
      <c r="D662" s="234"/>
      <c r="E662" s="307"/>
      <c r="F662" s="307"/>
      <c r="G662" s="232"/>
      <c r="H662" s="233"/>
      <c r="I662" s="301"/>
    </row>
    <row r="663" spans="2:9" s="346" customFormat="1" ht="21" customHeight="1">
      <c r="B663" s="305"/>
      <c r="C663" s="305" t="s">
        <v>1093</v>
      </c>
      <c r="D663" s="234" t="s">
        <v>836</v>
      </c>
      <c r="E663" s="307">
        <v>0.14399999999999999</v>
      </c>
      <c r="F663" s="307"/>
      <c r="G663" s="232"/>
      <c r="H663" s="233"/>
      <c r="I663" s="301"/>
    </row>
    <row r="664" spans="2:9" s="346" customFormat="1" ht="21" customHeight="1">
      <c r="B664" s="305"/>
      <c r="C664" s="305"/>
      <c r="D664" s="234"/>
      <c r="E664" s="306"/>
      <c r="F664" s="306"/>
      <c r="G664" s="232"/>
      <c r="H664" s="232"/>
      <c r="I664" s="301"/>
    </row>
    <row r="665" spans="2:9" s="346" customFormat="1" ht="21" customHeight="1">
      <c r="B665" s="305"/>
      <c r="C665" s="305"/>
      <c r="D665" s="234"/>
      <c r="E665" s="306"/>
      <c r="F665" s="306"/>
      <c r="G665" s="308"/>
      <c r="H665" s="233"/>
      <c r="I665" s="301"/>
    </row>
    <row r="666" spans="2:9" s="346" customFormat="1" ht="21" customHeight="1">
      <c r="B666" s="305"/>
      <c r="C666" s="305"/>
      <c r="D666" s="234"/>
      <c r="E666" s="306"/>
      <c r="F666" s="306"/>
      <c r="G666" s="308"/>
      <c r="H666" s="233"/>
      <c r="I666" s="301"/>
    </row>
    <row r="667" spans="2:9" s="346" customFormat="1" ht="21" customHeight="1">
      <c r="B667" s="305"/>
      <c r="C667" s="305"/>
      <c r="D667" s="234"/>
      <c r="E667" s="306"/>
      <c r="F667" s="306"/>
      <c r="G667" s="308"/>
      <c r="H667" s="233"/>
      <c r="I667" s="301"/>
    </row>
    <row r="668" spans="2:9" s="346" customFormat="1" ht="21" customHeight="1">
      <c r="B668" s="312" t="s">
        <v>837</v>
      </c>
      <c r="C668" s="305"/>
      <c r="D668" s="234"/>
      <c r="E668" s="307"/>
      <c r="F668" s="307"/>
      <c r="G668" s="232"/>
      <c r="H668" s="233"/>
      <c r="I668" s="301"/>
    </row>
    <row r="669" spans="2:9" s="346" customFormat="1" ht="21" customHeight="1">
      <c r="B669" s="305"/>
      <c r="C669" s="305" t="s">
        <v>1093</v>
      </c>
      <c r="D669" s="234" t="s">
        <v>836</v>
      </c>
      <c r="E669" s="307">
        <v>4.0000000000000001E-3</v>
      </c>
      <c r="F669" s="307"/>
      <c r="G669" s="232"/>
      <c r="H669" s="233"/>
      <c r="I669" s="301"/>
    </row>
    <row r="670" spans="2:9" s="346" customFormat="1" ht="21" customHeight="1">
      <c r="B670" s="305"/>
      <c r="C670" s="305"/>
      <c r="D670" s="234"/>
      <c r="E670" s="306"/>
      <c r="F670" s="306"/>
      <c r="G670" s="232"/>
      <c r="H670" s="232"/>
      <c r="I670" s="301"/>
    </row>
    <row r="671" spans="2:9" s="346" customFormat="1" ht="21" customHeight="1">
      <c r="B671" s="305"/>
      <c r="C671" s="305"/>
      <c r="D671" s="234"/>
      <c r="E671" s="306"/>
      <c r="F671" s="306"/>
      <c r="G671" s="308"/>
      <c r="H671" s="233"/>
      <c r="I671" s="301"/>
    </row>
    <row r="672" spans="2:9" s="346" customFormat="1" ht="21" customHeight="1">
      <c r="B672" s="305"/>
      <c r="C672" s="305"/>
      <c r="D672" s="234"/>
      <c r="E672" s="306"/>
      <c r="F672" s="306"/>
      <c r="G672" s="308"/>
      <c r="H672" s="233"/>
      <c r="I672" s="301"/>
    </row>
    <row r="673" spans="2:9" s="346" customFormat="1" ht="21" customHeight="1">
      <c r="B673" s="305"/>
      <c r="C673" s="305"/>
      <c r="D673" s="234"/>
      <c r="E673" s="306"/>
      <c r="F673" s="306"/>
      <c r="G673" s="308"/>
      <c r="H673" s="233"/>
      <c r="I673" s="301"/>
    </row>
    <row r="674" spans="2:9" s="346" customFormat="1" ht="21" customHeight="1">
      <c r="B674" s="305"/>
      <c r="C674" s="305"/>
      <c r="D674" s="234"/>
      <c r="E674" s="306"/>
      <c r="F674" s="306"/>
      <c r="G674" s="308"/>
      <c r="H674" s="233"/>
      <c r="I674" s="301"/>
    </row>
    <row r="675" spans="2:9" s="346" customFormat="1" ht="21" customHeight="1">
      <c r="B675" s="300" t="str">
        <f>'5. 공종별예산조서'!A32</f>
        <v>1-29. 전선관 천장지지</v>
      </c>
      <c r="C675" s="300" t="str">
        <f>'5. 공종별예산조서'!B32</f>
        <v>ST 42C</v>
      </c>
      <c r="D675" s="301" t="str">
        <f>'5. 공종별예산조서'!C32</f>
        <v>개소</v>
      </c>
      <c r="E675" s="309">
        <f>'5. 공종별예산조서'!D32</f>
        <v>16</v>
      </c>
      <c r="F675" s="302"/>
      <c r="G675" s="303"/>
      <c r="H675" s="304"/>
      <c r="I675" s="301"/>
    </row>
    <row r="676" spans="2:9" s="346" customFormat="1" ht="21" customHeight="1">
      <c r="B676" s="312" t="s">
        <v>834</v>
      </c>
      <c r="C676" s="305"/>
      <c r="D676" s="234"/>
      <c r="E676" s="310"/>
      <c r="F676" s="306"/>
      <c r="G676" s="232"/>
      <c r="H676" s="233"/>
      <c r="I676" s="301"/>
    </row>
    <row r="677" spans="2:9" s="346" customFormat="1" ht="21" customHeight="1">
      <c r="B677" s="305" t="s">
        <v>1094</v>
      </c>
      <c r="C677" s="305" t="str">
        <f>C675</f>
        <v>ST 42C</v>
      </c>
      <c r="D677" s="234" t="str">
        <f>D675</f>
        <v>개소</v>
      </c>
      <c r="E677" s="311">
        <f>E675</f>
        <v>16</v>
      </c>
      <c r="F677" s="321"/>
      <c r="G677" s="333"/>
      <c r="H677" s="322"/>
      <c r="I677" s="343"/>
    </row>
    <row r="678" spans="2:9" s="346" customFormat="1" ht="21" customHeight="1">
      <c r="B678" s="305" t="s">
        <v>1095</v>
      </c>
      <c r="C678" s="305" t="s">
        <v>1100</v>
      </c>
      <c r="D678" s="234" t="s">
        <v>1104</v>
      </c>
      <c r="E678" s="311">
        <v>16</v>
      </c>
      <c r="F678" s="307"/>
      <c r="G678" s="232"/>
      <c r="H678" s="233"/>
      <c r="I678" s="301"/>
    </row>
    <row r="679" spans="2:9" s="346" customFormat="1" ht="21" customHeight="1">
      <c r="B679" s="305" t="s">
        <v>1096</v>
      </c>
      <c r="C679" s="305" t="s">
        <v>1101</v>
      </c>
      <c r="D679" s="234" t="s">
        <v>1104</v>
      </c>
      <c r="E679" s="311">
        <v>16</v>
      </c>
      <c r="F679" s="307"/>
      <c r="G679" s="232"/>
      <c r="H679" s="232"/>
      <c r="I679" s="301"/>
    </row>
    <row r="680" spans="2:9" s="346" customFormat="1" ht="21" customHeight="1">
      <c r="B680" s="305" t="s">
        <v>1097</v>
      </c>
      <c r="C680" s="305" t="s">
        <v>1102</v>
      </c>
      <c r="D680" s="234" t="s">
        <v>1104</v>
      </c>
      <c r="E680" s="311">
        <v>16</v>
      </c>
      <c r="F680" s="307"/>
      <c r="G680" s="308"/>
      <c r="H680" s="233"/>
      <c r="I680" s="301"/>
    </row>
    <row r="681" spans="2:9" s="346" customFormat="1" ht="21" customHeight="1">
      <c r="B681" s="342" t="s">
        <v>1111</v>
      </c>
      <c r="C681" s="342" t="s">
        <v>1114</v>
      </c>
      <c r="D681" s="234" t="s">
        <v>1104</v>
      </c>
      <c r="E681" s="311">
        <v>16</v>
      </c>
      <c r="F681" s="334"/>
      <c r="G681" s="344"/>
      <c r="H681" s="322"/>
      <c r="I681" s="343"/>
    </row>
    <row r="682" spans="2:9" s="346" customFormat="1" ht="21" customHeight="1">
      <c r="B682" s="305"/>
      <c r="C682" s="305"/>
      <c r="D682" s="234"/>
      <c r="E682" s="307"/>
      <c r="F682" s="307"/>
      <c r="G682" s="308"/>
      <c r="H682" s="233"/>
      <c r="I682" s="301"/>
    </row>
    <row r="683" spans="2:9" s="346" customFormat="1" ht="21" customHeight="1">
      <c r="B683" s="312" t="s">
        <v>835</v>
      </c>
      <c r="C683" s="305"/>
      <c r="D683" s="234"/>
      <c r="E683" s="307"/>
      <c r="F683" s="307"/>
      <c r="G683" s="232"/>
      <c r="H683" s="233"/>
      <c r="I683" s="301"/>
    </row>
    <row r="684" spans="2:9" s="346" customFormat="1" ht="21" customHeight="1">
      <c r="B684" s="305"/>
      <c r="C684" s="305" t="s">
        <v>1093</v>
      </c>
      <c r="D684" s="234" t="s">
        <v>836</v>
      </c>
      <c r="E684" s="307">
        <v>0.57599999999999996</v>
      </c>
      <c r="F684" s="307"/>
      <c r="G684" s="232"/>
      <c r="H684" s="233"/>
      <c r="I684" s="301"/>
    </row>
    <row r="685" spans="2:9" s="346" customFormat="1" ht="21" customHeight="1">
      <c r="B685" s="305"/>
      <c r="C685" s="305"/>
      <c r="D685" s="234"/>
      <c r="E685" s="306"/>
      <c r="F685" s="306"/>
      <c r="G685" s="232"/>
      <c r="H685" s="232"/>
      <c r="I685" s="301"/>
    </row>
    <row r="686" spans="2:9" s="346" customFormat="1" ht="21" customHeight="1">
      <c r="B686" s="305"/>
      <c r="C686" s="305"/>
      <c r="D686" s="234"/>
      <c r="E686" s="306"/>
      <c r="F686" s="306"/>
      <c r="G686" s="308"/>
      <c r="H686" s="233"/>
      <c r="I686" s="301"/>
    </row>
    <row r="687" spans="2:9" s="346" customFormat="1" ht="21" customHeight="1">
      <c r="B687" s="305"/>
      <c r="C687" s="305"/>
      <c r="D687" s="234"/>
      <c r="E687" s="306"/>
      <c r="F687" s="306"/>
      <c r="G687" s="308"/>
      <c r="H687" s="233"/>
      <c r="I687" s="301"/>
    </row>
    <row r="688" spans="2:9" s="346" customFormat="1" ht="21" customHeight="1">
      <c r="B688" s="305"/>
      <c r="C688" s="305"/>
      <c r="D688" s="234"/>
      <c r="E688" s="306"/>
      <c r="F688" s="306"/>
      <c r="G688" s="308"/>
      <c r="H688" s="233"/>
      <c r="I688" s="301"/>
    </row>
    <row r="689" spans="2:9" s="346" customFormat="1" ht="21" customHeight="1">
      <c r="B689" s="312" t="s">
        <v>837</v>
      </c>
      <c r="C689" s="305"/>
      <c r="D689" s="234"/>
      <c r="E689" s="307"/>
      <c r="F689" s="307"/>
      <c r="G689" s="232"/>
      <c r="H689" s="233"/>
      <c r="I689" s="301"/>
    </row>
    <row r="690" spans="2:9" s="346" customFormat="1" ht="21" customHeight="1">
      <c r="B690" s="305"/>
      <c r="C690" s="305" t="s">
        <v>1093</v>
      </c>
      <c r="D690" s="234" t="s">
        <v>836</v>
      </c>
      <c r="E690" s="307">
        <v>1.7000000000000001E-2</v>
      </c>
      <c r="F690" s="307"/>
      <c r="G690" s="232"/>
      <c r="H690" s="233"/>
      <c r="I690" s="301"/>
    </row>
    <row r="691" spans="2:9" s="346" customFormat="1" ht="21" customHeight="1">
      <c r="B691" s="305"/>
      <c r="C691" s="305"/>
      <c r="D691" s="234"/>
      <c r="E691" s="306"/>
      <c r="F691" s="306"/>
      <c r="G691" s="232"/>
      <c r="H691" s="232"/>
      <c r="I691" s="301"/>
    </row>
    <row r="692" spans="2:9" s="346" customFormat="1" ht="21" customHeight="1">
      <c r="B692" s="305"/>
      <c r="C692" s="305"/>
      <c r="D692" s="234"/>
      <c r="E692" s="306"/>
      <c r="F692" s="306"/>
      <c r="G692" s="308"/>
      <c r="H692" s="233"/>
      <c r="I692" s="301"/>
    </row>
    <row r="693" spans="2:9" s="346" customFormat="1" ht="21" customHeight="1">
      <c r="B693" s="342"/>
      <c r="C693" s="342"/>
      <c r="D693" s="345"/>
      <c r="E693" s="321"/>
      <c r="F693" s="321"/>
      <c r="G693" s="344"/>
      <c r="H693" s="322"/>
      <c r="I693" s="343"/>
    </row>
    <row r="694" spans="2:9" s="346" customFormat="1" ht="21" customHeight="1">
      <c r="B694" s="342"/>
      <c r="C694" s="342"/>
      <c r="D694" s="345"/>
      <c r="E694" s="321"/>
      <c r="F694" s="321"/>
      <c r="G694" s="344"/>
      <c r="H694" s="322"/>
      <c r="I694" s="343"/>
    </row>
    <row r="695" spans="2:9" s="346" customFormat="1" ht="21" customHeight="1">
      <c r="B695" s="342"/>
      <c r="C695" s="342"/>
      <c r="D695" s="345"/>
      <c r="E695" s="321"/>
      <c r="F695" s="321"/>
      <c r="G695" s="344"/>
      <c r="H695" s="322"/>
      <c r="I695" s="343"/>
    </row>
    <row r="696" spans="2:9" s="346" customFormat="1" ht="21" customHeight="1">
      <c r="B696" s="305"/>
      <c r="C696" s="305"/>
      <c r="D696" s="234"/>
      <c r="E696" s="306"/>
      <c r="F696" s="306"/>
      <c r="G696" s="308"/>
      <c r="H696" s="233"/>
      <c r="I696" s="301"/>
    </row>
    <row r="697" spans="2:9" s="346" customFormat="1" ht="21" customHeight="1">
      <c r="B697" s="305"/>
      <c r="C697" s="305"/>
      <c r="D697" s="234"/>
      <c r="E697" s="306"/>
      <c r="F697" s="306"/>
      <c r="G697" s="308"/>
      <c r="H697" s="233"/>
      <c r="I697" s="301"/>
    </row>
    <row r="698" spans="2:9" s="346" customFormat="1" ht="21" customHeight="1">
      <c r="B698" s="305"/>
      <c r="C698" s="305"/>
      <c r="D698" s="234"/>
      <c r="E698" s="306"/>
      <c r="F698" s="306"/>
      <c r="G698" s="308"/>
      <c r="H698" s="233"/>
      <c r="I698" s="301"/>
    </row>
    <row r="699" spans="2:9" s="297" customFormat="1" ht="21" customHeight="1">
      <c r="B699" s="300" t="str">
        <f>'5. 공종별예산조서'!A60</f>
        <v>2-1. 콘센트 철거</v>
      </c>
      <c r="C699" s="300" t="str">
        <f>'5. 공종별예산조서'!B60</f>
        <v>매입-접지형, 15A 250V 1구</v>
      </c>
      <c r="D699" s="301" t="str">
        <f>'5. 공종별예산조서'!C60</f>
        <v>개</v>
      </c>
      <c r="E699" s="309">
        <f>'5. 공종별예산조서'!D60</f>
        <v>4</v>
      </c>
      <c r="F699" s="302"/>
      <c r="G699" s="303"/>
      <c r="H699" s="304"/>
      <c r="I699" s="301"/>
    </row>
    <row r="700" spans="2:9" s="297" customFormat="1" ht="21" customHeight="1">
      <c r="B700" s="312" t="s">
        <v>834</v>
      </c>
      <c r="C700" s="305"/>
      <c r="D700" s="234"/>
      <c r="E700" s="310"/>
      <c r="F700" s="306"/>
      <c r="G700" s="232"/>
      <c r="H700" s="233"/>
      <c r="I700" s="301"/>
    </row>
    <row r="701" spans="2:9" s="297" customFormat="1" ht="21" customHeight="1">
      <c r="B701" s="305" t="s">
        <v>842</v>
      </c>
      <c r="C701" s="305" t="str">
        <f>C699</f>
        <v>매입-접지형, 15A 250V 1구</v>
      </c>
      <c r="D701" s="234" t="str">
        <f>D699</f>
        <v>개</v>
      </c>
      <c r="E701" s="311">
        <f>E699</f>
        <v>4</v>
      </c>
      <c r="F701" s="307"/>
      <c r="G701" s="232"/>
      <c r="H701" s="233"/>
      <c r="I701" s="301"/>
    </row>
    <row r="702" spans="2:9" s="297" customFormat="1" ht="21" customHeight="1">
      <c r="B702" s="305"/>
      <c r="C702" s="305"/>
      <c r="D702" s="234"/>
      <c r="E702" s="311"/>
      <c r="F702" s="307"/>
      <c r="G702" s="232"/>
      <c r="H702" s="233"/>
      <c r="I702" s="301"/>
    </row>
    <row r="703" spans="2:9" s="297" customFormat="1" ht="21" customHeight="1">
      <c r="B703" s="305"/>
      <c r="C703" s="305"/>
      <c r="D703" s="234"/>
      <c r="E703" s="307"/>
      <c r="F703" s="307"/>
      <c r="G703" s="232"/>
      <c r="H703" s="232"/>
      <c r="I703" s="301"/>
    </row>
    <row r="704" spans="2:9" s="297" customFormat="1" ht="21" customHeight="1">
      <c r="B704" s="305"/>
      <c r="C704" s="305"/>
      <c r="D704" s="234"/>
      <c r="E704" s="307"/>
      <c r="F704" s="307"/>
      <c r="G704" s="308"/>
      <c r="H704" s="233"/>
      <c r="I704" s="301"/>
    </row>
    <row r="705" spans="2:9" s="297" customFormat="1" ht="21" customHeight="1">
      <c r="B705" s="305"/>
      <c r="C705" s="305"/>
      <c r="D705" s="234"/>
      <c r="E705" s="307"/>
      <c r="F705" s="307"/>
      <c r="G705" s="308"/>
      <c r="H705" s="233"/>
      <c r="I705" s="301"/>
    </row>
    <row r="706" spans="2:9" s="297" customFormat="1" ht="21" customHeight="1">
      <c r="B706" s="305"/>
      <c r="C706" s="305"/>
      <c r="D706" s="234"/>
      <c r="E706" s="307"/>
      <c r="F706" s="307"/>
      <c r="G706" s="308"/>
      <c r="H706" s="233"/>
      <c r="I706" s="301"/>
    </row>
    <row r="707" spans="2:9" s="297" customFormat="1" ht="21" customHeight="1">
      <c r="B707" s="305"/>
      <c r="C707" s="305"/>
      <c r="D707" s="234"/>
      <c r="E707" s="307"/>
      <c r="F707" s="307"/>
      <c r="G707" s="308"/>
      <c r="H707" s="233"/>
      <c r="I707" s="301"/>
    </row>
    <row r="708" spans="2:9" s="297" customFormat="1" ht="21" customHeight="1">
      <c r="B708" s="312" t="s">
        <v>835</v>
      </c>
      <c r="C708" s="305"/>
      <c r="D708" s="234"/>
      <c r="E708" s="307"/>
      <c r="F708" s="307"/>
      <c r="G708" s="232"/>
      <c r="H708" s="233"/>
      <c r="I708" s="301"/>
    </row>
    <row r="709" spans="2:9" s="297" customFormat="1" ht="21" customHeight="1">
      <c r="B709" s="305"/>
      <c r="C709" s="305" t="s">
        <v>64</v>
      </c>
      <c r="D709" s="234" t="s">
        <v>836</v>
      </c>
      <c r="E709" s="307">
        <v>9.6000000000000002E-2</v>
      </c>
      <c r="F709" s="307"/>
      <c r="G709" s="232"/>
      <c r="H709" s="233"/>
      <c r="I709" s="301"/>
    </row>
    <row r="710" spans="2:9" s="297" customFormat="1" ht="21" customHeight="1">
      <c r="B710" s="305"/>
      <c r="C710" s="305"/>
      <c r="D710" s="234"/>
      <c r="E710" s="306"/>
      <c r="F710" s="306"/>
      <c r="G710" s="232"/>
      <c r="H710" s="232"/>
      <c r="I710" s="301"/>
    </row>
    <row r="711" spans="2:9" s="297" customFormat="1" ht="21" customHeight="1">
      <c r="B711" s="305"/>
      <c r="C711" s="305"/>
      <c r="D711" s="234"/>
      <c r="E711" s="306"/>
      <c r="F711" s="306"/>
      <c r="G711" s="308"/>
      <c r="H711" s="233"/>
      <c r="I711" s="301"/>
    </row>
    <row r="712" spans="2:9" s="297" customFormat="1" ht="21" customHeight="1">
      <c r="B712" s="305"/>
      <c r="C712" s="305"/>
      <c r="D712" s="234"/>
      <c r="E712" s="306"/>
      <c r="F712" s="306"/>
      <c r="G712" s="308"/>
      <c r="H712" s="233"/>
      <c r="I712" s="301"/>
    </row>
    <row r="713" spans="2:9" s="297" customFormat="1" ht="21" customHeight="1">
      <c r="B713" s="305"/>
      <c r="C713" s="305"/>
      <c r="D713" s="234"/>
      <c r="E713" s="306"/>
      <c r="F713" s="306"/>
      <c r="G713" s="308"/>
      <c r="H713" s="233"/>
      <c r="I713" s="301"/>
    </row>
    <row r="714" spans="2:9" s="297" customFormat="1" ht="21" customHeight="1">
      <c r="B714" s="312" t="s">
        <v>837</v>
      </c>
      <c r="C714" s="305"/>
      <c r="D714" s="234"/>
      <c r="E714" s="307"/>
      <c r="F714" s="307"/>
      <c r="G714" s="232"/>
      <c r="H714" s="233"/>
      <c r="I714" s="301"/>
    </row>
    <row r="715" spans="2:9" s="297" customFormat="1" ht="21" customHeight="1">
      <c r="B715" s="305"/>
      <c r="C715" s="305" t="s">
        <v>64</v>
      </c>
      <c r="D715" s="234" t="s">
        <v>836</v>
      </c>
      <c r="E715" s="307">
        <v>3.0000000000000001E-3</v>
      </c>
      <c r="F715" s="307"/>
      <c r="G715" s="232"/>
      <c r="H715" s="233"/>
      <c r="I715" s="301"/>
    </row>
    <row r="716" spans="2:9" s="297" customFormat="1" ht="21" customHeight="1">
      <c r="B716" s="305"/>
      <c r="C716" s="305"/>
      <c r="D716" s="234"/>
      <c r="E716" s="306"/>
      <c r="F716" s="306"/>
      <c r="G716" s="232"/>
      <c r="H716" s="232"/>
      <c r="I716" s="301"/>
    </row>
    <row r="717" spans="2:9" s="297" customFormat="1" ht="21" customHeight="1">
      <c r="B717" s="305"/>
      <c r="C717" s="305"/>
      <c r="D717" s="234"/>
      <c r="E717" s="306"/>
      <c r="F717" s="306"/>
      <c r="G717" s="308"/>
      <c r="H717" s="233"/>
      <c r="I717" s="301"/>
    </row>
    <row r="718" spans="2:9" s="297" customFormat="1" ht="21" customHeight="1">
      <c r="B718" s="305"/>
      <c r="C718" s="305"/>
      <c r="D718" s="234"/>
      <c r="E718" s="306"/>
      <c r="F718" s="306"/>
      <c r="G718" s="308"/>
      <c r="H718" s="233"/>
      <c r="I718" s="301"/>
    </row>
    <row r="719" spans="2:9" s="297" customFormat="1" ht="21" customHeight="1">
      <c r="B719" s="305"/>
      <c r="C719" s="305"/>
      <c r="D719" s="234"/>
      <c r="E719" s="306"/>
      <c r="F719" s="306"/>
      <c r="G719" s="308"/>
      <c r="H719" s="233"/>
      <c r="I719" s="301"/>
    </row>
    <row r="720" spans="2:9" s="297" customFormat="1" ht="21" customHeight="1">
      <c r="B720" s="305"/>
      <c r="C720" s="305"/>
      <c r="D720" s="234"/>
      <c r="E720" s="306"/>
      <c r="F720" s="306"/>
      <c r="G720" s="308"/>
      <c r="H720" s="233"/>
      <c r="I720" s="301"/>
    </row>
    <row r="721" spans="2:9" s="297" customFormat="1" ht="21" customHeight="1">
      <c r="B721" s="305"/>
      <c r="C721" s="305"/>
      <c r="D721" s="234"/>
      <c r="E721" s="306"/>
      <c r="F721" s="306"/>
      <c r="G721" s="308"/>
      <c r="H721" s="233"/>
      <c r="I721" s="301"/>
    </row>
    <row r="722" spans="2:9" s="297" customFormat="1" ht="21" customHeight="1">
      <c r="B722" s="305"/>
      <c r="C722" s="305"/>
      <c r="D722" s="234"/>
      <c r="E722" s="306"/>
      <c r="F722" s="306"/>
      <c r="G722" s="308"/>
      <c r="H722" s="233"/>
      <c r="I722" s="301"/>
    </row>
    <row r="723" spans="2:9" s="297" customFormat="1" ht="21" customHeight="1">
      <c r="B723" s="300" t="str">
        <f>'5. 공종별예산조서'!A61</f>
        <v>2-2. 콘센트 철거</v>
      </c>
      <c r="C723" s="300" t="str">
        <f>'5. 공종별예산조서'!B61</f>
        <v>매입-접지형, 15A 250V 2구</v>
      </c>
      <c r="D723" s="301" t="str">
        <f>'5. 공종별예산조서'!C61</f>
        <v>개</v>
      </c>
      <c r="E723" s="309">
        <f>'5. 공종별예산조서'!D61</f>
        <v>48</v>
      </c>
      <c r="F723" s="302"/>
      <c r="G723" s="303"/>
      <c r="H723" s="304"/>
      <c r="I723" s="301"/>
    </row>
    <row r="724" spans="2:9" s="297" customFormat="1" ht="21" customHeight="1">
      <c r="B724" s="312" t="s">
        <v>834</v>
      </c>
      <c r="C724" s="305"/>
      <c r="D724" s="234"/>
      <c r="E724" s="310"/>
      <c r="F724" s="306"/>
      <c r="G724" s="232"/>
      <c r="H724" s="233"/>
      <c r="I724" s="301"/>
    </row>
    <row r="725" spans="2:9" s="297" customFormat="1" ht="21" customHeight="1">
      <c r="B725" s="305" t="s">
        <v>842</v>
      </c>
      <c r="C725" s="305" t="str">
        <f>C723</f>
        <v>매입-접지형, 15A 250V 2구</v>
      </c>
      <c r="D725" s="234" t="str">
        <f>D723</f>
        <v>개</v>
      </c>
      <c r="E725" s="311">
        <f>E723</f>
        <v>48</v>
      </c>
      <c r="F725" s="307"/>
      <c r="G725" s="232"/>
      <c r="H725" s="233"/>
      <c r="I725" s="301"/>
    </row>
    <row r="726" spans="2:9" s="297" customFormat="1" ht="21" customHeight="1">
      <c r="B726" s="305"/>
      <c r="C726" s="305"/>
      <c r="D726" s="234"/>
      <c r="E726" s="311"/>
      <c r="F726" s="307"/>
      <c r="G726" s="232"/>
      <c r="H726" s="233"/>
      <c r="I726" s="301"/>
    </row>
    <row r="727" spans="2:9" s="297" customFormat="1" ht="21" customHeight="1">
      <c r="B727" s="305"/>
      <c r="C727" s="305"/>
      <c r="D727" s="234"/>
      <c r="E727" s="307"/>
      <c r="F727" s="307"/>
      <c r="G727" s="232"/>
      <c r="H727" s="232"/>
      <c r="I727" s="301"/>
    </row>
    <row r="728" spans="2:9" s="297" customFormat="1" ht="21" customHeight="1">
      <c r="B728" s="305"/>
      <c r="C728" s="305"/>
      <c r="D728" s="234"/>
      <c r="E728" s="307"/>
      <c r="F728" s="307"/>
      <c r="G728" s="308"/>
      <c r="H728" s="233"/>
      <c r="I728" s="301"/>
    </row>
    <row r="729" spans="2:9" s="297" customFormat="1" ht="21" customHeight="1">
      <c r="B729" s="305"/>
      <c r="C729" s="305"/>
      <c r="D729" s="234"/>
      <c r="E729" s="307"/>
      <c r="F729" s="307"/>
      <c r="G729" s="308"/>
      <c r="H729" s="233"/>
      <c r="I729" s="301"/>
    </row>
    <row r="730" spans="2:9" s="297" customFormat="1" ht="21" customHeight="1">
      <c r="B730" s="305"/>
      <c r="C730" s="305"/>
      <c r="D730" s="234"/>
      <c r="E730" s="307"/>
      <c r="F730" s="307"/>
      <c r="G730" s="308"/>
      <c r="H730" s="233"/>
      <c r="I730" s="301"/>
    </row>
    <row r="731" spans="2:9" s="297" customFormat="1" ht="21" customHeight="1">
      <c r="B731" s="305"/>
      <c r="C731" s="305"/>
      <c r="D731" s="234"/>
      <c r="E731" s="307"/>
      <c r="F731" s="307"/>
      <c r="G731" s="308"/>
      <c r="H731" s="233"/>
      <c r="I731" s="301"/>
    </row>
    <row r="732" spans="2:9" s="297" customFormat="1" ht="21" customHeight="1">
      <c r="B732" s="312" t="s">
        <v>835</v>
      </c>
      <c r="C732" s="305"/>
      <c r="D732" s="234"/>
      <c r="E732" s="307"/>
      <c r="F732" s="307"/>
      <c r="G732" s="232"/>
      <c r="H732" s="233"/>
      <c r="I732" s="301"/>
    </row>
    <row r="733" spans="2:9" s="297" customFormat="1" ht="21" customHeight="1">
      <c r="B733" s="305"/>
      <c r="C733" s="305" t="s">
        <v>64</v>
      </c>
      <c r="D733" s="234" t="s">
        <v>836</v>
      </c>
      <c r="E733" s="307">
        <v>1.1519999999999999</v>
      </c>
      <c r="F733" s="307"/>
      <c r="G733" s="232"/>
      <c r="H733" s="233"/>
      <c r="I733" s="301"/>
    </row>
    <row r="734" spans="2:9" s="297" customFormat="1" ht="21" customHeight="1">
      <c r="B734" s="305"/>
      <c r="C734" s="305"/>
      <c r="D734" s="234"/>
      <c r="E734" s="306"/>
      <c r="F734" s="306"/>
      <c r="G734" s="232"/>
      <c r="H734" s="232"/>
      <c r="I734" s="301"/>
    </row>
    <row r="735" spans="2:9" s="297" customFormat="1" ht="21" customHeight="1">
      <c r="B735" s="305"/>
      <c r="C735" s="305"/>
      <c r="D735" s="234"/>
      <c r="E735" s="306"/>
      <c r="F735" s="306"/>
      <c r="G735" s="308"/>
      <c r="H735" s="233"/>
      <c r="I735" s="301"/>
    </row>
    <row r="736" spans="2:9" s="297" customFormat="1" ht="21" customHeight="1">
      <c r="B736" s="305"/>
      <c r="C736" s="305"/>
      <c r="D736" s="234"/>
      <c r="E736" s="306"/>
      <c r="F736" s="306"/>
      <c r="G736" s="308"/>
      <c r="H736" s="233"/>
      <c r="I736" s="301"/>
    </row>
    <row r="737" spans="2:9" s="297" customFormat="1" ht="21" customHeight="1">
      <c r="B737" s="305"/>
      <c r="C737" s="305"/>
      <c r="D737" s="234"/>
      <c r="E737" s="306"/>
      <c r="F737" s="306"/>
      <c r="G737" s="308"/>
      <c r="H737" s="233"/>
      <c r="I737" s="301"/>
    </row>
    <row r="738" spans="2:9" s="297" customFormat="1" ht="21" customHeight="1">
      <c r="B738" s="312" t="s">
        <v>837</v>
      </c>
      <c r="C738" s="305"/>
      <c r="D738" s="234"/>
      <c r="E738" s="307"/>
      <c r="F738" s="307"/>
      <c r="G738" s="232"/>
      <c r="H738" s="233"/>
      <c r="I738" s="301"/>
    </row>
    <row r="739" spans="2:9" s="297" customFormat="1" ht="21" customHeight="1">
      <c r="B739" s="305"/>
      <c r="C739" s="305" t="s">
        <v>64</v>
      </c>
      <c r="D739" s="234" t="s">
        <v>836</v>
      </c>
      <c r="E739" s="307">
        <v>3.5000000000000003E-2</v>
      </c>
      <c r="F739" s="307"/>
      <c r="G739" s="232"/>
      <c r="H739" s="233"/>
      <c r="I739" s="301"/>
    </row>
    <row r="740" spans="2:9" s="297" customFormat="1" ht="21" customHeight="1">
      <c r="B740" s="305"/>
      <c r="C740" s="305"/>
      <c r="D740" s="234"/>
      <c r="E740" s="306"/>
      <c r="F740" s="306"/>
      <c r="G740" s="232"/>
      <c r="H740" s="232"/>
      <c r="I740" s="301"/>
    </row>
    <row r="741" spans="2:9" s="297" customFormat="1" ht="21" customHeight="1">
      <c r="B741" s="305"/>
      <c r="C741" s="305"/>
      <c r="D741" s="234"/>
      <c r="E741" s="306"/>
      <c r="F741" s="306"/>
      <c r="G741" s="308"/>
      <c r="H741" s="233"/>
      <c r="I741" s="301"/>
    </row>
    <row r="742" spans="2:9" s="297" customFormat="1" ht="21" customHeight="1">
      <c r="B742" s="305"/>
      <c r="C742" s="305"/>
      <c r="D742" s="234"/>
      <c r="E742" s="306"/>
      <c r="F742" s="306"/>
      <c r="G742" s="308"/>
      <c r="H742" s="233"/>
      <c r="I742" s="301"/>
    </row>
    <row r="743" spans="2:9" s="297" customFormat="1" ht="21" customHeight="1">
      <c r="B743" s="305"/>
      <c r="C743" s="305"/>
      <c r="D743" s="234"/>
      <c r="E743" s="306"/>
      <c r="F743" s="306"/>
      <c r="G743" s="308"/>
      <c r="H743" s="233"/>
      <c r="I743" s="301"/>
    </row>
    <row r="744" spans="2:9" s="297" customFormat="1" ht="21" customHeight="1">
      <c r="B744" s="305"/>
      <c r="C744" s="305"/>
      <c r="D744" s="234"/>
      <c r="E744" s="306"/>
      <c r="F744" s="306"/>
      <c r="G744" s="308"/>
      <c r="H744" s="233"/>
      <c r="I744" s="301"/>
    </row>
    <row r="745" spans="2:9" s="297" customFormat="1" ht="21" customHeight="1">
      <c r="B745" s="305"/>
      <c r="C745" s="305"/>
      <c r="D745" s="234"/>
      <c r="E745" s="306"/>
      <c r="F745" s="306"/>
      <c r="G745" s="308"/>
      <c r="H745" s="233"/>
      <c r="I745" s="301"/>
    </row>
    <row r="746" spans="2:9" s="297" customFormat="1" ht="21" customHeight="1">
      <c r="B746" s="305"/>
      <c r="C746" s="305"/>
      <c r="D746" s="234"/>
      <c r="E746" s="306"/>
      <c r="F746" s="306"/>
      <c r="G746" s="308"/>
      <c r="H746" s="233"/>
      <c r="I746" s="301"/>
    </row>
    <row r="747" spans="2:9" s="297" customFormat="1" ht="21" customHeight="1">
      <c r="B747" s="300" t="str">
        <f>'5. 공종별예산조서'!$A$62</f>
        <v>2-3. 콘센트 철거</v>
      </c>
      <c r="C747" s="300" t="str">
        <f>'5. 공종별예산조서'!$B$62</f>
        <v>방우형 콘센트 접지형, 15A 250V 2구</v>
      </c>
      <c r="D747" s="301" t="str">
        <f>'5. 공종별예산조서'!$C$62</f>
        <v>개</v>
      </c>
      <c r="E747" s="309">
        <f>'5. 공종별예산조서'!$D$62</f>
        <v>6</v>
      </c>
      <c r="F747" s="302"/>
      <c r="G747" s="303"/>
      <c r="H747" s="304"/>
      <c r="I747" s="301"/>
    </row>
    <row r="748" spans="2:9" s="297" customFormat="1" ht="21" customHeight="1">
      <c r="B748" s="312" t="s">
        <v>834</v>
      </c>
      <c r="C748" s="305"/>
      <c r="D748" s="234"/>
      <c r="E748" s="310"/>
      <c r="F748" s="306"/>
      <c r="G748" s="232"/>
      <c r="H748" s="233"/>
      <c r="I748" s="301"/>
    </row>
    <row r="749" spans="2:9" s="297" customFormat="1" ht="21" customHeight="1">
      <c r="B749" s="305" t="s">
        <v>842</v>
      </c>
      <c r="C749" s="305" t="str">
        <f>C747</f>
        <v>방우형 콘센트 접지형, 15A 250V 2구</v>
      </c>
      <c r="D749" s="234" t="str">
        <f>D747</f>
        <v>개</v>
      </c>
      <c r="E749" s="311">
        <f>E747</f>
        <v>6</v>
      </c>
      <c r="F749" s="307"/>
      <c r="G749" s="232"/>
      <c r="H749" s="233"/>
      <c r="I749" s="301"/>
    </row>
    <row r="750" spans="2:9" s="297" customFormat="1" ht="21" customHeight="1">
      <c r="B750" s="305"/>
      <c r="C750" s="305"/>
      <c r="D750" s="234"/>
      <c r="E750" s="311"/>
      <c r="F750" s="307"/>
      <c r="G750" s="232"/>
      <c r="H750" s="233"/>
      <c r="I750" s="301"/>
    </row>
    <row r="751" spans="2:9" s="297" customFormat="1" ht="21" customHeight="1">
      <c r="B751" s="305"/>
      <c r="C751" s="305"/>
      <c r="D751" s="234"/>
      <c r="E751" s="311"/>
      <c r="F751" s="307"/>
      <c r="G751" s="232"/>
      <c r="H751" s="233"/>
      <c r="I751" s="301"/>
    </row>
    <row r="752" spans="2:9" s="297" customFormat="1" ht="21" customHeight="1">
      <c r="B752" s="305"/>
      <c r="C752" s="305"/>
      <c r="D752" s="234"/>
      <c r="E752" s="311"/>
      <c r="F752" s="307"/>
      <c r="G752" s="232"/>
      <c r="H752" s="233"/>
      <c r="I752" s="301"/>
    </row>
    <row r="753" spans="2:9" s="297" customFormat="1" ht="21" customHeight="1">
      <c r="B753" s="305"/>
      <c r="C753" s="305"/>
      <c r="D753" s="234"/>
      <c r="E753" s="311"/>
      <c r="F753" s="307"/>
      <c r="G753" s="232"/>
      <c r="H753" s="233"/>
      <c r="I753" s="301"/>
    </row>
    <row r="754" spans="2:9" s="297" customFormat="1" ht="21" customHeight="1">
      <c r="B754" s="305"/>
      <c r="C754" s="305"/>
      <c r="D754" s="234"/>
      <c r="E754" s="311"/>
      <c r="F754" s="307"/>
      <c r="G754" s="232"/>
      <c r="H754" s="233"/>
      <c r="I754" s="301"/>
    </row>
    <row r="755" spans="2:9" s="297" customFormat="1" ht="21" customHeight="1">
      <c r="B755" s="305"/>
      <c r="C755" s="305"/>
      <c r="D755" s="234"/>
      <c r="E755" s="311"/>
      <c r="F755" s="307"/>
      <c r="G755" s="232"/>
      <c r="H755" s="233"/>
      <c r="I755" s="301"/>
    </row>
    <row r="756" spans="2:9" s="297" customFormat="1" ht="21" customHeight="1">
      <c r="B756" s="305"/>
      <c r="C756" s="305"/>
      <c r="D756" s="234"/>
      <c r="E756" s="311"/>
      <c r="F756" s="307"/>
      <c r="G756" s="232"/>
      <c r="H756" s="233"/>
      <c r="I756" s="301"/>
    </row>
    <row r="757" spans="2:9" s="297" customFormat="1" ht="21" customHeight="1">
      <c r="B757" s="305"/>
      <c r="C757" s="305"/>
      <c r="D757" s="234"/>
      <c r="E757" s="311"/>
      <c r="F757" s="307"/>
      <c r="G757" s="232"/>
      <c r="H757" s="233"/>
      <c r="I757" s="301"/>
    </row>
    <row r="758" spans="2:9" s="297" customFormat="1" ht="21" customHeight="1">
      <c r="B758" s="305"/>
      <c r="C758" s="305"/>
      <c r="D758" s="234"/>
      <c r="E758" s="307"/>
      <c r="F758" s="307"/>
      <c r="G758" s="232"/>
      <c r="H758" s="233"/>
      <c r="I758" s="301"/>
    </row>
    <row r="759" spans="2:9" s="297" customFormat="1" ht="21" customHeight="1">
      <c r="B759" s="312" t="s">
        <v>835</v>
      </c>
      <c r="C759" s="305"/>
      <c r="D759" s="234"/>
      <c r="E759" s="307"/>
      <c r="F759" s="307"/>
      <c r="G759" s="232"/>
      <c r="H759" s="233"/>
      <c r="I759" s="301"/>
    </row>
    <row r="760" spans="2:9" s="297" customFormat="1" ht="21" customHeight="1">
      <c r="B760" s="305"/>
      <c r="C760" s="305" t="s">
        <v>64</v>
      </c>
      <c r="D760" s="234" t="s">
        <v>836</v>
      </c>
      <c r="E760" s="307">
        <v>0.14399999999999999</v>
      </c>
      <c r="F760" s="307"/>
      <c r="G760" s="232"/>
      <c r="H760" s="233"/>
      <c r="I760" s="301"/>
    </row>
    <row r="761" spans="2:9" s="297" customFormat="1" ht="21" customHeight="1">
      <c r="B761" s="305"/>
      <c r="C761" s="305"/>
      <c r="D761" s="234"/>
      <c r="E761" s="307"/>
      <c r="F761" s="307"/>
      <c r="G761" s="232"/>
      <c r="H761" s="233"/>
      <c r="I761" s="301"/>
    </row>
    <row r="762" spans="2:9" s="297" customFormat="1" ht="21" customHeight="1">
      <c r="B762" s="305"/>
      <c r="C762" s="305"/>
      <c r="D762" s="234"/>
      <c r="E762" s="306"/>
      <c r="F762" s="306"/>
      <c r="G762" s="232"/>
      <c r="H762" s="232"/>
      <c r="I762" s="301"/>
    </row>
    <row r="763" spans="2:9" s="297" customFormat="1" ht="21" customHeight="1">
      <c r="B763" s="305"/>
      <c r="C763" s="305"/>
      <c r="D763" s="234"/>
      <c r="E763" s="306"/>
      <c r="F763" s="306"/>
      <c r="G763" s="308"/>
      <c r="H763" s="233"/>
      <c r="I763" s="301"/>
    </row>
    <row r="764" spans="2:9" s="297" customFormat="1" ht="21" customHeight="1">
      <c r="B764" s="305"/>
      <c r="C764" s="305"/>
      <c r="D764" s="234"/>
      <c r="E764" s="306"/>
      <c r="F764" s="306"/>
      <c r="G764" s="308"/>
      <c r="H764" s="233"/>
      <c r="I764" s="301"/>
    </row>
    <row r="765" spans="2:9" s="297" customFormat="1" ht="21" customHeight="1">
      <c r="B765" s="305"/>
      <c r="C765" s="305"/>
      <c r="D765" s="234"/>
      <c r="E765" s="306"/>
      <c r="F765" s="306"/>
      <c r="G765" s="308"/>
      <c r="H765" s="233"/>
      <c r="I765" s="301"/>
    </row>
    <row r="766" spans="2:9" s="297" customFormat="1" ht="21" customHeight="1">
      <c r="B766" s="312" t="s">
        <v>837</v>
      </c>
      <c r="C766" s="305"/>
      <c r="D766" s="234"/>
      <c r="E766" s="307"/>
      <c r="F766" s="307"/>
      <c r="G766" s="232"/>
      <c r="H766" s="233"/>
      <c r="I766" s="301"/>
    </row>
    <row r="767" spans="2:9" s="297" customFormat="1" ht="21" customHeight="1">
      <c r="B767" s="305"/>
      <c r="C767" s="305" t="s">
        <v>64</v>
      </c>
      <c r="D767" s="234" t="s">
        <v>836</v>
      </c>
      <c r="E767" s="307">
        <v>4.0000000000000001E-3</v>
      </c>
      <c r="F767" s="307"/>
      <c r="G767" s="232"/>
      <c r="H767" s="233"/>
      <c r="I767" s="301"/>
    </row>
    <row r="768" spans="2:9" s="297" customFormat="1" ht="21" customHeight="1">
      <c r="B768" s="305"/>
      <c r="C768" s="305"/>
      <c r="D768" s="234"/>
      <c r="E768" s="307"/>
      <c r="F768" s="307"/>
      <c r="G768" s="232"/>
      <c r="H768" s="233"/>
      <c r="I768" s="301"/>
    </row>
    <row r="769" spans="2:9" s="297" customFormat="1" ht="21" customHeight="1">
      <c r="B769" s="305"/>
      <c r="C769" s="305"/>
      <c r="D769" s="234"/>
      <c r="E769" s="306"/>
      <c r="F769" s="306"/>
      <c r="G769" s="232"/>
      <c r="H769" s="232"/>
      <c r="I769" s="301"/>
    </row>
    <row r="770" spans="2:9" s="297" customFormat="1" ht="21" customHeight="1">
      <c r="B770" s="305"/>
      <c r="C770" s="305"/>
      <c r="D770" s="234"/>
      <c r="E770" s="306"/>
      <c r="F770" s="306"/>
      <c r="G770" s="308"/>
      <c r="H770" s="233"/>
      <c r="I770" s="301"/>
    </row>
    <row r="771" spans="2:9" s="297" customFormat="1" ht="21" customHeight="1">
      <c r="B771" s="300" t="str">
        <f>'5. 공종별예산조서'!$A$63</f>
        <v>2-4. 시스템박스 철거</v>
      </c>
      <c r="C771" s="300" t="str">
        <f>'5. 공종별예산조서'!$B$63</f>
        <v>콘크리트용</v>
      </c>
      <c r="D771" s="301" t="str">
        <f>'5. 공종별예산조서'!$C$63</f>
        <v>개</v>
      </c>
      <c r="E771" s="309">
        <f>'5. 공종별예산조서'!$D$63</f>
        <v>15</v>
      </c>
      <c r="F771" s="302"/>
      <c r="G771" s="303"/>
      <c r="H771" s="304"/>
      <c r="I771" s="301"/>
    </row>
    <row r="772" spans="2:9" s="297" customFormat="1" ht="21" customHeight="1">
      <c r="B772" s="312" t="s">
        <v>834</v>
      </c>
      <c r="C772" s="305"/>
      <c r="D772" s="234"/>
      <c r="E772" s="310"/>
      <c r="F772" s="306"/>
      <c r="G772" s="232"/>
      <c r="H772" s="233"/>
      <c r="I772" s="301"/>
    </row>
    <row r="773" spans="2:9" s="297" customFormat="1" ht="21" customHeight="1">
      <c r="B773" s="305" t="s">
        <v>1115</v>
      </c>
      <c r="C773" s="305" t="str">
        <f>C771</f>
        <v>콘크리트용</v>
      </c>
      <c r="D773" s="234" t="str">
        <f>D771</f>
        <v>개</v>
      </c>
      <c r="E773" s="311">
        <f>E771</f>
        <v>15</v>
      </c>
      <c r="F773" s="307"/>
      <c r="G773" s="232"/>
      <c r="H773" s="233"/>
      <c r="I773" s="301"/>
    </row>
    <row r="774" spans="2:9" s="297" customFormat="1" ht="21" customHeight="1">
      <c r="B774" s="305"/>
      <c r="C774" s="305"/>
      <c r="D774" s="234"/>
      <c r="E774" s="311"/>
      <c r="F774" s="307"/>
      <c r="G774" s="232"/>
      <c r="H774" s="233"/>
      <c r="I774" s="301"/>
    </row>
    <row r="775" spans="2:9" s="297" customFormat="1" ht="21" customHeight="1">
      <c r="B775" s="305"/>
      <c r="C775" s="305"/>
      <c r="D775" s="234"/>
      <c r="E775" s="311"/>
      <c r="F775" s="307"/>
      <c r="G775" s="232"/>
      <c r="H775" s="233"/>
      <c r="I775" s="301"/>
    </row>
    <row r="776" spans="2:9" s="297" customFormat="1" ht="21" customHeight="1">
      <c r="B776" s="305"/>
      <c r="C776" s="305"/>
      <c r="D776" s="234"/>
      <c r="E776" s="311"/>
      <c r="F776" s="307"/>
      <c r="G776" s="232"/>
      <c r="H776" s="233"/>
      <c r="I776" s="301"/>
    </row>
    <row r="777" spans="2:9" s="297" customFormat="1" ht="21" customHeight="1">
      <c r="B777" s="305"/>
      <c r="C777" s="305"/>
      <c r="D777" s="234"/>
      <c r="E777" s="311"/>
      <c r="F777" s="307"/>
      <c r="G777" s="232"/>
      <c r="H777" s="233"/>
      <c r="I777" s="301"/>
    </row>
    <row r="778" spans="2:9" s="297" customFormat="1" ht="21" customHeight="1">
      <c r="B778" s="305"/>
      <c r="C778" s="305"/>
      <c r="D778" s="234"/>
      <c r="E778" s="311"/>
      <c r="F778" s="307"/>
      <c r="G778" s="232"/>
      <c r="H778" s="233"/>
      <c r="I778" s="301"/>
    </row>
    <row r="779" spans="2:9" s="297" customFormat="1" ht="21" customHeight="1">
      <c r="B779" s="305"/>
      <c r="C779" s="305"/>
      <c r="D779" s="234"/>
      <c r="E779" s="311"/>
      <c r="F779" s="307"/>
      <c r="G779" s="232"/>
      <c r="H779" s="233"/>
      <c r="I779" s="301"/>
    </row>
    <row r="780" spans="2:9" s="297" customFormat="1" ht="21" customHeight="1">
      <c r="B780" s="305"/>
      <c r="C780" s="305"/>
      <c r="D780" s="234"/>
      <c r="E780" s="311"/>
      <c r="F780" s="307"/>
      <c r="G780" s="232"/>
      <c r="H780" s="233"/>
      <c r="I780" s="301"/>
    </row>
    <row r="781" spans="2:9" s="297" customFormat="1" ht="21" customHeight="1">
      <c r="B781" s="305"/>
      <c r="C781" s="305"/>
      <c r="D781" s="234"/>
      <c r="E781" s="311"/>
      <c r="F781" s="307"/>
      <c r="G781" s="232"/>
      <c r="H781" s="233"/>
      <c r="I781" s="301"/>
    </row>
    <row r="782" spans="2:9" s="297" customFormat="1" ht="21" customHeight="1">
      <c r="B782" s="305"/>
      <c r="C782" s="305"/>
      <c r="D782" s="234"/>
      <c r="E782" s="307"/>
      <c r="F782" s="307"/>
      <c r="G782" s="232"/>
      <c r="H782" s="233"/>
      <c r="I782" s="301"/>
    </row>
    <row r="783" spans="2:9" s="297" customFormat="1" ht="21" customHeight="1">
      <c r="B783" s="312" t="s">
        <v>835</v>
      </c>
      <c r="C783" s="305"/>
      <c r="D783" s="234"/>
      <c r="E783" s="307"/>
      <c r="F783" s="307"/>
      <c r="G783" s="232"/>
      <c r="H783" s="233"/>
      <c r="I783" s="301"/>
    </row>
    <row r="784" spans="2:9" s="297" customFormat="1" ht="21" customHeight="1">
      <c r="B784" s="305"/>
      <c r="C784" s="305" t="s">
        <v>64</v>
      </c>
      <c r="D784" s="234" t="s">
        <v>836</v>
      </c>
      <c r="E784" s="307">
        <v>2.835</v>
      </c>
      <c r="F784" s="307"/>
      <c r="G784" s="232"/>
      <c r="H784" s="233"/>
      <c r="I784" s="301"/>
    </row>
    <row r="785" spans="2:9" s="297" customFormat="1" ht="21" customHeight="1">
      <c r="B785" s="305"/>
      <c r="C785" s="305"/>
      <c r="D785" s="234"/>
      <c r="E785" s="307"/>
      <c r="F785" s="307"/>
      <c r="G785" s="232"/>
      <c r="H785" s="233"/>
      <c r="I785" s="301"/>
    </row>
    <row r="786" spans="2:9" s="297" customFormat="1" ht="21" customHeight="1">
      <c r="B786" s="305"/>
      <c r="C786" s="305"/>
      <c r="D786" s="234"/>
      <c r="E786" s="306"/>
      <c r="F786" s="306"/>
      <c r="G786" s="232"/>
      <c r="H786" s="232"/>
      <c r="I786" s="301"/>
    </row>
    <row r="787" spans="2:9" s="297" customFormat="1" ht="21" customHeight="1">
      <c r="B787" s="305"/>
      <c r="C787" s="305"/>
      <c r="D787" s="234"/>
      <c r="E787" s="306"/>
      <c r="F787" s="306"/>
      <c r="G787" s="308"/>
      <c r="H787" s="233"/>
      <c r="I787" s="301"/>
    </row>
    <row r="788" spans="2:9" s="297" customFormat="1" ht="21" customHeight="1">
      <c r="B788" s="305"/>
      <c r="C788" s="305"/>
      <c r="D788" s="234"/>
      <c r="E788" s="306"/>
      <c r="F788" s="306"/>
      <c r="G788" s="308"/>
      <c r="H788" s="233"/>
      <c r="I788" s="301"/>
    </row>
    <row r="789" spans="2:9" s="297" customFormat="1" ht="21" customHeight="1">
      <c r="B789" s="305"/>
      <c r="C789" s="305"/>
      <c r="D789" s="234"/>
      <c r="E789" s="306"/>
      <c r="F789" s="306"/>
      <c r="G789" s="308"/>
      <c r="H789" s="233"/>
      <c r="I789" s="301"/>
    </row>
    <row r="790" spans="2:9" s="297" customFormat="1" ht="21" customHeight="1">
      <c r="B790" s="312" t="s">
        <v>837</v>
      </c>
      <c r="C790" s="305"/>
      <c r="D790" s="234"/>
      <c r="E790" s="307"/>
      <c r="F790" s="307"/>
      <c r="G790" s="232"/>
      <c r="H790" s="233"/>
      <c r="I790" s="301"/>
    </row>
    <row r="791" spans="2:9" s="297" customFormat="1" ht="21" customHeight="1">
      <c r="B791" s="305"/>
      <c r="C791" s="305" t="s">
        <v>64</v>
      </c>
      <c r="D791" s="234" t="s">
        <v>836</v>
      </c>
      <c r="E791" s="307">
        <v>8.5000000000000006E-2</v>
      </c>
      <c r="F791" s="307"/>
      <c r="G791" s="232"/>
      <c r="H791" s="233"/>
      <c r="I791" s="301"/>
    </row>
    <row r="792" spans="2:9" s="297" customFormat="1" ht="21" customHeight="1">
      <c r="B792" s="305"/>
      <c r="C792" s="305"/>
      <c r="D792" s="234"/>
      <c r="E792" s="307"/>
      <c r="F792" s="307"/>
      <c r="G792" s="232"/>
      <c r="H792" s="233"/>
      <c r="I792" s="301"/>
    </row>
    <row r="793" spans="2:9" s="297" customFormat="1" ht="21" customHeight="1">
      <c r="B793" s="305"/>
      <c r="C793" s="305"/>
      <c r="D793" s="234"/>
      <c r="E793" s="306"/>
      <c r="F793" s="306"/>
      <c r="G793" s="232"/>
      <c r="H793" s="232"/>
      <c r="I793" s="301"/>
    </row>
    <row r="794" spans="2:9" s="297" customFormat="1" ht="21" customHeight="1">
      <c r="B794" s="305"/>
      <c r="C794" s="305"/>
      <c r="D794" s="234"/>
      <c r="E794" s="306"/>
      <c r="F794" s="306"/>
      <c r="G794" s="308"/>
      <c r="H794" s="233"/>
      <c r="I794" s="301"/>
    </row>
    <row r="795" spans="2:9" s="297" customFormat="1" ht="21" customHeight="1">
      <c r="B795" s="300" t="str">
        <f>'5. 공종별예산조서'!$A$64</f>
        <v>2-5. 화인박스 철거</v>
      </c>
      <c r="C795" s="300" t="str">
        <f>'5. 공종별예산조서'!$B$64</f>
        <v>화인박스</v>
      </c>
      <c r="D795" s="301" t="str">
        <f>'5. 공종별예산조서'!$C$64</f>
        <v>개</v>
      </c>
      <c r="E795" s="309">
        <f>'5. 공종별예산조서'!$D$64</f>
        <v>11</v>
      </c>
      <c r="F795" s="302"/>
      <c r="G795" s="303"/>
      <c r="H795" s="304"/>
      <c r="I795" s="301"/>
    </row>
    <row r="796" spans="2:9" s="297" customFormat="1" ht="21" customHeight="1">
      <c r="B796" s="312" t="s">
        <v>834</v>
      </c>
      <c r="C796" s="305"/>
      <c r="D796" s="234"/>
      <c r="E796" s="310"/>
      <c r="F796" s="306"/>
      <c r="G796" s="232"/>
      <c r="H796" s="233"/>
      <c r="I796" s="301"/>
    </row>
    <row r="797" spans="2:9" s="297" customFormat="1" ht="21" customHeight="1">
      <c r="B797" s="305" t="s">
        <v>1077</v>
      </c>
      <c r="C797" s="305" t="str">
        <f>C795</f>
        <v>화인박스</v>
      </c>
      <c r="D797" s="234" t="str">
        <f>D795</f>
        <v>개</v>
      </c>
      <c r="E797" s="311">
        <f>E795</f>
        <v>11</v>
      </c>
      <c r="F797" s="307"/>
      <c r="G797" s="232"/>
      <c r="H797" s="233"/>
      <c r="I797" s="301"/>
    </row>
    <row r="798" spans="2:9" s="297" customFormat="1" ht="21" customHeight="1">
      <c r="B798" s="305"/>
      <c r="C798" s="305"/>
      <c r="D798" s="234"/>
      <c r="E798" s="311"/>
      <c r="F798" s="307"/>
      <c r="G798" s="232"/>
      <c r="H798" s="233"/>
      <c r="I798" s="301"/>
    </row>
    <row r="799" spans="2:9" s="297" customFormat="1" ht="21" customHeight="1">
      <c r="B799" s="305"/>
      <c r="C799" s="305"/>
      <c r="D799" s="234"/>
      <c r="E799" s="311"/>
      <c r="F799" s="307"/>
      <c r="G799" s="232"/>
      <c r="H799" s="233"/>
      <c r="I799" s="301"/>
    </row>
    <row r="800" spans="2:9" s="297" customFormat="1" ht="21" customHeight="1">
      <c r="B800" s="305"/>
      <c r="C800" s="305"/>
      <c r="D800" s="234"/>
      <c r="E800" s="311"/>
      <c r="F800" s="307"/>
      <c r="G800" s="232"/>
      <c r="H800" s="233"/>
      <c r="I800" s="301"/>
    </row>
    <row r="801" spans="2:9" s="297" customFormat="1" ht="21" customHeight="1">
      <c r="B801" s="305"/>
      <c r="C801" s="305"/>
      <c r="D801" s="234"/>
      <c r="E801" s="311"/>
      <c r="F801" s="307"/>
      <c r="G801" s="232"/>
      <c r="H801" s="233"/>
      <c r="I801" s="301"/>
    </row>
    <row r="802" spans="2:9" s="297" customFormat="1" ht="21" customHeight="1">
      <c r="B802" s="305"/>
      <c r="C802" s="305"/>
      <c r="D802" s="234"/>
      <c r="E802" s="311"/>
      <c r="F802" s="307"/>
      <c r="G802" s="232"/>
      <c r="H802" s="233"/>
      <c r="I802" s="301"/>
    </row>
    <row r="803" spans="2:9" s="297" customFormat="1" ht="21" customHeight="1">
      <c r="B803" s="305"/>
      <c r="C803" s="305"/>
      <c r="D803" s="234"/>
      <c r="E803" s="311"/>
      <c r="F803" s="307"/>
      <c r="G803" s="232"/>
      <c r="H803" s="233"/>
      <c r="I803" s="301"/>
    </row>
    <row r="804" spans="2:9" s="297" customFormat="1" ht="21" customHeight="1">
      <c r="B804" s="305"/>
      <c r="C804" s="305"/>
      <c r="D804" s="234"/>
      <c r="E804" s="311"/>
      <c r="F804" s="307"/>
      <c r="G804" s="232"/>
      <c r="H804" s="233"/>
      <c r="I804" s="301"/>
    </row>
    <row r="805" spans="2:9" s="297" customFormat="1" ht="21" customHeight="1">
      <c r="B805" s="305"/>
      <c r="C805" s="305"/>
      <c r="D805" s="234"/>
      <c r="E805" s="311"/>
      <c r="F805" s="307"/>
      <c r="G805" s="232"/>
      <c r="H805" s="233"/>
      <c r="I805" s="301"/>
    </row>
    <row r="806" spans="2:9" s="297" customFormat="1" ht="21" customHeight="1">
      <c r="B806" s="305"/>
      <c r="C806" s="305"/>
      <c r="D806" s="234"/>
      <c r="E806" s="307"/>
      <c r="F806" s="307"/>
      <c r="G806" s="232"/>
      <c r="H806" s="233"/>
      <c r="I806" s="301"/>
    </row>
    <row r="807" spans="2:9" s="297" customFormat="1" ht="21" customHeight="1">
      <c r="B807" s="312" t="s">
        <v>835</v>
      </c>
      <c r="C807" s="305"/>
      <c r="D807" s="234"/>
      <c r="E807" s="307"/>
      <c r="F807" s="307"/>
      <c r="G807" s="232"/>
      <c r="H807" s="233"/>
      <c r="I807" s="301"/>
    </row>
    <row r="808" spans="2:9" s="297" customFormat="1" ht="21" customHeight="1">
      <c r="B808" s="305"/>
      <c r="C808" s="305" t="s">
        <v>64</v>
      </c>
      <c r="D808" s="234" t="s">
        <v>836</v>
      </c>
      <c r="E808" s="307">
        <v>2.1779999999999999</v>
      </c>
      <c r="F808" s="307"/>
      <c r="G808" s="232"/>
      <c r="H808" s="233"/>
      <c r="I808" s="301"/>
    </row>
    <row r="809" spans="2:9" s="297" customFormat="1" ht="21" customHeight="1">
      <c r="B809" s="305"/>
      <c r="C809" s="305"/>
      <c r="D809" s="234"/>
      <c r="E809" s="307"/>
      <c r="F809" s="307"/>
      <c r="G809" s="232"/>
      <c r="H809" s="233"/>
      <c r="I809" s="301"/>
    </row>
    <row r="810" spans="2:9" s="297" customFormat="1" ht="21" customHeight="1">
      <c r="B810" s="305"/>
      <c r="C810" s="305"/>
      <c r="D810" s="234"/>
      <c r="E810" s="306"/>
      <c r="F810" s="306"/>
      <c r="G810" s="232"/>
      <c r="H810" s="232"/>
      <c r="I810" s="301"/>
    </row>
    <row r="811" spans="2:9" s="297" customFormat="1" ht="21" customHeight="1">
      <c r="B811" s="305"/>
      <c r="C811" s="305"/>
      <c r="D811" s="234"/>
      <c r="E811" s="306"/>
      <c r="F811" s="306"/>
      <c r="G811" s="308"/>
      <c r="H811" s="233"/>
      <c r="I811" s="301"/>
    </row>
    <row r="812" spans="2:9" s="297" customFormat="1" ht="21" customHeight="1">
      <c r="B812" s="305"/>
      <c r="C812" s="305"/>
      <c r="D812" s="234"/>
      <c r="E812" s="306"/>
      <c r="F812" s="306"/>
      <c r="G812" s="308"/>
      <c r="H812" s="233"/>
      <c r="I812" s="301"/>
    </row>
    <row r="813" spans="2:9" s="297" customFormat="1" ht="21" customHeight="1">
      <c r="B813" s="305"/>
      <c r="C813" s="305"/>
      <c r="D813" s="234"/>
      <c r="E813" s="306"/>
      <c r="F813" s="306"/>
      <c r="G813" s="308"/>
      <c r="H813" s="233"/>
      <c r="I813" s="301"/>
    </row>
    <row r="814" spans="2:9" s="297" customFormat="1" ht="21" customHeight="1">
      <c r="B814" s="312" t="s">
        <v>837</v>
      </c>
      <c r="C814" s="305"/>
      <c r="D814" s="234"/>
      <c r="E814" s="307"/>
      <c r="F814" s="307"/>
      <c r="G814" s="232"/>
      <c r="H814" s="233"/>
      <c r="I814" s="301"/>
    </row>
    <row r="815" spans="2:9" s="297" customFormat="1" ht="21" customHeight="1">
      <c r="B815" s="305"/>
      <c r="C815" s="305" t="s">
        <v>64</v>
      </c>
      <c r="D815" s="234" t="s">
        <v>836</v>
      </c>
      <c r="E815" s="307">
        <v>6.5000000000000002E-2</v>
      </c>
      <c r="F815" s="307"/>
      <c r="G815" s="232"/>
      <c r="H815" s="233"/>
      <c r="I815" s="301"/>
    </row>
    <row r="816" spans="2:9" s="297" customFormat="1" ht="21" customHeight="1">
      <c r="B816" s="305"/>
      <c r="C816" s="305"/>
      <c r="D816" s="234"/>
      <c r="E816" s="307"/>
      <c r="F816" s="307"/>
      <c r="G816" s="232"/>
      <c r="H816" s="233"/>
      <c r="I816" s="301"/>
    </row>
    <row r="817" spans="2:9" s="297" customFormat="1" ht="21" customHeight="1">
      <c r="B817" s="305"/>
      <c r="C817" s="305"/>
      <c r="D817" s="234"/>
      <c r="E817" s="306"/>
      <c r="F817" s="306"/>
      <c r="G817" s="232"/>
      <c r="H817" s="232"/>
      <c r="I817" s="301"/>
    </row>
    <row r="818" spans="2:9" s="297" customFormat="1" ht="21" customHeight="1">
      <c r="B818" s="305"/>
      <c r="C818" s="305"/>
      <c r="D818" s="234"/>
      <c r="E818" s="306"/>
      <c r="F818" s="306"/>
      <c r="G818" s="308"/>
      <c r="H818" s="233"/>
      <c r="I818" s="301"/>
    </row>
    <row r="819" spans="2:9" s="297" customFormat="1" ht="21" customHeight="1">
      <c r="B819" s="300" t="str">
        <f>'5. 공종별예산조서'!$A$65</f>
        <v>2-6. 1종금속제가요전선관 신설</v>
      </c>
      <c r="C819" s="300" t="str">
        <f>'5. 공종별예산조서'!$B$65</f>
        <v>일반, 16C</v>
      </c>
      <c r="D819" s="301" t="str">
        <f>'5. 공종별예산조서'!$C$65</f>
        <v>M</v>
      </c>
      <c r="E819" s="309">
        <f>'5. 공종별예산조서'!$D$65</f>
        <v>902</v>
      </c>
      <c r="F819" s="302"/>
      <c r="G819" s="303"/>
      <c r="H819" s="304"/>
      <c r="I819" s="301"/>
    </row>
    <row r="820" spans="2:9" s="297" customFormat="1" ht="21" customHeight="1">
      <c r="B820" s="312" t="s">
        <v>834</v>
      </c>
      <c r="C820" s="305"/>
      <c r="D820" s="234"/>
      <c r="E820" s="310"/>
      <c r="F820" s="306"/>
      <c r="G820" s="232"/>
      <c r="H820" s="233"/>
      <c r="I820" s="301"/>
    </row>
    <row r="821" spans="2:9" s="297" customFormat="1" ht="21" customHeight="1">
      <c r="B821" s="305" t="s">
        <v>1084</v>
      </c>
      <c r="C821" s="305" t="str">
        <f>C819</f>
        <v>일반, 16C</v>
      </c>
      <c r="D821" s="234" t="str">
        <f>D819</f>
        <v>M</v>
      </c>
      <c r="E821" s="311">
        <f>E819</f>
        <v>902</v>
      </c>
      <c r="F821" s="307"/>
      <c r="G821" s="232"/>
      <c r="H821" s="233"/>
      <c r="I821" s="301"/>
    </row>
    <row r="822" spans="2:9" s="297" customFormat="1" ht="21" customHeight="1">
      <c r="B822" s="305" t="s">
        <v>839</v>
      </c>
      <c r="C822" s="305" t="s">
        <v>840</v>
      </c>
      <c r="D822" s="234" t="s">
        <v>6</v>
      </c>
      <c r="E822" s="311">
        <v>1</v>
      </c>
      <c r="F822" s="307"/>
      <c r="G822" s="232"/>
      <c r="H822" s="233"/>
      <c r="I822" s="301"/>
    </row>
    <row r="823" spans="2:9" s="297" customFormat="1" ht="21" customHeight="1">
      <c r="B823" s="305"/>
      <c r="C823" s="305"/>
      <c r="D823" s="234"/>
      <c r="E823" s="311"/>
      <c r="F823" s="307"/>
      <c r="G823" s="232"/>
      <c r="H823" s="233"/>
      <c r="I823" s="301"/>
    </row>
    <row r="824" spans="2:9" s="297" customFormat="1" ht="21" customHeight="1">
      <c r="B824" s="305"/>
      <c r="C824" s="305"/>
      <c r="D824" s="234"/>
      <c r="E824" s="311"/>
      <c r="F824" s="307"/>
      <c r="G824" s="232"/>
      <c r="H824" s="233"/>
      <c r="I824" s="301"/>
    </row>
    <row r="825" spans="2:9" s="297" customFormat="1" ht="21" customHeight="1">
      <c r="B825" s="305"/>
      <c r="C825" s="305"/>
      <c r="D825" s="234"/>
      <c r="E825" s="311"/>
      <c r="F825" s="307"/>
      <c r="G825" s="232"/>
      <c r="H825" s="233"/>
      <c r="I825" s="301"/>
    </row>
    <row r="826" spans="2:9" s="297" customFormat="1" ht="21" customHeight="1">
      <c r="B826" s="305"/>
      <c r="C826" s="305"/>
      <c r="D826" s="234"/>
      <c r="E826" s="311"/>
      <c r="F826" s="307"/>
      <c r="G826" s="232"/>
      <c r="H826" s="233"/>
      <c r="I826" s="301"/>
    </row>
    <row r="827" spans="2:9" s="297" customFormat="1" ht="21" customHeight="1">
      <c r="B827" s="305"/>
      <c r="C827" s="305"/>
      <c r="D827" s="234"/>
      <c r="E827" s="311"/>
      <c r="F827" s="307"/>
      <c r="G827" s="232"/>
      <c r="H827" s="233"/>
      <c r="I827" s="301"/>
    </row>
    <row r="828" spans="2:9" s="297" customFormat="1" ht="21" customHeight="1">
      <c r="B828" s="305"/>
      <c r="C828" s="305"/>
      <c r="D828" s="234"/>
      <c r="E828" s="311"/>
      <c r="F828" s="307"/>
      <c r="G828" s="232"/>
      <c r="H828" s="233"/>
      <c r="I828" s="301"/>
    </row>
    <row r="829" spans="2:9" s="297" customFormat="1" ht="21" customHeight="1">
      <c r="B829" s="305"/>
      <c r="C829" s="305"/>
      <c r="D829" s="234"/>
      <c r="E829" s="311"/>
      <c r="F829" s="307"/>
      <c r="G829" s="232"/>
      <c r="H829" s="233"/>
      <c r="I829" s="301"/>
    </row>
    <row r="830" spans="2:9" s="297" customFormat="1" ht="21" customHeight="1">
      <c r="B830" s="305"/>
      <c r="C830" s="305"/>
      <c r="D830" s="234"/>
      <c r="E830" s="307"/>
      <c r="F830" s="307"/>
      <c r="G830" s="232"/>
      <c r="H830" s="233"/>
      <c r="I830" s="301"/>
    </row>
    <row r="831" spans="2:9" s="297" customFormat="1" ht="21" customHeight="1">
      <c r="B831" s="312" t="s">
        <v>835</v>
      </c>
      <c r="C831" s="305"/>
      <c r="D831" s="234"/>
      <c r="E831" s="307"/>
      <c r="F831" s="307"/>
      <c r="G831" s="232"/>
      <c r="H831" s="233"/>
      <c r="I831" s="301"/>
    </row>
    <row r="832" spans="2:9" s="297" customFormat="1" ht="21" customHeight="1">
      <c r="B832" s="305"/>
      <c r="C832" s="305" t="s">
        <v>64</v>
      </c>
      <c r="D832" s="234" t="s">
        <v>836</v>
      </c>
      <c r="E832" s="307">
        <v>35.719000000000001</v>
      </c>
      <c r="F832" s="307"/>
      <c r="G832" s="232"/>
      <c r="H832" s="233"/>
      <c r="I832" s="301"/>
    </row>
    <row r="833" spans="2:9" s="297" customFormat="1" ht="21" customHeight="1">
      <c r="B833" s="305"/>
      <c r="C833" s="305"/>
      <c r="D833" s="234"/>
      <c r="E833" s="307"/>
      <c r="F833" s="307"/>
      <c r="G833" s="232"/>
      <c r="H833" s="233"/>
      <c r="I833" s="301"/>
    </row>
    <row r="834" spans="2:9" s="297" customFormat="1" ht="21" customHeight="1">
      <c r="B834" s="305"/>
      <c r="C834" s="305"/>
      <c r="D834" s="234"/>
      <c r="E834" s="306"/>
      <c r="F834" s="306"/>
      <c r="G834" s="232"/>
      <c r="H834" s="232"/>
      <c r="I834" s="301"/>
    </row>
    <row r="835" spans="2:9" s="297" customFormat="1" ht="21" customHeight="1">
      <c r="B835" s="305"/>
      <c r="C835" s="305"/>
      <c r="D835" s="234"/>
      <c r="E835" s="306"/>
      <c r="F835" s="306"/>
      <c r="G835" s="308"/>
      <c r="H835" s="233"/>
      <c r="I835" s="301"/>
    </row>
    <row r="836" spans="2:9" s="297" customFormat="1" ht="21" customHeight="1">
      <c r="B836" s="305"/>
      <c r="C836" s="305"/>
      <c r="D836" s="234"/>
      <c r="E836" s="306"/>
      <c r="F836" s="306"/>
      <c r="G836" s="308"/>
      <c r="H836" s="233"/>
      <c r="I836" s="301"/>
    </row>
    <row r="837" spans="2:9" s="297" customFormat="1" ht="21" customHeight="1">
      <c r="B837" s="305"/>
      <c r="C837" s="305"/>
      <c r="D837" s="234"/>
      <c r="E837" s="306"/>
      <c r="F837" s="306"/>
      <c r="G837" s="308"/>
      <c r="H837" s="233"/>
      <c r="I837" s="301"/>
    </row>
    <row r="838" spans="2:9" s="297" customFormat="1" ht="21" customHeight="1">
      <c r="B838" s="312" t="s">
        <v>837</v>
      </c>
      <c r="C838" s="305"/>
      <c r="D838" s="234"/>
      <c r="E838" s="307"/>
      <c r="F838" s="307"/>
      <c r="G838" s="232"/>
      <c r="H838" s="233"/>
      <c r="I838" s="301"/>
    </row>
    <row r="839" spans="2:9" s="297" customFormat="1" ht="21" customHeight="1">
      <c r="B839" s="305"/>
      <c r="C839" s="305" t="s">
        <v>64</v>
      </c>
      <c r="D839" s="234" t="s">
        <v>836</v>
      </c>
      <c r="E839" s="307">
        <v>1.075</v>
      </c>
      <c r="F839" s="307"/>
      <c r="G839" s="232"/>
      <c r="H839" s="233"/>
      <c r="I839" s="301"/>
    </row>
    <row r="840" spans="2:9" s="297" customFormat="1" ht="21" customHeight="1">
      <c r="B840" s="305"/>
      <c r="C840" s="305"/>
      <c r="D840" s="234"/>
      <c r="E840" s="307"/>
      <c r="F840" s="307"/>
      <c r="G840" s="232"/>
      <c r="H840" s="233"/>
      <c r="I840" s="301"/>
    </row>
    <row r="841" spans="2:9" s="297" customFormat="1" ht="21" customHeight="1">
      <c r="B841" s="305"/>
      <c r="C841" s="305"/>
      <c r="D841" s="234"/>
      <c r="E841" s="306"/>
      <c r="F841" s="306"/>
      <c r="G841" s="232"/>
      <c r="H841" s="232"/>
      <c r="I841" s="301"/>
    </row>
    <row r="842" spans="2:9" s="297" customFormat="1" ht="21" customHeight="1">
      <c r="B842" s="305"/>
      <c r="C842" s="305"/>
      <c r="D842" s="234"/>
      <c r="E842" s="306"/>
      <c r="F842" s="306"/>
      <c r="G842" s="308"/>
      <c r="H842" s="233"/>
      <c r="I842" s="301"/>
    </row>
    <row r="843" spans="2:9" s="297" customFormat="1" ht="21" customHeight="1">
      <c r="B843" s="300" t="str">
        <f>'5. 공종별예산조서'!$A$66</f>
        <v>2-7. 합성수지제가요전선관 신설</v>
      </c>
      <c r="C843" s="300" t="str">
        <f>'5. 공종별예산조서'!$B$66</f>
        <v>CD-난연성, 16C</v>
      </c>
      <c r="D843" s="301" t="str">
        <f>'5. 공종별예산조서'!$C$66</f>
        <v>M</v>
      </c>
      <c r="E843" s="309">
        <f>'5. 공종별예산조서'!$D$66</f>
        <v>58</v>
      </c>
      <c r="F843" s="302"/>
      <c r="G843" s="303"/>
      <c r="H843" s="304"/>
      <c r="I843" s="301"/>
    </row>
    <row r="844" spans="2:9" s="297" customFormat="1" ht="21" customHeight="1">
      <c r="B844" s="312" t="s">
        <v>834</v>
      </c>
      <c r="C844" s="305"/>
      <c r="D844" s="234"/>
      <c r="E844" s="310"/>
      <c r="F844" s="306"/>
      <c r="G844" s="232"/>
      <c r="H844" s="233"/>
      <c r="I844" s="301"/>
    </row>
    <row r="845" spans="2:9" s="297" customFormat="1" ht="21" customHeight="1">
      <c r="B845" s="305" t="s">
        <v>1116</v>
      </c>
      <c r="C845" s="305" t="str">
        <f>C843</f>
        <v>CD-난연성, 16C</v>
      </c>
      <c r="D845" s="234" t="str">
        <f>D843</f>
        <v>M</v>
      </c>
      <c r="E845" s="311">
        <f>E843</f>
        <v>58</v>
      </c>
      <c r="F845" s="307"/>
      <c r="G845" s="232"/>
      <c r="H845" s="233"/>
      <c r="I845" s="301"/>
    </row>
    <row r="846" spans="2:9" s="297" customFormat="1" ht="21" customHeight="1">
      <c r="B846" s="305" t="s">
        <v>839</v>
      </c>
      <c r="C846" s="305" t="s">
        <v>840</v>
      </c>
      <c r="D846" s="234" t="s">
        <v>6</v>
      </c>
      <c r="E846" s="311">
        <v>1</v>
      </c>
      <c r="F846" s="307"/>
      <c r="G846" s="232"/>
      <c r="H846" s="233"/>
      <c r="I846" s="301"/>
    </row>
    <row r="847" spans="2:9" s="297" customFormat="1" ht="21" customHeight="1">
      <c r="B847" s="305"/>
      <c r="C847" s="305"/>
      <c r="D847" s="234"/>
      <c r="E847" s="311"/>
      <c r="F847" s="307"/>
      <c r="G847" s="232"/>
      <c r="H847" s="233"/>
      <c r="I847" s="301"/>
    </row>
    <row r="848" spans="2:9" s="297" customFormat="1" ht="21" customHeight="1">
      <c r="B848" s="305"/>
      <c r="C848" s="305"/>
      <c r="D848" s="234"/>
      <c r="E848" s="311"/>
      <c r="F848" s="307"/>
      <c r="G848" s="232"/>
      <c r="H848" s="233"/>
      <c r="I848" s="301"/>
    </row>
    <row r="849" spans="2:9" s="297" customFormat="1" ht="21" customHeight="1">
      <c r="B849" s="305"/>
      <c r="C849" s="305"/>
      <c r="D849" s="234"/>
      <c r="E849" s="311"/>
      <c r="F849" s="307"/>
      <c r="G849" s="232"/>
      <c r="H849" s="233"/>
      <c r="I849" s="301"/>
    </row>
    <row r="850" spans="2:9" s="297" customFormat="1" ht="21" customHeight="1">
      <c r="B850" s="305"/>
      <c r="C850" s="305"/>
      <c r="D850" s="234"/>
      <c r="E850" s="311"/>
      <c r="F850" s="307"/>
      <c r="G850" s="232"/>
      <c r="H850" s="233"/>
      <c r="I850" s="301"/>
    </row>
    <row r="851" spans="2:9" s="297" customFormat="1" ht="21" customHeight="1">
      <c r="B851" s="305"/>
      <c r="C851" s="305"/>
      <c r="D851" s="234"/>
      <c r="E851" s="311"/>
      <c r="F851" s="307"/>
      <c r="G851" s="232"/>
      <c r="H851" s="233"/>
      <c r="I851" s="301"/>
    </row>
    <row r="852" spans="2:9" s="297" customFormat="1" ht="21" customHeight="1">
      <c r="B852" s="305"/>
      <c r="C852" s="305"/>
      <c r="D852" s="234"/>
      <c r="E852" s="311"/>
      <c r="F852" s="307"/>
      <c r="G852" s="232"/>
      <c r="H852" s="233"/>
      <c r="I852" s="301"/>
    </row>
    <row r="853" spans="2:9" s="297" customFormat="1" ht="21" customHeight="1">
      <c r="B853" s="305"/>
      <c r="C853" s="305"/>
      <c r="D853" s="234"/>
      <c r="E853" s="311"/>
      <c r="F853" s="307"/>
      <c r="G853" s="232"/>
      <c r="H853" s="233"/>
      <c r="I853" s="301"/>
    </row>
    <row r="854" spans="2:9" s="297" customFormat="1" ht="21" customHeight="1">
      <c r="B854" s="305"/>
      <c r="C854" s="305"/>
      <c r="D854" s="234"/>
      <c r="E854" s="307"/>
      <c r="F854" s="307"/>
      <c r="G854" s="232"/>
      <c r="H854" s="233"/>
      <c r="I854" s="301"/>
    </row>
    <row r="855" spans="2:9" s="297" customFormat="1" ht="21" customHeight="1">
      <c r="B855" s="312" t="s">
        <v>835</v>
      </c>
      <c r="C855" s="305"/>
      <c r="D855" s="234"/>
      <c r="E855" s="307"/>
      <c r="F855" s="307"/>
      <c r="G855" s="232"/>
      <c r="H855" s="233"/>
      <c r="I855" s="301"/>
    </row>
    <row r="856" spans="2:9" s="297" customFormat="1" ht="21" customHeight="1">
      <c r="B856" s="305"/>
      <c r="C856" s="305" t="s">
        <v>64</v>
      </c>
      <c r="D856" s="234" t="s">
        <v>836</v>
      </c>
      <c r="E856" s="307">
        <v>2.0880000000000001</v>
      </c>
      <c r="F856" s="307"/>
      <c r="G856" s="232"/>
      <c r="H856" s="233"/>
      <c r="I856" s="301"/>
    </row>
    <row r="857" spans="2:9" s="297" customFormat="1" ht="21" customHeight="1">
      <c r="B857" s="305"/>
      <c r="C857" s="305"/>
      <c r="D857" s="234"/>
      <c r="E857" s="307"/>
      <c r="F857" s="307"/>
      <c r="G857" s="232"/>
      <c r="H857" s="233"/>
      <c r="I857" s="301"/>
    </row>
    <row r="858" spans="2:9" s="297" customFormat="1" ht="21" customHeight="1">
      <c r="B858" s="305"/>
      <c r="C858" s="305"/>
      <c r="D858" s="234"/>
      <c r="E858" s="306"/>
      <c r="F858" s="306"/>
      <c r="G858" s="232"/>
      <c r="H858" s="232"/>
      <c r="I858" s="301"/>
    </row>
    <row r="859" spans="2:9" s="297" customFormat="1" ht="21" customHeight="1">
      <c r="B859" s="305"/>
      <c r="C859" s="305"/>
      <c r="D859" s="234"/>
      <c r="E859" s="306"/>
      <c r="F859" s="306"/>
      <c r="G859" s="308"/>
      <c r="H859" s="233"/>
      <c r="I859" s="301"/>
    </row>
    <row r="860" spans="2:9" s="297" customFormat="1" ht="21" customHeight="1">
      <c r="B860" s="305"/>
      <c r="C860" s="305"/>
      <c r="D860" s="234"/>
      <c r="E860" s="306"/>
      <c r="F860" s="306"/>
      <c r="G860" s="308"/>
      <c r="H860" s="233"/>
      <c r="I860" s="301"/>
    </row>
    <row r="861" spans="2:9" s="297" customFormat="1" ht="21" customHeight="1">
      <c r="B861" s="305"/>
      <c r="C861" s="305"/>
      <c r="D861" s="234"/>
      <c r="E861" s="306"/>
      <c r="F861" s="306"/>
      <c r="G861" s="308"/>
      <c r="H861" s="233"/>
      <c r="I861" s="301"/>
    </row>
    <row r="862" spans="2:9" s="297" customFormat="1" ht="21" customHeight="1">
      <c r="B862" s="312" t="s">
        <v>837</v>
      </c>
      <c r="C862" s="305"/>
      <c r="D862" s="234"/>
      <c r="E862" s="307"/>
      <c r="F862" s="307"/>
      <c r="G862" s="232"/>
      <c r="H862" s="233"/>
      <c r="I862" s="301"/>
    </row>
    <row r="863" spans="2:9" s="297" customFormat="1" ht="21" customHeight="1">
      <c r="B863" s="305"/>
      <c r="C863" s="305" t="s">
        <v>64</v>
      </c>
      <c r="D863" s="234" t="s">
        <v>836</v>
      </c>
      <c r="E863" s="307">
        <v>6.3E-2</v>
      </c>
      <c r="F863" s="307"/>
      <c r="G863" s="232"/>
      <c r="H863" s="233"/>
      <c r="I863" s="301"/>
    </row>
    <row r="864" spans="2:9" s="297" customFormat="1" ht="21" customHeight="1">
      <c r="B864" s="305"/>
      <c r="C864" s="305"/>
      <c r="D864" s="234"/>
      <c r="E864" s="307"/>
      <c r="F864" s="307"/>
      <c r="G864" s="232"/>
      <c r="H864" s="233"/>
      <c r="I864" s="301"/>
    </row>
    <row r="865" spans="2:9" s="297" customFormat="1" ht="21" customHeight="1">
      <c r="B865" s="305"/>
      <c r="C865" s="305"/>
      <c r="D865" s="234"/>
      <c r="E865" s="306"/>
      <c r="F865" s="306"/>
      <c r="G865" s="232"/>
      <c r="H865" s="232"/>
      <c r="I865" s="301"/>
    </row>
    <row r="866" spans="2:9" s="297" customFormat="1" ht="21" customHeight="1">
      <c r="B866" s="305"/>
      <c r="C866" s="305"/>
      <c r="D866" s="234"/>
      <c r="E866" s="306"/>
      <c r="F866" s="306"/>
      <c r="G866" s="308"/>
      <c r="H866" s="233"/>
      <c r="I866" s="301"/>
    </row>
    <row r="867" spans="2:9" s="297" customFormat="1" ht="21" customHeight="1">
      <c r="B867" s="300" t="str">
        <f>'5. 공종별예산조서'!$A$67</f>
        <v>2-8. 합성수지몰드 신설</v>
      </c>
      <c r="C867" s="300" t="str">
        <f>'5. 공종별예산조서'!$B$67</f>
        <v>20*10</v>
      </c>
      <c r="D867" s="301" t="str">
        <f>'5. 공종별예산조서'!$C$67</f>
        <v>M</v>
      </c>
      <c r="E867" s="309">
        <f>'5. 공종별예산조서'!$D$67</f>
        <v>60</v>
      </c>
      <c r="F867" s="302"/>
      <c r="G867" s="303"/>
      <c r="H867" s="304"/>
      <c r="I867" s="301"/>
    </row>
    <row r="868" spans="2:9" s="297" customFormat="1" ht="21" customHeight="1">
      <c r="B868" s="312" t="s">
        <v>834</v>
      </c>
      <c r="C868" s="305"/>
      <c r="D868" s="234"/>
      <c r="E868" s="310"/>
      <c r="F868" s="306"/>
      <c r="G868" s="232"/>
      <c r="H868" s="233"/>
      <c r="I868" s="301"/>
    </row>
    <row r="869" spans="2:9" s="297" customFormat="1" ht="21" customHeight="1">
      <c r="B869" s="305" t="s">
        <v>1117</v>
      </c>
      <c r="C869" s="305" t="str">
        <f>C867</f>
        <v>20*10</v>
      </c>
      <c r="D869" s="234" t="str">
        <f>D867</f>
        <v>M</v>
      </c>
      <c r="E869" s="311">
        <f>E867</f>
        <v>60</v>
      </c>
      <c r="F869" s="307"/>
      <c r="G869" s="232"/>
      <c r="H869" s="233"/>
      <c r="I869" s="301"/>
    </row>
    <row r="870" spans="2:9" s="297" customFormat="1" ht="21" customHeight="1">
      <c r="B870" s="305"/>
      <c r="C870" s="305"/>
      <c r="D870" s="234"/>
      <c r="E870" s="314"/>
      <c r="F870" s="307"/>
      <c r="G870" s="232"/>
      <c r="H870" s="233"/>
      <c r="I870" s="301"/>
    </row>
    <row r="871" spans="2:9" s="297" customFormat="1" ht="21" customHeight="1">
      <c r="B871" s="305"/>
      <c r="C871" s="305"/>
      <c r="D871" s="234"/>
      <c r="E871" s="311"/>
      <c r="F871" s="307"/>
      <c r="G871" s="232"/>
      <c r="H871" s="233"/>
      <c r="I871" s="301"/>
    </row>
    <row r="872" spans="2:9" s="297" customFormat="1" ht="21" customHeight="1">
      <c r="B872" s="305"/>
      <c r="C872" s="305"/>
      <c r="D872" s="234"/>
      <c r="E872" s="311"/>
      <c r="F872" s="307"/>
      <c r="G872" s="232"/>
      <c r="H872" s="233"/>
      <c r="I872" s="301"/>
    </row>
    <row r="873" spans="2:9" s="297" customFormat="1" ht="21" customHeight="1">
      <c r="B873" s="305"/>
      <c r="C873" s="305"/>
      <c r="D873" s="234"/>
      <c r="E873" s="311"/>
      <c r="F873" s="307"/>
      <c r="G873" s="232"/>
      <c r="H873" s="233"/>
      <c r="I873" s="301"/>
    </row>
    <row r="874" spans="2:9" s="297" customFormat="1" ht="21" customHeight="1">
      <c r="B874" s="305"/>
      <c r="C874" s="305"/>
      <c r="D874" s="234"/>
      <c r="E874" s="311"/>
      <c r="F874" s="307"/>
      <c r="G874" s="232"/>
      <c r="H874" s="233"/>
      <c r="I874" s="301"/>
    </row>
    <row r="875" spans="2:9" s="297" customFormat="1" ht="21" customHeight="1">
      <c r="B875" s="305"/>
      <c r="C875" s="305"/>
      <c r="D875" s="234"/>
      <c r="E875" s="311"/>
      <c r="F875" s="307"/>
      <c r="G875" s="232"/>
      <c r="H875" s="233"/>
      <c r="I875" s="301"/>
    </row>
    <row r="876" spans="2:9" s="297" customFormat="1" ht="21" customHeight="1">
      <c r="B876" s="305"/>
      <c r="C876" s="305"/>
      <c r="D876" s="234"/>
      <c r="E876" s="311"/>
      <c r="F876" s="307"/>
      <c r="G876" s="232"/>
      <c r="H876" s="233"/>
      <c r="I876" s="301"/>
    </row>
    <row r="877" spans="2:9" s="297" customFormat="1" ht="21" customHeight="1">
      <c r="B877" s="305"/>
      <c r="C877" s="305"/>
      <c r="D877" s="234"/>
      <c r="E877" s="311"/>
      <c r="F877" s="307"/>
      <c r="G877" s="232"/>
      <c r="H877" s="233"/>
      <c r="I877" s="301"/>
    </row>
    <row r="878" spans="2:9" s="297" customFormat="1" ht="21" customHeight="1">
      <c r="B878" s="305"/>
      <c r="C878" s="305"/>
      <c r="D878" s="234"/>
      <c r="E878" s="307"/>
      <c r="F878" s="307"/>
      <c r="G878" s="232"/>
      <c r="H878" s="233"/>
      <c r="I878" s="301"/>
    </row>
    <row r="879" spans="2:9" s="297" customFormat="1" ht="21" customHeight="1">
      <c r="B879" s="312" t="s">
        <v>835</v>
      </c>
      <c r="C879" s="305"/>
      <c r="D879" s="234"/>
      <c r="E879" s="307"/>
      <c r="F879" s="307"/>
      <c r="G879" s="232"/>
      <c r="H879" s="233"/>
      <c r="I879" s="301"/>
    </row>
    <row r="880" spans="2:9" s="297" customFormat="1" ht="21" customHeight="1">
      <c r="B880" s="305"/>
      <c r="C880" s="305" t="s">
        <v>64</v>
      </c>
      <c r="D880" s="234" t="s">
        <v>836</v>
      </c>
      <c r="E880" s="307">
        <v>1.5</v>
      </c>
      <c r="F880" s="307"/>
      <c r="G880" s="232"/>
      <c r="H880" s="233"/>
      <c r="I880" s="301"/>
    </row>
    <row r="881" spans="2:9" s="297" customFormat="1" ht="21" customHeight="1">
      <c r="B881" s="305"/>
      <c r="C881" s="305"/>
      <c r="D881" s="234"/>
      <c r="E881" s="307"/>
      <c r="F881" s="307"/>
      <c r="G881" s="232"/>
      <c r="H881" s="233"/>
      <c r="I881" s="301"/>
    </row>
    <row r="882" spans="2:9" s="297" customFormat="1" ht="21" customHeight="1">
      <c r="B882" s="305"/>
      <c r="C882" s="305"/>
      <c r="D882" s="234"/>
      <c r="E882" s="306"/>
      <c r="F882" s="306"/>
      <c r="G882" s="232"/>
      <c r="H882" s="232"/>
      <c r="I882" s="301"/>
    </row>
    <row r="883" spans="2:9" s="297" customFormat="1" ht="21" customHeight="1">
      <c r="B883" s="305"/>
      <c r="C883" s="305"/>
      <c r="D883" s="234"/>
      <c r="E883" s="306"/>
      <c r="F883" s="306"/>
      <c r="G883" s="308"/>
      <c r="H883" s="233"/>
      <c r="I883" s="301"/>
    </row>
    <row r="884" spans="2:9" s="297" customFormat="1" ht="21" customHeight="1">
      <c r="B884" s="305"/>
      <c r="C884" s="305"/>
      <c r="D884" s="234"/>
      <c r="E884" s="306"/>
      <c r="F884" s="306"/>
      <c r="G884" s="308"/>
      <c r="H884" s="233"/>
      <c r="I884" s="301"/>
    </row>
    <row r="885" spans="2:9" s="297" customFormat="1" ht="21" customHeight="1">
      <c r="B885" s="305"/>
      <c r="C885" s="305"/>
      <c r="D885" s="234"/>
      <c r="E885" s="306"/>
      <c r="F885" s="306"/>
      <c r="G885" s="308"/>
      <c r="H885" s="233"/>
      <c r="I885" s="301"/>
    </row>
    <row r="886" spans="2:9" s="297" customFormat="1" ht="21" customHeight="1">
      <c r="B886" s="312" t="s">
        <v>837</v>
      </c>
      <c r="C886" s="305"/>
      <c r="D886" s="234"/>
      <c r="E886" s="307"/>
      <c r="F886" s="307"/>
      <c r="G886" s="232"/>
      <c r="H886" s="233"/>
      <c r="I886" s="301"/>
    </row>
    <row r="887" spans="2:9" s="297" customFormat="1" ht="21" customHeight="1">
      <c r="B887" s="305"/>
      <c r="C887" s="305" t="s">
        <v>64</v>
      </c>
      <c r="D887" s="234" t="s">
        <v>836</v>
      </c>
      <c r="E887" s="307">
        <v>4.4999999999999998E-2</v>
      </c>
      <c r="F887" s="307"/>
      <c r="G887" s="232"/>
      <c r="H887" s="233"/>
      <c r="I887" s="301"/>
    </row>
    <row r="888" spans="2:9" s="297" customFormat="1" ht="21" customHeight="1">
      <c r="B888" s="305"/>
      <c r="C888" s="305"/>
      <c r="D888" s="234"/>
      <c r="E888" s="307"/>
      <c r="F888" s="307"/>
      <c r="G888" s="232"/>
      <c r="H888" s="233"/>
      <c r="I888" s="301"/>
    </row>
    <row r="889" spans="2:9" s="297" customFormat="1" ht="21" customHeight="1">
      <c r="B889" s="305"/>
      <c r="C889" s="305"/>
      <c r="D889" s="234"/>
      <c r="E889" s="306"/>
      <c r="F889" s="306"/>
      <c r="G889" s="232"/>
      <c r="H889" s="232"/>
      <c r="I889" s="301"/>
    </row>
    <row r="890" spans="2:9" s="297" customFormat="1" ht="21" customHeight="1">
      <c r="B890" s="305"/>
      <c r="C890" s="305"/>
      <c r="D890" s="234"/>
      <c r="E890" s="306"/>
      <c r="F890" s="306"/>
      <c r="G890" s="308"/>
      <c r="H890" s="233"/>
      <c r="I890" s="301"/>
    </row>
    <row r="891" spans="2:9" s="297" customFormat="1" ht="21" customHeight="1">
      <c r="B891" s="300" t="str">
        <f>'5. 공종별예산조서'!$A$68</f>
        <v>2-9. 전선 신설</v>
      </c>
      <c r="C891" s="300" t="str">
        <f>'5. 공종별예산조서'!$B$68</f>
        <v>HFIX, 2.5SQ</v>
      </c>
      <c r="D891" s="301" t="str">
        <f>'5. 공종별예산조서'!$C$68</f>
        <v>M</v>
      </c>
      <c r="E891" s="309">
        <f>'5. 공종별예산조서'!$D$68</f>
        <v>2502</v>
      </c>
      <c r="F891" s="302"/>
      <c r="G891" s="303"/>
      <c r="H891" s="304"/>
      <c r="I891" s="301"/>
    </row>
    <row r="892" spans="2:9" s="297" customFormat="1" ht="21" customHeight="1">
      <c r="B892" s="312" t="s">
        <v>834</v>
      </c>
      <c r="C892" s="305"/>
      <c r="D892" s="234"/>
      <c r="E892" s="310"/>
      <c r="F892" s="306"/>
      <c r="G892" s="232"/>
      <c r="H892" s="233"/>
      <c r="I892" s="301"/>
    </row>
    <row r="893" spans="2:9" s="297" customFormat="1" ht="21" customHeight="1">
      <c r="B893" s="305" t="s">
        <v>1118</v>
      </c>
      <c r="C893" s="305" t="str">
        <f>C891</f>
        <v>HFIX, 2.5SQ</v>
      </c>
      <c r="D893" s="234" t="str">
        <f>D891</f>
        <v>M</v>
      </c>
      <c r="E893" s="311">
        <f>E891</f>
        <v>2502</v>
      </c>
      <c r="F893" s="307"/>
      <c r="G893" s="232"/>
      <c r="H893" s="233"/>
      <c r="I893" s="301"/>
    </row>
    <row r="894" spans="2:9" s="297" customFormat="1" ht="21" customHeight="1">
      <c r="B894" s="305"/>
      <c r="C894" s="305"/>
      <c r="D894" s="234"/>
      <c r="E894" s="311"/>
      <c r="F894" s="307"/>
      <c r="G894" s="232"/>
      <c r="H894" s="233"/>
      <c r="I894" s="301"/>
    </row>
    <row r="895" spans="2:9" s="297" customFormat="1" ht="21" customHeight="1">
      <c r="B895" s="305"/>
      <c r="C895" s="305"/>
      <c r="D895" s="234"/>
      <c r="E895" s="311"/>
      <c r="F895" s="307"/>
      <c r="G895" s="232"/>
      <c r="H895" s="233"/>
      <c r="I895" s="301"/>
    </row>
    <row r="896" spans="2:9" s="297" customFormat="1" ht="21" customHeight="1">
      <c r="B896" s="305"/>
      <c r="C896" s="305"/>
      <c r="D896" s="234"/>
      <c r="E896" s="311"/>
      <c r="F896" s="307"/>
      <c r="G896" s="232"/>
      <c r="H896" s="233"/>
      <c r="I896" s="301"/>
    </row>
    <row r="897" spans="2:9" s="297" customFormat="1" ht="21" customHeight="1">
      <c r="B897" s="305"/>
      <c r="C897" s="305"/>
      <c r="D897" s="234"/>
      <c r="E897" s="311"/>
      <c r="F897" s="307"/>
      <c r="G897" s="232"/>
      <c r="H897" s="233"/>
      <c r="I897" s="301"/>
    </row>
    <row r="898" spans="2:9" s="297" customFormat="1" ht="21" customHeight="1">
      <c r="B898" s="305"/>
      <c r="C898" s="305"/>
      <c r="D898" s="234"/>
      <c r="E898" s="311"/>
      <c r="F898" s="307"/>
      <c r="G898" s="232"/>
      <c r="H898" s="233"/>
      <c r="I898" s="301"/>
    </row>
    <row r="899" spans="2:9" s="297" customFormat="1" ht="21" customHeight="1">
      <c r="B899" s="305"/>
      <c r="C899" s="305"/>
      <c r="D899" s="234"/>
      <c r="E899" s="311"/>
      <c r="F899" s="307"/>
      <c r="G899" s="232"/>
      <c r="H899" s="233"/>
      <c r="I899" s="301"/>
    </row>
    <row r="900" spans="2:9" s="297" customFormat="1" ht="21" customHeight="1">
      <c r="B900" s="305"/>
      <c r="C900" s="305"/>
      <c r="D900" s="234"/>
      <c r="E900" s="311"/>
      <c r="F900" s="307"/>
      <c r="G900" s="232"/>
      <c r="H900" s="233"/>
      <c r="I900" s="301"/>
    </row>
    <row r="901" spans="2:9" s="297" customFormat="1" ht="21" customHeight="1">
      <c r="B901" s="305"/>
      <c r="C901" s="305"/>
      <c r="D901" s="234"/>
      <c r="E901" s="311"/>
      <c r="F901" s="307"/>
      <c r="G901" s="232"/>
      <c r="H901" s="233"/>
      <c r="I901" s="301"/>
    </row>
    <row r="902" spans="2:9" s="297" customFormat="1" ht="21" customHeight="1">
      <c r="B902" s="305"/>
      <c r="C902" s="305"/>
      <c r="D902" s="234"/>
      <c r="E902" s="307"/>
      <c r="F902" s="307"/>
      <c r="G902" s="232"/>
      <c r="H902" s="233"/>
      <c r="I902" s="301"/>
    </row>
    <row r="903" spans="2:9" s="297" customFormat="1" ht="21" customHeight="1">
      <c r="B903" s="312" t="s">
        <v>835</v>
      </c>
      <c r="C903" s="305"/>
      <c r="D903" s="234"/>
      <c r="E903" s="307"/>
      <c r="F903" s="307"/>
      <c r="G903" s="232"/>
      <c r="H903" s="233"/>
      <c r="I903" s="301"/>
    </row>
    <row r="904" spans="2:9" s="297" customFormat="1" ht="21" customHeight="1">
      <c r="B904" s="305"/>
      <c r="C904" s="305" t="s">
        <v>64</v>
      </c>
      <c r="D904" s="234" t="s">
        <v>836</v>
      </c>
      <c r="E904" s="307">
        <v>21.681999999999999</v>
      </c>
      <c r="F904" s="307"/>
      <c r="G904" s="232"/>
      <c r="H904" s="233"/>
      <c r="I904" s="301"/>
    </row>
    <row r="905" spans="2:9" s="297" customFormat="1" ht="21" customHeight="1">
      <c r="B905" s="305"/>
      <c r="C905" s="305"/>
      <c r="D905" s="234"/>
      <c r="E905" s="307"/>
      <c r="F905" s="307"/>
      <c r="G905" s="232"/>
      <c r="H905" s="233"/>
      <c r="I905" s="301"/>
    </row>
    <row r="906" spans="2:9" s="297" customFormat="1" ht="21" customHeight="1">
      <c r="B906" s="305"/>
      <c r="C906" s="305"/>
      <c r="D906" s="234"/>
      <c r="E906" s="306"/>
      <c r="F906" s="306"/>
      <c r="G906" s="232"/>
      <c r="H906" s="232"/>
      <c r="I906" s="301"/>
    </row>
    <row r="907" spans="2:9" s="297" customFormat="1" ht="21" customHeight="1">
      <c r="B907" s="305"/>
      <c r="C907" s="305"/>
      <c r="D907" s="234"/>
      <c r="E907" s="306"/>
      <c r="F907" s="306"/>
      <c r="G907" s="308"/>
      <c r="H907" s="233"/>
      <c r="I907" s="301"/>
    </row>
    <row r="908" spans="2:9" s="297" customFormat="1" ht="21" customHeight="1">
      <c r="B908" s="305"/>
      <c r="C908" s="305"/>
      <c r="D908" s="234"/>
      <c r="E908" s="306"/>
      <c r="F908" s="306"/>
      <c r="G908" s="308"/>
      <c r="H908" s="233"/>
      <c r="I908" s="301"/>
    </row>
    <row r="909" spans="2:9" s="297" customFormat="1" ht="21" customHeight="1">
      <c r="B909" s="305"/>
      <c r="C909" s="305"/>
      <c r="D909" s="234"/>
      <c r="E909" s="306"/>
      <c r="F909" s="306"/>
      <c r="G909" s="308"/>
      <c r="H909" s="233"/>
      <c r="I909" s="301"/>
    </row>
    <row r="910" spans="2:9" s="297" customFormat="1" ht="21" customHeight="1">
      <c r="B910" s="312" t="s">
        <v>837</v>
      </c>
      <c r="C910" s="305"/>
      <c r="D910" s="234"/>
      <c r="E910" s="307"/>
      <c r="F910" s="307"/>
      <c r="G910" s="232"/>
      <c r="H910" s="233"/>
      <c r="I910" s="301"/>
    </row>
    <row r="911" spans="2:9" s="297" customFormat="1" ht="21" customHeight="1">
      <c r="B911" s="305"/>
      <c r="C911" s="305" t="s">
        <v>64</v>
      </c>
      <c r="D911" s="234" t="s">
        <v>836</v>
      </c>
      <c r="E911" s="307">
        <v>0.65</v>
      </c>
      <c r="F911" s="307"/>
      <c r="G911" s="232"/>
      <c r="H911" s="233"/>
      <c r="I911" s="301"/>
    </row>
    <row r="912" spans="2:9" s="297" customFormat="1" ht="21" customHeight="1">
      <c r="B912" s="305"/>
      <c r="C912" s="305"/>
      <c r="D912" s="234"/>
      <c r="E912" s="307"/>
      <c r="F912" s="307"/>
      <c r="G912" s="232"/>
      <c r="H912" s="233"/>
      <c r="I912" s="301"/>
    </row>
    <row r="913" spans="2:9" s="297" customFormat="1" ht="21" customHeight="1">
      <c r="B913" s="305"/>
      <c r="C913" s="305"/>
      <c r="D913" s="234"/>
      <c r="E913" s="306"/>
      <c r="F913" s="306"/>
      <c r="G913" s="232"/>
      <c r="H913" s="232"/>
      <c r="I913" s="301"/>
    </row>
    <row r="914" spans="2:9" s="297" customFormat="1" ht="21" customHeight="1">
      <c r="B914" s="305"/>
      <c r="C914" s="305"/>
      <c r="D914" s="234"/>
      <c r="E914" s="306"/>
      <c r="F914" s="306"/>
      <c r="G914" s="308"/>
      <c r="H914" s="233"/>
      <c r="I914" s="301"/>
    </row>
    <row r="915" spans="2:9" s="297" customFormat="1" ht="21" customHeight="1">
      <c r="B915" s="300" t="str">
        <f>'5. 공종별예산조서'!$A$69</f>
        <v>2-10. 전선 신설</v>
      </c>
      <c r="C915" s="300" t="str">
        <f>'5. 공종별예산조서'!$B$69</f>
        <v>HFIX, 4SQ</v>
      </c>
      <c r="D915" s="301" t="str">
        <f>'5. 공종별예산조서'!$C$69</f>
        <v>M</v>
      </c>
      <c r="E915" s="309">
        <f>'5. 공종별예산조서'!$D$69</f>
        <v>462</v>
      </c>
      <c r="F915" s="302"/>
      <c r="G915" s="303"/>
      <c r="H915" s="304"/>
      <c r="I915" s="301"/>
    </row>
    <row r="916" spans="2:9" s="297" customFormat="1" ht="21" customHeight="1">
      <c r="B916" s="312" t="s">
        <v>834</v>
      </c>
      <c r="C916" s="305"/>
      <c r="D916" s="234"/>
      <c r="E916" s="310"/>
      <c r="F916" s="306"/>
      <c r="G916" s="232"/>
      <c r="H916" s="233"/>
      <c r="I916" s="301"/>
    </row>
    <row r="917" spans="2:9" s="297" customFormat="1" ht="21" customHeight="1">
      <c r="B917" s="305" t="s">
        <v>841</v>
      </c>
      <c r="C917" s="305" t="str">
        <f>C915</f>
        <v>HFIX, 4SQ</v>
      </c>
      <c r="D917" s="234" t="str">
        <f>D915</f>
        <v>M</v>
      </c>
      <c r="E917" s="311">
        <f>E915</f>
        <v>462</v>
      </c>
      <c r="F917" s="307"/>
      <c r="G917" s="232"/>
      <c r="H917" s="233"/>
      <c r="I917" s="301"/>
    </row>
    <row r="918" spans="2:9" s="297" customFormat="1" ht="21" customHeight="1">
      <c r="B918" s="305"/>
      <c r="C918" s="305"/>
      <c r="D918" s="234"/>
      <c r="E918" s="311"/>
      <c r="F918" s="307"/>
      <c r="G918" s="232"/>
      <c r="H918" s="233"/>
      <c r="I918" s="301"/>
    </row>
    <row r="919" spans="2:9" s="297" customFormat="1" ht="21" customHeight="1">
      <c r="B919" s="305"/>
      <c r="C919" s="305"/>
      <c r="D919" s="234"/>
      <c r="E919" s="311"/>
      <c r="F919" s="307"/>
      <c r="G919" s="232"/>
      <c r="H919" s="233"/>
      <c r="I919" s="301"/>
    </row>
    <row r="920" spans="2:9" s="297" customFormat="1" ht="21" customHeight="1">
      <c r="B920" s="305"/>
      <c r="C920" s="305"/>
      <c r="D920" s="234"/>
      <c r="E920" s="307"/>
      <c r="F920" s="307"/>
      <c r="G920" s="232"/>
      <c r="H920" s="232"/>
      <c r="I920" s="301"/>
    </row>
    <row r="921" spans="2:9" s="297" customFormat="1" ht="21" customHeight="1">
      <c r="B921" s="305"/>
      <c r="C921" s="305"/>
      <c r="D921" s="234"/>
      <c r="E921" s="307"/>
      <c r="F921" s="307"/>
      <c r="G921" s="308"/>
      <c r="H921" s="233"/>
      <c r="I921" s="301"/>
    </row>
    <row r="922" spans="2:9" s="297" customFormat="1" ht="21" customHeight="1">
      <c r="B922" s="305"/>
      <c r="C922" s="305"/>
      <c r="D922" s="234"/>
      <c r="E922" s="307"/>
      <c r="F922" s="307"/>
      <c r="G922" s="308"/>
      <c r="H922" s="233"/>
      <c r="I922" s="301"/>
    </row>
    <row r="923" spans="2:9" s="297" customFormat="1" ht="21" customHeight="1">
      <c r="B923" s="305"/>
      <c r="C923" s="305"/>
      <c r="D923" s="234"/>
      <c r="E923" s="307"/>
      <c r="F923" s="307"/>
      <c r="G923" s="308"/>
      <c r="H923" s="233"/>
      <c r="I923" s="301"/>
    </row>
    <row r="924" spans="2:9" s="297" customFormat="1" ht="21" customHeight="1">
      <c r="B924" s="305"/>
      <c r="C924" s="305"/>
      <c r="D924" s="234"/>
      <c r="E924" s="307"/>
      <c r="F924" s="307"/>
      <c r="G924" s="308"/>
      <c r="H924" s="233"/>
      <c r="I924" s="301"/>
    </row>
    <row r="925" spans="2:9" s="297" customFormat="1" ht="21" customHeight="1">
      <c r="B925" s="312" t="s">
        <v>835</v>
      </c>
      <c r="C925" s="305"/>
      <c r="D925" s="234"/>
      <c r="E925" s="307"/>
      <c r="F925" s="307"/>
      <c r="G925" s="232"/>
      <c r="H925" s="233"/>
      <c r="I925" s="301"/>
    </row>
    <row r="926" spans="2:9" s="297" customFormat="1" ht="21" customHeight="1">
      <c r="B926" s="305"/>
      <c r="C926" s="305" t="s">
        <v>64</v>
      </c>
      <c r="D926" s="234" t="s">
        <v>836</v>
      </c>
      <c r="E926" s="307">
        <v>4.0039999999999996</v>
      </c>
      <c r="F926" s="307"/>
      <c r="G926" s="232"/>
      <c r="H926" s="233"/>
      <c r="I926" s="301"/>
    </row>
    <row r="927" spans="2:9" s="297" customFormat="1" ht="21" customHeight="1">
      <c r="B927" s="305"/>
      <c r="C927" s="305"/>
      <c r="D927" s="234"/>
      <c r="E927" s="306"/>
      <c r="F927" s="306"/>
      <c r="G927" s="232"/>
      <c r="H927" s="232"/>
      <c r="I927" s="301"/>
    </row>
    <row r="928" spans="2:9" s="297" customFormat="1" ht="21" customHeight="1">
      <c r="B928" s="305"/>
      <c r="C928" s="305"/>
      <c r="D928" s="234"/>
      <c r="E928" s="306"/>
      <c r="F928" s="306"/>
      <c r="G928" s="308"/>
      <c r="H928" s="233"/>
      <c r="I928" s="301"/>
    </row>
    <row r="929" spans="2:9" s="297" customFormat="1" ht="21" customHeight="1">
      <c r="B929" s="305"/>
      <c r="C929" s="305"/>
      <c r="D929" s="234"/>
      <c r="E929" s="306"/>
      <c r="F929" s="306"/>
      <c r="G929" s="308"/>
      <c r="H929" s="233"/>
      <c r="I929" s="301"/>
    </row>
    <row r="930" spans="2:9" s="297" customFormat="1" ht="21" customHeight="1">
      <c r="B930" s="305"/>
      <c r="C930" s="305"/>
      <c r="D930" s="234"/>
      <c r="E930" s="306"/>
      <c r="F930" s="306"/>
      <c r="G930" s="308"/>
      <c r="H930" s="233"/>
      <c r="I930" s="301"/>
    </row>
    <row r="931" spans="2:9" s="297" customFormat="1" ht="21" customHeight="1">
      <c r="B931" s="312" t="s">
        <v>837</v>
      </c>
      <c r="C931" s="305"/>
      <c r="D931" s="234"/>
      <c r="E931" s="307"/>
      <c r="F931" s="307"/>
      <c r="G931" s="232"/>
      <c r="H931" s="233"/>
      <c r="I931" s="301"/>
    </row>
    <row r="932" spans="2:9" s="297" customFormat="1" ht="21" customHeight="1">
      <c r="B932" s="305"/>
      <c r="C932" s="305" t="s">
        <v>64</v>
      </c>
      <c r="D932" s="234" t="s">
        <v>836</v>
      </c>
      <c r="E932" s="307">
        <v>0.12</v>
      </c>
      <c r="F932" s="307"/>
      <c r="G932" s="232"/>
      <c r="H932" s="233"/>
      <c r="I932" s="301"/>
    </row>
    <row r="933" spans="2:9" s="297" customFormat="1" ht="21" customHeight="1">
      <c r="B933" s="305"/>
      <c r="C933" s="305"/>
      <c r="D933" s="234"/>
      <c r="E933" s="306"/>
      <c r="F933" s="306"/>
      <c r="G933" s="232"/>
      <c r="H933" s="232"/>
      <c r="I933" s="301"/>
    </row>
    <row r="934" spans="2:9" s="297" customFormat="1" ht="21" customHeight="1">
      <c r="B934" s="305"/>
      <c r="C934" s="305"/>
      <c r="D934" s="234"/>
      <c r="E934" s="306"/>
      <c r="F934" s="306"/>
      <c r="G934" s="308"/>
      <c r="H934" s="233"/>
      <c r="I934" s="301"/>
    </row>
    <row r="935" spans="2:9" s="297" customFormat="1" ht="21" customHeight="1">
      <c r="B935" s="305"/>
      <c r="C935" s="305"/>
      <c r="D935" s="234"/>
      <c r="E935" s="306"/>
      <c r="F935" s="306"/>
      <c r="G935" s="308"/>
      <c r="H935" s="233"/>
      <c r="I935" s="301"/>
    </row>
    <row r="936" spans="2:9" s="297" customFormat="1" ht="21" customHeight="1">
      <c r="B936" s="305"/>
      <c r="C936" s="305"/>
      <c r="D936" s="234"/>
      <c r="E936" s="306"/>
      <c r="F936" s="306"/>
      <c r="G936" s="308"/>
      <c r="H936" s="233"/>
      <c r="I936" s="301"/>
    </row>
    <row r="937" spans="2:9" s="297" customFormat="1" ht="21" customHeight="1">
      <c r="B937" s="305"/>
      <c r="C937" s="305"/>
      <c r="D937" s="234"/>
      <c r="E937" s="306"/>
      <c r="F937" s="306"/>
      <c r="G937" s="308"/>
      <c r="H937" s="233"/>
      <c r="I937" s="301"/>
    </row>
    <row r="938" spans="2:9" s="297" customFormat="1" ht="21" customHeight="1">
      <c r="B938" s="305"/>
      <c r="C938" s="305"/>
      <c r="D938" s="234"/>
      <c r="E938" s="306"/>
      <c r="F938" s="306"/>
      <c r="G938" s="308"/>
      <c r="H938" s="233"/>
      <c r="I938" s="301"/>
    </row>
    <row r="939" spans="2:9" s="297" customFormat="1" ht="21" customHeight="1">
      <c r="B939" s="300" t="str">
        <f>'5. 공종별예산조서'!$A$70</f>
        <v>2-11. 멀티와이어덕트(커버포함) 신설</v>
      </c>
      <c r="C939" s="300" t="str">
        <f>'5. 공종별예산조서'!$B$70</f>
        <v>70*43(BODY)</v>
      </c>
      <c r="D939" s="301" t="str">
        <f>'5. 공종별예산조서'!$C$70</f>
        <v>M</v>
      </c>
      <c r="E939" s="309">
        <f>'5. 공종별예산조서'!$D$70</f>
        <v>28</v>
      </c>
      <c r="F939" s="302"/>
      <c r="G939" s="303"/>
      <c r="H939" s="304"/>
      <c r="I939" s="301"/>
    </row>
    <row r="940" spans="2:9" s="297" customFormat="1" ht="21" customHeight="1">
      <c r="B940" s="312" t="s">
        <v>834</v>
      </c>
      <c r="C940" s="305"/>
      <c r="D940" s="234"/>
      <c r="E940" s="310"/>
      <c r="F940" s="306"/>
      <c r="G940" s="232"/>
      <c r="H940" s="233"/>
      <c r="I940" s="301"/>
    </row>
    <row r="941" spans="2:9" s="297" customFormat="1" ht="21" customHeight="1">
      <c r="B941" s="305" t="s">
        <v>1119</v>
      </c>
      <c r="C941" s="305" t="str">
        <f>C939</f>
        <v>70*43(BODY)</v>
      </c>
      <c r="D941" s="234" t="str">
        <f>D939</f>
        <v>M</v>
      </c>
      <c r="E941" s="311">
        <f>E939</f>
        <v>28</v>
      </c>
      <c r="F941" s="307"/>
      <c r="G941" s="232"/>
      <c r="H941" s="233"/>
      <c r="I941" s="301"/>
    </row>
    <row r="942" spans="2:9" s="297" customFormat="1" ht="21" customHeight="1">
      <c r="B942" s="305" t="s">
        <v>1119</v>
      </c>
      <c r="C942" s="305" t="s">
        <v>1120</v>
      </c>
      <c r="D942" s="234" t="str">
        <f>D941</f>
        <v>M</v>
      </c>
      <c r="E942" s="311">
        <f>E941</f>
        <v>28</v>
      </c>
      <c r="F942" s="307"/>
      <c r="G942" s="232"/>
      <c r="H942" s="233"/>
      <c r="I942" s="301"/>
    </row>
    <row r="943" spans="2:9" s="297" customFormat="1" ht="21" customHeight="1">
      <c r="B943" s="305"/>
      <c r="C943" s="305"/>
      <c r="D943" s="234"/>
      <c r="E943" s="311"/>
      <c r="F943" s="307"/>
      <c r="G943" s="232"/>
      <c r="H943" s="233"/>
      <c r="I943" s="301"/>
    </row>
    <row r="944" spans="2:9" s="297" customFormat="1" ht="21" customHeight="1">
      <c r="B944" s="305"/>
      <c r="C944" s="305"/>
      <c r="D944" s="234"/>
      <c r="E944" s="307"/>
      <c r="F944" s="307"/>
      <c r="G944" s="232"/>
      <c r="H944" s="232"/>
      <c r="I944" s="301"/>
    </row>
    <row r="945" spans="2:9" s="297" customFormat="1" ht="21" customHeight="1">
      <c r="B945" s="305"/>
      <c r="C945" s="305"/>
      <c r="D945" s="234"/>
      <c r="E945" s="307"/>
      <c r="F945" s="307"/>
      <c r="G945" s="308"/>
      <c r="H945" s="233"/>
      <c r="I945" s="301"/>
    </row>
    <row r="946" spans="2:9" s="297" customFormat="1" ht="21" customHeight="1">
      <c r="B946" s="305"/>
      <c r="C946" s="305"/>
      <c r="D946" s="234"/>
      <c r="E946" s="307"/>
      <c r="F946" s="307"/>
      <c r="G946" s="308"/>
      <c r="H946" s="233"/>
      <c r="I946" s="301"/>
    </row>
    <row r="947" spans="2:9" s="297" customFormat="1" ht="21" customHeight="1">
      <c r="B947" s="305"/>
      <c r="C947" s="305"/>
      <c r="D947" s="234"/>
      <c r="E947" s="307"/>
      <c r="F947" s="307"/>
      <c r="G947" s="308"/>
      <c r="H947" s="233"/>
      <c r="I947" s="301"/>
    </row>
    <row r="948" spans="2:9" s="297" customFormat="1" ht="21" customHeight="1">
      <c r="B948" s="305"/>
      <c r="C948" s="305"/>
      <c r="D948" s="234"/>
      <c r="E948" s="307"/>
      <c r="F948" s="307"/>
      <c r="G948" s="308"/>
      <c r="H948" s="233"/>
      <c r="I948" s="301"/>
    </row>
    <row r="949" spans="2:9" s="297" customFormat="1" ht="21" customHeight="1">
      <c r="B949" s="312" t="s">
        <v>835</v>
      </c>
      <c r="C949" s="305"/>
      <c r="D949" s="234"/>
      <c r="E949" s="307"/>
      <c r="F949" s="307"/>
      <c r="G949" s="232"/>
      <c r="H949" s="233"/>
      <c r="I949" s="301"/>
    </row>
    <row r="950" spans="2:9" s="297" customFormat="1" ht="21" customHeight="1">
      <c r="B950" s="305"/>
      <c r="C950" s="305" t="s">
        <v>64</v>
      </c>
      <c r="D950" s="234" t="s">
        <v>836</v>
      </c>
      <c r="E950" s="307">
        <v>3.92</v>
      </c>
      <c r="F950" s="307"/>
      <c r="G950" s="232"/>
      <c r="H950" s="233"/>
      <c r="I950" s="301"/>
    </row>
    <row r="951" spans="2:9" s="297" customFormat="1" ht="21" customHeight="1">
      <c r="B951" s="305"/>
      <c r="C951" s="305"/>
      <c r="D951" s="234"/>
      <c r="E951" s="306"/>
      <c r="F951" s="306"/>
      <c r="G951" s="232"/>
      <c r="H951" s="232"/>
      <c r="I951" s="301"/>
    </row>
    <row r="952" spans="2:9" s="297" customFormat="1" ht="21" customHeight="1">
      <c r="B952" s="305"/>
      <c r="C952" s="305"/>
      <c r="D952" s="234"/>
      <c r="E952" s="306"/>
      <c r="F952" s="306"/>
      <c r="G952" s="308"/>
      <c r="H952" s="233"/>
      <c r="I952" s="301"/>
    </row>
    <row r="953" spans="2:9" s="297" customFormat="1" ht="21" customHeight="1">
      <c r="B953" s="305"/>
      <c r="C953" s="305"/>
      <c r="D953" s="234"/>
      <c r="E953" s="306"/>
      <c r="F953" s="306"/>
      <c r="G953" s="308"/>
      <c r="H953" s="233"/>
      <c r="I953" s="301"/>
    </row>
    <row r="954" spans="2:9" s="297" customFormat="1" ht="21" customHeight="1">
      <c r="B954" s="305"/>
      <c r="C954" s="305"/>
      <c r="D954" s="234"/>
      <c r="E954" s="306"/>
      <c r="F954" s="306"/>
      <c r="G954" s="308"/>
      <c r="H954" s="233"/>
      <c r="I954" s="301"/>
    </row>
    <row r="955" spans="2:9" s="297" customFormat="1" ht="21" customHeight="1">
      <c r="B955" s="312" t="s">
        <v>837</v>
      </c>
      <c r="C955" s="305"/>
      <c r="D955" s="234"/>
      <c r="E955" s="307"/>
      <c r="F955" s="307"/>
      <c r="G955" s="232"/>
      <c r="H955" s="233"/>
      <c r="I955" s="301"/>
    </row>
    <row r="956" spans="2:9" s="297" customFormat="1" ht="21" customHeight="1">
      <c r="B956" s="305"/>
      <c r="C956" s="305" t="s">
        <v>64</v>
      </c>
      <c r="D956" s="234" t="s">
        <v>836</v>
      </c>
      <c r="E956" s="307">
        <v>0.11799999999999999</v>
      </c>
      <c r="F956" s="307"/>
      <c r="G956" s="232"/>
      <c r="H956" s="233"/>
      <c r="I956" s="301"/>
    </row>
    <row r="957" spans="2:9" s="297" customFormat="1" ht="21" customHeight="1">
      <c r="B957" s="305"/>
      <c r="C957" s="305"/>
      <c r="D957" s="234"/>
      <c r="E957" s="306"/>
      <c r="F957" s="306"/>
      <c r="G957" s="232"/>
      <c r="H957" s="232"/>
      <c r="I957" s="301"/>
    </row>
    <row r="958" spans="2:9" s="297" customFormat="1" ht="21" customHeight="1">
      <c r="B958" s="305"/>
      <c r="C958" s="305"/>
      <c r="D958" s="234"/>
      <c r="E958" s="306"/>
      <c r="F958" s="306"/>
      <c r="G958" s="308"/>
      <c r="H958" s="233"/>
      <c r="I958" s="301"/>
    </row>
    <row r="959" spans="2:9" s="297" customFormat="1" ht="21" customHeight="1">
      <c r="B959" s="305"/>
      <c r="C959" s="305"/>
      <c r="D959" s="234"/>
      <c r="E959" s="306"/>
      <c r="F959" s="306"/>
      <c r="G959" s="308"/>
      <c r="H959" s="233"/>
      <c r="I959" s="301"/>
    </row>
    <row r="960" spans="2:9" s="297" customFormat="1" ht="21" customHeight="1">
      <c r="B960" s="305"/>
      <c r="C960" s="305"/>
      <c r="D960" s="234"/>
      <c r="E960" s="306"/>
      <c r="F960" s="306"/>
      <c r="G960" s="308"/>
      <c r="H960" s="233"/>
      <c r="I960" s="301"/>
    </row>
    <row r="961" spans="2:9" s="297" customFormat="1" ht="21" customHeight="1">
      <c r="B961" s="305"/>
      <c r="C961" s="305"/>
      <c r="D961" s="234"/>
      <c r="E961" s="306"/>
      <c r="F961" s="306"/>
      <c r="G961" s="308"/>
      <c r="H961" s="233"/>
      <c r="I961" s="301"/>
    </row>
    <row r="962" spans="2:9" s="297" customFormat="1" ht="21" customHeight="1">
      <c r="B962" s="305"/>
      <c r="C962" s="305"/>
      <c r="D962" s="234"/>
      <c r="E962" s="306"/>
      <c r="F962" s="306"/>
      <c r="G962" s="308"/>
      <c r="H962" s="233"/>
      <c r="I962" s="301"/>
    </row>
    <row r="963" spans="2:9" s="297" customFormat="1" ht="21" customHeight="1">
      <c r="B963" s="300" t="str">
        <f>'5. 공종별예산조서'!$A$71</f>
        <v>2-12. 멀티와이어덕트 부속품 신설</v>
      </c>
      <c r="C963" s="300" t="str">
        <f>'5. 공종별예산조서'!$B$71</f>
        <v>유니트커버,붙임쇠,엔드캡</v>
      </c>
      <c r="D963" s="301" t="str">
        <f>'5. 공종별예산조서'!$C$71</f>
        <v>개</v>
      </c>
      <c r="E963" s="309">
        <f>'5. 공종별예산조서'!$D$71</f>
        <v>7</v>
      </c>
      <c r="F963" s="302"/>
      <c r="G963" s="303"/>
      <c r="H963" s="304"/>
      <c r="I963" s="301"/>
    </row>
    <row r="964" spans="2:9" s="297" customFormat="1" ht="21" customHeight="1">
      <c r="B964" s="312" t="s">
        <v>834</v>
      </c>
      <c r="C964" s="305"/>
      <c r="D964" s="234"/>
      <c r="E964" s="310"/>
      <c r="F964" s="306"/>
      <c r="G964" s="232"/>
      <c r="H964" s="233"/>
      <c r="I964" s="301"/>
    </row>
    <row r="965" spans="2:9" s="297" customFormat="1" ht="21" customHeight="1">
      <c r="B965" s="305" t="s">
        <v>1121</v>
      </c>
      <c r="C965" s="305" t="s">
        <v>1122</v>
      </c>
      <c r="D965" s="234" t="str">
        <f>D963</f>
        <v>개</v>
      </c>
      <c r="E965" s="311">
        <f>E963</f>
        <v>7</v>
      </c>
      <c r="F965" s="307"/>
      <c r="G965" s="232"/>
      <c r="H965" s="233"/>
      <c r="I965" s="301"/>
    </row>
    <row r="966" spans="2:9" s="297" customFormat="1" ht="21" customHeight="1">
      <c r="B966" s="305" t="s">
        <v>1121</v>
      </c>
      <c r="C966" s="305" t="s">
        <v>1123</v>
      </c>
      <c r="D966" s="234" t="str">
        <f t="shared" ref="D966:D967" si="0">D965</f>
        <v>개</v>
      </c>
      <c r="E966" s="311">
        <f t="shared" ref="E966:E967" si="1">E965</f>
        <v>7</v>
      </c>
      <c r="F966" s="307"/>
      <c r="G966" s="232"/>
      <c r="H966" s="233"/>
      <c r="I966" s="301"/>
    </row>
    <row r="967" spans="2:9" s="297" customFormat="1" ht="21" customHeight="1">
      <c r="B967" s="305" t="s">
        <v>1121</v>
      </c>
      <c r="C967" s="305" t="s">
        <v>1124</v>
      </c>
      <c r="D967" s="234" t="str">
        <f t="shared" si="0"/>
        <v>개</v>
      </c>
      <c r="E967" s="311">
        <f t="shared" si="1"/>
        <v>7</v>
      </c>
      <c r="F967" s="307"/>
      <c r="G967" s="232"/>
      <c r="H967" s="233"/>
      <c r="I967" s="301"/>
    </row>
    <row r="968" spans="2:9" s="297" customFormat="1" ht="21" customHeight="1">
      <c r="B968" s="305"/>
      <c r="C968" s="305"/>
      <c r="D968" s="234"/>
      <c r="E968" s="307"/>
      <c r="F968" s="307"/>
      <c r="G968" s="232"/>
      <c r="H968" s="232"/>
      <c r="I968" s="301"/>
    </row>
    <row r="969" spans="2:9" s="297" customFormat="1" ht="21" customHeight="1">
      <c r="B969" s="305"/>
      <c r="C969" s="305"/>
      <c r="D969" s="234"/>
      <c r="E969" s="307"/>
      <c r="F969" s="307"/>
      <c r="G969" s="308"/>
      <c r="H969" s="233"/>
      <c r="I969" s="301"/>
    </row>
    <row r="970" spans="2:9" s="297" customFormat="1" ht="21" customHeight="1">
      <c r="B970" s="305"/>
      <c r="C970" s="305"/>
      <c r="D970" s="234"/>
      <c r="E970" s="307"/>
      <c r="F970" s="307"/>
      <c r="G970" s="308"/>
      <c r="H970" s="233"/>
      <c r="I970" s="301"/>
    </row>
    <row r="971" spans="2:9" s="297" customFormat="1" ht="21" customHeight="1">
      <c r="B971" s="305"/>
      <c r="C971" s="305"/>
      <c r="D971" s="234"/>
      <c r="E971" s="307"/>
      <c r="F971" s="307"/>
      <c r="G971" s="308"/>
      <c r="H971" s="233"/>
      <c r="I971" s="301"/>
    </row>
    <row r="972" spans="2:9" s="297" customFormat="1" ht="21" customHeight="1">
      <c r="B972" s="305"/>
      <c r="C972" s="305"/>
      <c r="D972" s="234"/>
      <c r="E972" s="307"/>
      <c r="F972" s="307"/>
      <c r="G972" s="308"/>
      <c r="H972" s="233"/>
      <c r="I972" s="301"/>
    </row>
    <row r="973" spans="2:9" s="297" customFormat="1" ht="21" customHeight="1">
      <c r="B973" s="312" t="s">
        <v>835</v>
      </c>
      <c r="C973" s="305"/>
      <c r="D973" s="234"/>
      <c r="E973" s="307"/>
      <c r="F973" s="307"/>
      <c r="G973" s="232"/>
      <c r="H973" s="233"/>
      <c r="I973" s="301"/>
    </row>
    <row r="974" spans="2:9" s="297" customFormat="1" ht="21" customHeight="1">
      <c r="B974" s="305"/>
      <c r="C974" s="305"/>
      <c r="D974" s="234"/>
      <c r="E974" s="307"/>
      <c r="F974" s="307"/>
      <c r="G974" s="232"/>
      <c r="H974" s="233"/>
      <c r="I974" s="301"/>
    </row>
    <row r="975" spans="2:9" s="297" customFormat="1" ht="21" customHeight="1">
      <c r="B975" s="305"/>
      <c r="C975" s="305"/>
      <c r="D975" s="234"/>
      <c r="E975" s="306"/>
      <c r="F975" s="306"/>
      <c r="G975" s="232"/>
      <c r="H975" s="232"/>
      <c r="I975" s="301"/>
    </row>
    <row r="976" spans="2:9" s="297" customFormat="1" ht="21" customHeight="1">
      <c r="B976" s="305"/>
      <c r="C976" s="305"/>
      <c r="D976" s="234"/>
      <c r="E976" s="306"/>
      <c r="F976" s="306"/>
      <c r="G976" s="308"/>
      <c r="H976" s="233"/>
      <c r="I976" s="301"/>
    </row>
    <row r="977" spans="2:9" s="297" customFormat="1" ht="21" customHeight="1">
      <c r="B977" s="305"/>
      <c r="C977" s="305"/>
      <c r="D977" s="234"/>
      <c r="E977" s="306"/>
      <c r="F977" s="306"/>
      <c r="G977" s="308"/>
      <c r="H977" s="233"/>
      <c r="I977" s="301"/>
    </row>
    <row r="978" spans="2:9" s="297" customFormat="1" ht="21" customHeight="1">
      <c r="B978" s="305"/>
      <c r="C978" s="305"/>
      <c r="D978" s="234"/>
      <c r="E978" s="306"/>
      <c r="F978" s="306"/>
      <c r="G978" s="308"/>
      <c r="H978" s="233"/>
      <c r="I978" s="301"/>
    </row>
    <row r="979" spans="2:9" s="297" customFormat="1" ht="21" customHeight="1">
      <c r="B979" s="312" t="s">
        <v>837</v>
      </c>
      <c r="C979" s="305"/>
      <c r="D979" s="234"/>
      <c r="E979" s="307"/>
      <c r="F979" s="307"/>
      <c r="G979" s="232"/>
      <c r="H979" s="233"/>
      <c r="I979" s="301"/>
    </row>
    <row r="980" spans="2:9" s="297" customFormat="1" ht="21" customHeight="1">
      <c r="B980" s="305"/>
      <c r="C980" s="305"/>
      <c r="D980" s="234"/>
      <c r="E980" s="307"/>
      <c r="F980" s="307"/>
      <c r="G980" s="232"/>
      <c r="H980" s="233"/>
      <c r="I980" s="301"/>
    </row>
    <row r="981" spans="2:9" s="297" customFormat="1" ht="21" customHeight="1">
      <c r="B981" s="305"/>
      <c r="C981" s="305"/>
      <c r="D981" s="234"/>
      <c r="E981" s="306"/>
      <c r="F981" s="306"/>
      <c r="G981" s="232"/>
      <c r="H981" s="232"/>
      <c r="I981" s="301"/>
    </row>
    <row r="982" spans="2:9" s="297" customFormat="1" ht="21" customHeight="1">
      <c r="B982" s="305"/>
      <c r="C982" s="305"/>
      <c r="D982" s="234"/>
      <c r="E982" s="306"/>
      <c r="F982" s="306"/>
      <c r="G982" s="308"/>
      <c r="H982" s="233"/>
      <c r="I982" s="301"/>
    </row>
    <row r="983" spans="2:9" s="297" customFormat="1" ht="21" customHeight="1">
      <c r="B983" s="305"/>
      <c r="C983" s="305"/>
      <c r="D983" s="234"/>
      <c r="E983" s="306"/>
      <c r="F983" s="306"/>
      <c r="G983" s="308"/>
      <c r="H983" s="233"/>
      <c r="I983" s="301"/>
    </row>
    <row r="984" spans="2:9" s="297" customFormat="1" ht="21" customHeight="1">
      <c r="B984" s="305"/>
      <c r="C984" s="305"/>
      <c r="D984" s="234"/>
      <c r="E984" s="306"/>
      <c r="F984" s="306"/>
      <c r="G984" s="308"/>
      <c r="H984" s="233"/>
      <c r="I984" s="301"/>
    </row>
    <row r="985" spans="2:9" s="297" customFormat="1" ht="21" customHeight="1">
      <c r="B985" s="305"/>
      <c r="C985" s="305"/>
      <c r="D985" s="234"/>
      <c r="E985" s="306"/>
      <c r="F985" s="306"/>
      <c r="G985" s="308"/>
      <c r="H985" s="233"/>
      <c r="I985" s="301"/>
    </row>
    <row r="986" spans="2:9" s="297" customFormat="1" ht="21" customHeight="1">
      <c r="B986" s="305"/>
      <c r="C986" s="305"/>
      <c r="D986" s="234"/>
      <c r="E986" s="306"/>
      <c r="F986" s="306"/>
      <c r="G986" s="308"/>
      <c r="H986" s="233"/>
      <c r="I986" s="301"/>
    </row>
    <row r="987" spans="2:9" s="297" customFormat="1" ht="21" customHeight="1">
      <c r="B987" s="300" t="str">
        <f>'5. 공종별예산조서'!$A$72</f>
        <v>2-13. 콘센트 신설</v>
      </c>
      <c r="C987" s="300" t="str">
        <f>'5. 공종별예산조서'!$B$72</f>
        <v>매입-접지형, 15A 250V 2구</v>
      </c>
      <c r="D987" s="301" t="str">
        <f>'5. 공종별예산조서'!$C$72</f>
        <v>개</v>
      </c>
      <c r="E987" s="309">
        <f>'5. 공종별예산조서'!$D$72</f>
        <v>56</v>
      </c>
      <c r="F987" s="302"/>
      <c r="G987" s="303"/>
      <c r="H987" s="304"/>
      <c r="I987" s="301"/>
    </row>
    <row r="988" spans="2:9" s="297" customFormat="1" ht="21" customHeight="1">
      <c r="B988" s="312" t="s">
        <v>834</v>
      </c>
      <c r="C988" s="305"/>
      <c r="D988" s="234"/>
      <c r="E988" s="310"/>
      <c r="F988" s="306"/>
      <c r="G988" s="232"/>
      <c r="H988" s="233"/>
      <c r="I988" s="301"/>
    </row>
    <row r="989" spans="2:9" s="297" customFormat="1" ht="21" customHeight="1">
      <c r="B989" s="305" t="s">
        <v>395</v>
      </c>
      <c r="C989" s="305" t="str">
        <f>C987</f>
        <v>매입-접지형, 15A 250V 2구</v>
      </c>
      <c r="D989" s="234" t="str">
        <f>D987</f>
        <v>개</v>
      </c>
      <c r="E989" s="311">
        <f>E987</f>
        <v>56</v>
      </c>
      <c r="F989" s="307"/>
      <c r="G989" s="232"/>
      <c r="H989" s="233"/>
      <c r="I989" s="301"/>
    </row>
    <row r="990" spans="2:9" s="297" customFormat="1" ht="21" customHeight="1">
      <c r="B990" s="305"/>
      <c r="C990" s="305"/>
      <c r="D990" s="234"/>
      <c r="E990" s="311"/>
      <c r="F990" s="307"/>
      <c r="G990" s="232"/>
      <c r="H990" s="233"/>
      <c r="I990" s="301"/>
    </row>
    <row r="991" spans="2:9" s="297" customFormat="1" ht="21" customHeight="1">
      <c r="B991" s="305"/>
      <c r="C991" s="305"/>
      <c r="D991" s="234"/>
      <c r="E991" s="311"/>
      <c r="F991" s="307"/>
      <c r="G991" s="232"/>
      <c r="H991" s="233"/>
      <c r="I991" s="301"/>
    </row>
    <row r="992" spans="2:9" s="297" customFormat="1" ht="21" customHeight="1">
      <c r="B992" s="305"/>
      <c r="C992" s="305"/>
      <c r="D992" s="234"/>
      <c r="E992" s="311"/>
      <c r="F992" s="307"/>
      <c r="G992" s="232"/>
      <c r="H992" s="233"/>
      <c r="I992" s="301"/>
    </row>
    <row r="993" spans="2:9" s="297" customFormat="1" ht="21" customHeight="1">
      <c r="B993" s="305"/>
      <c r="C993" s="305"/>
      <c r="D993" s="234"/>
      <c r="E993" s="311"/>
      <c r="F993" s="307"/>
      <c r="G993" s="232"/>
      <c r="H993" s="233"/>
      <c r="I993" s="301"/>
    </row>
    <row r="994" spans="2:9" s="297" customFormat="1" ht="21" customHeight="1">
      <c r="B994" s="305"/>
      <c r="C994" s="305"/>
      <c r="D994" s="234"/>
      <c r="E994" s="311"/>
      <c r="F994" s="307"/>
      <c r="G994" s="232"/>
      <c r="H994" s="233"/>
      <c r="I994" s="301"/>
    </row>
    <row r="995" spans="2:9" s="297" customFormat="1" ht="21" customHeight="1">
      <c r="B995" s="305"/>
      <c r="C995" s="305"/>
      <c r="D995" s="234"/>
      <c r="E995" s="311"/>
      <c r="F995" s="307"/>
      <c r="G995" s="232"/>
      <c r="H995" s="233"/>
      <c r="I995" s="301"/>
    </row>
    <row r="996" spans="2:9" s="297" customFormat="1" ht="21" customHeight="1">
      <c r="B996" s="305"/>
      <c r="C996" s="305"/>
      <c r="D996" s="234"/>
      <c r="E996" s="307"/>
      <c r="F996" s="307"/>
      <c r="G996" s="232"/>
      <c r="H996" s="233"/>
      <c r="I996" s="301"/>
    </row>
    <row r="997" spans="2:9" s="297" customFormat="1" ht="21" customHeight="1">
      <c r="B997" s="305"/>
      <c r="C997" s="305"/>
      <c r="D997" s="234"/>
      <c r="E997" s="307"/>
      <c r="F997" s="307"/>
      <c r="G997" s="232"/>
      <c r="H997" s="232"/>
      <c r="I997" s="301"/>
    </row>
    <row r="998" spans="2:9" s="297" customFormat="1" ht="21" customHeight="1">
      <c r="B998" s="312" t="s">
        <v>835</v>
      </c>
      <c r="C998" s="305"/>
      <c r="D998" s="234"/>
      <c r="E998" s="307"/>
      <c r="F998" s="307"/>
      <c r="G998" s="232"/>
      <c r="H998" s="233"/>
      <c r="I998" s="301"/>
    </row>
    <row r="999" spans="2:9" s="297" customFormat="1" ht="21" customHeight="1">
      <c r="B999" s="305"/>
      <c r="C999" s="305" t="s">
        <v>64</v>
      </c>
      <c r="D999" s="234" t="s">
        <v>836</v>
      </c>
      <c r="E999" s="307">
        <v>4.4800000000000004</v>
      </c>
      <c r="F999" s="307"/>
      <c r="G999" s="232"/>
      <c r="H999" s="233"/>
      <c r="I999" s="301"/>
    </row>
    <row r="1000" spans="2:9" s="297" customFormat="1" ht="21" customHeight="1">
      <c r="B1000" s="305"/>
      <c r="C1000" s="305"/>
      <c r="D1000" s="234"/>
      <c r="E1000" s="306"/>
      <c r="F1000" s="306"/>
      <c r="G1000" s="232"/>
      <c r="H1000" s="232"/>
      <c r="I1000" s="301"/>
    </row>
    <row r="1001" spans="2:9" s="297" customFormat="1" ht="21" customHeight="1">
      <c r="B1001" s="305"/>
      <c r="C1001" s="305"/>
      <c r="D1001" s="234"/>
      <c r="E1001" s="306"/>
      <c r="F1001" s="306"/>
      <c r="G1001" s="308"/>
      <c r="H1001" s="233"/>
      <c r="I1001" s="301"/>
    </row>
    <row r="1002" spans="2:9" s="297" customFormat="1" ht="21" customHeight="1">
      <c r="B1002" s="305"/>
      <c r="C1002" s="305"/>
      <c r="D1002" s="234"/>
      <c r="E1002" s="306"/>
      <c r="F1002" s="306"/>
      <c r="G1002" s="308"/>
      <c r="H1002" s="233"/>
      <c r="I1002" s="301"/>
    </row>
    <row r="1003" spans="2:9" s="297" customFormat="1" ht="21" customHeight="1">
      <c r="B1003" s="305"/>
      <c r="C1003" s="305"/>
      <c r="D1003" s="234"/>
      <c r="E1003" s="306"/>
      <c r="F1003" s="306"/>
      <c r="G1003" s="308"/>
      <c r="H1003" s="233"/>
      <c r="I1003" s="301"/>
    </row>
    <row r="1004" spans="2:9" s="297" customFormat="1" ht="21" customHeight="1">
      <c r="B1004" s="312" t="s">
        <v>837</v>
      </c>
      <c r="C1004" s="305"/>
      <c r="D1004" s="234"/>
      <c r="E1004" s="307"/>
      <c r="F1004" s="307"/>
      <c r="G1004" s="232"/>
      <c r="H1004" s="233"/>
      <c r="I1004" s="301"/>
    </row>
    <row r="1005" spans="2:9" s="297" customFormat="1" ht="21" customHeight="1">
      <c r="B1005" s="305"/>
      <c r="C1005" s="305" t="s">
        <v>64</v>
      </c>
      <c r="D1005" s="234" t="s">
        <v>836</v>
      </c>
      <c r="E1005" s="307">
        <v>0.13400000000000001</v>
      </c>
      <c r="F1005" s="307"/>
      <c r="G1005" s="232"/>
      <c r="H1005" s="233"/>
      <c r="I1005" s="301"/>
    </row>
    <row r="1006" spans="2:9" s="297" customFormat="1" ht="21" customHeight="1">
      <c r="B1006" s="305"/>
      <c r="C1006" s="305"/>
      <c r="D1006" s="234"/>
      <c r="E1006" s="306"/>
      <c r="F1006" s="306"/>
      <c r="G1006" s="232"/>
      <c r="H1006" s="232"/>
      <c r="I1006" s="301"/>
    </row>
    <row r="1007" spans="2:9" s="297" customFormat="1" ht="21" customHeight="1">
      <c r="B1007" s="305"/>
      <c r="C1007" s="305"/>
      <c r="D1007" s="234"/>
      <c r="E1007" s="306"/>
      <c r="F1007" s="306"/>
      <c r="G1007" s="308"/>
      <c r="H1007" s="233"/>
      <c r="I1007" s="301"/>
    </row>
    <row r="1008" spans="2:9" s="297" customFormat="1" ht="21" customHeight="1">
      <c r="B1008" s="305"/>
      <c r="C1008" s="305"/>
      <c r="D1008" s="234"/>
      <c r="E1008" s="306"/>
      <c r="F1008" s="306"/>
      <c r="G1008" s="308"/>
      <c r="H1008" s="233"/>
      <c r="I1008" s="301"/>
    </row>
    <row r="1009" spans="2:9" s="297" customFormat="1" ht="21" customHeight="1">
      <c r="B1009" s="305"/>
      <c r="C1009" s="305"/>
      <c r="D1009" s="234"/>
      <c r="E1009" s="306"/>
      <c r="F1009" s="306"/>
      <c r="G1009" s="308"/>
      <c r="H1009" s="233"/>
      <c r="I1009" s="301"/>
    </row>
    <row r="1010" spans="2:9" s="297" customFormat="1" ht="21" customHeight="1">
      <c r="B1010" s="305"/>
      <c r="C1010" s="305"/>
      <c r="D1010" s="234"/>
      <c r="E1010" s="306"/>
      <c r="F1010" s="306"/>
      <c r="G1010" s="308"/>
      <c r="H1010" s="233"/>
      <c r="I1010" s="301"/>
    </row>
    <row r="1011" spans="2:9" s="297" customFormat="1" ht="21" customHeight="1">
      <c r="B1011" s="300" t="str">
        <f>'5. 공종별예산조서'!$A$73</f>
        <v>2-14. 방우형 콘센트 신설</v>
      </c>
      <c r="C1011" s="300" t="str">
        <f>'5. 공종별예산조서'!$B$73</f>
        <v>매입-접지형, 15A 250V 2구</v>
      </c>
      <c r="D1011" s="301" t="str">
        <f>'5. 공종별예산조서'!$C$73</f>
        <v>개</v>
      </c>
      <c r="E1011" s="309">
        <f>'5. 공종별예산조서'!$D$73</f>
        <v>12</v>
      </c>
      <c r="F1011" s="302"/>
      <c r="G1011" s="303"/>
      <c r="H1011" s="304"/>
      <c r="I1011" s="301"/>
    </row>
    <row r="1012" spans="2:9" s="297" customFormat="1" ht="21" customHeight="1">
      <c r="B1012" s="312" t="s">
        <v>834</v>
      </c>
      <c r="C1012" s="305"/>
      <c r="D1012" s="234"/>
      <c r="E1012" s="310"/>
      <c r="F1012" s="306"/>
      <c r="G1012" s="232"/>
      <c r="H1012" s="233"/>
      <c r="I1012" s="301"/>
    </row>
    <row r="1013" spans="2:9" s="297" customFormat="1" ht="21" customHeight="1">
      <c r="B1013" s="305" t="s">
        <v>1125</v>
      </c>
      <c r="C1013" s="305" t="str">
        <f>C1011</f>
        <v>매입-접지형, 15A 250V 2구</v>
      </c>
      <c r="D1013" s="234" t="str">
        <f>D1011</f>
        <v>개</v>
      </c>
      <c r="E1013" s="311">
        <f>E1011</f>
        <v>12</v>
      </c>
      <c r="F1013" s="307"/>
      <c r="G1013" s="232"/>
      <c r="H1013" s="233"/>
      <c r="I1013" s="301"/>
    </row>
    <row r="1014" spans="2:9" s="297" customFormat="1" ht="21" customHeight="1">
      <c r="B1014" s="305"/>
      <c r="C1014" s="305"/>
      <c r="D1014" s="234"/>
      <c r="E1014" s="311"/>
      <c r="F1014" s="307"/>
      <c r="G1014" s="232"/>
      <c r="H1014" s="233"/>
      <c r="I1014" s="301"/>
    </row>
    <row r="1015" spans="2:9" s="297" customFormat="1" ht="21" customHeight="1">
      <c r="B1015" s="305"/>
      <c r="C1015" s="305"/>
      <c r="D1015" s="234"/>
      <c r="E1015" s="311"/>
      <c r="F1015" s="307"/>
      <c r="G1015" s="232"/>
      <c r="H1015" s="233"/>
      <c r="I1015" s="301"/>
    </row>
    <row r="1016" spans="2:9" s="297" customFormat="1" ht="21" customHeight="1">
      <c r="B1016" s="305"/>
      <c r="C1016" s="305"/>
      <c r="D1016" s="234"/>
      <c r="E1016" s="311"/>
      <c r="F1016" s="307"/>
      <c r="G1016" s="232"/>
      <c r="H1016" s="233"/>
      <c r="I1016" s="301"/>
    </row>
    <row r="1017" spans="2:9" s="297" customFormat="1" ht="21" customHeight="1">
      <c r="B1017" s="305"/>
      <c r="C1017" s="305"/>
      <c r="D1017" s="234"/>
      <c r="E1017" s="311"/>
      <c r="F1017" s="307"/>
      <c r="G1017" s="232"/>
      <c r="H1017" s="233"/>
      <c r="I1017" s="301"/>
    </row>
    <row r="1018" spans="2:9" s="297" customFormat="1" ht="21" customHeight="1">
      <c r="B1018" s="305"/>
      <c r="C1018" s="305"/>
      <c r="D1018" s="234"/>
      <c r="E1018" s="311"/>
      <c r="F1018" s="307"/>
      <c r="G1018" s="232"/>
      <c r="H1018" s="233"/>
      <c r="I1018" s="301"/>
    </row>
    <row r="1019" spans="2:9" s="297" customFormat="1" ht="21" customHeight="1">
      <c r="B1019" s="305"/>
      <c r="C1019" s="305"/>
      <c r="D1019" s="234"/>
      <c r="E1019" s="311"/>
      <c r="F1019" s="307"/>
      <c r="G1019" s="232"/>
      <c r="H1019" s="233"/>
      <c r="I1019" s="301"/>
    </row>
    <row r="1020" spans="2:9" s="297" customFormat="1" ht="21" customHeight="1">
      <c r="B1020" s="305"/>
      <c r="C1020" s="305"/>
      <c r="D1020" s="234"/>
      <c r="E1020" s="307"/>
      <c r="F1020" s="307"/>
      <c r="G1020" s="232"/>
      <c r="H1020" s="233"/>
      <c r="I1020" s="301"/>
    </row>
    <row r="1021" spans="2:9" s="297" customFormat="1" ht="21" customHeight="1">
      <c r="B1021" s="305"/>
      <c r="C1021" s="305"/>
      <c r="D1021" s="234"/>
      <c r="E1021" s="307"/>
      <c r="F1021" s="307"/>
      <c r="G1021" s="232"/>
      <c r="H1021" s="232"/>
      <c r="I1021" s="301"/>
    </row>
    <row r="1022" spans="2:9" s="297" customFormat="1" ht="21" customHeight="1">
      <c r="B1022" s="312" t="s">
        <v>835</v>
      </c>
      <c r="C1022" s="305"/>
      <c r="D1022" s="234"/>
      <c r="E1022" s="307"/>
      <c r="F1022" s="307"/>
      <c r="G1022" s="232"/>
      <c r="H1022" s="233"/>
      <c r="I1022" s="301"/>
    </row>
    <row r="1023" spans="2:9" s="297" customFormat="1" ht="21" customHeight="1">
      <c r="B1023" s="305"/>
      <c r="C1023" s="305" t="s">
        <v>64</v>
      </c>
      <c r="D1023" s="234" t="s">
        <v>836</v>
      </c>
      <c r="E1023" s="307">
        <v>0.96</v>
      </c>
      <c r="F1023" s="307"/>
      <c r="G1023" s="232"/>
      <c r="H1023" s="233"/>
      <c r="I1023" s="301"/>
    </row>
    <row r="1024" spans="2:9" s="297" customFormat="1" ht="21" customHeight="1">
      <c r="B1024" s="305"/>
      <c r="C1024" s="305"/>
      <c r="D1024" s="234"/>
      <c r="E1024" s="306"/>
      <c r="F1024" s="306"/>
      <c r="G1024" s="232"/>
      <c r="H1024" s="232"/>
      <c r="I1024" s="301"/>
    </row>
    <row r="1025" spans="2:9" s="297" customFormat="1" ht="21" customHeight="1">
      <c r="B1025" s="305"/>
      <c r="C1025" s="305"/>
      <c r="D1025" s="234"/>
      <c r="E1025" s="306"/>
      <c r="F1025" s="306"/>
      <c r="G1025" s="308"/>
      <c r="H1025" s="233"/>
      <c r="I1025" s="301"/>
    </row>
    <row r="1026" spans="2:9" s="297" customFormat="1" ht="21" customHeight="1">
      <c r="B1026" s="305"/>
      <c r="C1026" s="305"/>
      <c r="D1026" s="234"/>
      <c r="E1026" s="306"/>
      <c r="F1026" s="306"/>
      <c r="G1026" s="308"/>
      <c r="H1026" s="233"/>
      <c r="I1026" s="301"/>
    </row>
    <row r="1027" spans="2:9" s="297" customFormat="1" ht="21" customHeight="1">
      <c r="B1027" s="305"/>
      <c r="C1027" s="305"/>
      <c r="D1027" s="234"/>
      <c r="E1027" s="306"/>
      <c r="F1027" s="306"/>
      <c r="G1027" s="308"/>
      <c r="H1027" s="233"/>
      <c r="I1027" s="301"/>
    </row>
    <row r="1028" spans="2:9" s="297" customFormat="1" ht="21" customHeight="1">
      <c r="B1028" s="312" t="s">
        <v>837</v>
      </c>
      <c r="C1028" s="305"/>
      <c r="D1028" s="234"/>
      <c r="E1028" s="307"/>
      <c r="F1028" s="307"/>
      <c r="G1028" s="232"/>
      <c r="H1028" s="233"/>
      <c r="I1028" s="301"/>
    </row>
    <row r="1029" spans="2:9" s="297" customFormat="1" ht="21" customHeight="1">
      <c r="B1029" s="305"/>
      <c r="C1029" s="305" t="s">
        <v>64</v>
      </c>
      <c r="D1029" s="234" t="s">
        <v>836</v>
      </c>
      <c r="E1029" s="307">
        <v>2.9000000000000001E-2</v>
      </c>
      <c r="F1029" s="307"/>
      <c r="G1029" s="232"/>
      <c r="H1029" s="233"/>
      <c r="I1029" s="301"/>
    </row>
    <row r="1030" spans="2:9" s="297" customFormat="1" ht="21" customHeight="1">
      <c r="B1030" s="305"/>
      <c r="C1030" s="305"/>
      <c r="D1030" s="234"/>
      <c r="E1030" s="306"/>
      <c r="F1030" s="306"/>
      <c r="G1030" s="232"/>
      <c r="H1030" s="232"/>
      <c r="I1030" s="301"/>
    </row>
    <row r="1031" spans="2:9" s="297" customFormat="1" ht="21" customHeight="1">
      <c r="B1031" s="305"/>
      <c r="C1031" s="305"/>
      <c r="D1031" s="234"/>
      <c r="E1031" s="306"/>
      <c r="F1031" s="306"/>
      <c r="G1031" s="308"/>
      <c r="H1031" s="233"/>
      <c r="I1031" s="301"/>
    </row>
    <row r="1032" spans="2:9" s="297" customFormat="1" ht="21" customHeight="1">
      <c r="B1032" s="305"/>
      <c r="C1032" s="305"/>
      <c r="D1032" s="234"/>
      <c r="E1032" s="306"/>
      <c r="F1032" s="306"/>
      <c r="G1032" s="308"/>
      <c r="H1032" s="233"/>
      <c r="I1032" s="301"/>
    </row>
    <row r="1033" spans="2:9" s="297" customFormat="1" ht="21" customHeight="1">
      <c r="B1033" s="305"/>
      <c r="C1033" s="305"/>
      <c r="D1033" s="234"/>
      <c r="E1033" s="306"/>
      <c r="F1033" s="306"/>
      <c r="G1033" s="308"/>
      <c r="H1033" s="233"/>
      <c r="I1033" s="301"/>
    </row>
    <row r="1034" spans="2:9" s="297" customFormat="1" ht="21" customHeight="1">
      <c r="B1034" s="305"/>
      <c r="C1034" s="305"/>
      <c r="D1034" s="234"/>
      <c r="E1034" s="306"/>
      <c r="F1034" s="306"/>
      <c r="G1034" s="308"/>
      <c r="H1034" s="233"/>
      <c r="I1034" s="301"/>
    </row>
    <row r="1035" spans="2:9" s="297" customFormat="1" ht="21" customHeight="1">
      <c r="B1035" s="300" t="str">
        <f>'5. 공종별예산조서'!$A$74</f>
        <v>2-15. 아우트렛박스(커버포함) 신설</v>
      </c>
      <c r="C1035" s="300" t="str">
        <f>'5. 공종별예산조서'!$B$74</f>
        <v>4각 중형 54㎜</v>
      </c>
      <c r="D1035" s="301" t="str">
        <f>'5. 공종별예산조서'!$C$74</f>
        <v>개</v>
      </c>
      <c r="E1035" s="309">
        <f>'5. 공종별예산조서'!$D$74</f>
        <v>67</v>
      </c>
      <c r="F1035" s="302"/>
      <c r="G1035" s="303"/>
      <c r="H1035" s="304"/>
      <c r="I1035" s="301"/>
    </row>
    <row r="1036" spans="2:9" s="297" customFormat="1" ht="21" customHeight="1">
      <c r="B1036" s="312" t="s">
        <v>834</v>
      </c>
      <c r="C1036" s="305"/>
      <c r="D1036" s="234"/>
      <c r="E1036" s="310"/>
      <c r="F1036" s="306"/>
      <c r="G1036" s="232"/>
      <c r="H1036" s="233"/>
      <c r="I1036" s="301"/>
    </row>
    <row r="1037" spans="2:9" s="297" customFormat="1" ht="21" customHeight="1">
      <c r="B1037" s="305" t="s">
        <v>1126</v>
      </c>
      <c r="C1037" s="305" t="str">
        <f>C1035</f>
        <v>4각 중형 54㎜</v>
      </c>
      <c r="D1037" s="234" t="str">
        <f>D1035</f>
        <v>개</v>
      </c>
      <c r="E1037" s="311">
        <f>E1035</f>
        <v>67</v>
      </c>
      <c r="F1037" s="307"/>
      <c r="G1037" s="232"/>
      <c r="H1037" s="233"/>
      <c r="I1037" s="301"/>
    </row>
    <row r="1038" spans="2:9" s="297" customFormat="1" ht="21" customHeight="1">
      <c r="B1038" s="305" t="s">
        <v>1127</v>
      </c>
      <c r="C1038" s="305" t="s">
        <v>1128</v>
      </c>
      <c r="D1038" s="234" t="str">
        <f t="shared" ref="D1038" si="2">D1037</f>
        <v>개</v>
      </c>
      <c r="E1038" s="311">
        <f t="shared" ref="E1038" si="3">E1037</f>
        <v>67</v>
      </c>
      <c r="F1038" s="307"/>
      <c r="G1038" s="232"/>
      <c r="H1038" s="233"/>
      <c r="I1038" s="301"/>
    </row>
    <row r="1039" spans="2:9" s="297" customFormat="1" ht="21" customHeight="1">
      <c r="B1039" s="305"/>
      <c r="C1039" s="305"/>
      <c r="D1039" s="234"/>
      <c r="E1039" s="311"/>
      <c r="F1039" s="307"/>
      <c r="G1039" s="232"/>
      <c r="H1039" s="233"/>
      <c r="I1039" s="301"/>
    </row>
    <row r="1040" spans="2:9" s="297" customFormat="1" ht="21" customHeight="1">
      <c r="B1040" s="305"/>
      <c r="C1040" s="305"/>
      <c r="D1040" s="234"/>
      <c r="E1040" s="311"/>
      <c r="F1040" s="307"/>
      <c r="G1040" s="232"/>
      <c r="H1040" s="233"/>
      <c r="I1040" s="301"/>
    </row>
    <row r="1041" spans="2:9" s="297" customFormat="1" ht="21" customHeight="1">
      <c r="B1041" s="305"/>
      <c r="C1041" s="305"/>
      <c r="D1041" s="234"/>
      <c r="E1041" s="311"/>
      <c r="F1041" s="307"/>
      <c r="G1041" s="232"/>
      <c r="H1041" s="233"/>
      <c r="I1041" s="301"/>
    </row>
    <row r="1042" spans="2:9" s="297" customFormat="1" ht="21" customHeight="1">
      <c r="B1042" s="305"/>
      <c r="C1042" s="305"/>
      <c r="D1042" s="234"/>
      <c r="E1042" s="311"/>
      <c r="F1042" s="307"/>
      <c r="G1042" s="232"/>
      <c r="H1042" s="233"/>
      <c r="I1042" s="301"/>
    </row>
    <row r="1043" spans="2:9" s="297" customFormat="1" ht="21" customHeight="1">
      <c r="B1043" s="305"/>
      <c r="C1043" s="305"/>
      <c r="D1043" s="234"/>
      <c r="E1043" s="311"/>
      <c r="F1043" s="307"/>
      <c r="G1043" s="232"/>
      <c r="H1043" s="233"/>
      <c r="I1043" s="301"/>
    </row>
    <row r="1044" spans="2:9" s="297" customFormat="1" ht="21" customHeight="1">
      <c r="B1044" s="305"/>
      <c r="C1044" s="305"/>
      <c r="D1044" s="234"/>
      <c r="E1044" s="307"/>
      <c r="F1044" s="307"/>
      <c r="G1044" s="232"/>
      <c r="H1044" s="233"/>
      <c r="I1044" s="301"/>
    </row>
    <row r="1045" spans="2:9" s="297" customFormat="1" ht="21" customHeight="1">
      <c r="B1045" s="305"/>
      <c r="C1045" s="305"/>
      <c r="D1045" s="234"/>
      <c r="E1045" s="307"/>
      <c r="F1045" s="307"/>
      <c r="G1045" s="232"/>
      <c r="H1045" s="232"/>
      <c r="I1045" s="301"/>
    </row>
    <row r="1046" spans="2:9" s="297" customFormat="1" ht="21" customHeight="1">
      <c r="B1046" s="312" t="s">
        <v>835</v>
      </c>
      <c r="C1046" s="305"/>
      <c r="D1046" s="234"/>
      <c r="E1046" s="307"/>
      <c r="F1046" s="307"/>
      <c r="G1046" s="232"/>
      <c r="H1046" s="233"/>
      <c r="I1046" s="301"/>
    </row>
    <row r="1047" spans="2:9" s="297" customFormat="1" ht="21" customHeight="1">
      <c r="B1047" s="305"/>
      <c r="C1047" s="305" t="s">
        <v>64</v>
      </c>
      <c r="D1047" s="234" t="s">
        <v>836</v>
      </c>
      <c r="E1047" s="307">
        <v>12.06</v>
      </c>
      <c r="F1047" s="307"/>
      <c r="G1047" s="232"/>
      <c r="H1047" s="233"/>
      <c r="I1047" s="301"/>
    </row>
    <row r="1048" spans="2:9" s="297" customFormat="1" ht="21" customHeight="1">
      <c r="B1048" s="305"/>
      <c r="C1048" s="305"/>
      <c r="D1048" s="234"/>
      <c r="E1048" s="306"/>
      <c r="F1048" s="306"/>
      <c r="G1048" s="232"/>
      <c r="H1048" s="232"/>
      <c r="I1048" s="301"/>
    </row>
    <row r="1049" spans="2:9" s="297" customFormat="1" ht="21" customHeight="1">
      <c r="B1049" s="305"/>
      <c r="C1049" s="305"/>
      <c r="D1049" s="234"/>
      <c r="E1049" s="306"/>
      <c r="F1049" s="306"/>
      <c r="G1049" s="308"/>
      <c r="H1049" s="233"/>
      <c r="I1049" s="301"/>
    </row>
    <row r="1050" spans="2:9" s="297" customFormat="1" ht="21" customHeight="1">
      <c r="B1050" s="305"/>
      <c r="C1050" s="305"/>
      <c r="D1050" s="234"/>
      <c r="E1050" s="306"/>
      <c r="F1050" s="306"/>
      <c r="G1050" s="308"/>
      <c r="H1050" s="233"/>
      <c r="I1050" s="301"/>
    </row>
    <row r="1051" spans="2:9" s="297" customFormat="1" ht="21" customHeight="1">
      <c r="B1051" s="305"/>
      <c r="C1051" s="305"/>
      <c r="D1051" s="234"/>
      <c r="E1051" s="306"/>
      <c r="F1051" s="306"/>
      <c r="G1051" s="308"/>
      <c r="H1051" s="233"/>
      <c r="I1051" s="301"/>
    </row>
    <row r="1052" spans="2:9" s="297" customFormat="1" ht="21" customHeight="1">
      <c r="B1052" s="312" t="s">
        <v>837</v>
      </c>
      <c r="C1052" s="305"/>
      <c r="D1052" s="234"/>
      <c r="E1052" s="307"/>
      <c r="F1052" s="307"/>
      <c r="G1052" s="232"/>
      <c r="H1052" s="233"/>
      <c r="I1052" s="301"/>
    </row>
    <row r="1053" spans="2:9" s="297" customFormat="1" ht="21" customHeight="1">
      <c r="B1053" s="305"/>
      <c r="C1053" s="305" t="s">
        <v>64</v>
      </c>
      <c r="D1053" s="234" t="s">
        <v>836</v>
      </c>
      <c r="E1053" s="307">
        <v>0.36199999999999999</v>
      </c>
      <c r="F1053" s="307"/>
      <c r="G1053" s="232"/>
      <c r="H1053" s="233"/>
      <c r="I1053" s="301"/>
    </row>
    <row r="1054" spans="2:9" s="297" customFormat="1" ht="21" customHeight="1">
      <c r="B1054" s="305"/>
      <c r="C1054" s="305"/>
      <c r="D1054" s="234"/>
      <c r="E1054" s="306"/>
      <c r="F1054" s="306"/>
      <c r="G1054" s="232"/>
      <c r="H1054" s="232"/>
      <c r="I1054" s="301"/>
    </row>
    <row r="1055" spans="2:9" s="297" customFormat="1" ht="21" customHeight="1">
      <c r="B1055" s="305"/>
      <c r="C1055" s="305"/>
      <c r="D1055" s="234"/>
      <c r="E1055" s="306"/>
      <c r="F1055" s="306"/>
      <c r="G1055" s="308"/>
      <c r="H1055" s="233"/>
      <c r="I1055" s="301"/>
    </row>
    <row r="1056" spans="2:9" s="297" customFormat="1" ht="21" customHeight="1">
      <c r="B1056" s="305"/>
      <c r="C1056" s="305"/>
      <c r="D1056" s="234"/>
      <c r="E1056" s="306"/>
      <c r="F1056" s="306"/>
      <c r="G1056" s="308"/>
      <c r="H1056" s="233"/>
      <c r="I1056" s="301"/>
    </row>
    <row r="1057" spans="2:9" s="297" customFormat="1" ht="21" customHeight="1">
      <c r="B1057" s="305"/>
      <c r="C1057" s="305"/>
      <c r="D1057" s="234"/>
      <c r="E1057" s="306"/>
      <c r="F1057" s="306"/>
      <c r="G1057" s="308"/>
      <c r="H1057" s="233"/>
      <c r="I1057" s="301"/>
    </row>
    <row r="1058" spans="2:9" s="297" customFormat="1" ht="21" customHeight="1">
      <c r="B1058" s="305"/>
      <c r="C1058" s="305"/>
      <c r="D1058" s="234"/>
      <c r="E1058" s="306"/>
      <c r="F1058" s="306"/>
      <c r="G1058" s="308"/>
      <c r="H1058" s="233"/>
      <c r="I1058" s="301"/>
    </row>
    <row r="1059" spans="2:9" s="297" customFormat="1" ht="21" customHeight="1">
      <c r="B1059" s="300" t="str">
        <f>'5. 공종별예산조서'!A$75</f>
        <v>2-16. 스위치박스 신설</v>
      </c>
      <c r="C1059" s="300" t="str">
        <f>'5. 공종별예산조서'!$B$75</f>
        <v>1구, 54㎜</v>
      </c>
      <c r="D1059" s="301" t="str">
        <f>'5. 공종별예산조서'!$C$75</f>
        <v>개</v>
      </c>
      <c r="E1059" s="309">
        <f>'5. 공종별예산조서'!$D$75</f>
        <v>75</v>
      </c>
      <c r="F1059" s="302"/>
      <c r="G1059" s="303"/>
      <c r="H1059" s="304"/>
      <c r="I1059" s="301"/>
    </row>
    <row r="1060" spans="2:9" s="297" customFormat="1" ht="21" customHeight="1">
      <c r="B1060" s="312" t="s">
        <v>834</v>
      </c>
      <c r="C1060" s="305"/>
      <c r="D1060" s="234"/>
      <c r="E1060" s="310"/>
      <c r="F1060" s="306"/>
      <c r="G1060" s="232"/>
      <c r="H1060" s="233"/>
      <c r="I1060" s="301"/>
    </row>
    <row r="1061" spans="2:9" s="297" customFormat="1" ht="21" customHeight="1">
      <c r="B1061" s="305" t="s">
        <v>1129</v>
      </c>
      <c r="C1061" s="305" t="str">
        <f>C1059</f>
        <v>1구, 54㎜</v>
      </c>
      <c r="D1061" s="234" t="str">
        <f>D1059</f>
        <v>개</v>
      </c>
      <c r="E1061" s="311">
        <f>E1059</f>
        <v>75</v>
      </c>
      <c r="F1061" s="307"/>
      <c r="G1061" s="232"/>
      <c r="H1061" s="233"/>
      <c r="I1061" s="301"/>
    </row>
    <row r="1062" spans="2:9" s="297" customFormat="1" ht="21" customHeight="1">
      <c r="B1062" s="305"/>
      <c r="C1062" s="305"/>
      <c r="D1062" s="234"/>
      <c r="E1062" s="311"/>
      <c r="F1062" s="307"/>
      <c r="G1062" s="232"/>
      <c r="H1062" s="233"/>
      <c r="I1062" s="301"/>
    </row>
    <row r="1063" spans="2:9" s="297" customFormat="1" ht="21" customHeight="1">
      <c r="B1063" s="305"/>
      <c r="C1063" s="305"/>
      <c r="D1063" s="234"/>
      <c r="E1063" s="311"/>
      <c r="F1063" s="307"/>
      <c r="G1063" s="232"/>
      <c r="H1063" s="233"/>
      <c r="I1063" s="301"/>
    </row>
    <row r="1064" spans="2:9" s="297" customFormat="1" ht="21" customHeight="1">
      <c r="B1064" s="305"/>
      <c r="C1064" s="305"/>
      <c r="D1064" s="234"/>
      <c r="E1064" s="311"/>
      <c r="F1064" s="307"/>
      <c r="G1064" s="232"/>
      <c r="H1064" s="233"/>
      <c r="I1064" s="301"/>
    </row>
    <row r="1065" spans="2:9" s="297" customFormat="1" ht="21" customHeight="1">
      <c r="B1065" s="305"/>
      <c r="C1065" s="305"/>
      <c r="D1065" s="234"/>
      <c r="E1065" s="311"/>
      <c r="F1065" s="307"/>
      <c r="G1065" s="232"/>
      <c r="H1065" s="233"/>
      <c r="I1065" s="301"/>
    </row>
    <row r="1066" spans="2:9" s="297" customFormat="1" ht="21" customHeight="1">
      <c r="B1066" s="305"/>
      <c r="C1066" s="305"/>
      <c r="D1066" s="234"/>
      <c r="E1066" s="311"/>
      <c r="F1066" s="307"/>
      <c r="G1066" s="232"/>
      <c r="H1066" s="233"/>
      <c r="I1066" s="301"/>
    </row>
    <row r="1067" spans="2:9" s="297" customFormat="1" ht="21" customHeight="1">
      <c r="B1067" s="305"/>
      <c r="C1067" s="305"/>
      <c r="D1067" s="234"/>
      <c r="E1067" s="311"/>
      <c r="F1067" s="307"/>
      <c r="G1067" s="232"/>
      <c r="H1067" s="233"/>
      <c r="I1067" s="301"/>
    </row>
    <row r="1068" spans="2:9" s="297" customFormat="1" ht="21" customHeight="1">
      <c r="B1068" s="305"/>
      <c r="C1068" s="305"/>
      <c r="D1068" s="234"/>
      <c r="E1068" s="307"/>
      <c r="F1068" s="307"/>
      <c r="G1068" s="232"/>
      <c r="H1068" s="233"/>
      <c r="I1068" s="301"/>
    </row>
    <row r="1069" spans="2:9" s="297" customFormat="1" ht="21" customHeight="1">
      <c r="B1069" s="305"/>
      <c r="C1069" s="305"/>
      <c r="D1069" s="234"/>
      <c r="E1069" s="307"/>
      <c r="F1069" s="307"/>
      <c r="G1069" s="232"/>
      <c r="H1069" s="232"/>
      <c r="I1069" s="301"/>
    </row>
    <row r="1070" spans="2:9" s="297" customFormat="1" ht="21" customHeight="1">
      <c r="B1070" s="312" t="s">
        <v>835</v>
      </c>
      <c r="C1070" s="305"/>
      <c r="D1070" s="234"/>
      <c r="E1070" s="307"/>
      <c r="F1070" s="307"/>
      <c r="G1070" s="232"/>
      <c r="H1070" s="233"/>
      <c r="I1070" s="301"/>
    </row>
    <row r="1071" spans="2:9" s="297" customFormat="1" ht="21" customHeight="1">
      <c r="B1071" s="305"/>
      <c r="C1071" s="305" t="s">
        <v>64</v>
      </c>
      <c r="D1071" s="234" t="s">
        <v>836</v>
      </c>
      <c r="E1071" s="307">
        <v>13.5</v>
      </c>
      <c r="F1071" s="307"/>
      <c r="G1071" s="232"/>
      <c r="H1071" s="233"/>
      <c r="I1071" s="301"/>
    </row>
    <row r="1072" spans="2:9" s="297" customFormat="1" ht="21" customHeight="1">
      <c r="B1072" s="305"/>
      <c r="C1072" s="305"/>
      <c r="D1072" s="234"/>
      <c r="E1072" s="306"/>
      <c r="F1072" s="306"/>
      <c r="G1072" s="232"/>
      <c r="H1072" s="232"/>
      <c r="I1072" s="301"/>
    </row>
    <row r="1073" spans="2:9" s="297" customFormat="1" ht="21" customHeight="1">
      <c r="B1073" s="305"/>
      <c r="C1073" s="305"/>
      <c r="D1073" s="234"/>
      <c r="E1073" s="306"/>
      <c r="F1073" s="306"/>
      <c r="G1073" s="308"/>
      <c r="H1073" s="233"/>
      <c r="I1073" s="301"/>
    </row>
    <row r="1074" spans="2:9" s="297" customFormat="1" ht="21" customHeight="1">
      <c r="B1074" s="305"/>
      <c r="C1074" s="305"/>
      <c r="D1074" s="234"/>
      <c r="E1074" s="306"/>
      <c r="F1074" s="306"/>
      <c r="G1074" s="308"/>
      <c r="H1074" s="233"/>
      <c r="I1074" s="301"/>
    </row>
    <row r="1075" spans="2:9" s="297" customFormat="1" ht="21" customHeight="1">
      <c r="B1075" s="305"/>
      <c r="C1075" s="305"/>
      <c r="D1075" s="234"/>
      <c r="E1075" s="306"/>
      <c r="F1075" s="306"/>
      <c r="G1075" s="308"/>
      <c r="H1075" s="233"/>
      <c r="I1075" s="301"/>
    </row>
    <row r="1076" spans="2:9" s="297" customFormat="1" ht="21" customHeight="1">
      <c r="B1076" s="312" t="s">
        <v>837</v>
      </c>
      <c r="C1076" s="305"/>
      <c r="D1076" s="234"/>
      <c r="E1076" s="307"/>
      <c r="F1076" s="307"/>
      <c r="G1076" s="232"/>
      <c r="H1076" s="233"/>
      <c r="I1076" s="301"/>
    </row>
    <row r="1077" spans="2:9" s="297" customFormat="1" ht="21" customHeight="1">
      <c r="B1077" s="305"/>
      <c r="C1077" s="305" t="s">
        <v>64</v>
      </c>
      <c r="D1077" s="234" t="s">
        <v>836</v>
      </c>
      <c r="E1077" s="307">
        <v>0.40500000000000003</v>
      </c>
      <c r="F1077" s="307"/>
      <c r="G1077" s="232"/>
      <c r="H1077" s="233"/>
      <c r="I1077" s="301"/>
    </row>
    <row r="1078" spans="2:9" s="297" customFormat="1" ht="21" customHeight="1">
      <c r="B1078" s="305"/>
      <c r="C1078" s="305"/>
      <c r="D1078" s="234"/>
      <c r="E1078" s="306"/>
      <c r="F1078" s="306"/>
      <c r="G1078" s="232"/>
      <c r="H1078" s="232"/>
      <c r="I1078" s="301"/>
    </row>
    <row r="1079" spans="2:9" s="297" customFormat="1" ht="21" customHeight="1">
      <c r="B1079" s="305"/>
      <c r="C1079" s="305"/>
      <c r="D1079" s="234"/>
      <c r="E1079" s="306"/>
      <c r="F1079" s="306"/>
      <c r="G1079" s="308"/>
      <c r="H1079" s="233"/>
      <c r="I1079" s="301"/>
    </row>
    <row r="1080" spans="2:9" s="297" customFormat="1" ht="21" customHeight="1">
      <c r="B1080" s="305"/>
      <c r="C1080" s="305"/>
      <c r="D1080" s="234"/>
      <c r="E1080" s="306"/>
      <c r="F1080" s="306"/>
      <c r="G1080" s="308"/>
      <c r="H1080" s="233"/>
      <c r="I1080" s="301"/>
    </row>
    <row r="1081" spans="2:9" s="297" customFormat="1" ht="21" customHeight="1">
      <c r="B1081" s="305"/>
      <c r="C1081" s="305"/>
      <c r="D1081" s="234"/>
      <c r="E1081" s="306"/>
      <c r="F1081" s="306"/>
      <c r="G1081" s="308"/>
      <c r="H1081" s="233"/>
      <c r="I1081" s="301"/>
    </row>
    <row r="1082" spans="2:9" s="297" customFormat="1" ht="21" customHeight="1">
      <c r="B1082" s="305"/>
      <c r="C1082" s="305"/>
      <c r="D1082" s="234"/>
      <c r="E1082" s="306"/>
      <c r="F1082" s="306"/>
      <c r="G1082" s="308"/>
      <c r="H1082" s="233"/>
      <c r="I1082" s="301"/>
    </row>
    <row r="1083" spans="2:9" s="297" customFormat="1" ht="21" customHeight="1">
      <c r="B1083" s="300" t="str">
        <f>'5. 공종별예산조서'!$A$88</f>
        <v>3-1. LED 등기구 철거</v>
      </c>
      <c r="C1083" s="300" t="str">
        <f>'5. 공종별예산조서'!$B$88</f>
        <v>매입등, 1200*300</v>
      </c>
      <c r="D1083" s="301" t="str">
        <f>'5. 공종별예산조서'!$C$88</f>
        <v>개</v>
      </c>
      <c r="E1083" s="309">
        <f>'5. 공종별예산조서'!$D$88</f>
        <v>1</v>
      </c>
      <c r="F1083" s="302"/>
      <c r="G1083" s="303"/>
      <c r="H1083" s="304"/>
      <c r="I1083" s="301"/>
    </row>
    <row r="1084" spans="2:9" s="297" customFormat="1" ht="21" customHeight="1">
      <c r="B1084" s="312" t="s">
        <v>834</v>
      </c>
      <c r="C1084" s="305"/>
      <c r="D1084" s="234"/>
      <c r="E1084" s="310"/>
      <c r="F1084" s="306"/>
      <c r="G1084" s="232"/>
      <c r="H1084" s="233"/>
      <c r="I1084" s="301"/>
    </row>
    <row r="1085" spans="2:9" s="297" customFormat="1" ht="21" customHeight="1">
      <c r="B1085" s="305" t="s">
        <v>1130</v>
      </c>
      <c r="C1085" s="305" t="str">
        <f>C1083</f>
        <v>매입등, 1200*300</v>
      </c>
      <c r="D1085" s="234" t="str">
        <f>D1083</f>
        <v>개</v>
      </c>
      <c r="E1085" s="311">
        <f>E1083</f>
        <v>1</v>
      </c>
      <c r="F1085" s="307"/>
      <c r="G1085" s="232"/>
      <c r="H1085" s="233"/>
      <c r="I1085" s="301"/>
    </row>
    <row r="1086" spans="2:9" s="297" customFormat="1" ht="21" customHeight="1">
      <c r="B1086" s="305"/>
      <c r="C1086" s="305"/>
      <c r="D1086" s="234"/>
      <c r="E1086" s="311"/>
      <c r="F1086" s="307"/>
      <c r="G1086" s="232"/>
      <c r="H1086" s="233"/>
      <c r="I1086" s="301"/>
    </row>
    <row r="1087" spans="2:9" s="297" customFormat="1" ht="21" customHeight="1">
      <c r="B1087" s="305"/>
      <c r="C1087" s="305"/>
      <c r="D1087" s="234"/>
      <c r="E1087" s="311"/>
      <c r="F1087" s="307"/>
      <c r="G1087" s="232"/>
      <c r="H1087" s="233"/>
      <c r="I1087" s="301"/>
    </row>
    <row r="1088" spans="2:9" s="297" customFormat="1" ht="21" customHeight="1">
      <c r="B1088" s="305"/>
      <c r="C1088" s="305"/>
      <c r="D1088" s="234"/>
      <c r="E1088" s="311"/>
      <c r="F1088" s="307"/>
      <c r="G1088" s="232"/>
      <c r="H1088" s="233"/>
      <c r="I1088" s="301"/>
    </row>
    <row r="1089" spans="2:9" s="297" customFormat="1" ht="21" customHeight="1">
      <c r="B1089" s="305"/>
      <c r="C1089" s="305"/>
      <c r="D1089" s="234"/>
      <c r="E1089" s="311"/>
      <c r="F1089" s="307"/>
      <c r="G1089" s="232"/>
      <c r="H1089" s="233"/>
      <c r="I1089" s="301"/>
    </row>
    <row r="1090" spans="2:9" s="297" customFormat="1" ht="21" customHeight="1">
      <c r="B1090" s="305"/>
      <c r="C1090" s="305"/>
      <c r="D1090" s="234"/>
      <c r="E1090" s="307"/>
      <c r="F1090" s="307"/>
      <c r="G1090" s="232"/>
      <c r="H1090" s="232"/>
      <c r="I1090" s="301"/>
    </row>
    <row r="1091" spans="2:9" s="297" customFormat="1" ht="21" customHeight="1">
      <c r="B1091" s="305"/>
      <c r="C1091" s="305"/>
      <c r="D1091" s="234"/>
      <c r="E1091" s="307"/>
      <c r="F1091" s="307"/>
      <c r="G1091" s="308"/>
      <c r="H1091" s="233"/>
      <c r="I1091" s="301"/>
    </row>
    <row r="1092" spans="2:9" s="297" customFormat="1" ht="21" customHeight="1">
      <c r="B1092" s="305"/>
      <c r="C1092" s="305"/>
      <c r="D1092" s="234"/>
      <c r="E1092" s="307"/>
      <c r="F1092" s="307"/>
      <c r="G1092" s="308"/>
      <c r="H1092" s="233"/>
      <c r="I1092" s="301"/>
    </row>
    <row r="1093" spans="2:9" s="297" customFormat="1" ht="21" customHeight="1">
      <c r="B1093" s="305"/>
      <c r="C1093" s="305"/>
      <c r="D1093" s="234"/>
      <c r="E1093" s="307"/>
      <c r="F1093" s="307"/>
      <c r="G1093" s="308"/>
      <c r="H1093" s="233"/>
      <c r="I1093" s="301"/>
    </row>
    <row r="1094" spans="2:9" s="297" customFormat="1" ht="21" customHeight="1">
      <c r="B1094" s="305"/>
      <c r="C1094" s="305"/>
      <c r="D1094" s="234"/>
      <c r="E1094" s="307"/>
      <c r="F1094" s="307"/>
      <c r="G1094" s="308"/>
      <c r="H1094" s="233"/>
      <c r="I1094" s="301"/>
    </row>
    <row r="1095" spans="2:9" s="297" customFormat="1" ht="21" customHeight="1">
      <c r="B1095" s="312" t="s">
        <v>835</v>
      </c>
      <c r="C1095" s="305"/>
      <c r="D1095" s="234"/>
      <c r="E1095" s="307"/>
      <c r="F1095" s="307"/>
      <c r="G1095" s="232"/>
      <c r="H1095" s="233"/>
      <c r="I1095" s="301"/>
    </row>
    <row r="1096" spans="2:9" s="297" customFormat="1" ht="21" customHeight="1">
      <c r="B1096" s="305"/>
      <c r="C1096" s="305" t="s">
        <v>64</v>
      </c>
      <c r="D1096" s="234" t="s">
        <v>836</v>
      </c>
      <c r="E1096" s="307">
        <v>7.0999999999999994E-2</v>
      </c>
      <c r="F1096" s="307"/>
      <c r="G1096" s="232"/>
      <c r="H1096" s="233"/>
      <c r="I1096" s="301"/>
    </row>
    <row r="1097" spans="2:9" s="297" customFormat="1" ht="21" customHeight="1">
      <c r="B1097" s="305"/>
      <c r="C1097" s="305"/>
      <c r="D1097" s="234"/>
      <c r="E1097" s="306"/>
      <c r="F1097" s="306"/>
      <c r="G1097" s="232"/>
      <c r="H1097" s="232"/>
      <c r="I1097" s="301"/>
    </row>
    <row r="1098" spans="2:9" s="297" customFormat="1" ht="21" customHeight="1">
      <c r="B1098" s="305"/>
      <c r="C1098" s="305"/>
      <c r="D1098" s="234"/>
      <c r="E1098" s="306"/>
      <c r="F1098" s="306"/>
      <c r="G1098" s="308"/>
      <c r="H1098" s="233"/>
      <c r="I1098" s="301"/>
    </row>
    <row r="1099" spans="2:9" s="297" customFormat="1" ht="21" customHeight="1">
      <c r="B1099" s="305"/>
      <c r="C1099" s="305"/>
      <c r="D1099" s="234"/>
      <c r="E1099" s="306"/>
      <c r="F1099" s="306"/>
      <c r="G1099" s="308"/>
      <c r="H1099" s="233"/>
      <c r="I1099" s="301"/>
    </row>
    <row r="1100" spans="2:9" s="297" customFormat="1" ht="21" customHeight="1">
      <c r="B1100" s="305"/>
      <c r="C1100" s="305"/>
      <c r="D1100" s="234"/>
      <c r="E1100" s="306"/>
      <c r="F1100" s="306"/>
      <c r="G1100" s="308"/>
      <c r="H1100" s="233"/>
      <c r="I1100" s="301"/>
    </row>
    <row r="1101" spans="2:9" s="297" customFormat="1" ht="21" customHeight="1">
      <c r="B1101" s="312" t="s">
        <v>837</v>
      </c>
      <c r="C1101" s="305"/>
      <c r="D1101" s="234"/>
      <c r="E1101" s="307"/>
      <c r="F1101" s="307"/>
      <c r="G1101" s="232"/>
      <c r="H1101" s="233"/>
      <c r="I1101" s="301"/>
    </row>
    <row r="1102" spans="2:9" s="297" customFormat="1" ht="21" customHeight="1">
      <c r="B1102" s="305"/>
      <c r="C1102" s="305" t="s">
        <v>64</v>
      </c>
      <c r="D1102" s="234" t="s">
        <v>836</v>
      </c>
      <c r="E1102" s="307">
        <v>2E-3</v>
      </c>
      <c r="F1102" s="307"/>
      <c r="G1102" s="232"/>
      <c r="H1102" s="233"/>
      <c r="I1102" s="301"/>
    </row>
    <row r="1103" spans="2:9" s="297" customFormat="1" ht="21" customHeight="1">
      <c r="B1103" s="305"/>
      <c r="C1103" s="305"/>
      <c r="D1103" s="234"/>
      <c r="E1103" s="306"/>
      <c r="F1103" s="306"/>
      <c r="G1103" s="232"/>
      <c r="H1103" s="232"/>
      <c r="I1103" s="301"/>
    </row>
    <row r="1104" spans="2:9" s="297" customFormat="1" ht="21" customHeight="1">
      <c r="B1104" s="305"/>
      <c r="C1104" s="305"/>
      <c r="D1104" s="234"/>
      <c r="E1104" s="306"/>
      <c r="F1104" s="306"/>
      <c r="G1104" s="308"/>
      <c r="H1104" s="233"/>
      <c r="I1104" s="301"/>
    </row>
    <row r="1105" spans="2:9" s="297" customFormat="1" ht="21" customHeight="1">
      <c r="B1105" s="305"/>
      <c r="C1105" s="305"/>
      <c r="D1105" s="234"/>
      <c r="E1105" s="306"/>
      <c r="F1105" s="306"/>
      <c r="G1105" s="308"/>
      <c r="H1105" s="233"/>
      <c r="I1105" s="301"/>
    </row>
    <row r="1106" spans="2:9" s="297" customFormat="1" ht="21" customHeight="1">
      <c r="B1106" s="305"/>
      <c r="C1106" s="305"/>
      <c r="D1106" s="234"/>
      <c r="E1106" s="306"/>
      <c r="F1106" s="306"/>
      <c r="G1106" s="308"/>
      <c r="H1106" s="233"/>
      <c r="I1106" s="301"/>
    </row>
    <row r="1107" spans="2:9" s="297" customFormat="1" ht="21" customHeight="1">
      <c r="B1107" s="300" t="str">
        <f>'5. 공종별예산조서'!$A$89</f>
        <v>3-2. LED 등기구 철거</v>
      </c>
      <c r="C1107" s="300" t="str">
        <f>'5. 공종별예산조서'!$B$89</f>
        <v>사각매입등, 600*600</v>
      </c>
      <c r="D1107" s="301" t="str">
        <f>'5. 공종별예산조서'!$C$89</f>
        <v>개</v>
      </c>
      <c r="E1107" s="309">
        <f>'5. 공종별예산조서'!$D$89</f>
        <v>23</v>
      </c>
      <c r="F1107" s="302"/>
      <c r="G1107" s="303"/>
      <c r="H1107" s="304"/>
      <c r="I1107" s="301"/>
    </row>
    <row r="1108" spans="2:9" s="297" customFormat="1" ht="21" customHeight="1">
      <c r="B1108" s="312" t="s">
        <v>834</v>
      </c>
      <c r="C1108" s="305"/>
      <c r="D1108" s="234"/>
      <c r="E1108" s="310"/>
      <c r="F1108" s="306"/>
      <c r="G1108" s="232"/>
      <c r="H1108" s="233"/>
      <c r="I1108" s="301"/>
    </row>
    <row r="1109" spans="2:9" s="297" customFormat="1" ht="21" customHeight="1">
      <c r="B1109" s="305" t="s">
        <v>848</v>
      </c>
      <c r="C1109" s="305" t="str">
        <f>C1107</f>
        <v>사각매입등, 600*600</v>
      </c>
      <c r="D1109" s="234" t="str">
        <f>D1107</f>
        <v>개</v>
      </c>
      <c r="E1109" s="311">
        <f>E1107</f>
        <v>23</v>
      </c>
      <c r="F1109" s="307"/>
      <c r="G1109" s="232"/>
      <c r="H1109" s="233"/>
      <c r="I1109" s="301"/>
    </row>
    <row r="1110" spans="2:9" s="297" customFormat="1" ht="21" customHeight="1">
      <c r="B1110" s="305"/>
      <c r="C1110" s="305"/>
      <c r="D1110" s="234"/>
      <c r="E1110" s="311"/>
      <c r="F1110" s="307"/>
      <c r="G1110" s="232"/>
      <c r="H1110" s="233"/>
      <c r="I1110" s="301"/>
    </row>
    <row r="1111" spans="2:9" s="297" customFormat="1" ht="21" customHeight="1">
      <c r="B1111" s="305"/>
      <c r="C1111" s="305"/>
      <c r="D1111" s="234"/>
      <c r="E1111" s="311"/>
      <c r="F1111" s="307"/>
      <c r="G1111" s="232"/>
      <c r="H1111" s="233"/>
      <c r="I1111" s="301"/>
    </row>
    <row r="1112" spans="2:9" s="297" customFormat="1" ht="21" customHeight="1">
      <c r="B1112" s="305"/>
      <c r="C1112" s="305"/>
      <c r="D1112" s="234"/>
      <c r="E1112" s="311"/>
      <c r="F1112" s="307"/>
      <c r="G1112" s="232"/>
      <c r="H1112" s="233"/>
      <c r="I1112" s="301"/>
    </row>
    <row r="1113" spans="2:9" s="297" customFormat="1" ht="21" customHeight="1">
      <c r="B1113" s="305"/>
      <c r="C1113" s="305"/>
      <c r="D1113" s="234"/>
      <c r="E1113" s="311"/>
      <c r="F1113" s="307"/>
      <c r="G1113" s="232"/>
      <c r="H1113" s="233"/>
      <c r="I1113" s="301"/>
    </row>
    <row r="1114" spans="2:9" s="297" customFormat="1" ht="21" customHeight="1">
      <c r="B1114" s="305"/>
      <c r="C1114" s="305"/>
      <c r="D1114" s="234"/>
      <c r="E1114" s="307"/>
      <c r="F1114" s="307"/>
      <c r="G1114" s="232"/>
      <c r="H1114" s="232"/>
      <c r="I1114" s="301"/>
    </row>
    <row r="1115" spans="2:9" s="297" customFormat="1" ht="21" customHeight="1">
      <c r="B1115" s="305"/>
      <c r="C1115" s="305"/>
      <c r="D1115" s="234"/>
      <c r="E1115" s="307"/>
      <c r="F1115" s="307"/>
      <c r="G1115" s="308"/>
      <c r="H1115" s="233"/>
      <c r="I1115" s="301"/>
    </row>
    <row r="1116" spans="2:9" s="297" customFormat="1" ht="21" customHeight="1">
      <c r="B1116" s="305"/>
      <c r="C1116" s="305"/>
      <c r="D1116" s="234"/>
      <c r="E1116" s="307"/>
      <c r="F1116" s="307"/>
      <c r="G1116" s="308"/>
      <c r="H1116" s="233"/>
      <c r="I1116" s="301"/>
    </row>
    <row r="1117" spans="2:9" s="297" customFormat="1" ht="21" customHeight="1">
      <c r="B1117" s="305"/>
      <c r="C1117" s="305"/>
      <c r="D1117" s="234"/>
      <c r="E1117" s="307"/>
      <c r="F1117" s="307"/>
      <c r="G1117" s="308"/>
      <c r="H1117" s="233"/>
      <c r="I1117" s="301"/>
    </row>
    <row r="1118" spans="2:9" s="297" customFormat="1" ht="21" customHeight="1">
      <c r="B1118" s="305"/>
      <c r="C1118" s="305"/>
      <c r="D1118" s="234"/>
      <c r="E1118" s="307"/>
      <c r="F1118" s="307"/>
      <c r="G1118" s="308"/>
      <c r="H1118" s="233"/>
      <c r="I1118" s="301"/>
    </row>
    <row r="1119" spans="2:9" s="297" customFormat="1" ht="21" customHeight="1">
      <c r="B1119" s="312" t="s">
        <v>835</v>
      </c>
      <c r="C1119" s="305"/>
      <c r="D1119" s="234"/>
      <c r="E1119" s="307"/>
      <c r="F1119" s="307"/>
      <c r="G1119" s="232"/>
      <c r="H1119" s="233"/>
      <c r="I1119" s="301"/>
    </row>
    <row r="1120" spans="2:9" s="297" customFormat="1" ht="21" customHeight="1">
      <c r="B1120" s="305"/>
      <c r="C1120" s="305" t="s">
        <v>64</v>
      </c>
      <c r="D1120" s="234" t="s">
        <v>836</v>
      </c>
      <c r="E1120" s="307">
        <v>1.633</v>
      </c>
      <c r="F1120" s="307"/>
      <c r="G1120" s="232"/>
      <c r="H1120" s="233"/>
      <c r="I1120" s="301"/>
    </row>
    <row r="1121" spans="2:9" s="297" customFormat="1" ht="21" customHeight="1">
      <c r="B1121" s="305"/>
      <c r="C1121" s="305"/>
      <c r="D1121" s="234"/>
      <c r="E1121" s="306"/>
      <c r="F1121" s="306"/>
      <c r="G1121" s="232"/>
      <c r="H1121" s="232"/>
      <c r="I1121" s="301"/>
    </row>
    <row r="1122" spans="2:9" s="297" customFormat="1" ht="21" customHeight="1">
      <c r="B1122" s="305"/>
      <c r="C1122" s="305"/>
      <c r="D1122" s="234"/>
      <c r="E1122" s="306"/>
      <c r="F1122" s="306"/>
      <c r="G1122" s="308"/>
      <c r="H1122" s="233"/>
      <c r="I1122" s="301"/>
    </row>
    <row r="1123" spans="2:9" s="297" customFormat="1" ht="21" customHeight="1">
      <c r="B1123" s="305"/>
      <c r="C1123" s="305"/>
      <c r="D1123" s="234"/>
      <c r="E1123" s="306"/>
      <c r="F1123" s="306"/>
      <c r="G1123" s="308"/>
      <c r="H1123" s="233"/>
      <c r="I1123" s="301"/>
    </row>
    <row r="1124" spans="2:9" s="297" customFormat="1" ht="21" customHeight="1">
      <c r="B1124" s="305"/>
      <c r="C1124" s="305"/>
      <c r="D1124" s="234"/>
      <c r="E1124" s="306"/>
      <c r="F1124" s="306"/>
      <c r="G1124" s="308"/>
      <c r="H1124" s="233"/>
      <c r="I1124" s="301"/>
    </row>
    <row r="1125" spans="2:9" s="297" customFormat="1" ht="21" customHeight="1">
      <c r="B1125" s="312" t="s">
        <v>837</v>
      </c>
      <c r="C1125" s="305"/>
      <c r="D1125" s="234"/>
      <c r="E1125" s="307"/>
      <c r="F1125" s="307"/>
      <c r="G1125" s="232"/>
      <c r="H1125" s="233"/>
      <c r="I1125" s="301"/>
    </row>
    <row r="1126" spans="2:9" s="297" customFormat="1" ht="21" customHeight="1">
      <c r="B1126" s="305"/>
      <c r="C1126" s="305" t="s">
        <v>64</v>
      </c>
      <c r="D1126" s="234" t="s">
        <v>836</v>
      </c>
      <c r="E1126" s="307">
        <v>4.9000000000000002E-2</v>
      </c>
      <c r="F1126" s="307"/>
      <c r="G1126" s="232"/>
      <c r="H1126" s="233"/>
      <c r="I1126" s="301"/>
    </row>
    <row r="1127" spans="2:9" s="297" customFormat="1" ht="21" customHeight="1">
      <c r="B1127" s="305"/>
      <c r="C1127" s="305"/>
      <c r="D1127" s="234"/>
      <c r="E1127" s="306"/>
      <c r="F1127" s="306"/>
      <c r="G1127" s="232"/>
      <c r="H1127" s="232"/>
      <c r="I1127" s="301"/>
    </row>
    <row r="1128" spans="2:9" s="297" customFormat="1" ht="21" customHeight="1">
      <c r="B1128" s="305"/>
      <c r="C1128" s="305"/>
      <c r="D1128" s="234"/>
      <c r="E1128" s="306"/>
      <c r="F1128" s="306"/>
      <c r="G1128" s="308"/>
      <c r="H1128" s="233"/>
      <c r="I1128" s="301"/>
    </row>
    <row r="1129" spans="2:9" s="297" customFormat="1" ht="21" customHeight="1">
      <c r="B1129" s="305"/>
      <c r="C1129" s="305"/>
      <c r="D1129" s="234"/>
      <c r="E1129" s="306"/>
      <c r="F1129" s="306"/>
      <c r="G1129" s="308"/>
      <c r="H1129" s="233"/>
      <c r="I1129" s="301"/>
    </row>
    <row r="1130" spans="2:9" s="297" customFormat="1" ht="21" customHeight="1">
      <c r="B1130" s="305"/>
      <c r="C1130" s="305"/>
      <c r="D1130" s="234"/>
      <c r="E1130" s="306"/>
      <c r="F1130" s="306"/>
      <c r="G1130" s="308"/>
      <c r="H1130" s="233"/>
      <c r="I1130" s="301"/>
    </row>
    <row r="1131" spans="2:9" s="297" customFormat="1" ht="21" customHeight="1">
      <c r="B1131" s="300" t="str">
        <f>'5. 공종별예산조서'!$A$90</f>
        <v>3-3. 형광등 철거</v>
      </c>
      <c r="C1131" s="300" t="str">
        <f>'5. 공종별예산조서'!$B$90</f>
        <v>매입등, 1200*300 (2등용)</v>
      </c>
      <c r="D1131" s="301" t="str">
        <f>'5. 공종별예산조서'!$C$90</f>
        <v>개</v>
      </c>
      <c r="E1131" s="309">
        <f>'5. 공종별예산조서'!$D$90</f>
        <v>81</v>
      </c>
      <c r="F1131" s="302"/>
      <c r="G1131" s="303"/>
      <c r="H1131" s="304"/>
      <c r="I1131" s="301"/>
    </row>
    <row r="1132" spans="2:9" s="297" customFormat="1" ht="21" customHeight="1">
      <c r="B1132" s="312" t="s">
        <v>834</v>
      </c>
      <c r="C1132" s="305"/>
      <c r="D1132" s="234"/>
      <c r="E1132" s="310"/>
      <c r="F1132" s="306"/>
      <c r="G1132" s="232"/>
      <c r="H1132" s="233"/>
      <c r="I1132" s="301"/>
    </row>
    <row r="1133" spans="2:9" s="297" customFormat="1" ht="21" customHeight="1">
      <c r="B1133" s="305" t="s">
        <v>1131</v>
      </c>
      <c r="C1133" s="305" t="str">
        <f>C1131</f>
        <v>매입등, 1200*300 (2등용)</v>
      </c>
      <c r="D1133" s="234" t="str">
        <f>D1131</f>
        <v>개</v>
      </c>
      <c r="E1133" s="311">
        <f>E1131</f>
        <v>81</v>
      </c>
      <c r="F1133" s="307"/>
      <c r="G1133" s="232"/>
      <c r="H1133" s="233"/>
      <c r="I1133" s="301"/>
    </row>
    <row r="1134" spans="2:9" s="297" customFormat="1" ht="21" customHeight="1">
      <c r="B1134" s="305"/>
      <c r="C1134" s="305"/>
      <c r="D1134" s="234"/>
      <c r="E1134" s="307"/>
      <c r="F1134" s="307"/>
      <c r="G1134" s="232"/>
      <c r="H1134" s="232"/>
      <c r="I1134" s="301"/>
    </row>
    <row r="1135" spans="2:9" s="297" customFormat="1" ht="21" customHeight="1">
      <c r="B1135" s="305"/>
      <c r="C1135" s="305"/>
      <c r="D1135" s="234"/>
      <c r="E1135" s="307"/>
      <c r="F1135" s="307"/>
      <c r="G1135" s="232"/>
      <c r="H1135" s="232"/>
      <c r="I1135" s="301"/>
    </row>
    <row r="1136" spans="2:9" s="297" customFormat="1" ht="21" customHeight="1">
      <c r="B1136" s="305"/>
      <c r="C1136" s="305"/>
      <c r="D1136" s="234"/>
      <c r="E1136" s="307"/>
      <c r="F1136" s="307"/>
      <c r="G1136" s="232"/>
      <c r="H1136" s="232"/>
      <c r="I1136" s="301"/>
    </row>
    <row r="1137" spans="2:9" s="297" customFormat="1" ht="21" customHeight="1">
      <c r="B1137" s="305"/>
      <c r="C1137" s="305"/>
      <c r="D1137" s="234"/>
      <c r="E1137" s="307"/>
      <c r="F1137" s="307"/>
      <c r="G1137" s="232"/>
      <c r="H1137" s="232"/>
      <c r="I1137" s="301"/>
    </row>
    <row r="1138" spans="2:9" s="297" customFormat="1" ht="21" customHeight="1">
      <c r="B1138" s="305"/>
      <c r="C1138" s="305"/>
      <c r="D1138" s="234"/>
      <c r="E1138" s="307"/>
      <c r="F1138" s="307"/>
      <c r="G1138" s="232"/>
      <c r="H1138" s="232"/>
      <c r="I1138" s="301"/>
    </row>
    <row r="1139" spans="2:9" s="297" customFormat="1" ht="21" customHeight="1">
      <c r="B1139" s="305"/>
      <c r="C1139" s="305"/>
      <c r="D1139" s="234"/>
      <c r="E1139" s="307"/>
      <c r="F1139" s="307"/>
      <c r="G1139" s="308"/>
      <c r="H1139" s="233"/>
      <c r="I1139" s="301"/>
    </row>
    <row r="1140" spans="2:9" s="297" customFormat="1" ht="21" customHeight="1">
      <c r="B1140" s="305"/>
      <c r="C1140" s="305"/>
      <c r="D1140" s="234"/>
      <c r="E1140" s="307"/>
      <c r="F1140" s="307"/>
      <c r="G1140" s="308"/>
      <c r="H1140" s="233"/>
      <c r="I1140" s="301"/>
    </row>
    <row r="1141" spans="2:9" s="297" customFormat="1" ht="21" customHeight="1">
      <c r="B1141" s="305"/>
      <c r="C1141" s="305"/>
      <c r="D1141" s="234"/>
      <c r="E1141" s="307"/>
      <c r="F1141" s="307"/>
      <c r="G1141" s="308"/>
      <c r="H1141" s="233"/>
      <c r="I1141" s="301"/>
    </row>
    <row r="1142" spans="2:9" s="297" customFormat="1" ht="21" customHeight="1">
      <c r="B1142" s="305"/>
      <c r="C1142" s="305"/>
      <c r="D1142" s="234"/>
      <c r="E1142" s="307"/>
      <c r="F1142" s="307"/>
      <c r="G1142" s="308"/>
      <c r="H1142" s="233"/>
      <c r="I1142" s="301"/>
    </row>
    <row r="1143" spans="2:9" s="297" customFormat="1" ht="21" customHeight="1">
      <c r="B1143" s="312" t="s">
        <v>835</v>
      </c>
      <c r="C1143" s="305"/>
      <c r="D1143" s="234"/>
      <c r="E1143" s="307"/>
      <c r="F1143" s="307"/>
      <c r="G1143" s="232"/>
      <c r="H1143" s="233"/>
      <c r="I1143" s="301"/>
    </row>
    <row r="1144" spans="2:9" s="297" customFormat="1" ht="21" customHeight="1">
      <c r="B1144" s="305"/>
      <c r="C1144" s="305" t="s">
        <v>64</v>
      </c>
      <c r="D1144" s="234" t="s">
        <v>836</v>
      </c>
      <c r="E1144" s="307">
        <v>9.1419999999999995</v>
      </c>
      <c r="F1144" s="307"/>
      <c r="G1144" s="232"/>
      <c r="H1144" s="233"/>
      <c r="I1144" s="301"/>
    </row>
    <row r="1145" spans="2:9" s="297" customFormat="1" ht="21" customHeight="1">
      <c r="B1145" s="305"/>
      <c r="C1145" s="305"/>
      <c r="D1145" s="234"/>
      <c r="E1145" s="306"/>
      <c r="F1145" s="306"/>
      <c r="G1145" s="232"/>
      <c r="H1145" s="232"/>
      <c r="I1145" s="301"/>
    </row>
    <row r="1146" spans="2:9" s="297" customFormat="1" ht="21" customHeight="1">
      <c r="B1146" s="305"/>
      <c r="C1146" s="305"/>
      <c r="D1146" s="234"/>
      <c r="E1146" s="306"/>
      <c r="F1146" s="306"/>
      <c r="G1146" s="308"/>
      <c r="H1146" s="233"/>
      <c r="I1146" s="301"/>
    </row>
    <row r="1147" spans="2:9" s="297" customFormat="1" ht="21" customHeight="1">
      <c r="B1147" s="305"/>
      <c r="C1147" s="305"/>
      <c r="D1147" s="234"/>
      <c r="E1147" s="306"/>
      <c r="F1147" s="306"/>
      <c r="G1147" s="308"/>
      <c r="H1147" s="233"/>
      <c r="I1147" s="301"/>
    </row>
    <row r="1148" spans="2:9" s="297" customFormat="1" ht="21" customHeight="1">
      <c r="B1148" s="305"/>
      <c r="C1148" s="305"/>
      <c r="D1148" s="234"/>
      <c r="E1148" s="306"/>
      <c r="F1148" s="306"/>
      <c r="G1148" s="308"/>
      <c r="H1148" s="233"/>
      <c r="I1148" s="301"/>
    </row>
    <row r="1149" spans="2:9" s="297" customFormat="1" ht="21" customHeight="1">
      <c r="B1149" s="312" t="s">
        <v>837</v>
      </c>
      <c r="C1149" s="305"/>
      <c r="D1149" s="234"/>
      <c r="E1149" s="307"/>
      <c r="F1149" s="307"/>
      <c r="G1149" s="232"/>
      <c r="H1149" s="233"/>
      <c r="I1149" s="301"/>
    </row>
    <row r="1150" spans="2:9" s="297" customFormat="1" ht="21" customHeight="1">
      <c r="B1150" s="305"/>
      <c r="C1150" s="305" t="s">
        <v>64</v>
      </c>
      <c r="D1150" s="234" t="s">
        <v>836</v>
      </c>
      <c r="E1150" s="307">
        <v>0.27400000000000002</v>
      </c>
      <c r="F1150" s="307"/>
      <c r="G1150" s="232"/>
      <c r="H1150" s="233"/>
      <c r="I1150" s="301"/>
    </row>
    <row r="1151" spans="2:9" s="297" customFormat="1" ht="21" customHeight="1">
      <c r="B1151" s="305"/>
      <c r="C1151" s="305"/>
      <c r="D1151" s="234"/>
      <c r="E1151" s="306"/>
      <c r="F1151" s="306"/>
      <c r="G1151" s="232"/>
      <c r="H1151" s="232"/>
      <c r="I1151" s="301"/>
    </row>
    <row r="1152" spans="2:9" s="297" customFormat="1" ht="21" customHeight="1">
      <c r="B1152" s="305"/>
      <c r="C1152" s="305"/>
      <c r="D1152" s="234"/>
      <c r="E1152" s="306"/>
      <c r="F1152" s="306"/>
      <c r="G1152" s="308"/>
      <c r="H1152" s="233"/>
      <c r="I1152" s="301"/>
    </row>
    <row r="1153" spans="2:9" s="297" customFormat="1" ht="21" customHeight="1">
      <c r="B1153" s="305"/>
      <c r="C1153" s="305"/>
      <c r="D1153" s="234"/>
      <c r="E1153" s="306"/>
      <c r="F1153" s="306"/>
      <c r="G1153" s="308"/>
      <c r="H1153" s="233"/>
      <c r="I1153" s="301"/>
    </row>
    <row r="1154" spans="2:9" s="297" customFormat="1" ht="21" customHeight="1">
      <c r="B1154" s="305"/>
      <c r="C1154" s="305"/>
      <c r="D1154" s="234"/>
      <c r="E1154" s="306"/>
      <c r="F1154" s="306"/>
      <c r="G1154" s="308"/>
      <c r="H1154" s="233"/>
      <c r="I1154" s="301"/>
    </row>
    <row r="1155" spans="2:9" s="297" customFormat="1" ht="21" customHeight="1">
      <c r="B1155" s="300" t="str">
        <f>'5. 공종별예산조서'!$A$91</f>
        <v>3-4. 형광등 철거</v>
      </c>
      <c r="C1155" s="300" t="str">
        <f>'5. 공종별예산조서'!$B$91</f>
        <v>매입등, 600*600 (3등용)</v>
      </c>
      <c r="D1155" s="301" t="str">
        <f>'5. 공종별예산조서'!$C$91</f>
        <v>개</v>
      </c>
      <c r="E1155" s="309">
        <f>'5. 공종별예산조서'!$D$91</f>
        <v>18</v>
      </c>
      <c r="F1155" s="302"/>
      <c r="G1155" s="303"/>
      <c r="H1155" s="304"/>
      <c r="I1155" s="301"/>
    </row>
    <row r="1156" spans="2:9" s="297" customFormat="1" ht="21" customHeight="1">
      <c r="B1156" s="312" t="s">
        <v>834</v>
      </c>
      <c r="C1156" s="305"/>
      <c r="D1156" s="234"/>
      <c r="E1156" s="310"/>
      <c r="F1156" s="306"/>
      <c r="G1156" s="232"/>
      <c r="H1156" s="233"/>
      <c r="I1156" s="301"/>
    </row>
    <row r="1157" spans="2:9" s="297" customFormat="1" ht="21" customHeight="1">
      <c r="B1157" s="305" t="s">
        <v>1131</v>
      </c>
      <c r="C1157" s="305" t="str">
        <f>C1155</f>
        <v>매입등, 600*600 (3등용)</v>
      </c>
      <c r="D1157" s="234" t="str">
        <f>D1155</f>
        <v>개</v>
      </c>
      <c r="E1157" s="311">
        <f>E1155</f>
        <v>18</v>
      </c>
      <c r="F1157" s="307"/>
      <c r="G1157" s="232"/>
      <c r="H1157" s="233"/>
      <c r="I1157" s="301"/>
    </row>
    <row r="1158" spans="2:9" s="297" customFormat="1" ht="21" customHeight="1">
      <c r="B1158" s="305"/>
      <c r="C1158" s="305"/>
      <c r="D1158" s="234"/>
      <c r="E1158" s="311"/>
      <c r="F1158" s="307"/>
      <c r="G1158" s="232"/>
      <c r="H1158" s="233"/>
      <c r="I1158" s="301"/>
    </row>
    <row r="1159" spans="2:9" s="297" customFormat="1" ht="21" customHeight="1">
      <c r="B1159" s="305"/>
      <c r="C1159" s="305"/>
      <c r="D1159" s="234"/>
      <c r="E1159" s="311"/>
      <c r="F1159" s="307"/>
      <c r="G1159" s="232"/>
      <c r="H1159" s="233"/>
      <c r="I1159" s="301"/>
    </row>
    <row r="1160" spans="2:9" s="297" customFormat="1" ht="21" customHeight="1">
      <c r="B1160" s="305"/>
      <c r="C1160" s="305"/>
      <c r="D1160" s="234"/>
      <c r="E1160" s="311"/>
      <c r="F1160" s="307"/>
      <c r="G1160" s="232"/>
      <c r="H1160" s="233"/>
      <c r="I1160" s="301"/>
    </row>
    <row r="1161" spans="2:9" s="297" customFormat="1" ht="21" customHeight="1">
      <c r="B1161" s="305"/>
      <c r="C1161" s="305"/>
      <c r="D1161" s="234"/>
      <c r="E1161" s="311"/>
      <c r="F1161" s="307"/>
      <c r="G1161" s="232"/>
      <c r="H1161" s="233"/>
      <c r="I1161" s="301"/>
    </row>
    <row r="1162" spans="2:9" s="297" customFormat="1" ht="21" customHeight="1">
      <c r="B1162" s="305"/>
      <c r="C1162" s="305"/>
      <c r="D1162" s="234"/>
      <c r="E1162" s="307"/>
      <c r="F1162" s="307"/>
      <c r="G1162" s="232"/>
      <c r="H1162" s="232"/>
      <c r="I1162" s="301"/>
    </row>
    <row r="1163" spans="2:9" s="297" customFormat="1" ht="21" customHeight="1">
      <c r="B1163" s="305"/>
      <c r="C1163" s="305"/>
      <c r="D1163" s="234"/>
      <c r="E1163" s="307"/>
      <c r="F1163" s="307"/>
      <c r="G1163" s="308"/>
      <c r="H1163" s="233"/>
      <c r="I1163" s="301"/>
    </row>
    <row r="1164" spans="2:9" s="297" customFormat="1" ht="21" customHeight="1">
      <c r="B1164" s="305"/>
      <c r="C1164" s="305"/>
      <c r="D1164" s="234"/>
      <c r="E1164" s="307"/>
      <c r="F1164" s="307"/>
      <c r="G1164" s="308"/>
      <c r="H1164" s="233"/>
      <c r="I1164" s="301"/>
    </row>
    <row r="1165" spans="2:9" s="297" customFormat="1" ht="21" customHeight="1">
      <c r="B1165" s="305"/>
      <c r="C1165" s="305"/>
      <c r="D1165" s="234"/>
      <c r="E1165" s="307"/>
      <c r="F1165" s="307"/>
      <c r="G1165" s="308"/>
      <c r="H1165" s="233"/>
      <c r="I1165" s="301"/>
    </row>
    <row r="1166" spans="2:9" s="297" customFormat="1" ht="21" customHeight="1">
      <c r="B1166" s="305"/>
      <c r="C1166" s="305"/>
      <c r="D1166" s="234"/>
      <c r="E1166" s="307"/>
      <c r="F1166" s="307"/>
      <c r="G1166" s="308"/>
      <c r="H1166" s="233"/>
      <c r="I1166" s="301"/>
    </row>
    <row r="1167" spans="2:9" s="297" customFormat="1" ht="21" customHeight="1">
      <c r="B1167" s="312" t="s">
        <v>835</v>
      </c>
      <c r="C1167" s="305"/>
      <c r="D1167" s="234"/>
      <c r="E1167" s="307"/>
      <c r="F1167" s="307"/>
      <c r="G1167" s="232"/>
      <c r="H1167" s="233"/>
      <c r="I1167" s="301"/>
    </row>
    <row r="1168" spans="2:9" s="297" customFormat="1" ht="21" customHeight="1">
      <c r="B1168" s="305"/>
      <c r="C1168" s="305" t="s">
        <v>64</v>
      </c>
      <c r="D1168" s="234" t="s">
        <v>836</v>
      </c>
      <c r="E1168" s="307">
        <v>2.649</v>
      </c>
      <c r="F1168" s="307"/>
      <c r="G1168" s="232"/>
      <c r="H1168" s="233"/>
      <c r="I1168" s="301"/>
    </row>
    <row r="1169" spans="2:9" s="297" customFormat="1" ht="21" customHeight="1">
      <c r="B1169" s="305"/>
      <c r="C1169" s="305"/>
      <c r="D1169" s="234"/>
      <c r="E1169" s="306"/>
      <c r="F1169" s="306"/>
      <c r="G1169" s="232"/>
      <c r="H1169" s="232"/>
      <c r="I1169" s="301"/>
    </row>
    <row r="1170" spans="2:9" s="297" customFormat="1" ht="21" customHeight="1">
      <c r="B1170" s="305"/>
      <c r="C1170" s="305"/>
      <c r="D1170" s="234"/>
      <c r="E1170" s="306"/>
      <c r="F1170" s="306"/>
      <c r="G1170" s="308"/>
      <c r="H1170" s="233"/>
      <c r="I1170" s="301"/>
    </row>
    <row r="1171" spans="2:9" s="297" customFormat="1" ht="21" customHeight="1">
      <c r="B1171" s="305"/>
      <c r="C1171" s="305"/>
      <c r="D1171" s="234"/>
      <c r="E1171" s="306"/>
      <c r="F1171" s="306"/>
      <c r="G1171" s="308"/>
      <c r="H1171" s="233"/>
      <c r="I1171" s="301"/>
    </row>
    <row r="1172" spans="2:9" s="297" customFormat="1" ht="21" customHeight="1">
      <c r="B1172" s="305"/>
      <c r="C1172" s="305"/>
      <c r="D1172" s="234"/>
      <c r="E1172" s="306"/>
      <c r="F1172" s="306"/>
      <c r="G1172" s="308"/>
      <c r="H1172" s="233"/>
      <c r="I1172" s="301"/>
    </row>
    <row r="1173" spans="2:9" s="297" customFormat="1" ht="21" customHeight="1">
      <c r="B1173" s="312" t="s">
        <v>837</v>
      </c>
      <c r="C1173" s="305"/>
      <c r="D1173" s="234"/>
      <c r="E1173" s="307"/>
      <c r="F1173" s="307"/>
      <c r="G1173" s="232"/>
      <c r="H1173" s="233"/>
      <c r="I1173" s="301"/>
    </row>
    <row r="1174" spans="2:9" s="297" customFormat="1" ht="21" customHeight="1">
      <c r="B1174" s="305"/>
      <c r="C1174" s="305" t="s">
        <v>64</v>
      </c>
      <c r="D1174" s="234" t="s">
        <v>836</v>
      </c>
      <c r="E1174" s="307">
        <v>7.9000000000000001E-2</v>
      </c>
      <c r="F1174" s="307"/>
      <c r="G1174" s="232"/>
      <c r="H1174" s="233"/>
      <c r="I1174" s="301"/>
    </row>
    <row r="1175" spans="2:9" s="297" customFormat="1" ht="21" customHeight="1">
      <c r="B1175" s="305"/>
      <c r="C1175" s="305"/>
      <c r="D1175" s="234"/>
      <c r="E1175" s="306"/>
      <c r="F1175" s="306"/>
      <c r="G1175" s="232"/>
      <c r="H1175" s="232"/>
      <c r="I1175" s="301"/>
    </row>
    <row r="1176" spans="2:9" s="297" customFormat="1" ht="21" customHeight="1">
      <c r="B1176" s="305"/>
      <c r="C1176" s="305"/>
      <c r="D1176" s="234"/>
      <c r="E1176" s="306"/>
      <c r="F1176" s="306"/>
      <c r="G1176" s="308"/>
      <c r="H1176" s="233"/>
      <c r="I1176" s="301"/>
    </row>
    <row r="1177" spans="2:9" s="297" customFormat="1" ht="21" customHeight="1">
      <c r="B1177" s="305"/>
      <c r="C1177" s="305"/>
      <c r="D1177" s="234"/>
      <c r="E1177" s="306"/>
      <c r="F1177" s="306"/>
      <c r="G1177" s="308"/>
      <c r="H1177" s="233"/>
      <c r="I1177" s="301"/>
    </row>
    <row r="1178" spans="2:9" s="297" customFormat="1" ht="21" customHeight="1">
      <c r="B1178" s="305"/>
      <c r="C1178" s="305"/>
      <c r="D1178" s="234"/>
      <c r="E1178" s="306"/>
      <c r="F1178" s="306"/>
      <c r="G1178" s="308"/>
      <c r="H1178" s="233"/>
      <c r="I1178" s="301"/>
    </row>
    <row r="1179" spans="2:9" s="297" customFormat="1" ht="21" customHeight="1">
      <c r="B1179" s="300" t="str">
        <f>'5. 공종별예산조서'!$A$92</f>
        <v>3-5. 형광등 철거</v>
      </c>
      <c r="C1179" s="300" t="str">
        <f>'5. 공종별예산조서'!$B$92</f>
        <v>직부등, 600*600 (4등용)</v>
      </c>
      <c r="D1179" s="301" t="str">
        <f>'5. 공종별예산조서'!$C$92</f>
        <v>개</v>
      </c>
      <c r="E1179" s="309">
        <f>'5. 공종별예산조서'!$D$92</f>
        <v>1</v>
      </c>
      <c r="F1179" s="302"/>
      <c r="G1179" s="303"/>
      <c r="H1179" s="304"/>
      <c r="I1179" s="301"/>
    </row>
    <row r="1180" spans="2:9" s="297" customFormat="1" ht="21" customHeight="1">
      <c r="B1180" s="312" t="s">
        <v>834</v>
      </c>
      <c r="C1180" s="305"/>
      <c r="D1180" s="234"/>
      <c r="E1180" s="310"/>
      <c r="F1180" s="306"/>
      <c r="G1180" s="232"/>
      <c r="H1180" s="233"/>
      <c r="I1180" s="301"/>
    </row>
    <row r="1181" spans="2:9" s="297" customFormat="1" ht="21" customHeight="1">
      <c r="B1181" s="305" t="s">
        <v>1131</v>
      </c>
      <c r="C1181" s="305" t="str">
        <f>C1179</f>
        <v>직부등, 600*600 (4등용)</v>
      </c>
      <c r="D1181" s="234" t="str">
        <f>D1179</f>
        <v>개</v>
      </c>
      <c r="E1181" s="311">
        <f>E1179</f>
        <v>1</v>
      </c>
      <c r="F1181" s="307"/>
      <c r="G1181" s="232"/>
      <c r="H1181" s="233"/>
      <c r="I1181" s="301"/>
    </row>
    <row r="1182" spans="2:9" s="297" customFormat="1" ht="21" customHeight="1">
      <c r="B1182" s="305"/>
      <c r="C1182" s="305"/>
      <c r="D1182" s="234"/>
      <c r="E1182" s="311"/>
      <c r="F1182" s="307"/>
      <c r="G1182" s="232"/>
      <c r="H1182" s="233"/>
      <c r="I1182" s="301"/>
    </row>
    <row r="1183" spans="2:9" s="297" customFormat="1" ht="21" customHeight="1">
      <c r="B1183" s="305"/>
      <c r="C1183" s="305"/>
      <c r="D1183" s="234"/>
      <c r="E1183" s="311"/>
      <c r="F1183" s="307"/>
      <c r="G1183" s="232"/>
      <c r="H1183" s="233"/>
      <c r="I1183" s="301"/>
    </row>
    <row r="1184" spans="2:9" s="297" customFormat="1" ht="21" customHeight="1">
      <c r="B1184" s="305"/>
      <c r="C1184" s="305"/>
      <c r="D1184" s="234"/>
      <c r="E1184" s="311"/>
      <c r="F1184" s="307"/>
      <c r="G1184" s="232"/>
      <c r="H1184" s="233"/>
      <c r="I1184" s="301"/>
    </row>
    <row r="1185" spans="2:9" s="297" customFormat="1" ht="21" customHeight="1">
      <c r="B1185" s="305"/>
      <c r="C1185" s="305"/>
      <c r="D1185" s="234"/>
      <c r="E1185" s="311"/>
      <c r="F1185" s="307"/>
      <c r="G1185" s="232"/>
      <c r="H1185" s="233"/>
      <c r="I1185" s="301"/>
    </row>
    <row r="1186" spans="2:9" s="297" customFormat="1" ht="21" customHeight="1">
      <c r="B1186" s="305"/>
      <c r="C1186" s="305"/>
      <c r="D1186" s="234"/>
      <c r="E1186" s="307"/>
      <c r="F1186" s="307"/>
      <c r="G1186" s="232"/>
      <c r="H1186" s="232"/>
      <c r="I1186" s="301"/>
    </row>
    <row r="1187" spans="2:9" s="297" customFormat="1" ht="21" customHeight="1">
      <c r="B1187" s="305"/>
      <c r="C1187" s="305"/>
      <c r="D1187" s="234"/>
      <c r="E1187" s="307"/>
      <c r="F1187" s="307"/>
      <c r="G1187" s="308"/>
      <c r="H1187" s="233"/>
      <c r="I1187" s="301"/>
    </row>
    <row r="1188" spans="2:9" s="297" customFormat="1" ht="21" customHeight="1">
      <c r="B1188" s="305"/>
      <c r="C1188" s="305"/>
      <c r="D1188" s="234"/>
      <c r="E1188" s="307"/>
      <c r="F1188" s="307"/>
      <c r="G1188" s="308"/>
      <c r="H1188" s="233"/>
      <c r="I1188" s="301"/>
    </row>
    <row r="1189" spans="2:9" s="297" customFormat="1" ht="21" customHeight="1">
      <c r="B1189" s="305"/>
      <c r="C1189" s="305"/>
      <c r="D1189" s="234"/>
      <c r="E1189" s="307"/>
      <c r="F1189" s="307"/>
      <c r="G1189" s="308"/>
      <c r="H1189" s="233"/>
      <c r="I1189" s="301"/>
    </row>
    <row r="1190" spans="2:9" s="297" customFormat="1" ht="21" customHeight="1">
      <c r="B1190" s="305"/>
      <c r="C1190" s="305"/>
      <c r="D1190" s="234"/>
      <c r="E1190" s="307"/>
      <c r="F1190" s="307"/>
      <c r="G1190" s="308"/>
      <c r="H1190" s="233"/>
      <c r="I1190" s="301"/>
    </row>
    <row r="1191" spans="2:9" s="297" customFormat="1" ht="21" customHeight="1">
      <c r="B1191" s="312" t="s">
        <v>835</v>
      </c>
      <c r="C1191" s="305"/>
      <c r="D1191" s="234"/>
      <c r="E1191" s="307"/>
      <c r="F1191" s="307"/>
      <c r="G1191" s="232"/>
      <c r="H1191" s="233"/>
      <c r="I1191" s="301"/>
    </row>
    <row r="1192" spans="2:9" s="297" customFormat="1" ht="21" customHeight="1">
      <c r="B1192" s="305"/>
      <c r="C1192" s="305" t="s">
        <v>64</v>
      </c>
      <c r="D1192" s="234" t="s">
        <v>836</v>
      </c>
      <c r="E1192" s="307">
        <v>0.126</v>
      </c>
      <c r="F1192" s="307"/>
      <c r="G1192" s="232"/>
      <c r="H1192" s="233"/>
      <c r="I1192" s="301"/>
    </row>
    <row r="1193" spans="2:9" s="297" customFormat="1" ht="21" customHeight="1">
      <c r="B1193" s="305"/>
      <c r="C1193" s="305"/>
      <c r="D1193" s="234"/>
      <c r="E1193" s="306"/>
      <c r="F1193" s="306"/>
      <c r="G1193" s="232"/>
      <c r="H1193" s="232"/>
      <c r="I1193" s="301"/>
    </row>
    <row r="1194" spans="2:9" s="297" customFormat="1" ht="21" customHeight="1">
      <c r="B1194" s="305"/>
      <c r="C1194" s="305"/>
      <c r="D1194" s="234"/>
      <c r="E1194" s="306"/>
      <c r="F1194" s="306"/>
      <c r="G1194" s="308"/>
      <c r="H1194" s="233"/>
      <c r="I1194" s="301"/>
    </row>
    <row r="1195" spans="2:9" s="297" customFormat="1" ht="21" customHeight="1">
      <c r="B1195" s="305"/>
      <c r="C1195" s="305"/>
      <c r="D1195" s="234"/>
      <c r="E1195" s="306"/>
      <c r="F1195" s="306"/>
      <c r="G1195" s="308"/>
      <c r="H1195" s="233"/>
      <c r="I1195" s="301"/>
    </row>
    <row r="1196" spans="2:9" s="297" customFormat="1" ht="21" customHeight="1">
      <c r="B1196" s="305"/>
      <c r="C1196" s="305"/>
      <c r="D1196" s="234"/>
      <c r="E1196" s="306"/>
      <c r="F1196" s="306"/>
      <c r="G1196" s="308"/>
      <c r="H1196" s="233"/>
      <c r="I1196" s="301"/>
    </row>
    <row r="1197" spans="2:9" s="297" customFormat="1" ht="21" customHeight="1">
      <c r="B1197" s="312" t="s">
        <v>837</v>
      </c>
      <c r="C1197" s="305"/>
      <c r="D1197" s="234"/>
      <c r="E1197" s="307"/>
      <c r="F1197" s="307"/>
      <c r="G1197" s="232"/>
      <c r="H1197" s="233"/>
      <c r="I1197" s="301"/>
    </row>
    <row r="1198" spans="2:9" s="297" customFormat="1" ht="21" customHeight="1">
      <c r="B1198" s="305"/>
      <c r="C1198" s="305" t="s">
        <v>64</v>
      </c>
      <c r="D1198" s="234" t="s">
        <v>836</v>
      </c>
      <c r="E1198" s="307">
        <v>4.0000000000000001E-3</v>
      </c>
      <c r="F1198" s="307"/>
      <c r="G1198" s="232"/>
      <c r="H1198" s="233"/>
      <c r="I1198" s="301"/>
    </row>
    <row r="1199" spans="2:9" s="297" customFormat="1" ht="21" customHeight="1">
      <c r="B1199" s="305"/>
      <c r="C1199" s="305"/>
      <c r="D1199" s="234"/>
      <c r="E1199" s="306"/>
      <c r="F1199" s="306"/>
      <c r="G1199" s="232"/>
      <c r="H1199" s="232"/>
      <c r="I1199" s="301"/>
    </row>
    <row r="1200" spans="2:9" s="297" customFormat="1" ht="21" customHeight="1">
      <c r="B1200" s="305"/>
      <c r="C1200" s="305"/>
      <c r="D1200" s="234"/>
      <c r="E1200" s="306"/>
      <c r="F1200" s="306"/>
      <c r="G1200" s="308"/>
      <c r="H1200" s="233"/>
      <c r="I1200" s="301"/>
    </row>
    <row r="1201" spans="2:9" s="297" customFormat="1" ht="21" customHeight="1">
      <c r="B1201" s="305"/>
      <c r="C1201" s="305"/>
      <c r="D1201" s="234"/>
      <c r="E1201" s="306"/>
      <c r="F1201" s="306"/>
      <c r="G1201" s="308"/>
      <c r="H1201" s="233"/>
      <c r="I1201" s="301"/>
    </row>
    <row r="1202" spans="2:9" s="297" customFormat="1" ht="21" customHeight="1">
      <c r="B1202" s="305"/>
      <c r="C1202" s="305"/>
      <c r="D1202" s="234"/>
      <c r="E1202" s="306"/>
      <c r="F1202" s="306"/>
      <c r="G1202" s="308"/>
      <c r="H1202" s="233"/>
      <c r="I1202" s="301"/>
    </row>
    <row r="1203" spans="2:9" s="297" customFormat="1" ht="21" customHeight="1">
      <c r="B1203" s="300" t="str">
        <f>'5. 공종별예산조서'!$A$93</f>
        <v>3-6. 백열등 철거</v>
      </c>
      <c r="C1203" s="300" t="str">
        <f>'5. 공종별예산조서'!$B$93</f>
        <v>원형직부등</v>
      </c>
      <c r="D1203" s="301" t="str">
        <f>'5. 공종별예산조서'!$C$93</f>
        <v>개</v>
      </c>
      <c r="E1203" s="309">
        <f>'5. 공종별예산조서'!$D$93</f>
        <v>2</v>
      </c>
      <c r="F1203" s="302"/>
      <c r="G1203" s="303"/>
      <c r="H1203" s="304"/>
      <c r="I1203" s="301"/>
    </row>
    <row r="1204" spans="2:9" s="297" customFormat="1" ht="21" customHeight="1">
      <c r="B1204" s="312" t="s">
        <v>834</v>
      </c>
      <c r="C1204" s="305"/>
      <c r="D1204" s="234"/>
      <c r="E1204" s="310"/>
      <c r="F1204" s="306"/>
      <c r="G1204" s="232"/>
      <c r="H1204" s="233"/>
      <c r="I1204" s="301"/>
    </row>
    <row r="1205" spans="2:9" s="297" customFormat="1" ht="21" customHeight="1">
      <c r="B1205" s="305" t="s">
        <v>1132</v>
      </c>
      <c r="C1205" s="305" t="str">
        <f>C1203</f>
        <v>원형직부등</v>
      </c>
      <c r="D1205" s="234" t="str">
        <f>D1203</f>
        <v>개</v>
      </c>
      <c r="E1205" s="311">
        <f>E1203</f>
        <v>2</v>
      </c>
      <c r="F1205" s="307"/>
      <c r="G1205" s="232"/>
      <c r="H1205" s="233"/>
      <c r="I1205" s="301"/>
    </row>
    <row r="1206" spans="2:9" s="297" customFormat="1" ht="21" customHeight="1">
      <c r="B1206" s="305"/>
      <c r="C1206" s="305"/>
      <c r="D1206" s="234"/>
      <c r="E1206" s="311"/>
      <c r="F1206" s="307"/>
      <c r="G1206" s="232"/>
      <c r="H1206" s="233"/>
      <c r="I1206" s="301"/>
    </row>
    <row r="1207" spans="2:9" s="297" customFormat="1" ht="21" customHeight="1">
      <c r="B1207" s="305"/>
      <c r="C1207" s="305"/>
      <c r="D1207" s="234"/>
      <c r="E1207" s="311"/>
      <c r="F1207" s="307"/>
      <c r="G1207" s="232"/>
      <c r="H1207" s="233"/>
      <c r="I1207" s="301"/>
    </row>
    <row r="1208" spans="2:9" s="297" customFormat="1" ht="21" customHeight="1">
      <c r="B1208" s="305"/>
      <c r="C1208" s="305"/>
      <c r="D1208" s="234"/>
      <c r="E1208" s="311"/>
      <c r="F1208" s="307"/>
      <c r="G1208" s="232"/>
      <c r="H1208" s="232"/>
      <c r="I1208" s="301"/>
    </row>
    <row r="1209" spans="2:9" s="297" customFormat="1" ht="21" customHeight="1">
      <c r="B1209" s="305"/>
      <c r="C1209" s="305"/>
      <c r="D1209" s="234"/>
      <c r="E1209" s="307"/>
      <c r="F1209" s="307"/>
      <c r="G1209" s="308"/>
      <c r="H1209" s="233"/>
      <c r="I1209" s="301"/>
    </row>
    <row r="1210" spans="2:9" s="297" customFormat="1" ht="21" customHeight="1">
      <c r="B1210" s="305"/>
      <c r="C1210" s="305"/>
      <c r="D1210" s="234"/>
      <c r="E1210" s="307"/>
      <c r="F1210" s="307"/>
      <c r="G1210" s="308"/>
      <c r="H1210" s="233"/>
      <c r="I1210" s="301"/>
    </row>
    <row r="1211" spans="2:9" s="297" customFormat="1" ht="21" customHeight="1">
      <c r="B1211" s="305"/>
      <c r="C1211" s="305"/>
      <c r="D1211" s="234"/>
      <c r="E1211" s="307"/>
      <c r="F1211" s="307"/>
      <c r="G1211" s="308"/>
      <c r="H1211" s="233"/>
      <c r="I1211" s="301"/>
    </row>
    <row r="1212" spans="2:9" s="297" customFormat="1" ht="21" customHeight="1">
      <c r="B1212" s="305"/>
      <c r="C1212" s="305"/>
      <c r="D1212" s="234"/>
      <c r="E1212" s="307"/>
      <c r="F1212" s="307"/>
      <c r="G1212" s="308"/>
      <c r="H1212" s="233"/>
      <c r="I1212" s="301"/>
    </row>
    <row r="1213" spans="2:9" s="297" customFormat="1" ht="21" customHeight="1">
      <c r="B1213" s="312" t="s">
        <v>835</v>
      </c>
      <c r="C1213" s="305"/>
      <c r="D1213" s="234"/>
      <c r="E1213" s="307"/>
      <c r="F1213" s="307"/>
      <c r="G1213" s="232"/>
      <c r="H1213" s="233"/>
      <c r="I1213" s="301"/>
    </row>
    <row r="1214" spans="2:9" s="297" customFormat="1" ht="21" customHeight="1">
      <c r="B1214" s="305"/>
      <c r="C1214" s="305" t="s">
        <v>64</v>
      </c>
      <c r="D1214" s="234" t="s">
        <v>836</v>
      </c>
      <c r="E1214" s="307">
        <v>9.7000000000000003E-2</v>
      </c>
      <c r="F1214" s="307"/>
      <c r="G1214" s="232"/>
      <c r="H1214" s="233"/>
      <c r="I1214" s="301"/>
    </row>
    <row r="1215" spans="2:9" s="297" customFormat="1" ht="21" customHeight="1">
      <c r="B1215" s="305"/>
      <c r="C1215" s="305"/>
      <c r="D1215" s="234"/>
      <c r="E1215" s="306"/>
      <c r="F1215" s="306"/>
      <c r="G1215" s="232"/>
      <c r="H1215" s="232"/>
      <c r="I1215" s="301"/>
    </row>
    <row r="1216" spans="2:9" s="297" customFormat="1" ht="21" customHeight="1">
      <c r="B1216" s="305"/>
      <c r="C1216" s="305"/>
      <c r="D1216" s="234"/>
      <c r="E1216" s="306"/>
      <c r="F1216" s="306"/>
      <c r="G1216" s="308"/>
      <c r="H1216" s="233"/>
      <c r="I1216" s="301"/>
    </row>
    <row r="1217" spans="2:9" s="297" customFormat="1" ht="21" customHeight="1">
      <c r="B1217" s="305"/>
      <c r="C1217" s="305"/>
      <c r="D1217" s="234"/>
      <c r="E1217" s="306"/>
      <c r="F1217" s="306"/>
      <c r="G1217" s="308"/>
      <c r="H1217" s="233"/>
      <c r="I1217" s="301"/>
    </row>
    <row r="1218" spans="2:9" s="297" customFormat="1" ht="21" customHeight="1">
      <c r="B1218" s="305"/>
      <c r="C1218" s="305"/>
      <c r="D1218" s="234"/>
      <c r="E1218" s="306"/>
      <c r="F1218" s="306"/>
      <c r="G1218" s="308"/>
      <c r="H1218" s="233"/>
      <c r="I1218" s="301"/>
    </row>
    <row r="1219" spans="2:9" s="297" customFormat="1" ht="21" customHeight="1">
      <c r="B1219" s="312" t="s">
        <v>837</v>
      </c>
      <c r="C1219" s="305"/>
      <c r="D1219" s="234"/>
      <c r="E1219" s="307"/>
      <c r="F1219" s="307"/>
      <c r="G1219" s="232"/>
      <c r="H1219" s="233"/>
      <c r="I1219" s="301"/>
    </row>
    <row r="1220" spans="2:9" s="297" customFormat="1" ht="21" customHeight="1">
      <c r="B1220" s="305"/>
      <c r="C1220" s="305" t="s">
        <v>64</v>
      </c>
      <c r="D1220" s="234" t="s">
        <v>836</v>
      </c>
      <c r="E1220" s="307">
        <v>3.0000000000000001E-3</v>
      </c>
      <c r="F1220" s="307"/>
      <c r="G1220" s="232"/>
      <c r="H1220" s="233"/>
      <c r="I1220" s="301"/>
    </row>
    <row r="1221" spans="2:9" s="297" customFormat="1" ht="21" customHeight="1">
      <c r="B1221" s="305"/>
      <c r="C1221" s="305"/>
      <c r="D1221" s="234"/>
      <c r="E1221" s="306"/>
      <c r="F1221" s="306"/>
      <c r="G1221" s="232"/>
      <c r="H1221" s="232"/>
      <c r="I1221" s="301"/>
    </row>
    <row r="1222" spans="2:9" s="297" customFormat="1" ht="21" customHeight="1">
      <c r="B1222" s="305"/>
      <c r="C1222" s="305"/>
      <c r="D1222" s="234"/>
      <c r="E1222" s="306"/>
      <c r="F1222" s="306"/>
      <c r="G1222" s="308"/>
      <c r="H1222" s="233"/>
      <c r="I1222" s="301"/>
    </row>
    <row r="1223" spans="2:9" s="297" customFormat="1" ht="21" customHeight="1">
      <c r="B1223" s="305"/>
      <c r="C1223" s="305"/>
      <c r="D1223" s="234"/>
      <c r="E1223" s="306"/>
      <c r="F1223" s="306"/>
      <c r="G1223" s="308"/>
      <c r="H1223" s="233"/>
      <c r="I1223" s="301"/>
    </row>
    <row r="1224" spans="2:9" s="297" customFormat="1" ht="21" customHeight="1">
      <c r="B1224" s="305"/>
      <c r="C1224" s="305"/>
      <c r="D1224" s="234"/>
      <c r="E1224" s="306"/>
      <c r="F1224" s="306"/>
      <c r="G1224" s="308"/>
      <c r="H1224" s="233"/>
      <c r="I1224" s="301"/>
    </row>
    <row r="1225" spans="2:9" s="297" customFormat="1" ht="21" customHeight="1">
      <c r="B1225" s="305"/>
      <c r="C1225" s="305"/>
      <c r="D1225" s="234"/>
      <c r="E1225" s="306"/>
      <c r="F1225" s="306"/>
      <c r="G1225" s="308"/>
      <c r="H1225" s="233"/>
      <c r="I1225" s="301"/>
    </row>
    <row r="1226" spans="2:9" s="297" customFormat="1" ht="21" customHeight="1">
      <c r="B1226" s="305"/>
      <c r="C1226" s="305"/>
      <c r="D1226" s="234"/>
      <c r="E1226" s="306"/>
      <c r="F1226" s="306"/>
      <c r="G1226" s="308"/>
      <c r="H1226" s="233"/>
      <c r="I1226" s="301"/>
    </row>
    <row r="1227" spans="2:9" s="297" customFormat="1" ht="21" customHeight="1">
      <c r="B1227" s="300" t="str">
        <f>'5. 공종별예산조서'!$A$94</f>
        <v>3-7. 백열등 철거</v>
      </c>
      <c r="C1227" s="300" t="str">
        <f>'5. 공종별예산조서'!$B$94</f>
        <v>다운라이트</v>
      </c>
      <c r="D1227" s="301" t="str">
        <f>'5. 공종별예산조서'!$C$94</f>
        <v>개</v>
      </c>
      <c r="E1227" s="309">
        <f>'5. 공종별예산조서'!$D$94</f>
        <v>24</v>
      </c>
      <c r="F1227" s="302"/>
      <c r="G1227" s="303"/>
      <c r="H1227" s="304"/>
      <c r="I1227" s="301"/>
    </row>
    <row r="1228" spans="2:9" s="297" customFormat="1" ht="21" customHeight="1">
      <c r="B1228" s="312" t="s">
        <v>834</v>
      </c>
      <c r="C1228" s="305"/>
      <c r="D1228" s="234"/>
      <c r="E1228" s="310"/>
      <c r="F1228" s="306"/>
      <c r="G1228" s="232"/>
      <c r="H1228" s="233"/>
      <c r="I1228" s="301"/>
    </row>
    <row r="1229" spans="2:9" s="297" customFormat="1" ht="21" customHeight="1">
      <c r="B1229" s="305" t="s">
        <v>1132</v>
      </c>
      <c r="C1229" s="305" t="str">
        <f>C1227</f>
        <v>다운라이트</v>
      </c>
      <c r="D1229" s="234" t="str">
        <f>D1227</f>
        <v>개</v>
      </c>
      <c r="E1229" s="311">
        <f>E1227</f>
        <v>24</v>
      </c>
      <c r="F1229" s="307"/>
      <c r="G1229" s="232"/>
      <c r="H1229" s="233"/>
      <c r="I1229" s="301"/>
    </row>
    <row r="1230" spans="2:9" s="297" customFormat="1" ht="21" customHeight="1">
      <c r="B1230" s="305"/>
      <c r="C1230" s="305"/>
      <c r="D1230" s="234"/>
      <c r="E1230" s="311"/>
      <c r="F1230" s="307"/>
      <c r="G1230" s="232"/>
      <c r="H1230" s="233"/>
      <c r="I1230" s="301"/>
    </row>
    <row r="1231" spans="2:9" s="297" customFormat="1" ht="21" customHeight="1">
      <c r="B1231" s="305"/>
      <c r="C1231" s="305"/>
      <c r="D1231" s="234"/>
      <c r="E1231" s="311"/>
      <c r="F1231" s="307"/>
      <c r="G1231" s="232"/>
      <c r="H1231" s="233"/>
      <c r="I1231" s="301"/>
    </row>
    <row r="1232" spans="2:9" s="297" customFormat="1" ht="21" customHeight="1">
      <c r="B1232" s="305"/>
      <c r="C1232" s="305"/>
      <c r="D1232" s="234"/>
      <c r="E1232" s="311"/>
      <c r="F1232" s="307"/>
      <c r="G1232" s="232"/>
      <c r="H1232" s="232"/>
      <c r="I1232" s="301"/>
    </row>
    <row r="1233" spans="2:9" s="297" customFormat="1" ht="21" customHeight="1">
      <c r="B1233" s="305"/>
      <c r="C1233" s="305"/>
      <c r="D1233" s="234"/>
      <c r="E1233" s="307"/>
      <c r="F1233" s="307"/>
      <c r="G1233" s="308"/>
      <c r="H1233" s="233"/>
      <c r="I1233" s="301"/>
    </row>
    <row r="1234" spans="2:9" s="297" customFormat="1" ht="21" customHeight="1">
      <c r="B1234" s="305"/>
      <c r="C1234" s="305"/>
      <c r="D1234" s="234"/>
      <c r="E1234" s="307"/>
      <c r="F1234" s="307"/>
      <c r="G1234" s="308"/>
      <c r="H1234" s="233"/>
      <c r="I1234" s="301"/>
    </row>
    <row r="1235" spans="2:9" s="297" customFormat="1" ht="21" customHeight="1">
      <c r="B1235" s="305"/>
      <c r="C1235" s="305"/>
      <c r="D1235" s="234"/>
      <c r="E1235" s="307"/>
      <c r="F1235" s="307"/>
      <c r="G1235" s="308"/>
      <c r="H1235" s="233"/>
      <c r="I1235" s="301"/>
    </row>
    <row r="1236" spans="2:9" s="297" customFormat="1" ht="21" customHeight="1">
      <c r="B1236" s="305"/>
      <c r="C1236" s="305"/>
      <c r="D1236" s="234"/>
      <c r="E1236" s="307"/>
      <c r="F1236" s="307"/>
      <c r="G1236" s="308"/>
      <c r="H1236" s="233"/>
      <c r="I1236" s="301"/>
    </row>
    <row r="1237" spans="2:9" s="297" customFormat="1" ht="21" customHeight="1">
      <c r="B1237" s="312" t="s">
        <v>835</v>
      </c>
      <c r="C1237" s="305"/>
      <c r="D1237" s="234"/>
      <c r="E1237" s="307"/>
      <c r="F1237" s="307"/>
      <c r="G1237" s="232"/>
      <c r="H1237" s="233"/>
      <c r="I1237" s="301"/>
    </row>
    <row r="1238" spans="2:9" s="297" customFormat="1" ht="21" customHeight="1">
      <c r="B1238" s="305"/>
      <c r="C1238" s="305" t="s">
        <v>64</v>
      </c>
      <c r="D1238" s="234" t="s">
        <v>836</v>
      </c>
      <c r="E1238" s="307">
        <v>1.5880000000000001</v>
      </c>
      <c r="F1238" s="307"/>
      <c r="G1238" s="232"/>
      <c r="H1238" s="233"/>
      <c r="I1238" s="301"/>
    </row>
    <row r="1239" spans="2:9" s="297" customFormat="1" ht="21" customHeight="1">
      <c r="B1239" s="305"/>
      <c r="C1239" s="305"/>
      <c r="D1239" s="234"/>
      <c r="E1239" s="306"/>
      <c r="F1239" s="306"/>
      <c r="G1239" s="232"/>
      <c r="H1239" s="232"/>
      <c r="I1239" s="301"/>
    </row>
    <row r="1240" spans="2:9" s="297" customFormat="1" ht="21" customHeight="1">
      <c r="B1240" s="305"/>
      <c r="C1240" s="305"/>
      <c r="D1240" s="234"/>
      <c r="E1240" s="306"/>
      <c r="F1240" s="306"/>
      <c r="G1240" s="308"/>
      <c r="H1240" s="233"/>
      <c r="I1240" s="301"/>
    </row>
    <row r="1241" spans="2:9" s="297" customFormat="1" ht="21" customHeight="1">
      <c r="B1241" s="305"/>
      <c r="C1241" s="305"/>
      <c r="D1241" s="234"/>
      <c r="E1241" s="306"/>
      <c r="F1241" s="306"/>
      <c r="G1241" s="308"/>
      <c r="H1241" s="233"/>
      <c r="I1241" s="301"/>
    </row>
    <row r="1242" spans="2:9" s="297" customFormat="1" ht="21" customHeight="1">
      <c r="B1242" s="305"/>
      <c r="C1242" s="305"/>
      <c r="D1242" s="234"/>
      <c r="E1242" s="306"/>
      <c r="F1242" s="306"/>
      <c r="G1242" s="308"/>
      <c r="H1242" s="233"/>
      <c r="I1242" s="301"/>
    </row>
    <row r="1243" spans="2:9" s="297" customFormat="1" ht="21" customHeight="1">
      <c r="B1243" s="312" t="s">
        <v>837</v>
      </c>
      <c r="C1243" s="305"/>
      <c r="D1243" s="234"/>
      <c r="E1243" s="307"/>
      <c r="F1243" s="307"/>
      <c r="G1243" s="232"/>
      <c r="H1243" s="233"/>
      <c r="I1243" s="301"/>
    </row>
    <row r="1244" spans="2:9" s="297" customFormat="1" ht="21" customHeight="1">
      <c r="B1244" s="305"/>
      <c r="C1244" s="305" t="s">
        <v>64</v>
      </c>
      <c r="D1244" s="234" t="s">
        <v>836</v>
      </c>
      <c r="E1244" s="307">
        <v>4.8000000000000001E-2</v>
      </c>
      <c r="F1244" s="307"/>
      <c r="G1244" s="232"/>
      <c r="H1244" s="233"/>
      <c r="I1244" s="301"/>
    </row>
    <row r="1245" spans="2:9" s="297" customFormat="1" ht="21" customHeight="1">
      <c r="B1245" s="305"/>
      <c r="C1245" s="305"/>
      <c r="D1245" s="234"/>
      <c r="E1245" s="306"/>
      <c r="F1245" s="306"/>
      <c r="G1245" s="232"/>
      <c r="H1245" s="232"/>
      <c r="I1245" s="301"/>
    </row>
    <row r="1246" spans="2:9" s="297" customFormat="1" ht="21" customHeight="1">
      <c r="B1246" s="305"/>
      <c r="C1246" s="305"/>
      <c r="D1246" s="234"/>
      <c r="E1246" s="306"/>
      <c r="F1246" s="306"/>
      <c r="G1246" s="308"/>
      <c r="H1246" s="233"/>
      <c r="I1246" s="301"/>
    </row>
    <row r="1247" spans="2:9" s="297" customFormat="1" ht="21" customHeight="1">
      <c r="B1247" s="305"/>
      <c r="C1247" s="305"/>
      <c r="D1247" s="234"/>
      <c r="E1247" s="306"/>
      <c r="F1247" s="306"/>
      <c r="G1247" s="308"/>
      <c r="H1247" s="233"/>
      <c r="I1247" s="301"/>
    </row>
    <row r="1248" spans="2:9" s="297" customFormat="1" ht="21" customHeight="1">
      <c r="B1248" s="305"/>
      <c r="C1248" s="305"/>
      <c r="D1248" s="234"/>
      <c r="E1248" s="306"/>
      <c r="F1248" s="306"/>
      <c r="G1248" s="308"/>
      <c r="H1248" s="233"/>
      <c r="I1248" s="301"/>
    </row>
    <row r="1249" spans="2:9" s="297" customFormat="1" ht="21" customHeight="1">
      <c r="B1249" s="305"/>
      <c r="C1249" s="305"/>
      <c r="D1249" s="234"/>
      <c r="E1249" s="306"/>
      <c r="F1249" s="306"/>
      <c r="G1249" s="308"/>
      <c r="H1249" s="233"/>
      <c r="I1249" s="301"/>
    </row>
    <row r="1250" spans="2:9" s="297" customFormat="1" ht="21" customHeight="1">
      <c r="B1250" s="305"/>
      <c r="C1250" s="305"/>
      <c r="D1250" s="234"/>
      <c r="E1250" s="306"/>
      <c r="F1250" s="306"/>
      <c r="G1250" s="308"/>
      <c r="H1250" s="233"/>
      <c r="I1250" s="301"/>
    </row>
    <row r="1251" spans="2:9" s="297" customFormat="1" ht="21" customHeight="1">
      <c r="B1251" s="300" t="str">
        <f>'5. 공종별예산조서'!$A$95</f>
        <v>3-8. 스위치 철거</v>
      </c>
      <c r="C1251" s="300" t="str">
        <f>'5. 공종별예산조서'!$B$95</f>
        <v>단로, 1구</v>
      </c>
      <c r="D1251" s="301" t="str">
        <f>'5. 공종별예산조서'!$C$95</f>
        <v>개</v>
      </c>
      <c r="E1251" s="309">
        <f>'5. 공종별예산조서'!$D$95</f>
        <v>11</v>
      </c>
      <c r="F1251" s="302"/>
      <c r="G1251" s="303"/>
      <c r="H1251" s="304"/>
      <c r="I1251" s="301"/>
    </row>
    <row r="1252" spans="2:9" s="297" customFormat="1" ht="21" customHeight="1">
      <c r="B1252" s="312" t="s">
        <v>834</v>
      </c>
      <c r="C1252" s="305"/>
      <c r="D1252" s="234"/>
      <c r="E1252" s="310"/>
      <c r="F1252" s="306"/>
      <c r="G1252" s="232"/>
      <c r="H1252" s="233"/>
      <c r="I1252" s="301"/>
    </row>
    <row r="1253" spans="2:9" s="297" customFormat="1" ht="21" customHeight="1">
      <c r="B1253" s="305" t="s">
        <v>850</v>
      </c>
      <c r="C1253" s="305" t="str">
        <f>C1251</f>
        <v>단로, 1구</v>
      </c>
      <c r="D1253" s="234" t="str">
        <f>D1251</f>
        <v>개</v>
      </c>
      <c r="E1253" s="311">
        <f>E1251</f>
        <v>11</v>
      </c>
      <c r="F1253" s="307"/>
      <c r="G1253" s="232"/>
      <c r="H1253" s="233"/>
      <c r="I1253" s="301"/>
    </row>
    <row r="1254" spans="2:9" s="297" customFormat="1" ht="21" customHeight="1">
      <c r="B1254" s="305"/>
      <c r="C1254" s="305"/>
      <c r="D1254" s="234"/>
      <c r="E1254" s="311"/>
      <c r="F1254" s="307"/>
      <c r="G1254" s="232"/>
      <c r="H1254" s="233"/>
      <c r="I1254" s="301"/>
    </row>
    <row r="1255" spans="2:9" s="297" customFormat="1" ht="21" customHeight="1">
      <c r="B1255" s="305"/>
      <c r="C1255" s="305"/>
      <c r="D1255" s="234"/>
      <c r="E1255" s="311"/>
      <c r="F1255" s="307"/>
      <c r="G1255" s="232"/>
      <c r="H1255" s="233"/>
      <c r="I1255" s="301"/>
    </row>
    <row r="1256" spans="2:9" s="297" customFormat="1" ht="21" customHeight="1">
      <c r="B1256" s="305"/>
      <c r="C1256" s="305"/>
      <c r="D1256" s="234"/>
      <c r="E1256" s="311"/>
      <c r="F1256" s="307"/>
      <c r="G1256" s="232"/>
      <c r="H1256" s="232"/>
      <c r="I1256" s="301"/>
    </row>
    <row r="1257" spans="2:9" s="297" customFormat="1" ht="21" customHeight="1">
      <c r="B1257" s="305"/>
      <c r="C1257" s="305"/>
      <c r="D1257" s="234"/>
      <c r="E1257" s="307"/>
      <c r="F1257" s="307"/>
      <c r="G1257" s="308"/>
      <c r="H1257" s="233"/>
      <c r="I1257" s="301"/>
    </row>
    <row r="1258" spans="2:9" s="297" customFormat="1" ht="21" customHeight="1">
      <c r="B1258" s="305"/>
      <c r="C1258" s="305"/>
      <c r="D1258" s="234"/>
      <c r="E1258" s="307"/>
      <c r="F1258" s="307"/>
      <c r="G1258" s="308"/>
      <c r="H1258" s="233"/>
      <c r="I1258" s="301"/>
    </row>
    <row r="1259" spans="2:9" s="297" customFormat="1" ht="21" customHeight="1">
      <c r="B1259" s="305"/>
      <c r="C1259" s="305"/>
      <c r="D1259" s="234"/>
      <c r="E1259" s="307"/>
      <c r="F1259" s="307"/>
      <c r="G1259" s="308"/>
      <c r="H1259" s="233"/>
      <c r="I1259" s="301"/>
    </row>
    <row r="1260" spans="2:9" s="297" customFormat="1" ht="21" customHeight="1">
      <c r="B1260" s="305"/>
      <c r="C1260" s="305"/>
      <c r="D1260" s="234"/>
      <c r="E1260" s="307"/>
      <c r="F1260" s="307"/>
      <c r="G1260" s="308"/>
      <c r="H1260" s="233"/>
      <c r="I1260" s="301"/>
    </row>
    <row r="1261" spans="2:9" s="297" customFormat="1" ht="21" customHeight="1">
      <c r="B1261" s="312" t="s">
        <v>835</v>
      </c>
      <c r="C1261" s="305"/>
      <c r="D1261" s="234"/>
      <c r="E1261" s="307"/>
      <c r="F1261" s="307"/>
      <c r="G1261" s="232"/>
      <c r="H1261" s="233"/>
      <c r="I1261" s="301"/>
    </row>
    <row r="1262" spans="2:9" s="297" customFormat="1" ht="21" customHeight="1">
      <c r="B1262" s="305"/>
      <c r="C1262" s="305" t="s">
        <v>64</v>
      </c>
      <c r="D1262" s="234" t="s">
        <v>836</v>
      </c>
      <c r="E1262" s="307">
        <v>0.28100000000000003</v>
      </c>
      <c r="F1262" s="307"/>
      <c r="G1262" s="232"/>
      <c r="H1262" s="233"/>
      <c r="I1262" s="301"/>
    </row>
    <row r="1263" spans="2:9" s="297" customFormat="1" ht="21" customHeight="1">
      <c r="B1263" s="305"/>
      <c r="C1263" s="305"/>
      <c r="D1263" s="234"/>
      <c r="E1263" s="306"/>
      <c r="F1263" s="306"/>
      <c r="G1263" s="232"/>
      <c r="H1263" s="232"/>
      <c r="I1263" s="301"/>
    </row>
    <row r="1264" spans="2:9" s="297" customFormat="1" ht="21" customHeight="1">
      <c r="B1264" s="305"/>
      <c r="C1264" s="305"/>
      <c r="D1264" s="234"/>
      <c r="E1264" s="306"/>
      <c r="F1264" s="306"/>
      <c r="G1264" s="308"/>
      <c r="H1264" s="233"/>
      <c r="I1264" s="301"/>
    </row>
    <row r="1265" spans="2:9" s="297" customFormat="1" ht="21" customHeight="1">
      <c r="B1265" s="305"/>
      <c r="C1265" s="305"/>
      <c r="D1265" s="234"/>
      <c r="E1265" s="306"/>
      <c r="F1265" s="306"/>
      <c r="G1265" s="308"/>
      <c r="H1265" s="233"/>
      <c r="I1265" s="301"/>
    </row>
    <row r="1266" spans="2:9" s="297" customFormat="1" ht="21" customHeight="1">
      <c r="B1266" s="305"/>
      <c r="C1266" s="305"/>
      <c r="D1266" s="234"/>
      <c r="E1266" s="306"/>
      <c r="F1266" s="306"/>
      <c r="G1266" s="308"/>
      <c r="H1266" s="233"/>
      <c r="I1266" s="301"/>
    </row>
    <row r="1267" spans="2:9" s="297" customFormat="1" ht="21" customHeight="1">
      <c r="B1267" s="312" t="s">
        <v>837</v>
      </c>
      <c r="C1267" s="305"/>
      <c r="D1267" s="234"/>
      <c r="E1267" s="307"/>
      <c r="F1267" s="307"/>
      <c r="G1267" s="232"/>
      <c r="H1267" s="233"/>
      <c r="I1267" s="301"/>
    </row>
    <row r="1268" spans="2:9" s="297" customFormat="1" ht="21" customHeight="1">
      <c r="B1268" s="305"/>
      <c r="C1268" s="305" t="s">
        <v>64</v>
      </c>
      <c r="D1268" s="234" t="s">
        <v>836</v>
      </c>
      <c r="E1268" s="307">
        <v>8.0000000000000002E-3</v>
      </c>
      <c r="F1268" s="307"/>
      <c r="G1268" s="232"/>
      <c r="H1268" s="233"/>
      <c r="I1268" s="301"/>
    </row>
    <row r="1269" spans="2:9" s="297" customFormat="1" ht="21" customHeight="1">
      <c r="B1269" s="305"/>
      <c r="C1269" s="305"/>
      <c r="D1269" s="234"/>
      <c r="E1269" s="306"/>
      <c r="F1269" s="306"/>
      <c r="G1269" s="232"/>
      <c r="H1269" s="232"/>
      <c r="I1269" s="301"/>
    </row>
    <row r="1270" spans="2:9" s="297" customFormat="1" ht="21" customHeight="1">
      <c r="B1270" s="305"/>
      <c r="C1270" s="305"/>
      <c r="D1270" s="234"/>
      <c r="E1270" s="306"/>
      <c r="F1270" s="306"/>
      <c r="G1270" s="308"/>
      <c r="H1270" s="233"/>
      <c r="I1270" s="301"/>
    </row>
    <row r="1271" spans="2:9" s="297" customFormat="1" ht="21" customHeight="1">
      <c r="B1271" s="305"/>
      <c r="C1271" s="305"/>
      <c r="D1271" s="234"/>
      <c r="E1271" s="306"/>
      <c r="F1271" s="306"/>
      <c r="G1271" s="308"/>
      <c r="H1271" s="233"/>
      <c r="I1271" s="301"/>
    </row>
    <row r="1272" spans="2:9" s="297" customFormat="1" ht="21" customHeight="1">
      <c r="B1272" s="305"/>
      <c r="C1272" s="305"/>
      <c r="D1272" s="234"/>
      <c r="E1272" s="306"/>
      <c r="F1272" s="306"/>
      <c r="G1272" s="308"/>
      <c r="H1272" s="233"/>
      <c r="I1272" s="301"/>
    </row>
    <row r="1273" spans="2:9" s="297" customFormat="1" ht="21" customHeight="1">
      <c r="B1273" s="305"/>
      <c r="C1273" s="305"/>
      <c r="D1273" s="234"/>
      <c r="E1273" s="306"/>
      <c r="F1273" s="306"/>
      <c r="G1273" s="308"/>
      <c r="H1273" s="233"/>
      <c r="I1273" s="301"/>
    </row>
    <row r="1274" spans="2:9" s="297" customFormat="1" ht="21" customHeight="1">
      <c r="B1274" s="305"/>
      <c r="C1274" s="305"/>
      <c r="D1274" s="234"/>
      <c r="E1274" s="306"/>
      <c r="F1274" s="306"/>
      <c r="G1274" s="308"/>
      <c r="H1274" s="233"/>
      <c r="I1274" s="301"/>
    </row>
    <row r="1275" spans="2:9" s="297" customFormat="1" ht="21" customHeight="1">
      <c r="B1275" s="300" t="str">
        <f>'5. 공종별예산조서'!$A$96</f>
        <v>3-9. 스위치 철거</v>
      </c>
      <c r="C1275" s="300" t="str">
        <f>'5. 공종별예산조서'!$B$96</f>
        <v>단로, 2구</v>
      </c>
      <c r="D1275" s="301" t="str">
        <f>'5. 공종별예산조서'!$C$96</f>
        <v>개</v>
      </c>
      <c r="E1275" s="309">
        <f>'5. 공종별예산조서'!$D$96</f>
        <v>2</v>
      </c>
      <c r="F1275" s="302"/>
      <c r="G1275" s="303"/>
      <c r="H1275" s="304"/>
      <c r="I1275" s="301"/>
    </row>
    <row r="1276" spans="2:9" s="297" customFormat="1" ht="21" customHeight="1">
      <c r="B1276" s="312" t="s">
        <v>834</v>
      </c>
      <c r="C1276" s="305"/>
      <c r="D1276" s="234"/>
      <c r="E1276" s="310"/>
      <c r="F1276" s="306"/>
      <c r="G1276" s="232"/>
      <c r="H1276" s="233"/>
      <c r="I1276" s="301"/>
    </row>
    <row r="1277" spans="2:9" s="297" customFormat="1" ht="21" customHeight="1">
      <c r="B1277" s="305" t="s">
        <v>850</v>
      </c>
      <c r="C1277" s="305" t="str">
        <f>C1275</f>
        <v>단로, 2구</v>
      </c>
      <c r="D1277" s="234" t="str">
        <f>D1275</f>
        <v>개</v>
      </c>
      <c r="E1277" s="311">
        <f>E1275</f>
        <v>2</v>
      </c>
      <c r="F1277" s="307"/>
      <c r="G1277" s="232"/>
      <c r="H1277" s="233"/>
      <c r="I1277" s="301"/>
    </row>
    <row r="1278" spans="2:9" s="297" customFormat="1" ht="21" customHeight="1">
      <c r="B1278" s="305"/>
      <c r="C1278" s="305"/>
      <c r="D1278" s="234"/>
      <c r="E1278" s="311"/>
      <c r="F1278" s="307"/>
      <c r="G1278" s="232"/>
      <c r="H1278" s="233"/>
      <c r="I1278" s="301"/>
    </row>
    <row r="1279" spans="2:9" s="297" customFormat="1" ht="21" customHeight="1">
      <c r="B1279" s="305"/>
      <c r="C1279" s="305"/>
      <c r="D1279" s="234"/>
      <c r="E1279" s="311"/>
      <c r="F1279" s="307"/>
      <c r="G1279" s="232"/>
      <c r="H1279" s="233"/>
      <c r="I1279" s="301"/>
    </row>
    <row r="1280" spans="2:9" s="297" customFormat="1" ht="21" customHeight="1">
      <c r="B1280" s="305"/>
      <c r="C1280" s="305"/>
      <c r="D1280" s="234"/>
      <c r="E1280" s="307"/>
      <c r="F1280" s="307"/>
      <c r="G1280" s="232"/>
      <c r="H1280" s="232"/>
      <c r="I1280" s="301"/>
    </row>
    <row r="1281" spans="2:9" s="297" customFormat="1" ht="21" customHeight="1">
      <c r="B1281" s="305"/>
      <c r="C1281" s="305"/>
      <c r="D1281" s="234"/>
      <c r="E1281" s="307"/>
      <c r="F1281" s="307"/>
      <c r="G1281" s="232"/>
      <c r="H1281" s="232"/>
      <c r="I1281" s="301"/>
    </row>
    <row r="1282" spans="2:9" s="297" customFormat="1" ht="21" customHeight="1">
      <c r="B1282" s="305"/>
      <c r="C1282" s="305"/>
      <c r="D1282" s="234"/>
      <c r="E1282" s="307"/>
      <c r="F1282" s="307"/>
      <c r="G1282" s="308"/>
      <c r="H1282" s="233"/>
      <c r="I1282" s="301"/>
    </row>
    <row r="1283" spans="2:9" s="297" customFormat="1" ht="21" customHeight="1">
      <c r="B1283" s="305"/>
      <c r="C1283" s="305"/>
      <c r="D1283" s="234"/>
      <c r="E1283" s="307"/>
      <c r="F1283" s="307"/>
      <c r="G1283" s="308"/>
      <c r="H1283" s="233"/>
      <c r="I1283" s="301"/>
    </row>
    <row r="1284" spans="2:9" s="297" customFormat="1" ht="21" customHeight="1">
      <c r="B1284" s="305"/>
      <c r="C1284" s="305"/>
      <c r="D1284" s="234"/>
      <c r="E1284" s="307"/>
      <c r="F1284" s="307"/>
      <c r="G1284" s="308"/>
      <c r="H1284" s="233"/>
      <c r="I1284" s="301"/>
    </row>
    <row r="1285" spans="2:9" s="297" customFormat="1" ht="21" customHeight="1">
      <c r="B1285" s="312" t="s">
        <v>835</v>
      </c>
      <c r="C1285" s="305"/>
      <c r="D1285" s="234"/>
      <c r="E1285" s="307"/>
      <c r="F1285" s="307"/>
      <c r="G1285" s="232"/>
      <c r="H1285" s="233"/>
      <c r="I1285" s="301"/>
    </row>
    <row r="1286" spans="2:9" s="297" customFormat="1" ht="21" customHeight="1">
      <c r="B1286" s="305"/>
      <c r="C1286" s="305" t="s">
        <v>64</v>
      </c>
      <c r="D1286" s="234" t="s">
        <v>836</v>
      </c>
      <c r="E1286" s="307">
        <v>5.0999999999999997E-2</v>
      </c>
      <c r="F1286" s="307"/>
      <c r="G1286" s="232"/>
      <c r="H1286" s="233"/>
      <c r="I1286" s="301"/>
    </row>
    <row r="1287" spans="2:9" s="297" customFormat="1" ht="21" customHeight="1">
      <c r="B1287" s="305"/>
      <c r="C1287" s="305"/>
      <c r="D1287" s="234"/>
      <c r="E1287" s="306"/>
      <c r="F1287" s="306"/>
      <c r="G1287" s="232"/>
      <c r="H1287" s="232"/>
      <c r="I1287" s="301"/>
    </row>
    <row r="1288" spans="2:9" s="297" customFormat="1" ht="21" customHeight="1">
      <c r="B1288" s="305"/>
      <c r="C1288" s="305"/>
      <c r="D1288" s="234"/>
      <c r="E1288" s="306"/>
      <c r="F1288" s="306"/>
      <c r="G1288" s="308"/>
      <c r="H1288" s="233"/>
      <c r="I1288" s="301"/>
    </row>
    <row r="1289" spans="2:9" s="297" customFormat="1" ht="21" customHeight="1">
      <c r="B1289" s="305"/>
      <c r="C1289" s="305"/>
      <c r="D1289" s="234"/>
      <c r="E1289" s="306"/>
      <c r="F1289" s="306"/>
      <c r="G1289" s="308"/>
      <c r="H1289" s="233"/>
      <c r="I1289" s="301"/>
    </row>
    <row r="1290" spans="2:9" s="297" customFormat="1" ht="21" customHeight="1">
      <c r="B1290" s="305"/>
      <c r="C1290" s="305"/>
      <c r="D1290" s="234"/>
      <c r="E1290" s="306"/>
      <c r="F1290" s="306"/>
      <c r="G1290" s="308"/>
      <c r="H1290" s="233"/>
      <c r="I1290" s="301"/>
    </row>
    <row r="1291" spans="2:9" s="297" customFormat="1" ht="21" customHeight="1">
      <c r="B1291" s="312" t="s">
        <v>837</v>
      </c>
      <c r="C1291" s="305"/>
      <c r="D1291" s="234"/>
      <c r="E1291" s="307"/>
      <c r="F1291" s="307"/>
      <c r="G1291" s="232"/>
      <c r="H1291" s="233"/>
      <c r="I1291" s="301"/>
    </row>
    <row r="1292" spans="2:9" s="297" customFormat="1" ht="21" customHeight="1">
      <c r="B1292" s="305"/>
      <c r="C1292" s="305" t="s">
        <v>64</v>
      </c>
      <c r="D1292" s="234" t="s">
        <v>836</v>
      </c>
      <c r="E1292" s="307">
        <v>2E-3</v>
      </c>
      <c r="F1292" s="307"/>
      <c r="G1292" s="232"/>
      <c r="H1292" s="233"/>
      <c r="I1292" s="301"/>
    </row>
    <row r="1293" spans="2:9" s="297" customFormat="1" ht="21" customHeight="1">
      <c r="B1293" s="305"/>
      <c r="C1293" s="305"/>
      <c r="D1293" s="234"/>
      <c r="E1293" s="306"/>
      <c r="F1293" s="306"/>
      <c r="G1293" s="232"/>
      <c r="H1293" s="232"/>
      <c r="I1293" s="301"/>
    </row>
    <row r="1294" spans="2:9" s="297" customFormat="1" ht="21" customHeight="1">
      <c r="B1294" s="305"/>
      <c r="C1294" s="305"/>
      <c r="D1294" s="234"/>
      <c r="E1294" s="306"/>
      <c r="F1294" s="306"/>
      <c r="G1294" s="308"/>
      <c r="H1294" s="233"/>
      <c r="I1294" s="301"/>
    </row>
    <row r="1295" spans="2:9" s="297" customFormat="1" ht="21" customHeight="1">
      <c r="B1295" s="305"/>
      <c r="C1295" s="305"/>
      <c r="D1295" s="234"/>
      <c r="E1295" s="306"/>
      <c r="F1295" s="306"/>
      <c r="G1295" s="308"/>
      <c r="H1295" s="233"/>
      <c r="I1295" s="301"/>
    </row>
    <row r="1296" spans="2:9" s="297" customFormat="1" ht="21" customHeight="1">
      <c r="B1296" s="305"/>
      <c r="C1296" s="305"/>
      <c r="D1296" s="234"/>
      <c r="E1296" s="306"/>
      <c r="F1296" s="306"/>
      <c r="G1296" s="308"/>
      <c r="H1296" s="233"/>
      <c r="I1296" s="301"/>
    </row>
    <row r="1297" spans="2:9" s="297" customFormat="1" ht="21" customHeight="1">
      <c r="B1297" s="305"/>
      <c r="C1297" s="305"/>
      <c r="D1297" s="234"/>
      <c r="E1297" s="306"/>
      <c r="F1297" s="306"/>
      <c r="G1297" s="308"/>
      <c r="H1297" s="233"/>
      <c r="I1297" s="301"/>
    </row>
    <row r="1298" spans="2:9" s="297" customFormat="1" ht="21" customHeight="1">
      <c r="B1298" s="305"/>
      <c r="C1298" s="305"/>
      <c r="D1298" s="234"/>
      <c r="E1298" s="306"/>
      <c r="F1298" s="306"/>
      <c r="G1298" s="308"/>
      <c r="H1298" s="233"/>
      <c r="I1298" s="301"/>
    </row>
    <row r="1299" spans="2:9" s="297" customFormat="1" ht="21" customHeight="1">
      <c r="B1299" s="300" t="str">
        <f>'5. 공종별예산조서'!$A$97</f>
        <v>3-10. 스위치 철거</v>
      </c>
      <c r="C1299" s="300" t="str">
        <f>'5. 공종별예산조서'!$B$97</f>
        <v>단로, 3구</v>
      </c>
      <c r="D1299" s="301" t="str">
        <f>'5. 공종별예산조서'!$C$97</f>
        <v>개</v>
      </c>
      <c r="E1299" s="309">
        <f>'5. 공종별예산조서'!$D$97</f>
        <v>7</v>
      </c>
      <c r="F1299" s="302"/>
      <c r="G1299" s="303"/>
      <c r="H1299" s="304"/>
      <c r="I1299" s="301"/>
    </row>
    <row r="1300" spans="2:9" s="297" customFormat="1" ht="21" customHeight="1">
      <c r="B1300" s="312" t="s">
        <v>834</v>
      </c>
      <c r="C1300" s="305"/>
      <c r="D1300" s="234"/>
      <c r="E1300" s="310"/>
      <c r="F1300" s="306"/>
      <c r="G1300" s="232"/>
      <c r="H1300" s="233"/>
      <c r="I1300" s="301"/>
    </row>
    <row r="1301" spans="2:9" s="297" customFormat="1" ht="21" customHeight="1">
      <c r="B1301" s="305" t="s">
        <v>850</v>
      </c>
      <c r="C1301" s="305" t="str">
        <f>C1299</f>
        <v>단로, 3구</v>
      </c>
      <c r="D1301" s="234" t="str">
        <f>D1299</f>
        <v>개</v>
      </c>
      <c r="E1301" s="311">
        <f>E1299</f>
        <v>7</v>
      </c>
      <c r="F1301" s="307"/>
      <c r="G1301" s="232"/>
      <c r="H1301" s="233"/>
      <c r="I1301" s="301"/>
    </row>
    <row r="1302" spans="2:9" s="297" customFormat="1" ht="21" customHeight="1">
      <c r="B1302" s="305"/>
      <c r="C1302" s="305"/>
      <c r="D1302" s="234"/>
      <c r="E1302" s="311"/>
      <c r="F1302" s="307"/>
      <c r="G1302" s="232"/>
      <c r="H1302" s="233"/>
      <c r="I1302" s="301"/>
    </row>
    <row r="1303" spans="2:9" s="297" customFormat="1" ht="21" customHeight="1">
      <c r="B1303" s="305"/>
      <c r="C1303" s="305"/>
      <c r="D1303" s="234"/>
      <c r="E1303" s="307"/>
      <c r="F1303" s="307"/>
      <c r="G1303" s="232"/>
      <c r="H1303" s="232"/>
      <c r="I1303" s="301"/>
    </row>
    <row r="1304" spans="2:9" s="297" customFormat="1" ht="21" customHeight="1">
      <c r="B1304" s="305"/>
      <c r="C1304" s="305"/>
      <c r="D1304" s="234"/>
      <c r="E1304" s="307"/>
      <c r="F1304" s="307"/>
      <c r="G1304" s="232"/>
      <c r="H1304" s="232"/>
      <c r="I1304" s="301"/>
    </row>
    <row r="1305" spans="2:9" s="297" customFormat="1" ht="21" customHeight="1">
      <c r="B1305" s="305"/>
      <c r="C1305" s="305"/>
      <c r="D1305" s="234"/>
      <c r="E1305" s="307"/>
      <c r="F1305" s="307"/>
      <c r="G1305" s="232"/>
      <c r="H1305" s="232"/>
      <c r="I1305" s="301"/>
    </row>
    <row r="1306" spans="2:9" s="297" customFormat="1" ht="21" customHeight="1">
      <c r="B1306" s="305"/>
      <c r="C1306" s="305"/>
      <c r="D1306" s="234"/>
      <c r="E1306" s="307"/>
      <c r="F1306" s="307"/>
      <c r="G1306" s="308"/>
      <c r="H1306" s="233"/>
      <c r="I1306" s="301"/>
    </row>
    <row r="1307" spans="2:9" s="297" customFormat="1" ht="21" customHeight="1">
      <c r="B1307" s="305"/>
      <c r="C1307" s="305"/>
      <c r="D1307" s="234"/>
      <c r="E1307" s="307"/>
      <c r="F1307" s="307"/>
      <c r="G1307" s="308"/>
      <c r="H1307" s="233"/>
      <c r="I1307" s="301"/>
    </row>
    <row r="1308" spans="2:9" s="297" customFormat="1" ht="21" customHeight="1">
      <c r="B1308" s="305"/>
      <c r="C1308" s="305"/>
      <c r="D1308" s="234"/>
      <c r="E1308" s="307"/>
      <c r="F1308" s="307"/>
      <c r="G1308" s="308"/>
      <c r="H1308" s="233"/>
      <c r="I1308" s="301"/>
    </row>
    <row r="1309" spans="2:9" s="297" customFormat="1" ht="21" customHeight="1">
      <c r="B1309" s="312" t="s">
        <v>835</v>
      </c>
      <c r="C1309" s="305"/>
      <c r="D1309" s="234"/>
      <c r="E1309" s="307"/>
      <c r="F1309" s="307"/>
      <c r="G1309" s="232"/>
      <c r="H1309" s="233"/>
      <c r="I1309" s="301"/>
    </row>
    <row r="1310" spans="2:9" s="297" customFormat="1" ht="21" customHeight="1">
      <c r="B1310" s="305"/>
      <c r="C1310" s="305" t="s">
        <v>64</v>
      </c>
      <c r="D1310" s="234" t="s">
        <v>836</v>
      </c>
      <c r="E1310" s="307">
        <v>0.17899999999999999</v>
      </c>
      <c r="F1310" s="307"/>
      <c r="G1310" s="232"/>
      <c r="H1310" s="233"/>
      <c r="I1310" s="301"/>
    </row>
    <row r="1311" spans="2:9" s="297" customFormat="1" ht="21" customHeight="1">
      <c r="B1311" s="305"/>
      <c r="C1311" s="305"/>
      <c r="D1311" s="234"/>
      <c r="E1311" s="306"/>
      <c r="F1311" s="306"/>
      <c r="G1311" s="232"/>
      <c r="H1311" s="232"/>
      <c r="I1311" s="301"/>
    </row>
    <row r="1312" spans="2:9" s="297" customFormat="1" ht="21" customHeight="1">
      <c r="B1312" s="305"/>
      <c r="C1312" s="305"/>
      <c r="D1312" s="234"/>
      <c r="E1312" s="306"/>
      <c r="F1312" s="306"/>
      <c r="G1312" s="308"/>
      <c r="H1312" s="233"/>
      <c r="I1312" s="301"/>
    </row>
    <row r="1313" spans="2:9" s="297" customFormat="1" ht="21" customHeight="1">
      <c r="B1313" s="305"/>
      <c r="C1313" s="305"/>
      <c r="D1313" s="234"/>
      <c r="E1313" s="306"/>
      <c r="F1313" s="306"/>
      <c r="G1313" s="308"/>
      <c r="H1313" s="233"/>
      <c r="I1313" s="301"/>
    </row>
    <row r="1314" spans="2:9" s="297" customFormat="1" ht="21" customHeight="1">
      <c r="B1314" s="305"/>
      <c r="C1314" s="305"/>
      <c r="D1314" s="234"/>
      <c r="E1314" s="306"/>
      <c r="F1314" s="306"/>
      <c r="G1314" s="308"/>
      <c r="H1314" s="233"/>
      <c r="I1314" s="301"/>
    </row>
    <row r="1315" spans="2:9" s="297" customFormat="1" ht="21" customHeight="1">
      <c r="B1315" s="312" t="s">
        <v>837</v>
      </c>
      <c r="C1315" s="305"/>
      <c r="D1315" s="234"/>
      <c r="E1315" s="307"/>
      <c r="F1315" s="307"/>
      <c r="G1315" s="232"/>
      <c r="H1315" s="233"/>
      <c r="I1315" s="301"/>
    </row>
    <row r="1316" spans="2:9" s="297" customFormat="1" ht="21" customHeight="1">
      <c r="B1316" s="305"/>
      <c r="C1316" s="305" t="s">
        <v>64</v>
      </c>
      <c r="D1316" s="234" t="s">
        <v>836</v>
      </c>
      <c r="E1316" s="307">
        <v>5.0000000000000001E-3</v>
      </c>
      <c r="F1316" s="307"/>
      <c r="G1316" s="232"/>
      <c r="H1316" s="233"/>
      <c r="I1316" s="301"/>
    </row>
    <row r="1317" spans="2:9" s="297" customFormat="1" ht="21" customHeight="1">
      <c r="B1317" s="305"/>
      <c r="C1317" s="305"/>
      <c r="D1317" s="234"/>
      <c r="E1317" s="306"/>
      <c r="F1317" s="306"/>
      <c r="G1317" s="232"/>
      <c r="H1317" s="232"/>
      <c r="I1317" s="301"/>
    </row>
    <row r="1318" spans="2:9" s="297" customFormat="1" ht="21" customHeight="1">
      <c r="B1318" s="305"/>
      <c r="C1318" s="305"/>
      <c r="D1318" s="234"/>
      <c r="E1318" s="306"/>
      <c r="F1318" s="306"/>
      <c r="G1318" s="308"/>
      <c r="H1318" s="233"/>
      <c r="I1318" s="301"/>
    </row>
    <row r="1319" spans="2:9" s="297" customFormat="1" ht="21" customHeight="1">
      <c r="B1319" s="305"/>
      <c r="C1319" s="305"/>
      <c r="D1319" s="234"/>
      <c r="E1319" s="306"/>
      <c r="F1319" s="306"/>
      <c r="G1319" s="308"/>
      <c r="H1319" s="233"/>
      <c r="I1319" s="301"/>
    </row>
    <row r="1320" spans="2:9" s="297" customFormat="1" ht="21" customHeight="1">
      <c r="B1320" s="305"/>
      <c r="C1320" s="305"/>
      <c r="D1320" s="234"/>
      <c r="E1320" s="306"/>
      <c r="F1320" s="306"/>
      <c r="G1320" s="308"/>
      <c r="H1320" s="233"/>
      <c r="I1320" s="301"/>
    </row>
    <row r="1321" spans="2:9" s="297" customFormat="1" ht="21" customHeight="1">
      <c r="B1321" s="305"/>
      <c r="C1321" s="305"/>
      <c r="D1321" s="234"/>
      <c r="E1321" s="306"/>
      <c r="F1321" s="306"/>
      <c r="G1321" s="308"/>
      <c r="H1321" s="233"/>
      <c r="I1321" s="301"/>
    </row>
    <row r="1322" spans="2:9" s="297" customFormat="1" ht="21" customHeight="1">
      <c r="B1322" s="305"/>
      <c r="C1322" s="305"/>
      <c r="D1322" s="234"/>
      <c r="E1322" s="306"/>
      <c r="F1322" s="306"/>
      <c r="G1322" s="308"/>
      <c r="H1322" s="233"/>
      <c r="I1322" s="301"/>
    </row>
    <row r="1323" spans="2:9" s="297" customFormat="1" ht="21" customHeight="1">
      <c r="B1323" s="300" t="str">
        <f>'5. 공종별예산조서'!$A$98</f>
        <v>3-11. 스위치 철거</v>
      </c>
      <c r="C1323" s="300" t="str">
        <f>'5. 공종별예산조서'!$B$98</f>
        <v>단로, 4구</v>
      </c>
      <c r="D1323" s="301" t="str">
        <f>'5. 공종별예산조서'!$C$98</f>
        <v>개</v>
      </c>
      <c r="E1323" s="309">
        <f>'5. 공종별예산조서'!$D$98</f>
        <v>2</v>
      </c>
      <c r="F1323" s="302"/>
      <c r="G1323" s="303"/>
      <c r="H1323" s="304"/>
      <c r="I1323" s="301"/>
    </row>
    <row r="1324" spans="2:9" s="297" customFormat="1" ht="21" customHeight="1">
      <c r="B1324" s="312" t="s">
        <v>834</v>
      </c>
      <c r="C1324" s="305"/>
      <c r="D1324" s="234"/>
      <c r="E1324" s="310"/>
      <c r="F1324" s="306"/>
      <c r="G1324" s="232"/>
      <c r="H1324" s="233"/>
      <c r="I1324" s="301"/>
    </row>
    <row r="1325" spans="2:9" s="297" customFormat="1" ht="21" customHeight="1">
      <c r="B1325" s="305" t="s">
        <v>850</v>
      </c>
      <c r="C1325" s="305" t="str">
        <f>C1323</f>
        <v>단로, 4구</v>
      </c>
      <c r="D1325" s="234" t="str">
        <f>D1323</f>
        <v>개</v>
      </c>
      <c r="E1325" s="311">
        <f>E1323</f>
        <v>2</v>
      </c>
      <c r="F1325" s="307"/>
      <c r="G1325" s="232"/>
      <c r="H1325" s="233"/>
      <c r="I1325" s="301"/>
    </row>
    <row r="1326" spans="2:9" s="297" customFormat="1" ht="21" customHeight="1">
      <c r="B1326" s="305"/>
      <c r="C1326" s="305"/>
      <c r="D1326" s="234"/>
      <c r="E1326" s="311"/>
      <c r="F1326" s="307"/>
      <c r="G1326" s="232"/>
      <c r="H1326" s="233"/>
      <c r="I1326" s="301"/>
    </row>
    <row r="1327" spans="2:9" s="297" customFormat="1" ht="21" customHeight="1">
      <c r="B1327" s="305"/>
      <c r="C1327" s="305"/>
      <c r="D1327" s="234"/>
      <c r="E1327" s="311"/>
      <c r="F1327" s="307"/>
      <c r="G1327" s="232"/>
      <c r="H1327" s="233"/>
      <c r="I1327" s="301"/>
    </row>
    <row r="1328" spans="2:9" s="297" customFormat="1" ht="21" customHeight="1">
      <c r="B1328" s="305"/>
      <c r="C1328" s="305"/>
      <c r="D1328" s="234"/>
      <c r="E1328" s="311"/>
      <c r="F1328" s="307"/>
      <c r="G1328" s="232"/>
      <c r="H1328" s="233"/>
      <c r="I1328" s="301"/>
    </row>
    <row r="1329" spans="2:9" s="297" customFormat="1" ht="21" customHeight="1">
      <c r="B1329" s="305"/>
      <c r="C1329" s="305"/>
      <c r="D1329" s="234"/>
      <c r="E1329" s="311"/>
      <c r="F1329" s="307"/>
      <c r="G1329" s="232"/>
      <c r="H1329" s="232"/>
      <c r="I1329" s="301"/>
    </row>
    <row r="1330" spans="2:9" s="297" customFormat="1" ht="21" customHeight="1">
      <c r="B1330" s="305"/>
      <c r="C1330" s="305"/>
      <c r="D1330" s="234"/>
      <c r="E1330" s="307"/>
      <c r="F1330" s="307"/>
      <c r="G1330" s="232"/>
      <c r="H1330" s="232"/>
      <c r="I1330" s="301"/>
    </row>
    <row r="1331" spans="2:9" s="297" customFormat="1" ht="21" customHeight="1">
      <c r="B1331" s="305"/>
      <c r="C1331" s="305"/>
      <c r="D1331" s="234"/>
      <c r="E1331" s="307"/>
      <c r="F1331" s="307"/>
      <c r="G1331" s="308"/>
      <c r="H1331" s="233"/>
      <c r="I1331" s="301"/>
    </row>
    <row r="1332" spans="2:9" s="297" customFormat="1" ht="21" customHeight="1">
      <c r="B1332" s="305"/>
      <c r="C1332" s="305"/>
      <c r="D1332" s="234"/>
      <c r="E1332" s="307"/>
      <c r="F1332" s="307"/>
      <c r="G1332" s="308"/>
      <c r="H1332" s="233"/>
      <c r="I1332" s="301"/>
    </row>
    <row r="1333" spans="2:9" s="297" customFormat="1" ht="21" customHeight="1">
      <c r="B1333" s="305"/>
      <c r="C1333" s="305"/>
      <c r="D1333" s="234"/>
      <c r="E1333" s="307"/>
      <c r="F1333" s="307"/>
      <c r="G1333" s="308"/>
      <c r="H1333" s="233"/>
      <c r="I1333" s="301"/>
    </row>
    <row r="1334" spans="2:9" s="297" customFormat="1" ht="21" customHeight="1">
      <c r="B1334" s="312" t="s">
        <v>835</v>
      </c>
      <c r="C1334" s="305"/>
      <c r="D1334" s="234"/>
      <c r="E1334" s="307"/>
      <c r="F1334" s="307"/>
      <c r="G1334" s="232"/>
      <c r="H1334" s="233"/>
      <c r="I1334" s="301"/>
    </row>
    <row r="1335" spans="2:9" s="297" customFormat="1" ht="21" customHeight="1">
      <c r="B1335" s="305"/>
      <c r="C1335" s="305" t="s">
        <v>64</v>
      </c>
      <c r="D1335" s="234" t="s">
        <v>836</v>
      </c>
      <c r="E1335" s="307">
        <v>5.0999999999999997E-2</v>
      </c>
      <c r="F1335" s="307"/>
      <c r="G1335" s="232"/>
      <c r="H1335" s="233"/>
      <c r="I1335" s="301"/>
    </row>
    <row r="1336" spans="2:9" s="297" customFormat="1" ht="21" customHeight="1">
      <c r="B1336" s="305"/>
      <c r="C1336" s="305"/>
      <c r="D1336" s="234"/>
      <c r="E1336" s="306"/>
      <c r="F1336" s="306"/>
      <c r="G1336" s="232"/>
      <c r="H1336" s="232"/>
      <c r="I1336" s="301"/>
    </row>
    <row r="1337" spans="2:9" s="297" customFormat="1" ht="21" customHeight="1">
      <c r="B1337" s="305"/>
      <c r="C1337" s="305"/>
      <c r="D1337" s="234"/>
      <c r="E1337" s="306"/>
      <c r="F1337" s="306"/>
      <c r="G1337" s="308"/>
      <c r="H1337" s="233"/>
      <c r="I1337" s="301"/>
    </row>
    <row r="1338" spans="2:9" s="297" customFormat="1" ht="21" customHeight="1">
      <c r="B1338" s="305"/>
      <c r="C1338" s="305"/>
      <c r="D1338" s="234"/>
      <c r="E1338" s="306"/>
      <c r="F1338" s="306"/>
      <c r="G1338" s="308"/>
      <c r="H1338" s="233"/>
      <c r="I1338" s="301"/>
    </row>
    <row r="1339" spans="2:9" s="297" customFormat="1" ht="21" customHeight="1">
      <c r="B1339" s="305"/>
      <c r="C1339" s="305"/>
      <c r="D1339" s="234"/>
      <c r="E1339" s="306"/>
      <c r="F1339" s="306"/>
      <c r="G1339" s="308"/>
      <c r="H1339" s="233"/>
      <c r="I1339" s="301"/>
    </row>
    <row r="1340" spans="2:9" s="297" customFormat="1" ht="21" customHeight="1">
      <c r="B1340" s="312" t="s">
        <v>837</v>
      </c>
      <c r="C1340" s="305"/>
      <c r="D1340" s="234"/>
      <c r="E1340" s="307"/>
      <c r="F1340" s="307"/>
      <c r="G1340" s="232"/>
      <c r="H1340" s="233"/>
      <c r="I1340" s="301"/>
    </row>
    <row r="1341" spans="2:9" s="297" customFormat="1" ht="21" customHeight="1">
      <c r="B1341" s="305"/>
      <c r="C1341" s="305" t="s">
        <v>64</v>
      </c>
      <c r="D1341" s="234" t="s">
        <v>836</v>
      </c>
      <c r="E1341" s="307">
        <v>2E-3</v>
      </c>
      <c r="F1341" s="307"/>
      <c r="G1341" s="232"/>
      <c r="H1341" s="233"/>
      <c r="I1341" s="301"/>
    </row>
    <row r="1342" spans="2:9" s="297" customFormat="1" ht="21" customHeight="1">
      <c r="B1342" s="305"/>
      <c r="C1342" s="305"/>
      <c r="D1342" s="234"/>
      <c r="E1342" s="306"/>
      <c r="F1342" s="306"/>
      <c r="G1342" s="232"/>
      <c r="H1342" s="232"/>
      <c r="I1342" s="301"/>
    </row>
    <row r="1343" spans="2:9" s="297" customFormat="1" ht="21" customHeight="1">
      <c r="B1343" s="305"/>
      <c r="C1343" s="305"/>
      <c r="D1343" s="234"/>
      <c r="E1343" s="306"/>
      <c r="F1343" s="306"/>
      <c r="G1343" s="308"/>
      <c r="H1343" s="233"/>
      <c r="I1343" s="301"/>
    </row>
    <row r="1344" spans="2:9" s="297" customFormat="1" ht="21" customHeight="1">
      <c r="B1344" s="305"/>
      <c r="C1344" s="305"/>
      <c r="D1344" s="234"/>
      <c r="E1344" s="306"/>
      <c r="F1344" s="306"/>
      <c r="G1344" s="308"/>
      <c r="H1344" s="233"/>
      <c r="I1344" s="301"/>
    </row>
    <row r="1345" spans="2:9" s="297" customFormat="1" ht="21" customHeight="1">
      <c r="B1345" s="305"/>
      <c r="C1345" s="305"/>
      <c r="D1345" s="234"/>
      <c r="E1345" s="306"/>
      <c r="F1345" s="306"/>
      <c r="G1345" s="308"/>
      <c r="H1345" s="233"/>
      <c r="I1345" s="301"/>
    </row>
    <row r="1346" spans="2:9" s="297" customFormat="1" ht="21" customHeight="1">
      <c r="B1346" s="305"/>
      <c r="C1346" s="305"/>
      <c r="D1346" s="234"/>
      <c r="E1346" s="306"/>
      <c r="F1346" s="306"/>
      <c r="G1346" s="308"/>
      <c r="H1346" s="233"/>
      <c r="I1346" s="301"/>
    </row>
    <row r="1347" spans="2:9" s="297" customFormat="1" ht="21" customHeight="1">
      <c r="B1347" s="300" t="str">
        <f>'5. 공종별예산조서'!$A$99</f>
        <v>3-12. 스위치 철거</v>
      </c>
      <c r="C1347" s="300" t="str">
        <f>'5. 공종별예산조서'!$B$99</f>
        <v>단로, 6구</v>
      </c>
      <c r="D1347" s="301" t="str">
        <f>'5. 공종별예산조서'!$C$99</f>
        <v>개</v>
      </c>
      <c r="E1347" s="309">
        <f>'5. 공종별예산조서'!$D$99</f>
        <v>1</v>
      </c>
      <c r="F1347" s="302"/>
      <c r="G1347" s="303"/>
      <c r="H1347" s="304"/>
      <c r="I1347" s="301"/>
    </row>
    <row r="1348" spans="2:9" s="297" customFormat="1" ht="21" customHeight="1">
      <c r="B1348" s="312" t="s">
        <v>834</v>
      </c>
      <c r="C1348" s="305"/>
      <c r="D1348" s="234"/>
      <c r="E1348" s="310"/>
      <c r="F1348" s="306"/>
      <c r="G1348" s="232"/>
      <c r="H1348" s="233"/>
      <c r="I1348" s="301"/>
    </row>
    <row r="1349" spans="2:9" s="297" customFormat="1" ht="21" customHeight="1">
      <c r="B1349" s="305" t="s">
        <v>850</v>
      </c>
      <c r="C1349" s="305" t="str">
        <f>C1347</f>
        <v>단로, 6구</v>
      </c>
      <c r="D1349" s="234" t="str">
        <f>D1347</f>
        <v>개</v>
      </c>
      <c r="E1349" s="311">
        <f>E1347</f>
        <v>1</v>
      </c>
      <c r="F1349" s="307"/>
      <c r="G1349" s="232"/>
      <c r="H1349" s="233"/>
      <c r="I1349" s="301"/>
    </row>
    <row r="1350" spans="2:9" s="297" customFormat="1" ht="21" customHeight="1">
      <c r="B1350" s="305"/>
      <c r="C1350" s="305"/>
      <c r="D1350" s="234"/>
      <c r="E1350" s="311"/>
      <c r="F1350" s="307"/>
      <c r="G1350" s="232"/>
      <c r="H1350" s="233"/>
      <c r="I1350" s="301"/>
    </row>
    <row r="1351" spans="2:9" s="297" customFormat="1" ht="21" customHeight="1">
      <c r="B1351" s="305"/>
      <c r="C1351" s="305"/>
      <c r="D1351" s="234"/>
      <c r="E1351" s="311"/>
      <c r="F1351" s="307"/>
      <c r="G1351" s="232"/>
      <c r="H1351" s="233"/>
      <c r="I1351" s="301"/>
    </row>
    <row r="1352" spans="2:9" s="297" customFormat="1" ht="21" customHeight="1">
      <c r="B1352" s="305"/>
      <c r="C1352" s="305"/>
      <c r="D1352" s="234"/>
      <c r="E1352" s="311"/>
      <c r="F1352" s="307"/>
      <c r="G1352" s="232"/>
      <c r="H1352" s="233"/>
      <c r="I1352" s="301"/>
    </row>
    <row r="1353" spans="2:9" s="297" customFormat="1" ht="21" customHeight="1">
      <c r="B1353" s="305"/>
      <c r="C1353" s="305"/>
      <c r="D1353" s="234"/>
      <c r="E1353" s="311"/>
      <c r="F1353" s="307"/>
      <c r="G1353" s="232"/>
      <c r="H1353" s="233"/>
      <c r="I1353" s="301"/>
    </row>
    <row r="1354" spans="2:9" s="297" customFormat="1" ht="21" customHeight="1">
      <c r="B1354" s="305"/>
      <c r="C1354" s="305"/>
      <c r="D1354" s="234"/>
      <c r="E1354" s="307"/>
      <c r="F1354" s="307"/>
      <c r="G1354" s="232"/>
      <c r="H1354" s="232"/>
      <c r="I1354" s="301"/>
    </row>
    <row r="1355" spans="2:9" s="297" customFormat="1" ht="21" customHeight="1">
      <c r="B1355" s="305"/>
      <c r="C1355" s="305"/>
      <c r="D1355" s="234"/>
      <c r="E1355" s="307"/>
      <c r="F1355" s="307"/>
      <c r="G1355" s="308"/>
      <c r="H1355" s="233"/>
      <c r="I1355" s="301"/>
    </row>
    <row r="1356" spans="2:9" s="297" customFormat="1" ht="21" customHeight="1">
      <c r="B1356" s="305"/>
      <c r="C1356" s="305"/>
      <c r="D1356" s="234"/>
      <c r="E1356" s="307"/>
      <c r="F1356" s="307"/>
      <c r="G1356" s="308"/>
      <c r="H1356" s="233"/>
      <c r="I1356" s="301"/>
    </row>
    <row r="1357" spans="2:9" s="297" customFormat="1" ht="21" customHeight="1">
      <c r="B1357" s="305"/>
      <c r="C1357" s="305"/>
      <c r="D1357" s="234"/>
      <c r="E1357" s="307"/>
      <c r="F1357" s="307"/>
      <c r="G1357" s="308"/>
      <c r="H1357" s="233"/>
      <c r="I1357" s="301"/>
    </row>
    <row r="1358" spans="2:9" s="297" customFormat="1" ht="21" customHeight="1">
      <c r="B1358" s="305"/>
      <c r="C1358" s="305"/>
      <c r="D1358" s="234"/>
      <c r="E1358" s="307"/>
      <c r="F1358" s="307"/>
      <c r="G1358" s="308"/>
      <c r="H1358" s="233"/>
      <c r="I1358" s="301"/>
    </row>
    <row r="1359" spans="2:9" s="297" customFormat="1" ht="21" customHeight="1">
      <c r="B1359" s="312" t="s">
        <v>835</v>
      </c>
      <c r="C1359" s="305"/>
      <c r="D1359" s="234"/>
      <c r="E1359" s="307"/>
      <c r="F1359" s="307"/>
      <c r="G1359" s="232"/>
      <c r="H1359" s="233"/>
      <c r="I1359" s="301"/>
    </row>
    <row r="1360" spans="2:9" s="297" customFormat="1" ht="21" customHeight="1">
      <c r="B1360" s="305"/>
      <c r="C1360" s="305" t="s">
        <v>64</v>
      </c>
      <c r="D1360" s="234" t="s">
        <v>836</v>
      </c>
      <c r="E1360" s="307">
        <v>2.5999999999999999E-2</v>
      </c>
      <c r="F1360" s="307"/>
      <c r="G1360" s="232"/>
      <c r="H1360" s="233"/>
      <c r="I1360" s="301"/>
    </row>
    <row r="1361" spans="2:9" s="297" customFormat="1" ht="21" customHeight="1">
      <c r="B1361" s="305"/>
      <c r="C1361" s="305"/>
      <c r="D1361" s="234"/>
      <c r="E1361" s="306"/>
      <c r="F1361" s="306"/>
      <c r="G1361" s="232"/>
      <c r="H1361" s="232"/>
      <c r="I1361" s="301"/>
    </row>
    <row r="1362" spans="2:9" s="297" customFormat="1" ht="21" customHeight="1">
      <c r="B1362" s="305"/>
      <c r="C1362" s="305"/>
      <c r="D1362" s="234"/>
      <c r="E1362" s="306"/>
      <c r="F1362" s="306"/>
      <c r="G1362" s="308"/>
      <c r="H1362" s="233"/>
      <c r="I1362" s="301"/>
    </row>
    <row r="1363" spans="2:9" s="297" customFormat="1" ht="21" customHeight="1">
      <c r="B1363" s="305"/>
      <c r="C1363" s="305"/>
      <c r="D1363" s="234"/>
      <c r="E1363" s="306"/>
      <c r="F1363" s="306"/>
      <c r="G1363" s="308"/>
      <c r="H1363" s="233"/>
      <c r="I1363" s="301"/>
    </row>
    <row r="1364" spans="2:9" s="297" customFormat="1" ht="21" customHeight="1">
      <c r="B1364" s="305"/>
      <c r="C1364" s="305"/>
      <c r="D1364" s="234"/>
      <c r="E1364" s="306"/>
      <c r="F1364" s="306"/>
      <c r="G1364" s="308"/>
      <c r="H1364" s="233"/>
      <c r="I1364" s="301"/>
    </row>
    <row r="1365" spans="2:9" s="297" customFormat="1" ht="21" customHeight="1">
      <c r="B1365" s="312" t="s">
        <v>837</v>
      </c>
      <c r="C1365" s="305"/>
      <c r="D1365" s="234"/>
      <c r="E1365" s="307"/>
      <c r="F1365" s="307"/>
      <c r="G1365" s="232"/>
      <c r="H1365" s="233"/>
      <c r="I1365" s="301"/>
    </row>
    <row r="1366" spans="2:9" s="297" customFormat="1" ht="21" customHeight="1">
      <c r="B1366" s="305"/>
      <c r="C1366" s="305" t="s">
        <v>64</v>
      </c>
      <c r="D1366" s="234" t="s">
        <v>836</v>
      </c>
      <c r="E1366" s="307">
        <v>1E-3</v>
      </c>
      <c r="F1366" s="307"/>
      <c r="G1366" s="232"/>
      <c r="H1366" s="233"/>
      <c r="I1366" s="301"/>
    </row>
    <row r="1367" spans="2:9" s="297" customFormat="1" ht="21" customHeight="1">
      <c r="B1367" s="305"/>
      <c r="C1367" s="305"/>
      <c r="D1367" s="234"/>
      <c r="E1367" s="306"/>
      <c r="F1367" s="306"/>
      <c r="G1367" s="232"/>
      <c r="H1367" s="232"/>
      <c r="I1367" s="301"/>
    </row>
    <row r="1368" spans="2:9" s="297" customFormat="1" ht="21" customHeight="1">
      <c r="B1368" s="305"/>
      <c r="C1368" s="305"/>
      <c r="D1368" s="234"/>
      <c r="E1368" s="306"/>
      <c r="F1368" s="306"/>
      <c r="G1368" s="308"/>
      <c r="H1368" s="233"/>
      <c r="I1368" s="301"/>
    </row>
    <row r="1369" spans="2:9" s="297" customFormat="1" ht="21" customHeight="1">
      <c r="B1369" s="305"/>
      <c r="C1369" s="305"/>
      <c r="D1369" s="234"/>
      <c r="E1369" s="306"/>
      <c r="F1369" s="306"/>
      <c r="G1369" s="308"/>
      <c r="H1369" s="233"/>
      <c r="I1369" s="301"/>
    </row>
    <row r="1370" spans="2:9" s="297" customFormat="1" ht="21" customHeight="1">
      <c r="B1370" s="305"/>
      <c r="C1370" s="305"/>
      <c r="D1370" s="234"/>
      <c r="E1370" s="306"/>
      <c r="F1370" s="306"/>
      <c r="G1370" s="308"/>
      <c r="H1370" s="233"/>
      <c r="I1370" s="301"/>
    </row>
    <row r="1371" spans="2:9" s="297" customFormat="1" ht="21" customHeight="1">
      <c r="B1371" s="300" t="str">
        <f>'5. 공종별예산조서'!$A$100</f>
        <v>3-13. 합성수지제가요전선관 신설</v>
      </c>
      <c r="C1371" s="300" t="str">
        <f>'5. 공종별예산조서'!$B$100</f>
        <v>CD-난연성, 16C</v>
      </c>
      <c r="D1371" s="301" t="str">
        <f>'5. 공종별예산조서'!$C$100</f>
        <v>M</v>
      </c>
      <c r="E1371" s="309">
        <f>'5. 공종별예산조서'!$D$100</f>
        <v>24</v>
      </c>
      <c r="F1371" s="302"/>
      <c r="G1371" s="303"/>
      <c r="H1371" s="304"/>
      <c r="I1371" s="301"/>
    </row>
    <row r="1372" spans="2:9" s="297" customFormat="1" ht="21" customHeight="1">
      <c r="B1372" s="312" t="s">
        <v>834</v>
      </c>
      <c r="C1372" s="305"/>
      <c r="D1372" s="234"/>
      <c r="E1372" s="310"/>
      <c r="F1372" s="306"/>
      <c r="G1372" s="232"/>
      <c r="H1372" s="233"/>
      <c r="I1372" s="301"/>
    </row>
    <row r="1373" spans="2:9" s="297" customFormat="1" ht="21" customHeight="1">
      <c r="B1373" s="305" t="s">
        <v>1116</v>
      </c>
      <c r="C1373" s="305" t="str">
        <f>C1371</f>
        <v>CD-난연성, 16C</v>
      </c>
      <c r="D1373" s="234" t="str">
        <f>D1371</f>
        <v>M</v>
      </c>
      <c r="E1373" s="311">
        <f>E1371</f>
        <v>24</v>
      </c>
      <c r="F1373" s="307"/>
      <c r="G1373" s="232"/>
      <c r="H1373" s="233"/>
      <c r="I1373" s="301"/>
    </row>
    <row r="1374" spans="2:9" s="297" customFormat="1" ht="21" customHeight="1">
      <c r="B1374" s="305" t="s">
        <v>1133</v>
      </c>
      <c r="C1374" s="305" t="s">
        <v>1134</v>
      </c>
      <c r="D1374" s="234" t="s">
        <v>1135</v>
      </c>
      <c r="E1374" s="311">
        <v>1</v>
      </c>
      <c r="F1374" s="307"/>
      <c r="G1374" s="232"/>
      <c r="H1374" s="233"/>
      <c r="I1374" s="301"/>
    </row>
    <row r="1375" spans="2:9" s="297" customFormat="1" ht="21" customHeight="1">
      <c r="B1375" s="305"/>
      <c r="C1375" s="305"/>
      <c r="D1375" s="234"/>
      <c r="E1375" s="311"/>
      <c r="F1375" s="307"/>
      <c r="G1375" s="232"/>
      <c r="H1375" s="233"/>
      <c r="I1375" s="301"/>
    </row>
    <row r="1376" spans="2:9" s="297" customFormat="1" ht="21" customHeight="1">
      <c r="B1376" s="305"/>
      <c r="C1376" s="305"/>
      <c r="D1376" s="234"/>
      <c r="E1376" s="311"/>
      <c r="F1376" s="307"/>
      <c r="G1376" s="232"/>
      <c r="H1376" s="233"/>
      <c r="I1376" s="301"/>
    </row>
    <row r="1377" spans="2:9" s="297" customFormat="1" ht="21" customHeight="1">
      <c r="B1377" s="305"/>
      <c r="C1377" s="305"/>
      <c r="D1377" s="234"/>
      <c r="E1377" s="311"/>
      <c r="F1377" s="307"/>
      <c r="G1377" s="232"/>
      <c r="H1377" s="233"/>
      <c r="I1377" s="301"/>
    </row>
    <row r="1378" spans="2:9" s="297" customFormat="1" ht="21" customHeight="1">
      <c r="B1378" s="305"/>
      <c r="C1378" s="305"/>
      <c r="D1378" s="234"/>
      <c r="E1378" s="307"/>
      <c r="F1378" s="307"/>
      <c r="G1378" s="232"/>
      <c r="H1378" s="232"/>
      <c r="I1378" s="301"/>
    </row>
    <row r="1379" spans="2:9" s="297" customFormat="1" ht="21" customHeight="1">
      <c r="B1379" s="305"/>
      <c r="C1379" s="305"/>
      <c r="D1379" s="234"/>
      <c r="E1379" s="307"/>
      <c r="F1379" s="307"/>
      <c r="G1379" s="308"/>
      <c r="H1379" s="233"/>
      <c r="I1379" s="301"/>
    </row>
    <row r="1380" spans="2:9" s="297" customFormat="1" ht="21" customHeight="1">
      <c r="B1380" s="305"/>
      <c r="C1380" s="305"/>
      <c r="D1380" s="234"/>
      <c r="E1380" s="307"/>
      <c r="F1380" s="307"/>
      <c r="G1380" s="308"/>
      <c r="H1380" s="233"/>
      <c r="I1380" s="301"/>
    </row>
    <row r="1381" spans="2:9" s="297" customFormat="1" ht="21" customHeight="1">
      <c r="B1381" s="305"/>
      <c r="C1381" s="305"/>
      <c r="D1381" s="234"/>
      <c r="E1381" s="307"/>
      <c r="F1381" s="307"/>
      <c r="G1381" s="308"/>
      <c r="H1381" s="233"/>
      <c r="I1381" s="301"/>
    </row>
    <row r="1382" spans="2:9" s="297" customFormat="1" ht="21" customHeight="1">
      <c r="B1382" s="305"/>
      <c r="C1382" s="305"/>
      <c r="D1382" s="234"/>
      <c r="E1382" s="307"/>
      <c r="F1382" s="307"/>
      <c r="G1382" s="308"/>
      <c r="H1382" s="233"/>
      <c r="I1382" s="301"/>
    </row>
    <row r="1383" spans="2:9" s="297" customFormat="1" ht="21" customHeight="1">
      <c r="B1383" s="312" t="s">
        <v>835</v>
      </c>
      <c r="C1383" s="305"/>
      <c r="D1383" s="234"/>
      <c r="E1383" s="307"/>
      <c r="F1383" s="307"/>
      <c r="G1383" s="232"/>
      <c r="H1383" s="233"/>
      <c r="I1383" s="301"/>
    </row>
    <row r="1384" spans="2:9" s="297" customFormat="1" ht="21" customHeight="1">
      <c r="B1384" s="305"/>
      <c r="C1384" s="305" t="s">
        <v>64</v>
      </c>
      <c r="D1384" s="234" t="s">
        <v>836</v>
      </c>
      <c r="E1384" s="307">
        <v>0.86399999999999999</v>
      </c>
      <c r="F1384" s="307"/>
      <c r="G1384" s="232"/>
      <c r="H1384" s="233"/>
      <c r="I1384" s="301"/>
    </row>
    <row r="1385" spans="2:9" s="297" customFormat="1" ht="21" customHeight="1">
      <c r="B1385" s="305"/>
      <c r="C1385" s="305"/>
      <c r="D1385" s="234"/>
      <c r="E1385" s="306"/>
      <c r="F1385" s="306"/>
      <c r="G1385" s="232"/>
      <c r="H1385" s="232"/>
      <c r="I1385" s="301"/>
    </row>
    <row r="1386" spans="2:9" s="297" customFormat="1" ht="21" customHeight="1">
      <c r="B1386" s="305"/>
      <c r="C1386" s="305"/>
      <c r="D1386" s="234"/>
      <c r="E1386" s="306"/>
      <c r="F1386" s="306"/>
      <c r="G1386" s="308"/>
      <c r="H1386" s="233"/>
      <c r="I1386" s="301"/>
    </row>
    <row r="1387" spans="2:9" s="297" customFormat="1" ht="21" customHeight="1">
      <c r="B1387" s="305"/>
      <c r="C1387" s="305"/>
      <c r="D1387" s="234"/>
      <c r="E1387" s="306"/>
      <c r="F1387" s="306"/>
      <c r="G1387" s="308"/>
      <c r="H1387" s="233"/>
      <c r="I1387" s="301"/>
    </row>
    <row r="1388" spans="2:9" s="297" customFormat="1" ht="21" customHeight="1">
      <c r="B1388" s="305"/>
      <c r="C1388" s="305"/>
      <c r="D1388" s="234"/>
      <c r="E1388" s="306"/>
      <c r="F1388" s="306"/>
      <c r="G1388" s="308"/>
      <c r="H1388" s="233"/>
      <c r="I1388" s="301"/>
    </row>
    <row r="1389" spans="2:9" s="297" customFormat="1" ht="21" customHeight="1">
      <c r="B1389" s="312" t="s">
        <v>837</v>
      </c>
      <c r="C1389" s="305"/>
      <c r="D1389" s="234"/>
      <c r="E1389" s="307"/>
      <c r="F1389" s="307"/>
      <c r="G1389" s="232"/>
      <c r="H1389" s="233"/>
      <c r="I1389" s="301"/>
    </row>
    <row r="1390" spans="2:9" s="297" customFormat="1" ht="21" customHeight="1">
      <c r="B1390" s="305"/>
      <c r="C1390" s="305" t="s">
        <v>64</v>
      </c>
      <c r="D1390" s="234" t="s">
        <v>836</v>
      </c>
      <c r="E1390" s="307">
        <v>2.5999999999999999E-2</v>
      </c>
      <c r="F1390" s="307"/>
      <c r="G1390" s="232"/>
      <c r="H1390" s="233"/>
      <c r="I1390" s="301"/>
    </row>
    <row r="1391" spans="2:9" s="297" customFormat="1" ht="21" customHeight="1">
      <c r="B1391" s="305"/>
      <c r="C1391" s="305"/>
      <c r="D1391" s="234"/>
      <c r="E1391" s="306"/>
      <c r="F1391" s="306"/>
      <c r="G1391" s="232"/>
      <c r="H1391" s="232"/>
      <c r="I1391" s="301"/>
    </row>
    <row r="1392" spans="2:9" s="297" customFormat="1" ht="21" customHeight="1">
      <c r="B1392" s="305"/>
      <c r="C1392" s="305"/>
      <c r="D1392" s="234"/>
      <c r="E1392" s="306"/>
      <c r="F1392" s="306"/>
      <c r="G1392" s="308"/>
      <c r="H1392" s="233"/>
      <c r="I1392" s="301"/>
    </row>
    <row r="1393" spans="2:9" s="297" customFormat="1" ht="21" customHeight="1">
      <c r="B1393" s="305"/>
      <c r="C1393" s="305"/>
      <c r="D1393" s="234"/>
      <c r="E1393" s="306"/>
      <c r="F1393" s="306"/>
      <c r="G1393" s="308"/>
      <c r="H1393" s="233"/>
      <c r="I1393" s="301"/>
    </row>
    <row r="1394" spans="2:9" s="297" customFormat="1" ht="21" customHeight="1">
      <c r="B1394" s="305"/>
      <c r="C1394" s="305"/>
      <c r="D1394" s="234"/>
      <c r="E1394" s="306"/>
      <c r="F1394" s="306"/>
      <c r="G1394" s="308"/>
      <c r="H1394" s="233"/>
      <c r="I1394" s="301"/>
    </row>
    <row r="1395" spans="2:9" s="297" customFormat="1" ht="21" customHeight="1">
      <c r="B1395" s="300" t="str">
        <f>'5. 공종별예산조서'!$A$101</f>
        <v>3-14. 1종금속제가요전선관 신설</v>
      </c>
      <c r="C1395" s="300" t="str">
        <f>'5. 공종별예산조서'!$B$101</f>
        <v>일반, 16C</v>
      </c>
      <c r="D1395" s="301" t="str">
        <f>'5. 공종별예산조서'!$C$101</f>
        <v>M</v>
      </c>
      <c r="E1395" s="309">
        <f>'5. 공종별예산조서'!$D$101</f>
        <v>906</v>
      </c>
      <c r="F1395" s="302"/>
      <c r="G1395" s="303"/>
      <c r="H1395" s="304"/>
      <c r="I1395" s="301"/>
    </row>
    <row r="1396" spans="2:9" s="297" customFormat="1" ht="21" customHeight="1">
      <c r="B1396" s="312" t="s">
        <v>834</v>
      </c>
      <c r="C1396" s="305"/>
      <c r="D1396" s="234"/>
      <c r="E1396" s="310"/>
      <c r="F1396" s="306"/>
      <c r="G1396" s="232"/>
      <c r="H1396" s="233"/>
      <c r="I1396" s="301"/>
    </row>
    <row r="1397" spans="2:9" s="297" customFormat="1" ht="21" customHeight="1">
      <c r="B1397" s="305" t="s">
        <v>1084</v>
      </c>
      <c r="C1397" s="305" t="str">
        <f>C1395</f>
        <v>일반, 16C</v>
      </c>
      <c r="D1397" s="234" t="str">
        <f>D1395</f>
        <v>M</v>
      </c>
      <c r="E1397" s="311">
        <f>E1395</f>
        <v>906</v>
      </c>
      <c r="F1397" s="307"/>
      <c r="G1397" s="232"/>
      <c r="H1397" s="233"/>
      <c r="I1397" s="301"/>
    </row>
    <row r="1398" spans="2:9" s="297" customFormat="1" ht="21" customHeight="1">
      <c r="B1398" s="305" t="s">
        <v>1133</v>
      </c>
      <c r="C1398" s="305" t="s">
        <v>1134</v>
      </c>
      <c r="D1398" s="234" t="s">
        <v>1135</v>
      </c>
      <c r="E1398" s="311">
        <v>1</v>
      </c>
      <c r="F1398" s="307"/>
      <c r="G1398" s="232"/>
      <c r="H1398" s="233"/>
      <c r="I1398" s="301"/>
    </row>
    <row r="1399" spans="2:9" s="297" customFormat="1" ht="21" customHeight="1">
      <c r="B1399" s="305"/>
      <c r="C1399" s="305"/>
      <c r="D1399" s="234"/>
      <c r="E1399" s="311"/>
      <c r="F1399" s="307"/>
      <c r="G1399" s="232"/>
      <c r="H1399" s="233"/>
      <c r="I1399" s="301"/>
    </row>
    <row r="1400" spans="2:9" s="297" customFormat="1" ht="21" customHeight="1">
      <c r="B1400" s="305"/>
      <c r="C1400" s="305"/>
      <c r="D1400" s="234"/>
      <c r="E1400" s="311"/>
      <c r="F1400" s="307"/>
      <c r="G1400" s="232"/>
      <c r="H1400" s="233"/>
      <c r="I1400" s="301"/>
    </row>
    <row r="1401" spans="2:9" s="297" customFormat="1" ht="21" customHeight="1">
      <c r="B1401" s="305"/>
      <c r="C1401" s="305"/>
      <c r="D1401" s="234"/>
      <c r="E1401" s="311"/>
      <c r="F1401" s="307"/>
      <c r="G1401" s="232"/>
      <c r="H1401" s="233"/>
      <c r="I1401" s="301"/>
    </row>
    <row r="1402" spans="2:9" s="297" customFormat="1" ht="21" customHeight="1">
      <c r="B1402" s="305"/>
      <c r="C1402" s="305"/>
      <c r="D1402" s="234"/>
      <c r="E1402" s="307"/>
      <c r="F1402" s="307"/>
      <c r="G1402" s="232"/>
      <c r="H1402" s="232"/>
      <c r="I1402" s="301"/>
    </row>
    <row r="1403" spans="2:9" s="297" customFormat="1" ht="21" customHeight="1">
      <c r="B1403" s="305"/>
      <c r="C1403" s="305"/>
      <c r="D1403" s="234"/>
      <c r="E1403" s="307"/>
      <c r="F1403" s="307"/>
      <c r="G1403" s="308"/>
      <c r="H1403" s="233"/>
      <c r="I1403" s="301"/>
    </row>
    <row r="1404" spans="2:9" s="297" customFormat="1" ht="21" customHeight="1">
      <c r="B1404" s="305"/>
      <c r="C1404" s="305"/>
      <c r="D1404" s="234"/>
      <c r="E1404" s="307"/>
      <c r="F1404" s="307"/>
      <c r="G1404" s="308"/>
      <c r="H1404" s="233"/>
      <c r="I1404" s="301"/>
    </row>
    <row r="1405" spans="2:9" s="297" customFormat="1" ht="21" customHeight="1">
      <c r="B1405" s="305"/>
      <c r="C1405" s="305"/>
      <c r="D1405" s="234"/>
      <c r="E1405" s="307"/>
      <c r="F1405" s="307"/>
      <c r="G1405" s="308"/>
      <c r="H1405" s="233"/>
      <c r="I1405" s="301"/>
    </row>
    <row r="1406" spans="2:9" s="297" customFormat="1" ht="21" customHeight="1">
      <c r="B1406" s="305"/>
      <c r="C1406" s="305"/>
      <c r="D1406" s="234"/>
      <c r="E1406" s="307"/>
      <c r="F1406" s="307"/>
      <c r="G1406" s="308"/>
      <c r="H1406" s="233"/>
      <c r="I1406" s="301"/>
    </row>
    <row r="1407" spans="2:9" s="297" customFormat="1" ht="21" customHeight="1">
      <c r="B1407" s="312" t="s">
        <v>835</v>
      </c>
      <c r="C1407" s="305"/>
      <c r="D1407" s="234"/>
      <c r="E1407" s="307"/>
      <c r="F1407" s="307"/>
      <c r="G1407" s="232"/>
      <c r="H1407" s="233"/>
      <c r="I1407" s="301"/>
    </row>
    <row r="1408" spans="2:9" s="297" customFormat="1" ht="21" customHeight="1">
      <c r="B1408" s="305"/>
      <c r="C1408" s="305" t="s">
        <v>64</v>
      </c>
      <c r="D1408" s="234" t="s">
        <v>836</v>
      </c>
      <c r="E1408" s="307">
        <v>35.878</v>
      </c>
      <c r="F1408" s="307"/>
      <c r="G1408" s="232"/>
      <c r="H1408" s="233"/>
      <c r="I1408" s="301"/>
    </row>
    <row r="1409" spans="2:9" s="297" customFormat="1" ht="21" customHeight="1">
      <c r="B1409" s="305"/>
      <c r="C1409" s="305"/>
      <c r="D1409" s="234"/>
      <c r="E1409" s="306"/>
      <c r="F1409" s="306"/>
      <c r="G1409" s="232"/>
      <c r="H1409" s="232"/>
      <c r="I1409" s="301"/>
    </row>
    <row r="1410" spans="2:9" s="297" customFormat="1" ht="21" customHeight="1">
      <c r="B1410" s="305"/>
      <c r="C1410" s="305"/>
      <c r="D1410" s="234"/>
      <c r="E1410" s="306"/>
      <c r="F1410" s="306"/>
      <c r="G1410" s="308"/>
      <c r="H1410" s="233"/>
      <c r="I1410" s="301"/>
    </row>
    <row r="1411" spans="2:9" s="297" customFormat="1" ht="21" customHeight="1">
      <c r="B1411" s="305"/>
      <c r="C1411" s="305"/>
      <c r="D1411" s="234"/>
      <c r="E1411" s="306"/>
      <c r="F1411" s="306"/>
      <c r="G1411" s="308"/>
      <c r="H1411" s="233"/>
      <c r="I1411" s="301"/>
    </row>
    <row r="1412" spans="2:9" s="297" customFormat="1" ht="21" customHeight="1">
      <c r="B1412" s="305"/>
      <c r="C1412" s="305"/>
      <c r="D1412" s="234"/>
      <c r="E1412" s="306"/>
      <c r="F1412" s="306"/>
      <c r="G1412" s="308"/>
      <c r="H1412" s="233"/>
      <c r="I1412" s="301"/>
    </row>
    <row r="1413" spans="2:9" s="297" customFormat="1" ht="21" customHeight="1">
      <c r="B1413" s="312" t="s">
        <v>837</v>
      </c>
      <c r="C1413" s="305"/>
      <c r="D1413" s="234"/>
      <c r="E1413" s="307"/>
      <c r="F1413" s="307"/>
      <c r="G1413" s="232"/>
      <c r="H1413" s="233"/>
      <c r="I1413" s="301"/>
    </row>
    <row r="1414" spans="2:9" s="297" customFormat="1" ht="21" customHeight="1">
      <c r="B1414" s="305"/>
      <c r="C1414" s="305" t="s">
        <v>64</v>
      </c>
      <c r="D1414" s="234" t="s">
        <v>836</v>
      </c>
      <c r="E1414" s="307">
        <v>1.0760000000000001</v>
      </c>
      <c r="F1414" s="307"/>
      <c r="G1414" s="232"/>
      <c r="H1414" s="233"/>
      <c r="I1414" s="301"/>
    </row>
    <row r="1415" spans="2:9" s="297" customFormat="1" ht="21" customHeight="1">
      <c r="B1415" s="305"/>
      <c r="C1415" s="305"/>
      <c r="D1415" s="234"/>
      <c r="E1415" s="306"/>
      <c r="F1415" s="306"/>
      <c r="G1415" s="232"/>
      <c r="H1415" s="232"/>
      <c r="I1415" s="301"/>
    </row>
    <row r="1416" spans="2:9" s="297" customFormat="1" ht="21" customHeight="1">
      <c r="B1416" s="305"/>
      <c r="C1416" s="305"/>
      <c r="D1416" s="234"/>
      <c r="E1416" s="306"/>
      <c r="F1416" s="306"/>
      <c r="G1416" s="308"/>
      <c r="H1416" s="233"/>
      <c r="I1416" s="301"/>
    </row>
    <row r="1417" spans="2:9" s="297" customFormat="1" ht="21" customHeight="1">
      <c r="B1417" s="305"/>
      <c r="C1417" s="305"/>
      <c r="D1417" s="234"/>
      <c r="E1417" s="306"/>
      <c r="F1417" s="306"/>
      <c r="G1417" s="308"/>
      <c r="H1417" s="233"/>
      <c r="I1417" s="301"/>
    </row>
    <row r="1418" spans="2:9" s="297" customFormat="1" ht="21" customHeight="1">
      <c r="B1418" s="305"/>
      <c r="C1418" s="305"/>
      <c r="D1418" s="234"/>
      <c r="E1418" s="306"/>
      <c r="F1418" s="306"/>
      <c r="G1418" s="308"/>
      <c r="H1418" s="233"/>
      <c r="I1418" s="301"/>
    </row>
    <row r="1419" spans="2:9" s="297" customFormat="1" ht="21" customHeight="1">
      <c r="B1419" s="300" t="str">
        <f>'5. 공종별예산조서'!$A$102</f>
        <v>3-15. 1종금속제가요전선관 신설</v>
      </c>
      <c r="C1419" s="300" t="str">
        <f>'5. 공종별예산조서'!$B$102</f>
        <v>일반, 22C</v>
      </c>
      <c r="D1419" s="301" t="str">
        <f>'5. 공종별예산조서'!$C$102</f>
        <v>M</v>
      </c>
      <c r="E1419" s="309">
        <f>'5. 공종별예산조서'!$D$102</f>
        <v>53</v>
      </c>
      <c r="F1419" s="302"/>
      <c r="G1419" s="303"/>
      <c r="H1419" s="304"/>
      <c r="I1419" s="301"/>
    </row>
    <row r="1420" spans="2:9" s="297" customFormat="1" ht="21" customHeight="1">
      <c r="B1420" s="312" t="s">
        <v>834</v>
      </c>
      <c r="C1420" s="305"/>
      <c r="D1420" s="234"/>
      <c r="E1420" s="310"/>
      <c r="F1420" s="306"/>
      <c r="G1420" s="232"/>
      <c r="H1420" s="233"/>
      <c r="I1420" s="301"/>
    </row>
    <row r="1421" spans="2:9" s="297" customFormat="1" ht="21" customHeight="1">
      <c r="B1421" s="305" t="s">
        <v>1084</v>
      </c>
      <c r="C1421" s="305" t="str">
        <f>C1419</f>
        <v>일반, 22C</v>
      </c>
      <c r="D1421" s="234" t="str">
        <f>D1419</f>
        <v>M</v>
      </c>
      <c r="E1421" s="311">
        <f>E1419</f>
        <v>53</v>
      </c>
      <c r="F1421" s="307"/>
      <c r="G1421" s="232"/>
      <c r="H1421" s="233"/>
      <c r="I1421" s="301"/>
    </row>
    <row r="1422" spans="2:9" s="297" customFormat="1" ht="21" customHeight="1">
      <c r="B1422" s="305" t="s">
        <v>1133</v>
      </c>
      <c r="C1422" s="305" t="s">
        <v>1134</v>
      </c>
      <c r="D1422" s="234" t="s">
        <v>1135</v>
      </c>
      <c r="E1422" s="311">
        <v>1</v>
      </c>
      <c r="F1422" s="307"/>
      <c r="G1422" s="232"/>
      <c r="H1422" s="233"/>
      <c r="I1422" s="301"/>
    </row>
    <row r="1423" spans="2:9" s="297" customFormat="1" ht="21" customHeight="1">
      <c r="B1423" s="305"/>
      <c r="C1423" s="305"/>
      <c r="D1423" s="234"/>
      <c r="E1423" s="307"/>
      <c r="F1423" s="307"/>
      <c r="G1423" s="232"/>
      <c r="H1423" s="232"/>
      <c r="I1423" s="301"/>
    </row>
    <row r="1424" spans="2:9" s="297" customFormat="1" ht="21" customHeight="1">
      <c r="B1424" s="305"/>
      <c r="C1424" s="305"/>
      <c r="D1424" s="234"/>
      <c r="E1424" s="307"/>
      <c r="F1424" s="307"/>
      <c r="G1424" s="232"/>
      <c r="H1424" s="232"/>
      <c r="I1424" s="301"/>
    </row>
    <row r="1425" spans="2:9" s="297" customFormat="1" ht="21" customHeight="1">
      <c r="B1425" s="305"/>
      <c r="C1425" s="305"/>
      <c r="D1425" s="234"/>
      <c r="E1425" s="307"/>
      <c r="F1425" s="307"/>
      <c r="G1425" s="232"/>
      <c r="H1425" s="232"/>
      <c r="I1425" s="301"/>
    </row>
    <row r="1426" spans="2:9" s="297" customFormat="1" ht="21" customHeight="1">
      <c r="B1426" s="305"/>
      <c r="C1426" s="305"/>
      <c r="D1426" s="234"/>
      <c r="E1426" s="307"/>
      <c r="F1426" s="307"/>
      <c r="G1426" s="232"/>
      <c r="H1426" s="232"/>
      <c r="I1426" s="301"/>
    </row>
    <row r="1427" spans="2:9" s="297" customFormat="1" ht="21" customHeight="1">
      <c r="B1427" s="305"/>
      <c r="C1427" s="305"/>
      <c r="D1427" s="234"/>
      <c r="E1427" s="307"/>
      <c r="F1427" s="307"/>
      <c r="G1427" s="308"/>
      <c r="H1427" s="233"/>
      <c r="I1427" s="301"/>
    </row>
    <row r="1428" spans="2:9" s="297" customFormat="1" ht="21" customHeight="1">
      <c r="B1428" s="305"/>
      <c r="C1428" s="305"/>
      <c r="D1428" s="234"/>
      <c r="E1428" s="307"/>
      <c r="F1428" s="307"/>
      <c r="G1428" s="308"/>
      <c r="H1428" s="233"/>
      <c r="I1428" s="301"/>
    </row>
    <row r="1429" spans="2:9" s="297" customFormat="1" ht="21" customHeight="1">
      <c r="B1429" s="305"/>
      <c r="C1429" s="305"/>
      <c r="D1429" s="234"/>
      <c r="E1429" s="307"/>
      <c r="F1429" s="307"/>
      <c r="G1429" s="308"/>
      <c r="H1429" s="233"/>
      <c r="I1429" s="301"/>
    </row>
    <row r="1430" spans="2:9" s="297" customFormat="1" ht="21" customHeight="1">
      <c r="B1430" s="305"/>
      <c r="C1430" s="305"/>
      <c r="D1430" s="234"/>
      <c r="E1430" s="307"/>
      <c r="F1430" s="307"/>
      <c r="G1430" s="308"/>
      <c r="H1430" s="233"/>
      <c r="I1430" s="301"/>
    </row>
    <row r="1431" spans="2:9" s="297" customFormat="1" ht="21" customHeight="1">
      <c r="B1431" s="312" t="s">
        <v>835</v>
      </c>
      <c r="C1431" s="305"/>
      <c r="D1431" s="234"/>
      <c r="E1431" s="307"/>
      <c r="F1431" s="307"/>
      <c r="G1431" s="232"/>
      <c r="H1431" s="233"/>
      <c r="I1431" s="301"/>
    </row>
    <row r="1432" spans="2:9" s="297" customFormat="1" ht="21" customHeight="1">
      <c r="B1432" s="305"/>
      <c r="C1432" s="305" t="s">
        <v>64</v>
      </c>
      <c r="D1432" s="234" t="s">
        <v>836</v>
      </c>
      <c r="E1432" s="307">
        <v>2.8140000000000001</v>
      </c>
      <c r="F1432" s="307"/>
      <c r="G1432" s="232"/>
      <c r="H1432" s="233"/>
      <c r="I1432" s="301"/>
    </row>
    <row r="1433" spans="2:9" s="297" customFormat="1" ht="21" customHeight="1">
      <c r="B1433" s="305"/>
      <c r="C1433" s="305"/>
      <c r="D1433" s="234"/>
      <c r="E1433" s="306"/>
      <c r="F1433" s="306"/>
      <c r="G1433" s="232"/>
      <c r="H1433" s="232"/>
      <c r="I1433" s="301"/>
    </row>
    <row r="1434" spans="2:9" s="297" customFormat="1" ht="21" customHeight="1">
      <c r="B1434" s="305"/>
      <c r="C1434" s="305"/>
      <c r="D1434" s="234"/>
      <c r="E1434" s="306"/>
      <c r="F1434" s="306"/>
      <c r="G1434" s="308"/>
      <c r="H1434" s="233"/>
      <c r="I1434" s="301"/>
    </row>
    <row r="1435" spans="2:9" s="297" customFormat="1" ht="21" customHeight="1">
      <c r="B1435" s="305"/>
      <c r="C1435" s="305"/>
      <c r="D1435" s="234"/>
      <c r="E1435" s="306"/>
      <c r="F1435" s="306"/>
      <c r="G1435" s="308"/>
      <c r="H1435" s="233"/>
      <c r="I1435" s="301"/>
    </row>
    <row r="1436" spans="2:9" s="297" customFormat="1" ht="21" customHeight="1">
      <c r="B1436" s="305"/>
      <c r="C1436" s="305"/>
      <c r="D1436" s="234"/>
      <c r="E1436" s="306"/>
      <c r="F1436" s="306"/>
      <c r="G1436" s="308"/>
      <c r="H1436" s="233"/>
      <c r="I1436" s="301"/>
    </row>
    <row r="1437" spans="2:9" s="297" customFormat="1" ht="21" customHeight="1">
      <c r="B1437" s="312" t="s">
        <v>837</v>
      </c>
      <c r="C1437" s="305"/>
      <c r="D1437" s="234"/>
      <c r="E1437" s="307"/>
      <c r="F1437" s="307"/>
      <c r="G1437" s="232"/>
      <c r="H1437" s="233"/>
      <c r="I1437" s="301"/>
    </row>
    <row r="1438" spans="2:9" s="297" customFormat="1" ht="21" customHeight="1">
      <c r="B1438" s="305"/>
      <c r="C1438" s="305" t="s">
        <v>64</v>
      </c>
      <c r="D1438" s="234" t="s">
        <v>836</v>
      </c>
      <c r="E1438" s="307">
        <v>8.4000000000000005E-2</v>
      </c>
      <c r="F1438" s="307"/>
      <c r="G1438" s="232"/>
      <c r="H1438" s="233"/>
      <c r="I1438" s="301"/>
    </row>
    <row r="1439" spans="2:9" s="297" customFormat="1" ht="21" customHeight="1">
      <c r="B1439" s="305"/>
      <c r="C1439" s="305"/>
      <c r="D1439" s="234"/>
      <c r="E1439" s="306"/>
      <c r="F1439" s="306"/>
      <c r="G1439" s="232"/>
      <c r="H1439" s="232"/>
      <c r="I1439" s="301"/>
    </row>
    <row r="1440" spans="2:9" s="297" customFormat="1" ht="21" customHeight="1">
      <c r="B1440" s="305"/>
      <c r="C1440" s="305"/>
      <c r="D1440" s="234"/>
      <c r="E1440" s="306"/>
      <c r="F1440" s="306"/>
      <c r="G1440" s="308"/>
      <c r="H1440" s="233"/>
      <c r="I1440" s="301"/>
    </row>
    <row r="1441" spans="2:9" s="297" customFormat="1" ht="21" customHeight="1">
      <c r="B1441" s="305"/>
      <c r="C1441" s="305"/>
      <c r="D1441" s="234"/>
      <c r="E1441" s="306"/>
      <c r="F1441" s="306"/>
      <c r="G1441" s="308"/>
      <c r="H1441" s="233"/>
      <c r="I1441" s="301"/>
    </row>
    <row r="1442" spans="2:9" s="297" customFormat="1" ht="21" customHeight="1">
      <c r="B1442" s="305"/>
      <c r="C1442" s="305"/>
      <c r="D1442" s="234"/>
      <c r="E1442" s="306"/>
      <c r="F1442" s="306"/>
      <c r="G1442" s="308"/>
      <c r="H1442" s="233"/>
      <c r="I1442" s="301"/>
    </row>
    <row r="1443" spans="2:9" s="297" customFormat="1" ht="21" customHeight="1">
      <c r="B1443" s="300" t="str">
        <f>'5. 공종별예산조서'!$A$103</f>
        <v>3-16. 전선 신설</v>
      </c>
      <c r="C1443" s="300" t="str">
        <f>'5. 공종별예산조서'!$B$103</f>
        <v>HFIX, 2.5SQ</v>
      </c>
      <c r="D1443" s="301" t="str">
        <f>'5. 공종별예산조서'!$C$103</f>
        <v>M</v>
      </c>
      <c r="E1443" s="309">
        <f>'5. 공종별예산조서'!$D$103</f>
        <v>2961</v>
      </c>
      <c r="F1443" s="302"/>
      <c r="G1443" s="303"/>
      <c r="H1443" s="304"/>
      <c r="I1443" s="301"/>
    </row>
    <row r="1444" spans="2:9" s="297" customFormat="1" ht="21" customHeight="1">
      <c r="B1444" s="312" t="s">
        <v>834</v>
      </c>
      <c r="C1444" s="305"/>
      <c r="D1444" s="234"/>
      <c r="E1444" s="310"/>
      <c r="F1444" s="306"/>
      <c r="G1444" s="232"/>
      <c r="H1444" s="233"/>
      <c r="I1444" s="301"/>
    </row>
    <row r="1445" spans="2:9" s="297" customFormat="1" ht="21" customHeight="1">
      <c r="B1445" s="305" t="s">
        <v>1136</v>
      </c>
      <c r="C1445" s="305" t="str">
        <f>C1443</f>
        <v>HFIX, 2.5SQ</v>
      </c>
      <c r="D1445" s="234" t="str">
        <f>D1443</f>
        <v>M</v>
      </c>
      <c r="E1445" s="311">
        <v>301</v>
      </c>
      <c r="F1445" s="307"/>
      <c r="G1445" s="232"/>
      <c r="H1445" s="233"/>
      <c r="I1445" s="301"/>
    </row>
    <row r="1446" spans="2:9" s="297" customFormat="1" ht="21" customHeight="1">
      <c r="B1446" s="305" t="s">
        <v>1118</v>
      </c>
      <c r="C1446" s="305" t="str">
        <f>C1445</f>
        <v>HFIX, 2.5SQ</v>
      </c>
      <c r="D1446" s="234" t="str">
        <f>D1445</f>
        <v>M</v>
      </c>
      <c r="E1446" s="311">
        <v>2202</v>
      </c>
      <c r="F1446" s="307"/>
      <c r="G1446" s="232"/>
      <c r="H1446" s="233"/>
      <c r="I1446" s="301"/>
    </row>
    <row r="1447" spans="2:9" s="297" customFormat="1" ht="21" customHeight="1">
      <c r="B1447" s="305" t="s">
        <v>1137</v>
      </c>
      <c r="C1447" s="305" t="str">
        <f>C1446</f>
        <v>HFIX, 2.5SQ</v>
      </c>
      <c r="D1447" s="234" t="str">
        <f t="shared" ref="D1447:D1450" si="4">D1446</f>
        <v>M</v>
      </c>
      <c r="E1447" s="311">
        <v>435</v>
      </c>
      <c r="F1447" s="307"/>
      <c r="G1447" s="232"/>
      <c r="H1447" s="233"/>
      <c r="I1447" s="301"/>
    </row>
    <row r="1448" spans="2:9" s="297" customFormat="1" ht="21" customHeight="1">
      <c r="B1448" s="305" t="s">
        <v>1138</v>
      </c>
      <c r="C1448" s="305" t="str">
        <f t="shared" ref="C1448" si="5">C1446</f>
        <v>HFIX, 2.5SQ</v>
      </c>
      <c r="D1448" s="234" t="str">
        <f t="shared" si="4"/>
        <v>M</v>
      </c>
      <c r="E1448" s="311">
        <v>176</v>
      </c>
      <c r="F1448" s="307"/>
      <c r="G1448" s="232"/>
      <c r="H1448" s="233"/>
      <c r="I1448" s="301"/>
    </row>
    <row r="1449" spans="2:9" s="297" customFormat="1" ht="21" customHeight="1">
      <c r="B1449" s="305" t="s">
        <v>1139</v>
      </c>
      <c r="C1449" s="305" t="str">
        <f t="shared" ref="C1449" si="6">C1447</f>
        <v>HFIX, 2.5SQ</v>
      </c>
      <c r="D1449" s="234" t="str">
        <f t="shared" si="4"/>
        <v>M</v>
      </c>
      <c r="E1449" s="311">
        <v>118</v>
      </c>
      <c r="F1449" s="307"/>
      <c r="G1449" s="232"/>
      <c r="H1449" s="233"/>
      <c r="I1449" s="301"/>
    </row>
    <row r="1450" spans="2:9" s="297" customFormat="1" ht="21" customHeight="1">
      <c r="B1450" s="305" t="s">
        <v>1140</v>
      </c>
      <c r="C1450" s="305" t="str">
        <f t="shared" ref="C1450" si="7">C1448</f>
        <v>HFIX, 2.5SQ</v>
      </c>
      <c r="D1450" s="234" t="str">
        <f t="shared" si="4"/>
        <v>M</v>
      </c>
      <c r="E1450" s="311">
        <v>23</v>
      </c>
      <c r="F1450" s="307"/>
      <c r="G1450" s="232"/>
      <c r="H1450" s="233"/>
      <c r="I1450" s="301"/>
    </row>
    <row r="1451" spans="2:9" s="297" customFormat="1" ht="21" customHeight="1">
      <c r="B1451" s="305"/>
      <c r="C1451" s="305"/>
      <c r="D1451" s="234"/>
      <c r="E1451" s="311"/>
      <c r="F1451" s="307"/>
      <c r="G1451" s="232"/>
      <c r="H1451" s="232"/>
      <c r="I1451" s="301"/>
    </row>
    <row r="1452" spans="2:9" s="297" customFormat="1" ht="21" customHeight="1">
      <c r="B1452" s="305"/>
      <c r="C1452" s="305"/>
      <c r="D1452" s="234"/>
      <c r="E1452" s="307"/>
      <c r="F1452" s="307"/>
      <c r="G1452" s="232"/>
      <c r="H1452" s="232"/>
      <c r="I1452" s="301"/>
    </row>
    <row r="1453" spans="2:9" s="297" customFormat="1" ht="21" customHeight="1">
      <c r="B1453" s="305"/>
      <c r="C1453" s="305"/>
      <c r="D1453" s="234"/>
      <c r="E1453" s="307"/>
      <c r="F1453" s="307"/>
      <c r="G1453" s="308"/>
      <c r="H1453" s="233"/>
      <c r="I1453" s="301"/>
    </row>
    <row r="1454" spans="2:9" s="297" customFormat="1" ht="21" customHeight="1">
      <c r="B1454" s="305"/>
      <c r="C1454" s="305"/>
      <c r="D1454" s="234"/>
      <c r="E1454" s="307"/>
      <c r="F1454" s="307"/>
      <c r="G1454" s="308"/>
      <c r="H1454" s="233"/>
      <c r="I1454" s="301"/>
    </row>
    <row r="1455" spans="2:9" s="297" customFormat="1" ht="21" customHeight="1">
      <c r="B1455" s="312" t="s">
        <v>835</v>
      </c>
      <c r="C1455" s="305"/>
      <c r="D1455" s="234"/>
      <c r="E1455" s="307"/>
      <c r="F1455" s="307"/>
      <c r="G1455" s="232"/>
      <c r="H1455" s="233"/>
      <c r="I1455" s="301"/>
    </row>
    <row r="1456" spans="2:9" s="297" customFormat="1" ht="21" customHeight="1">
      <c r="B1456" s="305"/>
      <c r="C1456" s="305" t="s">
        <v>64</v>
      </c>
      <c r="D1456" s="234" t="s">
        <v>836</v>
      </c>
      <c r="E1456" s="307">
        <v>25.815000000000001</v>
      </c>
      <c r="F1456" s="307"/>
      <c r="G1456" s="232"/>
      <c r="H1456" s="233"/>
      <c r="I1456" s="301"/>
    </row>
    <row r="1457" spans="2:9" s="297" customFormat="1" ht="21" customHeight="1">
      <c r="B1457" s="305"/>
      <c r="C1457" s="305"/>
      <c r="D1457" s="234"/>
      <c r="E1457" s="306"/>
      <c r="F1457" s="306"/>
      <c r="G1457" s="232"/>
      <c r="H1457" s="232"/>
      <c r="I1457" s="301"/>
    </row>
    <row r="1458" spans="2:9" s="297" customFormat="1" ht="21" customHeight="1">
      <c r="B1458" s="305"/>
      <c r="C1458" s="305"/>
      <c r="D1458" s="234"/>
      <c r="E1458" s="306"/>
      <c r="F1458" s="306"/>
      <c r="G1458" s="308"/>
      <c r="H1458" s="233"/>
      <c r="I1458" s="301"/>
    </row>
    <row r="1459" spans="2:9" s="297" customFormat="1" ht="21" customHeight="1">
      <c r="B1459" s="305"/>
      <c r="C1459" s="305"/>
      <c r="D1459" s="234"/>
      <c r="E1459" s="306"/>
      <c r="F1459" s="306"/>
      <c r="G1459" s="308"/>
      <c r="H1459" s="233"/>
      <c r="I1459" s="301"/>
    </row>
    <row r="1460" spans="2:9" s="297" customFormat="1" ht="21" customHeight="1">
      <c r="B1460" s="305"/>
      <c r="C1460" s="305"/>
      <c r="D1460" s="234"/>
      <c r="E1460" s="306"/>
      <c r="F1460" s="306"/>
      <c r="G1460" s="308"/>
      <c r="H1460" s="233"/>
      <c r="I1460" s="301"/>
    </row>
    <row r="1461" spans="2:9" s="297" customFormat="1" ht="21" customHeight="1">
      <c r="B1461" s="312" t="s">
        <v>837</v>
      </c>
      <c r="C1461" s="305"/>
      <c r="D1461" s="234"/>
      <c r="E1461" s="307"/>
      <c r="F1461" s="307"/>
      <c r="G1461" s="232"/>
      <c r="H1461" s="233"/>
      <c r="I1461" s="301"/>
    </row>
    <row r="1462" spans="2:9" s="297" customFormat="1" ht="21" customHeight="1">
      <c r="B1462" s="305"/>
      <c r="C1462" s="305" t="s">
        <v>64</v>
      </c>
      <c r="D1462" s="234" t="s">
        <v>836</v>
      </c>
      <c r="E1462" s="307">
        <v>0.74399999999999999</v>
      </c>
      <c r="F1462" s="307"/>
      <c r="G1462" s="232"/>
      <c r="H1462" s="233"/>
      <c r="I1462" s="301"/>
    </row>
    <row r="1463" spans="2:9" s="297" customFormat="1" ht="21" customHeight="1">
      <c r="B1463" s="305"/>
      <c r="C1463" s="305"/>
      <c r="D1463" s="234"/>
      <c r="E1463" s="306"/>
      <c r="F1463" s="306"/>
      <c r="G1463" s="232"/>
      <c r="H1463" s="232"/>
      <c r="I1463" s="301"/>
    </row>
    <row r="1464" spans="2:9" s="297" customFormat="1" ht="21" customHeight="1">
      <c r="B1464" s="305"/>
      <c r="C1464" s="305"/>
      <c r="D1464" s="234"/>
      <c r="E1464" s="306"/>
      <c r="F1464" s="306"/>
      <c r="G1464" s="308"/>
      <c r="H1464" s="233"/>
      <c r="I1464" s="301"/>
    </row>
    <row r="1465" spans="2:9" s="297" customFormat="1" ht="21" customHeight="1">
      <c r="B1465" s="305"/>
      <c r="C1465" s="305"/>
      <c r="D1465" s="234"/>
      <c r="E1465" s="306"/>
      <c r="F1465" s="306"/>
      <c r="G1465" s="308"/>
      <c r="H1465" s="233"/>
      <c r="I1465" s="301"/>
    </row>
    <row r="1466" spans="2:9" s="297" customFormat="1" ht="21" customHeight="1">
      <c r="B1466" s="305"/>
      <c r="C1466" s="305"/>
      <c r="D1466" s="234"/>
      <c r="E1466" s="306"/>
      <c r="F1466" s="306"/>
      <c r="G1466" s="308"/>
      <c r="H1466" s="233"/>
      <c r="I1466" s="301"/>
    </row>
    <row r="1467" spans="2:9" s="297" customFormat="1" ht="21" customHeight="1">
      <c r="B1467" s="300" t="str">
        <f>'5. 공종별예산조서'!$A$104</f>
        <v>3-17. 등기구 신설</v>
      </c>
      <c r="C1467" s="300" t="str">
        <f>'5. 공종별예산조서'!$B$104</f>
        <v>LED 40W, 1200*300</v>
      </c>
      <c r="D1467" s="301" t="str">
        <f>'5. 공종별예산조서'!$C$104</f>
        <v>개</v>
      </c>
      <c r="E1467" s="309">
        <f>'5. 공종별예산조서'!$D$104</f>
        <v>122</v>
      </c>
      <c r="F1467" s="302"/>
      <c r="G1467" s="303"/>
      <c r="H1467" s="304"/>
      <c r="I1467" s="301"/>
    </row>
    <row r="1468" spans="2:9" s="297" customFormat="1" ht="21" customHeight="1">
      <c r="B1468" s="312" t="s">
        <v>834</v>
      </c>
      <c r="C1468" s="305"/>
      <c r="D1468" s="234"/>
      <c r="E1468" s="310"/>
      <c r="F1468" s="306"/>
      <c r="G1468" s="232"/>
      <c r="H1468" s="233"/>
      <c r="I1468" s="301"/>
    </row>
    <row r="1469" spans="2:9" s="297" customFormat="1" ht="21" customHeight="1">
      <c r="B1469" s="305" t="s">
        <v>1141</v>
      </c>
      <c r="C1469" s="305" t="str">
        <f>C1467</f>
        <v>LED 40W, 1200*300</v>
      </c>
      <c r="D1469" s="234" t="str">
        <f>D1467</f>
        <v>개</v>
      </c>
      <c r="E1469" s="311">
        <f>E1467</f>
        <v>122</v>
      </c>
      <c r="F1469" s="307"/>
      <c r="G1469" s="232"/>
      <c r="H1469" s="233"/>
      <c r="I1469" s="301"/>
    </row>
    <row r="1470" spans="2:9" s="297" customFormat="1" ht="21" customHeight="1">
      <c r="B1470" s="305"/>
      <c r="C1470" s="305"/>
      <c r="D1470" s="234"/>
      <c r="E1470" s="311"/>
      <c r="F1470" s="307"/>
      <c r="G1470" s="232"/>
      <c r="H1470" s="233"/>
      <c r="I1470" s="301"/>
    </row>
    <row r="1471" spans="2:9" s="297" customFormat="1" ht="21" customHeight="1">
      <c r="B1471" s="305"/>
      <c r="C1471" s="305"/>
      <c r="D1471" s="234"/>
      <c r="E1471" s="311"/>
      <c r="F1471" s="307"/>
      <c r="G1471" s="232"/>
      <c r="H1471" s="233"/>
      <c r="I1471" s="301"/>
    </row>
    <row r="1472" spans="2:9" s="297" customFormat="1" ht="21" customHeight="1">
      <c r="B1472" s="305"/>
      <c r="C1472" s="305"/>
      <c r="D1472" s="234"/>
      <c r="E1472" s="311"/>
      <c r="F1472" s="307"/>
      <c r="G1472" s="232"/>
      <c r="H1472" s="233"/>
      <c r="I1472" s="301"/>
    </row>
    <row r="1473" spans="2:9" s="297" customFormat="1" ht="21" customHeight="1">
      <c r="B1473" s="305"/>
      <c r="C1473" s="305"/>
      <c r="D1473" s="234"/>
      <c r="E1473" s="311"/>
      <c r="F1473" s="307"/>
      <c r="G1473" s="232"/>
      <c r="H1473" s="233"/>
      <c r="I1473" s="301"/>
    </row>
    <row r="1474" spans="2:9" s="297" customFormat="1" ht="21" customHeight="1">
      <c r="B1474" s="305"/>
      <c r="C1474" s="305"/>
      <c r="D1474" s="234"/>
      <c r="E1474" s="311"/>
      <c r="F1474" s="307"/>
      <c r="G1474" s="232"/>
      <c r="H1474" s="233"/>
      <c r="I1474" s="301"/>
    </row>
    <row r="1475" spans="2:9" s="297" customFormat="1" ht="21" customHeight="1">
      <c r="B1475" s="305"/>
      <c r="C1475" s="305"/>
      <c r="D1475" s="234"/>
      <c r="E1475" s="307"/>
      <c r="F1475" s="307"/>
      <c r="G1475" s="232"/>
      <c r="H1475" s="232"/>
      <c r="I1475" s="301"/>
    </row>
    <row r="1476" spans="2:9" s="297" customFormat="1" ht="21" customHeight="1">
      <c r="B1476" s="305"/>
      <c r="C1476" s="305"/>
      <c r="D1476" s="234"/>
      <c r="E1476" s="307"/>
      <c r="F1476" s="307"/>
      <c r="G1476" s="232"/>
      <c r="H1476" s="232"/>
      <c r="I1476" s="301"/>
    </row>
    <row r="1477" spans="2:9" s="297" customFormat="1" ht="21" customHeight="1">
      <c r="B1477" s="305"/>
      <c r="C1477" s="305"/>
      <c r="D1477" s="234"/>
      <c r="E1477" s="307"/>
      <c r="F1477" s="307"/>
      <c r="G1477" s="308"/>
      <c r="H1477" s="233"/>
      <c r="I1477" s="301"/>
    </row>
    <row r="1478" spans="2:9" s="297" customFormat="1" ht="21" customHeight="1">
      <c r="B1478" s="305"/>
      <c r="C1478" s="305"/>
      <c r="D1478" s="234"/>
      <c r="E1478" s="307"/>
      <c r="F1478" s="307"/>
      <c r="G1478" s="308"/>
      <c r="H1478" s="233"/>
      <c r="I1478" s="301"/>
    </row>
    <row r="1479" spans="2:9" s="297" customFormat="1" ht="21" customHeight="1">
      <c r="B1479" s="312" t="s">
        <v>835</v>
      </c>
      <c r="C1479" s="305"/>
      <c r="D1479" s="234"/>
      <c r="E1479" s="307"/>
      <c r="F1479" s="307"/>
      <c r="G1479" s="232"/>
      <c r="H1479" s="233"/>
      <c r="I1479" s="301"/>
    </row>
    <row r="1480" spans="2:9" s="297" customFormat="1" ht="21" customHeight="1">
      <c r="B1480" s="305"/>
      <c r="C1480" s="305" t="s">
        <v>64</v>
      </c>
      <c r="D1480" s="234" t="s">
        <v>836</v>
      </c>
      <c r="E1480" s="307">
        <v>28.876999999999999</v>
      </c>
      <c r="F1480" s="307"/>
      <c r="G1480" s="232"/>
      <c r="H1480" s="233"/>
      <c r="I1480" s="301"/>
    </row>
    <row r="1481" spans="2:9" s="297" customFormat="1" ht="21" customHeight="1">
      <c r="B1481" s="305"/>
      <c r="C1481" s="305"/>
      <c r="D1481" s="234"/>
      <c r="E1481" s="306"/>
      <c r="F1481" s="306"/>
      <c r="G1481" s="232"/>
      <c r="H1481" s="232"/>
      <c r="I1481" s="301"/>
    </row>
    <row r="1482" spans="2:9" s="297" customFormat="1" ht="21" customHeight="1">
      <c r="B1482" s="305"/>
      <c r="C1482" s="305"/>
      <c r="D1482" s="234"/>
      <c r="E1482" s="306"/>
      <c r="F1482" s="306"/>
      <c r="G1482" s="308"/>
      <c r="H1482" s="233"/>
      <c r="I1482" s="301"/>
    </row>
    <row r="1483" spans="2:9" s="297" customFormat="1" ht="21" customHeight="1">
      <c r="B1483" s="305"/>
      <c r="C1483" s="305"/>
      <c r="D1483" s="234"/>
      <c r="E1483" s="306"/>
      <c r="F1483" s="306"/>
      <c r="G1483" s="308"/>
      <c r="H1483" s="233"/>
      <c r="I1483" s="301"/>
    </row>
    <row r="1484" spans="2:9" s="297" customFormat="1" ht="21" customHeight="1">
      <c r="B1484" s="305"/>
      <c r="C1484" s="305"/>
      <c r="D1484" s="234"/>
      <c r="E1484" s="306"/>
      <c r="F1484" s="306"/>
      <c r="G1484" s="308"/>
      <c r="H1484" s="233"/>
      <c r="I1484" s="301"/>
    </row>
    <row r="1485" spans="2:9" s="297" customFormat="1" ht="21" customHeight="1">
      <c r="B1485" s="312" t="s">
        <v>837</v>
      </c>
      <c r="C1485" s="305"/>
      <c r="D1485" s="234"/>
      <c r="E1485" s="307"/>
      <c r="F1485" s="307"/>
      <c r="G1485" s="232"/>
      <c r="H1485" s="233"/>
      <c r="I1485" s="301"/>
    </row>
    <row r="1486" spans="2:9" s="297" customFormat="1" ht="21" customHeight="1">
      <c r="B1486" s="305"/>
      <c r="C1486" s="305" t="s">
        <v>64</v>
      </c>
      <c r="D1486" s="234" t="s">
        <v>836</v>
      </c>
      <c r="E1486" s="307">
        <v>0.86599999999999999</v>
      </c>
      <c r="F1486" s="307"/>
      <c r="G1486" s="232"/>
      <c r="H1486" s="233"/>
      <c r="I1486" s="301"/>
    </row>
    <row r="1487" spans="2:9" s="297" customFormat="1" ht="21" customHeight="1">
      <c r="B1487" s="305"/>
      <c r="C1487" s="305"/>
      <c r="D1487" s="234"/>
      <c r="E1487" s="306"/>
      <c r="F1487" s="306"/>
      <c r="G1487" s="232"/>
      <c r="H1487" s="232"/>
      <c r="I1487" s="301"/>
    </row>
    <row r="1488" spans="2:9" s="297" customFormat="1" ht="21" customHeight="1">
      <c r="B1488" s="305"/>
      <c r="C1488" s="305"/>
      <c r="D1488" s="234"/>
      <c r="E1488" s="306"/>
      <c r="F1488" s="306"/>
      <c r="G1488" s="308"/>
      <c r="H1488" s="233"/>
      <c r="I1488" s="301"/>
    </row>
    <row r="1489" spans="2:9" s="297" customFormat="1" ht="21" customHeight="1">
      <c r="B1489" s="305"/>
      <c r="C1489" s="305"/>
      <c r="D1489" s="234"/>
      <c r="E1489" s="306"/>
      <c r="F1489" s="306"/>
      <c r="G1489" s="308"/>
      <c r="H1489" s="233"/>
      <c r="I1489" s="301"/>
    </row>
    <row r="1490" spans="2:9" s="297" customFormat="1" ht="21" customHeight="1">
      <c r="B1490" s="305"/>
      <c r="C1490" s="305"/>
      <c r="D1490" s="234"/>
      <c r="E1490" s="306"/>
      <c r="F1490" s="306"/>
      <c r="G1490" s="308"/>
      <c r="H1490" s="233"/>
      <c r="I1490" s="301"/>
    </row>
    <row r="1491" spans="2:9" s="297" customFormat="1" ht="21" customHeight="1">
      <c r="B1491" s="300" t="str">
        <f>'5. 공종별예산조서'!$A$105</f>
        <v>3-18. 등기구 신설</v>
      </c>
      <c r="C1491" s="300" t="str">
        <f>'5. 공종별예산조서'!$B$105</f>
        <v>LED 15W</v>
      </c>
      <c r="D1491" s="301" t="str">
        <f>'5. 공종별예산조서'!$C$105</f>
        <v>개</v>
      </c>
      <c r="E1491" s="309">
        <f>'5. 공종별예산조서'!$D$105</f>
        <v>58</v>
      </c>
      <c r="F1491" s="302"/>
      <c r="G1491" s="303"/>
      <c r="H1491" s="304"/>
      <c r="I1491" s="301"/>
    </row>
    <row r="1492" spans="2:9" s="297" customFormat="1" ht="21" customHeight="1">
      <c r="B1492" s="312" t="s">
        <v>834</v>
      </c>
      <c r="C1492" s="305"/>
      <c r="D1492" s="234"/>
      <c r="E1492" s="310"/>
      <c r="F1492" s="306"/>
      <c r="G1492" s="232"/>
      <c r="H1492" s="233"/>
      <c r="I1492" s="301"/>
    </row>
    <row r="1493" spans="2:9" s="297" customFormat="1" ht="21" customHeight="1">
      <c r="B1493" s="305" t="s">
        <v>1142</v>
      </c>
      <c r="C1493" s="305" t="str">
        <f>C1491</f>
        <v>LED 15W</v>
      </c>
      <c r="D1493" s="234" t="str">
        <f>D1491</f>
        <v>개</v>
      </c>
      <c r="E1493" s="311">
        <f>E1491</f>
        <v>58</v>
      </c>
      <c r="F1493" s="307"/>
      <c r="G1493" s="232"/>
      <c r="H1493" s="233"/>
      <c r="I1493" s="301"/>
    </row>
    <row r="1494" spans="2:9" s="297" customFormat="1" ht="21" customHeight="1">
      <c r="B1494" s="305"/>
      <c r="C1494" s="305"/>
      <c r="D1494" s="234"/>
      <c r="E1494" s="311"/>
      <c r="F1494" s="307"/>
      <c r="G1494" s="232"/>
      <c r="H1494" s="233"/>
      <c r="I1494" s="301"/>
    </row>
    <row r="1495" spans="2:9" s="297" customFormat="1" ht="21" customHeight="1">
      <c r="B1495" s="305"/>
      <c r="C1495" s="305"/>
      <c r="D1495" s="234"/>
      <c r="E1495" s="311"/>
      <c r="F1495" s="307"/>
      <c r="G1495" s="232"/>
      <c r="H1495" s="233"/>
      <c r="I1495" s="301"/>
    </row>
    <row r="1496" spans="2:9" s="297" customFormat="1" ht="21" customHeight="1">
      <c r="B1496" s="305"/>
      <c r="C1496" s="305"/>
      <c r="D1496" s="234"/>
      <c r="E1496" s="311"/>
      <c r="F1496" s="307"/>
      <c r="G1496" s="232"/>
      <c r="H1496" s="233"/>
      <c r="I1496" s="301"/>
    </row>
    <row r="1497" spans="2:9" s="297" customFormat="1" ht="21" customHeight="1">
      <c r="B1497" s="305"/>
      <c r="C1497" s="305"/>
      <c r="D1497" s="234"/>
      <c r="E1497" s="311"/>
      <c r="F1497" s="307"/>
      <c r="G1497" s="232"/>
      <c r="H1497" s="233"/>
      <c r="I1497" s="301"/>
    </row>
    <row r="1498" spans="2:9" s="297" customFormat="1" ht="21" customHeight="1">
      <c r="B1498" s="305"/>
      <c r="C1498" s="305"/>
      <c r="D1498" s="234"/>
      <c r="E1498" s="311"/>
      <c r="F1498" s="307"/>
      <c r="G1498" s="232"/>
      <c r="H1498" s="233"/>
      <c r="I1498" s="301"/>
    </row>
    <row r="1499" spans="2:9" s="297" customFormat="1" ht="21" customHeight="1">
      <c r="B1499" s="305"/>
      <c r="C1499" s="305"/>
      <c r="D1499" s="234"/>
      <c r="E1499" s="307"/>
      <c r="F1499" s="307"/>
      <c r="G1499" s="232"/>
      <c r="H1499" s="232"/>
      <c r="I1499" s="301"/>
    </row>
    <row r="1500" spans="2:9" s="297" customFormat="1" ht="21" customHeight="1">
      <c r="B1500" s="305"/>
      <c r="C1500" s="305"/>
      <c r="D1500" s="234"/>
      <c r="E1500" s="307"/>
      <c r="F1500" s="307"/>
      <c r="G1500" s="232"/>
      <c r="H1500" s="232"/>
      <c r="I1500" s="301"/>
    </row>
    <row r="1501" spans="2:9" s="297" customFormat="1" ht="21" customHeight="1">
      <c r="B1501" s="305"/>
      <c r="C1501" s="305"/>
      <c r="D1501" s="234"/>
      <c r="E1501" s="307"/>
      <c r="F1501" s="307"/>
      <c r="G1501" s="308"/>
      <c r="H1501" s="233"/>
      <c r="I1501" s="301"/>
    </row>
    <row r="1502" spans="2:9" s="297" customFormat="1" ht="21" customHeight="1">
      <c r="B1502" s="305"/>
      <c r="C1502" s="305"/>
      <c r="D1502" s="234"/>
      <c r="E1502" s="307"/>
      <c r="F1502" s="307"/>
      <c r="G1502" s="308"/>
      <c r="H1502" s="233"/>
      <c r="I1502" s="301"/>
    </row>
    <row r="1503" spans="2:9" s="297" customFormat="1" ht="21" customHeight="1">
      <c r="B1503" s="312" t="s">
        <v>835</v>
      </c>
      <c r="C1503" s="305"/>
      <c r="D1503" s="234"/>
      <c r="E1503" s="307"/>
      <c r="F1503" s="307"/>
      <c r="G1503" s="232"/>
      <c r="H1503" s="233"/>
      <c r="I1503" s="301"/>
    </row>
    <row r="1504" spans="2:9" s="297" customFormat="1" ht="21" customHeight="1">
      <c r="B1504" s="305"/>
      <c r="C1504" s="305" t="s">
        <v>64</v>
      </c>
      <c r="D1504" s="234" t="s">
        <v>836</v>
      </c>
      <c r="E1504" s="307">
        <v>8.0909999999999993</v>
      </c>
      <c r="F1504" s="307"/>
      <c r="G1504" s="232"/>
      <c r="H1504" s="233"/>
      <c r="I1504" s="301"/>
    </row>
    <row r="1505" spans="2:9" s="297" customFormat="1" ht="21" customHeight="1">
      <c r="B1505" s="305"/>
      <c r="C1505" s="305"/>
      <c r="D1505" s="234"/>
      <c r="E1505" s="306"/>
      <c r="F1505" s="306"/>
      <c r="G1505" s="232"/>
      <c r="H1505" s="232"/>
      <c r="I1505" s="301"/>
    </row>
    <row r="1506" spans="2:9" s="297" customFormat="1" ht="21" customHeight="1">
      <c r="B1506" s="305"/>
      <c r="C1506" s="305"/>
      <c r="D1506" s="234"/>
      <c r="E1506" s="306"/>
      <c r="F1506" s="306"/>
      <c r="G1506" s="308"/>
      <c r="H1506" s="233"/>
      <c r="I1506" s="301"/>
    </row>
    <row r="1507" spans="2:9" s="297" customFormat="1" ht="21" customHeight="1">
      <c r="B1507" s="305"/>
      <c r="C1507" s="305"/>
      <c r="D1507" s="234"/>
      <c r="E1507" s="306"/>
      <c r="F1507" s="306"/>
      <c r="G1507" s="308"/>
      <c r="H1507" s="233"/>
      <c r="I1507" s="301"/>
    </row>
    <row r="1508" spans="2:9" s="297" customFormat="1" ht="21" customHeight="1">
      <c r="B1508" s="305"/>
      <c r="C1508" s="305"/>
      <c r="D1508" s="234"/>
      <c r="E1508" s="306"/>
      <c r="F1508" s="306"/>
      <c r="G1508" s="308"/>
      <c r="H1508" s="233"/>
      <c r="I1508" s="301"/>
    </row>
    <row r="1509" spans="2:9" s="297" customFormat="1" ht="21" customHeight="1">
      <c r="B1509" s="312" t="s">
        <v>837</v>
      </c>
      <c r="C1509" s="305"/>
      <c r="D1509" s="234"/>
      <c r="E1509" s="307"/>
      <c r="F1509" s="307"/>
      <c r="G1509" s="232"/>
      <c r="H1509" s="233"/>
      <c r="I1509" s="301"/>
    </row>
    <row r="1510" spans="2:9" s="297" customFormat="1" ht="21" customHeight="1">
      <c r="B1510" s="305"/>
      <c r="C1510" s="305" t="s">
        <v>64</v>
      </c>
      <c r="D1510" s="234" t="s">
        <v>836</v>
      </c>
      <c r="E1510" s="307">
        <v>0.24299999999999999</v>
      </c>
      <c r="F1510" s="307"/>
      <c r="G1510" s="232"/>
      <c r="H1510" s="233"/>
      <c r="I1510" s="301"/>
    </row>
    <row r="1511" spans="2:9" s="297" customFormat="1" ht="21" customHeight="1">
      <c r="B1511" s="305"/>
      <c r="C1511" s="305"/>
      <c r="D1511" s="234"/>
      <c r="E1511" s="306"/>
      <c r="F1511" s="306"/>
      <c r="G1511" s="232"/>
      <c r="H1511" s="232"/>
      <c r="I1511" s="301"/>
    </row>
    <row r="1512" spans="2:9" s="297" customFormat="1" ht="21" customHeight="1">
      <c r="B1512" s="305"/>
      <c r="C1512" s="305"/>
      <c r="D1512" s="234"/>
      <c r="E1512" s="306"/>
      <c r="F1512" s="306"/>
      <c r="G1512" s="308"/>
      <c r="H1512" s="233"/>
      <c r="I1512" s="301"/>
    </row>
    <row r="1513" spans="2:9" s="297" customFormat="1" ht="21" customHeight="1">
      <c r="B1513" s="305"/>
      <c r="C1513" s="305"/>
      <c r="D1513" s="234"/>
      <c r="E1513" s="306"/>
      <c r="F1513" s="306"/>
      <c r="G1513" s="308"/>
      <c r="H1513" s="233"/>
      <c r="I1513" s="301"/>
    </row>
    <row r="1514" spans="2:9" s="297" customFormat="1" ht="21" customHeight="1">
      <c r="B1514" s="305"/>
      <c r="C1514" s="305"/>
      <c r="D1514" s="234"/>
      <c r="E1514" s="306"/>
      <c r="F1514" s="306"/>
      <c r="G1514" s="308"/>
      <c r="H1514" s="233"/>
      <c r="I1514" s="301"/>
    </row>
    <row r="1515" spans="2:9" s="297" customFormat="1" ht="21" customHeight="1">
      <c r="B1515" s="300" t="str">
        <f>'5. 공종별예산조서'!$A$106</f>
        <v>3-19. 등기구 신설</v>
      </c>
      <c r="C1515" s="300" t="str">
        <f>'5. 공종별예산조서'!$B$106</f>
        <v>LED 15W</v>
      </c>
      <c r="D1515" s="301" t="str">
        <f>'5. 공종별예산조서'!$C$106</f>
        <v>개</v>
      </c>
      <c r="E1515" s="309">
        <f>'5. 공종별예산조서'!$D$106</f>
        <v>12</v>
      </c>
      <c r="F1515" s="302"/>
      <c r="G1515" s="303"/>
      <c r="H1515" s="304"/>
      <c r="I1515" s="301"/>
    </row>
    <row r="1516" spans="2:9" s="297" customFormat="1" ht="21" customHeight="1">
      <c r="B1516" s="312" t="s">
        <v>834</v>
      </c>
      <c r="C1516" s="305"/>
      <c r="D1516" s="234"/>
      <c r="E1516" s="310"/>
      <c r="F1516" s="306"/>
      <c r="G1516" s="232"/>
      <c r="H1516" s="233"/>
      <c r="I1516" s="301"/>
    </row>
    <row r="1517" spans="2:9" s="297" customFormat="1" ht="21" customHeight="1">
      <c r="B1517" s="305" t="s">
        <v>1143</v>
      </c>
      <c r="C1517" s="305" t="str">
        <f>C1515</f>
        <v>LED 15W</v>
      </c>
      <c r="D1517" s="234" t="str">
        <f>D1515</f>
        <v>개</v>
      </c>
      <c r="E1517" s="311">
        <f>E1515</f>
        <v>12</v>
      </c>
      <c r="F1517" s="307"/>
      <c r="G1517" s="232"/>
      <c r="H1517" s="233"/>
      <c r="I1517" s="301"/>
    </row>
    <row r="1518" spans="2:9" s="297" customFormat="1" ht="21" customHeight="1">
      <c r="B1518" s="305"/>
      <c r="C1518" s="305"/>
      <c r="D1518" s="234"/>
      <c r="E1518" s="311"/>
      <c r="F1518" s="307"/>
      <c r="G1518" s="232"/>
      <c r="H1518" s="233"/>
      <c r="I1518" s="301"/>
    </row>
    <row r="1519" spans="2:9" s="297" customFormat="1" ht="21" customHeight="1">
      <c r="B1519" s="305"/>
      <c r="C1519" s="305"/>
      <c r="D1519" s="234"/>
      <c r="E1519" s="311"/>
      <c r="F1519" s="307"/>
      <c r="G1519" s="232"/>
      <c r="H1519" s="233"/>
      <c r="I1519" s="301"/>
    </row>
    <row r="1520" spans="2:9" s="297" customFormat="1" ht="21" customHeight="1">
      <c r="B1520" s="305"/>
      <c r="C1520" s="305"/>
      <c r="D1520" s="234"/>
      <c r="E1520" s="311"/>
      <c r="F1520" s="307"/>
      <c r="G1520" s="232"/>
      <c r="H1520" s="233"/>
      <c r="I1520" s="301"/>
    </row>
    <row r="1521" spans="2:9" s="297" customFormat="1" ht="21" customHeight="1">
      <c r="B1521" s="305"/>
      <c r="C1521" s="305"/>
      <c r="D1521" s="234"/>
      <c r="E1521" s="311"/>
      <c r="F1521" s="307"/>
      <c r="G1521" s="232"/>
      <c r="H1521" s="233"/>
      <c r="I1521" s="301"/>
    </row>
    <row r="1522" spans="2:9" s="297" customFormat="1" ht="21" customHeight="1">
      <c r="B1522" s="305"/>
      <c r="C1522" s="305"/>
      <c r="D1522" s="234"/>
      <c r="E1522" s="311"/>
      <c r="F1522" s="307"/>
      <c r="G1522" s="232"/>
      <c r="H1522" s="233"/>
      <c r="I1522" s="301"/>
    </row>
    <row r="1523" spans="2:9" s="297" customFormat="1" ht="21" customHeight="1">
      <c r="B1523" s="305"/>
      <c r="C1523" s="305"/>
      <c r="D1523" s="234"/>
      <c r="E1523" s="307"/>
      <c r="F1523" s="307"/>
      <c r="G1523" s="232"/>
      <c r="H1523" s="232"/>
      <c r="I1523" s="301"/>
    </row>
    <row r="1524" spans="2:9" s="297" customFormat="1" ht="21" customHeight="1">
      <c r="B1524" s="305"/>
      <c r="C1524" s="305"/>
      <c r="D1524" s="234"/>
      <c r="E1524" s="307"/>
      <c r="F1524" s="307"/>
      <c r="G1524" s="232"/>
      <c r="H1524" s="232"/>
      <c r="I1524" s="301"/>
    </row>
    <row r="1525" spans="2:9" s="297" customFormat="1" ht="21" customHeight="1">
      <c r="B1525" s="305"/>
      <c r="C1525" s="305"/>
      <c r="D1525" s="234"/>
      <c r="E1525" s="307"/>
      <c r="F1525" s="307"/>
      <c r="G1525" s="308"/>
      <c r="H1525" s="233"/>
      <c r="I1525" s="301"/>
    </row>
    <row r="1526" spans="2:9" s="297" customFormat="1" ht="21" customHeight="1">
      <c r="B1526" s="305"/>
      <c r="C1526" s="305"/>
      <c r="D1526" s="234"/>
      <c r="E1526" s="307"/>
      <c r="F1526" s="307"/>
      <c r="G1526" s="308"/>
      <c r="H1526" s="233"/>
      <c r="I1526" s="301"/>
    </row>
    <row r="1527" spans="2:9" s="297" customFormat="1" ht="21" customHeight="1">
      <c r="B1527" s="312" t="s">
        <v>835</v>
      </c>
      <c r="C1527" s="305"/>
      <c r="D1527" s="234"/>
      <c r="E1527" s="307"/>
      <c r="F1527" s="307"/>
      <c r="G1527" s="232"/>
      <c r="H1527" s="233"/>
      <c r="I1527" s="301"/>
    </row>
    <row r="1528" spans="2:9" s="297" customFormat="1" ht="21" customHeight="1">
      <c r="B1528" s="305"/>
      <c r="C1528" s="305" t="s">
        <v>64</v>
      </c>
      <c r="D1528" s="234" t="s">
        <v>836</v>
      </c>
      <c r="E1528" s="307">
        <v>1.264</v>
      </c>
      <c r="F1528" s="307"/>
      <c r="G1528" s="232"/>
      <c r="H1528" s="233"/>
      <c r="I1528" s="301"/>
    </row>
    <row r="1529" spans="2:9" s="297" customFormat="1" ht="21" customHeight="1">
      <c r="B1529" s="305"/>
      <c r="C1529" s="305"/>
      <c r="D1529" s="234"/>
      <c r="E1529" s="306"/>
      <c r="F1529" s="306"/>
      <c r="G1529" s="232"/>
      <c r="H1529" s="232"/>
      <c r="I1529" s="301"/>
    </row>
    <row r="1530" spans="2:9" s="297" customFormat="1" ht="21" customHeight="1">
      <c r="B1530" s="305"/>
      <c r="C1530" s="305"/>
      <c r="D1530" s="234"/>
      <c r="E1530" s="306"/>
      <c r="F1530" s="306"/>
      <c r="G1530" s="308"/>
      <c r="H1530" s="233"/>
      <c r="I1530" s="301"/>
    </row>
    <row r="1531" spans="2:9" s="297" customFormat="1" ht="21" customHeight="1">
      <c r="B1531" s="305"/>
      <c r="C1531" s="305"/>
      <c r="D1531" s="234"/>
      <c r="E1531" s="306"/>
      <c r="F1531" s="306"/>
      <c r="G1531" s="308"/>
      <c r="H1531" s="233"/>
      <c r="I1531" s="301"/>
    </row>
    <row r="1532" spans="2:9" s="297" customFormat="1" ht="21" customHeight="1">
      <c r="B1532" s="305"/>
      <c r="C1532" s="305"/>
      <c r="D1532" s="234"/>
      <c r="E1532" s="306"/>
      <c r="F1532" s="306"/>
      <c r="G1532" s="308"/>
      <c r="H1532" s="233"/>
      <c r="I1532" s="301"/>
    </row>
    <row r="1533" spans="2:9" s="297" customFormat="1" ht="21" customHeight="1">
      <c r="B1533" s="312" t="s">
        <v>837</v>
      </c>
      <c r="C1533" s="305"/>
      <c r="D1533" s="234"/>
      <c r="E1533" s="307"/>
      <c r="F1533" s="307"/>
      <c r="G1533" s="232"/>
      <c r="H1533" s="233"/>
      <c r="I1533" s="301"/>
    </row>
    <row r="1534" spans="2:9" s="297" customFormat="1" ht="21" customHeight="1">
      <c r="B1534" s="305"/>
      <c r="C1534" s="305" t="s">
        <v>64</v>
      </c>
      <c r="D1534" s="234" t="s">
        <v>836</v>
      </c>
      <c r="E1534" s="307">
        <v>3.7999999999999999E-2</v>
      </c>
      <c r="F1534" s="307"/>
      <c r="G1534" s="232"/>
      <c r="H1534" s="233"/>
      <c r="I1534" s="301"/>
    </row>
    <row r="1535" spans="2:9" s="297" customFormat="1" ht="21" customHeight="1">
      <c r="B1535" s="305"/>
      <c r="C1535" s="305"/>
      <c r="D1535" s="234"/>
      <c r="E1535" s="306"/>
      <c r="F1535" s="306"/>
      <c r="G1535" s="232"/>
      <c r="H1535" s="232"/>
      <c r="I1535" s="301"/>
    </row>
    <row r="1536" spans="2:9" s="297" customFormat="1" ht="21" customHeight="1">
      <c r="B1536" s="305"/>
      <c r="C1536" s="305"/>
      <c r="D1536" s="234"/>
      <c r="E1536" s="306"/>
      <c r="F1536" s="306"/>
      <c r="G1536" s="308"/>
      <c r="H1536" s="233"/>
      <c r="I1536" s="301"/>
    </row>
    <row r="1537" spans="2:9" s="297" customFormat="1" ht="21" customHeight="1">
      <c r="B1537" s="305"/>
      <c r="C1537" s="305"/>
      <c r="D1537" s="234"/>
      <c r="E1537" s="306"/>
      <c r="F1537" s="306"/>
      <c r="G1537" s="308"/>
      <c r="H1537" s="233"/>
      <c r="I1537" s="301"/>
    </row>
    <row r="1538" spans="2:9" s="297" customFormat="1" ht="21" customHeight="1">
      <c r="B1538" s="305"/>
      <c r="C1538" s="305"/>
      <c r="D1538" s="234"/>
      <c r="E1538" s="306"/>
      <c r="F1538" s="306"/>
      <c r="G1538" s="308"/>
      <c r="H1538" s="233"/>
      <c r="I1538" s="301"/>
    </row>
    <row r="1539" spans="2:9" s="297" customFormat="1" ht="21" customHeight="1">
      <c r="B1539" s="300" t="str">
        <f>'5. 공종별예산조서'!$A$107</f>
        <v>3-20. 아우트렛박스(커버포함) 신설</v>
      </c>
      <c r="C1539" s="300" t="str">
        <f>'5. 공종별예산조서'!$B$107</f>
        <v>4각 중형 54㎜</v>
      </c>
      <c r="D1539" s="301" t="str">
        <f>'5. 공종별예산조서'!$C$107</f>
        <v>개</v>
      </c>
      <c r="E1539" s="309">
        <f>'5. 공종별예산조서'!$D$107</f>
        <v>198</v>
      </c>
      <c r="F1539" s="302"/>
      <c r="G1539" s="303"/>
      <c r="H1539" s="304"/>
      <c r="I1539" s="301"/>
    </row>
    <row r="1540" spans="2:9" s="297" customFormat="1" ht="21" customHeight="1">
      <c r="B1540" s="312" t="s">
        <v>834</v>
      </c>
      <c r="C1540" s="305"/>
      <c r="D1540" s="234"/>
      <c r="E1540" s="310"/>
      <c r="F1540" s="306"/>
      <c r="G1540" s="232"/>
      <c r="H1540" s="233"/>
      <c r="I1540" s="301"/>
    </row>
    <row r="1541" spans="2:9" s="297" customFormat="1" ht="21" customHeight="1">
      <c r="B1541" s="305" t="s">
        <v>1126</v>
      </c>
      <c r="C1541" s="305" t="str">
        <f>C1539</f>
        <v>4각 중형 54㎜</v>
      </c>
      <c r="D1541" s="234" t="str">
        <f>D1539</f>
        <v>개</v>
      </c>
      <c r="E1541" s="311">
        <f>E1539</f>
        <v>198</v>
      </c>
      <c r="F1541" s="307"/>
      <c r="G1541" s="232"/>
      <c r="H1541" s="233"/>
      <c r="I1541" s="301"/>
    </row>
    <row r="1542" spans="2:9" s="297" customFormat="1" ht="21" customHeight="1">
      <c r="B1542" s="305" t="s">
        <v>1127</v>
      </c>
      <c r="C1542" s="305" t="s">
        <v>1128</v>
      </c>
      <c r="D1542" s="234" t="str">
        <f>D1541</f>
        <v>개</v>
      </c>
      <c r="E1542" s="339">
        <f>E1541</f>
        <v>198</v>
      </c>
      <c r="F1542" s="307"/>
      <c r="G1542" s="232"/>
      <c r="H1542" s="233"/>
      <c r="I1542" s="301"/>
    </row>
    <row r="1543" spans="2:9" s="297" customFormat="1" ht="21" customHeight="1">
      <c r="B1543" s="305"/>
      <c r="C1543" s="305"/>
      <c r="D1543" s="234"/>
      <c r="E1543" s="311"/>
      <c r="F1543" s="307"/>
      <c r="G1543" s="232"/>
      <c r="H1543" s="233"/>
      <c r="I1543" s="301"/>
    </row>
    <row r="1544" spans="2:9" s="297" customFormat="1" ht="21" customHeight="1">
      <c r="B1544" s="305"/>
      <c r="C1544" s="305"/>
      <c r="D1544" s="234"/>
      <c r="E1544" s="311"/>
      <c r="F1544" s="307"/>
      <c r="G1544" s="232"/>
      <c r="H1544" s="233"/>
      <c r="I1544" s="301"/>
    </row>
    <row r="1545" spans="2:9" s="297" customFormat="1" ht="21" customHeight="1">
      <c r="B1545" s="305"/>
      <c r="C1545" s="305"/>
      <c r="D1545" s="234"/>
      <c r="E1545" s="311"/>
      <c r="F1545" s="307"/>
      <c r="G1545" s="232"/>
      <c r="H1545" s="233"/>
      <c r="I1545" s="301"/>
    </row>
    <row r="1546" spans="2:9" s="297" customFormat="1" ht="21" customHeight="1">
      <c r="B1546" s="305"/>
      <c r="C1546" s="305"/>
      <c r="D1546" s="234"/>
      <c r="E1546" s="311"/>
      <c r="F1546" s="307"/>
      <c r="G1546" s="232"/>
      <c r="H1546" s="233"/>
      <c r="I1546" s="301"/>
    </row>
    <row r="1547" spans="2:9" s="297" customFormat="1" ht="21" customHeight="1">
      <c r="B1547" s="305"/>
      <c r="C1547" s="305"/>
      <c r="D1547" s="234"/>
      <c r="E1547" s="307"/>
      <c r="F1547" s="307"/>
      <c r="G1547" s="232"/>
      <c r="H1547" s="232"/>
      <c r="I1547" s="301"/>
    </row>
    <row r="1548" spans="2:9" s="297" customFormat="1" ht="21" customHeight="1">
      <c r="B1548" s="305"/>
      <c r="C1548" s="305"/>
      <c r="D1548" s="234"/>
      <c r="E1548" s="307"/>
      <c r="F1548" s="307"/>
      <c r="G1548" s="232"/>
      <c r="H1548" s="232"/>
      <c r="I1548" s="301"/>
    </row>
    <row r="1549" spans="2:9" s="297" customFormat="1" ht="21" customHeight="1">
      <c r="B1549" s="305"/>
      <c r="C1549" s="305"/>
      <c r="D1549" s="234"/>
      <c r="E1549" s="307"/>
      <c r="F1549" s="307"/>
      <c r="G1549" s="308"/>
      <c r="H1549" s="233"/>
      <c r="I1549" s="301"/>
    </row>
    <row r="1550" spans="2:9" s="297" customFormat="1" ht="21" customHeight="1">
      <c r="B1550" s="305"/>
      <c r="C1550" s="305"/>
      <c r="D1550" s="234"/>
      <c r="E1550" s="307"/>
      <c r="F1550" s="307"/>
      <c r="G1550" s="308"/>
      <c r="H1550" s="233"/>
      <c r="I1550" s="301"/>
    </row>
    <row r="1551" spans="2:9" s="297" customFormat="1" ht="21" customHeight="1">
      <c r="B1551" s="312" t="s">
        <v>835</v>
      </c>
      <c r="C1551" s="305"/>
      <c r="D1551" s="234"/>
      <c r="E1551" s="307"/>
      <c r="F1551" s="307"/>
      <c r="G1551" s="232"/>
      <c r="H1551" s="233"/>
      <c r="I1551" s="301"/>
    </row>
    <row r="1552" spans="2:9" s="297" customFormat="1" ht="21" customHeight="1">
      <c r="B1552" s="305"/>
      <c r="C1552" s="305" t="s">
        <v>64</v>
      </c>
      <c r="D1552" s="234" t="s">
        <v>836</v>
      </c>
      <c r="E1552" s="307">
        <v>35.64</v>
      </c>
      <c r="F1552" s="307"/>
      <c r="G1552" s="232"/>
      <c r="H1552" s="233"/>
      <c r="I1552" s="301"/>
    </row>
    <row r="1553" spans="2:9" s="297" customFormat="1" ht="21" customHeight="1">
      <c r="B1553" s="305"/>
      <c r="C1553" s="305"/>
      <c r="D1553" s="234"/>
      <c r="E1553" s="306"/>
      <c r="F1553" s="306"/>
      <c r="G1553" s="232"/>
      <c r="H1553" s="232"/>
      <c r="I1553" s="301"/>
    </row>
    <row r="1554" spans="2:9" s="297" customFormat="1" ht="21" customHeight="1">
      <c r="B1554" s="305"/>
      <c r="C1554" s="305"/>
      <c r="D1554" s="234"/>
      <c r="E1554" s="306"/>
      <c r="F1554" s="306"/>
      <c r="G1554" s="308"/>
      <c r="H1554" s="233"/>
      <c r="I1554" s="301"/>
    </row>
    <row r="1555" spans="2:9" s="297" customFormat="1" ht="21" customHeight="1">
      <c r="B1555" s="305"/>
      <c r="C1555" s="305"/>
      <c r="D1555" s="234"/>
      <c r="E1555" s="306"/>
      <c r="F1555" s="306"/>
      <c r="G1555" s="308"/>
      <c r="H1555" s="233"/>
      <c r="I1555" s="301"/>
    </row>
    <row r="1556" spans="2:9" s="297" customFormat="1" ht="21" customHeight="1">
      <c r="B1556" s="305"/>
      <c r="C1556" s="305"/>
      <c r="D1556" s="234"/>
      <c r="E1556" s="306"/>
      <c r="F1556" s="306"/>
      <c r="G1556" s="308"/>
      <c r="H1556" s="233"/>
      <c r="I1556" s="301"/>
    </row>
    <row r="1557" spans="2:9" s="297" customFormat="1" ht="21" customHeight="1">
      <c r="B1557" s="312" t="s">
        <v>837</v>
      </c>
      <c r="C1557" s="305"/>
      <c r="D1557" s="234"/>
      <c r="E1557" s="307"/>
      <c r="F1557" s="307"/>
      <c r="G1557" s="232"/>
      <c r="H1557" s="233"/>
      <c r="I1557" s="301"/>
    </row>
    <row r="1558" spans="2:9" s="297" customFormat="1" ht="21" customHeight="1">
      <c r="B1558" s="305"/>
      <c r="C1558" s="305" t="s">
        <v>64</v>
      </c>
      <c r="D1558" s="234" t="s">
        <v>836</v>
      </c>
      <c r="E1558" s="307">
        <v>1.069</v>
      </c>
      <c r="F1558" s="307"/>
      <c r="G1558" s="232"/>
      <c r="H1558" s="233"/>
      <c r="I1558" s="301"/>
    </row>
    <row r="1559" spans="2:9" s="297" customFormat="1" ht="21" customHeight="1">
      <c r="B1559" s="305"/>
      <c r="C1559" s="305"/>
      <c r="D1559" s="234"/>
      <c r="E1559" s="306"/>
      <c r="F1559" s="306"/>
      <c r="G1559" s="232"/>
      <c r="H1559" s="232"/>
      <c r="I1559" s="301"/>
    </row>
    <row r="1560" spans="2:9" s="297" customFormat="1" ht="21" customHeight="1">
      <c r="B1560" s="305"/>
      <c r="C1560" s="305"/>
      <c r="D1560" s="234"/>
      <c r="E1560" s="306"/>
      <c r="F1560" s="306"/>
      <c r="G1560" s="308"/>
      <c r="H1560" s="233"/>
      <c r="I1560" s="301"/>
    </row>
    <row r="1561" spans="2:9" s="297" customFormat="1" ht="21" customHeight="1">
      <c r="B1561" s="305"/>
      <c r="C1561" s="305"/>
      <c r="D1561" s="234"/>
      <c r="E1561" s="306"/>
      <c r="F1561" s="306"/>
      <c r="G1561" s="308"/>
      <c r="H1561" s="233"/>
      <c r="I1561" s="301"/>
    </row>
    <row r="1562" spans="2:9" s="297" customFormat="1" ht="21" customHeight="1">
      <c r="B1562" s="305"/>
      <c r="C1562" s="305"/>
      <c r="D1562" s="234"/>
      <c r="E1562" s="306"/>
      <c r="F1562" s="306"/>
      <c r="G1562" s="308"/>
      <c r="H1562" s="233"/>
      <c r="I1562" s="301"/>
    </row>
    <row r="1563" spans="2:9" s="297" customFormat="1" ht="21" customHeight="1">
      <c r="B1563" s="300" t="str">
        <f>'5. 공종별예산조서'!$A$108</f>
        <v>3-21. 스위치 신설</v>
      </c>
      <c r="C1563" s="300" t="str">
        <f>'5. 공종별예산조서'!$B$108</f>
        <v>250V, 단로 1구</v>
      </c>
      <c r="D1563" s="301" t="str">
        <f>'5. 공종별예산조서'!$C$108</f>
        <v>개</v>
      </c>
      <c r="E1563" s="309">
        <f>'5. 공종별예산조서'!$D$108</f>
        <v>21</v>
      </c>
      <c r="F1563" s="302"/>
      <c r="G1563" s="303"/>
      <c r="H1563" s="304"/>
      <c r="I1563" s="301"/>
    </row>
    <row r="1564" spans="2:9" s="297" customFormat="1" ht="21" customHeight="1">
      <c r="B1564" s="312" t="s">
        <v>834</v>
      </c>
      <c r="C1564" s="305"/>
      <c r="D1564" s="234"/>
      <c r="E1564" s="310"/>
      <c r="F1564" s="306"/>
      <c r="G1564" s="232"/>
      <c r="H1564" s="233"/>
      <c r="I1564" s="301"/>
    </row>
    <row r="1565" spans="2:9" s="297" customFormat="1" ht="21" customHeight="1">
      <c r="B1565" s="305" t="s">
        <v>1144</v>
      </c>
      <c r="C1565" s="305" t="str">
        <f>C1563</f>
        <v>250V, 단로 1구</v>
      </c>
      <c r="D1565" s="234" t="str">
        <f>D1563</f>
        <v>개</v>
      </c>
      <c r="E1565" s="311">
        <f>E1563</f>
        <v>21</v>
      </c>
      <c r="F1565" s="307"/>
      <c r="G1565" s="232"/>
      <c r="H1565" s="233"/>
      <c r="I1565" s="301"/>
    </row>
    <row r="1566" spans="2:9" s="297" customFormat="1" ht="21" customHeight="1">
      <c r="B1566" s="305"/>
      <c r="C1566" s="305"/>
      <c r="D1566" s="234"/>
      <c r="E1566" s="311"/>
      <c r="F1566" s="307"/>
      <c r="G1566" s="232"/>
      <c r="H1566" s="233"/>
      <c r="I1566" s="301"/>
    </row>
    <row r="1567" spans="2:9" s="297" customFormat="1" ht="21" customHeight="1">
      <c r="B1567" s="305"/>
      <c r="C1567" s="305"/>
      <c r="D1567" s="234"/>
      <c r="E1567" s="311"/>
      <c r="F1567" s="307"/>
      <c r="G1567" s="232"/>
      <c r="H1567" s="233"/>
      <c r="I1567" s="301"/>
    </row>
    <row r="1568" spans="2:9" s="297" customFormat="1" ht="21" customHeight="1">
      <c r="B1568" s="305"/>
      <c r="C1568" s="305"/>
      <c r="D1568" s="234"/>
      <c r="E1568" s="311"/>
      <c r="F1568" s="307"/>
      <c r="G1568" s="232"/>
      <c r="H1568" s="233"/>
      <c r="I1568" s="301"/>
    </row>
    <row r="1569" spans="2:9" s="297" customFormat="1" ht="21" customHeight="1">
      <c r="B1569" s="305"/>
      <c r="C1569" s="305"/>
      <c r="D1569" s="234"/>
      <c r="E1569" s="311"/>
      <c r="F1569" s="307"/>
      <c r="G1569" s="232"/>
      <c r="H1569" s="233"/>
      <c r="I1569" s="301"/>
    </row>
    <row r="1570" spans="2:9" s="297" customFormat="1" ht="21" customHeight="1">
      <c r="B1570" s="305"/>
      <c r="C1570" s="305"/>
      <c r="D1570" s="234"/>
      <c r="E1570" s="311"/>
      <c r="F1570" s="307"/>
      <c r="G1570" s="232"/>
      <c r="H1570" s="233"/>
      <c r="I1570" s="301"/>
    </row>
    <row r="1571" spans="2:9" s="297" customFormat="1" ht="21" customHeight="1">
      <c r="B1571" s="305"/>
      <c r="C1571" s="305"/>
      <c r="D1571" s="234"/>
      <c r="E1571" s="307"/>
      <c r="F1571" s="307"/>
      <c r="G1571" s="232"/>
      <c r="H1571" s="232"/>
      <c r="I1571" s="301"/>
    </row>
    <row r="1572" spans="2:9" s="297" customFormat="1" ht="21" customHeight="1">
      <c r="B1572" s="305"/>
      <c r="C1572" s="305"/>
      <c r="D1572" s="234"/>
      <c r="E1572" s="307"/>
      <c r="F1572" s="307"/>
      <c r="G1572" s="232"/>
      <c r="H1572" s="232"/>
      <c r="I1572" s="301"/>
    </row>
    <row r="1573" spans="2:9" s="297" customFormat="1" ht="21" customHeight="1">
      <c r="B1573" s="305"/>
      <c r="C1573" s="305"/>
      <c r="D1573" s="234"/>
      <c r="E1573" s="307"/>
      <c r="F1573" s="307"/>
      <c r="G1573" s="308"/>
      <c r="H1573" s="233"/>
      <c r="I1573" s="301"/>
    </row>
    <row r="1574" spans="2:9" s="297" customFormat="1" ht="21" customHeight="1">
      <c r="B1574" s="305"/>
      <c r="C1574" s="305"/>
      <c r="D1574" s="234"/>
      <c r="E1574" s="307"/>
      <c r="F1574" s="307"/>
      <c r="G1574" s="308"/>
      <c r="H1574" s="233"/>
      <c r="I1574" s="301"/>
    </row>
    <row r="1575" spans="2:9" s="297" customFormat="1" ht="21" customHeight="1">
      <c r="B1575" s="312" t="s">
        <v>835</v>
      </c>
      <c r="C1575" s="305"/>
      <c r="D1575" s="234"/>
      <c r="E1575" s="307"/>
      <c r="F1575" s="307"/>
      <c r="G1575" s="232"/>
      <c r="H1575" s="233"/>
      <c r="I1575" s="301"/>
    </row>
    <row r="1576" spans="2:9" s="297" customFormat="1" ht="21" customHeight="1">
      <c r="B1576" s="305"/>
      <c r="C1576" s="305" t="s">
        <v>64</v>
      </c>
      <c r="D1576" s="234" t="s">
        <v>836</v>
      </c>
      <c r="E1576" s="307">
        <v>1.7849999999999999</v>
      </c>
      <c r="F1576" s="307"/>
      <c r="G1576" s="232"/>
      <c r="H1576" s="233"/>
      <c r="I1576" s="301"/>
    </row>
    <row r="1577" spans="2:9" s="297" customFormat="1" ht="21" customHeight="1">
      <c r="B1577" s="305"/>
      <c r="C1577" s="305"/>
      <c r="D1577" s="234"/>
      <c r="E1577" s="306"/>
      <c r="F1577" s="306"/>
      <c r="G1577" s="232"/>
      <c r="H1577" s="232"/>
      <c r="I1577" s="301"/>
    </row>
    <row r="1578" spans="2:9" s="297" customFormat="1" ht="21" customHeight="1">
      <c r="B1578" s="305"/>
      <c r="C1578" s="305"/>
      <c r="D1578" s="234"/>
      <c r="E1578" s="306"/>
      <c r="F1578" s="306"/>
      <c r="G1578" s="308"/>
      <c r="H1578" s="233"/>
      <c r="I1578" s="301"/>
    </row>
    <row r="1579" spans="2:9" s="297" customFormat="1" ht="21" customHeight="1">
      <c r="B1579" s="305"/>
      <c r="C1579" s="305"/>
      <c r="D1579" s="234"/>
      <c r="E1579" s="306"/>
      <c r="F1579" s="306"/>
      <c r="G1579" s="308"/>
      <c r="H1579" s="233"/>
      <c r="I1579" s="301"/>
    </row>
    <row r="1580" spans="2:9" s="297" customFormat="1" ht="21" customHeight="1">
      <c r="B1580" s="305"/>
      <c r="C1580" s="305"/>
      <c r="D1580" s="234"/>
      <c r="E1580" s="306"/>
      <c r="F1580" s="306"/>
      <c r="G1580" s="308"/>
      <c r="H1580" s="233"/>
      <c r="I1580" s="301"/>
    </row>
    <row r="1581" spans="2:9" s="297" customFormat="1" ht="21" customHeight="1">
      <c r="B1581" s="312" t="s">
        <v>837</v>
      </c>
      <c r="C1581" s="305"/>
      <c r="D1581" s="234"/>
      <c r="E1581" s="307"/>
      <c r="F1581" s="307"/>
      <c r="G1581" s="232"/>
      <c r="H1581" s="233"/>
      <c r="I1581" s="301"/>
    </row>
    <row r="1582" spans="2:9" s="297" customFormat="1" ht="21" customHeight="1">
      <c r="B1582" s="305"/>
      <c r="C1582" s="305" t="s">
        <v>64</v>
      </c>
      <c r="D1582" s="234" t="s">
        <v>836</v>
      </c>
      <c r="E1582" s="307">
        <v>5.3999999999999999E-2</v>
      </c>
      <c r="F1582" s="307"/>
      <c r="G1582" s="232"/>
      <c r="H1582" s="233"/>
      <c r="I1582" s="301"/>
    </row>
    <row r="1583" spans="2:9" s="297" customFormat="1" ht="21" customHeight="1">
      <c r="B1583" s="305"/>
      <c r="C1583" s="305"/>
      <c r="D1583" s="234"/>
      <c r="E1583" s="306"/>
      <c r="F1583" s="306"/>
      <c r="G1583" s="232"/>
      <c r="H1583" s="232"/>
      <c r="I1583" s="301"/>
    </row>
    <row r="1584" spans="2:9" s="297" customFormat="1" ht="21" customHeight="1">
      <c r="B1584" s="305"/>
      <c r="C1584" s="305"/>
      <c r="D1584" s="234"/>
      <c r="E1584" s="306"/>
      <c r="F1584" s="306"/>
      <c r="G1584" s="308"/>
      <c r="H1584" s="233"/>
      <c r="I1584" s="301"/>
    </row>
    <row r="1585" spans="2:9" s="297" customFormat="1" ht="21" customHeight="1">
      <c r="B1585" s="305"/>
      <c r="C1585" s="305"/>
      <c r="D1585" s="234"/>
      <c r="E1585" s="306"/>
      <c r="F1585" s="306"/>
      <c r="G1585" s="308"/>
      <c r="H1585" s="233"/>
      <c r="I1585" s="301"/>
    </row>
    <row r="1586" spans="2:9" s="297" customFormat="1" ht="21" customHeight="1">
      <c r="B1586" s="305"/>
      <c r="C1586" s="305"/>
      <c r="D1586" s="234"/>
      <c r="E1586" s="306"/>
      <c r="F1586" s="306"/>
      <c r="G1586" s="308"/>
      <c r="H1586" s="233"/>
      <c r="I1586" s="301"/>
    </row>
    <row r="1587" spans="2:9" s="346" customFormat="1" ht="21" customHeight="1">
      <c r="B1587" s="300" t="str">
        <f>'5. 공종별예산조서'!$A$109</f>
        <v>3-22. 스위치 신설</v>
      </c>
      <c r="C1587" s="300" t="str">
        <f>'5. 공종별예산조서'!$B$109</f>
        <v>250V, 단로 2구</v>
      </c>
      <c r="D1587" s="301" t="str">
        <f>'5. 공종별예산조서'!$C$109</f>
        <v>개</v>
      </c>
      <c r="E1587" s="309">
        <f>'5. 공종별예산조서'!$D$109</f>
        <v>11</v>
      </c>
      <c r="F1587" s="302"/>
      <c r="G1587" s="303"/>
      <c r="H1587" s="304"/>
      <c r="I1587" s="301"/>
    </row>
    <row r="1588" spans="2:9" s="346" customFormat="1" ht="21" customHeight="1">
      <c r="B1588" s="312" t="s">
        <v>834</v>
      </c>
      <c r="C1588" s="305"/>
      <c r="D1588" s="234"/>
      <c r="E1588" s="310"/>
      <c r="F1588" s="306"/>
      <c r="G1588" s="232"/>
      <c r="H1588" s="233"/>
      <c r="I1588" s="301"/>
    </row>
    <row r="1589" spans="2:9" s="346" customFormat="1" ht="21" customHeight="1">
      <c r="B1589" s="305" t="s">
        <v>1144</v>
      </c>
      <c r="C1589" s="305" t="str">
        <f>C1587</f>
        <v>250V, 단로 2구</v>
      </c>
      <c r="D1589" s="234" t="str">
        <f>D1587</f>
        <v>개</v>
      </c>
      <c r="E1589" s="311">
        <f>E1587</f>
        <v>11</v>
      </c>
      <c r="F1589" s="307"/>
      <c r="G1589" s="232"/>
      <c r="H1589" s="233"/>
      <c r="I1589" s="301"/>
    </row>
    <row r="1590" spans="2:9" s="346" customFormat="1" ht="21" customHeight="1">
      <c r="B1590" s="305"/>
      <c r="C1590" s="305"/>
      <c r="D1590" s="234"/>
      <c r="E1590" s="311"/>
      <c r="F1590" s="307"/>
      <c r="G1590" s="232"/>
      <c r="H1590" s="233"/>
      <c r="I1590" s="301"/>
    </row>
    <row r="1591" spans="2:9" s="346" customFormat="1" ht="21" customHeight="1">
      <c r="B1591" s="305"/>
      <c r="C1591" s="305"/>
      <c r="D1591" s="234"/>
      <c r="E1591" s="311"/>
      <c r="F1591" s="307"/>
      <c r="G1591" s="232"/>
      <c r="H1591" s="233"/>
      <c r="I1591" s="301"/>
    </row>
    <row r="1592" spans="2:9" s="346" customFormat="1" ht="21" customHeight="1">
      <c r="B1592" s="305"/>
      <c r="C1592" s="305"/>
      <c r="D1592" s="234"/>
      <c r="E1592" s="311"/>
      <c r="F1592" s="307"/>
      <c r="G1592" s="232"/>
      <c r="H1592" s="233"/>
      <c r="I1592" s="301"/>
    </row>
    <row r="1593" spans="2:9" s="346" customFormat="1" ht="21" customHeight="1">
      <c r="B1593" s="305"/>
      <c r="C1593" s="305"/>
      <c r="D1593" s="234"/>
      <c r="E1593" s="311"/>
      <c r="F1593" s="307"/>
      <c r="G1593" s="232"/>
      <c r="H1593" s="233"/>
      <c r="I1593" s="301"/>
    </row>
    <row r="1594" spans="2:9" s="346" customFormat="1" ht="21" customHeight="1">
      <c r="B1594" s="305"/>
      <c r="C1594" s="305"/>
      <c r="D1594" s="234"/>
      <c r="E1594" s="311"/>
      <c r="F1594" s="307"/>
      <c r="G1594" s="232"/>
      <c r="H1594" s="233"/>
      <c r="I1594" s="301"/>
    </row>
    <row r="1595" spans="2:9" s="346" customFormat="1" ht="21" customHeight="1">
      <c r="B1595" s="305"/>
      <c r="C1595" s="305"/>
      <c r="D1595" s="234"/>
      <c r="E1595" s="307"/>
      <c r="F1595" s="307"/>
      <c r="G1595" s="232"/>
      <c r="H1595" s="232"/>
      <c r="I1595" s="301"/>
    </row>
    <row r="1596" spans="2:9" s="346" customFormat="1" ht="21" customHeight="1">
      <c r="B1596" s="305"/>
      <c r="C1596" s="305"/>
      <c r="D1596" s="234"/>
      <c r="E1596" s="307"/>
      <c r="F1596" s="307"/>
      <c r="G1596" s="232"/>
      <c r="H1596" s="232"/>
      <c r="I1596" s="301"/>
    </row>
    <row r="1597" spans="2:9" s="346" customFormat="1" ht="21" customHeight="1">
      <c r="B1597" s="305"/>
      <c r="C1597" s="305"/>
      <c r="D1597" s="234"/>
      <c r="E1597" s="307"/>
      <c r="F1597" s="307"/>
      <c r="G1597" s="308"/>
      <c r="H1597" s="233"/>
      <c r="I1597" s="301"/>
    </row>
    <row r="1598" spans="2:9" s="346" customFormat="1" ht="21" customHeight="1">
      <c r="B1598" s="305"/>
      <c r="C1598" s="305"/>
      <c r="D1598" s="234"/>
      <c r="E1598" s="307"/>
      <c r="F1598" s="307"/>
      <c r="G1598" s="308"/>
      <c r="H1598" s="233"/>
      <c r="I1598" s="301"/>
    </row>
    <row r="1599" spans="2:9" s="346" customFormat="1" ht="21" customHeight="1">
      <c r="B1599" s="312" t="s">
        <v>835</v>
      </c>
      <c r="C1599" s="305"/>
      <c r="D1599" s="234"/>
      <c r="E1599" s="307"/>
      <c r="F1599" s="307"/>
      <c r="G1599" s="232"/>
      <c r="H1599" s="233"/>
      <c r="I1599" s="301"/>
    </row>
    <row r="1600" spans="2:9" s="346" customFormat="1" ht="21" customHeight="1">
      <c r="B1600" s="305"/>
      <c r="C1600" s="305" t="s">
        <v>64</v>
      </c>
      <c r="D1600" s="234" t="s">
        <v>836</v>
      </c>
      <c r="E1600" s="307">
        <v>0.93500000000000005</v>
      </c>
      <c r="F1600" s="307"/>
      <c r="G1600" s="232"/>
      <c r="H1600" s="233"/>
      <c r="I1600" s="301"/>
    </row>
    <row r="1601" spans="2:9" s="346" customFormat="1" ht="21" customHeight="1">
      <c r="B1601" s="305"/>
      <c r="C1601" s="305"/>
      <c r="D1601" s="234"/>
      <c r="E1601" s="306"/>
      <c r="F1601" s="306"/>
      <c r="G1601" s="232"/>
      <c r="H1601" s="232"/>
      <c r="I1601" s="301"/>
    </row>
    <row r="1602" spans="2:9" s="346" customFormat="1" ht="21" customHeight="1">
      <c r="B1602" s="305"/>
      <c r="C1602" s="305"/>
      <c r="D1602" s="234"/>
      <c r="E1602" s="306"/>
      <c r="F1602" s="306"/>
      <c r="G1602" s="308"/>
      <c r="H1602" s="233"/>
      <c r="I1602" s="301"/>
    </row>
    <row r="1603" spans="2:9" s="346" customFormat="1" ht="21" customHeight="1">
      <c r="B1603" s="305"/>
      <c r="C1603" s="305"/>
      <c r="D1603" s="234"/>
      <c r="E1603" s="306"/>
      <c r="F1603" s="306"/>
      <c r="G1603" s="308"/>
      <c r="H1603" s="233"/>
      <c r="I1603" s="301"/>
    </row>
    <row r="1604" spans="2:9" s="346" customFormat="1" ht="21" customHeight="1">
      <c r="B1604" s="305"/>
      <c r="C1604" s="305"/>
      <c r="D1604" s="234"/>
      <c r="E1604" s="306"/>
      <c r="F1604" s="306"/>
      <c r="G1604" s="308"/>
      <c r="H1604" s="233"/>
      <c r="I1604" s="301"/>
    </row>
    <row r="1605" spans="2:9" s="346" customFormat="1" ht="21" customHeight="1">
      <c r="B1605" s="312" t="s">
        <v>837</v>
      </c>
      <c r="C1605" s="305"/>
      <c r="D1605" s="234"/>
      <c r="E1605" s="307"/>
      <c r="F1605" s="307"/>
      <c r="G1605" s="232"/>
      <c r="H1605" s="233"/>
      <c r="I1605" s="301"/>
    </row>
    <row r="1606" spans="2:9" s="346" customFormat="1" ht="21" customHeight="1">
      <c r="B1606" s="305"/>
      <c r="C1606" s="305" t="s">
        <v>64</v>
      </c>
      <c r="D1606" s="234" t="s">
        <v>836</v>
      </c>
      <c r="E1606" s="307">
        <v>2.8000000000000001E-2</v>
      </c>
      <c r="F1606" s="307"/>
      <c r="G1606" s="232"/>
      <c r="H1606" s="233"/>
      <c r="I1606" s="301"/>
    </row>
    <row r="1607" spans="2:9" s="346" customFormat="1" ht="21" customHeight="1">
      <c r="B1607" s="305"/>
      <c r="C1607" s="305"/>
      <c r="D1607" s="234"/>
      <c r="E1607" s="306"/>
      <c r="F1607" s="306"/>
      <c r="G1607" s="232"/>
      <c r="H1607" s="232"/>
      <c r="I1607" s="301"/>
    </row>
    <row r="1608" spans="2:9" s="346" customFormat="1" ht="21" customHeight="1">
      <c r="B1608" s="305"/>
      <c r="C1608" s="305"/>
      <c r="D1608" s="234"/>
      <c r="E1608" s="306"/>
      <c r="F1608" s="306"/>
      <c r="G1608" s="308"/>
      <c r="H1608" s="233"/>
      <c r="I1608" s="301"/>
    </row>
    <row r="1609" spans="2:9" s="346" customFormat="1" ht="21" customHeight="1">
      <c r="B1609" s="305"/>
      <c r="C1609" s="305"/>
      <c r="D1609" s="234"/>
      <c r="E1609" s="306"/>
      <c r="F1609" s="306"/>
      <c r="G1609" s="308"/>
      <c r="H1609" s="233"/>
      <c r="I1609" s="301"/>
    </row>
    <row r="1610" spans="2:9" s="346" customFormat="1" ht="21" customHeight="1">
      <c r="B1610" s="305"/>
      <c r="C1610" s="305"/>
      <c r="D1610" s="234"/>
      <c r="E1610" s="306"/>
      <c r="F1610" s="306"/>
      <c r="G1610" s="308"/>
      <c r="H1610" s="233"/>
      <c r="I1610" s="301"/>
    </row>
    <row r="1611" spans="2:9" s="346" customFormat="1" ht="21" customHeight="1">
      <c r="B1611" s="300" t="str">
        <f>'5. 공종별예산조서'!$A$110</f>
        <v>3-23. 스위치 신설</v>
      </c>
      <c r="C1611" s="300" t="str">
        <f>'5. 공종별예산조서'!$B$110</f>
        <v>250V, 단로 3구</v>
      </c>
      <c r="D1611" s="301" t="str">
        <f>'5. 공종별예산조서'!$C$110</f>
        <v>개</v>
      </c>
      <c r="E1611" s="309">
        <f>'5. 공종별예산조서'!$D$110</f>
        <v>8</v>
      </c>
      <c r="F1611" s="302"/>
      <c r="G1611" s="303"/>
      <c r="H1611" s="304"/>
      <c r="I1611" s="301"/>
    </row>
    <row r="1612" spans="2:9" s="346" customFormat="1" ht="21" customHeight="1">
      <c r="B1612" s="312" t="s">
        <v>834</v>
      </c>
      <c r="C1612" s="305"/>
      <c r="D1612" s="234"/>
      <c r="E1612" s="310"/>
      <c r="F1612" s="306"/>
      <c r="G1612" s="232"/>
      <c r="H1612" s="233"/>
      <c r="I1612" s="301"/>
    </row>
    <row r="1613" spans="2:9" s="346" customFormat="1" ht="21" customHeight="1">
      <c r="B1613" s="305" t="s">
        <v>1144</v>
      </c>
      <c r="C1613" s="305" t="str">
        <f>C1611</f>
        <v>250V, 단로 3구</v>
      </c>
      <c r="D1613" s="234" t="str">
        <f>D1611</f>
        <v>개</v>
      </c>
      <c r="E1613" s="311">
        <f>E1611</f>
        <v>8</v>
      </c>
      <c r="F1613" s="307"/>
      <c r="G1613" s="232"/>
      <c r="H1613" s="233"/>
      <c r="I1613" s="301"/>
    </row>
    <row r="1614" spans="2:9" s="346" customFormat="1" ht="21" customHeight="1">
      <c r="B1614" s="305"/>
      <c r="C1614" s="305"/>
      <c r="D1614" s="234"/>
      <c r="E1614" s="311"/>
      <c r="F1614" s="307"/>
      <c r="G1614" s="232"/>
      <c r="H1614" s="233"/>
      <c r="I1614" s="301"/>
    </row>
    <row r="1615" spans="2:9" s="346" customFormat="1" ht="21" customHeight="1">
      <c r="B1615" s="305"/>
      <c r="C1615" s="305"/>
      <c r="D1615" s="234"/>
      <c r="E1615" s="311"/>
      <c r="F1615" s="307"/>
      <c r="G1615" s="232"/>
      <c r="H1615" s="233"/>
      <c r="I1615" s="301"/>
    </row>
    <row r="1616" spans="2:9" s="346" customFormat="1" ht="21" customHeight="1">
      <c r="B1616" s="305"/>
      <c r="C1616" s="305"/>
      <c r="D1616" s="234"/>
      <c r="E1616" s="311"/>
      <c r="F1616" s="307"/>
      <c r="G1616" s="232"/>
      <c r="H1616" s="233"/>
      <c r="I1616" s="301"/>
    </row>
    <row r="1617" spans="2:9" s="346" customFormat="1" ht="21" customHeight="1">
      <c r="B1617" s="305"/>
      <c r="C1617" s="305"/>
      <c r="D1617" s="234"/>
      <c r="E1617" s="311"/>
      <c r="F1617" s="307"/>
      <c r="G1617" s="232"/>
      <c r="H1617" s="233"/>
      <c r="I1617" s="301"/>
    </row>
    <row r="1618" spans="2:9" s="346" customFormat="1" ht="21" customHeight="1">
      <c r="B1618" s="305"/>
      <c r="C1618" s="305"/>
      <c r="D1618" s="234"/>
      <c r="E1618" s="311"/>
      <c r="F1618" s="307"/>
      <c r="G1618" s="232"/>
      <c r="H1618" s="233"/>
      <c r="I1618" s="301"/>
    </row>
    <row r="1619" spans="2:9" s="346" customFormat="1" ht="21" customHeight="1">
      <c r="B1619" s="305"/>
      <c r="C1619" s="305"/>
      <c r="D1619" s="234"/>
      <c r="E1619" s="307"/>
      <c r="F1619" s="307"/>
      <c r="G1619" s="232"/>
      <c r="H1619" s="232"/>
      <c r="I1619" s="301"/>
    </row>
    <row r="1620" spans="2:9" s="346" customFormat="1" ht="21" customHeight="1">
      <c r="B1620" s="305"/>
      <c r="C1620" s="305"/>
      <c r="D1620" s="234"/>
      <c r="E1620" s="307"/>
      <c r="F1620" s="307"/>
      <c r="G1620" s="232"/>
      <c r="H1620" s="232"/>
      <c r="I1620" s="301"/>
    </row>
    <row r="1621" spans="2:9" s="346" customFormat="1" ht="21" customHeight="1">
      <c r="B1621" s="305"/>
      <c r="C1621" s="305"/>
      <c r="D1621" s="234"/>
      <c r="E1621" s="307"/>
      <c r="F1621" s="307"/>
      <c r="G1621" s="308"/>
      <c r="H1621" s="233"/>
      <c r="I1621" s="301"/>
    </row>
    <row r="1622" spans="2:9" s="346" customFormat="1" ht="21" customHeight="1">
      <c r="B1622" s="305"/>
      <c r="C1622" s="305"/>
      <c r="D1622" s="234"/>
      <c r="E1622" s="307"/>
      <c r="F1622" s="307"/>
      <c r="G1622" s="308"/>
      <c r="H1622" s="233"/>
      <c r="I1622" s="301"/>
    </row>
    <row r="1623" spans="2:9" s="346" customFormat="1" ht="21" customHeight="1">
      <c r="B1623" s="312" t="s">
        <v>835</v>
      </c>
      <c r="C1623" s="305"/>
      <c r="D1623" s="234"/>
      <c r="E1623" s="307"/>
      <c r="F1623" s="307"/>
      <c r="G1623" s="232"/>
      <c r="H1623" s="233"/>
      <c r="I1623" s="301"/>
    </row>
    <row r="1624" spans="2:9" s="346" customFormat="1" ht="21" customHeight="1">
      <c r="B1624" s="305"/>
      <c r="C1624" s="305" t="s">
        <v>64</v>
      </c>
      <c r="D1624" s="234" t="s">
        <v>836</v>
      </c>
      <c r="E1624" s="307">
        <v>0.68</v>
      </c>
      <c r="F1624" s="307"/>
      <c r="G1624" s="232"/>
      <c r="H1624" s="233"/>
      <c r="I1624" s="301"/>
    </row>
    <row r="1625" spans="2:9" s="346" customFormat="1" ht="21" customHeight="1">
      <c r="B1625" s="305"/>
      <c r="C1625" s="305"/>
      <c r="D1625" s="234"/>
      <c r="E1625" s="306"/>
      <c r="F1625" s="306"/>
      <c r="G1625" s="232"/>
      <c r="H1625" s="232"/>
      <c r="I1625" s="301"/>
    </row>
    <row r="1626" spans="2:9" s="346" customFormat="1" ht="21" customHeight="1">
      <c r="B1626" s="305"/>
      <c r="C1626" s="305"/>
      <c r="D1626" s="234"/>
      <c r="E1626" s="306"/>
      <c r="F1626" s="306"/>
      <c r="G1626" s="308"/>
      <c r="H1626" s="233"/>
      <c r="I1626" s="301"/>
    </row>
    <row r="1627" spans="2:9" s="346" customFormat="1" ht="21" customHeight="1">
      <c r="B1627" s="305"/>
      <c r="C1627" s="305"/>
      <c r="D1627" s="234"/>
      <c r="E1627" s="306"/>
      <c r="F1627" s="306"/>
      <c r="G1627" s="308"/>
      <c r="H1627" s="233"/>
      <c r="I1627" s="301"/>
    </row>
    <row r="1628" spans="2:9" s="346" customFormat="1" ht="21" customHeight="1">
      <c r="B1628" s="305"/>
      <c r="C1628" s="305"/>
      <c r="D1628" s="234"/>
      <c r="E1628" s="306"/>
      <c r="F1628" s="306"/>
      <c r="G1628" s="308"/>
      <c r="H1628" s="233"/>
      <c r="I1628" s="301"/>
    </row>
    <row r="1629" spans="2:9" s="346" customFormat="1" ht="21" customHeight="1">
      <c r="B1629" s="312" t="s">
        <v>837</v>
      </c>
      <c r="C1629" s="305"/>
      <c r="D1629" s="234"/>
      <c r="E1629" s="307"/>
      <c r="F1629" s="307"/>
      <c r="G1629" s="232"/>
      <c r="H1629" s="233"/>
      <c r="I1629" s="301"/>
    </row>
    <row r="1630" spans="2:9" s="346" customFormat="1" ht="21" customHeight="1">
      <c r="B1630" s="305"/>
      <c r="C1630" s="305" t="s">
        <v>64</v>
      </c>
      <c r="D1630" s="234" t="s">
        <v>836</v>
      </c>
      <c r="E1630" s="307">
        <v>0.02</v>
      </c>
      <c r="F1630" s="307"/>
      <c r="G1630" s="232"/>
      <c r="H1630" s="233"/>
      <c r="I1630" s="301"/>
    </row>
    <row r="1631" spans="2:9" s="346" customFormat="1" ht="21" customHeight="1">
      <c r="B1631" s="305"/>
      <c r="C1631" s="305"/>
      <c r="D1631" s="234"/>
      <c r="E1631" s="306"/>
      <c r="F1631" s="306"/>
      <c r="G1631" s="232"/>
      <c r="H1631" s="232"/>
      <c r="I1631" s="301"/>
    </row>
    <row r="1632" spans="2:9" s="346" customFormat="1" ht="21" customHeight="1">
      <c r="B1632" s="305"/>
      <c r="C1632" s="305"/>
      <c r="D1632" s="234"/>
      <c r="E1632" s="306"/>
      <c r="F1632" s="306"/>
      <c r="G1632" s="308"/>
      <c r="H1632" s="233"/>
      <c r="I1632" s="301"/>
    </row>
    <row r="1633" spans="2:9" s="346" customFormat="1" ht="21" customHeight="1">
      <c r="B1633" s="305"/>
      <c r="C1633" s="305"/>
      <c r="D1633" s="234"/>
      <c r="E1633" s="306"/>
      <c r="F1633" s="306"/>
      <c r="G1633" s="308"/>
      <c r="H1633" s="233"/>
      <c r="I1633" s="301"/>
    </row>
    <row r="1634" spans="2:9" s="346" customFormat="1" ht="21" customHeight="1">
      <c r="B1634" s="305"/>
      <c r="C1634" s="305"/>
      <c r="D1634" s="234"/>
      <c r="E1634" s="306"/>
      <c r="F1634" s="306"/>
      <c r="G1634" s="308"/>
      <c r="H1634" s="233"/>
      <c r="I1634" s="301"/>
    </row>
    <row r="1635" spans="2:9" s="346" customFormat="1" ht="21" customHeight="1">
      <c r="B1635" s="300" t="str">
        <f>'5. 공종별예산조서'!$A$111</f>
        <v>3-24. 콘센트(휀용) 신설</v>
      </c>
      <c r="C1635" s="300" t="str">
        <f>'5. 공종별예산조서'!$B$111</f>
        <v>노출형, 250V</v>
      </c>
      <c r="D1635" s="301" t="str">
        <f>'5. 공종별예산조서'!$C$111</f>
        <v>개</v>
      </c>
      <c r="E1635" s="309">
        <f>'5. 공종별예산조서'!$D$111</f>
        <v>4</v>
      </c>
      <c r="F1635" s="302"/>
      <c r="G1635" s="303"/>
      <c r="H1635" s="304"/>
      <c r="I1635" s="301"/>
    </row>
    <row r="1636" spans="2:9" s="346" customFormat="1" ht="21" customHeight="1">
      <c r="B1636" s="312" t="s">
        <v>834</v>
      </c>
      <c r="C1636" s="305"/>
      <c r="D1636" s="234"/>
      <c r="E1636" s="310"/>
      <c r="F1636" s="306"/>
      <c r="G1636" s="232"/>
      <c r="H1636" s="233"/>
      <c r="I1636" s="301"/>
    </row>
    <row r="1637" spans="2:9" s="346" customFormat="1" ht="21" customHeight="1">
      <c r="B1637" s="305" t="s">
        <v>1145</v>
      </c>
      <c r="C1637" s="305" t="str">
        <f>C1635</f>
        <v>노출형, 250V</v>
      </c>
      <c r="D1637" s="234" t="str">
        <f>D1635</f>
        <v>개</v>
      </c>
      <c r="E1637" s="311">
        <f>E1635</f>
        <v>4</v>
      </c>
      <c r="F1637" s="307"/>
      <c r="G1637" s="232"/>
      <c r="H1637" s="233"/>
      <c r="I1637" s="301"/>
    </row>
    <row r="1638" spans="2:9" s="346" customFormat="1" ht="21" customHeight="1">
      <c r="B1638" s="305"/>
      <c r="C1638" s="305"/>
      <c r="D1638" s="234"/>
      <c r="E1638" s="311"/>
      <c r="F1638" s="307"/>
      <c r="G1638" s="232"/>
      <c r="H1638" s="233"/>
      <c r="I1638" s="301"/>
    </row>
    <row r="1639" spans="2:9" s="346" customFormat="1" ht="21" customHeight="1">
      <c r="B1639" s="305"/>
      <c r="C1639" s="305"/>
      <c r="D1639" s="234"/>
      <c r="E1639" s="311"/>
      <c r="F1639" s="307"/>
      <c r="G1639" s="232"/>
      <c r="H1639" s="233"/>
      <c r="I1639" s="301"/>
    </row>
    <row r="1640" spans="2:9" s="346" customFormat="1" ht="21" customHeight="1">
      <c r="B1640" s="305"/>
      <c r="C1640" s="305"/>
      <c r="D1640" s="234"/>
      <c r="E1640" s="311"/>
      <c r="F1640" s="307"/>
      <c r="G1640" s="232"/>
      <c r="H1640" s="233"/>
      <c r="I1640" s="301"/>
    </row>
    <row r="1641" spans="2:9" s="346" customFormat="1" ht="21" customHeight="1">
      <c r="B1641" s="305"/>
      <c r="C1641" s="305"/>
      <c r="D1641" s="234"/>
      <c r="E1641" s="311"/>
      <c r="F1641" s="307"/>
      <c r="G1641" s="232"/>
      <c r="H1641" s="233"/>
      <c r="I1641" s="301"/>
    </row>
    <row r="1642" spans="2:9" s="346" customFormat="1" ht="21" customHeight="1">
      <c r="B1642" s="305"/>
      <c r="C1642" s="305"/>
      <c r="D1642" s="234"/>
      <c r="E1642" s="311"/>
      <c r="F1642" s="307"/>
      <c r="G1642" s="232"/>
      <c r="H1642" s="233"/>
      <c r="I1642" s="301"/>
    </row>
    <row r="1643" spans="2:9" s="346" customFormat="1" ht="21" customHeight="1">
      <c r="B1643" s="305"/>
      <c r="C1643" s="305"/>
      <c r="D1643" s="234"/>
      <c r="E1643" s="307"/>
      <c r="F1643" s="307"/>
      <c r="G1643" s="232"/>
      <c r="H1643" s="232"/>
      <c r="I1643" s="301"/>
    </row>
    <row r="1644" spans="2:9" s="346" customFormat="1" ht="21" customHeight="1">
      <c r="B1644" s="305"/>
      <c r="C1644" s="305"/>
      <c r="D1644" s="234"/>
      <c r="E1644" s="307"/>
      <c r="F1644" s="307"/>
      <c r="G1644" s="232"/>
      <c r="H1644" s="232"/>
      <c r="I1644" s="301"/>
    </row>
    <row r="1645" spans="2:9" s="346" customFormat="1" ht="21" customHeight="1">
      <c r="B1645" s="305"/>
      <c r="C1645" s="305"/>
      <c r="D1645" s="234"/>
      <c r="E1645" s="307"/>
      <c r="F1645" s="307"/>
      <c r="G1645" s="308"/>
      <c r="H1645" s="233"/>
      <c r="I1645" s="301"/>
    </row>
    <row r="1646" spans="2:9" s="346" customFormat="1" ht="21" customHeight="1">
      <c r="B1646" s="305"/>
      <c r="C1646" s="305"/>
      <c r="D1646" s="234"/>
      <c r="E1646" s="307"/>
      <c r="F1646" s="307"/>
      <c r="G1646" s="308"/>
      <c r="H1646" s="233"/>
      <c r="I1646" s="301"/>
    </row>
    <row r="1647" spans="2:9" s="346" customFormat="1" ht="21" customHeight="1">
      <c r="B1647" s="312" t="s">
        <v>835</v>
      </c>
      <c r="C1647" s="305"/>
      <c r="D1647" s="234"/>
      <c r="E1647" s="307"/>
      <c r="F1647" s="307"/>
      <c r="G1647" s="232"/>
      <c r="H1647" s="233"/>
      <c r="I1647" s="301"/>
    </row>
    <row r="1648" spans="2:9" s="346" customFormat="1" ht="21" customHeight="1">
      <c r="B1648" s="305"/>
      <c r="C1648" s="305" t="s">
        <v>64</v>
      </c>
      <c r="D1648" s="234" t="s">
        <v>836</v>
      </c>
      <c r="E1648" s="307">
        <v>0.32</v>
      </c>
      <c r="F1648" s="307"/>
      <c r="G1648" s="232"/>
      <c r="H1648" s="233"/>
      <c r="I1648" s="301"/>
    </row>
    <row r="1649" spans="2:9" s="346" customFormat="1" ht="21" customHeight="1">
      <c r="B1649" s="305"/>
      <c r="C1649" s="305"/>
      <c r="D1649" s="234"/>
      <c r="E1649" s="306"/>
      <c r="F1649" s="306"/>
      <c r="G1649" s="232"/>
      <c r="H1649" s="232"/>
      <c r="I1649" s="301"/>
    </row>
    <row r="1650" spans="2:9" s="346" customFormat="1" ht="21" customHeight="1">
      <c r="B1650" s="305"/>
      <c r="C1650" s="305"/>
      <c r="D1650" s="234"/>
      <c r="E1650" s="306"/>
      <c r="F1650" s="306"/>
      <c r="G1650" s="308"/>
      <c r="H1650" s="233"/>
      <c r="I1650" s="301"/>
    </row>
    <row r="1651" spans="2:9" s="346" customFormat="1" ht="21" customHeight="1">
      <c r="B1651" s="305"/>
      <c r="C1651" s="305"/>
      <c r="D1651" s="234"/>
      <c r="E1651" s="306"/>
      <c r="F1651" s="306"/>
      <c r="G1651" s="308"/>
      <c r="H1651" s="233"/>
      <c r="I1651" s="301"/>
    </row>
    <row r="1652" spans="2:9" s="346" customFormat="1" ht="21" customHeight="1">
      <c r="B1652" s="305"/>
      <c r="C1652" s="305"/>
      <c r="D1652" s="234"/>
      <c r="E1652" s="306"/>
      <c r="F1652" s="306"/>
      <c r="G1652" s="308"/>
      <c r="H1652" s="233"/>
      <c r="I1652" s="301"/>
    </row>
    <row r="1653" spans="2:9" s="346" customFormat="1" ht="21" customHeight="1">
      <c r="B1653" s="312" t="s">
        <v>837</v>
      </c>
      <c r="C1653" s="305"/>
      <c r="D1653" s="234"/>
      <c r="E1653" s="307"/>
      <c r="F1653" s="307"/>
      <c r="G1653" s="232"/>
      <c r="H1653" s="233"/>
      <c r="I1653" s="301"/>
    </row>
    <row r="1654" spans="2:9" s="346" customFormat="1" ht="21" customHeight="1">
      <c r="B1654" s="305"/>
      <c r="C1654" s="305" t="s">
        <v>64</v>
      </c>
      <c r="D1654" s="234" t="s">
        <v>836</v>
      </c>
      <c r="E1654" s="307">
        <v>0.01</v>
      </c>
      <c r="F1654" s="307"/>
      <c r="G1654" s="232"/>
      <c r="H1654" s="233"/>
      <c r="I1654" s="301"/>
    </row>
    <row r="1655" spans="2:9" s="346" customFormat="1" ht="21" customHeight="1">
      <c r="B1655" s="305"/>
      <c r="C1655" s="305"/>
      <c r="D1655" s="234"/>
      <c r="E1655" s="306"/>
      <c r="F1655" s="306"/>
      <c r="G1655" s="232"/>
      <c r="H1655" s="232"/>
      <c r="I1655" s="301"/>
    </row>
    <row r="1656" spans="2:9" s="346" customFormat="1" ht="21" customHeight="1">
      <c r="B1656" s="305"/>
      <c r="C1656" s="305"/>
      <c r="D1656" s="234"/>
      <c r="E1656" s="306"/>
      <c r="F1656" s="306"/>
      <c r="G1656" s="308"/>
      <c r="H1656" s="233"/>
      <c r="I1656" s="301"/>
    </row>
    <row r="1657" spans="2:9" s="346" customFormat="1" ht="21" customHeight="1">
      <c r="B1657" s="305"/>
      <c r="C1657" s="305"/>
      <c r="D1657" s="234"/>
      <c r="E1657" s="306"/>
      <c r="F1657" s="306"/>
      <c r="G1657" s="308"/>
      <c r="H1657" s="233"/>
      <c r="I1657" s="301"/>
    </row>
    <row r="1658" spans="2:9" s="346" customFormat="1" ht="21" customHeight="1">
      <c r="B1658" s="305"/>
      <c r="C1658" s="305"/>
      <c r="D1658" s="234"/>
      <c r="E1658" s="306"/>
      <c r="F1658" s="306"/>
      <c r="G1658" s="308"/>
      <c r="H1658" s="233"/>
      <c r="I1658" s="301"/>
    </row>
    <row r="1659" spans="2:9" s="346" customFormat="1" ht="21" customHeight="1">
      <c r="B1659" s="300" t="str">
        <f>'5. 공종별예산조서'!$A$112</f>
        <v>3-25. 스위치박스 신설</v>
      </c>
      <c r="C1659" s="300" t="str">
        <f>'5. 공종별예산조서'!$B$112</f>
        <v>1구, 54㎜</v>
      </c>
      <c r="D1659" s="301" t="str">
        <f>'5. 공종별예산조서'!$C$112</f>
        <v>개</v>
      </c>
      <c r="E1659" s="309">
        <f>'5. 공종별예산조서'!$D$112</f>
        <v>40</v>
      </c>
      <c r="F1659" s="302"/>
      <c r="G1659" s="303"/>
      <c r="H1659" s="304"/>
      <c r="I1659" s="301"/>
    </row>
    <row r="1660" spans="2:9" s="346" customFormat="1" ht="21" customHeight="1">
      <c r="B1660" s="312" t="s">
        <v>834</v>
      </c>
      <c r="C1660" s="305"/>
      <c r="D1660" s="234"/>
      <c r="E1660" s="310"/>
      <c r="F1660" s="306"/>
      <c r="G1660" s="232"/>
      <c r="H1660" s="233"/>
      <c r="I1660" s="301"/>
    </row>
    <row r="1661" spans="2:9" s="346" customFormat="1" ht="21" customHeight="1">
      <c r="B1661" s="305" t="s">
        <v>1129</v>
      </c>
      <c r="C1661" s="305" t="str">
        <f>C1659</f>
        <v>1구, 54㎜</v>
      </c>
      <c r="D1661" s="234" t="str">
        <f>D1659</f>
        <v>개</v>
      </c>
      <c r="E1661" s="311">
        <f>E1659</f>
        <v>40</v>
      </c>
      <c r="F1661" s="307"/>
      <c r="G1661" s="232"/>
      <c r="H1661" s="233"/>
      <c r="I1661" s="301"/>
    </row>
    <row r="1662" spans="2:9" s="346" customFormat="1" ht="21" customHeight="1">
      <c r="B1662" s="305"/>
      <c r="C1662" s="305"/>
      <c r="D1662" s="234"/>
      <c r="E1662" s="311"/>
      <c r="F1662" s="307"/>
      <c r="G1662" s="232"/>
      <c r="H1662" s="233"/>
      <c r="I1662" s="301"/>
    </row>
    <row r="1663" spans="2:9" s="346" customFormat="1" ht="21" customHeight="1">
      <c r="B1663" s="305"/>
      <c r="C1663" s="305"/>
      <c r="D1663" s="234"/>
      <c r="E1663" s="311"/>
      <c r="F1663" s="307"/>
      <c r="G1663" s="232"/>
      <c r="H1663" s="233"/>
      <c r="I1663" s="301"/>
    </row>
    <row r="1664" spans="2:9" s="346" customFormat="1" ht="21" customHeight="1">
      <c r="B1664" s="305"/>
      <c r="C1664" s="305"/>
      <c r="D1664" s="234"/>
      <c r="E1664" s="311"/>
      <c r="F1664" s="307"/>
      <c r="G1664" s="232"/>
      <c r="H1664" s="233"/>
      <c r="I1664" s="301"/>
    </row>
    <row r="1665" spans="2:9" s="346" customFormat="1" ht="21" customHeight="1">
      <c r="B1665" s="305"/>
      <c r="C1665" s="305"/>
      <c r="D1665" s="234"/>
      <c r="E1665" s="311"/>
      <c r="F1665" s="307"/>
      <c r="G1665" s="232"/>
      <c r="H1665" s="233"/>
      <c r="I1665" s="301"/>
    </row>
    <row r="1666" spans="2:9" s="346" customFormat="1" ht="21" customHeight="1">
      <c r="B1666" s="305"/>
      <c r="C1666" s="305"/>
      <c r="D1666" s="234"/>
      <c r="E1666" s="311"/>
      <c r="F1666" s="307"/>
      <c r="G1666" s="232"/>
      <c r="H1666" s="233"/>
      <c r="I1666" s="301"/>
    </row>
    <row r="1667" spans="2:9" s="346" customFormat="1" ht="21" customHeight="1">
      <c r="B1667" s="305"/>
      <c r="C1667" s="305"/>
      <c r="D1667" s="234"/>
      <c r="E1667" s="307"/>
      <c r="F1667" s="307"/>
      <c r="G1667" s="232"/>
      <c r="H1667" s="232"/>
      <c r="I1667" s="301"/>
    </row>
    <row r="1668" spans="2:9" s="346" customFormat="1" ht="21" customHeight="1">
      <c r="B1668" s="305"/>
      <c r="C1668" s="305"/>
      <c r="D1668" s="234"/>
      <c r="E1668" s="307"/>
      <c r="F1668" s="307"/>
      <c r="G1668" s="232"/>
      <c r="H1668" s="232"/>
      <c r="I1668" s="301"/>
    </row>
    <row r="1669" spans="2:9" s="346" customFormat="1" ht="21" customHeight="1">
      <c r="B1669" s="305"/>
      <c r="C1669" s="305"/>
      <c r="D1669" s="234"/>
      <c r="E1669" s="307"/>
      <c r="F1669" s="307"/>
      <c r="G1669" s="308"/>
      <c r="H1669" s="233"/>
      <c r="I1669" s="301"/>
    </row>
    <row r="1670" spans="2:9" s="346" customFormat="1" ht="21" customHeight="1">
      <c r="B1670" s="305"/>
      <c r="C1670" s="305"/>
      <c r="D1670" s="234"/>
      <c r="E1670" s="307"/>
      <c r="F1670" s="307"/>
      <c r="G1670" s="308"/>
      <c r="H1670" s="233"/>
      <c r="I1670" s="301"/>
    </row>
    <row r="1671" spans="2:9" s="346" customFormat="1" ht="21" customHeight="1">
      <c r="B1671" s="312" t="s">
        <v>835</v>
      </c>
      <c r="C1671" s="305"/>
      <c r="D1671" s="234"/>
      <c r="E1671" s="307"/>
      <c r="F1671" s="307"/>
      <c r="G1671" s="232"/>
      <c r="H1671" s="233"/>
      <c r="I1671" s="301"/>
    </row>
    <row r="1672" spans="2:9" s="346" customFormat="1" ht="21" customHeight="1">
      <c r="B1672" s="305"/>
      <c r="C1672" s="305" t="s">
        <v>64</v>
      </c>
      <c r="D1672" s="234" t="s">
        <v>836</v>
      </c>
      <c r="E1672" s="307">
        <v>7.2</v>
      </c>
      <c r="F1672" s="307"/>
      <c r="G1672" s="232"/>
      <c r="H1672" s="233"/>
      <c r="I1672" s="301"/>
    </row>
    <row r="1673" spans="2:9" s="346" customFormat="1" ht="21" customHeight="1">
      <c r="B1673" s="305"/>
      <c r="C1673" s="305"/>
      <c r="D1673" s="234"/>
      <c r="E1673" s="306"/>
      <c r="F1673" s="306"/>
      <c r="G1673" s="232"/>
      <c r="H1673" s="232"/>
      <c r="I1673" s="301"/>
    </row>
    <row r="1674" spans="2:9" s="346" customFormat="1" ht="21" customHeight="1">
      <c r="B1674" s="305"/>
      <c r="C1674" s="305"/>
      <c r="D1674" s="234"/>
      <c r="E1674" s="306"/>
      <c r="F1674" s="306"/>
      <c r="G1674" s="308"/>
      <c r="H1674" s="233"/>
      <c r="I1674" s="301"/>
    </row>
    <row r="1675" spans="2:9" s="346" customFormat="1" ht="21" customHeight="1">
      <c r="B1675" s="305"/>
      <c r="C1675" s="305"/>
      <c r="D1675" s="234"/>
      <c r="E1675" s="306"/>
      <c r="F1675" s="306"/>
      <c r="G1675" s="308"/>
      <c r="H1675" s="233"/>
      <c r="I1675" s="301"/>
    </row>
    <row r="1676" spans="2:9" s="346" customFormat="1" ht="21" customHeight="1">
      <c r="B1676" s="305"/>
      <c r="C1676" s="305"/>
      <c r="D1676" s="234"/>
      <c r="E1676" s="306"/>
      <c r="F1676" s="306"/>
      <c r="G1676" s="308"/>
      <c r="H1676" s="233"/>
      <c r="I1676" s="301"/>
    </row>
    <row r="1677" spans="2:9" s="346" customFormat="1" ht="21" customHeight="1">
      <c r="B1677" s="312" t="s">
        <v>837</v>
      </c>
      <c r="C1677" s="305"/>
      <c r="D1677" s="234"/>
      <c r="E1677" s="307"/>
      <c r="F1677" s="307"/>
      <c r="G1677" s="232"/>
      <c r="H1677" s="233"/>
      <c r="I1677" s="301"/>
    </row>
    <row r="1678" spans="2:9" s="346" customFormat="1" ht="21" customHeight="1">
      <c r="B1678" s="305"/>
      <c r="C1678" s="305" t="s">
        <v>64</v>
      </c>
      <c r="D1678" s="234" t="s">
        <v>836</v>
      </c>
      <c r="E1678" s="307">
        <v>0.216</v>
      </c>
      <c r="F1678" s="307"/>
      <c r="G1678" s="232"/>
      <c r="H1678" s="233"/>
      <c r="I1678" s="301"/>
    </row>
    <row r="1679" spans="2:9" s="346" customFormat="1" ht="21" customHeight="1">
      <c r="B1679" s="305"/>
      <c r="C1679" s="305"/>
      <c r="D1679" s="234"/>
      <c r="E1679" s="306"/>
      <c r="F1679" s="306"/>
      <c r="G1679" s="232"/>
      <c r="H1679" s="232"/>
      <c r="I1679" s="301"/>
    </row>
    <row r="1680" spans="2:9" s="346" customFormat="1" ht="21" customHeight="1">
      <c r="B1680" s="305"/>
      <c r="C1680" s="305"/>
      <c r="D1680" s="234"/>
      <c r="E1680" s="306"/>
      <c r="F1680" s="306"/>
      <c r="G1680" s="308"/>
      <c r="H1680" s="233"/>
      <c r="I1680" s="301"/>
    </row>
    <row r="1681" spans="2:9" s="346" customFormat="1" ht="21" customHeight="1">
      <c r="B1681" s="305"/>
      <c r="C1681" s="305"/>
      <c r="D1681" s="234"/>
      <c r="E1681" s="306"/>
      <c r="F1681" s="306"/>
      <c r="G1681" s="308"/>
      <c r="H1681" s="233"/>
      <c r="I1681" s="301"/>
    </row>
    <row r="1682" spans="2:9" s="346" customFormat="1" ht="21" customHeight="1">
      <c r="B1682" s="305"/>
      <c r="C1682" s="305"/>
      <c r="D1682" s="234"/>
      <c r="E1682" s="306"/>
      <c r="F1682" s="306"/>
      <c r="G1682" s="308"/>
      <c r="H1682" s="233"/>
      <c r="I1682" s="301"/>
    </row>
    <row r="1683" spans="2:9" s="297" customFormat="1" ht="21" customHeight="1">
      <c r="B1683" s="300" t="str">
        <f>'5. 공종별예산조서'!A116</f>
        <v>4-1. 1종금속제가요전선관 신설</v>
      </c>
      <c r="C1683" s="300" t="str">
        <f>'5. 공종별예산조서'!B116</f>
        <v>일반, 16C</v>
      </c>
      <c r="D1683" s="301" t="str">
        <f>'5. 공종별예산조서'!C116</f>
        <v>M</v>
      </c>
      <c r="E1683" s="309">
        <f>'5. 공종별예산조서'!D116</f>
        <v>391</v>
      </c>
      <c r="F1683" s="302"/>
      <c r="G1683" s="303"/>
      <c r="H1683" s="304"/>
      <c r="I1683" s="301"/>
    </row>
    <row r="1684" spans="2:9" s="297" customFormat="1" ht="21" customHeight="1">
      <c r="B1684" s="312" t="s">
        <v>834</v>
      </c>
      <c r="C1684" s="305"/>
      <c r="D1684" s="234"/>
      <c r="E1684" s="310"/>
      <c r="F1684" s="306"/>
      <c r="G1684" s="232"/>
      <c r="H1684" s="233"/>
      <c r="I1684" s="301"/>
    </row>
    <row r="1685" spans="2:9" s="297" customFormat="1" ht="21" customHeight="1">
      <c r="B1685" s="305" t="s">
        <v>1084</v>
      </c>
      <c r="C1685" s="305" t="str">
        <f>C1683</f>
        <v>일반, 16C</v>
      </c>
      <c r="D1685" s="234" t="str">
        <f>D1683</f>
        <v>M</v>
      </c>
      <c r="E1685" s="311">
        <f>E1683</f>
        <v>391</v>
      </c>
      <c r="F1685" s="307"/>
      <c r="G1685" s="232"/>
      <c r="H1685" s="233"/>
      <c r="I1685" s="301"/>
    </row>
    <row r="1686" spans="2:9" s="297" customFormat="1" ht="21" customHeight="1">
      <c r="B1686" s="305" t="s">
        <v>1133</v>
      </c>
      <c r="C1686" s="305" t="s">
        <v>1134</v>
      </c>
      <c r="D1686" s="234" t="s">
        <v>1135</v>
      </c>
      <c r="E1686" s="313">
        <v>1</v>
      </c>
      <c r="F1686" s="307"/>
      <c r="G1686" s="232"/>
      <c r="H1686" s="233"/>
      <c r="I1686" s="301"/>
    </row>
    <row r="1687" spans="2:9" s="297" customFormat="1" ht="21" customHeight="1">
      <c r="B1687" s="305"/>
      <c r="C1687" s="305"/>
      <c r="D1687" s="234"/>
      <c r="E1687" s="307"/>
      <c r="F1687" s="307"/>
      <c r="G1687" s="232"/>
      <c r="H1687" s="232"/>
      <c r="I1687" s="301"/>
    </row>
    <row r="1688" spans="2:9" s="297" customFormat="1" ht="21" customHeight="1">
      <c r="B1688" s="305"/>
      <c r="C1688" s="305"/>
      <c r="D1688" s="234"/>
      <c r="E1688" s="307"/>
      <c r="F1688" s="307"/>
      <c r="G1688" s="308"/>
      <c r="H1688" s="233"/>
      <c r="I1688" s="301"/>
    </row>
    <row r="1689" spans="2:9" s="297" customFormat="1" ht="21" customHeight="1">
      <c r="B1689" s="305"/>
      <c r="C1689" s="305"/>
      <c r="D1689" s="234"/>
      <c r="E1689" s="307"/>
      <c r="F1689" s="307"/>
      <c r="G1689" s="308"/>
      <c r="H1689" s="233"/>
      <c r="I1689" s="301"/>
    </row>
    <row r="1690" spans="2:9" s="297" customFormat="1" ht="21" customHeight="1">
      <c r="B1690" s="305"/>
      <c r="C1690" s="305"/>
      <c r="D1690" s="234"/>
      <c r="E1690" s="307"/>
      <c r="F1690" s="307"/>
      <c r="G1690" s="308"/>
      <c r="H1690" s="233"/>
      <c r="I1690" s="301"/>
    </row>
    <row r="1691" spans="2:9" s="297" customFormat="1" ht="21" customHeight="1">
      <c r="B1691" s="305"/>
      <c r="C1691" s="305"/>
      <c r="D1691" s="234"/>
      <c r="E1691" s="307"/>
      <c r="F1691" s="307"/>
      <c r="G1691" s="308"/>
      <c r="H1691" s="233"/>
      <c r="I1691" s="301"/>
    </row>
    <row r="1692" spans="2:9" s="297" customFormat="1" ht="21" customHeight="1">
      <c r="B1692" s="312" t="s">
        <v>835</v>
      </c>
      <c r="C1692" s="305"/>
      <c r="D1692" s="234"/>
      <c r="E1692" s="307"/>
      <c r="F1692" s="307"/>
      <c r="G1692" s="232"/>
      <c r="H1692" s="233"/>
      <c r="I1692" s="301"/>
    </row>
    <row r="1693" spans="2:9" s="297" customFormat="1" ht="21" customHeight="1">
      <c r="B1693" s="305"/>
      <c r="C1693" s="305" t="s">
        <v>1167</v>
      </c>
      <c r="D1693" s="234" t="s">
        <v>869</v>
      </c>
      <c r="E1693" s="307">
        <v>15.484</v>
      </c>
      <c r="F1693" s="307"/>
      <c r="G1693" s="232"/>
      <c r="H1693" s="233"/>
      <c r="I1693" s="301"/>
    </row>
    <row r="1694" spans="2:9" s="297" customFormat="1" ht="21" customHeight="1">
      <c r="B1694" s="305"/>
      <c r="C1694" s="305"/>
      <c r="D1694" s="234"/>
      <c r="E1694" s="306"/>
      <c r="F1694" s="306"/>
      <c r="G1694" s="232"/>
      <c r="H1694" s="232"/>
      <c r="I1694" s="301"/>
    </row>
    <row r="1695" spans="2:9" s="297" customFormat="1" ht="21" customHeight="1">
      <c r="B1695" s="305"/>
      <c r="C1695" s="305"/>
      <c r="D1695" s="234"/>
      <c r="E1695" s="306"/>
      <c r="F1695" s="306"/>
      <c r="G1695" s="308"/>
      <c r="H1695" s="233"/>
      <c r="I1695" s="301"/>
    </row>
    <row r="1696" spans="2:9" s="297" customFormat="1" ht="21" customHeight="1">
      <c r="B1696" s="305"/>
      <c r="C1696" s="305"/>
      <c r="D1696" s="234"/>
      <c r="E1696" s="306"/>
      <c r="F1696" s="306"/>
      <c r="G1696" s="308"/>
      <c r="H1696" s="233"/>
      <c r="I1696" s="301"/>
    </row>
    <row r="1697" spans="2:9" s="297" customFormat="1" ht="21" customHeight="1">
      <c r="B1697" s="305"/>
      <c r="C1697" s="305"/>
      <c r="D1697" s="234"/>
      <c r="E1697" s="306"/>
      <c r="F1697" s="306"/>
      <c r="G1697" s="308"/>
      <c r="H1697" s="233"/>
      <c r="I1697" s="301"/>
    </row>
    <row r="1698" spans="2:9" s="297" customFormat="1" ht="21" customHeight="1">
      <c r="B1698" s="312" t="s">
        <v>837</v>
      </c>
      <c r="C1698" s="305"/>
      <c r="D1698" s="234"/>
      <c r="E1698" s="307"/>
      <c r="F1698" s="307"/>
      <c r="G1698" s="232"/>
      <c r="H1698" s="233"/>
      <c r="I1698" s="301"/>
    </row>
    <row r="1699" spans="2:9" s="297" customFormat="1" ht="21" customHeight="1">
      <c r="B1699" s="305"/>
      <c r="C1699" s="305" t="s">
        <v>1167</v>
      </c>
      <c r="D1699" s="234" t="s">
        <v>869</v>
      </c>
      <c r="E1699" s="307">
        <v>0.46500000000000002</v>
      </c>
      <c r="F1699" s="307"/>
      <c r="G1699" s="232"/>
      <c r="H1699" s="233"/>
      <c r="I1699" s="301"/>
    </row>
    <row r="1700" spans="2:9" s="297" customFormat="1" ht="21" customHeight="1">
      <c r="B1700" s="305"/>
      <c r="C1700" s="305"/>
      <c r="D1700" s="234"/>
      <c r="E1700" s="306"/>
      <c r="F1700" s="306"/>
      <c r="G1700" s="232"/>
      <c r="H1700" s="232"/>
      <c r="I1700" s="301"/>
    </row>
    <row r="1701" spans="2:9" s="297" customFormat="1" ht="21" customHeight="1">
      <c r="B1701" s="305"/>
      <c r="C1701" s="305"/>
      <c r="D1701" s="234"/>
      <c r="E1701" s="306"/>
      <c r="F1701" s="306"/>
      <c r="G1701" s="308"/>
      <c r="H1701" s="233"/>
      <c r="I1701" s="301"/>
    </row>
    <row r="1702" spans="2:9" s="297" customFormat="1" ht="21" customHeight="1">
      <c r="B1702" s="305"/>
      <c r="C1702" s="305"/>
      <c r="D1702" s="234"/>
      <c r="E1702" s="306"/>
      <c r="F1702" s="306"/>
      <c r="G1702" s="308"/>
      <c r="H1702" s="233"/>
      <c r="I1702" s="301"/>
    </row>
    <row r="1703" spans="2:9" s="297" customFormat="1" ht="21" customHeight="1">
      <c r="B1703" s="305"/>
      <c r="C1703" s="305"/>
      <c r="D1703" s="234"/>
      <c r="E1703" s="306"/>
      <c r="F1703" s="306"/>
      <c r="G1703" s="308"/>
      <c r="H1703" s="233"/>
      <c r="I1703" s="301"/>
    </row>
    <row r="1704" spans="2:9" s="297" customFormat="1" ht="21" customHeight="1">
      <c r="B1704" s="305"/>
      <c r="C1704" s="305"/>
      <c r="D1704" s="234"/>
      <c r="E1704" s="306"/>
      <c r="F1704" s="306"/>
      <c r="G1704" s="308"/>
      <c r="H1704" s="233"/>
      <c r="I1704" s="301"/>
    </row>
    <row r="1705" spans="2:9" s="297" customFormat="1" ht="21" customHeight="1">
      <c r="B1705" s="305"/>
      <c r="C1705" s="305"/>
      <c r="D1705" s="234"/>
      <c r="E1705" s="306"/>
      <c r="F1705" s="306"/>
      <c r="G1705" s="308"/>
      <c r="H1705" s="233"/>
      <c r="I1705" s="301"/>
    </row>
    <row r="1706" spans="2:9" s="297" customFormat="1" ht="21" customHeight="1">
      <c r="B1706" s="305"/>
      <c r="C1706" s="305"/>
      <c r="D1706" s="234"/>
      <c r="E1706" s="306"/>
      <c r="F1706" s="306"/>
      <c r="G1706" s="308"/>
      <c r="H1706" s="233"/>
      <c r="I1706" s="301"/>
    </row>
    <row r="1707" spans="2:9" s="297" customFormat="1" ht="21" customHeight="1">
      <c r="B1707" s="300" t="str">
        <f>'5. 공종별예산조서'!A117</f>
        <v>4-2. 1종금속제가요전선관 신설</v>
      </c>
      <c r="C1707" s="300" t="str">
        <f>'5. 공종별예산조서'!B117</f>
        <v>방수, 36C</v>
      </c>
      <c r="D1707" s="301" t="str">
        <f>'5. 공종별예산조서'!C117</f>
        <v>M</v>
      </c>
      <c r="E1707" s="309">
        <f>'5. 공종별예산조서'!D117</f>
        <v>7</v>
      </c>
      <c r="F1707" s="302"/>
      <c r="G1707" s="303"/>
      <c r="H1707" s="304"/>
      <c r="I1707" s="301"/>
    </row>
    <row r="1708" spans="2:9" s="297" customFormat="1" ht="21" customHeight="1">
      <c r="B1708" s="312" t="s">
        <v>834</v>
      </c>
      <c r="C1708" s="305"/>
      <c r="D1708" s="234"/>
      <c r="E1708" s="310"/>
      <c r="F1708" s="306"/>
      <c r="G1708" s="232"/>
      <c r="H1708" s="233"/>
      <c r="I1708" s="301"/>
    </row>
    <row r="1709" spans="2:9" s="297" customFormat="1" ht="21" customHeight="1">
      <c r="B1709" s="305" t="s">
        <v>1084</v>
      </c>
      <c r="C1709" s="305" t="str">
        <f>C1707</f>
        <v>방수, 36C</v>
      </c>
      <c r="D1709" s="234" t="str">
        <f>D1707</f>
        <v>M</v>
      </c>
      <c r="E1709" s="311">
        <f>E1707</f>
        <v>7</v>
      </c>
      <c r="F1709" s="307"/>
      <c r="G1709" s="232"/>
      <c r="H1709" s="233"/>
      <c r="I1709" s="301"/>
    </row>
    <row r="1710" spans="2:9" s="297" customFormat="1" ht="21" customHeight="1">
      <c r="B1710" s="305" t="s">
        <v>1133</v>
      </c>
      <c r="C1710" s="305" t="s">
        <v>1134</v>
      </c>
      <c r="D1710" s="234" t="s">
        <v>1135</v>
      </c>
      <c r="E1710" s="313">
        <v>1</v>
      </c>
      <c r="F1710" s="307"/>
      <c r="G1710" s="232"/>
      <c r="H1710" s="233"/>
      <c r="I1710" s="301"/>
    </row>
    <row r="1711" spans="2:9" s="297" customFormat="1" ht="21" customHeight="1">
      <c r="B1711" s="305"/>
      <c r="C1711" s="305"/>
      <c r="D1711" s="234"/>
      <c r="E1711" s="307"/>
      <c r="F1711" s="307"/>
      <c r="G1711" s="232"/>
      <c r="H1711" s="232"/>
      <c r="I1711" s="301"/>
    </row>
    <row r="1712" spans="2:9" s="297" customFormat="1" ht="21" customHeight="1">
      <c r="B1712" s="305"/>
      <c r="C1712" s="305"/>
      <c r="D1712" s="234"/>
      <c r="E1712" s="307"/>
      <c r="F1712" s="307"/>
      <c r="G1712" s="308"/>
      <c r="H1712" s="233"/>
      <c r="I1712" s="301"/>
    </row>
    <row r="1713" spans="2:9" s="297" customFormat="1" ht="21" customHeight="1">
      <c r="B1713" s="305"/>
      <c r="C1713" s="305"/>
      <c r="D1713" s="234"/>
      <c r="E1713" s="307"/>
      <c r="F1713" s="307"/>
      <c r="G1713" s="308"/>
      <c r="H1713" s="233"/>
      <c r="I1713" s="301"/>
    </row>
    <row r="1714" spans="2:9" s="297" customFormat="1" ht="21" customHeight="1">
      <c r="B1714" s="305"/>
      <c r="C1714" s="305"/>
      <c r="D1714" s="234"/>
      <c r="E1714" s="307"/>
      <c r="F1714" s="307"/>
      <c r="G1714" s="308"/>
      <c r="H1714" s="233"/>
      <c r="I1714" s="301"/>
    </row>
    <row r="1715" spans="2:9" s="297" customFormat="1" ht="21" customHeight="1">
      <c r="B1715" s="305"/>
      <c r="C1715" s="305"/>
      <c r="D1715" s="234"/>
      <c r="E1715" s="307"/>
      <c r="F1715" s="307"/>
      <c r="G1715" s="308"/>
      <c r="H1715" s="233"/>
      <c r="I1715" s="301"/>
    </row>
    <row r="1716" spans="2:9" s="297" customFormat="1" ht="21" customHeight="1">
      <c r="B1716" s="312" t="s">
        <v>835</v>
      </c>
      <c r="C1716" s="305"/>
      <c r="D1716" s="234"/>
      <c r="E1716" s="307"/>
      <c r="F1716" s="307"/>
      <c r="G1716" s="232"/>
      <c r="H1716" s="233"/>
      <c r="I1716" s="301"/>
    </row>
    <row r="1717" spans="2:9" s="297" customFormat="1" ht="21" customHeight="1">
      <c r="B1717" s="305"/>
      <c r="C1717" s="305" t="s">
        <v>1167</v>
      </c>
      <c r="D1717" s="234" t="s">
        <v>869</v>
      </c>
      <c r="E1717" s="307">
        <v>0.54800000000000004</v>
      </c>
      <c r="F1717" s="307"/>
      <c r="G1717" s="232"/>
      <c r="H1717" s="233"/>
      <c r="I1717" s="301"/>
    </row>
    <row r="1718" spans="2:9" s="297" customFormat="1" ht="21" customHeight="1">
      <c r="B1718" s="305"/>
      <c r="C1718" s="305"/>
      <c r="D1718" s="234"/>
      <c r="E1718" s="306"/>
      <c r="F1718" s="306"/>
      <c r="G1718" s="232"/>
      <c r="H1718" s="232"/>
      <c r="I1718" s="301"/>
    </row>
    <row r="1719" spans="2:9" s="297" customFormat="1" ht="21" customHeight="1">
      <c r="B1719" s="305"/>
      <c r="C1719" s="305"/>
      <c r="D1719" s="234"/>
      <c r="E1719" s="306"/>
      <c r="F1719" s="306"/>
      <c r="G1719" s="308"/>
      <c r="H1719" s="233"/>
      <c r="I1719" s="301"/>
    </row>
    <row r="1720" spans="2:9" s="297" customFormat="1" ht="21" customHeight="1">
      <c r="B1720" s="305"/>
      <c r="C1720" s="305"/>
      <c r="D1720" s="234"/>
      <c r="E1720" s="306"/>
      <c r="F1720" s="306"/>
      <c r="G1720" s="308"/>
      <c r="H1720" s="233"/>
      <c r="I1720" s="301"/>
    </row>
    <row r="1721" spans="2:9" s="297" customFormat="1" ht="21" customHeight="1">
      <c r="B1721" s="305"/>
      <c r="C1721" s="305"/>
      <c r="D1721" s="234"/>
      <c r="E1721" s="306"/>
      <c r="F1721" s="306"/>
      <c r="G1721" s="308"/>
      <c r="H1721" s="233"/>
      <c r="I1721" s="301"/>
    </row>
    <row r="1722" spans="2:9" s="297" customFormat="1" ht="21" customHeight="1">
      <c r="B1722" s="312" t="s">
        <v>837</v>
      </c>
      <c r="C1722" s="305"/>
      <c r="D1722" s="234"/>
      <c r="E1722" s="307"/>
      <c r="F1722" s="307"/>
      <c r="G1722" s="232"/>
      <c r="H1722" s="233"/>
      <c r="I1722" s="301"/>
    </row>
    <row r="1723" spans="2:9" s="297" customFormat="1" ht="21" customHeight="1">
      <c r="B1723" s="305"/>
      <c r="C1723" s="305" t="s">
        <v>1167</v>
      </c>
      <c r="D1723" s="234" t="s">
        <v>869</v>
      </c>
      <c r="E1723" s="307">
        <v>1.6E-2</v>
      </c>
      <c r="F1723" s="307"/>
      <c r="G1723" s="232"/>
      <c r="H1723" s="233"/>
      <c r="I1723" s="301"/>
    </row>
    <row r="1724" spans="2:9" s="297" customFormat="1" ht="21" customHeight="1">
      <c r="B1724" s="305"/>
      <c r="C1724" s="305"/>
      <c r="D1724" s="234"/>
      <c r="E1724" s="306"/>
      <c r="F1724" s="306"/>
      <c r="G1724" s="232"/>
      <c r="H1724" s="232"/>
      <c r="I1724" s="301"/>
    </row>
    <row r="1725" spans="2:9" s="297" customFormat="1" ht="21" customHeight="1">
      <c r="B1725" s="305"/>
      <c r="C1725" s="305"/>
      <c r="D1725" s="234"/>
      <c r="E1725" s="306"/>
      <c r="F1725" s="306"/>
      <c r="G1725" s="308"/>
      <c r="H1725" s="233"/>
      <c r="I1725" s="301"/>
    </row>
    <row r="1726" spans="2:9" s="297" customFormat="1" ht="21" customHeight="1">
      <c r="B1726" s="305"/>
      <c r="C1726" s="305"/>
      <c r="D1726" s="234"/>
      <c r="E1726" s="306"/>
      <c r="F1726" s="306"/>
      <c r="G1726" s="308"/>
      <c r="H1726" s="233"/>
      <c r="I1726" s="301"/>
    </row>
    <row r="1727" spans="2:9" s="297" customFormat="1" ht="21" customHeight="1">
      <c r="B1727" s="305"/>
      <c r="C1727" s="305"/>
      <c r="D1727" s="234"/>
      <c r="E1727" s="306"/>
      <c r="F1727" s="306"/>
      <c r="G1727" s="308"/>
      <c r="H1727" s="233"/>
      <c r="I1727" s="301"/>
    </row>
    <row r="1728" spans="2:9" s="297" customFormat="1" ht="21" customHeight="1">
      <c r="B1728" s="305"/>
      <c r="C1728" s="305"/>
      <c r="D1728" s="234"/>
      <c r="E1728" s="306"/>
      <c r="F1728" s="306"/>
      <c r="G1728" s="308"/>
      <c r="H1728" s="233"/>
      <c r="I1728" s="301"/>
    </row>
    <row r="1729" spans="2:9" s="297" customFormat="1" ht="21" customHeight="1">
      <c r="B1729" s="305"/>
      <c r="C1729" s="305"/>
      <c r="D1729" s="234"/>
      <c r="E1729" s="306"/>
      <c r="F1729" s="306"/>
      <c r="G1729" s="308"/>
      <c r="H1729" s="233"/>
      <c r="I1729" s="301"/>
    </row>
    <row r="1730" spans="2:9" s="297" customFormat="1" ht="21" customHeight="1">
      <c r="B1730" s="305"/>
      <c r="C1730" s="305"/>
      <c r="D1730" s="234"/>
      <c r="E1730" s="306"/>
      <c r="F1730" s="306"/>
      <c r="G1730" s="308"/>
      <c r="H1730" s="233"/>
      <c r="I1730" s="301"/>
    </row>
    <row r="1731" spans="2:9" s="297" customFormat="1" ht="21" customHeight="1">
      <c r="B1731" s="300" t="str">
        <f>'5. 공종별예산조서'!A118</f>
        <v>4-3. 1종금속제가요전선관 신설</v>
      </c>
      <c r="C1731" s="300" t="str">
        <f>'5. 공종별예산조서'!B118</f>
        <v>방수, 54C</v>
      </c>
      <c r="D1731" s="301" t="str">
        <f>'5. 공종별예산조서'!C118</f>
        <v>M</v>
      </c>
      <c r="E1731" s="309">
        <f>'5. 공종별예산조서'!D118</f>
        <v>20</v>
      </c>
      <c r="F1731" s="302"/>
      <c r="G1731" s="303"/>
      <c r="H1731" s="304"/>
      <c r="I1731" s="301"/>
    </row>
    <row r="1732" spans="2:9" s="297" customFormat="1" ht="21" customHeight="1">
      <c r="B1732" s="312" t="s">
        <v>834</v>
      </c>
      <c r="C1732" s="305"/>
      <c r="D1732" s="234"/>
      <c r="E1732" s="310"/>
      <c r="F1732" s="306"/>
      <c r="G1732" s="232"/>
      <c r="H1732" s="233"/>
      <c r="I1732" s="301"/>
    </row>
    <row r="1733" spans="2:9" s="297" customFormat="1" ht="21" customHeight="1">
      <c r="B1733" s="305" t="s">
        <v>1084</v>
      </c>
      <c r="C1733" s="305" t="str">
        <f>C1731</f>
        <v>방수, 54C</v>
      </c>
      <c r="D1733" s="234" t="str">
        <f>D1731</f>
        <v>M</v>
      </c>
      <c r="E1733" s="311">
        <f>E1731</f>
        <v>20</v>
      </c>
      <c r="F1733" s="307"/>
      <c r="G1733" s="232"/>
      <c r="H1733" s="233"/>
      <c r="I1733" s="301"/>
    </row>
    <row r="1734" spans="2:9" s="297" customFormat="1" ht="21" customHeight="1">
      <c r="B1734" s="305" t="s">
        <v>1133</v>
      </c>
      <c r="C1734" s="305" t="s">
        <v>1134</v>
      </c>
      <c r="D1734" s="234" t="s">
        <v>1135</v>
      </c>
      <c r="E1734" s="313">
        <v>1</v>
      </c>
      <c r="F1734" s="307"/>
      <c r="G1734" s="232"/>
      <c r="H1734" s="233"/>
      <c r="I1734" s="301"/>
    </row>
    <row r="1735" spans="2:9" s="297" customFormat="1" ht="21" customHeight="1">
      <c r="B1735" s="305"/>
      <c r="C1735" s="305"/>
      <c r="D1735" s="234"/>
      <c r="E1735" s="307"/>
      <c r="F1735" s="307"/>
      <c r="G1735" s="232"/>
      <c r="H1735" s="232"/>
      <c r="I1735" s="301"/>
    </row>
    <row r="1736" spans="2:9" s="297" customFormat="1" ht="21" customHeight="1">
      <c r="B1736" s="305"/>
      <c r="C1736" s="305"/>
      <c r="D1736" s="234"/>
      <c r="E1736" s="307"/>
      <c r="F1736" s="307"/>
      <c r="G1736" s="308"/>
      <c r="H1736" s="233"/>
      <c r="I1736" s="301"/>
    </row>
    <row r="1737" spans="2:9" s="297" customFormat="1" ht="21" customHeight="1">
      <c r="B1737" s="305"/>
      <c r="C1737" s="305"/>
      <c r="D1737" s="234"/>
      <c r="E1737" s="307"/>
      <c r="F1737" s="307"/>
      <c r="G1737" s="308"/>
      <c r="H1737" s="233"/>
      <c r="I1737" s="301"/>
    </row>
    <row r="1738" spans="2:9" s="297" customFormat="1" ht="21" customHeight="1">
      <c r="B1738" s="305"/>
      <c r="C1738" s="305"/>
      <c r="D1738" s="234"/>
      <c r="E1738" s="307"/>
      <c r="F1738" s="307"/>
      <c r="G1738" s="308"/>
      <c r="H1738" s="233"/>
      <c r="I1738" s="301"/>
    </row>
    <row r="1739" spans="2:9" s="297" customFormat="1" ht="21" customHeight="1">
      <c r="B1739" s="305"/>
      <c r="C1739" s="305"/>
      <c r="D1739" s="234"/>
      <c r="E1739" s="307"/>
      <c r="F1739" s="307"/>
      <c r="G1739" s="308"/>
      <c r="H1739" s="233"/>
      <c r="I1739" s="301"/>
    </row>
    <row r="1740" spans="2:9" s="297" customFormat="1" ht="21" customHeight="1">
      <c r="B1740" s="312" t="s">
        <v>835</v>
      </c>
      <c r="C1740" s="305"/>
      <c r="D1740" s="234"/>
      <c r="E1740" s="307"/>
      <c r="F1740" s="307"/>
      <c r="G1740" s="232"/>
      <c r="H1740" s="233"/>
      <c r="I1740" s="301"/>
    </row>
    <row r="1741" spans="2:9" s="297" customFormat="1" ht="21" customHeight="1">
      <c r="B1741" s="305"/>
      <c r="C1741" s="305" t="s">
        <v>64</v>
      </c>
      <c r="D1741" s="234" t="s">
        <v>869</v>
      </c>
      <c r="E1741" s="307">
        <v>2.448</v>
      </c>
      <c r="F1741" s="307"/>
      <c r="G1741" s="232"/>
      <c r="H1741" s="233"/>
      <c r="I1741" s="301"/>
    </row>
    <row r="1742" spans="2:9" s="297" customFormat="1" ht="21" customHeight="1">
      <c r="B1742" s="305"/>
      <c r="C1742" s="305"/>
      <c r="D1742" s="234"/>
      <c r="E1742" s="306"/>
      <c r="F1742" s="306"/>
      <c r="G1742" s="232"/>
      <c r="H1742" s="232"/>
      <c r="I1742" s="301"/>
    </row>
    <row r="1743" spans="2:9" s="297" customFormat="1" ht="21" customHeight="1">
      <c r="B1743" s="305"/>
      <c r="C1743" s="305"/>
      <c r="D1743" s="234"/>
      <c r="E1743" s="306"/>
      <c r="F1743" s="306"/>
      <c r="G1743" s="308"/>
      <c r="H1743" s="233"/>
      <c r="I1743" s="301"/>
    </row>
    <row r="1744" spans="2:9" s="297" customFormat="1" ht="21" customHeight="1">
      <c r="B1744" s="305"/>
      <c r="C1744" s="305"/>
      <c r="D1744" s="234"/>
      <c r="E1744" s="306"/>
      <c r="F1744" s="306"/>
      <c r="G1744" s="308"/>
      <c r="H1744" s="233"/>
      <c r="I1744" s="301"/>
    </row>
    <row r="1745" spans="2:9" s="297" customFormat="1" ht="21" customHeight="1">
      <c r="B1745" s="305"/>
      <c r="C1745" s="305"/>
      <c r="D1745" s="234"/>
      <c r="E1745" s="306"/>
      <c r="F1745" s="306"/>
      <c r="G1745" s="308"/>
      <c r="H1745" s="233"/>
      <c r="I1745" s="301"/>
    </row>
    <row r="1746" spans="2:9" s="297" customFormat="1" ht="21" customHeight="1">
      <c r="B1746" s="312" t="s">
        <v>837</v>
      </c>
      <c r="C1746" s="305"/>
      <c r="D1746" s="234"/>
      <c r="E1746" s="307"/>
      <c r="F1746" s="307"/>
      <c r="G1746" s="232"/>
      <c r="H1746" s="233"/>
      <c r="I1746" s="301"/>
    </row>
    <row r="1747" spans="2:9" s="297" customFormat="1" ht="21" customHeight="1">
      <c r="B1747" s="305"/>
      <c r="C1747" s="305" t="s">
        <v>64</v>
      </c>
      <c r="D1747" s="234" t="s">
        <v>869</v>
      </c>
      <c r="E1747" s="307">
        <v>7.2999999999999995E-2</v>
      </c>
      <c r="F1747" s="307"/>
      <c r="G1747" s="232"/>
      <c r="H1747" s="233"/>
      <c r="I1747" s="301"/>
    </row>
    <row r="1748" spans="2:9" s="297" customFormat="1" ht="21" customHeight="1">
      <c r="B1748" s="305"/>
      <c r="C1748" s="305"/>
      <c r="D1748" s="234"/>
      <c r="E1748" s="306"/>
      <c r="F1748" s="306"/>
      <c r="G1748" s="232"/>
      <c r="H1748" s="232"/>
      <c r="I1748" s="301"/>
    </row>
    <row r="1749" spans="2:9" s="297" customFormat="1" ht="21" customHeight="1">
      <c r="B1749" s="305"/>
      <c r="C1749" s="305"/>
      <c r="D1749" s="234"/>
      <c r="E1749" s="306"/>
      <c r="F1749" s="306"/>
      <c r="G1749" s="308"/>
      <c r="H1749" s="233"/>
      <c r="I1749" s="301"/>
    </row>
    <row r="1750" spans="2:9" s="297" customFormat="1" ht="21" customHeight="1">
      <c r="B1750" s="305"/>
      <c r="C1750" s="305"/>
      <c r="D1750" s="234"/>
      <c r="E1750" s="306"/>
      <c r="F1750" s="306"/>
      <c r="G1750" s="308"/>
      <c r="H1750" s="233"/>
      <c r="I1750" s="301"/>
    </row>
    <row r="1751" spans="2:9" s="297" customFormat="1" ht="21" customHeight="1">
      <c r="B1751" s="305"/>
      <c r="C1751" s="305"/>
      <c r="D1751" s="234"/>
      <c r="E1751" s="306"/>
      <c r="F1751" s="306"/>
      <c r="G1751" s="308"/>
      <c r="H1751" s="233"/>
      <c r="I1751" s="301"/>
    </row>
    <row r="1752" spans="2:9" s="297" customFormat="1" ht="21" customHeight="1">
      <c r="B1752" s="305"/>
      <c r="C1752" s="305"/>
      <c r="D1752" s="234"/>
      <c r="E1752" s="306"/>
      <c r="F1752" s="306"/>
      <c r="G1752" s="308"/>
      <c r="H1752" s="233"/>
      <c r="I1752" s="301"/>
    </row>
    <row r="1753" spans="2:9" s="297" customFormat="1" ht="21" customHeight="1">
      <c r="B1753" s="305"/>
      <c r="C1753" s="305"/>
      <c r="D1753" s="234"/>
      <c r="E1753" s="306"/>
      <c r="F1753" s="306"/>
      <c r="G1753" s="308"/>
      <c r="H1753" s="233"/>
      <c r="I1753" s="301"/>
    </row>
    <row r="1754" spans="2:9" s="297" customFormat="1" ht="21" customHeight="1">
      <c r="B1754" s="305"/>
      <c r="C1754" s="305"/>
      <c r="D1754" s="234"/>
      <c r="E1754" s="306"/>
      <c r="F1754" s="306"/>
      <c r="G1754" s="308"/>
      <c r="H1754" s="233"/>
      <c r="I1754" s="301"/>
    </row>
    <row r="1755" spans="2:9" s="297" customFormat="1" ht="21" customHeight="1">
      <c r="B1755" s="300" t="str">
        <f>'5. 공종별예산조서'!A119</f>
        <v>4-4 강제전선관 신설</v>
      </c>
      <c r="C1755" s="300" t="str">
        <f>'5. 공종별예산조서'!B119</f>
        <v>아연도, 54C</v>
      </c>
      <c r="D1755" s="301" t="str">
        <f>'5. 공종별예산조서'!C119</f>
        <v>M</v>
      </c>
      <c r="E1755" s="309">
        <f>'5. 공종별예산조서'!D119</f>
        <v>36</v>
      </c>
      <c r="F1755" s="302"/>
      <c r="G1755" s="303"/>
      <c r="H1755" s="304"/>
      <c r="I1755" s="301"/>
    </row>
    <row r="1756" spans="2:9" s="297" customFormat="1" ht="21" customHeight="1">
      <c r="B1756" s="312" t="s">
        <v>834</v>
      </c>
      <c r="C1756" s="305"/>
      <c r="D1756" s="234"/>
      <c r="E1756" s="310"/>
      <c r="F1756" s="306"/>
      <c r="G1756" s="232"/>
      <c r="H1756" s="233"/>
      <c r="I1756" s="301"/>
    </row>
    <row r="1757" spans="2:9" s="297" customFormat="1" ht="21" customHeight="1">
      <c r="B1757" s="305" t="s">
        <v>1085</v>
      </c>
      <c r="C1757" s="305" t="str">
        <f>C1755</f>
        <v>아연도, 54C</v>
      </c>
      <c r="D1757" s="234" t="str">
        <f>D1755</f>
        <v>M</v>
      </c>
      <c r="E1757" s="311">
        <f>E1755</f>
        <v>36</v>
      </c>
      <c r="F1757" s="307"/>
      <c r="G1757" s="232"/>
      <c r="H1757" s="233"/>
      <c r="I1757" s="301"/>
    </row>
    <row r="1758" spans="2:9" s="297" customFormat="1" ht="21" customHeight="1">
      <c r="B1758" s="305" t="s">
        <v>1133</v>
      </c>
      <c r="C1758" s="305" t="s">
        <v>1134</v>
      </c>
      <c r="D1758" s="234" t="s">
        <v>1135</v>
      </c>
      <c r="E1758" s="313">
        <v>1</v>
      </c>
      <c r="F1758" s="307"/>
      <c r="G1758" s="232"/>
      <c r="H1758" s="233"/>
      <c r="I1758" s="301"/>
    </row>
    <row r="1759" spans="2:9" s="297" customFormat="1" ht="21" customHeight="1">
      <c r="B1759" s="305"/>
      <c r="C1759" s="305"/>
      <c r="D1759" s="234"/>
      <c r="E1759" s="307"/>
      <c r="F1759" s="307"/>
      <c r="G1759" s="232"/>
      <c r="H1759" s="232"/>
      <c r="I1759" s="301"/>
    </row>
    <row r="1760" spans="2:9" s="297" customFormat="1" ht="21" customHeight="1">
      <c r="B1760" s="305"/>
      <c r="C1760" s="305"/>
      <c r="D1760" s="234"/>
      <c r="E1760" s="307"/>
      <c r="F1760" s="307"/>
      <c r="G1760" s="308"/>
      <c r="H1760" s="233"/>
      <c r="I1760" s="301"/>
    </row>
    <row r="1761" spans="2:9" s="297" customFormat="1" ht="21" customHeight="1">
      <c r="B1761" s="305"/>
      <c r="C1761" s="305"/>
      <c r="D1761" s="234"/>
      <c r="E1761" s="307"/>
      <c r="F1761" s="307"/>
      <c r="G1761" s="308"/>
      <c r="H1761" s="233"/>
      <c r="I1761" s="301"/>
    </row>
    <row r="1762" spans="2:9" s="297" customFormat="1" ht="21" customHeight="1">
      <c r="B1762" s="305"/>
      <c r="C1762" s="305"/>
      <c r="D1762" s="234"/>
      <c r="E1762" s="307"/>
      <c r="F1762" s="307"/>
      <c r="G1762" s="308"/>
      <c r="H1762" s="233"/>
      <c r="I1762" s="301"/>
    </row>
    <row r="1763" spans="2:9" s="297" customFormat="1" ht="21" customHeight="1">
      <c r="B1763" s="305"/>
      <c r="C1763" s="305"/>
      <c r="D1763" s="234"/>
      <c r="E1763" s="307"/>
      <c r="F1763" s="307"/>
      <c r="G1763" s="308"/>
      <c r="H1763" s="233"/>
      <c r="I1763" s="301"/>
    </row>
    <row r="1764" spans="2:9" s="297" customFormat="1" ht="21" customHeight="1">
      <c r="B1764" s="312" t="s">
        <v>835</v>
      </c>
      <c r="C1764" s="305"/>
      <c r="D1764" s="234"/>
      <c r="E1764" s="307"/>
      <c r="F1764" s="307"/>
      <c r="G1764" s="232"/>
      <c r="H1764" s="233"/>
      <c r="I1764" s="301"/>
    </row>
    <row r="1765" spans="2:9" s="297" customFormat="1" ht="21" customHeight="1">
      <c r="B1765" s="305"/>
      <c r="C1765" s="305" t="s">
        <v>64</v>
      </c>
      <c r="D1765" s="234" t="s">
        <v>836</v>
      </c>
      <c r="E1765" s="307">
        <v>11.016</v>
      </c>
      <c r="F1765" s="307"/>
      <c r="G1765" s="232"/>
      <c r="H1765" s="233"/>
      <c r="I1765" s="301"/>
    </row>
    <row r="1766" spans="2:9" s="297" customFormat="1" ht="21" customHeight="1">
      <c r="B1766" s="305"/>
      <c r="C1766" s="305"/>
      <c r="D1766" s="234"/>
      <c r="E1766" s="306"/>
      <c r="F1766" s="306"/>
      <c r="G1766" s="232"/>
      <c r="H1766" s="232"/>
      <c r="I1766" s="301"/>
    </row>
    <row r="1767" spans="2:9" s="297" customFormat="1" ht="21" customHeight="1">
      <c r="B1767" s="305"/>
      <c r="C1767" s="305"/>
      <c r="D1767" s="234"/>
      <c r="E1767" s="306"/>
      <c r="F1767" s="306"/>
      <c r="G1767" s="308"/>
      <c r="H1767" s="233"/>
      <c r="I1767" s="301"/>
    </row>
    <row r="1768" spans="2:9" s="297" customFormat="1" ht="21" customHeight="1">
      <c r="B1768" s="305"/>
      <c r="C1768" s="305"/>
      <c r="D1768" s="234"/>
      <c r="E1768" s="306"/>
      <c r="F1768" s="306"/>
      <c r="G1768" s="308"/>
      <c r="H1768" s="233"/>
      <c r="I1768" s="301"/>
    </row>
    <row r="1769" spans="2:9" s="297" customFormat="1" ht="21" customHeight="1">
      <c r="B1769" s="305"/>
      <c r="C1769" s="305"/>
      <c r="D1769" s="234"/>
      <c r="E1769" s="306"/>
      <c r="F1769" s="306"/>
      <c r="G1769" s="308"/>
      <c r="H1769" s="233"/>
      <c r="I1769" s="301"/>
    </row>
    <row r="1770" spans="2:9" s="297" customFormat="1" ht="21" customHeight="1">
      <c r="B1770" s="312" t="s">
        <v>837</v>
      </c>
      <c r="C1770" s="305"/>
      <c r="D1770" s="234"/>
      <c r="E1770" s="307"/>
      <c r="F1770" s="307"/>
      <c r="G1770" s="232"/>
      <c r="H1770" s="233"/>
      <c r="I1770" s="301"/>
    </row>
    <row r="1771" spans="2:9" s="297" customFormat="1" ht="21" customHeight="1">
      <c r="B1771" s="305"/>
      <c r="C1771" s="305" t="s">
        <v>64</v>
      </c>
      <c r="D1771" s="234" t="s">
        <v>836</v>
      </c>
      <c r="E1771" s="307">
        <v>0.33</v>
      </c>
      <c r="F1771" s="307"/>
      <c r="G1771" s="232"/>
      <c r="H1771" s="233"/>
      <c r="I1771" s="301"/>
    </row>
    <row r="1772" spans="2:9" s="297" customFormat="1" ht="21" customHeight="1">
      <c r="B1772" s="305"/>
      <c r="C1772" s="305"/>
      <c r="D1772" s="234"/>
      <c r="E1772" s="306"/>
      <c r="F1772" s="306"/>
      <c r="G1772" s="232"/>
      <c r="H1772" s="232"/>
      <c r="I1772" s="301"/>
    </row>
    <row r="1773" spans="2:9" s="297" customFormat="1" ht="21" customHeight="1">
      <c r="B1773" s="305"/>
      <c r="C1773" s="305"/>
      <c r="D1773" s="234"/>
      <c r="E1773" s="306"/>
      <c r="F1773" s="306"/>
      <c r="G1773" s="308"/>
      <c r="H1773" s="233"/>
      <c r="I1773" s="301"/>
    </row>
    <row r="1774" spans="2:9" s="297" customFormat="1" ht="21" customHeight="1">
      <c r="B1774" s="305"/>
      <c r="C1774" s="305"/>
      <c r="D1774" s="234"/>
      <c r="E1774" s="306"/>
      <c r="F1774" s="306"/>
      <c r="G1774" s="308"/>
      <c r="H1774" s="233"/>
      <c r="I1774" s="301"/>
    </row>
    <row r="1775" spans="2:9" s="297" customFormat="1" ht="21" customHeight="1">
      <c r="B1775" s="305"/>
      <c r="C1775" s="305"/>
      <c r="D1775" s="234"/>
      <c r="E1775" s="306"/>
      <c r="F1775" s="306"/>
      <c r="G1775" s="308"/>
      <c r="H1775" s="233"/>
      <c r="I1775" s="301"/>
    </row>
    <row r="1776" spans="2:9" s="297" customFormat="1" ht="21" customHeight="1">
      <c r="B1776" s="305"/>
      <c r="C1776" s="305"/>
      <c r="D1776" s="234"/>
      <c r="E1776" s="306"/>
      <c r="F1776" s="306"/>
      <c r="G1776" s="308"/>
      <c r="H1776" s="233"/>
      <c r="I1776" s="301"/>
    </row>
    <row r="1777" spans="2:9" s="297" customFormat="1" ht="21" customHeight="1">
      <c r="B1777" s="305"/>
      <c r="C1777" s="305"/>
      <c r="D1777" s="234"/>
      <c r="E1777" s="306"/>
      <c r="F1777" s="306"/>
      <c r="G1777" s="308"/>
      <c r="H1777" s="233"/>
      <c r="I1777" s="301"/>
    </row>
    <row r="1778" spans="2:9" s="297" customFormat="1" ht="21" customHeight="1">
      <c r="B1778" s="305"/>
      <c r="C1778" s="305"/>
      <c r="D1778" s="234"/>
      <c r="E1778" s="306"/>
      <c r="F1778" s="306"/>
      <c r="G1778" s="308"/>
      <c r="H1778" s="233"/>
      <c r="I1778" s="301"/>
    </row>
    <row r="1779" spans="2:9" s="297" customFormat="1" ht="21" customHeight="1">
      <c r="B1779" s="300" t="str">
        <f>'5. 공종별예산조서'!$A$120</f>
        <v>4-5. 아우트렛박스(커버포함) 신설</v>
      </c>
      <c r="C1779" s="300" t="str">
        <f>'5. 공종별예산조서'!$B$120</f>
        <v>4각 중형 54㎜</v>
      </c>
      <c r="D1779" s="301" t="str">
        <f>'5. 공종별예산조서'!$C$120</f>
        <v>개</v>
      </c>
      <c r="E1779" s="309">
        <f>'5. 공종별예산조서'!$D$120</f>
        <v>52</v>
      </c>
      <c r="F1779" s="302"/>
      <c r="G1779" s="303"/>
      <c r="H1779" s="304"/>
      <c r="I1779" s="301"/>
    </row>
    <row r="1780" spans="2:9" s="297" customFormat="1" ht="21" customHeight="1">
      <c r="B1780" s="312" t="s">
        <v>834</v>
      </c>
      <c r="C1780" s="305"/>
      <c r="D1780" s="234"/>
      <c r="E1780" s="310"/>
      <c r="F1780" s="306"/>
      <c r="G1780" s="232"/>
      <c r="H1780" s="233"/>
      <c r="I1780" s="301"/>
    </row>
    <row r="1781" spans="2:9" s="297" customFormat="1" ht="21" customHeight="1">
      <c r="B1781" s="305" t="s">
        <v>1126</v>
      </c>
      <c r="C1781" s="305" t="str">
        <f>C1779</f>
        <v>4각 중형 54㎜</v>
      </c>
      <c r="D1781" s="234" t="str">
        <f>D1779</f>
        <v>개</v>
      </c>
      <c r="E1781" s="311">
        <f>E1779</f>
        <v>52</v>
      </c>
      <c r="F1781" s="307"/>
      <c r="G1781" s="232"/>
      <c r="H1781" s="233"/>
      <c r="I1781" s="301"/>
    </row>
    <row r="1782" spans="2:9" s="297" customFormat="1" ht="21" customHeight="1">
      <c r="B1782" s="305" t="s">
        <v>1127</v>
      </c>
      <c r="C1782" s="305" t="s">
        <v>1128</v>
      </c>
      <c r="D1782" s="234" t="str">
        <f>D1781</f>
        <v>개</v>
      </c>
      <c r="E1782" s="311">
        <f>E1781</f>
        <v>52</v>
      </c>
      <c r="F1782" s="307"/>
      <c r="G1782" s="232"/>
      <c r="H1782" s="233"/>
      <c r="I1782" s="301"/>
    </row>
    <row r="1783" spans="2:9" s="297" customFormat="1" ht="21" customHeight="1">
      <c r="B1783" s="305"/>
      <c r="C1783" s="305"/>
      <c r="D1783" s="234"/>
      <c r="E1783" s="311"/>
      <c r="F1783" s="307"/>
      <c r="G1783" s="232"/>
      <c r="H1783" s="233"/>
      <c r="I1783" s="301"/>
    </row>
    <row r="1784" spans="2:9" s="297" customFormat="1" ht="21" customHeight="1">
      <c r="B1784" s="305"/>
      <c r="C1784" s="305"/>
      <c r="D1784" s="234"/>
      <c r="E1784" s="311"/>
      <c r="F1784" s="307"/>
      <c r="G1784" s="232"/>
      <c r="H1784" s="233"/>
      <c r="I1784" s="301"/>
    </row>
    <row r="1785" spans="2:9" s="297" customFormat="1" ht="21" customHeight="1">
      <c r="B1785" s="305"/>
      <c r="C1785" s="305"/>
      <c r="D1785" s="234"/>
      <c r="E1785" s="311"/>
      <c r="F1785" s="307"/>
      <c r="G1785" s="232"/>
      <c r="H1785" s="233"/>
      <c r="I1785" s="301"/>
    </row>
    <row r="1786" spans="2:9" s="297" customFormat="1" ht="21" customHeight="1">
      <c r="B1786" s="305"/>
      <c r="C1786" s="305"/>
      <c r="D1786" s="234"/>
      <c r="E1786" s="311"/>
      <c r="F1786" s="307"/>
      <c r="G1786" s="232"/>
      <c r="H1786" s="233"/>
      <c r="I1786" s="301"/>
    </row>
    <row r="1787" spans="2:9" s="297" customFormat="1" ht="21" customHeight="1">
      <c r="B1787" s="305"/>
      <c r="C1787" s="305"/>
      <c r="D1787" s="234"/>
      <c r="E1787" s="311"/>
      <c r="F1787" s="307"/>
      <c r="G1787" s="232"/>
      <c r="H1787" s="233"/>
      <c r="I1787" s="301"/>
    </row>
    <row r="1788" spans="2:9" s="297" customFormat="1" ht="21" customHeight="1">
      <c r="B1788" s="305"/>
      <c r="C1788" s="305"/>
      <c r="D1788" s="234"/>
      <c r="E1788" s="311"/>
      <c r="F1788" s="307"/>
      <c r="G1788" s="232"/>
      <c r="H1788" s="233"/>
      <c r="I1788" s="301"/>
    </row>
    <row r="1789" spans="2:9" s="297" customFormat="1" ht="21" customHeight="1">
      <c r="B1789" s="305"/>
      <c r="C1789" s="305"/>
      <c r="D1789" s="234"/>
      <c r="E1789" s="311"/>
      <c r="F1789" s="307"/>
      <c r="G1789" s="232"/>
      <c r="H1789" s="233"/>
      <c r="I1789" s="301"/>
    </row>
    <row r="1790" spans="2:9" s="297" customFormat="1" ht="21" customHeight="1">
      <c r="B1790" s="305"/>
      <c r="C1790" s="305"/>
      <c r="D1790" s="234"/>
      <c r="E1790" s="307"/>
      <c r="F1790" s="307"/>
      <c r="G1790" s="308"/>
      <c r="H1790" s="233"/>
      <c r="I1790" s="301"/>
    </row>
    <row r="1791" spans="2:9" s="297" customFormat="1" ht="21" customHeight="1">
      <c r="B1791" s="312" t="s">
        <v>835</v>
      </c>
      <c r="C1791" s="305"/>
      <c r="D1791" s="234"/>
      <c r="E1791" s="307"/>
      <c r="F1791" s="307"/>
      <c r="G1791" s="232"/>
      <c r="H1791" s="233"/>
      <c r="I1791" s="301"/>
    </row>
    <row r="1792" spans="2:9" s="297" customFormat="1" ht="21" customHeight="1">
      <c r="B1792" s="305"/>
      <c r="C1792" s="305" t="s">
        <v>64</v>
      </c>
      <c r="D1792" s="234" t="s">
        <v>836</v>
      </c>
      <c r="E1792" s="307">
        <v>9.36</v>
      </c>
      <c r="F1792" s="307"/>
      <c r="G1792" s="232"/>
      <c r="H1792" s="233"/>
      <c r="I1792" s="301"/>
    </row>
    <row r="1793" spans="2:9" s="297" customFormat="1" ht="21" customHeight="1">
      <c r="B1793" s="305"/>
      <c r="C1793" s="305"/>
      <c r="D1793" s="234"/>
      <c r="E1793" s="307"/>
      <c r="F1793" s="307"/>
      <c r="G1793" s="232"/>
      <c r="H1793" s="233"/>
      <c r="I1793" s="301"/>
    </row>
    <row r="1794" spans="2:9" s="297" customFormat="1" ht="21" customHeight="1">
      <c r="B1794" s="305"/>
      <c r="C1794" s="305"/>
      <c r="D1794" s="234"/>
      <c r="E1794" s="307"/>
      <c r="F1794" s="307"/>
      <c r="G1794" s="232"/>
      <c r="H1794" s="233"/>
      <c r="I1794" s="301"/>
    </row>
    <row r="1795" spans="2:9" s="297" customFormat="1" ht="21" customHeight="1">
      <c r="B1795" s="305"/>
      <c r="C1795" s="305"/>
      <c r="D1795" s="234"/>
      <c r="E1795" s="306"/>
      <c r="F1795" s="306"/>
      <c r="G1795" s="232"/>
      <c r="H1795" s="232"/>
      <c r="I1795" s="301"/>
    </row>
    <row r="1796" spans="2:9" s="297" customFormat="1" ht="21" customHeight="1">
      <c r="B1796" s="305"/>
      <c r="C1796" s="305"/>
      <c r="D1796" s="234"/>
      <c r="E1796" s="306"/>
      <c r="F1796" s="306"/>
      <c r="G1796" s="308"/>
      <c r="H1796" s="233"/>
      <c r="I1796" s="301"/>
    </row>
    <row r="1797" spans="2:9" s="297" customFormat="1" ht="21" customHeight="1">
      <c r="B1797" s="312" t="s">
        <v>837</v>
      </c>
      <c r="C1797" s="305"/>
      <c r="D1797" s="234"/>
      <c r="E1797" s="307"/>
      <c r="F1797" s="307"/>
      <c r="G1797" s="232"/>
      <c r="H1797" s="233"/>
      <c r="I1797" s="301"/>
    </row>
    <row r="1798" spans="2:9" s="297" customFormat="1" ht="21" customHeight="1">
      <c r="B1798" s="305"/>
      <c r="C1798" s="305" t="s">
        <v>64</v>
      </c>
      <c r="D1798" s="234" t="s">
        <v>836</v>
      </c>
      <c r="E1798" s="307">
        <v>0.28100000000000003</v>
      </c>
      <c r="F1798" s="307"/>
      <c r="G1798" s="232"/>
      <c r="H1798" s="233"/>
      <c r="I1798" s="301"/>
    </row>
    <row r="1799" spans="2:9" s="297" customFormat="1" ht="21" customHeight="1">
      <c r="B1799" s="305"/>
      <c r="C1799" s="305"/>
      <c r="D1799" s="234"/>
      <c r="E1799" s="307"/>
      <c r="F1799" s="307"/>
      <c r="G1799" s="232"/>
      <c r="H1799" s="233"/>
      <c r="I1799" s="301"/>
    </row>
    <row r="1800" spans="2:9" s="297" customFormat="1" ht="21" customHeight="1">
      <c r="B1800" s="305"/>
      <c r="C1800" s="305"/>
      <c r="D1800" s="234"/>
      <c r="E1800" s="306"/>
      <c r="F1800" s="306"/>
      <c r="G1800" s="232"/>
      <c r="H1800" s="232"/>
      <c r="I1800" s="301"/>
    </row>
    <row r="1801" spans="2:9" s="297" customFormat="1" ht="21" customHeight="1">
      <c r="B1801" s="305"/>
      <c r="C1801" s="305"/>
      <c r="D1801" s="234"/>
      <c r="E1801" s="306"/>
      <c r="F1801" s="306"/>
      <c r="G1801" s="308"/>
      <c r="H1801" s="233"/>
      <c r="I1801" s="301"/>
    </row>
    <row r="1802" spans="2:9" s="297" customFormat="1" ht="21" customHeight="1">
      <c r="B1802" s="305"/>
      <c r="C1802" s="305"/>
      <c r="D1802" s="234"/>
      <c r="E1802" s="306"/>
      <c r="F1802" s="306"/>
      <c r="G1802" s="308"/>
      <c r="H1802" s="233"/>
      <c r="I1802" s="301"/>
    </row>
    <row r="1803" spans="2:9" s="297" customFormat="1" ht="21" customHeight="1">
      <c r="B1803" s="300" t="str">
        <f>'5. 공종별예산조서'!$A$121</f>
        <v>4-6. 스위치박스 신설</v>
      </c>
      <c r="C1803" s="300" t="str">
        <f>'5. 공종별예산조서'!$B$121</f>
        <v>1구, 54㎜</v>
      </c>
      <c r="D1803" s="301" t="str">
        <f>'5. 공종별예산조서'!$C$121</f>
        <v>개</v>
      </c>
      <c r="E1803" s="309">
        <f>'5. 공종별예산조서'!$D$121</f>
        <v>26</v>
      </c>
      <c r="F1803" s="302"/>
      <c r="G1803" s="303"/>
      <c r="H1803" s="304"/>
      <c r="I1803" s="301"/>
    </row>
    <row r="1804" spans="2:9" s="297" customFormat="1" ht="21" customHeight="1">
      <c r="B1804" s="312" t="s">
        <v>834</v>
      </c>
      <c r="C1804" s="305"/>
      <c r="D1804" s="234"/>
      <c r="E1804" s="310"/>
      <c r="F1804" s="306"/>
      <c r="G1804" s="232"/>
      <c r="H1804" s="233"/>
      <c r="I1804" s="301"/>
    </row>
    <row r="1805" spans="2:9" s="297" customFormat="1" ht="21" customHeight="1">
      <c r="B1805" s="305" t="s">
        <v>1129</v>
      </c>
      <c r="C1805" s="305" t="str">
        <f>C1803</f>
        <v>1구, 54㎜</v>
      </c>
      <c r="D1805" s="234" t="str">
        <f>D1803</f>
        <v>개</v>
      </c>
      <c r="E1805" s="311">
        <f>E1803</f>
        <v>26</v>
      </c>
      <c r="F1805" s="307"/>
      <c r="G1805" s="232"/>
      <c r="H1805" s="233"/>
      <c r="I1805" s="301"/>
    </row>
    <row r="1806" spans="2:9" s="297" customFormat="1" ht="21" customHeight="1">
      <c r="B1806" s="305"/>
      <c r="C1806" s="305"/>
      <c r="D1806" s="234"/>
      <c r="E1806" s="311"/>
      <c r="F1806" s="307"/>
      <c r="G1806" s="232"/>
      <c r="H1806" s="233"/>
      <c r="I1806" s="301"/>
    </row>
    <row r="1807" spans="2:9" s="297" customFormat="1" ht="21" customHeight="1">
      <c r="B1807" s="305"/>
      <c r="C1807" s="305"/>
      <c r="D1807" s="234"/>
      <c r="E1807" s="311"/>
      <c r="F1807" s="307"/>
      <c r="G1807" s="232"/>
      <c r="H1807" s="233"/>
      <c r="I1807" s="301"/>
    </row>
    <row r="1808" spans="2:9" s="297" customFormat="1" ht="21" customHeight="1">
      <c r="B1808" s="305"/>
      <c r="C1808" s="305"/>
      <c r="D1808" s="234"/>
      <c r="E1808" s="311"/>
      <c r="F1808" s="307"/>
      <c r="G1808" s="232"/>
      <c r="H1808" s="233"/>
      <c r="I1808" s="301"/>
    </row>
    <row r="1809" spans="2:9" s="297" customFormat="1" ht="21" customHeight="1">
      <c r="B1809" s="305"/>
      <c r="C1809" s="305"/>
      <c r="D1809" s="234"/>
      <c r="E1809" s="311"/>
      <c r="F1809" s="307"/>
      <c r="G1809" s="232"/>
      <c r="H1809" s="233"/>
      <c r="I1809" s="301"/>
    </row>
    <row r="1810" spans="2:9" s="297" customFormat="1" ht="21" customHeight="1">
      <c r="B1810" s="305"/>
      <c r="C1810" s="305"/>
      <c r="D1810" s="234"/>
      <c r="E1810" s="311"/>
      <c r="F1810" s="307"/>
      <c r="G1810" s="232"/>
      <c r="H1810" s="233"/>
      <c r="I1810" s="301"/>
    </row>
    <row r="1811" spans="2:9" s="297" customFormat="1" ht="21" customHeight="1">
      <c r="B1811" s="305"/>
      <c r="C1811" s="305"/>
      <c r="D1811" s="234"/>
      <c r="E1811" s="311"/>
      <c r="F1811" s="307"/>
      <c r="G1811" s="232"/>
      <c r="H1811" s="233"/>
      <c r="I1811" s="301"/>
    </row>
    <row r="1812" spans="2:9" s="297" customFormat="1" ht="21" customHeight="1">
      <c r="B1812" s="305"/>
      <c r="C1812" s="305"/>
      <c r="D1812" s="234"/>
      <c r="E1812" s="311"/>
      <c r="F1812" s="307"/>
      <c r="G1812" s="232"/>
      <c r="H1812" s="233"/>
      <c r="I1812" s="301"/>
    </row>
    <row r="1813" spans="2:9" s="297" customFormat="1" ht="21" customHeight="1">
      <c r="B1813" s="305"/>
      <c r="C1813" s="305"/>
      <c r="D1813" s="234"/>
      <c r="E1813" s="311"/>
      <c r="F1813" s="307"/>
      <c r="G1813" s="232"/>
      <c r="H1813" s="233"/>
      <c r="I1813" s="301"/>
    </row>
    <row r="1814" spans="2:9" s="297" customFormat="1" ht="21" customHeight="1">
      <c r="B1814" s="305"/>
      <c r="C1814" s="305"/>
      <c r="D1814" s="234"/>
      <c r="E1814" s="307"/>
      <c r="F1814" s="307"/>
      <c r="G1814" s="308"/>
      <c r="H1814" s="233"/>
      <c r="I1814" s="301"/>
    </row>
    <row r="1815" spans="2:9" s="297" customFormat="1" ht="21" customHeight="1">
      <c r="B1815" s="312" t="s">
        <v>835</v>
      </c>
      <c r="C1815" s="305"/>
      <c r="D1815" s="234"/>
      <c r="E1815" s="307"/>
      <c r="F1815" s="307"/>
      <c r="G1815" s="232"/>
      <c r="H1815" s="233"/>
      <c r="I1815" s="301"/>
    </row>
    <row r="1816" spans="2:9" s="297" customFormat="1" ht="21" customHeight="1">
      <c r="B1816" s="305"/>
      <c r="C1816" s="305" t="s">
        <v>64</v>
      </c>
      <c r="D1816" s="234" t="s">
        <v>869</v>
      </c>
      <c r="E1816" s="307">
        <v>4.68</v>
      </c>
      <c r="F1816" s="307"/>
      <c r="G1816" s="232"/>
      <c r="H1816" s="233"/>
      <c r="I1816" s="301"/>
    </row>
    <row r="1817" spans="2:9" s="297" customFormat="1" ht="21" customHeight="1">
      <c r="B1817" s="305"/>
      <c r="C1817" s="305"/>
      <c r="D1817" s="234"/>
      <c r="E1817" s="307"/>
      <c r="F1817" s="307"/>
      <c r="G1817" s="232"/>
      <c r="H1817" s="233"/>
      <c r="I1817" s="301"/>
    </row>
    <row r="1818" spans="2:9" s="297" customFormat="1" ht="21" customHeight="1">
      <c r="B1818" s="305"/>
      <c r="C1818" s="305"/>
      <c r="D1818" s="234"/>
      <c r="E1818" s="307"/>
      <c r="F1818" s="307"/>
      <c r="G1818" s="232"/>
      <c r="H1818" s="233"/>
      <c r="I1818" s="301"/>
    </row>
    <row r="1819" spans="2:9" s="297" customFormat="1" ht="21" customHeight="1">
      <c r="B1819" s="305"/>
      <c r="C1819" s="305"/>
      <c r="D1819" s="234"/>
      <c r="E1819" s="306"/>
      <c r="F1819" s="306"/>
      <c r="G1819" s="232"/>
      <c r="H1819" s="232"/>
      <c r="I1819" s="301"/>
    </row>
    <row r="1820" spans="2:9" s="297" customFormat="1" ht="21" customHeight="1">
      <c r="B1820" s="305"/>
      <c r="C1820" s="305"/>
      <c r="D1820" s="234"/>
      <c r="E1820" s="306"/>
      <c r="F1820" s="306"/>
      <c r="G1820" s="308"/>
      <c r="H1820" s="233"/>
      <c r="I1820" s="301"/>
    </row>
    <row r="1821" spans="2:9" s="297" customFormat="1" ht="21" customHeight="1">
      <c r="B1821" s="312" t="s">
        <v>837</v>
      </c>
      <c r="C1821" s="305"/>
      <c r="D1821" s="234"/>
      <c r="E1821" s="307"/>
      <c r="F1821" s="307"/>
      <c r="G1821" s="232"/>
      <c r="H1821" s="233"/>
      <c r="I1821" s="301"/>
    </row>
    <row r="1822" spans="2:9" s="297" customFormat="1" ht="21" customHeight="1">
      <c r="B1822" s="305"/>
      <c r="C1822" s="305" t="s">
        <v>64</v>
      </c>
      <c r="D1822" s="234" t="s">
        <v>869</v>
      </c>
      <c r="E1822" s="307">
        <v>0.14000000000000001</v>
      </c>
      <c r="F1822" s="307"/>
      <c r="G1822" s="232"/>
      <c r="H1822" s="233"/>
      <c r="I1822" s="301"/>
    </row>
    <row r="1823" spans="2:9" s="297" customFormat="1" ht="21" customHeight="1">
      <c r="B1823" s="305"/>
      <c r="C1823" s="305"/>
      <c r="D1823" s="234"/>
      <c r="E1823" s="307"/>
      <c r="F1823" s="307"/>
      <c r="G1823" s="232"/>
      <c r="H1823" s="233"/>
      <c r="I1823" s="301"/>
    </row>
    <row r="1824" spans="2:9" s="297" customFormat="1" ht="21" customHeight="1">
      <c r="B1824" s="305"/>
      <c r="C1824" s="305"/>
      <c r="D1824" s="234"/>
      <c r="E1824" s="306"/>
      <c r="F1824" s="306"/>
      <c r="G1824" s="232"/>
      <c r="H1824" s="232"/>
      <c r="I1824" s="301"/>
    </row>
    <row r="1825" spans="2:9" s="297" customFormat="1" ht="21" customHeight="1">
      <c r="B1825" s="305"/>
      <c r="C1825" s="305"/>
      <c r="D1825" s="234"/>
      <c r="E1825" s="306"/>
      <c r="F1825" s="306"/>
      <c r="G1825" s="308"/>
      <c r="H1825" s="233"/>
      <c r="I1825" s="301"/>
    </row>
    <row r="1826" spans="2:9" s="297" customFormat="1" ht="21" customHeight="1">
      <c r="B1826" s="305"/>
      <c r="C1826" s="305"/>
      <c r="D1826" s="234"/>
      <c r="E1826" s="306"/>
      <c r="F1826" s="306"/>
      <c r="G1826" s="308"/>
      <c r="H1826" s="233"/>
      <c r="I1826" s="301"/>
    </row>
    <row r="1827" spans="2:9" s="297" customFormat="1" ht="21" customHeight="1">
      <c r="B1827" s="300" t="str">
        <f>'5. 공종별예산조서'!$A$122</f>
        <v>4-7. 풀박스 신설</v>
      </c>
      <c r="C1827" s="300" t="str">
        <f>'5. 공종별예산조서'!$B$122</f>
        <v>100*100*100</v>
      </c>
      <c r="D1827" s="301" t="str">
        <f>'5. 공종별예산조서'!$C$122</f>
        <v>개</v>
      </c>
      <c r="E1827" s="309">
        <f>'5. 공종별예산조서'!$D$122</f>
        <v>1</v>
      </c>
      <c r="F1827" s="302"/>
      <c r="G1827" s="303"/>
      <c r="H1827" s="304"/>
      <c r="I1827" s="301"/>
    </row>
    <row r="1828" spans="2:9" s="297" customFormat="1" ht="21" customHeight="1">
      <c r="B1828" s="312" t="s">
        <v>834</v>
      </c>
      <c r="C1828" s="305"/>
      <c r="D1828" s="234"/>
      <c r="E1828" s="310"/>
      <c r="F1828" s="306"/>
      <c r="G1828" s="232"/>
      <c r="H1828" s="233"/>
      <c r="I1828" s="301"/>
    </row>
    <row r="1829" spans="2:9" s="297" customFormat="1" ht="21" customHeight="1">
      <c r="B1829" s="305" t="s">
        <v>1091</v>
      </c>
      <c r="C1829" s="305" t="str">
        <f>C1827</f>
        <v>100*100*100</v>
      </c>
      <c r="D1829" s="234" t="str">
        <f>D1827</f>
        <v>개</v>
      </c>
      <c r="E1829" s="311">
        <f>E1827</f>
        <v>1</v>
      </c>
      <c r="F1829" s="307"/>
      <c r="G1829" s="232"/>
      <c r="H1829" s="233"/>
      <c r="I1829" s="301"/>
    </row>
    <row r="1830" spans="2:9" s="297" customFormat="1" ht="21" customHeight="1">
      <c r="B1830" s="305"/>
      <c r="C1830" s="305"/>
      <c r="D1830" s="234"/>
      <c r="E1830" s="311"/>
      <c r="F1830" s="307"/>
      <c r="G1830" s="232"/>
      <c r="H1830" s="233"/>
      <c r="I1830" s="301"/>
    </row>
    <row r="1831" spans="2:9" s="297" customFormat="1" ht="21" customHeight="1">
      <c r="B1831" s="305"/>
      <c r="C1831" s="305"/>
      <c r="D1831" s="234"/>
      <c r="E1831" s="307"/>
      <c r="F1831" s="307"/>
      <c r="G1831" s="308"/>
      <c r="H1831" s="233"/>
      <c r="I1831" s="301"/>
    </row>
    <row r="1832" spans="2:9" s="297" customFormat="1" ht="21" customHeight="1">
      <c r="B1832" s="305"/>
      <c r="C1832" s="305"/>
      <c r="D1832" s="234"/>
      <c r="E1832" s="307"/>
      <c r="F1832" s="307"/>
      <c r="G1832" s="308"/>
      <c r="H1832" s="233"/>
      <c r="I1832" s="301"/>
    </row>
    <row r="1833" spans="2:9" s="297" customFormat="1" ht="21" customHeight="1">
      <c r="B1833" s="305"/>
      <c r="C1833" s="305"/>
      <c r="D1833" s="234"/>
      <c r="E1833" s="307"/>
      <c r="F1833" s="307"/>
      <c r="G1833" s="308"/>
      <c r="H1833" s="233"/>
      <c r="I1833" s="301"/>
    </row>
    <row r="1834" spans="2:9" s="297" customFormat="1" ht="21" customHeight="1">
      <c r="B1834" s="305"/>
      <c r="C1834" s="305"/>
      <c r="D1834" s="234"/>
      <c r="E1834" s="307"/>
      <c r="F1834" s="307"/>
      <c r="G1834" s="308"/>
      <c r="H1834" s="233"/>
      <c r="I1834" s="301"/>
    </row>
    <row r="1835" spans="2:9" s="297" customFormat="1" ht="21" customHeight="1">
      <c r="B1835" s="305"/>
      <c r="C1835" s="305"/>
      <c r="D1835" s="234"/>
      <c r="E1835" s="307"/>
      <c r="F1835" s="307"/>
      <c r="G1835" s="308"/>
      <c r="H1835" s="233"/>
      <c r="I1835" s="301"/>
    </row>
    <row r="1836" spans="2:9" s="297" customFormat="1" ht="21" customHeight="1">
      <c r="B1836" s="305"/>
      <c r="C1836" s="305"/>
      <c r="D1836" s="234"/>
      <c r="E1836" s="307"/>
      <c r="F1836" s="307"/>
      <c r="G1836" s="308"/>
      <c r="H1836" s="233"/>
      <c r="I1836" s="301"/>
    </row>
    <row r="1837" spans="2:9" s="297" customFormat="1" ht="21" customHeight="1">
      <c r="B1837" s="305"/>
      <c r="C1837" s="305"/>
      <c r="D1837" s="234"/>
      <c r="E1837" s="307"/>
      <c r="F1837" s="307"/>
      <c r="G1837" s="308"/>
      <c r="H1837" s="233"/>
      <c r="I1837" s="301"/>
    </row>
    <row r="1838" spans="2:9" s="297" customFormat="1" ht="21" customHeight="1">
      <c r="B1838" s="305"/>
      <c r="C1838" s="305"/>
      <c r="D1838" s="234"/>
      <c r="E1838" s="307"/>
      <c r="F1838" s="307"/>
      <c r="G1838" s="308"/>
      <c r="H1838" s="233"/>
      <c r="I1838" s="301"/>
    </row>
    <row r="1839" spans="2:9" s="297" customFormat="1" ht="21" customHeight="1">
      <c r="B1839" s="305"/>
      <c r="C1839" s="305"/>
      <c r="D1839" s="234"/>
      <c r="E1839" s="307"/>
      <c r="F1839" s="307"/>
      <c r="G1839" s="308"/>
      <c r="H1839" s="233"/>
      <c r="I1839" s="301"/>
    </row>
    <row r="1840" spans="2:9" s="297" customFormat="1" ht="21" customHeight="1">
      <c r="B1840" s="312" t="s">
        <v>835</v>
      </c>
      <c r="C1840" s="305"/>
      <c r="D1840" s="234"/>
      <c r="E1840" s="307"/>
      <c r="F1840" s="307"/>
      <c r="G1840" s="232"/>
      <c r="H1840" s="233"/>
      <c r="I1840" s="301"/>
    </row>
    <row r="1841" spans="2:9" s="297" customFormat="1" ht="21" customHeight="1">
      <c r="B1841" s="305"/>
      <c r="C1841" s="305" t="s">
        <v>64</v>
      </c>
      <c r="D1841" s="234" t="s">
        <v>836</v>
      </c>
      <c r="E1841" s="307">
        <v>3.5999999999999997E-2</v>
      </c>
      <c r="F1841" s="307"/>
      <c r="G1841" s="232"/>
      <c r="H1841" s="233"/>
      <c r="I1841" s="301"/>
    </row>
    <row r="1842" spans="2:9" s="297" customFormat="1" ht="21" customHeight="1">
      <c r="B1842" s="305"/>
      <c r="C1842" s="305"/>
      <c r="D1842" s="234"/>
      <c r="E1842" s="307"/>
      <c r="F1842" s="307"/>
      <c r="G1842" s="232"/>
      <c r="H1842" s="233"/>
      <c r="I1842" s="301"/>
    </row>
    <row r="1843" spans="2:9" s="297" customFormat="1" ht="21" customHeight="1">
      <c r="B1843" s="305"/>
      <c r="C1843" s="305"/>
      <c r="D1843" s="234"/>
      <c r="E1843" s="306"/>
      <c r="F1843" s="306"/>
      <c r="G1843" s="232"/>
      <c r="H1843" s="232"/>
      <c r="I1843" s="301"/>
    </row>
    <row r="1844" spans="2:9" s="297" customFormat="1" ht="21" customHeight="1">
      <c r="B1844" s="305"/>
      <c r="C1844" s="305"/>
      <c r="D1844" s="234"/>
      <c r="E1844" s="306"/>
      <c r="F1844" s="306"/>
      <c r="G1844" s="308"/>
      <c r="H1844" s="233"/>
      <c r="I1844" s="301"/>
    </row>
    <row r="1845" spans="2:9" s="297" customFormat="1" ht="21" customHeight="1">
      <c r="B1845" s="312" t="s">
        <v>837</v>
      </c>
      <c r="C1845" s="305"/>
      <c r="D1845" s="234"/>
      <c r="E1845" s="307"/>
      <c r="F1845" s="307"/>
      <c r="G1845" s="232"/>
      <c r="H1845" s="233"/>
      <c r="I1845" s="301"/>
    </row>
    <row r="1846" spans="2:9" s="297" customFormat="1" ht="21" customHeight="1">
      <c r="B1846" s="305"/>
      <c r="C1846" s="305" t="s">
        <v>64</v>
      </c>
      <c r="D1846" s="234" t="s">
        <v>836</v>
      </c>
      <c r="E1846" s="307">
        <v>1E-3</v>
      </c>
      <c r="F1846" s="307"/>
      <c r="G1846" s="232"/>
      <c r="H1846" s="233"/>
      <c r="I1846" s="301"/>
    </row>
    <row r="1847" spans="2:9" s="297" customFormat="1" ht="21" customHeight="1">
      <c r="B1847" s="305"/>
      <c r="C1847" s="305"/>
      <c r="D1847" s="234"/>
      <c r="E1847" s="307"/>
      <c r="F1847" s="307"/>
      <c r="G1847" s="232"/>
      <c r="H1847" s="233"/>
      <c r="I1847" s="301"/>
    </row>
    <row r="1848" spans="2:9" s="297" customFormat="1" ht="21" customHeight="1">
      <c r="B1848" s="305"/>
      <c r="C1848" s="305"/>
      <c r="D1848" s="234"/>
      <c r="E1848" s="306"/>
      <c r="F1848" s="306"/>
      <c r="G1848" s="232"/>
      <c r="H1848" s="232"/>
      <c r="I1848" s="301"/>
    </row>
    <row r="1849" spans="2:9" s="297" customFormat="1" ht="21" customHeight="1">
      <c r="B1849" s="305"/>
      <c r="C1849" s="305"/>
      <c r="D1849" s="234"/>
      <c r="E1849" s="306"/>
      <c r="F1849" s="306"/>
      <c r="G1849" s="308"/>
      <c r="H1849" s="233"/>
      <c r="I1849" s="301"/>
    </row>
    <row r="1850" spans="2:9" s="297" customFormat="1" ht="21" customHeight="1">
      <c r="B1850" s="305"/>
      <c r="C1850" s="305"/>
      <c r="D1850" s="234"/>
      <c r="E1850" s="306"/>
      <c r="F1850" s="306"/>
      <c r="G1850" s="308"/>
      <c r="H1850" s="233"/>
      <c r="I1850" s="301"/>
    </row>
    <row r="1851" spans="2:9" s="297" customFormat="1" ht="21" customHeight="1">
      <c r="B1851" s="300" t="str">
        <f>'5. 공종별예산조서'!$A$123</f>
        <v>4-8. 전선 신설</v>
      </c>
      <c r="C1851" s="300" t="str">
        <f>'5. 공종별예산조서'!$B$123</f>
        <v>HFIX, 2.5SQ</v>
      </c>
      <c r="D1851" s="301" t="str">
        <f>'5. 공종별예산조서'!$C$123</f>
        <v>M</v>
      </c>
      <c r="E1851" s="309">
        <f>'5. 공종별예산조서'!$D$123</f>
        <v>190</v>
      </c>
      <c r="F1851" s="302"/>
      <c r="G1851" s="303"/>
      <c r="H1851" s="304"/>
      <c r="I1851" s="301"/>
    </row>
    <row r="1852" spans="2:9" s="297" customFormat="1" ht="21" customHeight="1">
      <c r="B1852" s="312" t="s">
        <v>834</v>
      </c>
      <c r="C1852" s="305"/>
      <c r="D1852" s="234"/>
      <c r="E1852" s="310"/>
      <c r="F1852" s="306"/>
      <c r="G1852" s="232"/>
      <c r="H1852" s="233"/>
      <c r="I1852" s="301"/>
    </row>
    <row r="1853" spans="2:9" s="297" customFormat="1" ht="21" customHeight="1">
      <c r="B1853" s="305" t="s">
        <v>1118</v>
      </c>
      <c r="C1853" s="305" t="str">
        <f>C1851</f>
        <v>HFIX, 2.5SQ</v>
      </c>
      <c r="D1853" s="234" t="str">
        <f>D1851</f>
        <v>M</v>
      </c>
      <c r="E1853" s="311">
        <f>E1851</f>
        <v>190</v>
      </c>
      <c r="F1853" s="307"/>
      <c r="G1853" s="232"/>
      <c r="H1853" s="233"/>
      <c r="I1853" s="301"/>
    </row>
    <row r="1854" spans="2:9" s="297" customFormat="1" ht="21" customHeight="1">
      <c r="B1854" s="305"/>
      <c r="C1854" s="305"/>
      <c r="D1854" s="234"/>
      <c r="E1854" s="311"/>
      <c r="F1854" s="307"/>
      <c r="G1854" s="232"/>
      <c r="H1854" s="233"/>
      <c r="I1854" s="301"/>
    </row>
    <row r="1855" spans="2:9" s="297" customFormat="1" ht="21" customHeight="1">
      <c r="B1855" s="305"/>
      <c r="C1855" s="305"/>
      <c r="D1855" s="234"/>
      <c r="E1855" s="307"/>
      <c r="F1855" s="307"/>
      <c r="G1855" s="308"/>
      <c r="H1855" s="233"/>
      <c r="I1855" s="301"/>
    </row>
    <row r="1856" spans="2:9" s="297" customFormat="1" ht="21" customHeight="1">
      <c r="B1856" s="305"/>
      <c r="C1856" s="305"/>
      <c r="D1856" s="234"/>
      <c r="E1856" s="307"/>
      <c r="F1856" s="307"/>
      <c r="G1856" s="308"/>
      <c r="H1856" s="233"/>
      <c r="I1856" s="301"/>
    </row>
    <row r="1857" spans="2:9" s="297" customFormat="1" ht="21" customHeight="1">
      <c r="B1857" s="305"/>
      <c r="C1857" s="305"/>
      <c r="D1857" s="234"/>
      <c r="E1857" s="307"/>
      <c r="F1857" s="307"/>
      <c r="G1857" s="308"/>
      <c r="H1857" s="233"/>
      <c r="I1857" s="301"/>
    </row>
    <row r="1858" spans="2:9" s="297" customFormat="1" ht="21" customHeight="1">
      <c r="B1858" s="305"/>
      <c r="C1858" s="305"/>
      <c r="D1858" s="234"/>
      <c r="E1858" s="307"/>
      <c r="F1858" s="307"/>
      <c r="G1858" s="308"/>
      <c r="H1858" s="233"/>
      <c r="I1858" s="301"/>
    </row>
    <row r="1859" spans="2:9" s="297" customFormat="1" ht="21" customHeight="1">
      <c r="B1859" s="305"/>
      <c r="C1859" s="305"/>
      <c r="D1859" s="234"/>
      <c r="E1859" s="307"/>
      <c r="F1859" s="307"/>
      <c r="G1859" s="308"/>
      <c r="H1859" s="233"/>
      <c r="I1859" s="301"/>
    </row>
    <row r="1860" spans="2:9" s="297" customFormat="1" ht="21" customHeight="1">
      <c r="B1860" s="305"/>
      <c r="C1860" s="305"/>
      <c r="D1860" s="234"/>
      <c r="E1860" s="307"/>
      <c r="F1860" s="307"/>
      <c r="G1860" s="308"/>
      <c r="H1860" s="233"/>
      <c r="I1860" s="301"/>
    </row>
    <row r="1861" spans="2:9" s="297" customFormat="1" ht="21" customHeight="1">
      <c r="B1861" s="305"/>
      <c r="C1861" s="305"/>
      <c r="D1861" s="234"/>
      <c r="E1861" s="307"/>
      <c r="F1861" s="307"/>
      <c r="G1861" s="308"/>
      <c r="H1861" s="233"/>
      <c r="I1861" s="301"/>
    </row>
    <row r="1862" spans="2:9" s="297" customFormat="1" ht="21" customHeight="1">
      <c r="B1862" s="305"/>
      <c r="C1862" s="305"/>
      <c r="D1862" s="234"/>
      <c r="E1862" s="307"/>
      <c r="F1862" s="307"/>
      <c r="G1862" s="308"/>
      <c r="H1862" s="233"/>
      <c r="I1862" s="301"/>
    </row>
    <row r="1863" spans="2:9" s="297" customFormat="1" ht="21" customHeight="1">
      <c r="B1863" s="312" t="s">
        <v>835</v>
      </c>
      <c r="C1863" s="305"/>
      <c r="D1863" s="234"/>
      <c r="E1863" s="307"/>
      <c r="F1863" s="307"/>
      <c r="G1863" s="232"/>
      <c r="H1863" s="233"/>
      <c r="I1863" s="301"/>
    </row>
    <row r="1864" spans="2:9" s="297" customFormat="1" ht="21" customHeight="1">
      <c r="B1864" s="305"/>
      <c r="C1864" s="305" t="s">
        <v>64</v>
      </c>
      <c r="D1864" s="234" t="s">
        <v>836</v>
      </c>
      <c r="E1864" s="307">
        <v>1.647</v>
      </c>
      <c r="F1864" s="307"/>
      <c r="G1864" s="232"/>
      <c r="H1864" s="233"/>
      <c r="I1864" s="301"/>
    </row>
    <row r="1865" spans="2:9" s="297" customFormat="1" ht="21" customHeight="1">
      <c r="B1865" s="305"/>
      <c r="C1865" s="305"/>
      <c r="D1865" s="234"/>
      <c r="E1865" s="307"/>
      <c r="F1865" s="307"/>
      <c r="G1865" s="232"/>
      <c r="H1865" s="233"/>
      <c r="I1865" s="301"/>
    </row>
    <row r="1866" spans="2:9" s="297" customFormat="1" ht="21" customHeight="1">
      <c r="B1866" s="305"/>
      <c r="C1866" s="305"/>
      <c r="D1866" s="234"/>
      <c r="E1866" s="306"/>
      <c r="F1866" s="306"/>
      <c r="G1866" s="232"/>
      <c r="H1866" s="232"/>
      <c r="I1866" s="301"/>
    </row>
    <row r="1867" spans="2:9" s="297" customFormat="1" ht="21" customHeight="1">
      <c r="B1867" s="305"/>
      <c r="C1867" s="305"/>
      <c r="D1867" s="234"/>
      <c r="E1867" s="306"/>
      <c r="F1867" s="306"/>
      <c r="G1867" s="232"/>
      <c r="H1867" s="232"/>
      <c r="I1867" s="301"/>
    </row>
    <row r="1868" spans="2:9" s="297" customFormat="1" ht="21" customHeight="1">
      <c r="B1868" s="305"/>
      <c r="C1868" s="305"/>
      <c r="D1868" s="234"/>
      <c r="E1868" s="306"/>
      <c r="F1868" s="306"/>
      <c r="G1868" s="308"/>
      <c r="H1868" s="233"/>
      <c r="I1868" s="301"/>
    </row>
    <row r="1869" spans="2:9" s="297" customFormat="1" ht="21" customHeight="1">
      <c r="B1869" s="312" t="s">
        <v>837</v>
      </c>
      <c r="C1869" s="305"/>
      <c r="D1869" s="234"/>
      <c r="E1869" s="307"/>
      <c r="F1869" s="307"/>
      <c r="G1869" s="232"/>
      <c r="H1869" s="233"/>
      <c r="I1869" s="301"/>
    </row>
    <row r="1870" spans="2:9" s="297" customFormat="1" ht="21" customHeight="1">
      <c r="B1870" s="305"/>
      <c r="C1870" s="305" t="s">
        <v>64</v>
      </c>
      <c r="D1870" s="234" t="s">
        <v>836</v>
      </c>
      <c r="E1870" s="307">
        <v>4.9000000000000002E-2</v>
      </c>
      <c r="F1870" s="307"/>
      <c r="G1870" s="232"/>
      <c r="H1870" s="233"/>
      <c r="I1870" s="301"/>
    </row>
    <row r="1871" spans="2:9" s="297" customFormat="1" ht="21" customHeight="1">
      <c r="B1871" s="305"/>
      <c r="C1871" s="305"/>
      <c r="D1871" s="234"/>
      <c r="E1871" s="307"/>
      <c r="F1871" s="307"/>
      <c r="G1871" s="232"/>
      <c r="H1871" s="233"/>
      <c r="I1871" s="301"/>
    </row>
    <row r="1872" spans="2:9" s="297" customFormat="1" ht="21" customHeight="1">
      <c r="B1872" s="305"/>
      <c r="C1872" s="305"/>
      <c r="D1872" s="234"/>
      <c r="E1872" s="306"/>
      <c r="F1872" s="306"/>
      <c r="G1872" s="232"/>
      <c r="H1872" s="232"/>
      <c r="I1872" s="301"/>
    </row>
    <row r="1873" spans="2:9" s="297" customFormat="1" ht="21" customHeight="1">
      <c r="B1873" s="305"/>
      <c r="C1873" s="305"/>
      <c r="D1873" s="234"/>
      <c r="E1873" s="306"/>
      <c r="F1873" s="306"/>
      <c r="G1873" s="308"/>
      <c r="H1873" s="233"/>
      <c r="I1873" s="301"/>
    </row>
    <row r="1874" spans="2:9" s="297" customFormat="1" ht="21" customHeight="1">
      <c r="B1874" s="305"/>
      <c r="C1874" s="305"/>
      <c r="D1874" s="234"/>
      <c r="E1874" s="306"/>
      <c r="F1874" s="306"/>
      <c r="G1874" s="308"/>
      <c r="H1874" s="233"/>
      <c r="I1874" s="301"/>
    </row>
    <row r="1875" spans="2:9" s="297" customFormat="1" ht="21" customHeight="1">
      <c r="B1875" s="300" t="str">
        <f>'5. 공종별예산조서'!$A$124</f>
        <v>4-9. 케이블 신설</v>
      </c>
      <c r="C1875" s="300" t="str">
        <f>'5. 공종별예산조서'!$B$124</f>
        <v>0.6/1kV, F-CV 6SQ/4C</v>
      </c>
      <c r="D1875" s="301" t="str">
        <f>'5. 공종별예산조서'!$C$124</f>
        <v>M</v>
      </c>
      <c r="E1875" s="309">
        <f>'5. 공종별예산조서'!$D$124</f>
        <v>7</v>
      </c>
      <c r="F1875" s="302"/>
      <c r="G1875" s="303"/>
      <c r="H1875" s="304"/>
      <c r="I1875" s="301"/>
    </row>
    <row r="1876" spans="2:9" s="297" customFormat="1" ht="21" customHeight="1">
      <c r="B1876" s="312" t="s">
        <v>834</v>
      </c>
      <c r="C1876" s="305"/>
      <c r="D1876" s="234"/>
      <c r="E1876" s="310"/>
      <c r="F1876" s="306"/>
      <c r="G1876" s="232"/>
      <c r="H1876" s="233"/>
      <c r="I1876" s="301"/>
    </row>
    <row r="1877" spans="2:9" s="297" customFormat="1" ht="21" customHeight="1">
      <c r="B1877" s="305" t="s">
        <v>1088</v>
      </c>
      <c r="C1877" s="305" t="str">
        <f>C1875</f>
        <v>0.6/1kV, F-CV 6SQ/4C</v>
      </c>
      <c r="D1877" s="234" t="str">
        <f>D1875</f>
        <v>M</v>
      </c>
      <c r="E1877" s="311">
        <f>E1875</f>
        <v>7</v>
      </c>
      <c r="F1877" s="307"/>
      <c r="G1877" s="232"/>
      <c r="H1877" s="233"/>
      <c r="I1877" s="301"/>
    </row>
    <row r="1878" spans="2:9" s="297" customFormat="1" ht="21" customHeight="1">
      <c r="B1878" s="305"/>
      <c r="C1878" s="305"/>
      <c r="D1878" s="234"/>
      <c r="E1878" s="311"/>
      <c r="F1878" s="307"/>
      <c r="G1878" s="232"/>
      <c r="H1878" s="233"/>
      <c r="I1878" s="301"/>
    </row>
    <row r="1879" spans="2:9" s="297" customFormat="1" ht="21" customHeight="1">
      <c r="B1879" s="305"/>
      <c r="C1879" s="305"/>
      <c r="D1879" s="234"/>
      <c r="E1879" s="307"/>
      <c r="F1879" s="307"/>
      <c r="G1879" s="308"/>
      <c r="H1879" s="233"/>
      <c r="I1879" s="301"/>
    </row>
    <row r="1880" spans="2:9" s="297" customFormat="1" ht="21" customHeight="1">
      <c r="B1880" s="305"/>
      <c r="C1880" s="305"/>
      <c r="D1880" s="234"/>
      <c r="E1880" s="307"/>
      <c r="F1880" s="307"/>
      <c r="G1880" s="308"/>
      <c r="H1880" s="233"/>
      <c r="I1880" s="301"/>
    </row>
    <row r="1881" spans="2:9" s="297" customFormat="1" ht="21" customHeight="1">
      <c r="B1881" s="305"/>
      <c r="C1881" s="305"/>
      <c r="D1881" s="234"/>
      <c r="E1881" s="307"/>
      <c r="F1881" s="307"/>
      <c r="G1881" s="308"/>
      <c r="H1881" s="233"/>
      <c r="I1881" s="301"/>
    </row>
    <row r="1882" spans="2:9" s="297" customFormat="1" ht="21" customHeight="1">
      <c r="B1882" s="305"/>
      <c r="C1882" s="305"/>
      <c r="D1882" s="234"/>
      <c r="E1882" s="307"/>
      <c r="F1882" s="307"/>
      <c r="G1882" s="308"/>
      <c r="H1882" s="233"/>
      <c r="I1882" s="301"/>
    </row>
    <row r="1883" spans="2:9" s="297" customFormat="1" ht="21" customHeight="1">
      <c r="B1883" s="305"/>
      <c r="C1883" s="305"/>
      <c r="D1883" s="234"/>
      <c r="E1883" s="307"/>
      <c r="F1883" s="307"/>
      <c r="G1883" s="308"/>
      <c r="H1883" s="233"/>
      <c r="I1883" s="301"/>
    </row>
    <row r="1884" spans="2:9" s="297" customFormat="1" ht="21" customHeight="1">
      <c r="B1884" s="305"/>
      <c r="C1884" s="305"/>
      <c r="D1884" s="234"/>
      <c r="E1884" s="307"/>
      <c r="F1884" s="307"/>
      <c r="G1884" s="308"/>
      <c r="H1884" s="233"/>
      <c r="I1884" s="301"/>
    </row>
    <row r="1885" spans="2:9" s="297" customFormat="1" ht="21" customHeight="1">
      <c r="B1885" s="305"/>
      <c r="C1885" s="305"/>
      <c r="D1885" s="234"/>
      <c r="E1885" s="307"/>
      <c r="F1885" s="307"/>
      <c r="G1885" s="308"/>
      <c r="H1885" s="233"/>
      <c r="I1885" s="301"/>
    </row>
    <row r="1886" spans="2:9" s="297" customFormat="1" ht="21" customHeight="1">
      <c r="B1886" s="305"/>
      <c r="C1886" s="305"/>
      <c r="D1886" s="234"/>
      <c r="E1886" s="307"/>
      <c r="F1886" s="307"/>
      <c r="G1886" s="308"/>
      <c r="H1886" s="233"/>
      <c r="I1886" s="301"/>
    </row>
    <row r="1887" spans="2:9" s="297" customFormat="1" ht="21" customHeight="1">
      <c r="B1887" s="312" t="s">
        <v>835</v>
      </c>
      <c r="C1887" s="305"/>
      <c r="D1887" s="234"/>
      <c r="E1887" s="307"/>
      <c r="F1887" s="307"/>
      <c r="G1887" s="232"/>
      <c r="H1887" s="233"/>
      <c r="I1887" s="301"/>
    </row>
    <row r="1888" spans="2:9" s="297" customFormat="1" ht="21" customHeight="1">
      <c r="B1888" s="305"/>
      <c r="C1888" s="305" t="s">
        <v>1166</v>
      </c>
      <c r="D1888" s="234" t="s">
        <v>869</v>
      </c>
      <c r="E1888" s="307">
        <v>0.23799999999999999</v>
      </c>
      <c r="F1888" s="307"/>
      <c r="G1888" s="232"/>
      <c r="H1888" s="233"/>
      <c r="I1888" s="301"/>
    </row>
    <row r="1889" spans="2:9" s="297" customFormat="1" ht="21" customHeight="1">
      <c r="B1889" s="305"/>
      <c r="C1889" s="305"/>
      <c r="D1889" s="234"/>
      <c r="E1889" s="307"/>
      <c r="F1889" s="307"/>
      <c r="G1889" s="232"/>
      <c r="H1889" s="233"/>
      <c r="I1889" s="301"/>
    </row>
    <row r="1890" spans="2:9" s="297" customFormat="1" ht="21" customHeight="1">
      <c r="B1890" s="305"/>
      <c r="C1890" s="305"/>
      <c r="D1890" s="234"/>
      <c r="E1890" s="306"/>
      <c r="F1890" s="306"/>
      <c r="G1890" s="232"/>
      <c r="H1890" s="232"/>
      <c r="I1890" s="301"/>
    </row>
    <row r="1891" spans="2:9" s="297" customFormat="1" ht="21" customHeight="1">
      <c r="B1891" s="305"/>
      <c r="C1891" s="305"/>
      <c r="D1891" s="234"/>
      <c r="E1891" s="306"/>
      <c r="F1891" s="306"/>
      <c r="G1891" s="232"/>
      <c r="H1891" s="232"/>
      <c r="I1891" s="301"/>
    </row>
    <row r="1892" spans="2:9" s="297" customFormat="1" ht="21" customHeight="1">
      <c r="B1892" s="305"/>
      <c r="C1892" s="305"/>
      <c r="D1892" s="234"/>
      <c r="E1892" s="306"/>
      <c r="F1892" s="306"/>
      <c r="G1892" s="308"/>
      <c r="H1892" s="233"/>
      <c r="I1892" s="301"/>
    </row>
    <row r="1893" spans="2:9" s="297" customFormat="1" ht="21" customHeight="1">
      <c r="B1893" s="312" t="s">
        <v>837</v>
      </c>
      <c r="C1893" s="305"/>
      <c r="D1893" s="234"/>
      <c r="E1893" s="307"/>
      <c r="F1893" s="307"/>
      <c r="G1893" s="232"/>
      <c r="H1893" s="233"/>
      <c r="I1893" s="301"/>
    </row>
    <row r="1894" spans="2:9" s="297" customFormat="1" ht="21" customHeight="1">
      <c r="B1894" s="305"/>
      <c r="C1894" s="305" t="s">
        <v>1166</v>
      </c>
      <c r="D1894" s="234" t="s">
        <v>869</v>
      </c>
      <c r="E1894" s="307">
        <v>7.0000000000000001E-3</v>
      </c>
      <c r="F1894" s="307"/>
      <c r="G1894" s="232"/>
      <c r="H1894" s="233"/>
      <c r="I1894" s="301"/>
    </row>
    <row r="1895" spans="2:9" s="297" customFormat="1" ht="21" customHeight="1">
      <c r="B1895" s="305"/>
      <c r="C1895" s="305"/>
      <c r="D1895" s="234"/>
      <c r="E1895" s="307"/>
      <c r="F1895" s="307"/>
      <c r="G1895" s="232"/>
      <c r="H1895" s="233"/>
      <c r="I1895" s="301"/>
    </row>
    <row r="1896" spans="2:9" s="297" customFormat="1" ht="21" customHeight="1">
      <c r="B1896" s="305"/>
      <c r="C1896" s="305"/>
      <c r="D1896" s="234"/>
      <c r="E1896" s="306"/>
      <c r="F1896" s="306"/>
      <c r="G1896" s="232"/>
      <c r="H1896" s="232"/>
      <c r="I1896" s="301"/>
    </row>
    <row r="1897" spans="2:9" s="297" customFormat="1" ht="21" customHeight="1">
      <c r="B1897" s="305"/>
      <c r="C1897" s="305"/>
      <c r="D1897" s="234"/>
      <c r="E1897" s="306"/>
      <c r="F1897" s="306"/>
      <c r="G1897" s="308"/>
      <c r="H1897" s="233"/>
      <c r="I1897" s="301"/>
    </row>
    <row r="1898" spans="2:9" s="297" customFormat="1" ht="21" customHeight="1">
      <c r="B1898" s="305"/>
      <c r="C1898" s="305"/>
      <c r="D1898" s="234"/>
      <c r="E1898" s="306"/>
      <c r="F1898" s="306"/>
      <c r="G1898" s="308"/>
      <c r="H1898" s="233"/>
      <c r="I1898" s="301"/>
    </row>
    <row r="1899" spans="2:9" s="297" customFormat="1" ht="21" customHeight="1">
      <c r="B1899" s="300" t="str">
        <f>'5. 공종별예산조서'!$A$125</f>
        <v>4-10. 케이블 신설</v>
      </c>
      <c r="C1899" s="300" t="str">
        <f>'5. 공종별예산조서'!$B$125</f>
        <v>0.6/1kV, F-CV 25SQ/4C</v>
      </c>
      <c r="D1899" s="301" t="str">
        <f>'5. 공종별예산조서'!$C$125</f>
        <v>M</v>
      </c>
      <c r="E1899" s="309">
        <f>'5. 공종별예산조서'!$D$125</f>
        <v>10</v>
      </c>
      <c r="F1899" s="302"/>
      <c r="G1899" s="303"/>
      <c r="H1899" s="304"/>
      <c r="I1899" s="301"/>
    </row>
    <row r="1900" spans="2:9" s="297" customFormat="1" ht="21" customHeight="1">
      <c r="B1900" s="312" t="s">
        <v>834</v>
      </c>
      <c r="C1900" s="305"/>
      <c r="D1900" s="234"/>
      <c r="E1900" s="310"/>
      <c r="F1900" s="306"/>
      <c r="G1900" s="232"/>
      <c r="H1900" s="233"/>
      <c r="I1900" s="301"/>
    </row>
    <row r="1901" spans="2:9" s="297" customFormat="1" ht="21" customHeight="1">
      <c r="B1901" s="305" t="s">
        <v>1088</v>
      </c>
      <c r="C1901" s="305" t="str">
        <f>C1899</f>
        <v>0.6/1kV, F-CV 25SQ/4C</v>
      </c>
      <c r="D1901" s="234" t="str">
        <f>D1899</f>
        <v>M</v>
      </c>
      <c r="E1901" s="311">
        <f>E1899</f>
        <v>10</v>
      </c>
      <c r="F1901" s="307"/>
      <c r="G1901" s="232"/>
      <c r="H1901" s="233"/>
      <c r="I1901" s="301"/>
    </row>
    <row r="1902" spans="2:9" s="297" customFormat="1" ht="21" customHeight="1">
      <c r="B1902" s="305"/>
      <c r="C1902" s="305"/>
      <c r="D1902" s="234"/>
      <c r="E1902" s="311"/>
      <c r="F1902" s="307"/>
      <c r="G1902" s="232"/>
      <c r="H1902" s="233"/>
      <c r="I1902" s="301"/>
    </row>
    <row r="1903" spans="2:9" s="297" customFormat="1" ht="21" customHeight="1">
      <c r="B1903" s="305"/>
      <c r="C1903" s="305"/>
      <c r="D1903" s="234"/>
      <c r="E1903" s="307"/>
      <c r="F1903" s="307"/>
      <c r="G1903" s="308"/>
      <c r="H1903" s="233"/>
      <c r="I1903" s="301"/>
    </row>
    <row r="1904" spans="2:9" s="297" customFormat="1" ht="21" customHeight="1">
      <c r="B1904" s="305"/>
      <c r="C1904" s="305"/>
      <c r="D1904" s="234"/>
      <c r="E1904" s="307"/>
      <c r="F1904" s="307"/>
      <c r="G1904" s="308"/>
      <c r="H1904" s="233"/>
      <c r="I1904" s="301"/>
    </row>
    <row r="1905" spans="2:9" s="297" customFormat="1" ht="21" customHeight="1">
      <c r="B1905" s="305"/>
      <c r="C1905" s="305"/>
      <c r="D1905" s="234"/>
      <c r="E1905" s="307"/>
      <c r="F1905" s="307"/>
      <c r="G1905" s="308"/>
      <c r="H1905" s="233"/>
      <c r="I1905" s="301"/>
    </row>
    <row r="1906" spans="2:9" s="297" customFormat="1" ht="21" customHeight="1">
      <c r="B1906" s="305"/>
      <c r="C1906" s="305"/>
      <c r="D1906" s="234"/>
      <c r="E1906" s="307"/>
      <c r="F1906" s="307"/>
      <c r="G1906" s="308"/>
      <c r="H1906" s="233"/>
      <c r="I1906" s="301"/>
    </row>
    <row r="1907" spans="2:9" s="297" customFormat="1" ht="21" customHeight="1">
      <c r="B1907" s="305"/>
      <c r="C1907" s="305"/>
      <c r="D1907" s="234"/>
      <c r="E1907" s="307"/>
      <c r="F1907" s="307"/>
      <c r="G1907" s="308"/>
      <c r="H1907" s="233"/>
      <c r="I1907" s="301"/>
    </row>
    <row r="1908" spans="2:9" s="297" customFormat="1" ht="21" customHeight="1">
      <c r="B1908" s="305"/>
      <c r="C1908" s="305"/>
      <c r="D1908" s="234"/>
      <c r="E1908" s="307"/>
      <c r="F1908" s="307"/>
      <c r="G1908" s="308"/>
      <c r="H1908" s="233"/>
      <c r="I1908" s="301"/>
    </row>
    <row r="1909" spans="2:9" s="297" customFormat="1" ht="21" customHeight="1">
      <c r="B1909" s="305"/>
      <c r="C1909" s="305"/>
      <c r="D1909" s="234"/>
      <c r="E1909" s="307"/>
      <c r="F1909" s="307"/>
      <c r="G1909" s="308"/>
      <c r="H1909" s="233"/>
      <c r="I1909" s="301"/>
    </row>
    <row r="1910" spans="2:9" s="297" customFormat="1" ht="21" customHeight="1">
      <c r="B1910" s="305"/>
      <c r="C1910" s="305"/>
      <c r="D1910" s="234"/>
      <c r="E1910" s="307"/>
      <c r="F1910" s="307"/>
      <c r="G1910" s="308"/>
      <c r="H1910" s="233"/>
      <c r="I1910" s="301"/>
    </row>
    <row r="1911" spans="2:9" s="297" customFormat="1" ht="21" customHeight="1">
      <c r="B1911" s="312" t="s">
        <v>835</v>
      </c>
      <c r="C1911" s="305"/>
      <c r="D1911" s="234"/>
      <c r="E1911" s="307"/>
      <c r="F1911" s="307"/>
      <c r="G1911" s="232"/>
      <c r="H1911" s="233"/>
      <c r="I1911" s="301"/>
    </row>
    <row r="1912" spans="2:9" s="297" customFormat="1" ht="21" customHeight="1">
      <c r="B1912" s="305"/>
      <c r="C1912" s="305" t="s">
        <v>1166</v>
      </c>
      <c r="D1912" s="234" t="s">
        <v>836</v>
      </c>
      <c r="E1912" s="307">
        <v>0.78</v>
      </c>
      <c r="F1912" s="307"/>
      <c r="G1912" s="232"/>
      <c r="H1912" s="233"/>
      <c r="I1912" s="301"/>
    </row>
    <row r="1913" spans="2:9" s="297" customFormat="1" ht="21" customHeight="1">
      <c r="B1913" s="305"/>
      <c r="C1913" s="305"/>
      <c r="D1913" s="234"/>
      <c r="E1913" s="307"/>
      <c r="F1913" s="307"/>
      <c r="G1913" s="232"/>
      <c r="H1913" s="233"/>
      <c r="I1913" s="301"/>
    </row>
    <row r="1914" spans="2:9" s="297" customFormat="1" ht="21" customHeight="1">
      <c r="B1914" s="305"/>
      <c r="C1914" s="305"/>
      <c r="D1914" s="234"/>
      <c r="E1914" s="307"/>
      <c r="F1914" s="307"/>
      <c r="G1914" s="232"/>
      <c r="H1914" s="233"/>
      <c r="I1914" s="301"/>
    </row>
    <row r="1915" spans="2:9" s="297" customFormat="1" ht="21" customHeight="1">
      <c r="B1915" s="305"/>
      <c r="C1915" s="305"/>
      <c r="D1915" s="234"/>
      <c r="E1915" s="306"/>
      <c r="F1915" s="306"/>
      <c r="G1915" s="232"/>
      <c r="H1915" s="232"/>
      <c r="I1915" s="301"/>
    </row>
    <row r="1916" spans="2:9" s="297" customFormat="1" ht="21" customHeight="1">
      <c r="B1916" s="305"/>
      <c r="C1916" s="305"/>
      <c r="D1916" s="234"/>
      <c r="E1916" s="306"/>
      <c r="F1916" s="306"/>
      <c r="G1916" s="308"/>
      <c r="H1916" s="233"/>
      <c r="I1916" s="301"/>
    </row>
    <row r="1917" spans="2:9" s="297" customFormat="1" ht="21" customHeight="1">
      <c r="B1917" s="312" t="s">
        <v>837</v>
      </c>
      <c r="C1917" s="305"/>
      <c r="D1917" s="234"/>
      <c r="E1917" s="307"/>
      <c r="F1917" s="307"/>
      <c r="G1917" s="232"/>
      <c r="H1917" s="233"/>
      <c r="I1917" s="301"/>
    </row>
    <row r="1918" spans="2:9" s="297" customFormat="1" ht="21" customHeight="1">
      <c r="B1918" s="305"/>
      <c r="C1918" s="305" t="s">
        <v>1166</v>
      </c>
      <c r="D1918" s="234" t="s">
        <v>836</v>
      </c>
      <c r="E1918" s="307">
        <v>2.3E-2</v>
      </c>
      <c r="F1918" s="307"/>
      <c r="G1918" s="232"/>
      <c r="H1918" s="233"/>
      <c r="I1918" s="301"/>
    </row>
    <row r="1919" spans="2:9" s="297" customFormat="1" ht="21" customHeight="1">
      <c r="B1919" s="305"/>
      <c r="C1919" s="305"/>
      <c r="D1919" s="234"/>
      <c r="E1919" s="307"/>
      <c r="F1919" s="307"/>
      <c r="G1919" s="232"/>
      <c r="H1919" s="233"/>
      <c r="I1919" s="301"/>
    </row>
    <row r="1920" spans="2:9" s="297" customFormat="1" ht="21" customHeight="1">
      <c r="B1920" s="305"/>
      <c r="C1920" s="305"/>
      <c r="D1920" s="234"/>
      <c r="E1920" s="306"/>
      <c r="F1920" s="306"/>
      <c r="G1920" s="232"/>
      <c r="H1920" s="232"/>
      <c r="I1920" s="301"/>
    </row>
    <row r="1921" spans="2:9" s="297" customFormat="1" ht="21" customHeight="1">
      <c r="B1921" s="305"/>
      <c r="C1921" s="305"/>
      <c r="D1921" s="234"/>
      <c r="E1921" s="306"/>
      <c r="F1921" s="306"/>
      <c r="G1921" s="308"/>
      <c r="H1921" s="233"/>
      <c r="I1921" s="301"/>
    </row>
    <row r="1922" spans="2:9" s="297" customFormat="1" ht="21" customHeight="1">
      <c r="B1922" s="305"/>
      <c r="C1922" s="305"/>
      <c r="D1922" s="234"/>
      <c r="E1922" s="306"/>
      <c r="F1922" s="306"/>
      <c r="G1922" s="308"/>
      <c r="H1922" s="233"/>
      <c r="I1922" s="301"/>
    </row>
    <row r="1923" spans="2:9" s="297" customFormat="1" ht="21" customHeight="1">
      <c r="B1923" s="300" t="str">
        <f>'5. 공종별예산조서'!$A$126</f>
        <v>4-11. 케이블 신설</v>
      </c>
      <c r="C1923" s="300" t="str">
        <f>'5. 공종별예산조서'!$B$126</f>
        <v>0.6/1kV, F-CV 35SQ/1C</v>
      </c>
      <c r="D1923" s="301" t="str">
        <f>'5. 공종별예산조서'!$C$126</f>
        <v>M</v>
      </c>
      <c r="E1923" s="309">
        <f>'5. 공종별예산조서'!$D$126</f>
        <v>184</v>
      </c>
      <c r="F1923" s="302"/>
      <c r="G1923" s="303"/>
      <c r="H1923" s="304"/>
      <c r="I1923" s="301"/>
    </row>
    <row r="1924" spans="2:9" s="297" customFormat="1" ht="21" customHeight="1">
      <c r="B1924" s="312" t="s">
        <v>834</v>
      </c>
      <c r="C1924" s="305"/>
      <c r="D1924" s="234"/>
      <c r="E1924" s="310"/>
      <c r="F1924" s="306"/>
      <c r="G1924" s="232"/>
      <c r="H1924" s="233"/>
      <c r="I1924" s="301"/>
    </row>
    <row r="1925" spans="2:9" s="297" customFormat="1" ht="21" customHeight="1">
      <c r="B1925" s="305" t="s">
        <v>1086</v>
      </c>
      <c r="C1925" s="305" t="str">
        <f>C1923</f>
        <v>0.6/1kV, F-CV 35SQ/1C</v>
      </c>
      <c r="D1925" s="234" t="str">
        <f>D1923</f>
        <v>M</v>
      </c>
      <c r="E1925" s="311">
        <f>E1923</f>
        <v>184</v>
      </c>
      <c r="F1925" s="307"/>
      <c r="G1925" s="232"/>
      <c r="H1925" s="233"/>
      <c r="I1925" s="301"/>
    </row>
    <row r="1926" spans="2:9" s="297" customFormat="1" ht="21" customHeight="1">
      <c r="B1926" s="305"/>
      <c r="C1926" s="305"/>
      <c r="D1926" s="234"/>
      <c r="E1926" s="311"/>
      <c r="F1926" s="307"/>
      <c r="G1926" s="232"/>
      <c r="H1926" s="233"/>
      <c r="I1926" s="301"/>
    </row>
    <row r="1927" spans="2:9" s="297" customFormat="1" ht="21" customHeight="1">
      <c r="B1927" s="305"/>
      <c r="C1927" s="305"/>
      <c r="D1927" s="234"/>
      <c r="E1927" s="307"/>
      <c r="F1927" s="307"/>
      <c r="G1927" s="308"/>
      <c r="H1927" s="233"/>
      <c r="I1927" s="301"/>
    </row>
    <row r="1928" spans="2:9" s="297" customFormat="1" ht="21" customHeight="1">
      <c r="B1928" s="305"/>
      <c r="C1928" s="305"/>
      <c r="D1928" s="234"/>
      <c r="E1928" s="307"/>
      <c r="F1928" s="307"/>
      <c r="G1928" s="308"/>
      <c r="H1928" s="233"/>
      <c r="I1928" s="301"/>
    </row>
    <row r="1929" spans="2:9" s="297" customFormat="1" ht="21" customHeight="1">
      <c r="B1929" s="305"/>
      <c r="C1929" s="305"/>
      <c r="D1929" s="234"/>
      <c r="E1929" s="307"/>
      <c r="F1929" s="307"/>
      <c r="G1929" s="308"/>
      <c r="H1929" s="233"/>
      <c r="I1929" s="301"/>
    </row>
    <row r="1930" spans="2:9" s="297" customFormat="1" ht="21" customHeight="1">
      <c r="B1930" s="305"/>
      <c r="C1930" s="305"/>
      <c r="D1930" s="234"/>
      <c r="E1930" s="307"/>
      <c r="F1930" s="307"/>
      <c r="G1930" s="308"/>
      <c r="H1930" s="233"/>
      <c r="I1930" s="301"/>
    </row>
    <row r="1931" spans="2:9" s="297" customFormat="1" ht="21" customHeight="1">
      <c r="B1931" s="305"/>
      <c r="C1931" s="305"/>
      <c r="D1931" s="234"/>
      <c r="E1931" s="307"/>
      <c r="F1931" s="307"/>
      <c r="G1931" s="308"/>
      <c r="H1931" s="233"/>
      <c r="I1931" s="301"/>
    </row>
    <row r="1932" spans="2:9" s="297" customFormat="1" ht="21" customHeight="1">
      <c r="B1932" s="305"/>
      <c r="C1932" s="305"/>
      <c r="D1932" s="234"/>
      <c r="E1932" s="307"/>
      <c r="F1932" s="307"/>
      <c r="G1932" s="308"/>
      <c r="H1932" s="233"/>
      <c r="I1932" s="301"/>
    </row>
    <row r="1933" spans="2:9" s="297" customFormat="1" ht="21" customHeight="1">
      <c r="B1933" s="305"/>
      <c r="C1933" s="305"/>
      <c r="D1933" s="234"/>
      <c r="E1933" s="307"/>
      <c r="F1933" s="307"/>
      <c r="G1933" s="308"/>
      <c r="H1933" s="233"/>
      <c r="I1933" s="301"/>
    </row>
    <row r="1934" spans="2:9" s="297" customFormat="1" ht="21" customHeight="1">
      <c r="B1934" s="305"/>
      <c r="C1934" s="305"/>
      <c r="D1934" s="234"/>
      <c r="E1934" s="307"/>
      <c r="F1934" s="307"/>
      <c r="G1934" s="308"/>
      <c r="H1934" s="233"/>
      <c r="I1934" s="301"/>
    </row>
    <row r="1935" spans="2:9" s="297" customFormat="1" ht="21" customHeight="1">
      <c r="B1935" s="312" t="s">
        <v>835</v>
      </c>
      <c r="C1935" s="305"/>
      <c r="D1935" s="234"/>
      <c r="E1935" s="307"/>
      <c r="F1935" s="307"/>
      <c r="G1935" s="232"/>
      <c r="H1935" s="233"/>
      <c r="I1935" s="301"/>
    </row>
    <row r="1936" spans="2:9" s="297" customFormat="1" ht="21" customHeight="1">
      <c r="B1936" s="305"/>
      <c r="C1936" s="305" t="s">
        <v>1166</v>
      </c>
      <c r="D1936" s="234" t="s">
        <v>836</v>
      </c>
      <c r="E1936" s="307">
        <v>5.63</v>
      </c>
      <c r="F1936" s="307"/>
      <c r="G1936" s="232"/>
      <c r="H1936" s="233"/>
      <c r="I1936" s="301"/>
    </row>
    <row r="1937" spans="2:9" s="297" customFormat="1" ht="21" customHeight="1">
      <c r="B1937" s="305"/>
      <c r="C1937" s="305"/>
      <c r="D1937" s="234"/>
      <c r="E1937" s="307"/>
      <c r="F1937" s="307"/>
      <c r="G1937" s="232"/>
      <c r="H1937" s="233"/>
      <c r="I1937" s="301"/>
    </row>
    <row r="1938" spans="2:9" s="297" customFormat="1" ht="21" customHeight="1">
      <c r="B1938" s="305"/>
      <c r="C1938" s="305"/>
      <c r="D1938" s="234"/>
      <c r="E1938" s="307"/>
      <c r="F1938" s="307"/>
      <c r="G1938" s="232"/>
      <c r="H1938" s="233"/>
      <c r="I1938" s="301"/>
    </row>
    <row r="1939" spans="2:9" s="297" customFormat="1" ht="21" customHeight="1">
      <c r="B1939" s="305"/>
      <c r="C1939" s="305"/>
      <c r="D1939" s="234"/>
      <c r="E1939" s="306"/>
      <c r="F1939" s="306"/>
      <c r="G1939" s="232"/>
      <c r="H1939" s="232"/>
      <c r="I1939" s="301"/>
    </row>
    <row r="1940" spans="2:9" s="297" customFormat="1" ht="21" customHeight="1">
      <c r="B1940" s="305"/>
      <c r="C1940" s="305"/>
      <c r="D1940" s="234"/>
      <c r="E1940" s="306"/>
      <c r="F1940" s="306"/>
      <c r="G1940" s="308"/>
      <c r="H1940" s="233"/>
      <c r="I1940" s="301"/>
    </row>
    <row r="1941" spans="2:9" s="297" customFormat="1" ht="21" customHeight="1">
      <c r="B1941" s="312" t="s">
        <v>837</v>
      </c>
      <c r="C1941" s="305"/>
      <c r="D1941" s="234"/>
      <c r="E1941" s="307"/>
      <c r="F1941" s="307"/>
      <c r="G1941" s="232"/>
      <c r="H1941" s="233"/>
      <c r="I1941" s="301"/>
    </row>
    <row r="1942" spans="2:9" s="297" customFormat="1" ht="21" customHeight="1">
      <c r="B1942" s="305"/>
      <c r="C1942" s="305" t="s">
        <v>1166</v>
      </c>
      <c r="D1942" s="234" t="s">
        <v>836</v>
      </c>
      <c r="E1942" s="307">
        <v>0.16900000000000001</v>
      </c>
      <c r="F1942" s="307"/>
      <c r="G1942" s="232"/>
      <c r="H1942" s="233"/>
      <c r="I1942" s="301"/>
    </row>
    <row r="1943" spans="2:9" s="297" customFormat="1" ht="21" customHeight="1">
      <c r="B1943" s="305"/>
      <c r="C1943" s="305"/>
      <c r="D1943" s="234"/>
      <c r="E1943" s="307"/>
      <c r="F1943" s="307"/>
      <c r="G1943" s="232"/>
      <c r="H1943" s="233"/>
      <c r="I1943" s="301"/>
    </row>
    <row r="1944" spans="2:9" s="297" customFormat="1" ht="21" customHeight="1">
      <c r="B1944" s="305"/>
      <c r="C1944" s="305"/>
      <c r="D1944" s="234"/>
      <c r="E1944" s="306"/>
      <c r="F1944" s="306"/>
      <c r="G1944" s="232"/>
      <c r="H1944" s="232"/>
      <c r="I1944" s="301"/>
    </row>
    <row r="1945" spans="2:9" s="297" customFormat="1" ht="21" customHeight="1">
      <c r="B1945" s="305"/>
      <c r="C1945" s="305"/>
      <c r="D1945" s="234"/>
      <c r="E1945" s="306"/>
      <c r="F1945" s="306"/>
      <c r="G1945" s="308"/>
      <c r="H1945" s="233"/>
      <c r="I1945" s="301"/>
    </row>
    <row r="1946" spans="2:9" s="297" customFormat="1" ht="21" customHeight="1">
      <c r="B1946" s="305"/>
      <c r="C1946" s="305"/>
      <c r="D1946" s="234"/>
      <c r="E1946" s="306"/>
      <c r="F1946" s="306"/>
      <c r="G1946" s="308"/>
      <c r="H1946" s="233"/>
      <c r="I1946" s="301"/>
    </row>
    <row r="1947" spans="2:9" s="297" customFormat="1" ht="21" customHeight="1">
      <c r="B1947" s="300" t="str">
        <f>'5. 공종별예산조서'!$A$127</f>
        <v>4-12. 접지선 신설</v>
      </c>
      <c r="C1947" s="300" t="str">
        <f>'5. 공종별예산조서'!$B$127</f>
        <v>0.6/1kV, F-GV 6SQ</v>
      </c>
      <c r="D1947" s="301" t="str">
        <f>'5. 공종별예산조서'!$C$127</f>
        <v>M</v>
      </c>
      <c r="E1947" s="309">
        <f>'5. 공종별예산조서'!$D$127</f>
        <v>7</v>
      </c>
      <c r="F1947" s="302"/>
      <c r="G1947" s="303"/>
      <c r="H1947" s="304"/>
      <c r="I1947" s="301"/>
    </row>
    <row r="1948" spans="2:9" s="297" customFormat="1" ht="21" customHeight="1">
      <c r="B1948" s="312" t="s">
        <v>834</v>
      </c>
      <c r="C1948" s="305"/>
      <c r="D1948" s="234"/>
      <c r="E1948" s="310"/>
      <c r="F1948" s="306"/>
      <c r="G1948" s="232"/>
      <c r="H1948" s="233"/>
      <c r="I1948" s="301"/>
    </row>
    <row r="1949" spans="2:9" s="297" customFormat="1" ht="21" customHeight="1">
      <c r="B1949" s="305" t="s">
        <v>1089</v>
      </c>
      <c r="C1949" s="305" t="str">
        <f>C1947</f>
        <v>0.6/1kV, F-GV 6SQ</v>
      </c>
      <c r="D1949" s="234" t="str">
        <f>D1947</f>
        <v>M</v>
      </c>
      <c r="E1949" s="311">
        <f>E1947</f>
        <v>7</v>
      </c>
      <c r="F1949" s="307"/>
      <c r="G1949" s="232"/>
      <c r="H1949" s="233"/>
      <c r="I1949" s="301"/>
    </row>
    <row r="1950" spans="2:9" s="297" customFormat="1" ht="21" customHeight="1">
      <c r="B1950" s="305"/>
      <c r="C1950" s="305"/>
      <c r="D1950" s="234"/>
      <c r="E1950" s="307"/>
      <c r="F1950" s="307"/>
      <c r="G1950" s="308"/>
      <c r="H1950" s="233"/>
      <c r="I1950" s="301"/>
    </row>
    <row r="1951" spans="2:9" s="297" customFormat="1" ht="21" customHeight="1">
      <c r="B1951" s="305"/>
      <c r="C1951" s="305"/>
      <c r="D1951" s="234"/>
      <c r="E1951" s="307"/>
      <c r="F1951" s="307"/>
      <c r="G1951" s="308"/>
      <c r="H1951" s="233"/>
      <c r="I1951" s="301"/>
    </row>
    <row r="1952" spans="2:9" s="297" customFormat="1" ht="21" customHeight="1">
      <c r="B1952" s="305"/>
      <c r="C1952" s="305"/>
      <c r="D1952" s="234"/>
      <c r="E1952" s="307"/>
      <c r="F1952" s="307"/>
      <c r="G1952" s="308"/>
      <c r="H1952" s="233"/>
      <c r="I1952" s="301"/>
    </row>
    <row r="1953" spans="2:9" s="297" customFormat="1" ht="21" customHeight="1">
      <c r="B1953" s="305"/>
      <c r="C1953" s="305"/>
      <c r="D1953" s="234"/>
      <c r="E1953" s="307"/>
      <c r="F1953" s="307"/>
      <c r="G1953" s="308"/>
      <c r="H1953" s="233"/>
      <c r="I1953" s="301"/>
    </row>
    <row r="1954" spans="2:9" s="297" customFormat="1" ht="21" customHeight="1">
      <c r="B1954" s="305"/>
      <c r="C1954" s="305"/>
      <c r="D1954" s="234"/>
      <c r="E1954" s="307"/>
      <c r="F1954" s="307"/>
      <c r="G1954" s="308"/>
      <c r="H1954" s="233"/>
      <c r="I1954" s="301"/>
    </row>
    <row r="1955" spans="2:9" s="297" customFormat="1" ht="21" customHeight="1">
      <c r="B1955" s="305"/>
      <c r="C1955" s="305"/>
      <c r="D1955" s="234"/>
      <c r="E1955" s="307"/>
      <c r="F1955" s="307"/>
      <c r="G1955" s="308"/>
      <c r="H1955" s="233"/>
      <c r="I1955" s="301"/>
    </row>
    <row r="1956" spans="2:9" s="297" customFormat="1" ht="21" customHeight="1">
      <c r="B1956" s="305"/>
      <c r="C1956" s="305"/>
      <c r="D1956" s="234"/>
      <c r="E1956" s="307"/>
      <c r="F1956" s="307"/>
      <c r="G1956" s="308"/>
      <c r="H1956" s="233"/>
      <c r="I1956" s="301"/>
    </row>
    <row r="1957" spans="2:9" s="297" customFormat="1" ht="21" customHeight="1">
      <c r="B1957" s="305"/>
      <c r="C1957" s="305"/>
      <c r="D1957" s="234"/>
      <c r="E1957" s="307"/>
      <c r="F1957" s="307"/>
      <c r="G1957" s="308"/>
      <c r="H1957" s="233"/>
      <c r="I1957" s="301"/>
    </row>
    <row r="1958" spans="2:9" s="297" customFormat="1" ht="21" customHeight="1">
      <c r="B1958" s="305"/>
      <c r="C1958" s="305"/>
      <c r="D1958" s="234"/>
      <c r="E1958" s="307"/>
      <c r="F1958" s="307"/>
      <c r="G1958" s="308"/>
      <c r="H1958" s="233"/>
      <c r="I1958" s="301"/>
    </row>
    <row r="1959" spans="2:9" s="297" customFormat="1" ht="21" customHeight="1">
      <c r="B1959" s="312" t="s">
        <v>835</v>
      </c>
      <c r="C1959" s="305"/>
      <c r="D1959" s="234"/>
      <c r="E1959" s="307"/>
      <c r="F1959" s="307"/>
      <c r="G1959" s="232"/>
      <c r="H1959" s="233"/>
      <c r="I1959" s="301"/>
    </row>
    <row r="1960" spans="2:9" s="297" customFormat="1" ht="21" customHeight="1">
      <c r="B1960" s="305"/>
      <c r="C1960" s="305" t="s">
        <v>64</v>
      </c>
      <c r="D1960" s="234" t="s">
        <v>836</v>
      </c>
      <c r="E1960" s="307">
        <v>4.2000000000000003E-2</v>
      </c>
      <c r="F1960" s="307"/>
      <c r="G1960" s="232"/>
      <c r="H1960" s="233"/>
      <c r="I1960" s="301"/>
    </row>
    <row r="1961" spans="2:9" s="297" customFormat="1" ht="21" customHeight="1">
      <c r="B1961" s="305"/>
      <c r="C1961" s="305"/>
      <c r="D1961" s="234"/>
      <c r="E1961" s="307"/>
      <c r="F1961" s="307"/>
      <c r="G1961" s="232"/>
      <c r="H1961" s="233"/>
      <c r="I1961" s="301"/>
    </row>
    <row r="1962" spans="2:9" s="297" customFormat="1" ht="21" customHeight="1">
      <c r="B1962" s="305"/>
      <c r="C1962" s="305"/>
      <c r="D1962" s="234"/>
      <c r="E1962" s="307"/>
      <c r="F1962" s="307"/>
      <c r="G1962" s="232"/>
      <c r="H1962" s="233"/>
      <c r="I1962" s="301"/>
    </row>
    <row r="1963" spans="2:9" s="297" customFormat="1" ht="21" customHeight="1">
      <c r="B1963" s="305"/>
      <c r="C1963" s="305"/>
      <c r="D1963" s="234"/>
      <c r="E1963" s="306"/>
      <c r="F1963" s="306"/>
      <c r="G1963" s="232"/>
      <c r="H1963" s="232"/>
      <c r="I1963" s="301"/>
    </row>
    <row r="1964" spans="2:9" s="297" customFormat="1" ht="21" customHeight="1">
      <c r="B1964" s="305"/>
      <c r="C1964" s="305"/>
      <c r="D1964" s="234"/>
      <c r="E1964" s="306"/>
      <c r="F1964" s="306"/>
      <c r="G1964" s="308"/>
      <c r="H1964" s="233"/>
      <c r="I1964" s="301"/>
    </row>
    <row r="1965" spans="2:9" s="297" customFormat="1" ht="21" customHeight="1">
      <c r="B1965" s="312" t="s">
        <v>837</v>
      </c>
      <c r="C1965" s="305"/>
      <c r="D1965" s="234"/>
      <c r="E1965" s="307"/>
      <c r="F1965" s="307"/>
      <c r="G1965" s="232"/>
      <c r="H1965" s="233"/>
      <c r="I1965" s="301"/>
    </row>
    <row r="1966" spans="2:9" s="297" customFormat="1" ht="21" customHeight="1">
      <c r="B1966" s="305"/>
      <c r="C1966" s="305" t="s">
        <v>64</v>
      </c>
      <c r="D1966" s="234" t="s">
        <v>836</v>
      </c>
      <c r="E1966" s="307">
        <v>1E-3</v>
      </c>
      <c r="F1966" s="307"/>
      <c r="G1966" s="232"/>
      <c r="H1966" s="233"/>
      <c r="I1966" s="301"/>
    </row>
    <row r="1967" spans="2:9" s="297" customFormat="1" ht="21" customHeight="1">
      <c r="B1967" s="305"/>
      <c r="C1967" s="305"/>
      <c r="D1967" s="234"/>
      <c r="E1967" s="307"/>
      <c r="F1967" s="307"/>
      <c r="G1967" s="232"/>
      <c r="H1967" s="233"/>
      <c r="I1967" s="301"/>
    </row>
    <row r="1968" spans="2:9" s="297" customFormat="1" ht="21" customHeight="1">
      <c r="B1968" s="305"/>
      <c r="C1968" s="305"/>
      <c r="D1968" s="234"/>
      <c r="E1968" s="306"/>
      <c r="F1968" s="306"/>
      <c r="G1968" s="232"/>
      <c r="H1968" s="232"/>
      <c r="I1968" s="301"/>
    </row>
    <row r="1969" spans="2:9" s="297" customFormat="1" ht="21" customHeight="1">
      <c r="B1969" s="305"/>
      <c r="C1969" s="305"/>
      <c r="D1969" s="234"/>
      <c r="E1969" s="306"/>
      <c r="F1969" s="306"/>
      <c r="G1969" s="308"/>
      <c r="H1969" s="233"/>
      <c r="I1969" s="301"/>
    </row>
    <row r="1970" spans="2:9" s="297" customFormat="1" ht="21" customHeight="1">
      <c r="B1970" s="305"/>
      <c r="C1970" s="305"/>
      <c r="D1970" s="234"/>
      <c r="E1970" s="306"/>
      <c r="F1970" s="306"/>
      <c r="G1970" s="308"/>
      <c r="H1970" s="233"/>
      <c r="I1970" s="301"/>
    </row>
    <row r="1971" spans="2:9" s="297" customFormat="1" ht="21" customHeight="1">
      <c r="B1971" s="300" t="str">
        <f>'5. 공종별예산조서'!$A$128</f>
        <v>4-13. 접지선 신설</v>
      </c>
      <c r="C1971" s="300" t="str">
        <f>'5. 공종별예산조서'!$B$128</f>
        <v>0.6/1kV, F-GV 16SQ</v>
      </c>
      <c r="D1971" s="301" t="str">
        <f>'5. 공종별예산조서'!$C$128</f>
        <v>M</v>
      </c>
      <c r="E1971" s="309">
        <f>'5. 공종별예산조서'!$D$128</f>
        <v>56</v>
      </c>
      <c r="F1971" s="302"/>
      <c r="G1971" s="303"/>
      <c r="H1971" s="304"/>
      <c r="I1971" s="301"/>
    </row>
    <row r="1972" spans="2:9" s="297" customFormat="1" ht="21" customHeight="1">
      <c r="B1972" s="312" t="s">
        <v>834</v>
      </c>
      <c r="C1972" s="305"/>
      <c r="D1972" s="234"/>
      <c r="E1972" s="310"/>
      <c r="F1972" s="306"/>
      <c r="G1972" s="232"/>
      <c r="H1972" s="233"/>
      <c r="I1972" s="301"/>
    </row>
    <row r="1973" spans="2:9" s="297" customFormat="1" ht="21" customHeight="1">
      <c r="B1973" s="305" t="s">
        <v>1089</v>
      </c>
      <c r="C1973" s="305" t="str">
        <f>C1971</f>
        <v>0.6/1kV, F-GV 16SQ</v>
      </c>
      <c r="D1973" s="234" t="str">
        <f>D1971</f>
        <v>M</v>
      </c>
      <c r="E1973" s="311">
        <f>E1971</f>
        <v>56</v>
      </c>
      <c r="F1973" s="307"/>
      <c r="G1973" s="232"/>
      <c r="H1973" s="233"/>
      <c r="I1973" s="301"/>
    </row>
    <row r="1974" spans="2:9" s="297" customFormat="1" ht="21" customHeight="1">
      <c r="B1974" s="305"/>
      <c r="C1974" s="305"/>
      <c r="D1974" s="234"/>
      <c r="E1974" s="307"/>
      <c r="F1974" s="307"/>
      <c r="G1974" s="308"/>
      <c r="H1974" s="233"/>
      <c r="I1974" s="301"/>
    </row>
    <row r="1975" spans="2:9" s="297" customFormat="1" ht="21" customHeight="1">
      <c r="B1975" s="305"/>
      <c r="C1975" s="305"/>
      <c r="D1975" s="234"/>
      <c r="E1975" s="307"/>
      <c r="F1975" s="307"/>
      <c r="G1975" s="308"/>
      <c r="H1975" s="233"/>
      <c r="I1975" s="301"/>
    </row>
    <row r="1976" spans="2:9" s="297" customFormat="1" ht="21" customHeight="1">
      <c r="B1976" s="305"/>
      <c r="C1976" s="305"/>
      <c r="D1976" s="234"/>
      <c r="E1976" s="307"/>
      <c r="F1976" s="307"/>
      <c r="G1976" s="308"/>
      <c r="H1976" s="233"/>
      <c r="I1976" s="301"/>
    </row>
    <row r="1977" spans="2:9" s="297" customFormat="1" ht="21" customHeight="1">
      <c r="B1977" s="305"/>
      <c r="C1977" s="305"/>
      <c r="D1977" s="234"/>
      <c r="E1977" s="307"/>
      <c r="F1977" s="307"/>
      <c r="G1977" s="308"/>
      <c r="H1977" s="233"/>
      <c r="I1977" s="301"/>
    </row>
    <row r="1978" spans="2:9" s="297" customFormat="1" ht="21" customHeight="1">
      <c r="B1978" s="305"/>
      <c r="C1978" s="305"/>
      <c r="D1978" s="234"/>
      <c r="E1978" s="307"/>
      <c r="F1978" s="307"/>
      <c r="G1978" s="308"/>
      <c r="H1978" s="233"/>
      <c r="I1978" s="301"/>
    </row>
    <row r="1979" spans="2:9" s="297" customFormat="1" ht="21" customHeight="1">
      <c r="B1979" s="305"/>
      <c r="C1979" s="305"/>
      <c r="D1979" s="234"/>
      <c r="E1979" s="307"/>
      <c r="F1979" s="307"/>
      <c r="G1979" s="308"/>
      <c r="H1979" s="233"/>
      <c r="I1979" s="301"/>
    </row>
    <row r="1980" spans="2:9" s="297" customFormat="1" ht="21" customHeight="1">
      <c r="B1980" s="305"/>
      <c r="C1980" s="305"/>
      <c r="D1980" s="234"/>
      <c r="E1980" s="307"/>
      <c r="F1980" s="307"/>
      <c r="G1980" s="308"/>
      <c r="H1980" s="233"/>
      <c r="I1980" s="301"/>
    </row>
    <row r="1981" spans="2:9" s="297" customFormat="1" ht="21" customHeight="1">
      <c r="B1981" s="305"/>
      <c r="C1981" s="305"/>
      <c r="D1981" s="234"/>
      <c r="E1981" s="307"/>
      <c r="F1981" s="307"/>
      <c r="G1981" s="308"/>
      <c r="H1981" s="233"/>
      <c r="I1981" s="301"/>
    </row>
    <row r="1982" spans="2:9" s="297" customFormat="1" ht="21" customHeight="1">
      <c r="B1982" s="305"/>
      <c r="C1982" s="305"/>
      <c r="D1982" s="234"/>
      <c r="E1982" s="307"/>
      <c r="F1982" s="307"/>
      <c r="G1982" s="308"/>
      <c r="H1982" s="233"/>
      <c r="I1982" s="301"/>
    </row>
    <row r="1983" spans="2:9" s="297" customFormat="1" ht="21" customHeight="1">
      <c r="B1983" s="312" t="s">
        <v>835</v>
      </c>
      <c r="C1983" s="305"/>
      <c r="D1983" s="234"/>
      <c r="E1983" s="307"/>
      <c r="F1983" s="307"/>
      <c r="G1983" s="232"/>
      <c r="H1983" s="233"/>
      <c r="I1983" s="301"/>
    </row>
    <row r="1984" spans="2:9" s="297" customFormat="1" ht="21" customHeight="1">
      <c r="B1984" s="305"/>
      <c r="C1984" s="305" t="s">
        <v>64</v>
      </c>
      <c r="D1984" s="234" t="s">
        <v>869</v>
      </c>
      <c r="E1984" s="307">
        <v>0.39200000000000002</v>
      </c>
      <c r="F1984" s="307"/>
      <c r="G1984" s="232"/>
      <c r="H1984" s="233"/>
      <c r="I1984" s="301"/>
    </row>
    <row r="1985" spans="2:9" s="297" customFormat="1" ht="21" customHeight="1">
      <c r="B1985" s="305"/>
      <c r="C1985" s="305"/>
      <c r="D1985" s="234"/>
      <c r="E1985" s="307"/>
      <c r="F1985" s="307"/>
      <c r="G1985" s="232"/>
      <c r="H1985" s="233"/>
      <c r="I1985" s="301"/>
    </row>
    <row r="1986" spans="2:9" s="297" customFormat="1" ht="21" customHeight="1">
      <c r="B1986" s="305"/>
      <c r="C1986" s="305"/>
      <c r="D1986" s="234"/>
      <c r="E1986" s="307"/>
      <c r="F1986" s="307"/>
      <c r="G1986" s="232"/>
      <c r="H1986" s="233"/>
      <c r="I1986" s="301"/>
    </row>
    <row r="1987" spans="2:9" s="297" customFormat="1" ht="21" customHeight="1">
      <c r="B1987" s="305"/>
      <c r="C1987" s="305"/>
      <c r="D1987" s="234"/>
      <c r="E1987" s="306"/>
      <c r="F1987" s="306"/>
      <c r="G1987" s="232"/>
      <c r="H1987" s="232"/>
      <c r="I1987" s="301"/>
    </row>
    <row r="1988" spans="2:9" s="297" customFormat="1" ht="21" customHeight="1">
      <c r="B1988" s="305"/>
      <c r="C1988" s="305"/>
      <c r="D1988" s="234"/>
      <c r="E1988" s="306"/>
      <c r="F1988" s="306"/>
      <c r="G1988" s="308"/>
      <c r="H1988" s="233"/>
      <c r="I1988" s="301"/>
    </row>
    <row r="1989" spans="2:9" s="297" customFormat="1" ht="21" customHeight="1">
      <c r="B1989" s="312" t="s">
        <v>837</v>
      </c>
      <c r="C1989" s="305"/>
      <c r="D1989" s="234"/>
      <c r="E1989" s="307"/>
      <c r="F1989" s="307"/>
      <c r="G1989" s="232"/>
      <c r="H1989" s="233"/>
      <c r="I1989" s="301"/>
    </row>
    <row r="1990" spans="2:9" s="297" customFormat="1" ht="21" customHeight="1">
      <c r="B1990" s="305"/>
      <c r="C1990" s="305" t="s">
        <v>64</v>
      </c>
      <c r="D1990" s="234" t="s">
        <v>869</v>
      </c>
      <c r="E1990" s="307">
        <v>1.2E-2</v>
      </c>
      <c r="F1990" s="307"/>
      <c r="G1990" s="232"/>
      <c r="H1990" s="233"/>
      <c r="I1990" s="301"/>
    </row>
    <row r="1991" spans="2:9" s="297" customFormat="1" ht="21" customHeight="1">
      <c r="B1991" s="305"/>
      <c r="C1991" s="305"/>
      <c r="D1991" s="234"/>
      <c r="E1991" s="307"/>
      <c r="F1991" s="307"/>
      <c r="G1991" s="232"/>
      <c r="H1991" s="233"/>
      <c r="I1991" s="301"/>
    </row>
    <row r="1992" spans="2:9" s="297" customFormat="1" ht="21" customHeight="1">
      <c r="B1992" s="305"/>
      <c r="C1992" s="305"/>
      <c r="D1992" s="234"/>
      <c r="E1992" s="306"/>
      <c r="F1992" s="306"/>
      <c r="G1992" s="232"/>
      <c r="H1992" s="232"/>
      <c r="I1992" s="301"/>
    </row>
    <row r="1993" spans="2:9" s="297" customFormat="1" ht="21" customHeight="1">
      <c r="B1993" s="305"/>
      <c r="C1993" s="305"/>
      <c r="D1993" s="234"/>
      <c r="E1993" s="306"/>
      <c r="F1993" s="306"/>
      <c r="G1993" s="308"/>
      <c r="H1993" s="233"/>
      <c r="I1993" s="301"/>
    </row>
    <row r="1994" spans="2:9" s="297" customFormat="1" ht="21" customHeight="1">
      <c r="B1994" s="305"/>
      <c r="C1994" s="305"/>
      <c r="D1994" s="234"/>
      <c r="E1994" s="306"/>
      <c r="F1994" s="306"/>
      <c r="G1994" s="308"/>
      <c r="H1994" s="233"/>
      <c r="I1994" s="301"/>
    </row>
    <row r="1995" spans="2:9" s="297" customFormat="1" ht="21" customHeight="1">
      <c r="B1995" s="300" t="str">
        <f>'5. 공종별예산조서'!$A$129</f>
        <v>4-14. 배선용차단기 신설</v>
      </c>
      <c r="C1995" s="300" t="str">
        <f>'5. 공종별예산조서'!$B$129</f>
        <v>4P 100AF 100AT</v>
      </c>
      <c r="D1995" s="301" t="str">
        <f>'5. 공종별예산조서'!$C$129</f>
        <v>개</v>
      </c>
      <c r="E1995" s="309">
        <f>'5. 공종별예산조서'!$D$129</f>
        <v>1</v>
      </c>
      <c r="F1995" s="302"/>
      <c r="G1995" s="303"/>
      <c r="H1995" s="304"/>
      <c r="I1995" s="301"/>
    </row>
    <row r="1996" spans="2:9" s="297" customFormat="1" ht="21" customHeight="1">
      <c r="B1996" s="312" t="s">
        <v>834</v>
      </c>
      <c r="C1996" s="305"/>
      <c r="D1996" s="234"/>
      <c r="E1996" s="310"/>
      <c r="F1996" s="306"/>
      <c r="G1996" s="232"/>
      <c r="H1996" s="233"/>
      <c r="I1996" s="301"/>
    </row>
    <row r="1997" spans="2:9" s="297" customFormat="1" ht="21" customHeight="1">
      <c r="B1997" s="305" t="s">
        <v>1146</v>
      </c>
      <c r="C1997" s="305" t="str">
        <f>C1995</f>
        <v>4P 100AF 100AT</v>
      </c>
      <c r="D1997" s="234" t="str">
        <f>D1995</f>
        <v>개</v>
      </c>
      <c r="E1997" s="311">
        <f>E1995</f>
        <v>1</v>
      </c>
      <c r="F1997" s="307"/>
      <c r="G1997" s="232"/>
      <c r="H1997" s="233"/>
      <c r="I1997" s="301"/>
    </row>
    <row r="1998" spans="2:9" s="297" customFormat="1" ht="21" customHeight="1">
      <c r="B1998" s="305"/>
      <c r="C1998" s="305"/>
      <c r="D1998" s="234"/>
      <c r="E1998" s="311"/>
      <c r="F1998" s="307"/>
      <c r="G1998" s="232"/>
      <c r="H1998" s="233"/>
      <c r="I1998" s="301"/>
    </row>
    <row r="1999" spans="2:9" s="297" customFormat="1" ht="21" customHeight="1">
      <c r="B1999" s="305"/>
      <c r="C1999" s="305"/>
      <c r="D1999" s="234"/>
      <c r="E1999" s="311"/>
      <c r="F1999" s="307"/>
      <c r="G1999" s="232"/>
      <c r="H1999" s="233"/>
      <c r="I1999" s="301"/>
    </row>
    <row r="2000" spans="2:9" s="297" customFormat="1" ht="21" customHeight="1">
      <c r="B2000" s="305"/>
      <c r="C2000" s="305"/>
      <c r="D2000" s="234"/>
      <c r="E2000" s="311"/>
      <c r="F2000" s="307"/>
      <c r="G2000" s="232"/>
      <c r="H2000" s="233"/>
      <c r="I2000" s="301"/>
    </row>
    <row r="2001" spans="2:9" s="297" customFormat="1" ht="21" customHeight="1">
      <c r="B2001" s="305"/>
      <c r="C2001" s="305"/>
      <c r="D2001" s="234"/>
      <c r="E2001" s="311"/>
      <c r="F2001" s="307"/>
      <c r="G2001" s="232"/>
      <c r="H2001" s="233"/>
      <c r="I2001" s="301"/>
    </row>
    <row r="2002" spans="2:9" s="297" customFormat="1" ht="21" customHeight="1">
      <c r="B2002" s="305"/>
      <c r="C2002" s="305"/>
      <c r="D2002" s="234"/>
      <c r="E2002" s="311"/>
      <c r="F2002" s="307"/>
      <c r="G2002" s="232"/>
      <c r="H2002" s="233"/>
      <c r="I2002" s="301"/>
    </row>
    <row r="2003" spans="2:9" s="297" customFormat="1" ht="21" customHeight="1">
      <c r="B2003" s="305"/>
      <c r="C2003" s="305"/>
      <c r="D2003" s="234"/>
      <c r="E2003" s="311"/>
      <c r="F2003" s="307"/>
      <c r="G2003" s="232"/>
      <c r="H2003" s="233"/>
      <c r="I2003" s="301"/>
    </row>
    <row r="2004" spans="2:9" s="297" customFormat="1" ht="21" customHeight="1">
      <c r="B2004" s="305"/>
      <c r="C2004" s="305"/>
      <c r="D2004" s="234"/>
      <c r="E2004" s="311"/>
      <c r="F2004" s="307"/>
      <c r="G2004" s="232"/>
      <c r="H2004" s="233"/>
      <c r="I2004" s="301"/>
    </row>
    <row r="2005" spans="2:9" s="297" customFormat="1" ht="21" customHeight="1">
      <c r="B2005" s="305"/>
      <c r="C2005" s="305"/>
      <c r="D2005" s="234"/>
      <c r="E2005" s="311"/>
      <c r="F2005" s="307"/>
      <c r="G2005" s="232"/>
      <c r="H2005" s="233"/>
      <c r="I2005" s="301"/>
    </row>
    <row r="2006" spans="2:9" s="297" customFormat="1" ht="21" customHeight="1">
      <c r="B2006" s="305"/>
      <c r="C2006" s="305"/>
      <c r="D2006" s="234"/>
      <c r="E2006" s="307"/>
      <c r="F2006" s="307"/>
      <c r="G2006" s="308"/>
      <c r="H2006" s="233"/>
      <c r="I2006" s="301"/>
    </row>
    <row r="2007" spans="2:9" s="297" customFormat="1" ht="21" customHeight="1">
      <c r="B2007" s="312" t="s">
        <v>835</v>
      </c>
      <c r="C2007" s="305"/>
      <c r="D2007" s="234"/>
      <c r="E2007" s="307"/>
      <c r="F2007" s="307"/>
      <c r="G2007" s="232"/>
      <c r="H2007" s="233"/>
      <c r="I2007" s="301"/>
    </row>
    <row r="2008" spans="2:9" s="297" customFormat="1" ht="21" customHeight="1">
      <c r="B2008" s="305"/>
      <c r="C2008" s="305" t="s">
        <v>64</v>
      </c>
      <c r="D2008" s="234" t="s">
        <v>836</v>
      </c>
      <c r="E2008" s="307">
        <v>0.46800000000000003</v>
      </c>
      <c r="F2008" s="307"/>
      <c r="G2008" s="232"/>
      <c r="H2008" s="233"/>
      <c r="I2008" s="301"/>
    </row>
    <row r="2009" spans="2:9" s="297" customFormat="1" ht="21" customHeight="1">
      <c r="B2009" s="305"/>
      <c r="C2009" s="305"/>
      <c r="D2009" s="234"/>
      <c r="E2009" s="307"/>
      <c r="F2009" s="307"/>
      <c r="G2009" s="232"/>
      <c r="H2009" s="233"/>
      <c r="I2009" s="301"/>
    </row>
    <row r="2010" spans="2:9" s="297" customFormat="1" ht="21" customHeight="1">
      <c r="B2010" s="305"/>
      <c r="C2010" s="305"/>
      <c r="D2010" s="234"/>
      <c r="E2010" s="307"/>
      <c r="F2010" s="307"/>
      <c r="G2010" s="232"/>
      <c r="H2010" s="233"/>
      <c r="I2010" s="301"/>
    </row>
    <row r="2011" spans="2:9" s="297" customFormat="1" ht="21" customHeight="1">
      <c r="B2011" s="305"/>
      <c r="C2011" s="305"/>
      <c r="D2011" s="234"/>
      <c r="E2011" s="306"/>
      <c r="F2011" s="306"/>
      <c r="G2011" s="232"/>
      <c r="H2011" s="232"/>
      <c r="I2011" s="301"/>
    </row>
    <row r="2012" spans="2:9" s="297" customFormat="1" ht="21" customHeight="1">
      <c r="B2012" s="305"/>
      <c r="C2012" s="305"/>
      <c r="D2012" s="234"/>
      <c r="E2012" s="306"/>
      <c r="F2012" s="306"/>
      <c r="G2012" s="308"/>
      <c r="H2012" s="233"/>
      <c r="I2012" s="301"/>
    </row>
    <row r="2013" spans="2:9" s="297" customFormat="1" ht="21" customHeight="1">
      <c r="B2013" s="312" t="s">
        <v>837</v>
      </c>
      <c r="C2013" s="305"/>
      <c r="D2013" s="234"/>
      <c r="E2013" s="307"/>
      <c r="F2013" s="307"/>
      <c r="G2013" s="232"/>
      <c r="H2013" s="233"/>
      <c r="I2013" s="301"/>
    </row>
    <row r="2014" spans="2:9" s="297" customFormat="1" ht="21" customHeight="1">
      <c r="B2014" s="305"/>
      <c r="C2014" s="305" t="s">
        <v>64</v>
      </c>
      <c r="D2014" s="234" t="s">
        <v>836</v>
      </c>
      <c r="E2014" s="307">
        <v>1.4E-2</v>
      </c>
      <c r="F2014" s="307"/>
      <c r="G2014" s="232"/>
      <c r="H2014" s="233"/>
      <c r="I2014" s="301"/>
    </row>
    <row r="2015" spans="2:9" s="297" customFormat="1" ht="21" customHeight="1">
      <c r="B2015" s="305"/>
      <c r="C2015" s="305"/>
      <c r="D2015" s="234"/>
      <c r="E2015" s="307"/>
      <c r="F2015" s="307"/>
      <c r="G2015" s="232"/>
      <c r="H2015" s="233"/>
      <c r="I2015" s="301"/>
    </row>
    <row r="2016" spans="2:9" s="297" customFormat="1" ht="21" customHeight="1">
      <c r="B2016" s="305"/>
      <c r="C2016" s="305"/>
      <c r="D2016" s="234"/>
      <c r="E2016" s="306"/>
      <c r="F2016" s="306"/>
      <c r="G2016" s="232"/>
      <c r="H2016" s="232"/>
      <c r="I2016" s="301"/>
    </row>
    <row r="2017" spans="2:9" s="297" customFormat="1" ht="21" customHeight="1">
      <c r="B2017" s="305"/>
      <c r="C2017" s="305"/>
      <c r="D2017" s="234"/>
      <c r="E2017" s="306"/>
      <c r="F2017" s="306"/>
      <c r="G2017" s="308"/>
      <c r="H2017" s="233"/>
      <c r="I2017" s="301"/>
    </row>
    <row r="2018" spans="2:9" s="297" customFormat="1" ht="21" customHeight="1">
      <c r="B2018" s="305"/>
      <c r="C2018" s="305"/>
      <c r="D2018" s="234"/>
      <c r="E2018" s="306"/>
      <c r="F2018" s="306"/>
      <c r="G2018" s="308"/>
      <c r="H2018" s="233"/>
      <c r="I2018" s="301"/>
    </row>
    <row r="2019" spans="2:9" s="297" customFormat="1" ht="21" customHeight="1">
      <c r="B2019" s="300" t="str">
        <f>'5. 공종별예산조서'!$A$130</f>
        <v>4-15. 분전반 신설</v>
      </c>
      <c r="C2019" s="300" t="str">
        <f>'5. 공종별예산조서'!$B$130</f>
        <v>P-AC PNL</v>
      </c>
      <c r="D2019" s="301" t="str">
        <f>'5. 공종별예산조서'!$C$130</f>
        <v>면</v>
      </c>
      <c r="E2019" s="309">
        <f>'5. 공종별예산조서'!$D$130</f>
        <v>1</v>
      </c>
      <c r="F2019" s="302"/>
      <c r="G2019" s="303"/>
      <c r="H2019" s="304"/>
      <c r="I2019" s="301"/>
    </row>
    <row r="2020" spans="2:9" s="297" customFormat="1" ht="21" customHeight="1">
      <c r="B2020" s="312" t="s">
        <v>834</v>
      </c>
      <c r="C2020" s="305"/>
      <c r="D2020" s="234"/>
      <c r="E2020" s="310"/>
      <c r="F2020" s="306"/>
      <c r="G2020" s="232"/>
      <c r="H2020" s="233"/>
      <c r="I2020" s="301"/>
    </row>
    <row r="2021" spans="2:9" s="297" customFormat="1" ht="21" customHeight="1">
      <c r="B2021" s="305" t="s">
        <v>1090</v>
      </c>
      <c r="C2021" s="305" t="str">
        <f>C2019</f>
        <v>P-AC PNL</v>
      </c>
      <c r="D2021" s="234" t="str">
        <f>D2019</f>
        <v>면</v>
      </c>
      <c r="E2021" s="311">
        <f>E2019</f>
        <v>1</v>
      </c>
      <c r="F2021" s="307"/>
      <c r="G2021" s="232"/>
      <c r="H2021" s="233"/>
      <c r="I2021" s="301"/>
    </row>
    <row r="2022" spans="2:9" s="297" customFormat="1" ht="21" customHeight="1">
      <c r="B2022" s="305"/>
      <c r="C2022" s="305"/>
      <c r="D2022" s="234"/>
      <c r="E2022" s="307"/>
      <c r="F2022" s="307"/>
      <c r="G2022" s="308"/>
      <c r="H2022" s="233"/>
      <c r="I2022" s="301"/>
    </row>
    <row r="2023" spans="2:9" s="297" customFormat="1" ht="21" customHeight="1">
      <c r="B2023" s="305"/>
      <c r="C2023" s="305"/>
      <c r="D2023" s="234"/>
      <c r="E2023" s="307"/>
      <c r="F2023" s="307"/>
      <c r="G2023" s="308"/>
      <c r="H2023" s="233"/>
      <c r="I2023" s="301"/>
    </row>
    <row r="2024" spans="2:9" s="297" customFormat="1" ht="21" customHeight="1">
      <c r="B2024" s="305"/>
      <c r="C2024" s="305"/>
      <c r="D2024" s="234"/>
      <c r="E2024" s="307"/>
      <c r="F2024" s="307"/>
      <c r="G2024" s="308"/>
      <c r="H2024" s="233"/>
      <c r="I2024" s="301"/>
    </row>
    <row r="2025" spans="2:9" s="297" customFormat="1" ht="21" customHeight="1">
      <c r="B2025" s="305"/>
      <c r="C2025" s="305"/>
      <c r="D2025" s="234"/>
      <c r="E2025" s="307"/>
      <c r="F2025" s="307"/>
      <c r="G2025" s="308"/>
      <c r="H2025" s="233"/>
      <c r="I2025" s="301"/>
    </row>
    <row r="2026" spans="2:9" s="297" customFormat="1" ht="21" customHeight="1">
      <c r="B2026" s="305"/>
      <c r="C2026" s="305"/>
      <c r="D2026" s="234"/>
      <c r="E2026" s="307"/>
      <c r="F2026" s="307"/>
      <c r="G2026" s="308"/>
      <c r="H2026" s="233"/>
      <c r="I2026" s="301"/>
    </row>
    <row r="2027" spans="2:9" s="297" customFormat="1" ht="21" customHeight="1">
      <c r="B2027" s="305"/>
      <c r="C2027" s="305"/>
      <c r="D2027" s="234"/>
      <c r="E2027" s="307"/>
      <c r="F2027" s="307"/>
      <c r="G2027" s="308"/>
      <c r="H2027" s="233"/>
      <c r="I2027" s="301"/>
    </row>
    <row r="2028" spans="2:9" s="297" customFormat="1" ht="21" customHeight="1">
      <c r="B2028" s="305"/>
      <c r="C2028" s="305"/>
      <c r="D2028" s="234"/>
      <c r="E2028" s="307"/>
      <c r="F2028" s="307"/>
      <c r="G2028" s="308"/>
      <c r="H2028" s="233"/>
      <c r="I2028" s="301"/>
    </row>
    <row r="2029" spans="2:9" s="297" customFormat="1" ht="21" customHeight="1">
      <c r="B2029" s="305"/>
      <c r="C2029" s="305"/>
      <c r="D2029" s="234"/>
      <c r="E2029" s="307"/>
      <c r="F2029" s="307"/>
      <c r="G2029" s="308"/>
      <c r="H2029" s="233"/>
      <c r="I2029" s="301"/>
    </row>
    <row r="2030" spans="2:9" s="297" customFormat="1" ht="21" customHeight="1">
      <c r="B2030" s="305"/>
      <c r="C2030" s="305"/>
      <c r="D2030" s="234"/>
      <c r="E2030" s="307"/>
      <c r="F2030" s="307"/>
      <c r="G2030" s="308"/>
      <c r="H2030" s="233"/>
      <c r="I2030" s="301"/>
    </row>
    <row r="2031" spans="2:9" s="297" customFormat="1" ht="21" customHeight="1">
      <c r="B2031" s="312" t="s">
        <v>835</v>
      </c>
      <c r="C2031" s="305"/>
      <c r="D2031" s="234"/>
      <c r="E2031" s="307"/>
      <c r="F2031" s="307"/>
      <c r="G2031" s="232"/>
      <c r="H2031" s="233"/>
      <c r="I2031" s="301"/>
    </row>
    <row r="2032" spans="2:9" s="297" customFormat="1" ht="21" customHeight="1">
      <c r="B2032" s="305"/>
      <c r="C2032" s="305" t="s">
        <v>64</v>
      </c>
      <c r="D2032" s="234" t="s">
        <v>836</v>
      </c>
      <c r="E2032" s="307">
        <v>1.23</v>
      </c>
      <c r="F2032" s="307"/>
      <c r="G2032" s="232"/>
      <c r="H2032" s="233"/>
      <c r="I2032" s="301"/>
    </row>
    <row r="2033" spans="2:9" s="297" customFormat="1" ht="21" customHeight="1">
      <c r="B2033" s="305"/>
      <c r="C2033" s="305"/>
      <c r="D2033" s="234"/>
      <c r="E2033" s="306"/>
      <c r="F2033" s="306"/>
      <c r="G2033" s="232"/>
      <c r="H2033" s="232"/>
      <c r="I2033" s="301"/>
    </row>
    <row r="2034" spans="2:9" s="297" customFormat="1" ht="21" customHeight="1">
      <c r="B2034" s="305"/>
      <c r="C2034" s="305"/>
      <c r="D2034" s="234"/>
      <c r="E2034" s="306"/>
      <c r="F2034" s="306"/>
      <c r="G2034" s="308"/>
      <c r="H2034" s="233"/>
      <c r="I2034" s="301"/>
    </row>
    <row r="2035" spans="2:9" s="297" customFormat="1" ht="21" customHeight="1">
      <c r="B2035" s="305"/>
      <c r="C2035" s="305"/>
      <c r="D2035" s="234"/>
      <c r="E2035" s="306"/>
      <c r="F2035" s="306"/>
      <c r="G2035" s="308"/>
      <c r="H2035" s="233"/>
      <c r="I2035" s="301"/>
    </row>
    <row r="2036" spans="2:9" s="297" customFormat="1" ht="21" customHeight="1">
      <c r="B2036" s="305"/>
      <c r="C2036" s="305"/>
      <c r="D2036" s="234"/>
      <c r="E2036" s="306"/>
      <c r="F2036" s="306"/>
      <c r="G2036" s="308"/>
      <c r="H2036" s="233"/>
      <c r="I2036" s="301"/>
    </row>
    <row r="2037" spans="2:9" s="297" customFormat="1" ht="21" customHeight="1">
      <c r="B2037" s="312" t="s">
        <v>837</v>
      </c>
      <c r="C2037" s="305"/>
      <c r="D2037" s="234"/>
      <c r="E2037" s="307"/>
      <c r="F2037" s="307"/>
      <c r="G2037" s="232"/>
      <c r="H2037" s="233"/>
      <c r="I2037" s="301"/>
    </row>
    <row r="2038" spans="2:9" s="297" customFormat="1" ht="21" customHeight="1">
      <c r="B2038" s="305"/>
      <c r="C2038" s="305" t="s">
        <v>64</v>
      </c>
      <c r="D2038" s="234" t="s">
        <v>836</v>
      </c>
      <c r="E2038" s="307">
        <v>3.6999999999999998E-2</v>
      </c>
      <c r="F2038" s="307"/>
      <c r="G2038" s="232"/>
      <c r="H2038" s="233"/>
      <c r="I2038" s="301"/>
    </row>
    <row r="2039" spans="2:9" s="297" customFormat="1" ht="21" customHeight="1">
      <c r="B2039" s="305"/>
      <c r="C2039" s="305"/>
      <c r="D2039" s="234"/>
      <c r="E2039" s="306"/>
      <c r="F2039" s="306"/>
      <c r="G2039" s="232"/>
      <c r="H2039" s="232"/>
      <c r="I2039" s="301"/>
    </row>
    <row r="2040" spans="2:9" s="297" customFormat="1" ht="21" customHeight="1">
      <c r="B2040" s="305"/>
      <c r="C2040" s="305"/>
      <c r="D2040" s="234"/>
      <c r="E2040" s="306"/>
      <c r="F2040" s="306"/>
      <c r="G2040" s="308"/>
      <c r="H2040" s="233"/>
      <c r="I2040" s="301"/>
    </row>
    <row r="2041" spans="2:9" s="297" customFormat="1" ht="21" customHeight="1">
      <c r="B2041" s="305"/>
      <c r="C2041" s="305"/>
      <c r="D2041" s="234"/>
      <c r="E2041" s="306"/>
      <c r="F2041" s="306"/>
      <c r="G2041" s="308"/>
      <c r="H2041" s="233"/>
      <c r="I2041" s="301"/>
    </row>
    <row r="2042" spans="2:9" s="297" customFormat="1" ht="21" customHeight="1">
      <c r="B2042" s="305"/>
      <c r="C2042" s="305"/>
      <c r="D2042" s="234"/>
      <c r="E2042" s="306"/>
      <c r="F2042" s="306"/>
      <c r="G2042" s="308"/>
      <c r="H2042" s="233"/>
      <c r="I2042" s="301"/>
    </row>
    <row r="2043" spans="2:9" s="297" customFormat="1" ht="21" customHeight="1">
      <c r="B2043" s="300" t="str">
        <f>'5. 공종별예산조서'!$A$131</f>
        <v>4-16. 코어 구멍뚫기</v>
      </c>
      <c r="C2043" s="300" t="str">
        <f>'5. 공종별예산조서'!$B$131</f>
        <v>75Φ</v>
      </c>
      <c r="D2043" s="301" t="str">
        <f>'5. 공종별예산조서'!$C$131</f>
        <v>개소</v>
      </c>
      <c r="E2043" s="309">
        <f>'5. 공종별예산조서'!$D$131</f>
        <v>1</v>
      </c>
      <c r="F2043" s="302"/>
      <c r="G2043" s="303"/>
      <c r="H2043" s="304"/>
      <c r="I2043" s="301"/>
    </row>
    <row r="2044" spans="2:9" s="297" customFormat="1" ht="21" customHeight="1">
      <c r="B2044" s="312" t="s">
        <v>834</v>
      </c>
      <c r="C2044" s="305"/>
      <c r="D2044" s="234"/>
      <c r="E2044" s="310"/>
      <c r="F2044" s="306"/>
      <c r="G2044" s="232"/>
      <c r="H2044" s="233"/>
      <c r="I2044" s="301"/>
    </row>
    <row r="2045" spans="2:9" s="297" customFormat="1" ht="21" customHeight="1">
      <c r="B2045" s="305" t="s">
        <v>1092</v>
      </c>
      <c r="C2045" s="305" t="str">
        <f>C2043</f>
        <v>75Φ</v>
      </c>
      <c r="D2045" s="234" t="str">
        <f>D2043</f>
        <v>개소</v>
      </c>
      <c r="E2045" s="311">
        <f>E2043</f>
        <v>1</v>
      </c>
      <c r="F2045" s="307"/>
      <c r="G2045" s="232"/>
      <c r="H2045" s="232"/>
      <c r="I2045" s="301"/>
    </row>
    <row r="2046" spans="2:9" s="297" customFormat="1" ht="21" customHeight="1">
      <c r="B2046" s="305"/>
      <c r="C2046" s="305"/>
      <c r="D2046" s="234"/>
      <c r="E2046" s="307"/>
      <c r="F2046" s="307"/>
      <c r="G2046" s="308"/>
      <c r="H2046" s="233"/>
      <c r="I2046" s="301"/>
    </row>
    <row r="2047" spans="2:9" s="297" customFormat="1" ht="21" customHeight="1">
      <c r="B2047" s="305"/>
      <c r="C2047" s="305"/>
      <c r="D2047" s="234"/>
      <c r="E2047" s="307"/>
      <c r="F2047" s="307"/>
      <c r="G2047" s="308"/>
      <c r="H2047" s="233"/>
      <c r="I2047" s="301"/>
    </row>
    <row r="2048" spans="2:9" s="297" customFormat="1" ht="21" customHeight="1">
      <c r="B2048" s="305"/>
      <c r="C2048" s="305"/>
      <c r="D2048" s="234"/>
      <c r="E2048" s="307"/>
      <c r="F2048" s="307"/>
      <c r="G2048" s="308"/>
      <c r="H2048" s="233"/>
      <c r="I2048" s="301"/>
    </row>
    <row r="2049" spans="2:9" s="297" customFormat="1" ht="21" customHeight="1">
      <c r="B2049" s="305"/>
      <c r="C2049" s="305"/>
      <c r="D2049" s="234"/>
      <c r="E2049" s="307"/>
      <c r="F2049" s="307"/>
      <c r="G2049" s="308"/>
      <c r="H2049" s="233"/>
      <c r="I2049" s="301"/>
    </row>
    <row r="2050" spans="2:9" s="297" customFormat="1" ht="21" customHeight="1">
      <c r="B2050" s="305"/>
      <c r="C2050" s="305"/>
      <c r="D2050" s="234"/>
      <c r="E2050" s="307"/>
      <c r="F2050" s="307"/>
      <c r="G2050" s="308"/>
      <c r="H2050" s="233"/>
      <c r="I2050" s="301"/>
    </row>
    <row r="2051" spans="2:9" s="297" customFormat="1" ht="21" customHeight="1">
      <c r="B2051" s="305"/>
      <c r="C2051" s="305"/>
      <c r="D2051" s="234"/>
      <c r="E2051" s="307"/>
      <c r="F2051" s="307"/>
      <c r="G2051" s="308"/>
      <c r="H2051" s="233"/>
      <c r="I2051" s="301"/>
    </row>
    <row r="2052" spans="2:9" s="297" customFormat="1" ht="21" customHeight="1">
      <c r="B2052" s="305"/>
      <c r="C2052" s="305"/>
      <c r="D2052" s="234"/>
      <c r="E2052" s="307"/>
      <c r="F2052" s="307"/>
      <c r="G2052" s="308"/>
      <c r="H2052" s="233"/>
      <c r="I2052" s="301"/>
    </row>
    <row r="2053" spans="2:9" s="297" customFormat="1" ht="21" customHeight="1">
      <c r="B2053" s="305"/>
      <c r="C2053" s="305"/>
      <c r="D2053" s="234"/>
      <c r="E2053" s="307"/>
      <c r="F2053" s="307"/>
      <c r="G2053" s="308"/>
      <c r="H2053" s="233"/>
      <c r="I2053" s="301"/>
    </row>
    <row r="2054" spans="2:9" s="297" customFormat="1" ht="21" customHeight="1">
      <c r="B2054" s="305"/>
      <c r="C2054" s="305"/>
      <c r="D2054" s="234"/>
      <c r="E2054" s="307"/>
      <c r="F2054" s="307"/>
      <c r="G2054" s="308"/>
      <c r="H2054" s="233"/>
      <c r="I2054" s="301"/>
    </row>
    <row r="2055" spans="2:9" s="297" customFormat="1" ht="21" customHeight="1">
      <c r="B2055" s="312" t="s">
        <v>835</v>
      </c>
      <c r="C2055" s="305"/>
      <c r="D2055" s="234"/>
      <c r="E2055" s="307"/>
      <c r="F2055" s="307"/>
      <c r="G2055" s="232"/>
      <c r="H2055" s="233"/>
      <c r="I2055" s="301"/>
    </row>
    <row r="2056" spans="2:9" s="297" customFormat="1" ht="21" customHeight="1">
      <c r="B2056" s="305"/>
      <c r="C2056" s="305" t="s">
        <v>1093</v>
      </c>
      <c r="D2056" s="234" t="s">
        <v>836</v>
      </c>
      <c r="E2056" s="307">
        <v>0.23</v>
      </c>
      <c r="F2056" s="307"/>
      <c r="G2056" s="232"/>
      <c r="H2056" s="233"/>
      <c r="I2056" s="301"/>
    </row>
    <row r="2057" spans="2:9" s="297" customFormat="1" ht="21" customHeight="1">
      <c r="B2057" s="305"/>
      <c r="C2057" s="305"/>
      <c r="D2057" s="234"/>
      <c r="E2057" s="306"/>
      <c r="F2057" s="306"/>
      <c r="G2057" s="232"/>
      <c r="H2057" s="232"/>
      <c r="I2057" s="301"/>
    </row>
    <row r="2058" spans="2:9" s="297" customFormat="1" ht="21" customHeight="1">
      <c r="B2058" s="305"/>
      <c r="C2058" s="305"/>
      <c r="D2058" s="234"/>
      <c r="E2058" s="306"/>
      <c r="F2058" s="306"/>
      <c r="G2058" s="308"/>
      <c r="H2058" s="233"/>
      <c r="I2058" s="301"/>
    </row>
    <row r="2059" spans="2:9" s="297" customFormat="1" ht="21" customHeight="1">
      <c r="B2059" s="305"/>
      <c r="C2059" s="305"/>
      <c r="D2059" s="234"/>
      <c r="E2059" s="306"/>
      <c r="F2059" s="306"/>
      <c r="G2059" s="308"/>
      <c r="H2059" s="233"/>
      <c r="I2059" s="301"/>
    </row>
    <row r="2060" spans="2:9" s="297" customFormat="1" ht="21" customHeight="1">
      <c r="B2060" s="305"/>
      <c r="C2060" s="305"/>
      <c r="D2060" s="234"/>
      <c r="E2060" s="306"/>
      <c r="F2060" s="306"/>
      <c r="G2060" s="308"/>
      <c r="H2060" s="233"/>
      <c r="I2060" s="301"/>
    </row>
    <row r="2061" spans="2:9" s="297" customFormat="1" ht="21" customHeight="1">
      <c r="B2061" s="312" t="s">
        <v>837</v>
      </c>
      <c r="C2061" s="305"/>
      <c r="D2061" s="234"/>
      <c r="E2061" s="307"/>
      <c r="F2061" s="307"/>
      <c r="G2061" s="232"/>
      <c r="H2061" s="233"/>
      <c r="I2061" s="301"/>
    </row>
    <row r="2062" spans="2:9" s="297" customFormat="1" ht="21" customHeight="1">
      <c r="B2062" s="305"/>
      <c r="C2062" s="305" t="s">
        <v>1093</v>
      </c>
      <c r="D2062" s="234" t="s">
        <v>836</v>
      </c>
      <c r="E2062" s="307">
        <v>7.0000000000000001E-3</v>
      </c>
      <c r="F2062" s="307"/>
      <c r="G2062" s="232"/>
      <c r="H2062" s="233"/>
      <c r="I2062" s="301"/>
    </row>
    <row r="2063" spans="2:9" s="297" customFormat="1" ht="21" customHeight="1">
      <c r="B2063" s="305"/>
      <c r="C2063" s="305"/>
      <c r="D2063" s="234"/>
      <c r="E2063" s="306"/>
      <c r="F2063" s="306"/>
      <c r="G2063" s="232"/>
      <c r="H2063" s="232"/>
      <c r="I2063" s="301"/>
    </row>
    <row r="2064" spans="2:9" s="297" customFormat="1" ht="21" customHeight="1">
      <c r="B2064" s="305"/>
      <c r="C2064" s="305"/>
      <c r="D2064" s="234"/>
      <c r="E2064" s="306"/>
      <c r="F2064" s="306"/>
      <c r="G2064" s="308"/>
      <c r="H2064" s="233"/>
      <c r="I2064" s="301"/>
    </row>
    <row r="2065" spans="2:9" s="297" customFormat="1" ht="21" customHeight="1">
      <c r="B2065" s="305"/>
      <c r="C2065" s="305"/>
      <c r="D2065" s="234"/>
      <c r="E2065" s="306"/>
      <c r="F2065" s="306"/>
      <c r="G2065" s="308"/>
      <c r="H2065" s="233"/>
      <c r="I2065" s="301"/>
    </row>
    <row r="2066" spans="2:9" s="297" customFormat="1" ht="21" customHeight="1">
      <c r="B2066" s="305"/>
      <c r="C2066" s="305"/>
      <c r="D2066" s="234"/>
      <c r="E2066" s="306"/>
      <c r="F2066" s="306"/>
      <c r="G2066" s="308"/>
      <c r="H2066" s="233"/>
      <c r="I2066" s="301"/>
    </row>
    <row r="2067" spans="2:9" s="297" customFormat="1" ht="21" customHeight="1">
      <c r="B2067" s="300" t="str">
        <f>'5. 공종별예산조서'!$A$132</f>
        <v>4-17. 전선관 천장지지</v>
      </c>
      <c r="C2067" s="300" t="str">
        <f>'5. 공종별예산조서'!$B$132</f>
        <v>ST 54C</v>
      </c>
      <c r="D2067" s="301" t="str">
        <f>'5. 공종별예산조서'!$C$132</f>
        <v>개소</v>
      </c>
      <c r="E2067" s="309">
        <f>'5. 공종별예산조서'!$D$132</f>
        <v>22</v>
      </c>
      <c r="F2067" s="302"/>
      <c r="G2067" s="303"/>
      <c r="H2067" s="304"/>
      <c r="I2067" s="301"/>
    </row>
    <row r="2068" spans="2:9" s="297" customFormat="1" ht="21" customHeight="1">
      <c r="B2068" s="312" t="s">
        <v>834</v>
      </c>
      <c r="C2068" s="305"/>
      <c r="D2068" s="234"/>
      <c r="E2068" s="310"/>
      <c r="F2068" s="306"/>
      <c r="G2068" s="232"/>
      <c r="H2068" s="233"/>
      <c r="I2068" s="301"/>
    </row>
    <row r="2069" spans="2:9" s="297" customFormat="1" ht="21" customHeight="1">
      <c r="B2069" s="305" t="s">
        <v>1094</v>
      </c>
      <c r="C2069" s="305" t="str">
        <f>C2067</f>
        <v>ST 54C</v>
      </c>
      <c r="D2069" s="234" t="str">
        <f>D2067</f>
        <v>개소</v>
      </c>
      <c r="E2069" s="311">
        <f>E2067</f>
        <v>22</v>
      </c>
      <c r="F2069" s="307"/>
      <c r="G2069" s="308"/>
      <c r="H2069" s="233"/>
      <c r="I2069" s="301"/>
    </row>
    <row r="2070" spans="2:9" s="297" customFormat="1" ht="21" customHeight="1">
      <c r="B2070" s="305" t="s">
        <v>1095</v>
      </c>
      <c r="C2070" s="305" t="s">
        <v>1099</v>
      </c>
      <c r="D2070" s="234" t="s">
        <v>1104</v>
      </c>
      <c r="E2070" s="313">
        <f>E2069</f>
        <v>22</v>
      </c>
      <c r="F2070" s="307"/>
      <c r="G2070" s="308"/>
      <c r="H2070" s="233"/>
      <c r="I2070" s="301"/>
    </row>
    <row r="2071" spans="2:9" s="297" customFormat="1" ht="21" customHeight="1">
      <c r="B2071" s="305" t="s">
        <v>1096</v>
      </c>
      <c r="C2071" s="305" t="s">
        <v>1101</v>
      </c>
      <c r="D2071" s="234" t="s">
        <v>1104</v>
      </c>
      <c r="E2071" s="313">
        <f>E2070</f>
        <v>22</v>
      </c>
      <c r="F2071" s="307"/>
      <c r="G2071" s="308"/>
      <c r="H2071" s="233"/>
      <c r="I2071" s="301"/>
    </row>
    <row r="2072" spans="2:9" s="297" customFormat="1" ht="21" customHeight="1">
      <c r="B2072" s="305" t="s">
        <v>1097</v>
      </c>
      <c r="C2072" s="305" t="s">
        <v>1102</v>
      </c>
      <c r="D2072" s="234" t="s">
        <v>1104</v>
      </c>
      <c r="E2072" s="313">
        <f>E2071</f>
        <v>22</v>
      </c>
      <c r="F2072" s="307"/>
      <c r="G2072" s="308"/>
      <c r="H2072" s="233"/>
      <c r="I2072" s="301"/>
    </row>
    <row r="2073" spans="2:9" s="297" customFormat="1" ht="21" customHeight="1">
      <c r="B2073" s="305" t="s">
        <v>1098</v>
      </c>
      <c r="C2073" s="305" t="s">
        <v>1103</v>
      </c>
      <c r="D2073" s="234" t="s">
        <v>1104</v>
      </c>
      <c r="E2073" s="313">
        <f>E2072</f>
        <v>22</v>
      </c>
      <c r="F2073" s="307"/>
      <c r="G2073" s="308"/>
      <c r="H2073" s="233"/>
      <c r="I2073" s="301"/>
    </row>
    <row r="2074" spans="2:9" s="297" customFormat="1" ht="21" customHeight="1">
      <c r="B2074" s="305"/>
      <c r="C2074" s="305"/>
      <c r="D2074" s="234"/>
      <c r="E2074" s="307"/>
      <c r="F2074" s="307"/>
      <c r="G2074" s="308"/>
      <c r="H2074" s="233"/>
      <c r="I2074" s="301"/>
    </row>
    <row r="2075" spans="2:9" s="297" customFormat="1" ht="21" customHeight="1">
      <c r="B2075" s="305"/>
      <c r="C2075" s="305"/>
      <c r="D2075" s="234"/>
      <c r="E2075" s="307"/>
      <c r="F2075" s="307"/>
      <c r="G2075" s="308"/>
      <c r="H2075" s="233"/>
      <c r="I2075" s="301"/>
    </row>
    <row r="2076" spans="2:9" s="297" customFormat="1" ht="21" customHeight="1">
      <c r="B2076" s="305"/>
      <c r="C2076" s="305"/>
      <c r="D2076" s="234"/>
      <c r="E2076" s="307"/>
      <c r="F2076" s="307"/>
      <c r="G2076" s="308"/>
      <c r="H2076" s="233"/>
      <c r="I2076" s="301"/>
    </row>
    <row r="2077" spans="2:9" s="297" customFormat="1" ht="21" customHeight="1">
      <c r="B2077" s="305"/>
      <c r="C2077" s="305"/>
      <c r="D2077" s="234"/>
      <c r="E2077" s="307"/>
      <c r="F2077" s="307"/>
      <c r="G2077" s="308"/>
      <c r="H2077" s="233"/>
      <c r="I2077" s="301"/>
    </row>
    <row r="2078" spans="2:9" s="297" customFormat="1" ht="21" customHeight="1">
      <c r="B2078" s="305"/>
      <c r="C2078" s="305"/>
      <c r="D2078" s="234"/>
      <c r="E2078" s="307"/>
      <c r="F2078" s="307"/>
      <c r="G2078" s="308"/>
      <c r="H2078" s="233"/>
      <c r="I2078" s="301"/>
    </row>
    <row r="2079" spans="2:9" s="297" customFormat="1" ht="21" customHeight="1">
      <c r="B2079" s="312" t="s">
        <v>835</v>
      </c>
      <c r="C2079" s="305"/>
      <c r="D2079" s="234"/>
      <c r="E2079" s="307"/>
      <c r="F2079" s="307"/>
      <c r="G2079" s="232"/>
      <c r="H2079" s="233"/>
      <c r="I2079" s="301"/>
    </row>
    <row r="2080" spans="2:9" s="297" customFormat="1" ht="21" customHeight="1">
      <c r="B2080" s="305"/>
      <c r="C2080" s="305" t="s">
        <v>64</v>
      </c>
      <c r="D2080" s="234" t="s">
        <v>836</v>
      </c>
      <c r="E2080" s="307">
        <v>0.81200000000000006</v>
      </c>
      <c r="F2080" s="307"/>
      <c r="G2080" s="232"/>
      <c r="H2080" s="233"/>
      <c r="I2080" s="301"/>
    </row>
    <row r="2081" spans="2:9" s="297" customFormat="1" ht="21" customHeight="1">
      <c r="B2081" s="305"/>
      <c r="C2081" s="305"/>
      <c r="D2081" s="234"/>
      <c r="E2081" s="306"/>
      <c r="F2081" s="306"/>
      <c r="G2081" s="232"/>
      <c r="H2081" s="232"/>
      <c r="I2081" s="301"/>
    </row>
    <row r="2082" spans="2:9" s="297" customFormat="1" ht="21" customHeight="1">
      <c r="B2082" s="305"/>
      <c r="C2082" s="305"/>
      <c r="D2082" s="234"/>
      <c r="E2082" s="306"/>
      <c r="F2082" s="306"/>
      <c r="G2082" s="308"/>
      <c r="H2082" s="233"/>
      <c r="I2082" s="301"/>
    </row>
    <row r="2083" spans="2:9" s="297" customFormat="1" ht="21" customHeight="1">
      <c r="B2083" s="305"/>
      <c r="C2083" s="305"/>
      <c r="D2083" s="234"/>
      <c r="E2083" s="306"/>
      <c r="F2083" s="306"/>
      <c r="G2083" s="308"/>
      <c r="H2083" s="233"/>
      <c r="I2083" s="301"/>
    </row>
    <row r="2084" spans="2:9" s="297" customFormat="1" ht="21" customHeight="1">
      <c r="B2084" s="305"/>
      <c r="C2084" s="305"/>
      <c r="D2084" s="234"/>
      <c r="E2084" s="306"/>
      <c r="F2084" s="306"/>
      <c r="G2084" s="308"/>
      <c r="H2084" s="233"/>
      <c r="I2084" s="301"/>
    </row>
    <row r="2085" spans="2:9" s="297" customFormat="1" ht="21" customHeight="1">
      <c r="B2085" s="312" t="s">
        <v>837</v>
      </c>
      <c r="C2085" s="305"/>
      <c r="D2085" s="234"/>
      <c r="E2085" s="307"/>
      <c r="F2085" s="307"/>
      <c r="G2085" s="232"/>
      <c r="H2085" s="233"/>
      <c r="I2085" s="301"/>
    </row>
    <row r="2086" spans="2:9" s="297" customFormat="1" ht="21" customHeight="1">
      <c r="B2086" s="305"/>
      <c r="C2086" s="305" t="s">
        <v>64</v>
      </c>
      <c r="D2086" s="234" t="s">
        <v>836</v>
      </c>
      <c r="E2086" s="307">
        <v>2.4299999999999999E-2</v>
      </c>
      <c r="F2086" s="307"/>
      <c r="G2086" s="232"/>
      <c r="H2086" s="233"/>
      <c r="I2086" s="301"/>
    </row>
    <row r="2087" spans="2:9" s="297" customFormat="1" ht="21" customHeight="1">
      <c r="B2087" s="305"/>
      <c r="C2087" s="305"/>
      <c r="D2087" s="234"/>
      <c r="E2087" s="306"/>
      <c r="F2087" s="306"/>
      <c r="G2087" s="232"/>
      <c r="H2087" s="232"/>
      <c r="I2087" s="301"/>
    </row>
    <row r="2088" spans="2:9" s="297" customFormat="1" ht="21" customHeight="1">
      <c r="B2088" s="305"/>
      <c r="C2088" s="305"/>
      <c r="D2088" s="234"/>
      <c r="E2088" s="306"/>
      <c r="F2088" s="306"/>
      <c r="G2088" s="308"/>
      <c r="H2088" s="233"/>
      <c r="I2088" s="301"/>
    </row>
    <row r="2089" spans="2:9" s="297" customFormat="1" ht="21" customHeight="1">
      <c r="B2089" s="305"/>
      <c r="C2089" s="305"/>
      <c r="D2089" s="234"/>
      <c r="E2089" s="306"/>
      <c r="F2089" s="306"/>
      <c r="G2089" s="308"/>
      <c r="H2089" s="233"/>
      <c r="I2089" s="301"/>
    </row>
    <row r="2090" spans="2:9" s="297" customFormat="1" ht="21" customHeight="1">
      <c r="B2090" s="305"/>
      <c r="C2090" s="305"/>
      <c r="D2090" s="234"/>
      <c r="E2090" s="306"/>
      <c r="F2090" s="306"/>
      <c r="G2090" s="308"/>
      <c r="H2090" s="233"/>
      <c r="I2090" s="301"/>
    </row>
    <row r="2091" spans="2:9" s="297" customFormat="1" ht="21" customHeight="1">
      <c r="B2091" s="300" t="str">
        <f>'5. 공종별예산조서'!$A$133</f>
        <v>4-18. P-AC 분전반 기초</v>
      </c>
      <c r="C2091" s="300" t="str">
        <f>'5. 공종별예산조서'!$B$133</f>
        <v>화강석 경계석(W:150H:150L:1000)</v>
      </c>
      <c r="D2091" s="301" t="str">
        <f>'5. 공종별예산조서'!$C$133</f>
        <v>개</v>
      </c>
      <c r="E2091" s="309">
        <f>'5. 공종별예산조서'!$D$133</f>
        <v>3</v>
      </c>
      <c r="F2091" s="302"/>
      <c r="G2091" s="303"/>
      <c r="H2091" s="304"/>
      <c r="I2091" s="301"/>
    </row>
    <row r="2092" spans="2:9" s="297" customFormat="1" ht="21" customHeight="1">
      <c r="B2092" s="312" t="s">
        <v>834</v>
      </c>
      <c r="C2092" s="305"/>
      <c r="D2092" s="234"/>
      <c r="E2092" s="310"/>
      <c r="F2092" s="306"/>
      <c r="G2092" s="232"/>
      <c r="H2092" s="233"/>
      <c r="I2092" s="301"/>
    </row>
    <row r="2093" spans="2:9" s="297" customFormat="1" ht="21" customHeight="1">
      <c r="B2093" s="305" t="s">
        <v>1147</v>
      </c>
      <c r="C2093" s="305" t="str">
        <f>C2091</f>
        <v>화강석 경계석(W:150H:150L:1000)</v>
      </c>
      <c r="D2093" s="234" t="str">
        <f>D2091</f>
        <v>개</v>
      </c>
      <c r="E2093" s="311">
        <f>E2091</f>
        <v>3</v>
      </c>
      <c r="F2093" s="307"/>
      <c r="G2093" s="308"/>
      <c r="H2093" s="233"/>
      <c r="I2093" s="301"/>
    </row>
    <row r="2094" spans="2:9" s="297" customFormat="1" ht="21" customHeight="1">
      <c r="B2094" s="305" t="s">
        <v>1148</v>
      </c>
      <c r="C2094" s="305" t="s">
        <v>1149</v>
      </c>
      <c r="D2094" s="234" t="str">
        <f>D2093</f>
        <v>개</v>
      </c>
      <c r="E2094" s="313">
        <v>6</v>
      </c>
      <c r="F2094" s="307"/>
      <c r="G2094" s="308"/>
      <c r="H2094" s="233"/>
      <c r="I2094" s="301"/>
    </row>
    <row r="2095" spans="2:9" s="297" customFormat="1" ht="21" customHeight="1">
      <c r="B2095" s="305"/>
      <c r="C2095" s="305"/>
      <c r="D2095" s="234"/>
      <c r="E2095" s="307"/>
      <c r="F2095" s="307"/>
      <c r="G2095" s="308"/>
      <c r="H2095" s="233"/>
      <c r="I2095" s="301"/>
    </row>
    <row r="2096" spans="2:9" s="297" customFormat="1" ht="21" customHeight="1">
      <c r="B2096" s="305"/>
      <c r="C2096" s="305"/>
      <c r="D2096" s="234"/>
      <c r="E2096" s="307"/>
      <c r="F2096" s="307"/>
      <c r="G2096" s="308"/>
      <c r="H2096" s="233"/>
      <c r="I2096" s="301"/>
    </row>
    <row r="2097" spans="2:9" s="297" customFormat="1" ht="21" customHeight="1">
      <c r="B2097" s="305"/>
      <c r="C2097" s="305"/>
      <c r="D2097" s="234"/>
      <c r="E2097" s="307"/>
      <c r="F2097" s="307"/>
      <c r="G2097" s="308"/>
      <c r="H2097" s="233"/>
      <c r="I2097" s="301"/>
    </row>
    <row r="2098" spans="2:9" s="297" customFormat="1" ht="21" customHeight="1">
      <c r="B2098" s="305"/>
      <c r="C2098" s="305"/>
      <c r="D2098" s="234"/>
      <c r="E2098" s="307"/>
      <c r="F2098" s="307"/>
      <c r="G2098" s="308"/>
      <c r="H2098" s="233"/>
      <c r="I2098" s="301"/>
    </row>
    <row r="2099" spans="2:9" s="297" customFormat="1" ht="21" customHeight="1">
      <c r="B2099" s="305"/>
      <c r="C2099" s="305"/>
      <c r="D2099" s="234"/>
      <c r="E2099" s="307"/>
      <c r="F2099" s="307"/>
      <c r="G2099" s="308"/>
      <c r="H2099" s="233"/>
      <c r="I2099" s="301"/>
    </row>
    <row r="2100" spans="2:9" s="297" customFormat="1" ht="21" customHeight="1">
      <c r="B2100" s="305"/>
      <c r="C2100" s="305"/>
      <c r="D2100" s="234"/>
      <c r="E2100" s="307"/>
      <c r="F2100" s="307"/>
      <c r="G2100" s="308"/>
      <c r="H2100" s="233"/>
      <c r="I2100" s="301"/>
    </row>
    <row r="2101" spans="2:9" s="297" customFormat="1" ht="21" customHeight="1">
      <c r="B2101" s="305"/>
      <c r="C2101" s="305"/>
      <c r="D2101" s="234"/>
      <c r="E2101" s="307"/>
      <c r="F2101" s="307"/>
      <c r="G2101" s="308"/>
      <c r="H2101" s="233"/>
      <c r="I2101" s="301"/>
    </row>
    <row r="2102" spans="2:9" s="297" customFormat="1" ht="21" customHeight="1">
      <c r="B2102" s="305"/>
      <c r="C2102" s="305"/>
      <c r="D2102" s="234"/>
      <c r="E2102" s="307"/>
      <c r="F2102" s="307"/>
      <c r="G2102" s="308"/>
      <c r="H2102" s="233"/>
      <c r="I2102" s="301"/>
    </row>
    <row r="2103" spans="2:9" s="297" customFormat="1" ht="21" customHeight="1">
      <c r="B2103" s="312" t="s">
        <v>835</v>
      </c>
      <c r="C2103" s="305"/>
      <c r="D2103" s="234"/>
      <c r="E2103" s="307"/>
      <c r="F2103" s="307"/>
      <c r="G2103" s="232"/>
      <c r="H2103" s="233"/>
      <c r="I2103" s="301"/>
    </row>
    <row r="2104" spans="2:9" s="297" customFormat="1" ht="21" customHeight="1">
      <c r="B2104" s="305"/>
      <c r="C2104" s="305" t="s">
        <v>64</v>
      </c>
      <c r="D2104" s="234" t="s">
        <v>869</v>
      </c>
      <c r="E2104" s="307">
        <v>0.216</v>
      </c>
      <c r="F2104" s="307"/>
      <c r="G2104" s="232"/>
      <c r="H2104" s="233"/>
      <c r="I2104" s="301"/>
    </row>
    <row r="2105" spans="2:9" s="297" customFormat="1" ht="21" customHeight="1">
      <c r="B2105" s="305"/>
      <c r="C2105" s="305"/>
      <c r="D2105" s="234"/>
      <c r="E2105" s="306"/>
      <c r="F2105" s="306"/>
      <c r="G2105" s="232"/>
      <c r="H2105" s="232"/>
      <c r="I2105" s="301"/>
    </row>
    <row r="2106" spans="2:9" s="297" customFormat="1" ht="21" customHeight="1">
      <c r="B2106" s="305"/>
      <c r="C2106" s="305"/>
      <c r="D2106" s="234"/>
      <c r="E2106" s="306"/>
      <c r="F2106" s="306"/>
      <c r="G2106" s="308"/>
      <c r="H2106" s="233"/>
      <c r="I2106" s="301"/>
    </row>
    <row r="2107" spans="2:9" s="297" customFormat="1" ht="21" customHeight="1">
      <c r="B2107" s="305"/>
      <c r="C2107" s="305"/>
      <c r="D2107" s="234"/>
      <c r="E2107" s="306"/>
      <c r="F2107" s="306"/>
      <c r="G2107" s="308"/>
      <c r="H2107" s="233"/>
      <c r="I2107" s="301"/>
    </row>
    <row r="2108" spans="2:9" s="297" customFormat="1" ht="21" customHeight="1">
      <c r="B2108" s="305"/>
      <c r="C2108" s="305"/>
      <c r="D2108" s="234"/>
      <c r="E2108" s="306"/>
      <c r="F2108" s="306"/>
      <c r="G2108" s="308"/>
      <c r="H2108" s="233"/>
      <c r="I2108" s="301"/>
    </row>
    <row r="2109" spans="2:9" s="297" customFormat="1" ht="21" customHeight="1">
      <c r="B2109" s="312" t="s">
        <v>837</v>
      </c>
      <c r="C2109" s="305"/>
      <c r="D2109" s="234"/>
      <c r="E2109" s="307"/>
      <c r="F2109" s="307"/>
      <c r="G2109" s="232"/>
      <c r="H2109" s="233"/>
      <c r="I2109" s="301"/>
    </row>
    <row r="2110" spans="2:9" s="297" customFormat="1" ht="21" customHeight="1">
      <c r="B2110" s="305"/>
      <c r="C2110" s="305" t="s">
        <v>64</v>
      </c>
      <c r="D2110" s="234" t="s">
        <v>869</v>
      </c>
      <c r="E2110" s="307">
        <v>6.0000000000000001E-3</v>
      </c>
      <c r="F2110" s="307"/>
      <c r="G2110" s="232"/>
      <c r="H2110" s="233"/>
      <c r="I2110" s="301"/>
    </row>
    <row r="2111" spans="2:9" s="297" customFormat="1" ht="21" customHeight="1">
      <c r="B2111" s="305"/>
      <c r="C2111" s="305"/>
      <c r="D2111" s="234"/>
      <c r="E2111" s="306"/>
      <c r="F2111" s="306"/>
      <c r="G2111" s="232"/>
      <c r="H2111" s="232"/>
      <c r="I2111" s="301"/>
    </row>
    <row r="2112" spans="2:9" s="297" customFormat="1" ht="21" customHeight="1">
      <c r="B2112" s="305"/>
      <c r="C2112" s="305"/>
      <c r="D2112" s="234"/>
      <c r="E2112" s="306"/>
      <c r="F2112" s="306"/>
      <c r="G2112" s="308"/>
      <c r="H2112" s="233"/>
      <c r="I2112" s="301"/>
    </row>
    <row r="2113" spans="2:9" s="297" customFormat="1" ht="21" customHeight="1">
      <c r="B2113" s="305"/>
      <c r="C2113" s="305"/>
      <c r="D2113" s="234"/>
      <c r="E2113" s="306"/>
      <c r="F2113" s="306"/>
      <c r="G2113" s="308"/>
      <c r="H2113" s="233"/>
      <c r="I2113" s="301"/>
    </row>
    <row r="2114" spans="2:9" s="297" customFormat="1" ht="21" customHeight="1">
      <c r="B2114" s="305"/>
      <c r="C2114" s="305"/>
      <c r="D2114" s="234"/>
      <c r="E2114" s="306"/>
      <c r="F2114" s="306"/>
      <c r="G2114" s="308"/>
      <c r="H2114" s="233"/>
      <c r="I2114" s="301"/>
    </row>
    <row r="2115" spans="2:9" s="346" customFormat="1" ht="21" customHeight="1">
      <c r="B2115" s="300" t="str">
        <f>'5. 공종별예산조서'!$A$144</f>
        <v>5-1. 케이블 철거</v>
      </c>
      <c r="C2115" s="300" t="str">
        <f>'5. 공종별예산조서'!$B$144</f>
        <v>0.6/1kV, F-CV 10SQ/2C 이하</v>
      </c>
      <c r="D2115" s="301" t="str">
        <f>'5. 공종별예산조서'!$C$144</f>
        <v>M</v>
      </c>
      <c r="E2115" s="309">
        <f>'5. 공종별예산조서'!$D$144</f>
        <v>37</v>
      </c>
      <c r="F2115" s="302"/>
      <c r="G2115" s="303"/>
      <c r="H2115" s="304"/>
      <c r="I2115" s="301"/>
    </row>
    <row r="2116" spans="2:9" s="346" customFormat="1" ht="21" customHeight="1">
      <c r="B2116" s="312" t="s">
        <v>834</v>
      </c>
      <c r="C2116" s="305"/>
      <c r="D2116" s="234"/>
      <c r="E2116" s="310"/>
      <c r="F2116" s="306"/>
      <c r="G2116" s="232"/>
      <c r="H2116" s="233"/>
      <c r="I2116" s="301"/>
    </row>
    <row r="2117" spans="2:9" s="346" customFormat="1" ht="21" customHeight="1">
      <c r="B2117" s="305" t="s">
        <v>1150</v>
      </c>
      <c r="C2117" s="305" t="str">
        <f>C2115</f>
        <v>0.6/1kV, F-CV 10SQ/2C 이하</v>
      </c>
      <c r="D2117" s="234" t="str">
        <f>D2115</f>
        <v>M</v>
      </c>
      <c r="E2117" s="311">
        <f>E2115</f>
        <v>37</v>
      </c>
      <c r="F2117" s="307"/>
      <c r="G2117" s="308"/>
      <c r="H2117" s="233"/>
      <c r="I2117" s="301"/>
    </row>
    <row r="2118" spans="2:9" s="346" customFormat="1" ht="21" customHeight="1">
      <c r="B2118" s="305"/>
      <c r="C2118" s="305"/>
      <c r="D2118" s="234"/>
      <c r="E2118" s="313"/>
      <c r="F2118" s="307"/>
      <c r="G2118" s="308"/>
      <c r="H2118" s="233"/>
      <c r="I2118" s="301"/>
    </row>
    <row r="2119" spans="2:9" s="346" customFormat="1" ht="21" customHeight="1">
      <c r="B2119" s="305"/>
      <c r="C2119" s="305"/>
      <c r="D2119" s="234"/>
      <c r="E2119" s="307"/>
      <c r="F2119" s="307"/>
      <c r="G2119" s="308"/>
      <c r="H2119" s="233"/>
      <c r="I2119" s="301"/>
    </row>
    <row r="2120" spans="2:9" s="346" customFormat="1" ht="21" customHeight="1">
      <c r="B2120" s="305"/>
      <c r="C2120" s="305"/>
      <c r="D2120" s="234"/>
      <c r="E2120" s="307"/>
      <c r="F2120" s="307"/>
      <c r="G2120" s="308"/>
      <c r="H2120" s="233"/>
      <c r="I2120" s="301"/>
    </row>
    <row r="2121" spans="2:9" s="346" customFormat="1" ht="21" customHeight="1">
      <c r="B2121" s="305"/>
      <c r="C2121" s="305"/>
      <c r="D2121" s="234"/>
      <c r="E2121" s="307"/>
      <c r="F2121" s="307"/>
      <c r="G2121" s="308"/>
      <c r="H2121" s="233"/>
      <c r="I2121" s="301"/>
    </row>
    <row r="2122" spans="2:9" s="346" customFormat="1" ht="21" customHeight="1">
      <c r="B2122" s="305"/>
      <c r="C2122" s="305"/>
      <c r="D2122" s="234"/>
      <c r="E2122" s="307"/>
      <c r="F2122" s="307"/>
      <c r="G2122" s="308"/>
      <c r="H2122" s="233"/>
      <c r="I2122" s="301"/>
    </row>
    <row r="2123" spans="2:9" s="346" customFormat="1" ht="21" customHeight="1">
      <c r="B2123" s="305"/>
      <c r="C2123" s="305"/>
      <c r="D2123" s="234"/>
      <c r="E2123" s="307"/>
      <c r="F2123" s="307"/>
      <c r="G2123" s="308"/>
      <c r="H2123" s="233"/>
      <c r="I2123" s="301"/>
    </row>
    <row r="2124" spans="2:9" s="346" customFormat="1" ht="21" customHeight="1">
      <c r="B2124" s="305"/>
      <c r="C2124" s="305"/>
      <c r="D2124" s="234"/>
      <c r="E2124" s="307"/>
      <c r="F2124" s="307"/>
      <c r="G2124" s="308"/>
      <c r="H2124" s="233"/>
      <c r="I2124" s="301"/>
    </row>
    <row r="2125" spans="2:9" s="346" customFormat="1" ht="21" customHeight="1">
      <c r="B2125" s="305"/>
      <c r="C2125" s="305"/>
      <c r="D2125" s="234"/>
      <c r="E2125" s="307"/>
      <c r="F2125" s="307"/>
      <c r="G2125" s="308"/>
      <c r="H2125" s="233"/>
      <c r="I2125" s="301"/>
    </row>
    <row r="2126" spans="2:9" s="346" customFormat="1" ht="21" customHeight="1">
      <c r="B2126" s="305"/>
      <c r="C2126" s="305"/>
      <c r="D2126" s="234"/>
      <c r="E2126" s="307"/>
      <c r="F2126" s="307"/>
      <c r="G2126" s="308"/>
      <c r="H2126" s="233"/>
      <c r="I2126" s="301"/>
    </row>
    <row r="2127" spans="2:9" s="346" customFormat="1" ht="21" customHeight="1">
      <c r="B2127" s="312" t="s">
        <v>835</v>
      </c>
      <c r="C2127" s="305"/>
      <c r="D2127" s="234"/>
      <c r="E2127" s="307"/>
      <c r="F2127" s="307"/>
      <c r="G2127" s="232"/>
      <c r="H2127" s="233"/>
      <c r="I2127" s="301"/>
    </row>
    <row r="2128" spans="2:9" s="346" customFormat="1" ht="21" customHeight="1">
      <c r="B2128" s="305"/>
      <c r="C2128" s="305" t="s">
        <v>1166</v>
      </c>
      <c r="D2128" s="234" t="s">
        <v>869</v>
      </c>
      <c r="E2128" s="307">
        <v>0.46300000000000002</v>
      </c>
      <c r="F2128" s="307"/>
      <c r="G2128" s="232"/>
      <c r="H2128" s="233"/>
      <c r="I2128" s="301"/>
    </row>
    <row r="2129" spans="2:9" s="346" customFormat="1" ht="21" customHeight="1">
      <c r="B2129" s="305"/>
      <c r="C2129" s="305"/>
      <c r="D2129" s="234"/>
      <c r="E2129" s="306"/>
      <c r="F2129" s="306"/>
      <c r="G2129" s="232"/>
      <c r="H2129" s="232"/>
      <c r="I2129" s="301"/>
    </row>
    <row r="2130" spans="2:9" s="346" customFormat="1" ht="21" customHeight="1">
      <c r="B2130" s="305"/>
      <c r="C2130" s="305"/>
      <c r="D2130" s="234"/>
      <c r="E2130" s="306"/>
      <c r="F2130" s="306"/>
      <c r="G2130" s="308"/>
      <c r="H2130" s="233"/>
      <c r="I2130" s="301"/>
    </row>
    <row r="2131" spans="2:9" s="346" customFormat="1" ht="21" customHeight="1">
      <c r="B2131" s="305"/>
      <c r="C2131" s="305"/>
      <c r="D2131" s="234"/>
      <c r="E2131" s="306"/>
      <c r="F2131" s="306"/>
      <c r="G2131" s="308"/>
      <c r="H2131" s="233"/>
      <c r="I2131" s="301"/>
    </row>
    <row r="2132" spans="2:9" s="346" customFormat="1" ht="21" customHeight="1">
      <c r="B2132" s="305"/>
      <c r="C2132" s="305"/>
      <c r="D2132" s="234"/>
      <c r="E2132" s="306"/>
      <c r="F2132" s="306"/>
      <c r="G2132" s="308"/>
      <c r="H2132" s="233"/>
      <c r="I2132" s="301"/>
    </row>
    <row r="2133" spans="2:9" s="346" customFormat="1" ht="21" customHeight="1">
      <c r="B2133" s="312" t="s">
        <v>837</v>
      </c>
      <c r="C2133" s="305"/>
      <c r="D2133" s="234"/>
      <c r="E2133" s="307"/>
      <c r="F2133" s="307"/>
      <c r="G2133" s="232"/>
      <c r="H2133" s="233"/>
      <c r="I2133" s="301"/>
    </row>
    <row r="2134" spans="2:9" s="346" customFormat="1" ht="21" customHeight="1">
      <c r="B2134" s="305"/>
      <c r="C2134" s="305" t="s">
        <v>1166</v>
      </c>
      <c r="D2134" s="234" t="s">
        <v>869</v>
      </c>
      <c r="E2134" s="307">
        <v>1.4E-2</v>
      </c>
      <c r="F2134" s="307"/>
      <c r="G2134" s="232"/>
      <c r="H2134" s="233"/>
      <c r="I2134" s="301"/>
    </row>
    <row r="2135" spans="2:9" s="346" customFormat="1" ht="21" customHeight="1">
      <c r="B2135" s="305"/>
      <c r="C2135" s="305"/>
      <c r="D2135" s="234"/>
      <c r="E2135" s="306"/>
      <c r="F2135" s="306"/>
      <c r="G2135" s="232"/>
      <c r="H2135" s="232"/>
      <c r="I2135" s="301"/>
    </row>
    <row r="2136" spans="2:9" s="346" customFormat="1" ht="21" customHeight="1">
      <c r="B2136" s="305"/>
      <c r="C2136" s="305"/>
      <c r="D2136" s="234"/>
      <c r="E2136" s="306"/>
      <c r="F2136" s="306"/>
      <c r="G2136" s="308"/>
      <c r="H2136" s="233"/>
      <c r="I2136" s="301"/>
    </row>
    <row r="2137" spans="2:9" s="346" customFormat="1" ht="21" customHeight="1">
      <c r="B2137" s="305"/>
      <c r="C2137" s="305"/>
      <c r="D2137" s="234"/>
      <c r="E2137" s="306"/>
      <c r="F2137" s="306"/>
      <c r="G2137" s="308"/>
      <c r="H2137" s="233"/>
      <c r="I2137" s="301"/>
    </row>
    <row r="2138" spans="2:9" s="346" customFormat="1" ht="21" customHeight="1">
      <c r="B2138" s="305"/>
      <c r="C2138" s="305"/>
      <c r="D2138" s="234"/>
      <c r="E2138" s="306"/>
      <c r="F2138" s="306"/>
      <c r="G2138" s="308"/>
      <c r="H2138" s="233"/>
      <c r="I2138" s="301"/>
    </row>
    <row r="2139" spans="2:9" s="346" customFormat="1" ht="21" customHeight="1">
      <c r="B2139" s="300" t="str">
        <f>'5. 공종별예산조서'!$A$145</f>
        <v>5-2. 접지선 철거</v>
      </c>
      <c r="C2139" s="300" t="str">
        <f>'5. 공종별예산조서'!$B$145</f>
        <v>0.6/1kV, F-GV 10SQ</v>
      </c>
      <c r="D2139" s="301" t="str">
        <f>'5. 공종별예산조서'!$C$145</f>
        <v>M</v>
      </c>
      <c r="E2139" s="309">
        <f>'5. 공종별예산조서'!$D$145</f>
        <v>37</v>
      </c>
      <c r="F2139" s="302"/>
      <c r="G2139" s="303"/>
      <c r="H2139" s="304"/>
      <c r="I2139" s="301"/>
    </row>
    <row r="2140" spans="2:9" s="346" customFormat="1" ht="21" customHeight="1">
      <c r="B2140" s="312" t="s">
        <v>834</v>
      </c>
      <c r="C2140" s="305"/>
      <c r="D2140" s="234"/>
      <c r="E2140" s="310"/>
      <c r="F2140" s="306"/>
      <c r="G2140" s="232"/>
      <c r="H2140" s="233"/>
      <c r="I2140" s="301"/>
    </row>
    <row r="2141" spans="2:9" s="346" customFormat="1" ht="21" customHeight="1">
      <c r="B2141" s="305" t="s">
        <v>1075</v>
      </c>
      <c r="C2141" s="305" t="str">
        <f>C2139</f>
        <v>0.6/1kV, F-GV 10SQ</v>
      </c>
      <c r="D2141" s="234" t="str">
        <f>D2139</f>
        <v>M</v>
      </c>
      <c r="E2141" s="311">
        <f>E2139</f>
        <v>37</v>
      </c>
      <c r="F2141" s="307"/>
      <c r="G2141" s="308"/>
      <c r="H2141" s="233"/>
      <c r="I2141" s="301"/>
    </row>
    <row r="2142" spans="2:9" s="346" customFormat="1" ht="21" customHeight="1">
      <c r="B2142" s="305"/>
      <c r="C2142" s="305"/>
      <c r="D2142" s="234"/>
      <c r="E2142" s="313"/>
      <c r="F2142" s="307"/>
      <c r="G2142" s="308"/>
      <c r="H2142" s="233"/>
      <c r="I2142" s="301"/>
    </row>
    <row r="2143" spans="2:9" s="346" customFormat="1" ht="21" customHeight="1">
      <c r="B2143" s="305"/>
      <c r="C2143" s="305"/>
      <c r="D2143" s="234"/>
      <c r="E2143" s="307"/>
      <c r="F2143" s="307"/>
      <c r="G2143" s="308"/>
      <c r="H2143" s="233"/>
      <c r="I2143" s="301"/>
    </row>
    <row r="2144" spans="2:9" s="346" customFormat="1" ht="21" customHeight="1">
      <c r="B2144" s="305"/>
      <c r="C2144" s="305"/>
      <c r="D2144" s="234"/>
      <c r="E2144" s="307"/>
      <c r="F2144" s="307"/>
      <c r="G2144" s="308"/>
      <c r="H2144" s="233"/>
      <c r="I2144" s="301"/>
    </row>
    <row r="2145" spans="2:9" s="346" customFormat="1" ht="21" customHeight="1">
      <c r="B2145" s="305"/>
      <c r="C2145" s="305"/>
      <c r="D2145" s="234"/>
      <c r="E2145" s="307"/>
      <c r="F2145" s="307"/>
      <c r="G2145" s="308"/>
      <c r="H2145" s="233"/>
      <c r="I2145" s="301"/>
    </row>
    <row r="2146" spans="2:9" s="346" customFormat="1" ht="21" customHeight="1">
      <c r="B2146" s="305"/>
      <c r="C2146" s="305"/>
      <c r="D2146" s="234"/>
      <c r="E2146" s="307"/>
      <c r="F2146" s="307"/>
      <c r="G2146" s="308"/>
      <c r="H2146" s="233"/>
      <c r="I2146" s="301"/>
    </row>
    <row r="2147" spans="2:9" s="346" customFormat="1" ht="21" customHeight="1">
      <c r="B2147" s="305"/>
      <c r="C2147" s="305"/>
      <c r="D2147" s="234"/>
      <c r="E2147" s="307"/>
      <c r="F2147" s="307"/>
      <c r="G2147" s="308"/>
      <c r="H2147" s="233"/>
      <c r="I2147" s="301"/>
    </row>
    <row r="2148" spans="2:9" s="346" customFormat="1" ht="21" customHeight="1">
      <c r="B2148" s="305"/>
      <c r="C2148" s="305"/>
      <c r="D2148" s="234"/>
      <c r="E2148" s="307"/>
      <c r="F2148" s="307"/>
      <c r="G2148" s="308"/>
      <c r="H2148" s="233"/>
      <c r="I2148" s="301"/>
    </row>
    <row r="2149" spans="2:9" s="346" customFormat="1" ht="21" customHeight="1">
      <c r="B2149" s="305"/>
      <c r="C2149" s="305"/>
      <c r="D2149" s="234"/>
      <c r="E2149" s="307"/>
      <c r="F2149" s="307"/>
      <c r="G2149" s="308"/>
      <c r="H2149" s="233"/>
      <c r="I2149" s="301"/>
    </row>
    <row r="2150" spans="2:9" s="346" customFormat="1" ht="21" customHeight="1">
      <c r="B2150" s="305"/>
      <c r="C2150" s="305"/>
      <c r="D2150" s="234"/>
      <c r="E2150" s="307"/>
      <c r="F2150" s="307"/>
      <c r="G2150" s="308"/>
      <c r="H2150" s="233"/>
      <c r="I2150" s="301"/>
    </row>
    <row r="2151" spans="2:9" s="346" customFormat="1" ht="21" customHeight="1">
      <c r="B2151" s="312" t="s">
        <v>835</v>
      </c>
      <c r="C2151" s="305"/>
      <c r="D2151" s="234"/>
      <c r="E2151" s="307"/>
      <c r="F2151" s="307"/>
      <c r="G2151" s="232"/>
      <c r="H2151" s="233"/>
      <c r="I2151" s="301"/>
    </row>
    <row r="2152" spans="2:9" s="346" customFormat="1" ht="21" customHeight="1">
      <c r="B2152" s="305"/>
      <c r="C2152" s="305" t="s">
        <v>64</v>
      </c>
      <c r="D2152" s="234" t="s">
        <v>869</v>
      </c>
      <c r="E2152" s="307">
        <v>0.111</v>
      </c>
      <c r="F2152" s="307"/>
      <c r="G2152" s="232"/>
      <c r="H2152" s="233"/>
      <c r="I2152" s="301"/>
    </row>
    <row r="2153" spans="2:9" s="346" customFormat="1" ht="21" customHeight="1">
      <c r="B2153" s="305"/>
      <c r="C2153" s="305"/>
      <c r="D2153" s="234"/>
      <c r="E2153" s="306"/>
      <c r="F2153" s="306"/>
      <c r="G2153" s="232"/>
      <c r="H2153" s="232"/>
      <c r="I2153" s="301"/>
    </row>
    <row r="2154" spans="2:9" s="346" customFormat="1" ht="21" customHeight="1">
      <c r="B2154" s="305"/>
      <c r="C2154" s="305"/>
      <c r="D2154" s="234"/>
      <c r="E2154" s="306"/>
      <c r="F2154" s="306"/>
      <c r="G2154" s="308"/>
      <c r="H2154" s="233"/>
      <c r="I2154" s="301"/>
    </row>
    <row r="2155" spans="2:9" s="346" customFormat="1" ht="21" customHeight="1">
      <c r="B2155" s="305"/>
      <c r="C2155" s="305"/>
      <c r="D2155" s="234"/>
      <c r="E2155" s="306"/>
      <c r="F2155" s="306"/>
      <c r="G2155" s="308"/>
      <c r="H2155" s="233"/>
      <c r="I2155" s="301"/>
    </row>
    <row r="2156" spans="2:9" s="346" customFormat="1" ht="21" customHeight="1">
      <c r="B2156" s="305"/>
      <c r="C2156" s="305"/>
      <c r="D2156" s="234"/>
      <c r="E2156" s="306"/>
      <c r="F2156" s="306"/>
      <c r="G2156" s="308"/>
      <c r="H2156" s="233"/>
      <c r="I2156" s="301"/>
    </row>
    <row r="2157" spans="2:9" s="346" customFormat="1" ht="21" customHeight="1">
      <c r="B2157" s="312" t="s">
        <v>837</v>
      </c>
      <c r="C2157" s="305"/>
      <c r="D2157" s="234"/>
      <c r="E2157" s="307"/>
      <c r="F2157" s="307"/>
      <c r="G2157" s="232"/>
      <c r="H2157" s="233"/>
      <c r="I2157" s="301"/>
    </row>
    <row r="2158" spans="2:9" s="346" customFormat="1" ht="21" customHeight="1">
      <c r="B2158" s="305"/>
      <c r="C2158" s="305" t="s">
        <v>64</v>
      </c>
      <c r="D2158" s="234" t="s">
        <v>869</v>
      </c>
      <c r="E2158" s="307">
        <v>3.0000000000000001E-3</v>
      </c>
      <c r="F2158" s="307"/>
      <c r="G2158" s="232"/>
      <c r="H2158" s="233"/>
      <c r="I2158" s="301"/>
    </row>
    <row r="2159" spans="2:9" s="346" customFormat="1" ht="21" customHeight="1">
      <c r="B2159" s="305"/>
      <c r="C2159" s="305"/>
      <c r="D2159" s="234"/>
      <c r="E2159" s="306"/>
      <c r="F2159" s="306"/>
      <c r="G2159" s="232"/>
      <c r="H2159" s="232"/>
      <c r="I2159" s="301"/>
    </row>
    <row r="2160" spans="2:9" s="346" customFormat="1" ht="21" customHeight="1">
      <c r="B2160" s="305"/>
      <c r="C2160" s="305"/>
      <c r="D2160" s="234"/>
      <c r="E2160" s="306"/>
      <c r="F2160" s="306"/>
      <c r="G2160" s="308"/>
      <c r="H2160" s="233"/>
      <c r="I2160" s="301"/>
    </row>
    <row r="2161" spans="2:9" s="346" customFormat="1" ht="21" customHeight="1">
      <c r="B2161" s="305"/>
      <c r="C2161" s="305"/>
      <c r="D2161" s="234"/>
      <c r="E2161" s="306"/>
      <c r="F2161" s="306"/>
      <c r="G2161" s="308"/>
      <c r="H2161" s="233"/>
      <c r="I2161" s="301"/>
    </row>
    <row r="2162" spans="2:9" s="346" customFormat="1" ht="21" customHeight="1">
      <c r="B2162" s="305"/>
      <c r="C2162" s="305"/>
      <c r="D2162" s="234"/>
      <c r="E2162" s="306"/>
      <c r="F2162" s="306"/>
      <c r="G2162" s="308"/>
      <c r="H2162" s="233"/>
      <c r="I2162" s="301"/>
    </row>
    <row r="2163" spans="2:9" s="346" customFormat="1" ht="21" customHeight="1">
      <c r="B2163" s="300" t="str">
        <f>'5. 공종별예산조서'!$A$146</f>
        <v>5-3. 세대분전반 철거</v>
      </c>
      <c r="C2163" s="300" t="str">
        <f>'5. 공종별예산조서'!$B$146</f>
        <v>세대분전반 8회로용</v>
      </c>
      <c r="D2163" s="301" t="str">
        <f>'5. 공종별예산조서'!$C$146</f>
        <v>개</v>
      </c>
      <c r="E2163" s="309">
        <f>'5. 공종별예산조서'!$D$146</f>
        <v>1</v>
      </c>
      <c r="F2163" s="302"/>
      <c r="G2163" s="303"/>
      <c r="H2163" s="304"/>
      <c r="I2163" s="301"/>
    </row>
    <row r="2164" spans="2:9" s="346" customFormat="1" ht="21" customHeight="1">
      <c r="B2164" s="312" t="s">
        <v>834</v>
      </c>
      <c r="C2164" s="305"/>
      <c r="D2164" s="234"/>
      <c r="E2164" s="310"/>
      <c r="F2164" s="306"/>
      <c r="G2164" s="232"/>
      <c r="H2164" s="233"/>
      <c r="I2164" s="301"/>
    </row>
    <row r="2165" spans="2:9" s="346" customFormat="1" ht="21" customHeight="1">
      <c r="B2165" s="305" t="s">
        <v>1151</v>
      </c>
      <c r="C2165" s="305" t="str">
        <f>C2163</f>
        <v>세대분전반 8회로용</v>
      </c>
      <c r="D2165" s="234" t="str">
        <f>D2163</f>
        <v>개</v>
      </c>
      <c r="E2165" s="311">
        <f>E2163</f>
        <v>1</v>
      </c>
      <c r="F2165" s="307"/>
      <c r="G2165" s="308"/>
      <c r="H2165" s="233"/>
      <c r="I2165" s="301"/>
    </row>
    <row r="2166" spans="2:9" s="346" customFormat="1" ht="21" customHeight="1">
      <c r="B2166" s="305"/>
      <c r="C2166" s="305"/>
      <c r="D2166" s="234"/>
      <c r="E2166" s="313"/>
      <c r="F2166" s="307"/>
      <c r="G2166" s="308"/>
      <c r="H2166" s="233"/>
      <c r="I2166" s="301"/>
    </row>
    <row r="2167" spans="2:9" s="346" customFormat="1" ht="21" customHeight="1">
      <c r="B2167" s="305"/>
      <c r="C2167" s="305"/>
      <c r="D2167" s="234"/>
      <c r="E2167" s="307"/>
      <c r="F2167" s="307"/>
      <c r="G2167" s="308"/>
      <c r="H2167" s="233"/>
      <c r="I2167" s="301"/>
    </row>
    <row r="2168" spans="2:9" s="346" customFormat="1" ht="21" customHeight="1">
      <c r="B2168" s="305"/>
      <c r="C2168" s="305"/>
      <c r="D2168" s="234"/>
      <c r="E2168" s="307"/>
      <c r="F2168" s="307"/>
      <c r="G2168" s="308"/>
      <c r="H2168" s="233"/>
      <c r="I2168" s="301"/>
    </row>
    <row r="2169" spans="2:9" s="346" customFormat="1" ht="21" customHeight="1">
      <c r="B2169" s="305"/>
      <c r="C2169" s="305"/>
      <c r="D2169" s="234"/>
      <c r="E2169" s="307"/>
      <c r="F2169" s="307"/>
      <c r="G2169" s="308"/>
      <c r="H2169" s="233"/>
      <c r="I2169" s="301"/>
    </row>
    <row r="2170" spans="2:9" s="346" customFormat="1" ht="21" customHeight="1">
      <c r="B2170" s="305"/>
      <c r="C2170" s="305"/>
      <c r="D2170" s="234"/>
      <c r="E2170" s="307"/>
      <c r="F2170" s="307"/>
      <c r="G2170" s="308"/>
      <c r="H2170" s="233"/>
      <c r="I2170" s="301"/>
    </row>
    <row r="2171" spans="2:9" s="346" customFormat="1" ht="21" customHeight="1">
      <c r="B2171" s="305"/>
      <c r="C2171" s="305"/>
      <c r="D2171" s="234"/>
      <c r="E2171" s="307"/>
      <c r="F2171" s="307"/>
      <c r="G2171" s="308"/>
      <c r="H2171" s="233"/>
      <c r="I2171" s="301"/>
    </row>
    <row r="2172" spans="2:9" s="346" customFormat="1" ht="21" customHeight="1">
      <c r="B2172" s="305"/>
      <c r="C2172" s="305"/>
      <c r="D2172" s="234"/>
      <c r="E2172" s="307"/>
      <c r="F2172" s="307"/>
      <c r="G2172" s="308"/>
      <c r="H2172" s="233"/>
      <c r="I2172" s="301"/>
    </row>
    <row r="2173" spans="2:9" s="346" customFormat="1" ht="21" customHeight="1">
      <c r="B2173" s="305"/>
      <c r="C2173" s="305"/>
      <c r="D2173" s="234"/>
      <c r="E2173" s="307"/>
      <c r="F2173" s="307"/>
      <c r="G2173" s="308"/>
      <c r="H2173" s="233"/>
      <c r="I2173" s="301"/>
    </row>
    <row r="2174" spans="2:9" s="346" customFormat="1" ht="21" customHeight="1">
      <c r="B2174" s="305"/>
      <c r="C2174" s="305"/>
      <c r="D2174" s="234"/>
      <c r="E2174" s="307"/>
      <c r="F2174" s="307"/>
      <c r="G2174" s="308"/>
      <c r="H2174" s="233"/>
      <c r="I2174" s="301"/>
    </row>
    <row r="2175" spans="2:9" s="346" customFormat="1" ht="21" customHeight="1">
      <c r="B2175" s="312" t="s">
        <v>835</v>
      </c>
      <c r="C2175" s="305"/>
      <c r="D2175" s="234"/>
      <c r="E2175" s="307"/>
      <c r="F2175" s="307"/>
      <c r="G2175" s="232"/>
      <c r="H2175" s="233"/>
      <c r="I2175" s="301"/>
    </row>
    <row r="2176" spans="2:9" s="346" customFormat="1" ht="21" customHeight="1">
      <c r="B2176" s="305"/>
      <c r="C2176" s="305" t="s">
        <v>64</v>
      </c>
      <c r="D2176" s="234" t="s">
        <v>869</v>
      </c>
      <c r="E2176" s="307">
        <v>0.44500000000000001</v>
      </c>
      <c r="F2176" s="307"/>
      <c r="G2176" s="232"/>
      <c r="H2176" s="233"/>
      <c r="I2176" s="301"/>
    </row>
    <row r="2177" spans="2:9" s="346" customFormat="1" ht="21" customHeight="1">
      <c r="B2177" s="305"/>
      <c r="C2177" s="305"/>
      <c r="D2177" s="234"/>
      <c r="E2177" s="306"/>
      <c r="F2177" s="306"/>
      <c r="G2177" s="232"/>
      <c r="H2177" s="232"/>
      <c r="I2177" s="301"/>
    </row>
    <row r="2178" spans="2:9" s="346" customFormat="1" ht="21" customHeight="1">
      <c r="B2178" s="305"/>
      <c r="C2178" s="305"/>
      <c r="D2178" s="234"/>
      <c r="E2178" s="306"/>
      <c r="F2178" s="306"/>
      <c r="G2178" s="308"/>
      <c r="H2178" s="233"/>
      <c r="I2178" s="301"/>
    </row>
    <row r="2179" spans="2:9" s="346" customFormat="1" ht="21" customHeight="1">
      <c r="B2179" s="305"/>
      <c r="C2179" s="305"/>
      <c r="D2179" s="234"/>
      <c r="E2179" s="306"/>
      <c r="F2179" s="306"/>
      <c r="G2179" s="308"/>
      <c r="H2179" s="233"/>
      <c r="I2179" s="301"/>
    </row>
    <row r="2180" spans="2:9" s="346" customFormat="1" ht="21" customHeight="1">
      <c r="B2180" s="305"/>
      <c r="C2180" s="305"/>
      <c r="D2180" s="234"/>
      <c r="E2180" s="306"/>
      <c r="F2180" s="306"/>
      <c r="G2180" s="308"/>
      <c r="H2180" s="233"/>
      <c r="I2180" s="301"/>
    </row>
    <row r="2181" spans="2:9" s="346" customFormat="1" ht="21" customHeight="1">
      <c r="B2181" s="312" t="s">
        <v>837</v>
      </c>
      <c r="C2181" s="305"/>
      <c r="D2181" s="234"/>
      <c r="E2181" s="307"/>
      <c r="F2181" s="307"/>
      <c r="G2181" s="232"/>
      <c r="H2181" s="233"/>
      <c r="I2181" s="301"/>
    </row>
    <row r="2182" spans="2:9" s="346" customFormat="1" ht="21" customHeight="1">
      <c r="B2182" s="305"/>
      <c r="C2182" s="305" t="s">
        <v>64</v>
      </c>
      <c r="D2182" s="234" t="s">
        <v>869</v>
      </c>
      <c r="E2182" s="307">
        <v>1.2999999999999999E-2</v>
      </c>
      <c r="F2182" s="307"/>
      <c r="G2182" s="232"/>
      <c r="H2182" s="233"/>
      <c r="I2182" s="301"/>
    </row>
    <row r="2183" spans="2:9" s="346" customFormat="1" ht="21" customHeight="1">
      <c r="B2183" s="305"/>
      <c r="C2183" s="305"/>
      <c r="D2183" s="234"/>
      <c r="E2183" s="306"/>
      <c r="F2183" s="306"/>
      <c r="G2183" s="232"/>
      <c r="H2183" s="232"/>
      <c r="I2183" s="301"/>
    </row>
    <row r="2184" spans="2:9" s="346" customFormat="1" ht="21" customHeight="1">
      <c r="B2184" s="305"/>
      <c r="C2184" s="305"/>
      <c r="D2184" s="234"/>
      <c r="E2184" s="306"/>
      <c r="F2184" s="306"/>
      <c r="G2184" s="308"/>
      <c r="H2184" s="233"/>
      <c r="I2184" s="301"/>
    </row>
    <row r="2185" spans="2:9" s="346" customFormat="1" ht="21" customHeight="1">
      <c r="B2185" s="305"/>
      <c r="C2185" s="305"/>
      <c r="D2185" s="234"/>
      <c r="E2185" s="306"/>
      <c r="F2185" s="306"/>
      <c r="G2185" s="308"/>
      <c r="H2185" s="233"/>
      <c r="I2185" s="301"/>
    </row>
    <row r="2186" spans="2:9" s="346" customFormat="1" ht="21" customHeight="1">
      <c r="B2186" s="305"/>
      <c r="C2186" s="305"/>
      <c r="D2186" s="234"/>
      <c r="E2186" s="306"/>
      <c r="F2186" s="306"/>
      <c r="G2186" s="308"/>
      <c r="H2186" s="233"/>
      <c r="I2186" s="301"/>
    </row>
    <row r="2187" spans="2:9" s="346" customFormat="1" ht="21" customHeight="1">
      <c r="B2187" s="300" t="str">
        <f>'5. 공종별예산조서'!$A$147</f>
        <v>5-4 케이블 신설</v>
      </c>
      <c r="C2187" s="300" t="str">
        <f>'5. 공종별예산조서'!$B$147</f>
        <v>0.6/1kV, F-CV 10SQ/2C</v>
      </c>
      <c r="D2187" s="301" t="str">
        <f>'5. 공종별예산조서'!$C$147</f>
        <v>M</v>
      </c>
      <c r="E2187" s="309">
        <f>'5. 공종별예산조서'!$D$147</f>
        <v>37</v>
      </c>
      <c r="F2187" s="302"/>
      <c r="G2187" s="303"/>
      <c r="H2187" s="304"/>
      <c r="I2187" s="301"/>
    </row>
    <row r="2188" spans="2:9" s="346" customFormat="1" ht="21" customHeight="1">
      <c r="B2188" s="312" t="s">
        <v>834</v>
      </c>
      <c r="C2188" s="305"/>
      <c r="D2188" s="234"/>
      <c r="E2188" s="310"/>
      <c r="F2188" s="306"/>
      <c r="G2188" s="232"/>
      <c r="H2188" s="233"/>
      <c r="I2188" s="301"/>
    </row>
    <row r="2189" spans="2:9" s="346" customFormat="1" ht="21" customHeight="1">
      <c r="B2189" s="305" t="s">
        <v>1088</v>
      </c>
      <c r="C2189" s="305" t="str">
        <f>C2187</f>
        <v>0.6/1kV, F-CV 10SQ/2C</v>
      </c>
      <c r="D2189" s="234" t="str">
        <f>D2187</f>
        <v>M</v>
      </c>
      <c r="E2189" s="311">
        <f>E2187</f>
        <v>37</v>
      </c>
      <c r="F2189" s="307"/>
      <c r="G2189" s="308"/>
      <c r="H2189" s="233"/>
      <c r="I2189" s="301"/>
    </row>
    <row r="2190" spans="2:9" s="346" customFormat="1" ht="21" customHeight="1">
      <c r="B2190" s="305"/>
      <c r="C2190" s="305"/>
      <c r="D2190" s="234"/>
      <c r="E2190" s="313"/>
      <c r="F2190" s="307"/>
      <c r="G2190" s="308"/>
      <c r="H2190" s="233"/>
      <c r="I2190" s="301"/>
    </row>
    <row r="2191" spans="2:9" s="346" customFormat="1" ht="21" customHeight="1">
      <c r="B2191" s="305"/>
      <c r="C2191" s="305"/>
      <c r="D2191" s="234"/>
      <c r="E2191" s="307"/>
      <c r="F2191" s="307"/>
      <c r="G2191" s="308"/>
      <c r="H2191" s="233"/>
      <c r="I2191" s="301"/>
    </row>
    <row r="2192" spans="2:9" s="346" customFormat="1" ht="21" customHeight="1">
      <c r="B2192" s="305"/>
      <c r="C2192" s="305"/>
      <c r="D2192" s="234"/>
      <c r="E2192" s="307"/>
      <c r="F2192" s="307"/>
      <c r="G2192" s="308"/>
      <c r="H2192" s="233"/>
      <c r="I2192" s="301"/>
    </row>
    <row r="2193" spans="2:9" s="346" customFormat="1" ht="21" customHeight="1">
      <c r="B2193" s="305"/>
      <c r="C2193" s="305"/>
      <c r="D2193" s="234"/>
      <c r="E2193" s="307"/>
      <c r="F2193" s="307"/>
      <c r="G2193" s="308"/>
      <c r="H2193" s="233"/>
      <c r="I2193" s="301"/>
    </row>
    <row r="2194" spans="2:9" s="346" customFormat="1" ht="21" customHeight="1">
      <c r="B2194" s="305"/>
      <c r="C2194" s="305"/>
      <c r="D2194" s="234"/>
      <c r="E2194" s="307"/>
      <c r="F2194" s="307"/>
      <c r="G2194" s="308"/>
      <c r="H2194" s="233"/>
      <c r="I2194" s="301"/>
    </row>
    <row r="2195" spans="2:9" s="346" customFormat="1" ht="21" customHeight="1">
      <c r="B2195" s="305"/>
      <c r="C2195" s="305"/>
      <c r="D2195" s="234"/>
      <c r="E2195" s="307"/>
      <c r="F2195" s="307"/>
      <c r="G2195" s="308"/>
      <c r="H2195" s="233"/>
      <c r="I2195" s="301"/>
    </row>
    <row r="2196" spans="2:9" s="346" customFormat="1" ht="21" customHeight="1">
      <c r="B2196" s="305"/>
      <c r="C2196" s="305"/>
      <c r="D2196" s="234"/>
      <c r="E2196" s="307"/>
      <c r="F2196" s="307"/>
      <c r="G2196" s="308"/>
      <c r="H2196" s="233"/>
      <c r="I2196" s="301"/>
    </row>
    <row r="2197" spans="2:9" s="346" customFormat="1" ht="21" customHeight="1">
      <c r="B2197" s="305"/>
      <c r="C2197" s="305"/>
      <c r="D2197" s="234"/>
      <c r="E2197" s="307"/>
      <c r="F2197" s="307"/>
      <c r="G2197" s="308"/>
      <c r="H2197" s="233"/>
      <c r="I2197" s="301"/>
    </row>
    <row r="2198" spans="2:9" s="346" customFormat="1" ht="21" customHeight="1">
      <c r="B2198" s="305"/>
      <c r="C2198" s="305"/>
      <c r="D2198" s="234"/>
      <c r="E2198" s="307"/>
      <c r="F2198" s="307"/>
      <c r="G2198" s="308"/>
      <c r="H2198" s="233"/>
      <c r="I2198" s="301"/>
    </row>
    <row r="2199" spans="2:9" s="346" customFormat="1" ht="21" customHeight="1">
      <c r="B2199" s="312" t="s">
        <v>835</v>
      </c>
      <c r="C2199" s="305"/>
      <c r="D2199" s="234"/>
      <c r="E2199" s="307"/>
      <c r="F2199" s="307"/>
      <c r="G2199" s="232"/>
      <c r="H2199" s="233"/>
      <c r="I2199" s="301"/>
    </row>
    <row r="2200" spans="2:9" s="346" customFormat="1" ht="21" customHeight="1">
      <c r="B2200" s="305"/>
      <c r="C2200" s="305" t="s">
        <v>1166</v>
      </c>
      <c r="D2200" s="234" t="s">
        <v>869</v>
      </c>
      <c r="E2200" s="307">
        <v>0.92500000000000004</v>
      </c>
      <c r="F2200" s="307"/>
      <c r="G2200" s="232"/>
      <c r="H2200" s="233"/>
      <c r="I2200" s="301"/>
    </row>
    <row r="2201" spans="2:9" s="346" customFormat="1" ht="21" customHeight="1">
      <c r="B2201" s="305"/>
      <c r="C2201" s="305"/>
      <c r="D2201" s="234"/>
      <c r="E2201" s="306"/>
      <c r="F2201" s="306"/>
      <c r="G2201" s="232"/>
      <c r="H2201" s="232"/>
      <c r="I2201" s="301"/>
    </row>
    <row r="2202" spans="2:9" s="346" customFormat="1" ht="21" customHeight="1">
      <c r="B2202" s="305"/>
      <c r="C2202" s="305"/>
      <c r="D2202" s="234"/>
      <c r="E2202" s="306"/>
      <c r="F2202" s="306"/>
      <c r="G2202" s="308"/>
      <c r="H2202" s="233"/>
      <c r="I2202" s="301"/>
    </row>
    <row r="2203" spans="2:9" s="346" customFormat="1" ht="21" customHeight="1">
      <c r="B2203" s="305"/>
      <c r="C2203" s="305"/>
      <c r="D2203" s="234"/>
      <c r="E2203" s="306"/>
      <c r="F2203" s="306"/>
      <c r="G2203" s="308"/>
      <c r="H2203" s="233"/>
      <c r="I2203" s="301"/>
    </row>
    <row r="2204" spans="2:9" s="346" customFormat="1" ht="21" customHeight="1">
      <c r="B2204" s="305"/>
      <c r="C2204" s="305"/>
      <c r="D2204" s="234"/>
      <c r="E2204" s="306"/>
      <c r="F2204" s="306"/>
      <c r="G2204" s="308"/>
      <c r="H2204" s="233"/>
      <c r="I2204" s="301"/>
    </row>
    <row r="2205" spans="2:9" s="346" customFormat="1" ht="21" customHeight="1">
      <c r="B2205" s="312" t="s">
        <v>837</v>
      </c>
      <c r="C2205" s="305"/>
      <c r="D2205" s="234"/>
      <c r="E2205" s="307"/>
      <c r="F2205" s="307"/>
      <c r="G2205" s="232"/>
      <c r="H2205" s="233"/>
      <c r="I2205" s="301"/>
    </row>
    <row r="2206" spans="2:9" s="346" customFormat="1" ht="21" customHeight="1">
      <c r="B2206" s="305"/>
      <c r="C2206" s="305" t="s">
        <v>1166</v>
      </c>
      <c r="D2206" s="234" t="s">
        <v>869</v>
      </c>
      <c r="E2206" s="307">
        <v>2.8000000000000001E-2</v>
      </c>
      <c r="F2206" s="307"/>
      <c r="G2206" s="232"/>
      <c r="H2206" s="233"/>
      <c r="I2206" s="301"/>
    </row>
    <row r="2207" spans="2:9" s="346" customFormat="1" ht="21" customHeight="1">
      <c r="B2207" s="305"/>
      <c r="C2207" s="305"/>
      <c r="D2207" s="234"/>
      <c r="E2207" s="306"/>
      <c r="F2207" s="306"/>
      <c r="G2207" s="232"/>
      <c r="H2207" s="232"/>
      <c r="I2207" s="301"/>
    </row>
    <row r="2208" spans="2:9" s="346" customFormat="1" ht="21" customHeight="1">
      <c r="B2208" s="305"/>
      <c r="C2208" s="305"/>
      <c r="D2208" s="234"/>
      <c r="E2208" s="306"/>
      <c r="F2208" s="306"/>
      <c r="G2208" s="308"/>
      <c r="H2208" s="233"/>
      <c r="I2208" s="301"/>
    </row>
    <row r="2209" spans="2:9" s="346" customFormat="1" ht="21" customHeight="1">
      <c r="B2209" s="305"/>
      <c r="C2209" s="305"/>
      <c r="D2209" s="234"/>
      <c r="E2209" s="306"/>
      <c r="F2209" s="306"/>
      <c r="G2209" s="308"/>
      <c r="H2209" s="233"/>
      <c r="I2209" s="301"/>
    </row>
    <row r="2210" spans="2:9" s="346" customFormat="1" ht="21" customHeight="1">
      <c r="B2210" s="305"/>
      <c r="C2210" s="305"/>
      <c r="D2210" s="234"/>
      <c r="E2210" s="306"/>
      <c r="F2210" s="306"/>
      <c r="G2210" s="308"/>
      <c r="H2210" s="233"/>
      <c r="I2210" s="301"/>
    </row>
    <row r="2211" spans="2:9" s="346" customFormat="1" ht="21" customHeight="1">
      <c r="B2211" s="300" t="str">
        <f>'5. 공종별예산조서'!$A$148</f>
        <v>5-5. 접지선 신설</v>
      </c>
      <c r="C2211" s="300" t="str">
        <f>'5. 공종별예산조서'!$B$148</f>
        <v>0.6/1kV, F-GV 10SQ</v>
      </c>
      <c r="D2211" s="301" t="str">
        <f>'5. 공종별예산조서'!$C$148</f>
        <v>M</v>
      </c>
      <c r="E2211" s="309">
        <f>'5. 공종별예산조서'!$D$148</f>
        <v>37</v>
      </c>
      <c r="F2211" s="302"/>
      <c r="G2211" s="303"/>
      <c r="H2211" s="304"/>
      <c r="I2211" s="301"/>
    </row>
    <row r="2212" spans="2:9" s="346" customFormat="1" ht="21" customHeight="1">
      <c r="B2212" s="312" t="s">
        <v>834</v>
      </c>
      <c r="C2212" s="305"/>
      <c r="D2212" s="234"/>
      <c r="E2212" s="310"/>
      <c r="F2212" s="306"/>
      <c r="G2212" s="232"/>
      <c r="H2212" s="233"/>
      <c r="I2212" s="301"/>
    </row>
    <row r="2213" spans="2:9" s="346" customFormat="1" ht="21" customHeight="1">
      <c r="B2213" s="305" t="s">
        <v>1089</v>
      </c>
      <c r="C2213" s="305" t="str">
        <f>C2211</f>
        <v>0.6/1kV, F-GV 10SQ</v>
      </c>
      <c r="D2213" s="234" t="str">
        <f>D2211</f>
        <v>M</v>
      </c>
      <c r="E2213" s="311">
        <f>E2211</f>
        <v>37</v>
      </c>
      <c r="F2213" s="307"/>
      <c r="G2213" s="308"/>
      <c r="H2213" s="233"/>
      <c r="I2213" s="301"/>
    </row>
    <row r="2214" spans="2:9" s="346" customFormat="1" ht="21" customHeight="1">
      <c r="B2214" s="305"/>
      <c r="C2214" s="305"/>
      <c r="D2214" s="234"/>
      <c r="E2214" s="313"/>
      <c r="F2214" s="307"/>
      <c r="G2214" s="308"/>
      <c r="H2214" s="233"/>
      <c r="I2214" s="301"/>
    </row>
    <row r="2215" spans="2:9" s="346" customFormat="1" ht="21" customHeight="1">
      <c r="B2215" s="305"/>
      <c r="C2215" s="305"/>
      <c r="D2215" s="234"/>
      <c r="E2215" s="307"/>
      <c r="F2215" s="307"/>
      <c r="G2215" s="308"/>
      <c r="H2215" s="233"/>
      <c r="I2215" s="301"/>
    </row>
    <row r="2216" spans="2:9" s="346" customFormat="1" ht="21" customHeight="1">
      <c r="B2216" s="305"/>
      <c r="C2216" s="305"/>
      <c r="D2216" s="234"/>
      <c r="E2216" s="307"/>
      <c r="F2216" s="307"/>
      <c r="G2216" s="308"/>
      <c r="H2216" s="233"/>
      <c r="I2216" s="301"/>
    </row>
    <row r="2217" spans="2:9" s="346" customFormat="1" ht="21" customHeight="1">
      <c r="B2217" s="305"/>
      <c r="C2217" s="305"/>
      <c r="D2217" s="234"/>
      <c r="E2217" s="307"/>
      <c r="F2217" s="307"/>
      <c r="G2217" s="308"/>
      <c r="H2217" s="233"/>
      <c r="I2217" s="301"/>
    </row>
    <row r="2218" spans="2:9" s="346" customFormat="1" ht="21" customHeight="1">
      <c r="B2218" s="305"/>
      <c r="C2218" s="305"/>
      <c r="D2218" s="234"/>
      <c r="E2218" s="307"/>
      <c r="F2218" s="307"/>
      <c r="G2218" s="308"/>
      <c r="H2218" s="233"/>
      <c r="I2218" s="301"/>
    </row>
    <row r="2219" spans="2:9" s="346" customFormat="1" ht="21" customHeight="1">
      <c r="B2219" s="305"/>
      <c r="C2219" s="305"/>
      <c r="D2219" s="234"/>
      <c r="E2219" s="307"/>
      <c r="F2219" s="307"/>
      <c r="G2219" s="308"/>
      <c r="H2219" s="233"/>
      <c r="I2219" s="301"/>
    </row>
    <row r="2220" spans="2:9" s="346" customFormat="1" ht="21" customHeight="1">
      <c r="B2220" s="305"/>
      <c r="C2220" s="305"/>
      <c r="D2220" s="234"/>
      <c r="E2220" s="307"/>
      <c r="F2220" s="307"/>
      <c r="G2220" s="308"/>
      <c r="H2220" s="233"/>
      <c r="I2220" s="301"/>
    </row>
    <row r="2221" spans="2:9" s="346" customFormat="1" ht="21" customHeight="1">
      <c r="B2221" s="305"/>
      <c r="C2221" s="305"/>
      <c r="D2221" s="234"/>
      <c r="E2221" s="307"/>
      <c r="F2221" s="307"/>
      <c r="G2221" s="308"/>
      <c r="H2221" s="233"/>
      <c r="I2221" s="301"/>
    </row>
    <row r="2222" spans="2:9" s="346" customFormat="1" ht="21" customHeight="1">
      <c r="B2222" s="305"/>
      <c r="C2222" s="305"/>
      <c r="D2222" s="234"/>
      <c r="E2222" s="307"/>
      <c r="F2222" s="307"/>
      <c r="G2222" s="308"/>
      <c r="H2222" s="233"/>
      <c r="I2222" s="301"/>
    </row>
    <row r="2223" spans="2:9" s="346" customFormat="1" ht="21" customHeight="1">
      <c r="B2223" s="312" t="s">
        <v>835</v>
      </c>
      <c r="C2223" s="305"/>
      <c r="D2223" s="234"/>
      <c r="E2223" s="307"/>
      <c r="F2223" s="307"/>
      <c r="G2223" s="232"/>
      <c r="H2223" s="233"/>
      <c r="I2223" s="301"/>
    </row>
    <row r="2224" spans="2:9" s="346" customFormat="1" ht="21" customHeight="1">
      <c r="B2224" s="305"/>
      <c r="C2224" s="305" t="s">
        <v>64</v>
      </c>
      <c r="D2224" s="234" t="s">
        <v>869</v>
      </c>
      <c r="E2224" s="307">
        <v>0.222</v>
      </c>
      <c r="F2224" s="307"/>
      <c r="G2224" s="232"/>
      <c r="H2224" s="233"/>
      <c r="I2224" s="301"/>
    </row>
    <row r="2225" spans="2:9" s="346" customFormat="1" ht="21" customHeight="1">
      <c r="B2225" s="305"/>
      <c r="C2225" s="305"/>
      <c r="D2225" s="234"/>
      <c r="E2225" s="306"/>
      <c r="F2225" s="306"/>
      <c r="G2225" s="232"/>
      <c r="H2225" s="232"/>
      <c r="I2225" s="301"/>
    </row>
    <row r="2226" spans="2:9" s="346" customFormat="1" ht="21" customHeight="1">
      <c r="B2226" s="305"/>
      <c r="C2226" s="305"/>
      <c r="D2226" s="234"/>
      <c r="E2226" s="306"/>
      <c r="F2226" s="306"/>
      <c r="G2226" s="308"/>
      <c r="H2226" s="233"/>
      <c r="I2226" s="301"/>
    </row>
    <row r="2227" spans="2:9" s="346" customFormat="1" ht="21" customHeight="1">
      <c r="B2227" s="305"/>
      <c r="C2227" s="305"/>
      <c r="D2227" s="234"/>
      <c r="E2227" s="306"/>
      <c r="F2227" s="306"/>
      <c r="G2227" s="308"/>
      <c r="H2227" s="233"/>
      <c r="I2227" s="301"/>
    </row>
    <row r="2228" spans="2:9" s="346" customFormat="1" ht="21" customHeight="1">
      <c r="B2228" s="305"/>
      <c r="C2228" s="305"/>
      <c r="D2228" s="234"/>
      <c r="E2228" s="306"/>
      <c r="F2228" s="306"/>
      <c r="G2228" s="308"/>
      <c r="H2228" s="233"/>
      <c r="I2228" s="301"/>
    </row>
    <row r="2229" spans="2:9" s="346" customFormat="1" ht="21" customHeight="1">
      <c r="B2229" s="312" t="s">
        <v>837</v>
      </c>
      <c r="C2229" s="305"/>
      <c r="D2229" s="234"/>
      <c r="E2229" s="307"/>
      <c r="F2229" s="307"/>
      <c r="G2229" s="232"/>
      <c r="H2229" s="233"/>
      <c r="I2229" s="301"/>
    </row>
    <row r="2230" spans="2:9" s="346" customFormat="1" ht="21" customHeight="1">
      <c r="B2230" s="305"/>
      <c r="C2230" s="305" t="s">
        <v>64</v>
      </c>
      <c r="D2230" s="234" t="s">
        <v>869</v>
      </c>
      <c r="E2230" s="307">
        <v>7.0000000000000001E-3</v>
      </c>
      <c r="F2230" s="307"/>
      <c r="G2230" s="232"/>
      <c r="H2230" s="233"/>
      <c r="I2230" s="301"/>
    </row>
    <row r="2231" spans="2:9" s="346" customFormat="1" ht="21" customHeight="1">
      <c r="B2231" s="305"/>
      <c r="C2231" s="305"/>
      <c r="D2231" s="234"/>
      <c r="E2231" s="306"/>
      <c r="F2231" s="306"/>
      <c r="G2231" s="232"/>
      <c r="H2231" s="232"/>
      <c r="I2231" s="301"/>
    </row>
    <row r="2232" spans="2:9" s="346" customFormat="1" ht="21" customHeight="1">
      <c r="B2232" s="305"/>
      <c r="C2232" s="305"/>
      <c r="D2232" s="234"/>
      <c r="E2232" s="306"/>
      <c r="F2232" s="306"/>
      <c r="G2232" s="308"/>
      <c r="H2232" s="233"/>
      <c r="I2232" s="301"/>
    </row>
    <row r="2233" spans="2:9" s="346" customFormat="1" ht="21" customHeight="1">
      <c r="B2233" s="305"/>
      <c r="C2233" s="305"/>
      <c r="D2233" s="234"/>
      <c r="E2233" s="306"/>
      <c r="F2233" s="306"/>
      <c r="G2233" s="308"/>
      <c r="H2233" s="233"/>
      <c r="I2233" s="301"/>
    </row>
    <row r="2234" spans="2:9" s="346" customFormat="1" ht="21" customHeight="1">
      <c r="B2234" s="305"/>
      <c r="C2234" s="305"/>
      <c r="D2234" s="234"/>
      <c r="E2234" s="306"/>
      <c r="F2234" s="306"/>
      <c r="G2234" s="308"/>
      <c r="H2234" s="233"/>
      <c r="I2234" s="301"/>
    </row>
    <row r="2235" spans="2:9" s="346" customFormat="1" ht="21" customHeight="1">
      <c r="B2235" s="300" t="str">
        <f>'5. 공종별예산조서'!$A$149</f>
        <v>5-6. 세대분전반 신설</v>
      </c>
      <c r="C2235" s="300" t="str">
        <f>'5. 공종별예산조서'!$B$149</f>
        <v>세대분전반 8회로용</v>
      </c>
      <c r="D2235" s="301" t="str">
        <f>'5. 공종별예산조서'!$C$149</f>
        <v>개</v>
      </c>
      <c r="E2235" s="309">
        <f>'5. 공종별예산조서'!$D$149</f>
        <v>1</v>
      </c>
      <c r="F2235" s="302"/>
      <c r="G2235" s="303"/>
      <c r="H2235" s="304"/>
      <c r="I2235" s="301"/>
    </row>
    <row r="2236" spans="2:9" s="346" customFormat="1" ht="21" customHeight="1">
      <c r="B2236" s="312" t="s">
        <v>834</v>
      </c>
      <c r="C2236" s="305"/>
      <c r="D2236" s="234"/>
      <c r="E2236" s="310"/>
      <c r="F2236" s="306"/>
      <c r="G2236" s="232"/>
      <c r="H2236" s="233"/>
      <c r="I2236" s="301"/>
    </row>
    <row r="2237" spans="2:9" s="346" customFormat="1" ht="21" customHeight="1">
      <c r="B2237" s="305" t="s">
        <v>1152</v>
      </c>
      <c r="C2237" s="305" t="str">
        <f>C2235</f>
        <v>세대분전반 8회로용</v>
      </c>
      <c r="D2237" s="234" t="str">
        <f>D2235</f>
        <v>개</v>
      </c>
      <c r="E2237" s="311">
        <f>E2235</f>
        <v>1</v>
      </c>
      <c r="F2237" s="307"/>
      <c r="G2237" s="308"/>
      <c r="H2237" s="233"/>
      <c r="I2237" s="301"/>
    </row>
    <row r="2238" spans="2:9" s="346" customFormat="1" ht="21" customHeight="1">
      <c r="B2238" s="305"/>
      <c r="C2238" s="305"/>
      <c r="D2238" s="234"/>
      <c r="E2238" s="313"/>
      <c r="F2238" s="307"/>
      <c r="G2238" s="308"/>
      <c r="H2238" s="233"/>
      <c r="I2238" s="301"/>
    </row>
    <row r="2239" spans="2:9" s="346" customFormat="1" ht="21" customHeight="1">
      <c r="B2239" s="305"/>
      <c r="C2239" s="305"/>
      <c r="D2239" s="234"/>
      <c r="E2239" s="307"/>
      <c r="F2239" s="307"/>
      <c r="G2239" s="308"/>
      <c r="H2239" s="233"/>
      <c r="I2239" s="301"/>
    </row>
    <row r="2240" spans="2:9" s="346" customFormat="1" ht="21" customHeight="1">
      <c r="B2240" s="305"/>
      <c r="C2240" s="305"/>
      <c r="D2240" s="234"/>
      <c r="E2240" s="307"/>
      <c r="F2240" s="307"/>
      <c r="G2240" s="308"/>
      <c r="H2240" s="233"/>
      <c r="I2240" s="301"/>
    </row>
    <row r="2241" spans="2:9" s="346" customFormat="1" ht="21" customHeight="1">
      <c r="B2241" s="305"/>
      <c r="C2241" s="305"/>
      <c r="D2241" s="234"/>
      <c r="E2241" s="307"/>
      <c r="F2241" s="307"/>
      <c r="G2241" s="308"/>
      <c r="H2241" s="233"/>
      <c r="I2241" s="301"/>
    </row>
    <row r="2242" spans="2:9" s="346" customFormat="1" ht="21" customHeight="1">
      <c r="B2242" s="305"/>
      <c r="C2242" s="305"/>
      <c r="D2242" s="234"/>
      <c r="E2242" s="307"/>
      <c r="F2242" s="307"/>
      <c r="G2242" s="308"/>
      <c r="H2242" s="233"/>
      <c r="I2242" s="301"/>
    </row>
    <row r="2243" spans="2:9" s="346" customFormat="1" ht="21" customHeight="1">
      <c r="B2243" s="305"/>
      <c r="C2243" s="305"/>
      <c r="D2243" s="234"/>
      <c r="E2243" s="307"/>
      <c r="F2243" s="307"/>
      <c r="G2243" s="308"/>
      <c r="H2243" s="233"/>
      <c r="I2243" s="301"/>
    </row>
    <row r="2244" spans="2:9" s="346" customFormat="1" ht="21" customHeight="1">
      <c r="B2244" s="305"/>
      <c r="C2244" s="305"/>
      <c r="D2244" s="234"/>
      <c r="E2244" s="307"/>
      <c r="F2244" s="307"/>
      <c r="G2244" s="308"/>
      <c r="H2244" s="233"/>
      <c r="I2244" s="301"/>
    </row>
    <row r="2245" spans="2:9" s="346" customFormat="1" ht="21" customHeight="1">
      <c r="B2245" s="305"/>
      <c r="C2245" s="305"/>
      <c r="D2245" s="234"/>
      <c r="E2245" s="307"/>
      <c r="F2245" s="307"/>
      <c r="G2245" s="308"/>
      <c r="H2245" s="233"/>
      <c r="I2245" s="301"/>
    </row>
    <row r="2246" spans="2:9" s="346" customFormat="1" ht="21" customHeight="1">
      <c r="B2246" s="305"/>
      <c r="C2246" s="305"/>
      <c r="D2246" s="234"/>
      <c r="E2246" s="307"/>
      <c r="F2246" s="307"/>
      <c r="G2246" s="308"/>
      <c r="H2246" s="233"/>
      <c r="I2246" s="301"/>
    </row>
    <row r="2247" spans="2:9" s="346" customFormat="1" ht="21" customHeight="1">
      <c r="B2247" s="312" t="s">
        <v>835</v>
      </c>
      <c r="C2247" s="305"/>
      <c r="D2247" s="234"/>
      <c r="E2247" s="307"/>
      <c r="F2247" s="307"/>
      <c r="G2247" s="232"/>
      <c r="H2247" s="233"/>
      <c r="I2247" s="301"/>
    </row>
    <row r="2248" spans="2:9" s="346" customFormat="1" ht="21" customHeight="1">
      <c r="B2248" s="305"/>
      <c r="C2248" s="305" t="s">
        <v>64</v>
      </c>
      <c r="D2248" s="234" t="s">
        <v>869</v>
      </c>
      <c r="E2248" s="307">
        <v>0.89</v>
      </c>
      <c r="F2248" s="307"/>
      <c r="G2248" s="232"/>
      <c r="H2248" s="233"/>
      <c r="I2248" s="301"/>
    </row>
    <row r="2249" spans="2:9" s="346" customFormat="1" ht="21" customHeight="1">
      <c r="B2249" s="305"/>
      <c r="C2249" s="305"/>
      <c r="D2249" s="234"/>
      <c r="E2249" s="306"/>
      <c r="F2249" s="306"/>
      <c r="G2249" s="232"/>
      <c r="H2249" s="232"/>
      <c r="I2249" s="301"/>
    </row>
    <row r="2250" spans="2:9" s="346" customFormat="1" ht="21" customHeight="1">
      <c r="B2250" s="305"/>
      <c r="C2250" s="305"/>
      <c r="D2250" s="234"/>
      <c r="E2250" s="306"/>
      <c r="F2250" s="306"/>
      <c r="G2250" s="308"/>
      <c r="H2250" s="233"/>
      <c r="I2250" s="301"/>
    </row>
    <row r="2251" spans="2:9" s="346" customFormat="1" ht="21" customHeight="1">
      <c r="B2251" s="305"/>
      <c r="C2251" s="305"/>
      <c r="D2251" s="234"/>
      <c r="E2251" s="306"/>
      <c r="F2251" s="306"/>
      <c r="G2251" s="308"/>
      <c r="H2251" s="233"/>
      <c r="I2251" s="301"/>
    </row>
    <row r="2252" spans="2:9" s="346" customFormat="1" ht="21" customHeight="1">
      <c r="B2252" s="305"/>
      <c r="C2252" s="305"/>
      <c r="D2252" s="234"/>
      <c r="E2252" s="306"/>
      <c r="F2252" s="306"/>
      <c r="G2252" s="308"/>
      <c r="H2252" s="233"/>
      <c r="I2252" s="301"/>
    </row>
    <row r="2253" spans="2:9" s="346" customFormat="1" ht="21" customHeight="1">
      <c r="B2253" s="312" t="s">
        <v>837</v>
      </c>
      <c r="C2253" s="305"/>
      <c r="D2253" s="234"/>
      <c r="E2253" s="307"/>
      <c r="F2253" s="307"/>
      <c r="G2253" s="232"/>
      <c r="H2253" s="233"/>
      <c r="I2253" s="301"/>
    </row>
    <row r="2254" spans="2:9" s="346" customFormat="1" ht="21" customHeight="1">
      <c r="B2254" s="305"/>
      <c r="C2254" s="305" t="s">
        <v>64</v>
      </c>
      <c r="D2254" s="234" t="s">
        <v>869</v>
      </c>
      <c r="E2254" s="307">
        <v>2.7E-2</v>
      </c>
      <c r="F2254" s="307"/>
      <c r="G2254" s="232"/>
      <c r="H2254" s="233"/>
      <c r="I2254" s="301"/>
    </row>
    <row r="2255" spans="2:9" s="346" customFormat="1" ht="21" customHeight="1">
      <c r="B2255" s="305"/>
      <c r="C2255" s="305"/>
      <c r="D2255" s="234"/>
      <c r="E2255" s="306"/>
      <c r="F2255" s="306"/>
      <c r="G2255" s="232"/>
      <c r="H2255" s="232"/>
      <c r="I2255" s="301"/>
    </row>
    <row r="2256" spans="2:9" s="346" customFormat="1" ht="21" customHeight="1">
      <c r="B2256" s="305"/>
      <c r="C2256" s="305"/>
      <c r="D2256" s="234"/>
      <c r="E2256" s="306"/>
      <c r="F2256" s="306"/>
      <c r="G2256" s="308"/>
      <c r="H2256" s="233"/>
      <c r="I2256" s="301"/>
    </row>
    <row r="2257" spans="2:9" s="346" customFormat="1" ht="21" customHeight="1">
      <c r="B2257" s="305"/>
      <c r="C2257" s="305"/>
      <c r="D2257" s="234"/>
      <c r="E2257" s="306"/>
      <c r="F2257" s="306"/>
      <c r="G2257" s="308"/>
      <c r="H2257" s="233"/>
      <c r="I2257" s="301"/>
    </row>
    <row r="2258" spans="2:9" s="346" customFormat="1" ht="21" customHeight="1">
      <c r="B2258" s="305"/>
      <c r="C2258" s="305"/>
      <c r="D2258" s="234"/>
      <c r="E2258" s="306"/>
      <c r="F2258" s="306"/>
      <c r="G2258" s="308"/>
      <c r="H2258" s="233"/>
      <c r="I2258" s="301"/>
    </row>
    <row r="2259" spans="2:9" s="346" customFormat="1" ht="21" customHeight="1">
      <c r="B2259" s="300" t="str">
        <f>'5. 공종별예산조서'!$A$150</f>
        <v>5-7. 코어 구멍뚫기</v>
      </c>
      <c r="C2259" s="300" t="str">
        <f>'5. 공종별예산조서'!$B$150</f>
        <v>50Φ</v>
      </c>
      <c r="D2259" s="301" t="str">
        <f>'5. 공종별예산조서'!$C$150</f>
        <v>개소</v>
      </c>
      <c r="E2259" s="309">
        <f>'5. 공종별예산조서'!$D$150</f>
        <v>1</v>
      </c>
      <c r="F2259" s="302"/>
      <c r="G2259" s="303"/>
      <c r="H2259" s="304"/>
      <c r="I2259" s="301"/>
    </row>
    <row r="2260" spans="2:9" s="346" customFormat="1" ht="21" customHeight="1">
      <c r="B2260" s="312" t="s">
        <v>834</v>
      </c>
      <c r="C2260" s="305"/>
      <c r="D2260" s="234"/>
      <c r="E2260" s="310"/>
      <c r="F2260" s="306"/>
      <c r="G2260" s="232"/>
      <c r="H2260" s="233"/>
      <c r="I2260" s="301"/>
    </row>
    <row r="2261" spans="2:9" s="346" customFormat="1" ht="21" customHeight="1">
      <c r="B2261" s="305" t="s">
        <v>1092</v>
      </c>
      <c r="C2261" s="305" t="str">
        <f>C2259</f>
        <v>50Φ</v>
      </c>
      <c r="D2261" s="234" t="str">
        <f>D2259</f>
        <v>개소</v>
      </c>
      <c r="E2261" s="311">
        <f>E2259</f>
        <v>1</v>
      </c>
      <c r="F2261" s="307"/>
      <c r="G2261" s="308"/>
      <c r="H2261" s="233"/>
      <c r="I2261" s="301"/>
    </row>
    <row r="2262" spans="2:9" s="346" customFormat="1" ht="21" customHeight="1">
      <c r="B2262" s="305"/>
      <c r="C2262" s="305"/>
      <c r="D2262" s="234"/>
      <c r="E2262" s="313"/>
      <c r="F2262" s="307"/>
      <c r="G2262" s="308"/>
      <c r="H2262" s="233"/>
      <c r="I2262" s="301"/>
    </row>
    <row r="2263" spans="2:9" s="346" customFormat="1" ht="21" customHeight="1">
      <c r="B2263" s="305"/>
      <c r="C2263" s="305"/>
      <c r="D2263" s="234"/>
      <c r="E2263" s="307"/>
      <c r="F2263" s="307"/>
      <c r="G2263" s="308"/>
      <c r="H2263" s="233"/>
      <c r="I2263" s="301"/>
    </row>
    <row r="2264" spans="2:9" s="346" customFormat="1" ht="21" customHeight="1">
      <c r="B2264" s="305"/>
      <c r="C2264" s="305"/>
      <c r="D2264" s="234"/>
      <c r="E2264" s="307"/>
      <c r="F2264" s="307"/>
      <c r="G2264" s="308"/>
      <c r="H2264" s="233"/>
      <c r="I2264" s="301"/>
    </row>
    <row r="2265" spans="2:9" s="346" customFormat="1" ht="21" customHeight="1">
      <c r="B2265" s="305"/>
      <c r="C2265" s="305"/>
      <c r="D2265" s="234"/>
      <c r="E2265" s="307"/>
      <c r="F2265" s="307"/>
      <c r="G2265" s="308"/>
      <c r="H2265" s="233"/>
      <c r="I2265" s="301"/>
    </row>
    <row r="2266" spans="2:9" s="346" customFormat="1" ht="21" customHeight="1">
      <c r="B2266" s="305"/>
      <c r="C2266" s="305"/>
      <c r="D2266" s="234"/>
      <c r="E2266" s="307"/>
      <c r="F2266" s="307"/>
      <c r="G2266" s="308"/>
      <c r="H2266" s="233"/>
      <c r="I2266" s="301"/>
    </row>
    <row r="2267" spans="2:9" s="346" customFormat="1" ht="21" customHeight="1">
      <c r="B2267" s="305"/>
      <c r="C2267" s="305"/>
      <c r="D2267" s="234"/>
      <c r="E2267" s="307"/>
      <c r="F2267" s="307"/>
      <c r="G2267" s="308"/>
      <c r="H2267" s="233"/>
      <c r="I2267" s="301"/>
    </row>
    <row r="2268" spans="2:9" s="346" customFormat="1" ht="21" customHeight="1">
      <c r="B2268" s="305"/>
      <c r="C2268" s="305"/>
      <c r="D2268" s="234"/>
      <c r="E2268" s="307"/>
      <c r="F2268" s="307"/>
      <c r="G2268" s="308"/>
      <c r="H2268" s="233"/>
      <c r="I2268" s="301"/>
    </row>
    <row r="2269" spans="2:9" s="346" customFormat="1" ht="21" customHeight="1">
      <c r="B2269" s="305"/>
      <c r="C2269" s="305"/>
      <c r="D2269" s="234"/>
      <c r="E2269" s="307"/>
      <c r="F2269" s="307"/>
      <c r="G2269" s="308"/>
      <c r="H2269" s="233"/>
      <c r="I2269" s="301"/>
    </row>
    <row r="2270" spans="2:9" s="346" customFormat="1" ht="21" customHeight="1">
      <c r="B2270" s="305"/>
      <c r="C2270" s="305"/>
      <c r="D2270" s="234"/>
      <c r="E2270" s="307"/>
      <c r="F2270" s="307"/>
      <c r="G2270" s="308"/>
      <c r="H2270" s="233"/>
      <c r="I2270" s="301"/>
    </row>
    <row r="2271" spans="2:9" s="346" customFormat="1" ht="21" customHeight="1">
      <c r="B2271" s="312" t="s">
        <v>835</v>
      </c>
      <c r="C2271" s="305"/>
      <c r="D2271" s="234"/>
      <c r="E2271" s="307"/>
      <c r="F2271" s="307"/>
      <c r="G2271" s="232"/>
      <c r="H2271" s="233"/>
      <c r="I2271" s="301"/>
    </row>
    <row r="2272" spans="2:9" s="346" customFormat="1" ht="21" customHeight="1">
      <c r="B2272" s="305"/>
      <c r="C2272" s="305" t="s">
        <v>1093</v>
      </c>
      <c r="D2272" s="234" t="s">
        <v>869</v>
      </c>
      <c r="E2272" s="307">
        <v>0.21</v>
      </c>
      <c r="F2272" s="307"/>
      <c r="G2272" s="232"/>
      <c r="H2272" s="233"/>
      <c r="I2272" s="301"/>
    </row>
    <row r="2273" spans="2:9" s="346" customFormat="1" ht="21" customHeight="1">
      <c r="B2273" s="305"/>
      <c r="C2273" s="305"/>
      <c r="D2273" s="234"/>
      <c r="E2273" s="306"/>
      <c r="F2273" s="306"/>
      <c r="G2273" s="232"/>
      <c r="H2273" s="232"/>
      <c r="I2273" s="301"/>
    </row>
    <row r="2274" spans="2:9" s="346" customFormat="1" ht="21" customHeight="1">
      <c r="B2274" s="305"/>
      <c r="C2274" s="305"/>
      <c r="D2274" s="234"/>
      <c r="E2274" s="306"/>
      <c r="F2274" s="306"/>
      <c r="G2274" s="308"/>
      <c r="H2274" s="233"/>
      <c r="I2274" s="301"/>
    </row>
    <row r="2275" spans="2:9" s="346" customFormat="1" ht="21" customHeight="1">
      <c r="B2275" s="305"/>
      <c r="C2275" s="305"/>
      <c r="D2275" s="234"/>
      <c r="E2275" s="306"/>
      <c r="F2275" s="306"/>
      <c r="G2275" s="308"/>
      <c r="H2275" s="233"/>
      <c r="I2275" s="301"/>
    </row>
    <row r="2276" spans="2:9" s="346" customFormat="1" ht="21" customHeight="1">
      <c r="B2276" s="305"/>
      <c r="C2276" s="305"/>
      <c r="D2276" s="234"/>
      <c r="E2276" s="306"/>
      <c r="F2276" s="306"/>
      <c r="G2276" s="308"/>
      <c r="H2276" s="233"/>
      <c r="I2276" s="301"/>
    </row>
    <row r="2277" spans="2:9" s="346" customFormat="1" ht="21" customHeight="1">
      <c r="B2277" s="312" t="s">
        <v>837</v>
      </c>
      <c r="C2277" s="305"/>
      <c r="D2277" s="234"/>
      <c r="E2277" s="307"/>
      <c r="F2277" s="307"/>
      <c r="G2277" s="232"/>
      <c r="H2277" s="233"/>
      <c r="I2277" s="301"/>
    </row>
    <row r="2278" spans="2:9" s="346" customFormat="1" ht="21" customHeight="1">
      <c r="B2278" s="305"/>
      <c r="C2278" s="305" t="s">
        <v>1093</v>
      </c>
      <c r="D2278" s="234" t="s">
        <v>869</v>
      </c>
      <c r="E2278" s="307">
        <v>6.0000000000000001E-3</v>
      </c>
      <c r="F2278" s="307"/>
      <c r="G2278" s="232"/>
      <c r="H2278" s="233"/>
      <c r="I2278" s="301"/>
    </row>
    <row r="2279" spans="2:9" s="346" customFormat="1" ht="21" customHeight="1">
      <c r="B2279" s="305"/>
      <c r="C2279" s="305"/>
      <c r="D2279" s="234"/>
      <c r="E2279" s="306"/>
      <c r="F2279" s="306"/>
      <c r="G2279" s="232"/>
      <c r="H2279" s="232"/>
      <c r="I2279" s="301"/>
    </row>
    <row r="2280" spans="2:9" s="346" customFormat="1" ht="21" customHeight="1">
      <c r="B2280" s="305"/>
      <c r="C2280" s="305"/>
      <c r="D2280" s="234"/>
      <c r="E2280" s="306"/>
      <c r="F2280" s="306"/>
      <c r="G2280" s="308"/>
      <c r="H2280" s="233"/>
      <c r="I2280" s="301"/>
    </row>
    <row r="2281" spans="2:9" s="346" customFormat="1" ht="21" customHeight="1">
      <c r="B2281" s="305"/>
      <c r="C2281" s="305"/>
      <c r="D2281" s="234"/>
      <c r="E2281" s="306"/>
      <c r="F2281" s="306"/>
      <c r="G2281" s="308"/>
      <c r="H2281" s="233"/>
      <c r="I2281" s="301"/>
    </row>
    <row r="2282" spans="2:9" s="346" customFormat="1" ht="21" customHeight="1">
      <c r="B2282" s="305"/>
      <c r="C2282" s="305"/>
      <c r="D2282" s="234"/>
      <c r="E2282" s="306"/>
      <c r="F2282" s="306"/>
      <c r="G2282" s="308"/>
      <c r="H2282" s="233"/>
      <c r="I2282" s="301"/>
    </row>
    <row r="2283" spans="2:9" s="346" customFormat="1" ht="21" customHeight="1">
      <c r="B2283" s="300" t="str">
        <f>'5. 공종별예산조서'!$A$172</f>
        <v>6-1. 콘센트 철거</v>
      </c>
      <c r="C2283" s="300" t="str">
        <f>'5. 공종별예산조서'!$B$172</f>
        <v>매입-접지형, 15A 250V 2구</v>
      </c>
      <c r="D2283" s="301" t="str">
        <f>'5. 공종별예산조서'!$C$172</f>
        <v>개</v>
      </c>
      <c r="E2283" s="309">
        <f>'5. 공종별예산조서'!$D$172</f>
        <v>20</v>
      </c>
      <c r="F2283" s="302"/>
      <c r="G2283" s="303"/>
      <c r="H2283" s="304"/>
      <c r="I2283" s="301"/>
    </row>
    <row r="2284" spans="2:9" s="346" customFormat="1" ht="21" customHeight="1">
      <c r="B2284" s="312" t="s">
        <v>834</v>
      </c>
      <c r="C2284" s="305"/>
      <c r="D2284" s="234"/>
      <c r="E2284" s="310"/>
      <c r="F2284" s="306"/>
      <c r="G2284" s="232"/>
      <c r="H2284" s="233"/>
      <c r="I2284" s="301"/>
    </row>
    <row r="2285" spans="2:9" s="346" customFormat="1" ht="21" customHeight="1">
      <c r="B2285" s="305" t="s">
        <v>1153</v>
      </c>
      <c r="C2285" s="305" t="str">
        <f>C2283</f>
        <v>매입-접지형, 15A 250V 2구</v>
      </c>
      <c r="D2285" s="234" t="str">
        <f>D2283</f>
        <v>개</v>
      </c>
      <c r="E2285" s="311">
        <f>E2283</f>
        <v>20</v>
      </c>
      <c r="F2285" s="307"/>
      <c r="G2285" s="308"/>
      <c r="H2285" s="233"/>
      <c r="I2285" s="301"/>
    </row>
    <row r="2286" spans="2:9" s="346" customFormat="1" ht="21" customHeight="1">
      <c r="B2286" s="305"/>
      <c r="C2286" s="305"/>
      <c r="D2286" s="234"/>
      <c r="E2286" s="313"/>
      <c r="F2286" s="307"/>
      <c r="G2286" s="308"/>
      <c r="H2286" s="233"/>
      <c r="I2286" s="301"/>
    </row>
    <row r="2287" spans="2:9" s="346" customFormat="1" ht="21" customHeight="1">
      <c r="B2287" s="305"/>
      <c r="C2287" s="305"/>
      <c r="D2287" s="234"/>
      <c r="E2287" s="307"/>
      <c r="F2287" s="307"/>
      <c r="G2287" s="308"/>
      <c r="H2287" s="233"/>
      <c r="I2287" s="301"/>
    </row>
    <row r="2288" spans="2:9" s="346" customFormat="1" ht="21" customHeight="1">
      <c r="B2288" s="305"/>
      <c r="C2288" s="305"/>
      <c r="D2288" s="234"/>
      <c r="E2288" s="307"/>
      <c r="F2288" s="307"/>
      <c r="G2288" s="308"/>
      <c r="H2288" s="233"/>
      <c r="I2288" s="301"/>
    </row>
    <row r="2289" spans="2:9" s="346" customFormat="1" ht="21" customHeight="1">
      <c r="B2289" s="305"/>
      <c r="C2289" s="305"/>
      <c r="D2289" s="234"/>
      <c r="E2289" s="307"/>
      <c r="F2289" s="307"/>
      <c r="G2289" s="308"/>
      <c r="H2289" s="233"/>
      <c r="I2289" s="301"/>
    </row>
    <row r="2290" spans="2:9" s="346" customFormat="1" ht="21" customHeight="1">
      <c r="B2290" s="305"/>
      <c r="C2290" s="305"/>
      <c r="D2290" s="234"/>
      <c r="E2290" s="307"/>
      <c r="F2290" s="307"/>
      <c r="G2290" s="308"/>
      <c r="H2290" s="233"/>
      <c r="I2290" s="301"/>
    </row>
    <row r="2291" spans="2:9" s="346" customFormat="1" ht="21" customHeight="1">
      <c r="B2291" s="305"/>
      <c r="C2291" s="305"/>
      <c r="D2291" s="234"/>
      <c r="E2291" s="307"/>
      <c r="F2291" s="307"/>
      <c r="G2291" s="308"/>
      <c r="H2291" s="233"/>
      <c r="I2291" s="301"/>
    </row>
    <row r="2292" spans="2:9" s="346" customFormat="1" ht="21" customHeight="1">
      <c r="B2292" s="305"/>
      <c r="C2292" s="305"/>
      <c r="D2292" s="234"/>
      <c r="E2292" s="307"/>
      <c r="F2292" s="307"/>
      <c r="G2292" s="308"/>
      <c r="H2292" s="233"/>
      <c r="I2292" s="301"/>
    </row>
    <row r="2293" spans="2:9" s="346" customFormat="1" ht="21" customHeight="1">
      <c r="B2293" s="305"/>
      <c r="C2293" s="305"/>
      <c r="D2293" s="234"/>
      <c r="E2293" s="307"/>
      <c r="F2293" s="307"/>
      <c r="G2293" s="308"/>
      <c r="H2293" s="233"/>
      <c r="I2293" s="301"/>
    </row>
    <row r="2294" spans="2:9" s="346" customFormat="1" ht="21" customHeight="1">
      <c r="B2294" s="305"/>
      <c r="C2294" s="305"/>
      <c r="D2294" s="234"/>
      <c r="E2294" s="307"/>
      <c r="F2294" s="307"/>
      <c r="G2294" s="308"/>
      <c r="H2294" s="233"/>
      <c r="I2294" s="301"/>
    </row>
    <row r="2295" spans="2:9" s="346" customFormat="1" ht="21" customHeight="1">
      <c r="B2295" s="312" t="s">
        <v>835</v>
      </c>
      <c r="C2295" s="305"/>
      <c r="D2295" s="234"/>
      <c r="E2295" s="307"/>
      <c r="F2295" s="307"/>
      <c r="G2295" s="232"/>
      <c r="H2295" s="233"/>
      <c r="I2295" s="301"/>
    </row>
    <row r="2296" spans="2:9" s="346" customFormat="1" ht="21" customHeight="1">
      <c r="B2296" s="305"/>
      <c r="C2296" s="305" t="s">
        <v>1154</v>
      </c>
      <c r="D2296" s="234" t="s">
        <v>869</v>
      </c>
      <c r="E2296" s="307">
        <v>0.48</v>
      </c>
      <c r="F2296" s="307"/>
      <c r="G2296" s="232"/>
      <c r="H2296" s="233"/>
      <c r="I2296" s="301"/>
    </row>
    <row r="2297" spans="2:9" s="346" customFormat="1" ht="21" customHeight="1">
      <c r="B2297" s="305"/>
      <c r="C2297" s="305"/>
      <c r="D2297" s="234"/>
      <c r="E2297" s="306"/>
      <c r="F2297" s="306"/>
      <c r="G2297" s="232"/>
      <c r="H2297" s="232"/>
      <c r="I2297" s="301"/>
    </row>
    <row r="2298" spans="2:9" s="346" customFormat="1" ht="21" customHeight="1">
      <c r="B2298" s="305"/>
      <c r="C2298" s="305"/>
      <c r="D2298" s="234"/>
      <c r="E2298" s="306"/>
      <c r="F2298" s="306"/>
      <c r="G2298" s="308"/>
      <c r="H2298" s="233"/>
      <c r="I2298" s="301"/>
    </row>
    <row r="2299" spans="2:9" s="346" customFormat="1" ht="21" customHeight="1">
      <c r="B2299" s="305"/>
      <c r="C2299" s="305"/>
      <c r="D2299" s="234"/>
      <c r="E2299" s="306"/>
      <c r="F2299" s="306"/>
      <c r="G2299" s="308"/>
      <c r="H2299" s="233"/>
      <c r="I2299" s="301"/>
    </row>
    <row r="2300" spans="2:9" s="346" customFormat="1" ht="21" customHeight="1">
      <c r="B2300" s="305"/>
      <c r="C2300" s="305"/>
      <c r="D2300" s="234"/>
      <c r="E2300" s="306"/>
      <c r="F2300" s="306"/>
      <c r="G2300" s="308"/>
      <c r="H2300" s="233"/>
      <c r="I2300" s="301"/>
    </row>
    <row r="2301" spans="2:9" s="346" customFormat="1" ht="21" customHeight="1">
      <c r="B2301" s="312" t="s">
        <v>837</v>
      </c>
      <c r="C2301" s="305"/>
      <c r="D2301" s="234"/>
      <c r="E2301" s="307"/>
      <c r="F2301" s="307"/>
      <c r="G2301" s="232"/>
      <c r="H2301" s="233"/>
      <c r="I2301" s="301"/>
    </row>
    <row r="2302" spans="2:9" s="346" customFormat="1" ht="21" customHeight="1">
      <c r="B2302" s="305"/>
      <c r="C2302" s="305" t="s">
        <v>1154</v>
      </c>
      <c r="D2302" s="234" t="s">
        <v>869</v>
      </c>
      <c r="E2302" s="307">
        <v>1.4E-2</v>
      </c>
      <c r="F2302" s="307"/>
      <c r="G2302" s="232"/>
      <c r="H2302" s="233"/>
      <c r="I2302" s="301"/>
    </row>
    <row r="2303" spans="2:9" s="346" customFormat="1" ht="21" customHeight="1">
      <c r="B2303" s="305"/>
      <c r="C2303" s="305"/>
      <c r="D2303" s="234"/>
      <c r="E2303" s="306"/>
      <c r="F2303" s="306"/>
      <c r="G2303" s="232"/>
      <c r="H2303" s="232"/>
      <c r="I2303" s="301"/>
    </row>
    <row r="2304" spans="2:9" s="346" customFormat="1" ht="21" customHeight="1">
      <c r="B2304" s="305"/>
      <c r="C2304" s="305"/>
      <c r="D2304" s="234"/>
      <c r="E2304" s="306"/>
      <c r="F2304" s="306"/>
      <c r="G2304" s="308"/>
      <c r="H2304" s="233"/>
      <c r="I2304" s="301"/>
    </row>
    <row r="2305" spans="2:9" s="346" customFormat="1" ht="21" customHeight="1">
      <c r="B2305" s="305"/>
      <c r="C2305" s="305"/>
      <c r="D2305" s="234"/>
      <c r="E2305" s="306"/>
      <c r="F2305" s="306"/>
      <c r="G2305" s="308"/>
      <c r="H2305" s="233"/>
      <c r="I2305" s="301"/>
    </row>
    <row r="2306" spans="2:9" s="346" customFormat="1" ht="21" customHeight="1">
      <c r="B2306" s="305"/>
      <c r="C2306" s="305"/>
      <c r="D2306" s="234"/>
      <c r="E2306" s="306"/>
      <c r="F2306" s="306"/>
      <c r="G2306" s="308"/>
      <c r="H2306" s="233"/>
      <c r="I2306" s="301"/>
    </row>
    <row r="2307" spans="2:9" s="346" customFormat="1" ht="21" customHeight="1">
      <c r="B2307" s="300" t="str">
        <f>'5. 공종별예산조서'!$A$173</f>
        <v>6-2. 1종금속제가요전선관 철거</v>
      </c>
      <c r="C2307" s="300" t="str">
        <f>'5. 공종별예산조서'!$B$173</f>
        <v>일반, 16C</v>
      </c>
      <c r="D2307" s="301" t="str">
        <f>'5. 공종별예산조서'!$C$173</f>
        <v>M</v>
      </c>
      <c r="E2307" s="309">
        <f>'5. 공종별예산조서'!$D$173</f>
        <v>263</v>
      </c>
      <c r="F2307" s="302"/>
      <c r="G2307" s="303"/>
      <c r="H2307" s="304"/>
      <c r="I2307" s="301"/>
    </row>
    <row r="2308" spans="2:9" s="346" customFormat="1" ht="21" customHeight="1">
      <c r="B2308" s="312" t="s">
        <v>834</v>
      </c>
      <c r="C2308" s="305"/>
      <c r="D2308" s="234"/>
      <c r="E2308" s="310"/>
      <c r="F2308" s="306"/>
      <c r="G2308" s="232"/>
      <c r="H2308" s="233"/>
      <c r="I2308" s="301"/>
    </row>
    <row r="2309" spans="2:9" s="346" customFormat="1" ht="21" customHeight="1">
      <c r="B2309" s="305" t="s">
        <v>1155</v>
      </c>
      <c r="C2309" s="305" t="str">
        <f>C2307</f>
        <v>일반, 16C</v>
      </c>
      <c r="D2309" s="234" t="str">
        <f>D2307</f>
        <v>M</v>
      </c>
      <c r="E2309" s="311">
        <f>E2307</f>
        <v>263</v>
      </c>
      <c r="F2309" s="307"/>
      <c r="G2309" s="308"/>
      <c r="H2309" s="233"/>
      <c r="I2309" s="301"/>
    </row>
    <row r="2310" spans="2:9" s="346" customFormat="1" ht="21" customHeight="1">
      <c r="B2310" s="305"/>
      <c r="C2310" s="305"/>
      <c r="D2310" s="234"/>
      <c r="E2310" s="313"/>
      <c r="F2310" s="307"/>
      <c r="G2310" s="308"/>
      <c r="H2310" s="233"/>
      <c r="I2310" s="301"/>
    </row>
    <row r="2311" spans="2:9" s="346" customFormat="1" ht="21" customHeight="1">
      <c r="B2311" s="305"/>
      <c r="C2311" s="305"/>
      <c r="D2311" s="234"/>
      <c r="E2311" s="307"/>
      <c r="F2311" s="307"/>
      <c r="G2311" s="308"/>
      <c r="H2311" s="233"/>
      <c r="I2311" s="301"/>
    </row>
    <row r="2312" spans="2:9" s="346" customFormat="1" ht="21" customHeight="1">
      <c r="B2312" s="305"/>
      <c r="C2312" s="305"/>
      <c r="D2312" s="234"/>
      <c r="E2312" s="307"/>
      <c r="F2312" s="307"/>
      <c r="G2312" s="308"/>
      <c r="H2312" s="233"/>
      <c r="I2312" s="301"/>
    </row>
    <row r="2313" spans="2:9" s="346" customFormat="1" ht="21" customHeight="1">
      <c r="B2313" s="305"/>
      <c r="C2313" s="305"/>
      <c r="D2313" s="234"/>
      <c r="E2313" s="307"/>
      <c r="F2313" s="307"/>
      <c r="G2313" s="308"/>
      <c r="H2313" s="233"/>
      <c r="I2313" s="301"/>
    </row>
    <row r="2314" spans="2:9" s="346" customFormat="1" ht="21" customHeight="1">
      <c r="B2314" s="305"/>
      <c r="C2314" s="305"/>
      <c r="D2314" s="234"/>
      <c r="E2314" s="307"/>
      <c r="F2314" s="307"/>
      <c r="G2314" s="308"/>
      <c r="H2314" s="233"/>
      <c r="I2314" s="301"/>
    </row>
    <row r="2315" spans="2:9" s="346" customFormat="1" ht="21" customHeight="1">
      <c r="B2315" s="305"/>
      <c r="C2315" s="305"/>
      <c r="D2315" s="234"/>
      <c r="E2315" s="307"/>
      <c r="F2315" s="307"/>
      <c r="G2315" s="308"/>
      <c r="H2315" s="233"/>
      <c r="I2315" s="301"/>
    </row>
    <row r="2316" spans="2:9" s="346" customFormat="1" ht="21" customHeight="1">
      <c r="B2316" s="305"/>
      <c r="C2316" s="305"/>
      <c r="D2316" s="234"/>
      <c r="E2316" s="307"/>
      <c r="F2316" s="307"/>
      <c r="G2316" s="308"/>
      <c r="H2316" s="233"/>
      <c r="I2316" s="301"/>
    </row>
    <row r="2317" spans="2:9" s="346" customFormat="1" ht="21" customHeight="1">
      <c r="B2317" s="305"/>
      <c r="C2317" s="305"/>
      <c r="D2317" s="234"/>
      <c r="E2317" s="307"/>
      <c r="F2317" s="307"/>
      <c r="G2317" s="308"/>
      <c r="H2317" s="233"/>
      <c r="I2317" s="301"/>
    </row>
    <row r="2318" spans="2:9" s="346" customFormat="1" ht="21" customHeight="1">
      <c r="B2318" s="305"/>
      <c r="C2318" s="305"/>
      <c r="D2318" s="234"/>
      <c r="E2318" s="307"/>
      <c r="F2318" s="307"/>
      <c r="G2318" s="308"/>
      <c r="H2318" s="233"/>
      <c r="I2318" s="301"/>
    </row>
    <row r="2319" spans="2:9" s="346" customFormat="1" ht="21" customHeight="1">
      <c r="B2319" s="312" t="s">
        <v>835</v>
      </c>
      <c r="C2319" s="305"/>
      <c r="D2319" s="234"/>
      <c r="E2319" s="307"/>
      <c r="F2319" s="307"/>
      <c r="G2319" s="232"/>
      <c r="H2319" s="233"/>
      <c r="I2319" s="301"/>
    </row>
    <row r="2320" spans="2:9" s="346" customFormat="1" ht="21" customHeight="1">
      <c r="B2320" s="305"/>
      <c r="C2320" s="305" t="s">
        <v>1154</v>
      </c>
      <c r="D2320" s="234" t="s">
        <v>869</v>
      </c>
      <c r="E2320" s="307">
        <v>3.1240000000000001</v>
      </c>
      <c r="F2320" s="307"/>
      <c r="G2320" s="232"/>
      <c r="H2320" s="233"/>
      <c r="I2320" s="301"/>
    </row>
    <row r="2321" spans="2:9" s="346" customFormat="1" ht="21" customHeight="1">
      <c r="B2321" s="305"/>
      <c r="C2321" s="305"/>
      <c r="D2321" s="234"/>
      <c r="E2321" s="306"/>
      <c r="F2321" s="306"/>
      <c r="G2321" s="232"/>
      <c r="H2321" s="232"/>
      <c r="I2321" s="301"/>
    </row>
    <row r="2322" spans="2:9" s="346" customFormat="1" ht="21" customHeight="1">
      <c r="B2322" s="305"/>
      <c r="C2322" s="305"/>
      <c r="D2322" s="234"/>
      <c r="E2322" s="306"/>
      <c r="F2322" s="306"/>
      <c r="G2322" s="308"/>
      <c r="H2322" s="233"/>
      <c r="I2322" s="301"/>
    </row>
    <row r="2323" spans="2:9" s="346" customFormat="1" ht="21" customHeight="1">
      <c r="B2323" s="305"/>
      <c r="C2323" s="305"/>
      <c r="D2323" s="234"/>
      <c r="E2323" s="306"/>
      <c r="F2323" s="306"/>
      <c r="G2323" s="308"/>
      <c r="H2323" s="233"/>
      <c r="I2323" s="301"/>
    </row>
    <row r="2324" spans="2:9" s="346" customFormat="1" ht="21" customHeight="1">
      <c r="B2324" s="305"/>
      <c r="C2324" s="305"/>
      <c r="D2324" s="234"/>
      <c r="E2324" s="306"/>
      <c r="F2324" s="306"/>
      <c r="G2324" s="308"/>
      <c r="H2324" s="233"/>
      <c r="I2324" s="301"/>
    </row>
    <row r="2325" spans="2:9" s="346" customFormat="1" ht="21" customHeight="1">
      <c r="B2325" s="312" t="s">
        <v>837</v>
      </c>
      <c r="C2325" s="305"/>
      <c r="D2325" s="234"/>
      <c r="E2325" s="307"/>
      <c r="F2325" s="307"/>
      <c r="G2325" s="232"/>
      <c r="H2325" s="233"/>
      <c r="I2325" s="301"/>
    </row>
    <row r="2326" spans="2:9" s="346" customFormat="1" ht="21" customHeight="1">
      <c r="B2326" s="305"/>
      <c r="C2326" s="305" t="s">
        <v>1154</v>
      </c>
      <c r="D2326" s="234" t="s">
        <v>869</v>
      </c>
      <c r="E2326" s="307">
        <v>9.4E-2</v>
      </c>
      <c r="F2326" s="307"/>
      <c r="G2326" s="232"/>
      <c r="H2326" s="233"/>
      <c r="I2326" s="301"/>
    </row>
    <row r="2327" spans="2:9" s="346" customFormat="1" ht="21" customHeight="1">
      <c r="B2327" s="305"/>
      <c r="C2327" s="305"/>
      <c r="D2327" s="234"/>
      <c r="E2327" s="306"/>
      <c r="F2327" s="306"/>
      <c r="G2327" s="232"/>
      <c r="H2327" s="232"/>
      <c r="I2327" s="301"/>
    </row>
    <row r="2328" spans="2:9" s="346" customFormat="1" ht="21" customHeight="1">
      <c r="B2328" s="305"/>
      <c r="C2328" s="305"/>
      <c r="D2328" s="234"/>
      <c r="E2328" s="306"/>
      <c r="F2328" s="306"/>
      <c r="G2328" s="308"/>
      <c r="H2328" s="233"/>
      <c r="I2328" s="301"/>
    </row>
    <row r="2329" spans="2:9" s="346" customFormat="1" ht="21" customHeight="1">
      <c r="B2329" s="305"/>
      <c r="C2329" s="305"/>
      <c r="D2329" s="234"/>
      <c r="E2329" s="306"/>
      <c r="F2329" s="306"/>
      <c r="G2329" s="308"/>
      <c r="H2329" s="233"/>
      <c r="I2329" s="301"/>
    </row>
    <row r="2330" spans="2:9" s="346" customFormat="1" ht="21" customHeight="1">
      <c r="B2330" s="305"/>
      <c r="C2330" s="305"/>
      <c r="D2330" s="234"/>
      <c r="E2330" s="306"/>
      <c r="F2330" s="306"/>
      <c r="G2330" s="308"/>
      <c r="H2330" s="233"/>
      <c r="I2330" s="301"/>
    </row>
    <row r="2331" spans="2:9" s="346" customFormat="1" ht="21" customHeight="1">
      <c r="B2331" s="300" t="str">
        <f>'5. 공종별예산조서'!$A$174</f>
        <v>6-3. PVC 노출 스위치박스1개용 철거</v>
      </c>
      <c r="C2331" s="300" t="str">
        <f>'5. 공종별예산조서'!$B$174</f>
        <v>PVC 노출 스위치박스1개용</v>
      </c>
      <c r="D2331" s="301" t="str">
        <f>'5. 공종별예산조서'!$C$174</f>
        <v>개</v>
      </c>
      <c r="E2331" s="309">
        <f>'5. 공종별예산조서'!$D$174</f>
        <v>20</v>
      </c>
      <c r="F2331" s="302"/>
      <c r="G2331" s="303"/>
      <c r="H2331" s="304"/>
      <c r="I2331" s="301"/>
    </row>
    <row r="2332" spans="2:9" s="346" customFormat="1" ht="21" customHeight="1">
      <c r="B2332" s="312" t="s">
        <v>834</v>
      </c>
      <c r="C2332" s="305"/>
      <c r="D2332" s="234"/>
      <c r="E2332" s="310"/>
      <c r="F2332" s="306"/>
      <c r="G2332" s="232"/>
      <c r="H2332" s="233"/>
      <c r="I2332" s="301"/>
    </row>
    <row r="2333" spans="2:9" s="346" customFormat="1" ht="21" customHeight="1">
      <c r="B2333" s="305" t="s">
        <v>1156</v>
      </c>
      <c r="C2333" s="305" t="str">
        <f>C2331</f>
        <v>PVC 노출 스위치박스1개용</v>
      </c>
      <c r="D2333" s="234" t="str">
        <f>D2331</f>
        <v>개</v>
      </c>
      <c r="E2333" s="311">
        <f>E2331</f>
        <v>20</v>
      </c>
      <c r="F2333" s="307"/>
      <c r="G2333" s="308"/>
      <c r="H2333" s="233"/>
      <c r="I2333" s="301"/>
    </row>
    <row r="2334" spans="2:9" s="346" customFormat="1" ht="21" customHeight="1">
      <c r="B2334" s="305"/>
      <c r="C2334" s="305"/>
      <c r="D2334" s="234"/>
      <c r="E2334" s="313"/>
      <c r="F2334" s="307"/>
      <c r="G2334" s="308"/>
      <c r="H2334" s="233"/>
      <c r="I2334" s="301"/>
    </row>
    <row r="2335" spans="2:9" s="346" customFormat="1" ht="21" customHeight="1">
      <c r="B2335" s="305"/>
      <c r="C2335" s="305"/>
      <c r="D2335" s="234"/>
      <c r="E2335" s="307"/>
      <c r="F2335" s="307"/>
      <c r="G2335" s="308"/>
      <c r="H2335" s="233"/>
      <c r="I2335" s="301"/>
    </row>
    <row r="2336" spans="2:9" s="346" customFormat="1" ht="21" customHeight="1">
      <c r="B2336" s="305"/>
      <c r="C2336" s="305"/>
      <c r="D2336" s="234"/>
      <c r="E2336" s="307"/>
      <c r="F2336" s="307"/>
      <c r="G2336" s="308"/>
      <c r="H2336" s="233"/>
      <c r="I2336" s="301"/>
    </row>
    <row r="2337" spans="2:9" s="346" customFormat="1" ht="21" customHeight="1">
      <c r="B2337" s="305"/>
      <c r="C2337" s="305"/>
      <c r="D2337" s="234"/>
      <c r="E2337" s="307"/>
      <c r="F2337" s="307"/>
      <c r="G2337" s="308"/>
      <c r="H2337" s="233"/>
      <c r="I2337" s="301"/>
    </row>
    <row r="2338" spans="2:9" s="346" customFormat="1" ht="21" customHeight="1">
      <c r="B2338" s="305"/>
      <c r="C2338" s="305"/>
      <c r="D2338" s="234"/>
      <c r="E2338" s="307"/>
      <c r="F2338" s="307"/>
      <c r="G2338" s="308"/>
      <c r="H2338" s="233"/>
      <c r="I2338" s="301"/>
    </row>
    <row r="2339" spans="2:9" s="346" customFormat="1" ht="21" customHeight="1">
      <c r="B2339" s="305"/>
      <c r="C2339" s="305"/>
      <c r="D2339" s="234"/>
      <c r="E2339" s="307"/>
      <c r="F2339" s="307"/>
      <c r="G2339" s="308"/>
      <c r="H2339" s="233"/>
      <c r="I2339" s="301"/>
    </row>
    <row r="2340" spans="2:9" s="346" customFormat="1" ht="21" customHeight="1">
      <c r="B2340" s="305"/>
      <c r="C2340" s="305"/>
      <c r="D2340" s="234"/>
      <c r="E2340" s="307"/>
      <c r="F2340" s="307"/>
      <c r="G2340" s="308"/>
      <c r="H2340" s="233"/>
      <c r="I2340" s="301"/>
    </row>
    <row r="2341" spans="2:9" s="346" customFormat="1" ht="21" customHeight="1">
      <c r="B2341" s="305"/>
      <c r="C2341" s="305"/>
      <c r="D2341" s="234"/>
      <c r="E2341" s="307"/>
      <c r="F2341" s="307"/>
      <c r="G2341" s="308"/>
      <c r="H2341" s="233"/>
      <c r="I2341" s="301"/>
    </row>
    <row r="2342" spans="2:9" s="346" customFormat="1" ht="21" customHeight="1">
      <c r="B2342" s="305"/>
      <c r="C2342" s="305"/>
      <c r="D2342" s="234"/>
      <c r="E2342" s="307"/>
      <c r="F2342" s="307"/>
      <c r="G2342" s="308"/>
      <c r="H2342" s="233"/>
      <c r="I2342" s="301"/>
    </row>
    <row r="2343" spans="2:9" s="346" customFormat="1" ht="21" customHeight="1">
      <c r="B2343" s="312" t="s">
        <v>835</v>
      </c>
      <c r="C2343" s="305"/>
      <c r="D2343" s="234"/>
      <c r="E2343" s="307"/>
      <c r="F2343" s="307"/>
      <c r="G2343" s="232"/>
      <c r="H2343" s="233"/>
      <c r="I2343" s="301"/>
    </row>
    <row r="2344" spans="2:9" s="346" customFormat="1" ht="21" customHeight="1">
      <c r="B2344" s="305"/>
      <c r="C2344" s="305" t="s">
        <v>1154</v>
      </c>
      <c r="D2344" s="234" t="s">
        <v>869</v>
      </c>
      <c r="E2344" s="307">
        <v>1.08</v>
      </c>
      <c r="F2344" s="307"/>
      <c r="G2344" s="232"/>
      <c r="H2344" s="233"/>
      <c r="I2344" s="301"/>
    </row>
    <row r="2345" spans="2:9" s="346" customFormat="1" ht="21" customHeight="1">
      <c r="B2345" s="305"/>
      <c r="C2345" s="305"/>
      <c r="D2345" s="234"/>
      <c r="E2345" s="306"/>
      <c r="F2345" s="306"/>
      <c r="G2345" s="232"/>
      <c r="H2345" s="232"/>
      <c r="I2345" s="301"/>
    </row>
    <row r="2346" spans="2:9" s="346" customFormat="1" ht="21" customHeight="1">
      <c r="B2346" s="305"/>
      <c r="C2346" s="305"/>
      <c r="D2346" s="234"/>
      <c r="E2346" s="306"/>
      <c r="F2346" s="306"/>
      <c r="G2346" s="308"/>
      <c r="H2346" s="233"/>
      <c r="I2346" s="301"/>
    </row>
    <row r="2347" spans="2:9" s="346" customFormat="1" ht="21" customHeight="1">
      <c r="B2347" s="305"/>
      <c r="C2347" s="305"/>
      <c r="D2347" s="234"/>
      <c r="E2347" s="306"/>
      <c r="F2347" s="306"/>
      <c r="G2347" s="308"/>
      <c r="H2347" s="233"/>
      <c r="I2347" s="301"/>
    </row>
    <row r="2348" spans="2:9" s="346" customFormat="1" ht="21" customHeight="1">
      <c r="B2348" s="305"/>
      <c r="C2348" s="305"/>
      <c r="D2348" s="234"/>
      <c r="E2348" s="306"/>
      <c r="F2348" s="306"/>
      <c r="G2348" s="308"/>
      <c r="H2348" s="233"/>
      <c r="I2348" s="301"/>
    </row>
    <row r="2349" spans="2:9" s="346" customFormat="1" ht="21" customHeight="1">
      <c r="B2349" s="312" t="s">
        <v>837</v>
      </c>
      <c r="C2349" s="305"/>
      <c r="D2349" s="234"/>
      <c r="E2349" s="307"/>
      <c r="F2349" s="307"/>
      <c r="G2349" s="232"/>
      <c r="H2349" s="233"/>
      <c r="I2349" s="301"/>
    </row>
    <row r="2350" spans="2:9" s="346" customFormat="1" ht="21" customHeight="1">
      <c r="B2350" s="305"/>
      <c r="C2350" s="305" t="s">
        <v>1154</v>
      </c>
      <c r="D2350" s="234" t="s">
        <v>869</v>
      </c>
      <c r="E2350" s="307">
        <v>3.2000000000000001E-2</v>
      </c>
      <c r="F2350" s="307"/>
      <c r="G2350" s="232"/>
      <c r="H2350" s="233"/>
      <c r="I2350" s="301"/>
    </row>
    <row r="2351" spans="2:9" s="346" customFormat="1" ht="21" customHeight="1">
      <c r="B2351" s="305"/>
      <c r="C2351" s="305"/>
      <c r="D2351" s="234"/>
      <c r="E2351" s="306"/>
      <c r="F2351" s="306"/>
      <c r="G2351" s="232"/>
      <c r="H2351" s="232"/>
      <c r="I2351" s="301"/>
    </row>
    <row r="2352" spans="2:9" s="346" customFormat="1" ht="21" customHeight="1">
      <c r="B2352" s="305"/>
      <c r="C2352" s="305"/>
      <c r="D2352" s="234"/>
      <c r="E2352" s="306"/>
      <c r="F2352" s="306"/>
      <c r="G2352" s="308"/>
      <c r="H2352" s="233"/>
      <c r="I2352" s="301"/>
    </row>
    <row r="2353" spans="2:9" s="346" customFormat="1" ht="21" customHeight="1">
      <c r="B2353" s="305"/>
      <c r="C2353" s="305"/>
      <c r="D2353" s="234"/>
      <c r="E2353" s="306"/>
      <c r="F2353" s="306"/>
      <c r="G2353" s="308"/>
      <c r="H2353" s="233"/>
      <c r="I2353" s="301"/>
    </row>
    <row r="2354" spans="2:9" s="346" customFormat="1" ht="21" customHeight="1">
      <c r="B2354" s="305"/>
      <c r="C2354" s="305"/>
      <c r="D2354" s="234"/>
      <c r="E2354" s="306"/>
      <c r="F2354" s="306"/>
      <c r="G2354" s="308"/>
      <c r="H2354" s="233"/>
      <c r="I2354" s="301"/>
    </row>
    <row r="2355" spans="2:9" s="346" customFormat="1" ht="21" customHeight="1">
      <c r="B2355" s="300" t="str">
        <f>'5. 공종별예산조서'!$A$175</f>
        <v>6-4 조인트박스 철거</v>
      </c>
      <c r="C2355" s="300" t="str">
        <f>'5. 공종별예산조서'!$B$175</f>
        <v>아우트렛 박스중형 4각54㎜ (커버포함)</v>
      </c>
      <c r="D2355" s="301" t="str">
        <f>'5. 공종별예산조서'!$C$175</f>
        <v>개</v>
      </c>
      <c r="E2355" s="309">
        <f>'5. 공종별예산조서'!$D$175</f>
        <v>13</v>
      </c>
      <c r="F2355" s="302"/>
      <c r="G2355" s="303"/>
      <c r="H2355" s="304"/>
      <c r="I2355" s="301"/>
    </row>
    <row r="2356" spans="2:9" s="346" customFormat="1" ht="21" customHeight="1">
      <c r="B2356" s="312" t="s">
        <v>834</v>
      </c>
      <c r="C2356" s="305"/>
      <c r="D2356" s="234"/>
      <c r="E2356" s="310"/>
      <c r="F2356" s="306"/>
      <c r="G2356" s="232"/>
      <c r="H2356" s="233"/>
      <c r="I2356" s="301"/>
    </row>
    <row r="2357" spans="2:9" s="346" customFormat="1" ht="21" customHeight="1">
      <c r="B2357" s="305" t="s">
        <v>1157</v>
      </c>
      <c r="C2357" s="305" t="str">
        <f>C2355</f>
        <v>아우트렛 박스중형 4각54㎜ (커버포함)</v>
      </c>
      <c r="D2357" s="234" t="str">
        <f>D2355</f>
        <v>개</v>
      </c>
      <c r="E2357" s="311">
        <f>E2355</f>
        <v>13</v>
      </c>
      <c r="F2357" s="307"/>
      <c r="G2357" s="308"/>
      <c r="H2357" s="233"/>
      <c r="I2357" s="301"/>
    </row>
    <row r="2358" spans="2:9" s="346" customFormat="1" ht="21" customHeight="1">
      <c r="B2358" s="305"/>
      <c r="C2358" s="305"/>
      <c r="D2358" s="234"/>
      <c r="E2358" s="313"/>
      <c r="F2358" s="307"/>
      <c r="G2358" s="308"/>
      <c r="H2358" s="233"/>
      <c r="I2358" s="301"/>
    </row>
    <row r="2359" spans="2:9" s="346" customFormat="1" ht="21" customHeight="1">
      <c r="B2359" s="305"/>
      <c r="C2359" s="305"/>
      <c r="D2359" s="234"/>
      <c r="E2359" s="307"/>
      <c r="F2359" s="307"/>
      <c r="G2359" s="308"/>
      <c r="H2359" s="233"/>
      <c r="I2359" s="301"/>
    </row>
    <row r="2360" spans="2:9" s="346" customFormat="1" ht="21" customHeight="1">
      <c r="B2360" s="305"/>
      <c r="C2360" s="305"/>
      <c r="D2360" s="234"/>
      <c r="E2360" s="307"/>
      <c r="F2360" s="307"/>
      <c r="G2360" s="308"/>
      <c r="H2360" s="233"/>
      <c r="I2360" s="301"/>
    </row>
    <row r="2361" spans="2:9" s="346" customFormat="1" ht="21" customHeight="1">
      <c r="B2361" s="305"/>
      <c r="C2361" s="305"/>
      <c r="D2361" s="234"/>
      <c r="E2361" s="307"/>
      <c r="F2361" s="307"/>
      <c r="G2361" s="308"/>
      <c r="H2361" s="233"/>
      <c r="I2361" s="301"/>
    </row>
    <row r="2362" spans="2:9" s="346" customFormat="1" ht="21" customHeight="1">
      <c r="B2362" s="305"/>
      <c r="C2362" s="305"/>
      <c r="D2362" s="234"/>
      <c r="E2362" s="307"/>
      <c r="F2362" s="307"/>
      <c r="G2362" s="308"/>
      <c r="H2362" s="233"/>
      <c r="I2362" s="301"/>
    </row>
    <row r="2363" spans="2:9" s="346" customFormat="1" ht="21" customHeight="1">
      <c r="B2363" s="305"/>
      <c r="C2363" s="305"/>
      <c r="D2363" s="234"/>
      <c r="E2363" s="307"/>
      <c r="F2363" s="307"/>
      <c r="G2363" s="308"/>
      <c r="H2363" s="233"/>
      <c r="I2363" s="301"/>
    </row>
    <row r="2364" spans="2:9" s="346" customFormat="1" ht="21" customHeight="1">
      <c r="B2364" s="305"/>
      <c r="C2364" s="305"/>
      <c r="D2364" s="234"/>
      <c r="E2364" s="307"/>
      <c r="F2364" s="307"/>
      <c r="G2364" s="308"/>
      <c r="H2364" s="233"/>
      <c r="I2364" s="301"/>
    </row>
    <row r="2365" spans="2:9" s="346" customFormat="1" ht="21" customHeight="1">
      <c r="B2365" s="305"/>
      <c r="C2365" s="305"/>
      <c r="D2365" s="234"/>
      <c r="E2365" s="307"/>
      <c r="F2365" s="307"/>
      <c r="G2365" s="308"/>
      <c r="H2365" s="233"/>
      <c r="I2365" s="301"/>
    </row>
    <row r="2366" spans="2:9" s="346" customFormat="1" ht="21" customHeight="1">
      <c r="B2366" s="305"/>
      <c r="C2366" s="305"/>
      <c r="D2366" s="234"/>
      <c r="E2366" s="307"/>
      <c r="F2366" s="307"/>
      <c r="G2366" s="308"/>
      <c r="H2366" s="233"/>
      <c r="I2366" s="301"/>
    </row>
    <row r="2367" spans="2:9" s="346" customFormat="1" ht="21" customHeight="1">
      <c r="B2367" s="312" t="s">
        <v>835</v>
      </c>
      <c r="C2367" s="305"/>
      <c r="D2367" s="234"/>
      <c r="E2367" s="307"/>
      <c r="F2367" s="307"/>
      <c r="G2367" s="232"/>
      <c r="H2367" s="233"/>
      <c r="I2367" s="301"/>
    </row>
    <row r="2368" spans="2:9" s="346" customFormat="1" ht="21" customHeight="1">
      <c r="B2368" s="305"/>
      <c r="C2368" s="305" t="s">
        <v>1154</v>
      </c>
      <c r="D2368" s="234" t="s">
        <v>869</v>
      </c>
      <c r="E2368" s="307">
        <v>0.70199999999999996</v>
      </c>
      <c r="F2368" s="307"/>
      <c r="G2368" s="232"/>
      <c r="H2368" s="233"/>
      <c r="I2368" s="301"/>
    </row>
    <row r="2369" spans="2:9" s="346" customFormat="1" ht="21" customHeight="1">
      <c r="B2369" s="305"/>
      <c r="C2369" s="305"/>
      <c r="D2369" s="234"/>
      <c r="E2369" s="306"/>
      <c r="F2369" s="306"/>
      <c r="G2369" s="232"/>
      <c r="H2369" s="232"/>
      <c r="I2369" s="301"/>
    </row>
    <row r="2370" spans="2:9" s="346" customFormat="1" ht="21" customHeight="1">
      <c r="B2370" s="305"/>
      <c r="C2370" s="305"/>
      <c r="D2370" s="234"/>
      <c r="E2370" s="306"/>
      <c r="F2370" s="306"/>
      <c r="G2370" s="308"/>
      <c r="H2370" s="233"/>
      <c r="I2370" s="301"/>
    </row>
    <row r="2371" spans="2:9" s="346" customFormat="1" ht="21" customHeight="1">
      <c r="B2371" s="305"/>
      <c r="C2371" s="305"/>
      <c r="D2371" s="234"/>
      <c r="E2371" s="306"/>
      <c r="F2371" s="306"/>
      <c r="G2371" s="308"/>
      <c r="H2371" s="233"/>
      <c r="I2371" s="301"/>
    </row>
    <row r="2372" spans="2:9" s="346" customFormat="1" ht="21" customHeight="1">
      <c r="B2372" s="305"/>
      <c r="C2372" s="305"/>
      <c r="D2372" s="234"/>
      <c r="E2372" s="306"/>
      <c r="F2372" s="306"/>
      <c r="G2372" s="308"/>
      <c r="H2372" s="233"/>
      <c r="I2372" s="301"/>
    </row>
    <row r="2373" spans="2:9" s="346" customFormat="1" ht="21" customHeight="1">
      <c r="B2373" s="312" t="s">
        <v>837</v>
      </c>
      <c r="C2373" s="305"/>
      <c r="D2373" s="234"/>
      <c r="E2373" s="307"/>
      <c r="F2373" s="307"/>
      <c r="G2373" s="232"/>
      <c r="H2373" s="233"/>
      <c r="I2373" s="301"/>
    </row>
    <row r="2374" spans="2:9" s="346" customFormat="1" ht="21" customHeight="1">
      <c r="B2374" s="305"/>
      <c r="C2374" s="305" t="s">
        <v>1154</v>
      </c>
      <c r="D2374" s="234" t="s">
        <v>869</v>
      </c>
      <c r="E2374" s="307">
        <v>2.1000000000000001E-2</v>
      </c>
      <c r="F2374" s="307"/>
      <c r="G2374" s="232"/>
      <c r="H2374" s="233"/>
      <c r="I2374" s="301"/>
    </row>
    <row r="2375" spans="2:9" s="346" customFormat="1" ht="21" customHeight="1">
      <c r="B2375" s="305"/>
      <c r="C2375" s="305"/>
      <c r="D2375" s="234"/>
      <c r="E2375" s="306"/>
      <c r="F2375" s="306"/>
      <c r="G2375" s="232"/>
      <c r="H2375" s="232"/>
      <c r="I2375" s="301"/>
    </row>
    <row r="2376" spans="2:9" s="346" customFormat="1" ht="21" customHeight="1">
      <c r="B2376" s="305"/>
      <c r="C2376" s="305"/>
      <c r="D2376" s="234"/>
      <c r="E2376" s="306"/>
      <c r="F2376" s="306"/>
      <c r="G2376" s="308"/>
      <c r="H2376" s="233"/>
      <c r="I2376" s="301"/>
    </row>
    <row r="2377" spans="2:9" s="346" customFormat="1" ht="21" customHeight="1">
      <c r="B2377" s="305"/>
      <c r="C2377" s="305"/>
      <c r="D2377" s="234"/>
      <c r="E2377" s="306"/>
      <c r="F2377" s="306"/>
      <c r="G2377" s="308"/>
      <c r="H2377" s="233"/>
      <c r="I2377" s="301"/>
    </row>
    <row r="2378" spans="2:9" s="346" customFormat="1" ht="21" customHeight="1">
      <c r="B2378" s="305"/>
      <c r="C2378" s="305"/>
      <c r="D2378" s="234"/>
      <c r="E2378" s="306"/>
      <c r="F2378" s="306"/>
      <c r="G2378" s="308"/>
      <c r="H2378" s="233"/>
      <c r="I2378" s="301"/>
    </row>
    <row r="2379" spans="2:9" s="346" customFormat="1" ht="21" customHeight="1">
      <c r="B2379" s="300" t="str">
        <f>'5. 공종별예산조서'!$A$176</f>
        <v>6-5 화인박스 철거</v>
      </c>
      <c r="C2379" s="300" t="str">
        <f>'5. 공종별예산조서'!$B$176</f>
        <v>화인박스</v>
      </c>
      <c r="D2379" s="301" t="str">
        <f>'5. 공종별예산조서'!$C$176</f>
        <v>개</v>
      </c>
      <c r="E2379" s="309">
        <f>'5. 공종별예산조서'!$D$176</f>
        <v>1</v>
      </c>
      <c r="F2379" s="302"/>
      <c r="G2379" s="303"/>
      <c r="H2379" s="304"/>
      <c r="I2379" s="301"/>
    </row>
    <row r="2380" spans="2:9" s="346" customFormat="1" ht="21" customHeight="1">
      <c r="B2380" s="312" t="s">
        <v>834</v>
      </c>
      <c r="C2380" s="305"/>
      <c r="D2380" s="234"/>
      <c r="E2380" s="310"/>
      <c r="F2380" s="306"/>
      <c r="G2380" s="232"/>
      <c r="H2380" s="233"/>
      <c r="I2380" s="301"/>
    </row>
    <row r="2381" spans="2:9" s="346" customFormat="1" ht="21" customHeight="1">
      <c r="B2381" s="305" t="s">
        <v>1077</v>
      </c>
      <c r="C2381" s="305" t="str">
        <f>C2379</f>
        <v>화인박스</v>
      </c>
      <c r="D2381" s="234" t="str">
        <f>D2379</f>
        <v>개</v>
      </c>
      <c r="E2381" s="311">
        <f>E2379</f>
        <v>1</v>
      </c>
      <c r="F2381" s="307"/>
      <c r="G2381" s="308"/>
      <c r="H2381" s="233"/>
      <c r="I2381" s="301"/>
    </row>
    <row r="2382" spans="2:9" s="346" customFormat="1" ht="21" customHeight="1">
      <c r="B2382" s="305"/>
      <c r="C2382" s="305"/>
      <c r="D2382" s="234"/>
      <c r="E2382" s="313"/>
      <c r="F2382" s="307"/>
      <c r="G2382" s="308"/>
      <c r="H2382" s="233"/>
      <c r="I2382" s="301"/>
    </row>
    <row r="2383" spans="2:9" s="346" customFormat="1" ht="21" customHeight="1">
      <c r="B2383" s="305"/>
      <c r="C2383" s="305"/>
      <c r="D2383" s="234"/>
      <c r="E2383" s="307"/>
      <c r="F2383" s="307"/>
      <c r="G2383" s="308"/>
      <c r="H2383" s="233"/>
      <c r="I2383" s="301"/>
    </row>
    <row r="2384" spans="2:9" s="346" customFormat="1" ht="21" customHeight="1">
      <c r="B2384" s="305"/>
      <c r="C2384" s="305"/>
      <c r="D2384" s="234"/>
      <c r="E2384" s="307"/>
      <c r="F2384" s="307"/>
      <c r="G2384" s="308"/>
      <c r="H2384" s="233"/>
      <c r="I2384" s="301"/>
    </row>
    <row r="2385" spans="2:9" s="346" customFormat="1" ht="21" customHeight="1">
      <c r="B2385" s="305"/>
      <c r="C2385" s="305"/>
      <c r="D2385" s="234"/>
      <c r="E2385" s="307"/>
      <c r="F2385" s="307"/>
      <c r="G2385" s="308"/>
      <c r="H2385" s="233"/>
      <c r="I2385" s="301"/>
    </row>
    <row r="2386" spans="2:9" s="346" customFormat="1" ht="21" customHeight="1">
      <c r="B2386" s="305"/>
      <c r="C2386" s="305"/>
      <c r="D2386" s="234"/>
      <c r="E2386" s="307"/>
      <c r="F2386" s="307"/>
      <c r="G2386" s="308"/>
      <c r="H2386" s="233"/>
      <c r="I2386" s="301"/>
    </row>
    <row r="2387" spans="2:9" s="346" customFormat="1" ht="21" customHeight="1">
      <c r="B2387" s="305"/>
      <c r="C2387" s="305"/>
      <c r="D2387" s="234"/>
      <c r="E2387" s="307"/>
      <c r="F2387" s="307"/>
      <c r="G2387" s="308"/>
      <c r="H2387" s="233"/>
      <c r="I2387" s="301"/>
    </row>
    <row r="2388" spans="2:9" s="346" customFormat="1" ht="21" customHeight="1">
      <c r="B2388" s="305"/>
      <c r="C2388" s="305"/>
      <c r="D2388" s="234"/>
      <c r="E2388" s="307"/>
      <c r="F2388" s="307"/>
      <c r="G2388" s="308"/>
      <c r="H2388" s="233"/>
      <c r="I2388" s="301"/>
    </row>
    <row r="2389" spans="2:9" s="346" customFormat="1" ht="21" customHeight="1">
      <c r="B2389" s="305"/>
      <c r="C2389" s="305"/>
      <c r="D2389" s="234"/>
      <c r="E2389" s="307"/>
      <c r="F2389" s="307"/>
      <c r="G2389" s="308"/>
      <c r="H2389" s="233"/>
      <c r="I2389" s="301"/>
    </row>
    <row r="2390" spans="2:9" s="346" customFormat="1" ht="21" customHeight="1">
      <c r="B2390" s="305"/>
      <c r="C2390" s="305"/>
      <c r="D2390" s="234"/>
      <c r="E2390" s="307"/>
      <c r="F2390" s="307"/>
      <c r="G2390" s="308"/>
      <c r="H2390" s="233"/>
      <c r="I2390" s="301"/>
    </row>
    <row r="2391" spans="2:9" s="346" customFormat="1" ht="21" customHeight="1">
      <c r="B2391" s="312" t="s">
        <v>835</v>
      </c>
      <c r="C2391" s="305"/>
      <c r="D2391" s="234"/>
      <c r="E2391" s="307"/>
      <c r="F2391" s="307"/>
      <c r="G2391" s="232"/>
      <c r="H2391" s="233"/>
      <c r="I2391" s="301"/>
    </row>
    <row r="2392" spans="2:9" s="346" customFormat="1" ht="21" customHeight="1">
      <c r="B2392" s="305"/>
      <c r="C2392" s="305" t="s">
        <v>1154</v>
      </c>
      <c r="D2392" s="234" t="s">
        <v>869</v>
      </c>
      <c r="E2392" s="307">
        <v>0.19800000000000001</v>
      </c>
      <c r="F2392" s="307"/>
      <c r="G2392" s="232"/>
      <c r="H2392" s="233"/>
      <c r="I2392" s="301"/>
    </row>
    <row r="2393" spans="2:9" s="346" customFormat="1" ht="21" customHeight="1">
      <c r="B2393" s="305"/>
      <c r="C2393" s="305"/>
      <c r="D2393" s="234"/>
      <c r="E2393" s="306"/>
      <c r="F2393" s="306"/>
      <c r="G2393" s="232"/>
      <c r="H2393" s="232"/>
      <c r="I2393" s="301"/>
    </row>
    <row r="2394" spans="2:9" s="346" customFormat="1" ht="21" customHeight="1">
      <c r="B2394" s="305"/>
      <c r="C2394" s="305"/>
      <c r="D2394" s="234"/>
      <c r="E2394" s="306"/>
      <c r="F2394" s="306"/>
      <c r="G2394" s="308"/>
      <c r="H2394" s="233"/>
      <c r="I2394" s="301"/>
    </row>
    <row r="2395" spans="2:9" s="346" customFormat="1" ht="21" customHeight="1">
      <c r="B2395" s="305"/>
      <c r="C2395" s="305"/>
      <c r="D2395" s="234"/>
      <c r="E2395" s="306"/>
      <c r="F2395" s="306"/>
      <c r="G2395" s="308"/>
      <c r="H2395" s="233"/>
      <c r="I2395" s="301"/>
    </row>
    <row r="2396" spans="2:9" s="346" customFormat="1" ht="21" customHeight="1">
      <c r="B2396" s="305"/>
      <c r="C2396" s="305"/>
      <c r="D2396" s="234"/>
      <c r="E2396" s="306"/>
      <c r="F2396" s="306"/>
      <c r="G2396" s="308"/>
      <c r="H2396" s="233"/>
      <c r="I2396" s="301"/>
    </row>
    <row r="2397" spans="2:9" s="346" customFormat="1" ht="21" customHeight="1">
      <c r="B2397" s="312" t="s">
        <v>837</v>
      </c>
      <c r="C2397" s="305"/>
      <c r="D2397" s="234"/>
      <c r="E2397" s="307"/>
      <c r="F2397" s="307"/>
      <c r="G2397" s="232"/>
      <c r="H2397" s="233"/>
      <c r="I2397" s="301"/>
    </row>
    <row r="2398" spans="2:9" s="346" customFormat="1" ht="21" customHeight="1">
      <c r="B2398" s="305"/>
      <c r="C2398" s="305" t="s">
        <v>1154</v>
      </c>
      <c r="D2398" s="234" t="s">
        <v>869</v>
      </c>
      <c r="E2398" s="307">
        <v>6.0000000000000001E-3</v>
      </c>
      <c r="F2398" s="307"/>
      <c r="G2398" s="232"/>
      <c r="H2398" s="233"/>
      <c r="I2398" s="301"/>
    </row>
    <row r="2399" spans="2:9" s="346" customFormat="1" ht="21" customHeight="1">
      <c r="B2399" s="305"/>
      <c r="C2399" s="305"/>
      <c r="D2399" s="234"/>
      <c r="E2399" s="306"/>
      <c r="F2399" s="306"/>
      <c r="G2399" s="232"/>
      <c r="H2399" s="232"/>
      <c r="I2399" s="301"/>
    </row>
    <row r="2400" spans="2:9" s="346" customFormat="1" ht="21" customHeight="1">
      <c r="B2400" s="305"/>
      <c r="C2400" s="305"/>
      <c r="D2400" s="234"/>
      <c r="E2400" s="306"/>
      <c r="F2400" s="306"/>
      <c r="G2400" s="308"/>
      <c r="H2400" s="233"/>
      <c r="I2400" s="301"/>
    </row>
    <row r="2401" spans="2:9" s="346" customFormat="1" ht="21" customHeight="1">
      <c r="B2401" s="305"/>
      <c r="C2401" s="305"/>
      <c r="D2401" s="234"/>
      <c r="E2401" s="306"/>
      <c r="F2401" s="306"/>
      <c r="G2401" s="308"/>
      <c r="H2401" s="233"/>
      <c r="I2401" s="301"/>
    </row>
    <row r="2402" spans="2:9" s="346" customFormat="1" ht="21" customHeight="1">
      <c r="B2402" s="305"/>
      <c r="C2402" s="305"/>
      <c r="D2402" s="234"/>
      <c r="E2402" s="306"/>
      <c r="F2402" s="306"/>
      <c r="G2402" s="308"/>
      <c r="H2402" s="233"/>
      <c r="I2402" s="301"/>
    </row>
    <row r="2403" spans="2:9" s="346" customFormat="1" ht="21" customHeight="1">
      <c r="B2403" s="300" t="str">
        <f>'5. 공종별예산조서'!$A$177</f>
        <v>6-6. 1종금속제가요전선관 신설</v>
      </c>
      <c r="C2403" s="300" t="str">
        <f>'5. 공종별예산조서'!$B$177</f>
        <v>일반, 16C</v>
      </c>
      <c r="D2403" s="301" t="str">
        <f>'5. 공종별예산조서'!$C$177</f>
        <v>M</v>
      </c>
      <c r="E2403" s="309">
        <f>'5. 공종별예산조서'!$D$177</f>
        <v>263</v>
      </c>
      <c r="F2403" s="302"/>
      <c r="G2403" s="303"/>
      <c r="H2403" s="304"/>
      <c r="I2403" s="301"/>
    </row>
    <row r="2404" spans="2:9" s="346" customFormat="1" ht="21" customHeight="1">
      <c r="B2404" s="312" t="s">
        <v>834</v>
      </c>
      <c r="C2404" s="305"/>
      <c r="D2404" s="234"/>
      <c r="E2404" s="310"/>
      <c r="F2404" s="306"/>
      <c r="G2404" s="232"/>
      <c r="H2404" s="233"/>
      <c r="I2404" s="301"/>
    </row>
    <row r="2405" spans="2:9" s="346" customFormat="1" ht="21" customHeight="1">
      <c r="B2405" s="305" t="s">
        <v>1084</v>
      </c>
      <c r="C2405" s="305" t="str">
        <f>C2403</f>
        <v>일반, 16C</v>
      </c>
      <c r="D2405" s="234" t="str">
        <f>D2403</f>
        <v>M</v>
      </c>
      <c r="E2405" s="311">
        <f>E2403</f>
        <v>263</v>
      </c>
      <c r="F2405" s="307"/>
      <c r="G2405" s="308"/>
      <c r="H2405" s="233"/>
      <c r="I2405" s="301"/>
    </row>
    <row r="2406" spans="2:9" s="346" customFormat="1" ht="21" customHeight="1">
      <c r="B2406" s="305" t="s">
        <v>1133</v>
      </c>
      <c r="C2406" s="305" t="s">
        <v>1134</v>
      </c>
      <c r="D2406" s="234" t="s">
        <v>1135</v>
      </c>
      <c r="E2406" s="313">
        <v>1</v>
      </c>
      <c r="F2406" s="307"/>
      <c r="G2406" s="308"/>
      <c r="H2406" s="233"/>
      <c r="I2406" s="301"/>
    </row>
    <row r="2407" spans="2:9" s="346" customFormat="1" ht="21" customHeight="1">
      <c r="B2407" s="305"/>
      <c r="C2407" s="305"/>
      <c r="D2407" s="234"/>
      <c r="E2407" s="307"/>
      <c r="F2407" s="307"/>
      <c r="G2407" s="308"/>
      <c r="H2407" s="233"/>
      <c r="I2407" s="301"/>
    </row>
    <row r="2408" spans="2:9" s="346" customFormat="1" ht="21" customHeight="1">
      <c r="B2408" s="305"/>
      <c r="C2408" s="305"/>
      <c r="D2408" s="234"/>
      <c r="E2408" s="307"/>
      <c r="F2408" s="307"/>
      <c r="G2408" s="308"/>
      <c r="H2408" s="233"/>
      <c r="I2408" s="301"/>
    </row>
    <row r="2409" spans="2:9" s="346" customFormat="1" ht="21" customHeight="1">
      <c r="B2409" s="305"/>
      <c r="C2409" s="305"/>
      <c r="D2409" s="234"/>
      <c r="E2409" s="307"/>
      <c r="F2409" s="307"/>
      <c r="G2409" s="308"/>
      <c r="H2409" s="233"/>
      <c r="I2409" s="301"/>
    </row>
    <row r="2410" spans="2:9" s="346" customFormat="1" ht="21" customHeight="1">
      <c r="B2410" s="305"/>
      <c r="C2410" s="305"/>
      <c r="D2410" s="234"/>
      <c r="E2410" s="307"/>
      <c r="F2410" s="307"/>
      <c r="G2410" s="308"/>
      <c r="H2410" s="233"/>
      <c r="I2410" s="301"/>
    </row>
    <row r="2411" spans="2:9" s="346" customFormat="1" ht="21" customHeight="1">
      <c r="B2411" s="305"/>
      <c r="C2411" s="305"/>
      <c r="D2411" s="234"/>
      <c r="E2411" s="307"/>
      <c r="F2411" s="307"/>
      <c r="G2411" s="308"/>
      <c r="H2411" s="233"/>
      <c r="I2411" s="301"/>
    </row>
    <row r="2412" spans="2:9" s="346" customFormat="1" ht="21" customHeight="1">
      <c r="B2412" s="305"/>
      <c r="C2412" s="305"/>
      <c r="D2412" s="234"/>
      <c r="E2412" s="307"/>
      <c r="F2412" s="307"/>
      <c r="G2412" s="308"/>
      <c r="H2412" s="233"/>
      <c r="I2412" s="301"/>
    </row>
    <row r="2413" spans="2:9" s="346" customFormat="1" ht="21" customHeight="1">
      <c r="B2413" s="305"/>
      <c r="C2413" s="305"/>
      <c r="D2413" s="234"/>
      <c r="E2413" s="307"/>
      <c r="F2413" s="307"/>
      <c r="G2413" s="308"/>
      <c r="H2413" s="233"/>
      <c r="I2413" s="301"/>
    </row>
    <row r="2414" spans="2:9" s="346" customFormat="1" ht="21" customHeight="1">
      <c r="B2414" s="305"/>
      <c r="C2414" s="305"/>
      <c r="D2414" s="234"/>
      <c r="E2414" s="307"/>
      <c r="F2414" s="307"/>
      <c r="G2414" s="308"/>
      <c r="H2414" s="233"/>
      <c r="I2414" s="301"/>
    </row>
    <row r="2415" spans="2:9" s="346" customFormat="1" ht="21" customHeight="1">
      <c r="B2415" s="312" t="s">
        <v>835</v>
      </c>
      <c r="C2415" s="305"/>
      <c r="D2415" s="234"/>
      <c r="E2415" s="307"/>
      <c r="F2415" s="307"/>
      <c r="G2415" s="232"/>
      <c r="H2415" s="233"/>
      <c r="I2415" s="301"/>
    </row>
    <row r="2416" spans="2:9" s="346" customFormat="1" ht="21" customHeight="1">
      <c r="B2416" s="305"/>
      <c r="C2416" s="305" t="s">
        <v>1154</v>
      </c>
      <c r="D2416" s="234" t="s">
        <v>869</v>
      </c>
      <c r="E2416" s="307">
        <v>10.414999999999999</v>
      </c>
      <c r="F2416" s="307"/>
      <c r="G2416" s="232"/>
      <c r="H2416" s="233"/>
      <c r="I2416" s="301"/>
    </row>
    <row r="2417" spans="2:9" s="346" customFormat="1" ht="21" customHeight="1">
      <c r="B2417" s="305"/>
      <c r="C2417" s="305"/>
      <c r="D2417" s="234"/>
      <c r="E2417" s="306"/>
      <c r="F2417" s="306"/>
      <c r="G2417" s="232"/>
      <c r="H2417" s="232"/>
      <c r="I2417" s="301"/>
    </row>
    <row r="2418" spans="2:9" s="346" customFormat="1" ht="21" customHeight="1">
      <c r="B2418" s="305"/>
      <c r="C2418" s="305"/>
      <c r="D2418" s="234"/>
      <c r="E2418" s="306"/>
      <c r="F2418" s="306"/>
      <c r="G2418" s="308"/>
      <c r="H2418" s="233"/>
      <c r="I2418" s="301"/>
    </row>
    <row r="2419" spans="2:9" s="346" customFormat="1" ht="21" customHeight="1">
      <c r="B2419" s="305"/>
      <c r="C2419" s="305"/>
      <c r="D2419" s="234"/>
      <c r="E2419" s="306"/>
      <c r="F2419" s="306"/>
      <c r="G2419" s="308"/>
      <c r="H2419" s="233"/>
      <c r="I2419" s="301"/>
    </row>
    <row r="2420" spans="2:9" s="346" customFormat="1" ht="21" customHeight="1">
      <c r="B2420" s="305"/>
      <c r="C2420" s="305"/>
      <c r="D2420" s="234"/>
      <c r="E2420" s="306"/>
      <c r="F2420" s="306"/>
      <c r="G2420" s="308"/>
      <c r="H2420" s="233"/>
      <c r="I2420" s="301"/>
    </row>
    <row r="2421" spans="2:9" s="346" customFormat="1" ht="21" customHeight="1">
      <c r="B2421" s="312" t="s">
        <v>837</v>
      </c>
      <c r="C2421" s="305"/>
      <c r="D2421" s="234"/>
      <c r="E2421" s="307"/>
      <c r="F2421" s="307"/>
      <c r="G2421" s="232"/>
      <c r="H2421" s="233"/>
      <c r="I2421" s="301"/>
    </row>
    <row r="2422" spans="2:9" s="346" customFormat="1" ht="21" customHeight="1">
      <c r="B2422" s="305"/>
      <c r="C2422" s="305" t="s">
        <v>1154</v>
      </c>
      <c r="D2422" s="234" t="s">
        <v>869</v>
      </c>
      <c r="E2422" s="307">
        <v>0.312</v>
      </c>
      <c r="F2422" s="307"/>
      <c r="G2422" s="232"/>
      <c r="H2422" s="233"/>
      <c r="I2422" s="301"/>
    </row>
    <row r="2423" spans="2:9" s="346" customFormat="1" ht="21" customHeight="1">
      <c r="B2423" s="305"/>
      <c r="C2423" s="305"/>
      <c r="D2423" s="234"/>
      <c r="E2423" s="306"/>
      <c r="F2423" s="306"/>
      <c r="G2423" s="232"/>
      <c r="H2423" s="232"/>
      <c r="I2423" s="301"/>
    </row>
    <row r="2424" spans="2:9" s="346" customFormat="1" ht="21" customHeight="1">
      <c r="B2424" s="305"/>
      <c r="C2424" s="305"/>
      <c r="D2424" s="234"/>
      <c r="E2424" s="306"/>
      <c r="F2424" s="306"/>
      <c r="G2424" s="308"/>
      <c r="H2424" s="233"/>
      <c r="I2424" s="301"/>
    </row>
    <row r="2425" spans="2:9" s="346" customFormat="1" ht="21" customHeight="1">
      <c r="B2425" s="305"/>
      <c r="C2425" s="305"/>
      <c r="D2425" s="234"/>
      <c r="E2425" s="306"/>
      <c r="F2425" s="306"/>
      <c r="G2425" s="308"/>
      <c r="H2425" s="233"/>
      <c r="I2425" s="301"/>
    </row>
    <row r="2426" spans="2:9" s="346" customFormat="1" ht="21" customHeight="1">
      <c r="B2426" s="305"/>
      <c r="C2426" s="305"/>
      <c r="D2426" s="234"/>
      <c r="E2426" s="306"/>
      <c r="F2426" s="306"/>
      <c r="G2426" s="308"/>
      <c r="H2426" s="233"/>
      <c r="I2426" s="301"/>
    </row>
    <row r="2427" spans="2:9" s="346" customFormat="1" ht="21" customHeight="1">
      <c r="B2427" s="300" t="str">
        <f>'5. 공종별예산조서'!$A$178</f>
        <v>6-7. 전선 신설</v>
      </c>
      <c r="C2427" s="300" t="str">
        <f>'5. 공종별예산조서'!$B$178</f>
        <v>HFIX, 2.5SQ</v>
      </c>
      <c r="D2427" s="301" t="str">
        <f>'5. 공종별예산조서'!$C$178</f>
        <v>M</v>
      </c>
      <c r="E2427" s="309">
        <f>'5. 공종별예산조서'!$D$178</f>
        <v>789</v>
      </c>
      <c r="F2427" s="302"/>
      <c r="G2427" s="303"/>
      <c r="H2427" s="304"/>
      <c r="I2427" s="301"/>
    </row>
    <row r="2428" spans="2:9" s="346" customFormat="1" ht="21" customHeight="1">
      <c r="B2428" s="312" t="s">
        <v>834</v>
      </c>
      <c r="C2428" s="305"/>
      <c r="D2428" s="234"/>
      <c r="E2428" s="310"/>
      <c r="F2428" s="306"/>
      <c r="G2428" s="232"/>
      <c r="H2428" s="233"/>
      <c r="I2428" s="301"/>
    </row>
    <row r="2429" spans="2:9" s="346" customFormat="1" ht="21" customHeight="1">
      <c r="B2429" s="305" t="s">
        <v>1118</v>
      </c>
      <c r="C2429" s="305" t="str">
        <f>C2427</f>
        <v>HFIX, 2.5SQ</v>
      </c>
      <c r="D2429" s="234" t="str">
        <f>D2427</f>
        <v>M</v>
      </c>
      <c r="E2429" s="311">
        <f>E2427</f>
        <v>789</v>
      </c>
      <c r="F2429" s="307"/>
      <c r="G2429" s="308"/>
      <c r="H2429" s="233"/>
      <c r="I2429" s="301"/>
    </row>
    <row r="2430" spans="2:9" s="346" customFormat="1" ht="21" customHeight="1">
      <c r="B2430" s="305"/>
      <c r="C2430" s="305"/>
      <c r="D2430" s="234"/>
      <c r="E2430" s="313"/>
      <c r="F2430" s="307"/>
      <c r="G2430" s="308"/>
      <c r="H2430" s="233"/>
      <c r="I2430" s="301"/>
    </row>
    <row r="2431" spans="2:9" s="346" customFormat="1" ht="21" customHeight="1">
      <c r="B2431" s="305"/>
      <c r="C2431" s="305"/>
      <c r="D2431" s="234"/>
      <c r="E2431" s="307"/>
      <c r="F2431" s="307"/>
      <c r="G2431" s="308"/>
      <c r="H2431" s="233"/>
      <c r="I2431" s="301"/>
    </row>
    <row r="2432" spans="2:9" s="346" customFormat="1" ht="21" customHeight="1">
      <c r="B2432" s="305"/>
      <c r="C2432" s="305"/>
      <c r="D2432" s="234"/>
      <c r="E2432" s="307"/>
      <c r="F2432" s="307"/>
      <c r="G2432" s="308"/>
      <c r="H2432" s="233"/>
      <c r="I2432" s="301"/>
    </row>
    <row r="2433" spans="2:9" s="346" customFormat="1" ht="21" customHeight="1">
      <c r="B2433" s="305"/>
      <c r="C2433" s="305"/>
      <c r="D2433" s="234"/>
      <c r="E2433" s="307"/>
      <c r="F2433" s="307"/>
      <c r="G2433" s="308"/>
      <c r="H2433" s="233"/>
      <c r="I2433" s="301"/>
    </row>
    <row r="2434" spans="2:9" s="346" customFormat="1" ht="21" customHeight="1">
      <c r="B2434" s="305"/>
      <c r="C2434" s="305"/>
      <c r="D2434" s="234"/>
      <c r="E2434" s="307"/>
      <c r="F2434" s="307"/>
      <c r="G2434" s="308"/>
      <c r="H2434" s="233"/>
      <c r="I2434" s="301"/>
    </row>
    <row r="2435" spans="2:9" s="346" customFormat="1" ht="21" customHeight="1">
      <c r="B2435" s="305"/>
      <c r="C2435" s="305"/>
      <c r="D2435" s="234"/>
      <c r="E2435" s="307"/>
      <c r="F2435" s="307"/>
      <c r="G2435" s="308"/>
      <c r="H2435" s="233"/>
      <c r="I2435" s="301"/>
    </row>
    <row r="2436" spans="2:9" s="346" customFormat="1" ht="21" customHeight="1">
      <c r="B2436" s="305"/>
      <c r="C2436" s="305"/>
      <c r="D2436" s="234"/>
      <c r="E2436" s="307"/>
      <c r="F2436" s="307"/>
      <c r="G2436" s="308"/>
      <c r="H2436" s="233"/>
      <c r="I2436" s="301"/>
    </row>
    <row r="2437" spans="2:9" s="346" customFormat="1" ht="21" customHeight="1">
      <c r="B2437" s="305"/>
      <c r="C2437" s="305"/>
      <c r="D2437" s="234"/>
      <c r="E2437" s="307"/>
      <c r="F2437" s="307"/>
      <c r="G2437" s="308"/>
      <c r="H2437" s="233"/>
      <c r="I2437" s="301"/>
    </row>
    <row r="2438" spans="2:9" s="346" customFormat="1" ht="21" customHeight="1">
      <c r="B2438" s="305"/>
      <c r="C2438" s="305"/>
      <c r="D2438" s="234"/>
      <c r="E2438" s="307"/>
      <c r="F2438" s="307"/>
      <c r="G2438" s="308"/>
      <c r="H2438" s="233"/>
      <c r="I2438" s="301"/>
    </row>
    <row r="2439" spans="2:9" s="346" customFormat="1" ht="21" customHeight="1">
      <c r="B2439" s="312" t="s">
        <v>835</v>
      </c>
      <c r="C2439" s="305"/>
      <c r="D2439" s="234"/>
      <c r="E2439" s="307"/>
      <c r="F2439" s="307"/>
      <c r="G2439" s="232"/>
      <c r="H2439" s="233"/>
      <c r="I2439" s="301"/>
    </row>
    <row r="2440" spans="2:9" s="346" customFormat="1" ht="21" customHeight="1">
      <c r="B2440" s="305"/>
      <c r="C2440" s="305" t="s">
        <v>1154</v>
      </c>
      <c r="D2440" s="234" t="s">
        <v>869</v>
      </c>
      <c r="E2440" s="307">
        <v>6.8369999999999997</v>
      </c>
      <c r="F2440" s="307"/>
      <c r="G2440" s="232"/>
      <c r="H2440" s="233"/>
      <c r="I2440" s="301"/>
    </row>
    <row r="2441" spans="2:9" s="346" customFormat="1" ht="21" customHeight="1">
      <c r="B2441" s="305"/>
      <c r="C2441" s="305"/>
      <c r="D2441" s="234"/>
      <c r="E2441" s="306"/>
      <c r="F2441" s="306"/>
      <c r="G2441" s="232"/>
      <c r="H2441" s="232"/>
      <c r="I2441" s="301"/>
    </row>
    <row r="2442" spans="2:9" s="346" customFormat="1" ht="21" customHeight="1">
      <c r="B2442" s="305"/>
      <c r="C2442" s="305"/>
      <c r="D2442" s="234"/>
      <c r="E2442" s="306"/>
      <c r="F2442" s="306"/>
      <c r="G2442" s="308"/>
      <c r="H2442" s="233"/>
      <c r="I2442" s="301"/>
    </row>
    <row r="2443" spans="2:9" s="346" customFormat="1" ht="21" customHeight="1">
      <c r="B2443" s="305"/>
      <c r="C2443" s="305"/>
      <c r="D2443" s="234"/>
      <c r="E2443" s="306"/>
      <c r="F2443" s="306"/>
      <c r="G2443" s="308"/>
      <c r="H2443" s="233"/>
      <c r="I2443" s="301"/>
    </row>
    <row r="2444" spans="2:9" s="346" customFormat="1" ht="21" customHeight="1">
      <c r="B2444" s="305"/>
      <c r="C2444" s="305"/>
      <c r="D2444" s="234"/>
      <c r="E2444" s="306"/>
      <c r="F2444" s="306"/>
      <c r="G2444" s="308"/>
      <c r="H2444" s="233"/>
      <c r="I2444" s="301"/>
    </row>
    <row r="2445" spans="2:9" s="346" customFormat="1" ht="21" customHeight="1">
      <c r="B2445" s="312" t="s">
        <v>837</v>
      </c>
      <c r="C2445" s="305"/>
      <c r="D2445" s="234"/>
      <c r="E2445" s="307"/>
      <c r="F2445" s="307"/>
      <c r="G2445" s="232"/>
      <c r="H2445" s="233"/>
      <c r="I2445" s="301"/>
    </row>
    <row r="2446" spans="2:9" s="346" customFormat="1" ht="21" customHeight="1">
      <c r="B2446" s="305"/>
      <c r="C2446" s="305" t="s">
        <v>1154</v>
      </c>
      <c r="D2446" s="234" t="s">
        <v>869</v>
      </c>
      <c r="E2446" s="307">
        <v>0.20499999999999999</v>
      </c>
      <c r="F2446" s="307"/>
      <c r="G2446" s="232"/>
      <c r="H2446" s="233"/>
      <c r="I2446" s="301"/>
    </row>
    <row r="2447" spans="2:9" s="346" customFormat="1" ht="21" customHeight="1">
      <c r="B2447" s="305"/>
      <c r="C2447" s="305"/>
      <c r="D2447" s="234"/>
      <c r="E2447" s="306"/>
      <c r="F2447" s="306"/>
      <c r="G2447" s="232"/>
      <c r="H2447" s="232"/>
      <c r="I2447" s="301"/>
    </row>
    <row r="2448" spans="2:9" s="346" customFormat="1" ht="21" customHeight="1">
      <c r="B2448" s="305"/>
      <c r="C2448" s="305"/>
      <c r="D2448" s="234"/>
      <c r="E2448" s="306"/>
      <c r="F2448" s="306"/>
      <c r="G2448" s="308"/>
      <c r="H2448" s="233"/>
      <c r="I2448" s="301"/>
    </row>
    <row r="2449" spans="2:9" s="346" customFormat="1" ht="21" customHeight="1">
      <c r="B2449" s="305"/>
      <c r="C2449" s="305"/>
      <c r="D2449" s="234"/>
      <c r="E2449" s="306"/>
      <c r="F2449" s="306"/>
      <c r="G2449" s="308"/>
      <c r="H2449" s="233"/>
      <c r="I2449" s="301"/>
    </row>
    <row r="2450" spans="2:9" s="346" customFormat="1" ht="21" customHeight="1">
      <c r="B2450" s="305"/>
      <c r="C2450" s="305"/>
      <c r="D2450" s="234"/>
      <c r="E2450" s="306"/>
      <c r="F2450" s="306"/>
      <c r="G2450" s="308"/>
      <c r="H2450" s="233"/>
      <c r="I2450" s="301"/>
    </row>
    <row r="2451" spans="2:9" s="346" customFormat="1" ht="21" customHeight="1">
      <c r="B2451" s="300" t="str">
        <f>'5. 공종별예산조서'!$A$179</f>
        <v>6-8. 콘센트 신설</v>
      </c>
      <c r="C2451" s="300" t="str">
        <f>'5. 공종별예산조서'!$B$179</f>
        <v>매입-접지형, 15A 250V 2구</v>
      </c>
      <c r="D2451" s="301" t="str">
        <f>'5. 공종별예산조서'!$C$179</f>
        <v>개</v>
      </c>
      <c r="E2451" s="309">
        <f>'5. 공종별예산조서'!$D$179</f>
        <v>20</v>
      </c>
      <c r="F2451" s="302"/>
      <c r="G2451" s="303"/>
      <c r="H2451" s="304"/>
      <c r="I2451" s="301"/>
    </row>
    <row r="2452" spans="2:9" s="346" customFormat="1" ht="21" customHeight="1">
      <c r="B2452" s="312" t="s">
        <v>834</v>
      </c>
      <c r="C2452" s="305"/>
      <c r="D2452" s="234"/>
      <c r="E2452" s="310"/>
      <c r="F2452" s="306"/>
      <c r="G2452" s="232"/>
      <c r="H2452" s="233"/>
      <c r="I2452" s="301"/>
    </row>
    <row r="2453" spans="2:9" s="346" customFormat="1" ht="21" customHeight="1">
      <c r="B2453" s="305" t="s">
        <v>1145</v>
      </c>
      <c r="C2453" s="305" t="str">
        <f>C2451</f>
        <v>매입-접지형, 15A 250V 2구</v>
      </c>
      <c r="D2453" s="234" t="str">
        <f>D2451</f>
        <v>개</v>
      </c>
      <c r="E2453" s="311">
        <f>E2451</f>
        <v>20</v>
      </c>
      <c r="F2453" s="307"/>
      <c r="G2453" s="308"/>
      <c r="H2453" s="233"/>
      <c r="I2453" s="301"/>
    </row>
    <row r="2454" spans="2:9" s="346" customFormat="1" ht="21" customHeight="1">
      <c r="B2454" s="305"/>
      <c r="C2454" s="305"/>
      <c r="D2454" s="234"/>
      <c r="E2454" s="313"/>
      <c r="F2454" s="307"/>
      <c r="G2454" s="308"/>
      <c r="H2454" s="233"/>
      <c r="I2454" s="301"/>
    </row>
    <row r="2455" spans="2:9" s="346" customFormat="1" ht="21" customHeight="1">
      <c r="B2455" s="305"/>
      <c r="C2455" s="305"/>
      <c r="D2455" s="234"/>
      <c r="E2455" s="307"/>
      <c r="F2455" s="307"/>
      <c r="G2455" s="308"/>
      <c r="H2455" s="233"/>
      <c r="I2455" s="301"/>
    </row>
    <row r="2456" spans="2:9" s="346" customFormat="1" ht="21" customHeight="1">
      <c r="B2456" s="305"/>
      <c r="C2456" s="305"/>
      <c r="D2456" s="234"/>
      <c r="E2456" s="307"/>
      <c r="F2456" s="307"/>
      <c r="G2456" s="308"/>
      <c r="H2456" s="233"/>
      <c r="I2456" s="301"/>
    </row>
    <row r="2457" spans="2:9" s="346" customFormat="1" ht="21" customHeight="1">
      <c r="B2457" s="305"/>
      <c r="C2457" s="305"/>
      <c r="D2457" s="234"/>
      <c r="E2457" s="307"/>
      <c r="F2457" s="307"/>
      <c r="G2457" s="308"/>
      <c r="H2457" s="233"/>
      <c r="I2457" s="301"/>
    </row>
    <row r="2458" spans="2:9" s="346" customFormat="1" ht="21" customHeight="1">
      <c r="B2458" s="305"/>
      <c r="C2458" s="305"/>
      <c r="D2458" s="234"/>
      <c r="E2458" s="307"/>
      <c r="F2458" s="307"/>
      <c r="G2458" s="308"/>
      <c r="H2458" s="233"/>
      <c r="I2458" s="301"/>
    </row>
    <row r="2459" spans="2:9" s="346" customFormat="1" ht="21" customHeight="1">
      <c r="B2459" s="305"/>
      <c r="C2459" s="305"/>
      <c r="D2459" s="234"/>
      <c r="E2459" s="307"/>
      <c r="F2459" s="307"/>
      <c r="G2459" s="308"/>
      <c r="H2459" s="233"/>
      <c r="I2459" s="301"/>
    </row>
    <row r="2460" spans="2:9" s="346" customFormat="1" ht="21" customHeight="1">
      <c r="B2460" s="305"/>
      <c r="C2460" s="305"/>
      <c r="D2460" s="234"/>
      <c r="E2460" s="307"/>
      <c r="F2460" s="307"/>
      <c r="G2460" s="308"/>
      <c r="H2460" s="233"/>
      <c r="I2460" s="301"/>
    </row>
    <row r="2461" spans="2:9" s="346" customFormat="1" ht="21" customHeight="1">
      <c r="B2461" s="305"/>
      <c r="C2461" s="305"/>
      <c r="D2461" s="234"/>
      <c r="E2461" s="307"/>
      <c r="F2461" s="307"/>
      <c r="G2461" s="308"/>
      <c r="H2461" s="233"/>
      <c r="I2461" s="301"/>
    </row>
    <row r="2462" spans="2:9" s="346" customFormat="1" ht="21" customHeight="1">
      <c r="B2462" s="305"/>
      <c r="C2462" s="305"/>
      <c r="D2462" s="234"/>
      <c r="E2462" s="307"/>
      <c r="F2462" s="307"/>
      <c r="G2462" s="308"/>
      <c r="H2462" s="233"/>
      <c r="I2462" s="301"/>
    </row>
    <row r="2463" spans="2:9" s="346" customFormat="1" ht="21" customHeight="1">
      <c r="B2463" s="312" t="s">
        <v>835</v>
      </c>
      <c r="C2463" s="305"/>
      <c r="D2463" s="234"/>
      <c r="E2463" s="307"/>
      <c r="F2463" s="307"/>
      <c r="G2463" s="232"/>
      <c r="H2463" s="233"/>
      <c r="I2463" s="301"/>
    </row>
    <row r="2464" spans="2:9" s="346" customFormat="1" ht="21" customHeight="1">
      <c r="B2464" s="305"/>
      <c r="C2464" s="305" t="s">
        <v>1154</v>
      </c>
      <c r="D2464" s="234" t="s">
        <v>869</v>
      </c>
      <c r="E2464" s="307">
        <v>1.6</v>
      </c>
      <c r="F2464" s="307"/>
      <c r="G2464" s="232"/>
      <c r="H2464" s="233"/>
      <c r="I2464" s="301"/>
    </row>
    <row r="2465" spans="2:9" s="346" customFormat="1" ht="21" customHeight="1">
      <c r="B2465" s="305"/>
      <c r="C2465" s="305"/>
      <c r="D2465" s="234"/>
      <c r="E2465" s="306"/>
      <c r="F2465" s="306"/>
      <c r="G2465" s="232"/>
      <c r="H2465" s="232"/>
      <c r="I2465" s="301"/>
    </row>
    <row r="2466" spans="2:9" s="346" customFormat="1" ht="21" customHeight="1">
      <c r="B2466" s="305"/>
      <c r="C2466" s="305"/>
      <c r="D2466" s="234"/>
      <c r="E2466" s="306"/>
      <c r="F2466" s="306"/>
      <c r="G2466" s="308"/>
      <c r="H2466" s="233"/>
      <c r="I2466" s="301"/>
    </row>
    <row r="2467" spans="2:9" s="346" customFormat="1" ht="21" customHeight="1">
      <c r="B2467" s="305"/>
      <c r="C2467" s="305"/>
      <c r="D2467" s="234"/>
      <c r="E2467" s="306"/>
      <c r="F2467" s="306"/>
      <c r="G2467" s="308"/>
      <c r="H2467" s="233"/>
      <c r="I2467" s="301"/>
    </row>
    <row r="2468" spans="2:9" s="346" customFormat="1" ht="21" customHeight="1">
      <c r="B2468" s="305"/>
      <c r="C2468" s="305"/>
      <c r="D2468" s="234"/>
      <c r="E2468" s="306"/>
      <c r="F2468" s="306"/>
      <c r="G2468" s="308"/>
      <c r="H2468" s="233"/>
      <c r="I2468" s="301"/>
    </row>
    <row r="2469" spans="2:9" s="346" customFormat="1" ht="21" customHeight="1">
      <c r="B2469" s="312" t="s">
        <v>837</v>
      </c>
      <c r="C2469" s="305"/>
      <c r="D2469" s="234"/>
      <c r="E2469" s="307"/>
      <c r="F2469" s="307"/>
      <c r="G2469" s="232"/>
      <c r="H2469" s="233"/>
      <c r="I2469" s="301"/>
    </row>
    <row r="2470" spans="2:9" s="346" customFormat="1" ht="21" customHeight="1">
      <c r="B2470" s="305"/>
      <c r="C2470" s="305" t="s">
        <v>1154</v>
      </c>
      <c r="D2470" s="234" t="s">
        <v>869</v>
      </c>
      <c r="E2470" s="307">
        <v>4.8000000000000001E-2</v>
      </c>
      <c r="F2470" s="307"/>
      <c r="G2470" s="232"/>
      <c r="H2470" s="233"/>
      <c r="I2470" s="301"/>
    </row>
    <row r="2471" spans="2:9" s="346" customFormat="1" ht="21" customHeight="1">
      <c r="B2471" s="305"/>
      <c r="C2471" s="305"/>
      <c r="D2471" s="234"/>
      <c r="E2471" s="306"/>
      <c r="F2471" s="306"/>
      <c r="G2471" s="232"/>
      <c r="H2471" s="232"/>
      <c r="I2471" s="301"/>
    </row>
    <row r="2472" spans="2:9" s="346" customFormat="1" ht="21" customHeight="1">
      <c r="B2472" s="305"/>
      <c r="C2472" s="305"/>
      <c r="D2472" s="234"/>
      <c r="E2472" s="306"/>
      <c r="F2472" s="306"/>
      <c r="G2472" s="308"/>
      <c r="H2472" s="233"/>
      <c r="I2472" s="301"/>
    </row>
    <row r="2473" spans="2:9" s="346" customFormat="1" ht="21" customHeight="1">
      <c r="B2473" s="305"/>
      <c r="C2473" s="305"/>
      <c r="D2473" s="234"/>
      <c r="E2473" s="306"/>
      <c r="F2473" s="306"/>
      <c r="G2473" s="308"/>
      <c r="H2473" s="233"/>
      <c r="I2473" s="301"/>
    </row>
    <row r="2474" spans="2:9" s="346" customFormat="1" ht="21" customHeight="1">
      <c r="B2474" s="305"/>
      <c r="C2474" s="305"/>
      <c r="D2474" s="234"/>
      <c r="E2474" s="306"/>
      <c r="F2474" s="306"/>
      <c r="G2474" s="308"/>
      <c r="H2474" s="233"/>
      <c r="I2474" s="301"/>
    </row>
    <row r="2475" spans="2:9" s="346" customFormat="1" ht="21" customHeight="1">
      <c r="B2475" s="300" t="str">
        <f>'5. 공종별예산조서'!$A$180</f>
        <v>6-9. 아우트렛박스(커버포함) 신설</v>
      </c>
      <c r="C2475" s="300" t="str">
        <f>'5. 공종별예산조서'!$B$180</f>
        <v>4각 중형 54㎜</v>
      </c>
      <c r="D2475" s="301" t="str">
        <f>'5. 공종별예산조서'!$C$180</f>
        <v>개</v>
      </c>
      <c r="E2475" s="309">
        <f>'5. 공종별예산조서'!$D$180</f>
        <v>13</v>
      </c>
      <c r="F2475" s="302"/>
      <c r="G2475" s="303"/>
      <c r="H2475" s="304"/>
      <c r="I2475" s="301"/>
    </row>
    <row r="2476" spans="2:9" s="346" customFormat="1" ht="21" customHeight="1">
      <c r="B2476" s="312" t="s">
        <v>834</v>
      </c>
      <c r="C2476" s="305"/>
      <c r="D2476" s="234"/>
      <c r="E2476" s="310"/>
      <c r="F2476" s="306"/>
      <c r="G2476" s="232"/>
      <c r="H2476" s="233"/>
      <c r="I2476" s="301"/>
    </row>
    <row r="2477" spans="2:9" s="346" customFormat="1" ht="21" customHeight="1">
      <c r="B2477" s="305" t="s">
        <v>1126</v>
      </c>
      <c r="C2477" s="305" t="str">
        <f>C2475</f>
        <v>4각 중형 54㎜</v>
      </c>
      <c r="D2477" s="234" t="str">
        <f>D2475</f>
        <v>개</v>
      </c>
      <c r="E2477" s="311">
        <f>E2475</f>
        <v>13</v>
      </c>
      <c r="F2477" s="307"/>
      <c r="G2477" s="308"/>
      <c r="H2477" s="233"/>
      <c r="I2477" s="301"/>
    </row>
    <row r="2478" spans="2:9" s="346" customFormat="1" ht="21" customHeight="1">
      <c r="B2478" s="305" t="s">
        <v>1127</v>
      </c>
      <c r="C2478" s="305" t="s">
        <v>1128</v>
      </c>
      <c r="D2478" s="234" t="str">
        <f>D2477</f>
        <v>개</v>
      </c>
      <c r="E2478" s="313">
        <f>E2477</f>
        <v>13</v>
      </c>
      <c r="F2478" s="307"/>
      <c r="G2478" s="308"/>
      <c r="H2478" s="233"/>
      <c r="I2478" s="301"/>
    </row>
    <row r="2479" spans="2:9" s="346" customFormat="1" ht="21" customHeight="1">
      <c r="B2479" s="305"/>
      <c r="C2479" s="305"/>
      <c r="D2479" s="234"/>
      <c r="E2479" s="307"/>
      <c r="F2479" s="307"/>
      <c r="G2479" s="308"/>
      <c r="H2479" s="233"/>
      <c r="I2479" s="301"/>
    </row>
    <row r="2480" spans="2:9" s="346" customFormat="1" ht="21" customHeight="1">
      <c r="B2480" s="305"/>
      <c r="C2480" s="305"/>
      <c r="D2480" s="234"/>
      <c r="E2480" s="307"/>
      <c r="F2480" s="307"/>
      <c r="G2480" s="308"/>
      <c r="H2480" s="233"/>
      <c r="I2480" s="301"/>
    </row>
    <row r="2481" spans="2:9" s="346" customFormat="1" ht="21" customHeight="1">
      <c r="B2481" s="305"/>
      <c r="C2481" s="305"/>
      <c r="D2481" s="234"/>
      <c r="E2481" s="307"/>
      <c r="F2481" s="307"/>
      <c r="G2481" s="308"/>
      <c r="H2481" s="233"/>
      <c r="I2481" s="301"/>
    </row>
    <row r="2482" spans="2:9" s="346" customFormat="1" ht="21" customHeight="1">
      <c r="B2482" s="305"/>
      <c r="C2482" s="305"/>
      <c r="D2482" s="234"/>
      <c r="E2482" s="307"/>
      <c r="F2482" s="307"/>
      <c r="G2482" s="308"/>
      <c r="H2482" s="233"/>
      <c r="I2482" s="301"/>
    </row>
    <row r="2483" spans="2:9" s="346" customFormat="1" ht="21" customHeight="1">
      <c r="B2483" s="305"/>
      <c r="C2483" s="305"/>
      <c r="D2483" s="234"/>
      <c r="E2483" s="307"/>
      <c r="F2483" s="307"/>
      <c r="G2483" s="308"/>
      <c r="H2483" s="233"/>
      <c r="I2483" s="301"/>
    </row>
    <row r="2484" spans="2:9" s="346" customFormat="1" ht="21" customHeight="1">
      <c r="B2484" s="305"/>
      <c r="C2484" s="305"/>
      <c r="D2484" s="234"/>
      <c r="E2484" s="307"/>
      <c r="F2484" s="307"/>
      <c r="G2484" s="308"/>
      <c r="H2484" s="233"/>
      <c r="I2484" s="301"/>
    </row>
    <row r="2485" spans="2:9" s="346" customFormat="1" ht="21" customHeight="1">
      <c r="B2485" s="305"/>
      <c r="C2485" s="305"/>
      <c r="D2485" s="234"/>
      <c r="E2485" s="307"/>
      <c r="F2485" s="307"/>
      <c r="G2485" s="308"/>
      <c r="H2485" s="233"/>
      <c r="I2485" s="301"/>
    </row>
    <row r="2486" spans="2:9" s="346" customFormat="1" ht="21" customHeight="1">
      <c r="B2486" s="305"/>
      <c r="C2486" s="305"/>
      <c r="D2486" s="234"/>
      <c r="E2486" s="307"/>
      <c r="F2486" s="307"/>
      <c r="G2486" s="308"/>
      <c r="H2486" s="233"/>
      <c r="I2486" s="301"/>
    </row>
    <row r="2487" spans="2:9" s="346" customFormat="1" ht="21" customHeight="1">
      <c r="B2487" s="312" t="s">
        <v>835</v>
      </c>
      <c r="C2487" s="305"/>
      <c r="D2487" s="234"/>
      <c r="E2487" s="307"/>
      <c r="F2487" s="307"/>
      <c r="G2487" s="232"/>
      <c r="H2487" s="233"/>
      <c r="I2487" s="301"/>
    </row>
    <row r="2488" spans="2:9" s="346" customFormat="1" ht="21" customHeight="1">
      <c r="B2488" s="305"/>
      <c r="C2488" s="305" t="s">
        <v>1154</v>
      </c>
      <c r="D2488" s="234" t="s">
        <v>869</v>
      </c>
      <c r="E2488" s="307">
        <v>2.34</v>
      </c>
      <c r="F2488" s="307"/>
      <c r="G2488" s="232"/>
      <c r="H2488" s="233"/>
      <c r="I2488" s="301"/>
    </row>
    <row r="2489" spans="2:9" s="346" customFormat="1" ht="21" customHeight="1">
      <c r="B2489" s="305"/>
      <c r="C2489" s="305"/>
      <c r="D2489" s="234"/>
      <c r="E2489" s="306"/>
      <c r="F2489" s="306"/>
      <c r="G2489" s="232"/>
      <c r="H2489" s="232"/>
      <c r="I2489" s="301"/>
    </row>
    <row r="2490" spans="2:9" s="346" customFormat="1" ht="21" customHeight="1">
      <c r="B2490" s="305"/>
      <c r="C2490" s="305"/>
      <c r="D2490" s="234"/>
      <c r="E2490" s="306"/>
      <c r="F2490" s="306"/>
      <c r="G2490" s="308"/>
      <c r="H2490" s="233"/>
      <c r="I2490" s="301"/>
    </row>
    <row r="2491" spans="2:9" s="346" customFormat="1" ht="21" customHeight="1">
      <c r="B2491" s="305"/>
      <c r="C2491" s="305"/>
      <c r="D2491" s="234"/>
      <c r="E2491" s="306"/>
      <c r="F2491" s="306"/>
      <c r="G2491" s="308"/>
      <c r="H2491" s="233"/>
      <c r="I2491" s="301"/>
    </row>
    <row r="2492" spans="2:9" s="346" customFormat="1" ht="21" customHeight="1">
      <c r="B2492" s="305"/>
      <c r="C2492" s="305"/>
      <c r="D2492" s="234"/>
      <c r="E2492" s="306"/>
      <c r="F2492" s="306"/>
      <c r="G2492" s="308"/>
      <c r="H2492" s="233"/>
      <c r="I2492" s="301"/>
    </row>
    <row r="2493" spans="2:9" s="346" customFormat="1" ht="21" customHeight="1">
      <c r="B2493" s="312" t="s">
        <v>837</v>
      </c>
      <c r="C2493" s="305"/>
      <c r="D2493" s="234"/>
      <c r="E2493" s="307"/>
      <c r="F2493" s="307"/>
      <c r="G2493" s="232"/>
      <c r="H2493" s="233"/>
      <c r="I2493" s="301"/>
    </row>
    <row r="2494" spans="2:9" s="346" customFormat="1" ht="21" customHeight="1">
      <c r="B2494" s="305"/>
      <c r="C2494" s="305" t="s">
        <v>1154</v>
      </c>
      <c r="D2494" s="234" t="s">
        <v>869</v>
      </c>
      <c r="E2494" s="307">
        <v>7.0000000000000007E-2</v>
      </c>
      <c r="F2494" s="307"/>
      <c r="G2494" s="232"/>
      <c r="H2494" s="233"/>
      <c r="I2494" s="301"/>
    </row>
    <row r="2495" spans="2:9" s="346" customFormat="1" ht="21" customHeight="1">
      <c r="B2495" s="305"/>
      <c r="C2495" s="305"/>
      <c r="D2495" s="234"/>
      <c r="E2495" s="306"/>
      <c r="F2495" s="306"/>
      <c r="G2495" s="232"/>
      <c r="H2495" s="232"/>
      <c r="I2495" s="301"/>
    </row>
    <row r="2496" spans="2:9" s="346" customFormat="1" ht="21" customHeight="1">
      <c r="B2496" s="305"/>
      <c r="C2496" s="305"/>
      <c r="D2496" s="234"/>
      <c r="E2496" s="306"/>
      <c r="F2496" s="306"/>
      <c r="G2496" s="308"/>
      <c r="H2496" s="233"/>
      <c r="I2496" s="301"/>
    </row>
    <row r="2497" spans="2:9" s="346" customFormat="1" ht="21" customHeight="1">
      <c r="B2497" s="305"/>
      <c r="C2497" s="305"/>
      <c r="D2497" s="234"/>
      <c r="E2497" s="306"/>
      <c r="F2497" s="306"/>
      <c r="G2497" s="308"/>
      <c r="H2497" s="233"/>
      <c r="I2497" s="301"/>
    </row>
    <row r="2498" spans="2:9" s="346" customFormat="1" ht="21" customHeight="1">
      <c r="B2498" s="305"/>
      <c r="C2498" s="305"/>
      <c r="D2498" s="234"/>
      <c r="E2498" s="306"/>
      <c r="F2498" s="306"/>
      <c r="G2498" s="308"/>
      <c r="H2498" s="233"/>
      <c r="I2498" s="301"/>
    </row>
    <row r="2499" spans="2:9" s="346" customFormat="1" ht="21" customHeight="1">
      <c r="B2499" s="300" t="str">
        <f>'5. 공종별예산조서'!$A$181</f>
        <v>6-10. 스위치박스 신설</v>
      </c>
      <c r="C2499" s="300" t="str">
        <f>'5. 공종별예산조서'!$B$181</f>
        <v>PVC 노출 스위치박스</v>
      </c>
      <c r="D2499" s="301" t="str">
        <f>'5. 공종별예산조서'!$C$181</f>
        <v>개</v>
      </c>
      <c r="E2499" s="309">
        <f>'5. 공종별예산조서'!$D$181</f>
        <v>20</v>
      </c>
      <c r="F2499" s="302"/>
      <c r="G2499" s="303"/>
      <c r="H2499" s="304"/>
      <c r="I2499" s="301"/>
    </row>
    <row r="2500" spans="2:9" s="346" customFormat="1" ht="21" customHeight="1">
      <c r="B2500" s="312" t="s">
        <v>834</v>
      </c>
      <c r="C2500" s="305"/>
      <c r="D2500" s="234"/>
      <c r="E2500" s="310"/>
      <c r="F2500" s="306"/>
      <c r="G2500" s="232"/>
      <c r="H2500" s="233"/>
      <c r="I2500" s="301"/>
    </row>
    <row r="2501" spans="2:9" s="346" customFormat="1" ht="21" customHeight="1">
      <c r="B2501" s="305" t="s">
        <v>1158</v>
      </c>
      <c r="C2501" s="305" t="str">
        <f>C2499</f>
        <v>PVC 노출 스위치박스</v>
      </c>
      <c r="D2501" s="234" t="str">
        <f>D2499</f>
        <v>개</v>
      </c>
      <c r="E2501" s="311">
        <f>E2499</f>
        <v>20</v>
      </c>
      <c r="F2501" s="307"/>
      <c r="G2501" s="308"/>
      <c r="H2501" s="233"/>
      <c r="I2501" s="301"/>
    </row>
    <row r="2502" spans="2:9" s="346" customFormat="1" ht="21" customHeight="1">
      <c r="B2502" s="305"/>
      <c r="C2502" s="305"/>
      <c r="D2502" s="234"/>
      <c r="E2502" s="313"/>
      <c r="F2502" s="307"/>
      <c r="G2502" s="308"/>
      <c r="H2502" s="233"/>
      <c r="I2502" s="301"/>
    </row>
    <row r="2503" spans="2:9" s="346" customFormat="1" ht="21" customHeight="1">
      <c r="B2503" s="305"/>
      <c r="C2503" s="305"/>
      <c r="D2503" s="234"/>
      <c r="E2503" s="307"/>
      <c r="F2503" s="307"/>
      <c r="G2503" s="308"/>
      <c r="H2503" s="233"/>
      <c r="I2503" s="301"/>
    </row>
    <row r="2504" spans="2:9" s="346" customFormat="1" ht="21" customHeight="1">
      <c r="B2504" s="305"/>
      <c r="C2504" s="305"/>
      <c r="D2504" s="234"/>
      <c r="E2504" s="307"/>
      <c r="F2504" s="307"/>
      <c r="G2504" s="308"/>
      <c r="H2504" s="233"/>
      <c r="I2504" s="301"/>
    </row>
    <row r="2505" spans="2:9" s="346" customFormat="1" ht="21" customHeight="1">
      <c r="B2505" s="305"/>
      <c r="C2505" s="305"/>
      <c r="D2505" s="234"/>
      <c r="E2505" s="307"/>
      <c r="F2505" s="307"/>
      <c r="G2505" s="308"/>
      <c r="H2505" s="233"/>
      <c r="I2505" s="301"/>
    </row>
    <row r="2506" spans="2:9" s="346" customFormat="1" ht="21" customHeight="1">
      <c r="B2506" s="305"/>
      <c r="C2506" s="305"/>
      <c r="D2506" s="234"/>
      <c r="E2506" s="307"/>
      <c r="F2506" s="307"/>
      <c r="G2506" s="308"/>
      <c r="H2506" s="233"/>
      <c r="I2506" s="301"/>
    </row>
    <row r="2507" spans="2:9" s="346" customFormat="1" ht="21" customHeight="1">
      <c r="B2507" s="305"/>
      <c r="C2507" s="305"/>
      <c r="D2507" s="234"/>
      <c r="E2507" s="307"/>
      <c r="F2507" s="307"/>
      <c r="G2507" s="308"/>
      <c r="H2507" s="233"/>
      <c r="I2507" s="301"/>
    </row>
    <row r="2508" spans="2:9" s="346" customFormat="1" ht="21" customHeight="1">
      <c r="B2508" s="305"/>
      <c r="C2508" s="305"/>
      <c r="D2508" s="234"/>
      <c r="E2508" s="307"/>
      <c r="F2508" s="307"/>
      <c r="G2508" s="308"/>
      <c r="H2508" s="233"/>
      <c r="I2508" s="301"/>
    </row>
    <row r="2509" spans="2:9" s="346" customFormat="1" ht="21" customHeight="1">
      <c r="B2509" s="305"/>
      <c r="C2509" s="305"/>
      <c r="D2509" s="234"/>
      <c r="E2509" s="307"/>
      <c r="F2509" s="307"/>
      <c r="G2509" s="308"/>
      <c r="H2509" s="233"/>
      <c r="I2509" s="301"/>
    </row>
    <row r="2510" spans="2:9" s="346" customFormat="1" ht="21" customHeight="1">
      <c r="B2510" s="305"/>
      <c r="C2510" s="305"/>
      <c r="D2510" s="234"/>
      <c r="E2510" s="307"/>
      <c r="F2510" s="307"/>
      <c r="G2510" s="308"/>
      <c r="H2510" s="233"/>
      <c r="I2510" s="301"/>
    </row>
    <row r="2511" spans="2:9" s="346" customFormat="1" ht="21" customHeight="1">
      <c r="B2511" s="312" t="s">
        <v>835</v>
      </c>
      <c r="C2511" s="305"/>
      <c r="D2511" s="234"/>
      <c r="E2511" s="307"/>
      <c r="F2511" s="307"/>
      <c r="G2511" s="232"/>
      <c r="H2511" s="233"/>
      <c r="I2511" s="301"/>
    </row>
    <row r="2512" spans="2:9" s="346" customFormat="1" ht="21" customHeight="1">
      <c r="B2512" s="305"/>
      <c r="C2512" s="305" t="s">
        <v>1154</v>
      </c>
      <c r="D2512" s="234" t="s">
        <v>869</v>
      </c>
      <c r="E2512" s="307">
        <v>3.6</v>
      </c>
      <c r="F2512" s="307"/>
      <c r="G2512" s="232"/>
      <c r="H2512" s="233"/>
      <c r="I2512" s="301"/>
    </row>
    <row r="2513" spans="2:9" s="346" customFormat="1" ht="21" customHeight="1">
      <c r="B2513" s="305"/>
      <c r="C2513" s="305"/>
      <c r="D2513" s="234"/>
      <c r="E2513" s="306"/>
      <c r="F2513" s="306"/>
      <c r="G2513" s="232"/>
      <c r="H2513" s="232"/>
      <c r="I2513" s="301"/>
    </row>
    <row r="2514" spans="2:9" s="346" customFormat="1" ht="21" customHeight="1">
      <c r="B2514" s="305"/>
      <c r="C2514" s="305"/>
      <c r="D2514" s="234"/>
      <c r="E2514" s="306"/>
      <c r="F2514" s="306"/>
      <c r="G2514" s="308"/>
      <c r="H2514" s="233"/>
      <c r="I2514" s="301"/>
    </row>
    <row r="2515" spans="2:9" s="346" customFormat="1" ht="21" customHeight="1">
      <c r="B2515" s="305"/>
      <c r="C2515" s="305"/>
      <c r="D2515" s="234"/>
      <c r="E2515" s="306"/>
      <c r="F2515" s="306"/>
      <c r="G2515" s="308"/>
      <c r="H2515" s="233"/>
      <c r="I2515" s="301"/>
    </row>
    <row r="2516" spans="2:9" s="346" customFormat="1" ht="21" customHeight="1">
      <c r="B2516" s="305"/>
      <c r="C2516" s="305"/>
      <c r="D2516" s="234"/>
      <c r="E2516" s="306"/>
      <c r="F2516" s="306"/>
      <c r="G2516" s="308"/>
      <c r="H2516" s="233"/>
      <c r="I2516" s="301"/>
    </row>
    <row r="2517" spans="2:9" s="346" customFormat="1" ht="21" customHeight="1">
      <c r="B2517" s="312" t="s">
        <v>837</v>
      </c>
      <c r="C2517" s="305"/>
      <c r="D2517" s="234"/>
      <c r="E2517" s="307"/>
      <c r="F2517" s="307"/>
      <c r="G2517" s="232"/>
      <c r="H2517" s="233"/>
      <c r="I2517" s="301"/>
    </row>
    <row r="2518" spans="2:9" s="346" customFormat="1" ht="21" customHeight="1">
      <c r="B2518" s="305"/>
      <c r="C2518" s="305" t="s">
        <v>1154</v>
      </c>
      <c r="D2518" s="234" t="s">
        <v>869</v>
      </c>
      <c r="E2518" s="307">
        <v>0.108</v>
      </c>
      <c r="F2518" s="307"/>
      <c r="G2518" s="232"/>
      <c r="H2518" s="233"/>
      <c r="I2518" s="301"/>
    </row>
    <row r="2519" spans="2:9" s="346" customFormat="1" ht="21" customHeight="1">
      <c r="B2519" s="305"/>
      <c r="C2519" s="305"/>
      <c r="D2519" s="234"/>
      <c r="E2519" s="306"/>
      <c r="F2519" s="306"/>
      <c r="G2519" s="232"/>
      <c r="H2519" s="232"/>
      <c r="I2519" s="301"/>
    </row>
    <row r="2520" spans="2:9" s="346" customFormat="1" ht="21" customHeight="1">
      <c r="B2520" s="305"/>
      <c r="C2520" s="305"/>
      <c r="D2520" s="234"/>
      <c r="E2520" s="306"/>
      <c r="F2520" s="306"/>
      <c r="G2520" s="308"/>
      <c r="H2520" s="233"/>
      <c r="I2520" s="301"/>
    </row>
    <row r="2521" spans="2:9" s="346" customFormat="1" ht="21" customHeight="1">
      <c r="B2521" s="305"/>
      <c r="C2521" s="305"/>
      <c r="D2521" s="234"/>
      <c r="E2521" s="306"/>
      <c r="F2521" s="306"/>
      <c r="G2521" s="308"/>
      <c r="H2521" s="233"/>
      <c r="I2521" s="301"/>
    </row>
    <row r="2522" spans="2:9" s="346" customFormat="1" ht="21" customHeight="1">
      <c r="B2522" s="305"/>
      <c r="C2522" s="305"/>
      <c r="D2522" s="234"/>
      <c r="E2522" s="306"/>
      <c r="F2522" s="306"/>
      <c r="G2522" s="308"/>
      <c r="H2522" s="233"/>
      <c r="I2522" s="301"/>
    </row>
    <row r="2523" spans="2:9" s="346" customFormat="1" ht="21" customHeight="1">
      <c r="B2523" s="300" t="str">
        <f>'5. 공종별예산조서'!$A$200</f>
        <v>7-1. LED 등기구 재설치</v>
      </c>
      <c r="C2523" s="300" t="str">
        <f>'5. 공종별예산조서'!$B$200</f>
        <v>사각매입등, 600*600</v>
      </c>
      <c r="D2523" s="301" t="str">
        <f>'5. 공종별예산조서'!$C$200</f>
        <v>개</v>
      </c>
      <c r="E2523" s="309">
        <f>'5. 공종별예산조서'!$D$200</f>
        <v>20</v>
      </c>
      <c r="F2523" s="302"/>
      <c r="G2523" s="303"/>
      <c r="H2523" s="304"/>
      <c r="I2523" s="301"/>
    </row>
    <row r="2524" spans="2:9" s="346" customFormat="1" ht="21" customHeight="1">
      <c r="B2524" s="312" t="s">
        <v>834</v>
      </c>
      <c r="C2524" s="305"/>
      <c r="D2524" s="234"/>
      <c r="E2524" s="310"/>
      <c r="F2524" s="306"/>
      <c r="G2524" s="232"/>
      <c r="H2524" s="233"/>
      <c r="I2524" s="301"/>
    </row>
    <row r="2525" spans="2:9" s="346" customFormat="1" ht="21" customHeight="1">
      <c r="B2525" s="305" t="s">
        <v>1159</v>
      </c>
      <c r="C2525" s="305" t="str">
        <f>C2523</f>
        <v>사각매입등, 600*600</v>
      </c>
      <c r="D2525" s="234" t="str">
        <f>D2523</f>
        <v>개</v>
      </c>
      <c r="E2525" s="311">
        <f>E2523</f>
        <v>20</v>
      </c>
      <c r="F2525" s="307"/>
      <c r="G2525" s="308"/>
      <c r="H2525" s="233"/>
      <c r="I2525" s="301"/>
    </row>
    <row r="2526" spans="2:9" s="346" customFormat="1" ht="21" customHeight="1">
      <c r="B2526" s="305"/>
      <c r="C2526" s="305"/>
      <c r="D2526" s="234"/>
      <c r="E2526" s="313"/>
      <c r="F2526" s="307"/>
      <c r="G2526" s="308"/>
      <c r="H2526" s="233"/>
      <c r="I2526" s="301"/>
    </row>
    <row r="2527" spans="2:9" s="346" customFormat="1" ht="21" customHeight="1">
      <c r="B2527" s="305"/>
      <c r="C2527" s="305"/>
      <c r="D2527" s="234"/>
      <c r="E2527" s="307"/>
      <c r="F2527" s="307"/>
      <c r="G2527" s="308"/>
      <c r="H2527" s="233"/>
      <c r="I2527" s="301"/>
    </row>
    <row r="2528" spans="2:9" s="346" customFormat="1" ht="21" customHeight="1">
      <c r="B2528" s="305"/>
      <c r="C2528" s="305"/>
      <c r="D2528" s="234"/>
      <c r="E2528" s="307"/>
      <c r="F2528" s="307"/>
      <c r="G2528" s="308"/>
      <c r="H2528" s="233"/>
      <c r="I2528" s="301"/>
    </row>
    <row r="2529" spans="2:9" s="346" customFormat="1" ht="21" customHeight="1">
      <c r="B2529" s="305"/>
      <c r="C2529" s="305"/>
      <c r="D2529" s="234"/>
      <c r="E2529" s="307"/>
      <c r="F2529" s="307"/>
      <c r="G2529" s="308"/>
      <c r="H2529" s="233"/>
      <c r="I2529" s="301"/>
    </row>
    <row r="2530" spans="2:9" s="346" customFormat="1" ht="21" customHeight="1">
      <c r="B2530" s="305"/>
      <c r="C2530" s="305"/>
      <c r="D2530" s="234"/>
      <c r="E2530" s="307"/>
      <c r="F2530" s="307"/>
      <c r="G2530" s="308"/>
      <c r="H2530" s="233"/>
      <c r="I2530" s="301"/>
    </row>
    <row r="2531" spans="2:9" s="346" customFormat="1" ht="21" customHeight="1">
      <c r="B2531" s="305"/>
      <c r="C2531" s="305"/>
      <c r="D2531" s="234"/>
      <c r="E2531" s="307"/>
      <c r="F2531" s="307"/>
      <c r="G2531" s="308"/>
      <c r="H2531" s="233"/>
      <c r="I2531" s="301"/>
    </row>
    <row r="2532" spans="2:9" s="346" customFormat="1" ht="21" customHeight="1">
      <c r="B2532" s="305"/>
      <c r="C2532" s="305"/>
      <c r="D2532" s="234"/>
      <c r="E2532" s="307"/>
      <c r="F2532" s="307"/>
      <c r="G2532" s="308"/>
      <c r="H2532" s="233"/>
      <c r="I2532" s="301"/>
    </row>
    <row r="2533" spans="2:9" s="346" customFormat="1" ht="21" customHeight="1">
      <c r="B2533" s="305"/>
      <c r="C2533" s="305"/>
      <c r="D2533" s="234"/>
      <c r="E2533" s="307"/>
      <c r="F2533" s="307"/>
      <c r="G2533" s="308"/>
      <c r="H2533" s="233"/>
      <c r="I2533" s="301"/>
    </row>
    <row r="2534" spans="2:9" s="346" customFormat="1" ht="21" customHeight="1">
      <c r="B2534" s="305"/>
      <c r="C2534" s="305"/>
      <c r="D2534" s="234"/>
      <c r="E2534" s="307"/>
      <c r="F2534" s="307"/>
      <c r="G2534" s="308"/>
      <c r="H2534" s="233"/>
      <c r="I2534" s="301"/>
    </row>
    <row r="2535" spans="2:9" s="346" customFormat="1" ht="21" customHeight="1">
      <c r="B2535" s="312" t="s">
        <v>835</v>
      </c>
      <c r="C2535" s="305"/>
      <c r="D2535" s="234"/>
      <c r="E2535" s="307"/>
      <c r="F2535" s="307"/>
      <c r="G2535" s="232"/>
      <c r="H2535" s="233"/>
      <c r="I2535" s="301"/>
    </row>
    <row r="2536" spans="2:9" s="346" customFormat="1" ht="21" customHeight="1">
      <c r="B2536" s="305"/>
      <c r="C2536" s="305" t="s">
        <v>1154</v>
      </c>
      <c r="D2536" s="234" t="s">
        <v>869</v>
      </c>
      <c r="E2536" s="307">
        <v>7.101</v>
      </c>
      <c r="F2536" s="307"/>
      <c r="G2536" s="232"/>
      <c r="H2536" s="233"/>
      <c r="I2536" s="301"/>
    </row>
    <row r="2537" spans="2:9" s="346" customFormat="1" ht="21" customHeight="1">
      <c r="B2537" s="305"/>
      <c r="C2537" s="305"/>
      <c r="D2537" s="234"/>
      <c r="E2537" s="306"/>
      <c r="F2537" s="306"/>
      <c r="G2537" s="232"/>
      <c r="H2537" s="232"/>
      <c r="I2537" s="301"/>
    </row>
    <row r="2538" spans="2:9" s="346" customFormat="1" ht="21" customHeight="1">
      <c r="B2538" s="305"/>
      <c r="C2538" s="305"/>
      <c r="D2538" s="234"/>
      <c r="E2538" s="306"/>
      <c r="F2538" s="306"/>
      <c r="G2538" s="308"/>
      <c r="H2538" s="233"/>
      <c r="I2538" s="301"/>
    </row>
    <row r="2539" spans="2:9" s="346" customFormat="1" ht="21" customHeight="1">
      <c r="B2539" s="305"/>
      <c r="C2539" s="305"/>
      <c r="D2539" s="234"/>
      <c r="E2539" s="306"/>
      <c r="F2539" s="306"/>
      <c r="G2539" s="308"/>
      <c r="H2539" s="233"/>
      <c r="I2539" s="301"/>
    </row>
    <row r="2540" spans="2:9" s="346" customFormat="1" ht="21" customHeight="1">
      <c r="B2540" s="305"/>
      <c r="C2540" s="305"/>
      <c r="D2540" s="234"/>
      <c r="E2540" s="306"/>
      <c r="F2540" s="306"/>
      <c r="G2540" s="308"/>
      <c r="H2540" s="233"/>
      <c r="I2540" s="301"/>
    </row>
    <row r="2541" spans="2:9" s="346" customFormat="1" ht="21" customHeight="1">
      <c r="B2541" s="312" t="s">
        <v>837</v>
      </c>
      <c r="C2541" s="305"/>
      <c r="D2541" s="234"/>
      <c r="E2541" s="307"/>
      <c r="F2541" s="307"/>
      <c r="G2541" s="232"/>
      <c r="H2541" s="233"/>
      <c r="I2541" s="301"/>
    </row>
    <row r="2542" spans="2:9" s="346" customFormat="1" ht="21" customHeight="1">
      <c r="B2542" s="305"/>
      <c r="C2542" s="305" t="s">
        <v>1154</v>
      </c>
      <c r="D2542" s="234" t="s">
        <v>869</v>
      </c>
      <c r="E2542" s="307">
        <v>0.21299999999999999</v>
      </c>
      <c r="F2542" s="307"/>
      <c r="G2542" s="232"/>
      <c r="H2542" s="233"/>
      <c r="I2542" s="301"/>
    </row>
    <row r="2543" spans="2:9" s="346" customFormat="1" ht="21" customHeight="1">
      <c r="B2543" s="305"/>
      <c r="C2543" s="305"/>
      <c r="D2543" s="234"/>
      <c r="E2543" s="306"/>
      <c r="F2543" s="306"/>
      <c r="G2543" s="232"/>
      <c r="H2543" s="232"/>
      <c r="I2543" s="301"/>
    </row>
    <row r="2544" spans="2:9" s="346" customFormat="1" ht="21" customHeight="1">
      <c r="B2544" s="305"/>
      <c r="C2544" s="305"/>
      <c r="D2544" s="234"/>
      <c r="E2544" s="306"/>
      <c r="F2544" s="306"/>
      <c r="G2544" s="308"/>
      <c r="H2544" s="233"/>
      <c r="I2544" s="301"/>
    </row>
    <row r="2545" spans="2:9" s="346" customFormat="1" ht="21" customHeight="1">
      <c r="B2545" s="305"/>
      <c r="C2545" s="305"/>
      <c r="D2545" s="234"/>
      <c r="E2545" s="306"/>
      <c r="F2545" s="306"/>
      <c r="G2545" s="308"/>
      <c r="H2545" s="233"/>
      <c r="I2545" s="301"/>
    </row>
    <row r="2546" spans="2:9" s="346" customFormat="1" ht="21" customHeight="1">
      <c r="B2546" s="305"/>
      <c r="C2546" s="305"/>
      <c r="D2546" s="234"/>
      <c r="E2546" s="306"/>
      <c r="F2546" s="306"/>
      <c r="G2546" s="308"/>
      <c r="H2546" s="233"/>
      <c r="I2546" s="301"/>
    </row>
    <row r="2547" spans="2:9" s="346" customFormat="1" ht="21" customHeight="1">
      <c r="B2547" s="300" t="str">
        <f>'5. 공종별예산조서'!$A$201</f>
        <v>7-2. 형광등 재설치</v>
      </c>
      <c r="C2547" s="300" t="str">
        <f>'5. 공종별예산조서'!$B$201</f>
        <v>매입등, 1200*300 (2등용)</v>
      </c>
      <c r="D2547" s="301" t="str">
        <f>'5. 공종별예산조서'!$C$201</f>
        <v>개</v>
      </c>
      <c r="E2547" s="309">
        <f>'5. 공종별예산조서'!$D$201</f>
        <v>9</v>
      </c>
      <c r="F2547" s="302"/>
      <c r="G2547" s="303"/>
      <c r="H2547" s="304"/>
      <c r="I2547" s="301"/>
    </row>
    <row r="2548" spans="2:9" s="346" customFormat="1" ht="21" customHeight="1">
      <c r="B2548" s="312" t="s">
        <v>834</v>
      </c>
      <c r="C2548" s="305"/>
      <c r="D2548" s="234"/>
      <c r="E2548" s="310"/>
      <c r="F2548" s="306"/>
      <c r="G2548" s="232"/>
      <c r="H2548" s="233"/>
      <c r="I2548" s="301"/>
    </row>
    <row r="2549" spans="2:9" s="346" customFormat="1" ht="21" customHeight="1">
      <c r="B2549" s="305" t="s">
        <v>1160</v>
      </c>
      <c r="C2549" s="305" t="str">
        <f>C2547</f>
        <v>매입등, 1200*300 (2등용)</v>
      </c>
      <c r="D2549" s="234" t="str">
        <f>D2547</f>
        <v>개</v>
      </c>
      <c r="E2549" s="311">
        <f>E2547</f>
        <v>9</v>
      </c>
      <c r="F2549" s="307"/>
      <c r="G2549" s="308"/>
      <c r="H2549" s="233"/>
      <c r="I2549" s="301"/>
    </row>
    <row r="2550" spans="2:9" s="346" customFormat="1" ht="21" customHeight="1">
      <c r="B2550" s="305"/>
      <c r="C2550" s="305"/>
      <c r="D2550" s="234"/>
      <c r="E2550" s="313"/>
      <c r="F2550" s="307"/>
      <c r="G2550" s="308"/>
      <c r="H2550" s="233"/>
      <c r="I2550" s="301"/>
    </row>
    <row r="2551" spans="2:9" s="346" customFormat="1" ht="21" customHeight="1">
      <c r="B2551" s="305"/>
      <c r="C2551" s="305"/>
      <c r="D2551" s="234"/>
      <c r="E2551" s="307"/>
      <c r="F2551" s="307"/>
      <c r="G2551" s="308"/>
      <c r="H2551" s="233"/>
      <c r="I2551" s="301"/>
    </row>
    <row r="2552" spans="2:9" s="346" customFormat="1" ht="21" customHeight="1">
      <c r="B2552" s="305"/>
      <c r="C2552" s="305"/>
      <c r="D2552" s="234"/>
      <c r="E2552" s="307"/>
      <c r="F2552" s="307"/>
      <c r="G2552" s="308"/>
      <c r="H2552" s="233"/>
      <c r="I2552" s="301"/>
    </row>
    <row r="2553" spans="2:9" s="346" customFormat="1" ht="21" customHeight="1">
      <c r="B2553" s="305"/>
      <c r="C2553" s="305"/>
      <c r="D2553" s="234"/>
      <c r="E2553" s="307"/>
      <c r="F2553" s="307"/>
      <c r="G2553" s="308"/>
      <c r="H2553" s="233"/>
      <c r="I2553" s="301"/>
    </row>
    <row r="2554" spans="2:9" s="346" customFormat="1" ht="21" customHeight="1">
      <c r="B2554" s="305"/>
      <c r="C2554" s="305"/>
      <c r="D2554" s="234"/>
      <c r="E2554" s="307"/>
      <c r="F2554" s="307"/>
      <c r="G2554" s="308"/>
      <c r="H2554" s="233"/>
      <c r="I2554" s="301"/>
    </row>
    <row r="2555" spans="2:9" s="346" customFormat="1" ht="21" customHeight="1">
      <c r="B2555" s="305"/>
      <c r="C2555" s="305"/>
      <c r="D2555" s="234"/>
      <c r="E2555" s="307"/>
      <c r="F2555" s="307"/>
      <c r="G2555" s="308"/>
      <c r="H2555" s="233"/>
      <c r="I2555" s="301"/>
    </row>
    <row r="2556" spans="2:9" s="346" customFormat="1" ht="21" customHeight="1">
      <c r="B2556" s="305"/>
      <c r="C2556" s="305"/>
      <c r="D2556" s="234"/>
      <c r="E2556" s="307"/>
      <c r="F2556" s="307"/>
      <c r="G2556" s="308"/>
      <c r="H2556" s="233"/>
      <c r="I2556" s="301"/>
    </row>
    <row r="2557" spans="2:9" s="346" customFormat="1" ht="21" customHeight="1">
      <c r="B2557" s="305"/>
      <c r="C2557" s="305"/>
      <c r="D2557" s="234"/>
      <c r="E2557" s="307"/>
      <c r="F2557" s="307"/>
      <c r="G2557" s="308"/>
      <c r="H2557" s="233"/>
      <c r="I2557" s="301"/>
    </row>
    <row r="2558" spans="2:9" s="346" customFormat="1" ht="21" customHeight="1">
      <c r="B2558" s="305"/>
      <c r="C2558" s="305"/>
      <c r="D2558" s="234"/>
      <c r="E2558" s="307"/>
      <c r="F2558" s="307"/>
      <c r="G2558" s="308"/>
      <c r="H2558" s="233"/>
      <c r="I2558" s="301"/>
    </row>
    <row r="2559" spans="2:9" s="346" customFormat="1" ht="21" customHeight="1">
      <c r="B2559" s="312" t="s">
        <v>835</v>
      </c>
      <c r="C2559" s="305"/>
      <c r="D2559" s="234"/>
      <c r="E2559" s="307"/>
      <c r="F2559" s="307"/>
      <c r="G2559" s="232"/>
      <c r="H2559" s="233"/>
      <c r="I2559" s="301"/>
    </row>
    <row r="2560" spans="2:9" s="346" customFormat="1" ht="21" customHeight="1">
      <c r="B2560" s="305"/>
      <c r="C2560" s="305" t="s">
        <v>1154</v>
      </c>
      <c r="D2560" s="234" t="s">
        <v>869</v>
      </c>
      <c r="E2560" s="307">
        <v>5.0789999999999997</v>
      </c>
      <c r="F2560" s="307"/>
      <c r="G2560" s="232"/>
      <c r="H2560" s="233"/>
      <c r="I2560" s="301"/>
    </row>
    <row r="2561" spans="2:9" s="346" customFormat="1" ht="21" customHeight="1">
      <c r="B2561" s="305"/>
      <c r="C2561" s="305"/>
      <c r="D2561" s="234"/>
      <c r="E2561" s="306"/>
      <c r="F2561" s="306"/>
      <c r="G2561" s="232"/>
      <c r="H2561" s="232"/>
      <c r="I2561" s="301"/>
    </row>
    <row r="2562" spans="2:9" s="346" customFormat="1" ht="21" customHeight="1">
      <c r="B2562" s="305"/>
      <c r="C2562" s="305"/>
      <c r="D2562" s="234"/>
      <c r="E2562" s="306"/>
      <c r="F2562" s="306"/>
      <c r="G2562" s="308"/>
      <c r="H2562" s="233"/>
      <c r="I2562" s="301"/>
    </row>
    <row r="2563" spans="2:9" s="346" customFormat="1" ht="21" customHeight="1">
      <c r="B2563" s="305"/>
      <c r="C2563" s="305"/>
      <c r="D2563" s="234"/>
      <c r="E2563" s="306"/>
      <c r="F2563" s="306"/>
      <c r="G2563" s="308"/>
      <c r="H2563" s="233"/>
      <c r="I2563" s="301"/>
    </row>
    <row r="2564" spans="2:9" s="346" customFormat="1" ht="21" customHeight="1">
      <c r="B2564" s="305"/>
      <c r="C2564" s="305"/>
      <c r="D2564" s="234"/>
      <c r="E2564" s="306"/>
      <c r="F2564" s="306"/>
      <c r="G2564" s="308"/>
      <c r="H2564" s="233"/>
      <c r="I2564" s="301"/>
    </row>
    <row r="2565" spans="2:9" s="346" customFormat="1" ht="21" customHeight="1">
      <c r="B2565" s="312" t="s">
        <v>837</v>
      </c>
      <c r="C2565" s="305"/>
      <c r="D2565" s="234"/>
      <c r="E2565" s="307"/>
      <c r="F2565" s="307"/>
      <c r="G2565" s="232"/>
      <c r="H2565" s="233"/>
      <c r="I2565" s="301"/>
    </row>
    <row r="2566" spans="2:9" s="346" customFormat="1" ht="21" customHeight="1">
      <c r="B2566" s="305"/>
      <c r="C2566" s="305" t="s">
        <v>1154</v>
      </c>
      <c r="D2566" s="234" t="s">
        <v>869</v>
      </c>
      <c r="E2566" s="307">
        <v>0.152</v>
      </c>
      <c r="F2566" s="307"/>
      <c r="G2566" s="232"/>
      <c r="H2566" s="233"/>
      <c r="I2566" s="301"/>
    </row>
    <row r="2567" spans="2:9" s="346" customFormat="1" ht="21" customHeight="1">
      <c r="B2567" s="305"/>
      <c r="C2567" s="305"/>
      <c r="D2567" s="234"/>
      <c r="E2567" s="306"/>
      <c r="F2567" s="306"/>
      <c r="G2567" s="232"/>
      <c r="H2567" s="232"/>
      <c r="I2567" s="301"/>
    </row>
    <row r="2568" spans="2:9" s="346" customFormat="1" ht="21" customHeight="1">
      <c r="B2568" s="305"/>
      <c r="C2568" s="305"/>
      <c r="D2568" s="234"/>
      <c r="E2568" s="306"/>
      <c r="F2568" s="306"/>
      <c r="G2568" s="308"/>
      <c r="H2568" s="233"/>
      <c r="I2568" s="301"/>
    </row>
    <row r="2569" spans="2:9" s="346" customFormat="1" ht="21" customHeight="1">
      <c r="B2569" s="305"/>
      <c r="C2569" s="305"/>
      <c r="D2569" s="234"/>
      <c r="E2569" s="306"/>
      <c r="F2569" s="306"/>
      <c r="G2569" s="308"/>
      <c r="H2569" s="233"/>
      <c r="I2569" s="301"/>
    </row>
    <row r="2570" spans="2:9" s="346" customFormat="1" ht="21" customHeight="1">
      <c r="B2570" s="305"/>
      <c r="C2570" s="305"/>
      <c r="D2570" s="234"/>
      <c r="E2570" s="306"/>
      <c r="F2570" s="306"/>
      <c r="G2570" s="308"/>
      <c r="H2570" s="233"/>
      <c r="I2570" s="301"/>
    </row>
    <row r="2571" spans="2:9" s="346" customFormat="1" ht="21" customHeight="1">
      <c r="B2571" s="300" t="str">
        <f>'5. 공종별예산조서'!$A$202</f>
        <v>7-3. 형광등 재설치</v>
      </c>
      <c r="C2571" s="300" t="str">
        <f>'5. 공종별예산조서'!$B$202</f>
        <v>매입등, 600*600 (3등용)</v>
      </c>
      <c r="D2571" s="301" t="str">
        <f>'5. 공종별예산조서'!$C$202</f>
        <v>개</v>
      </c>
      <c r="E2571" s="309">
        <f>'5. 공종별예산조서'!$D$202</f>
        <v>1</v>
      </c>
      <c r="F2571" s="302"/>
      <c r="G2571" s="303"/>
      <c r="H2571" s="304"/>
      <c r="I2571" s="301"/>
    </row>
    <row r="2572" spans="2:9" s="346" customFormat="1" ht="21" customHeight="1">
      <c r="B2572" s="312" t="s">
        <v>834</v>
      </c>
      <c r="C2572" s="305"/>
      <c r="D2572" s="234"/>
      <c r="E2572" s="310"/>
      <c r="F2572" s="306"/>
      <c r="G2572" s="232"/>
      <c r="H2572" s="233"/>
      <c r="I2572" s="301"/>
    </row>
    <row r="2573" spans="2:9" s="346" customFormat="1" ht="21" customHeight="1">
      <c r="B2573" s="305" t="s">
        <v>1160</v>
      </c>
      <c r="C2573" s="305" t="str">
        <f>C2571</f>
        <v>매입등, 600*600 (3등용)</v>
      </c>
      <c r="D2573" s="234" t="str">
        <f>D2571</f>
        <v>개</v>
      </c>
      <c r="E2573" s="311">
        <f>E2571</f>
        <v>1</v>
      </c>
      <c r="F2573" s="307"/>
      <c r="G2573" s="308"/>
      <c r="H2573" s="233"/>
      <c r="I2573" s="301"/>
    </row>
    <row r="2574" spans="2:9" s="346" customFormat="1" ht="21" customHeight="1">
      <c r="B2574" s="305"/>
      <c r="C2574" s="305"/>
      <c r="D2574" s="234"/>
      <c r="E2574" s="313"/>
      <c r="F2574" s="307"/>
      <c r="G2574" s="308"/>
      <c r="H2574" s="233"/>
      <c r="I2574" s="301"/>
    </row>
    <row r="2575" spans="2:9" s="346" customFormat="1" ht="21" customHeight="1">
      <c r="B2575" s="305"/>
      <c r="C2575" s="305"/>
      <c r="D2575" s="234"/>
      <c r="E2575" s="307"/>
      <c r="F2575" s="307"/>
      <c r="G2575" s="308"/>
      <c r="H2575" s="233"/>
      <c r="I2575" s="301"/>
    </row>
    <row r="2576" spans="2:9" s="346" customFormat="1" ht="21" customHeight="1">
      <c r="B2576" s="305"/>
      <c r="C2576" s="305"/>
      <c r="D2576" s="234"/>
      <c r="E2576" s="307"/>
      <c r="F2576" s="307"/>
      <c r="G2576" s="308"/>
      <c r="H2576" s="233"/>
      <c r="I2576" s="301"/>
    </row>
    <row r="2577" spans="2:9" s="346" customFormat="1" ht="21" customHeight="1">
      <c r="B2577" s="305"/>
      <c r="C2577" s="305"/>
      <c r="D2577" s="234"/>
      <c r="E2577" s="307"/>
      <c r="F2577" s="307"/>
      <c r="G2577" s="308"/>
      <c r="H2577" s="233"/>
      <c r="I2577" s="301"/>
    </row>
    <row r="2578" spans="2:9" s="346" customFormat="1" ht="21" customHeight="1">
      <c r="B2578" s="305"/>
      <c r="C2578" s="305"/>
      <c r="D2578" s="234"/>
      <c r="E2578" s="307"/>
      <c r="F2578" s="307"/>
      <c r="G2578" s="308"/>
      <c r="H2578" s="233"/>
      <c r="I2578" s="301"/>
    </row>
    <row r="2579" spans="2:9" s="346" customFormat="1" ht="21" customHeight="1">
      <c r="B2579" s="305"/>
      <c r="C2579" s="305"/>
      <c r="D2579" s="234"/>
      <c r="E2579" s="307"/>
      <c r="F2579" s="307"/>
      <c r="G2579" s="308"/>
      <c r="H2579" s="233"/>
      <c r="I2579" s="301"/>
    </row>
    <row r="2580" spans="2:9" s="346" customFormat="1" ht="21" customHeight="1">
      <c r="B2580" s="305"/>
      <c r="C2580" s="305"/>
      <c r="D2580" s="234"/>
      <c r="E2580" s="307"/>
      <c r="F2580" s="307"/>
      <c r="G2580" s="308"/>
      <c r="H2580" s="233"/>
      <c r="I2580" s="301"/>
    </row>
    <row r="2581" spans="2:9" s="346" customFormat="1" ht="21" customHeight="1">
      <c r="B2581" s="305"/>
      <c r="C2581" s="305"/>
      <c r="D2581" s="234"/>
      <c r="E2581" s="307"/>
      <c r="F2581" s="307"/>
      <c r="G2581" s="308"/>
      <c r="H2581" s="233"/>
      <c r="I2581" s="301"/>
    </row>
    <row r="2582" spans="2:9" s="346" customFormat="1" ht="21" customHeight="1">
      <c r="B2582" s="305"/>
      <c r="C2582" s="305"/>
      <c r="D2582" s="234"/>
      <c r="E2582" s="307"/>
      <c r="F2582" s="307"/>
      <c r="G2582" s="308"/>
      <c r="H2582" s="233"/>
      <c r="I2582" s="301"/>
    </row>
    <row r="2583" spans="2:9" s="346" customFormat="1" ht="21" customHeight="1">
      <c r="B2583" s="312" t="s">
        <v>835</v>
      </c>
      <c r="C2583" s="305"/>
      <c r="D2583" s="234"/>
      <c r="E2583" s="307"/>
      <c r="F2583" s="307"/>
      <c r="G2583" s="232"/>
      <c r="H2583" s="233"/>
      <c r="I2583" s="301"/>
    </row>
    <row r="2584" spans="2:9" s="346" customFormat="1" ht="21" customHeight="1">
      <c r="B2584" s="305"/>
      <c r="C2584" s="305" t="s">
        <v>1154</v>
      </c>
      <c r="D2584" s="234" t="s">
        <v>869</v>
      </c>
      <c r="E2584" s="307">
        <v>0.73599999999999999</v>
      </c>
      <c r="F2584" s="307"/>
      <c r="G2584" s="232"/>
      <c r="H2584" s="233"/>
      <c r="I2584" s="301"/>
    </row>
    <row r="2585" spans="2:9" s="346" customFormat="1" ht="21" customHeight="1">
      <c r="B2585" s="305"/>
      <c r="C2585" s="305"/>
      <c r="D2585" s="234"/>
      <c r="E2585" s="306"/>
      <c r="F2585" s="306"/>
      <c r="G2585" s="232"/>
      <c r="H2585" s="232"/>
      <c r="I2585" s="301"/>
    </row>
    <row r="2586" spans="2:9" s="346" customFormat="1" ht="21" customHeight="1">
      <c r="B2586" s="305"/>
      <c r="C2586" s="305"/>
      <c r="D2586" s="234"/>
      <c r="E2586" s="306"/>
      <c r="F2586" s="306"/>
      <c r="G2586" s="308"/>
      <c r="H2586" s="233"/>
      <c r="I2586" s="301"/>
    </row>
    <row r="2587" spans="2:9" s="346" customFormat="1" ht="21" customHeight="1">
      <c r="B2587" s="305"/>
      <c r="C2587" s="305"/>
      <c r="D2587" s="234"/>
      <c r="E2587" s="306"/>
      <c r="F2587" s="306"/>
      <c r="G2587" s="308"/>
      <c r="H2587" s="233"/>
      <c r="I2587" s="301"/>
    </row>
    <row r="2588" spans="2:9" s="346" customFormat="1" ht="21" customHeight="1">
      <c r="B2588" s="305"/>
      <c r="C2588" s="305"/>
      <c r="D2588" s="234"/>
      <c r="E2588" s="306"/>
      <c r="F2588" s="306"/>
      <c r="G2588" s="308"/>
      <c r="H2588" s="233"/>
      <c r="I2588" s="301"/>
    </row>
    <row r="2589" spans="2:9" s="346" customFormat="1" ht="21" customHeight="1">
      <c r="B2589" s="312" t="s">
        <v>837</v>
      </c>
      <c r="C2589" s="305"/>
      <c r="D2589" s="234"/>
      <c r="E2589" s="307"/>
      <c r="F2589" s="307"/>
      <c r="G2589" s="232"/>
      <c r="H2589" s="233"/>
      <c r="I2589" s="301"/>
    </row>
    <row r="2590" spans="2:9" s="346" customFormat="1" ht="21" customHeight="1">
      <c r="B2590" s="305"/>
      <c r="C2590" s="305" t="s">
        <v>1154</v>
      </c>
      <c r="D2590" s="234" t="s">
        <v>869</v>
      </c>
      <c r="E2590" s="307">
        <v>2.1999999999999999E-2</v>
      </c>
      <c r="F2590" s="307"/>
      <c r="G2590" s="232"/>
      <c r="H2590" s="233"/>
      <c r="I2590" s="301"/>
    </row>
    <row r="2591" spans="2:9" s="346" customFormat="1" ht="21" customHeight="1">
      <c r="B2591" s="305"/>
      <c r="C2591" s="305"/>
      <c r="D2591" s="234"/>
      <c r="E2591" s="306"/>
      <c r="F2591" s="306"/>
      <c r="G2591" s="232"/>
      <c r="H2591" s="232"/>
      <c r="I2591" s="301"/>
    </row>
    <row r="2592" spans="2:9" s="346" customFormat="1" ht="21" customHeight="1">
      <c r="B2592" s="305"/>
      <c r="C2592" s="305"/>
      <c r="D2592" s="234"/>
      <c r="E2592" s="306"/>
      <c r="F2592" s="306"/>
      <c r="G2592" s="308"/>
      <c r="H2592" s="233"/>
      <c r="I2592" s="301"/>
    </row>
    <row r="2593" spans="2:9" s="346" customFormat="1" ht="21" customHeight="1">
      <c r="B2593" s="305"/>
      <c r="C2593" s="305"/>
      <c r="D2593" s="234"/>
      <c r="E2593" s="306"/>
      <c r="F2593" s="306"/>
      <c r="G2593" s="308"/>
      <c r="H2593" s="233"/>
      <c r="I2593" s="301"/>
    </row>
    <row r="2594" spans="2:9" s="346" customFormat="1" ht="21" customHeight="1">
      <c r="B2594" s="305"/>
      <c r="C2594" s="305"/>
      <c r="D2594" s="234"/>
      <c r="E2594" s="306"/>
      <c r="F2594" s="306"/>
      <c r="G2594" s="308"/>
      <c r="H2594" s="233"/>
      <c r="I2594" s="301"/>
    </row>
    <row r="2595" spans="2:9" s="346" customFormat="1" ht="21" customHeight="1">
      <c r="B2595" s="300" t="str">
        <f>'5. 공종별예산조서'!$A$203</f>
        <v>7-4. 1종금속제가요전선관 철거</v>
      </c>
      <c r="C2595" s="300" t="str">
        <f>'5. 공종별예산조서'!$B$203</f>
        <v>일반, 16C</v>
      </c>
      <c r="D2595" s="301" t="str">
        <f>'5. 공종별예산조서'!$C$203</f>
        <v>M</v>
      </c>
      <c r="E2595" s="309">
        <f>'5. 공종별예산조서'!$D$203</f>
        <v>190</v>
      </c>
      <c r="F2595" s="302"/>
      <c r="G2595" s="303"/>
      <c r="H2595" s="304"/>
      <c r="I2595" s="301"/>
    </row>
    <row r="2596" spans="2:9" s="346" customFormat="1" ht="21" customHeight="1">
      <c r="B2596" s="312" t="s">
        <v>834</v>
      </c>
      <c r="C2596" s="305"/>
      <c r="D2596" s="234"/>
      <c r="E2596" s="310"/>
      <c r="F2596" s="306"/>
      <c r="G2596" s="232"/>
      <c r="H2596" s="233"/>
      <c r="I2596" s="301"/>
    </row>
    <row r="2597" spans="2:9" s="346" customFormat="1" ht="21" customHeight="1">
      <c r="B2597" s="305" t="s">
        <v>1155</v>
      </c>
      <c r="C2597" s="305" t="str">
        <f>C2595</f>
        <v>일반, 16C</v>
      </c>
      <c r="D2597" s="234" t="str">
        <f>D2595</f>
        <v>M</v>
      </c>
      <c r="E2597" s="311">
        <f>E2595</f>
        <v>190</v>
      </c>
      <c r="F2597" s="307"/>
      <c r="G2597" s="308"/>
      <c r="H2597" s="233"/>
      <c r="I2597" s="301"/>
    </row>
    <row r="2598" spans="2:9" s="346" customFormat="1" ht="21" customHeight="1">
      <c r="B2598" s="305"/>
      <c r="C2598" s="305"/>
      <c r="D2598" s="234"/>
      <c r="E2598" s="313"/>
      <c r="F2598" s="307"/>
      <c r="G2598" s="308"/>
      <c r="H2598" s="233"/>
      <c r="I2598" s="301"/>
    </row>
    <row r="2599" spans="2:9" s="346" customFormat="1" ht="21" customHeight="1">
      <c r="B2599" s="305"/>
      <c r="C2599" s="305"/>
      <c r="D2599" s="234"/>
      <c r="E2599" s="307"/>
      <c r="F2599" s="307"/>
      <c r="G2599" s="308"/>
      <c r="H2599" s="233"/>
      <c r="I2599" s="301"/>
    </row>
    <row r="2600" spans="2:9" s="346" customFormat="1" ht="21" customHeight="1">
      <c r="B2600" s="305"/>
      <c r="C2600" s="305"/>
      <c r="D2600" s="234"/>
      <c r="E2600" s="307"/>
      <c r="F2600" s="307"/>
      <c r="G2600" s="308"/>
      <c r="H2600" s="233"/>
      <c r="I2600" s="301"/>
    </row>
    <row r="2601" spans="2:9" s="346" customFormat="1" ht="21" customHeight="1">
      <c r="B2601" s="305"/>
      <c r="C2601" s="305"/>
      <c r="D2601" s="234"/>
      <c r="E2601" s="307"/>
      <c r="F2601" s="307"/>
      <c r="G2601" s="308"/>
      <c r="H2601" s="233"/>
      <c r="I2601" s="301"/>
    </row>
    <row r="2602" spans="2:9" s="346" customFormat="1" ht="21" customHeight="1">
      <c r="B2602" s="305"/>
      <c r="C2602" s="305"/>
      <c r="D2602" s="234"/>
      <c r="E2602" s="307"/>
      <c r="F2602" s="307"/>
      <c r="G2602" s="308"/>
      <c r="H2602" s="233"/>
      <c r="I2602" s="301"/>
    </row>
    <row r="2603" spans="2:9" s="346" customFormat="1" ht="21" customHeight="1">
      <c r="B2603" s="305"/>
      <c r="C2603" s="305"/>
      <c r="D2603" s="234"/>
      <c r="E2603" s="307"/>
      <c r="F2603" s="307"/>
      <c r="G2603" s="308"/>
      <c r="H2603" s="233"/>
      <c r="I2603" s="301"/>
    </row>
    <row r="2604" spans="2:9" s="346" customFormat="1" ht="21" customHeight="1">
      <c r="B2604" s="305"/>
      <c r="C2604" s="305"/>
      <c r="D2604" s="234"/>
      <c r="E2604" s="307"/>
      <c r="F2604" s="307"/>
      <c r="G2604" s="308"/>
      <c r="H2604" s="233"/>
      <c r="I2604" s="301"/>
    </row>
    <row r="2605" spans="2:9" s="346" customFormat="1" ht="21" customHeight="1">
      <c r="B2605" s="305"/>
      <c r="C2605" s="305"/>
      <c r="D2605" s="234"/>
      <c r="E2605" s="307"/>
      <c r="F2605" s="307"/>
      <c r="G2605" s="308"/>
      <c r="H2605" s="233"/>
      <c r="I2605" s="301"/>
    </row>
    <row r="2606" spans="2:9" s="346" customFormat="1" ht="21" customHeight="1">
      <c r="B2606" s="305"/>
      <c r="C2606" s="305"/>
      <c r="D2606" s="234"/>
      <c r="E2606" s="307"/>
      <c r="F2606" s="307"/>
      <c r="G2606" s="308"/>
      <c r="H2606" s="233"/>
      <c r="I2606" s="301"/>
    </row>
    <row r="2607" spans="2:9" s="346" customFormat="1" ht="21" customHeight="1">
      <c r="B2607" s="312" t="s">
        <v>835</v>
      </c>
      <c r="C2607" s="305"/>
      <c r="D2607" s="234"/>
      <c r="E2607" s="307"/>
      <c r="F2607" s="307"/>
      <c r="G2607" s="232"/>
      <c r="H2607" s="233"/>
      <c r="I2607" s="301"/>
    </row>
    <row r="2608" spans="2:9" s="346" customFormat="1" ht="21" customHeight="1">
      <c r="B2608" s="305"/>
      <c r="C2608" s="305" t="s">
        <v>1154</v>
      </c>
      <c r="D2608" s="234" t="s">
        <v>869</v>
      </c>
      <c r="E2608" s="307">
        <v>2.2570000000000001</v>
      </c>
      <c r="F2608" s="307"/>
      <c r="G2608" s="232"/>
      <c r="H2608" s="233"/>
      <c r="I2608" s="301"/>
    </row>
    <row r="2609" spans="2:9" s="346" customFormat="1" ht="21" customHeight="1">
      <c r="B2609" s="305"/>
      <c r="C2609" s="305"/>
      <c r="D2609" s="234"/>
      <c r="E2609" s="306"/>
      <c r="F2609" s="306"/>
      <c r="G2609" s="232"/>
      <c r="H2609" s="232"/>
      <c r="I2609" s="301"/>
    </row>
    <row r="2610" spans="2:9" s="346" customFormat="1" ht="21" customHeight="1">
      <c r="B2610" s="305"/>
      <c r="C2610" s="305"/>
      <c r="D2610" s="234"/>
      <c r="E2610" s="306"/>
      <c r="F2610" s="306"/>
      <c r="G2610" s="308"/>
      <c r="H2610" s="233"/>
      <c r="I2610" s="301"/>
    </row>
    <row r="2611" spans="2:9" s="346" customFormat="1" ht="21" customHeight="1">
      <c r="B2611" s="305"/>
      <c r="C2611" s="305"/>
      <c r="D2611" s="234"/>
      <c r="E2611" s="306"/>
      <c r="F2611" s="306"/>
      <c r="G2611" s="308"/>
      <c r="H2611" s="233"/>
      <c r="I2611" s="301"/>
    </row>
    <row r="2612" spans="2:9" s="346" customFormat="1" ht="21" customHeight="1">
      <c r="B2612" s="305"/>
      <c r="C2612" s="305"/>
      <c r="D2612" s="234"/>
      <c r="E2612" s="306"/>
      <c r="F2612" s="306"/>
      <c r="G2612" s="308"/>
      <c r="H2612" s="233"/>
      <c r="I2612" s="301"/>
    </row>
    <row r="2613" spans="2:9" s="346" customFormat="1" ht="21" customHeight="1">
      <c r="B2613" s="312" t="s">
        <v>837</v>
      </c>
      <c r="C2613" s="305"/>
      <c r="D2613" s="234"/>
      <c r="E2613" s="307"/>
      <c r="F2613" s="307"/>
      <c r="G2613" s="232"/>
      <c r="H2613" s="233"/>
      <c r="I2613" s="301"/>
    </row>
    <row r="2614" spans="2:9" s="346" customFormat="1" ht="21" customHeight="1">
      <c r="B2614" s="305"/>
      <c r="C2614" s="305" t="s">
        <v>1154</v>
      </c>
      <c r="D2614" s="234" t="s">
        <v>869</v>
      </c>
      <c r="E2614" s="307">
        <v>6.8000000000000005E-2</v>
      </c>
      <c r="F2614" s="307"/>
      <c r="G2614" s="232"/>
      <c r="H2614" s="233"/>
      <c r="I2614" s="301"/>
    </row>
    <row r="2615" spans="2:9" s="346" customFormat="1" ht="21" customHeight="1">
      <c r="B2615" s="305"/>
      <c r="C2615" s="305"/>
      <c r="D2615" s="234"/>
      <c r="E2615" s="306"/>
      <c r="F2615" s="306"/>
      <c r="G2615" s="232"/>
      <c r="H2615" s="232"/>
      <c r="I2615" s="301"/>
    </row>
    <row r="2616" spans="2:9" s="346" customFormat="1" ht="21" customHeight="1">
      <c r="B2616" s="305"/>
      <c r="C2616" s="305"/>
      <c r="D2616" s="234"/>
      <c r="E2616" s="306"/>
      <c r="F2616" s="306"/>
      <c r="G2616" s="308"/>
      <c r="H2616" s="233"/>
      <c r="I2616" s="301"/>
    </row>
    <row r="2617" spans="2:9" s="346" customFormat="1" ht="21" customHeight="1">
      <c r="B2617" s="305"/>
      <c r="C2617" s="305"/>
      <c r="D2617" s="234"/>
      <c r="E2617" s="306"/>
      <c r="F2617" s="306"/>
      <c r="G2617" s="308"/>
      <c r="H2617" s="233"/>
      <c r="I2617" s="301"/>
    </row>
    <row r="2618" spans="2:9" s="346" customFormat="1" ht="21" customHeight="1">
      <c r="B2618" s="305"/>
      <c r="C2618" s="305"/>
      <c r="D2618" s="234"/>
      <c r="E2618" s="306"/>
      <c r="F2618" s="306"/>
      <c r="G2618" s="308"/>
      <c r="H2618" s="233"/>
      <c r="I2618" s="301"/>
    </row>
    <row r="2619" spans="2:9" s="346" customFormat="1" ht="21" customHeight="1">
      <c r="B2619" s="300" t="str">
        <f>'5. 공종별예산조서'!$A$204</f>
        <v>7-5. 1종금속제가요전선관 철거</v>
      </c>
      <c r="C2619" s="300" t="str">
        <f>'5. 공종별예산조서'!$B$204</f>
        <v>일반, 22C</v>
      </c>
      <c r="D2619" s="301" t="str">
        <f>'5. 공종별예산조서'!$C$204</f>
        <v>M</v>
      </c>
      <c r="E2619" s="309">
        <f>'5. 공종별예산조서'!$D$204</f>
        <v>14</v>
      </c>
      <c r="F2619" s="302"/>
      <c r="G2619" s="303"/>
      <c r="H2619" s="304"/>
      <c r="I2619" s="301"/>
    </row>
    <row r="2620" spans="2:9" s="346" customFormat="1" ht="21" customHeight="1">
      <c r="B2620" s="312" t="s">
        <v>834</v>
      </c>
      <c r="C2620" s="305"/>
      <c r="D2620" s="234"/>
      <c r="E2620" s="310"/>
      <c r="F2620" s="306"/>
      <c r="G2620" s="232"/>
      <c r="H2620" s="233"/>
      <c r="I2620" s="301"/>
    </row>
    <row r="2621" spans="2:9" s="346" customFormat="1" ht="21" customHeight="1">
      <c r="B2621" s="305" t="s">
        <v>1155</v>
      </c>
      <c r="C2621" s="305" t="str">
        <f>C2619</f>
        <v>일반, 22C</v>
      </c>
      <c r="D2621" s="234" t="str">
        <f>D2619</f>
        <v>M</v>
      </c>
      <c r="E2621" s="311">
        <f>E2619</f>
        <v>14</v>
      </c>
      <c r="F2621" s="307"/>
      <c r="G2621" s="308"/>
      <c r="H2621" s="233"/>
      <c r="I2621" s="301"/>
    </row>
    <row r="2622" spans="2:9" s="346" customFormat="1" ht="21" customHeight="1">
      <c r="B2622" s="305"/>
      <c r="C2622" s="305"/>
      <c r="D2622" s="234"/>
      <c r="E2622" s="313"/>
      <c r="F2622" s="307"/>
      <c r="G2622" s="308"/>
      <c r="H2622" s="233"/>
      <c r="I2622" s="301"/>
    </row>
    <row r="2623" spans="2:9" s="346" customFormat="1" ht="21" customHeight="1">
      <c r="B2623" s="305"/>
      <c r="C2623" s="305"/>
      <c r="D2623" s="234"/>
      <c r="E2623" s="307"/>
      <c r="F2623" s="307"/>
      <c r="G2623" s="308"/>
      <c r="H2623" s="233"/>
      <c r="I2623" s="301"/>
    </row>
    <row r="2624" spans="2:9" s="346" customFormat="1" ht="21" customHeight="1">
      <c r="B2624" s="305"/>
      <c r="C2624" s="305"/>
      <c r="D2624" s="234"/>
      <c r="E2624" s="307"/>
      <c r="F2624" s="307"/>
      <c r="G2624" s="308"/>
      <c r="H2624" s="233"/>
      <c r="I2624" s="301"/>
    </row>
    <row r="2625" spans="2:9" s="346" customFormat="1" ht="21" customHeight="1">
      <c r="B2625" s="305"/>
      <c r="C2625" s="305"/>
      <c r="D2625" s="234"/>
      <c r="E2625" s="307"/>
      <c r="F2625" s="307"/>
      <c r="G2625" s="308"/>
      <c r="H2625" s="233"/>
      <c r="I2625" s="301"/>
    </row>
    <row r="2626" spans="2:9" s="346" customFormat="1" ht="21" customHeight="1">
      <c r="B2626" s="305"/>
      <c r="C2626" s="305"/>
      <c r="D2626" s="234"/>
      <c r="E2626" s="307"/>
      <c r="F2626" s="307"/>
      <c r="G2626" s="308"/>
      <c r="H2626" s="233"/>
      <c r="I2626" s="301"/>
    </row>
    <row r="2627" spans="2:9" s="346" customFormat="1" ht="21" customHeight="1">
      <c r="B2627" s="305"/>
      <c r="C2627" s="305"/>
      <c r="D2627" s="234"/>
      <c r="E2627" s="307"/>
      <c r="F2627" s="307"/>
      <c r="G2627" s="308"/>
      <c r="H2627" s="233"/>
      <c r="I2627" s="301"/>
    </row>
    <row r="2628" spans="2:9" s="346" customFormat="1" ht="21" customHeight="1">
      <c r="B2628" s="305"/>
      <c r="C2628" s="305"/>
      <c r="D2628" s="234"/>
      <c r="E2628" s="307"/>
      <c r="F2628" s="307"/>
      <c r="G2628" s="308"/>
      <c r="H2628" s="233"/>
      <c r="I2628" s="301"/>
    </row>
    <row r="2629" spans="2:9" s="346" customFormat="1" ht="21" customHeight="1">
      <c r="B2629" s="305"/>
      <c r="C2629" s="305"/>
      <c r="D2629" s="234"/>
      <c r="E2629" s="307"/>
      <c r="F2629" s="307"/>
      <c r="G2629" s="308"/>
      <c r="H2629" s="233"/>
      <c r="I2629" s="301"/>
    </row>
    <row r="2630" spans="2:9" s="346" customFormat="1" ht="21" customHeight="1">
      <c r="B2630" s="305"/>
      <c r="C2630" s="305"/>
      <c r="D2630" s="234"/>
      <c r="E2630" s="307"/>
      <c r="F2630" s="307"/>
      <c r="G2630" s="308"/>
      <c r="H2630" s="233"/>
      <c r="I2630" s="301"/>
    </row>
    <row r="2631" spans="2:9" s="346" customFormat="1" ht="21" customHeight="1">
      <c r="B2631" s="312" t="s">
        <v>835</v>
      </c>
      <c r="C2631" s="305"/>
      <c r="D2631" s="234"/>
      <c r="E2631" s="307"/>
      <c r="F2631" s="307"/>
      <c r="G2631" s="232"/>
      <c r="H2631" s="233"/>
      <c r="I2631" s="301"/>
    </row>
    <row r="2632" spans="2:9" s="346" customFormat="1" ht="21" customHeight="1">
      <c r="B2632" s="305"/>
      <c r="C2632" s="305" t="s">
        <v>1154</v>
      </c>
      <c r="D2632" s="234" t="s">
        <v>869</v>
      </c>
      <c r="E2632" s="307">
        <v>0.223</v>
      </c>
      <c r="F2632" s="307"/>
      <c r="G2632" s="232"/>
      <c r="H2632" s="233"/>
      <c r="I2632" s="301"/>
    </row>
    <row r="2633" spans="2:9" s="346" customFormat="1" ht="21" customHeight="1">
      <c r="B2633" s="305"/>
      <c r="C2633" s="305"/>
      <c r="D2633" s="234"/>
      <c r="E2633" s="306"/>
      <c r="F2633" s="306"/>
      <c r="G2633" s="232"/>
      <c r="H2633" s="232"/>
      <c r="I2633" s="301"/>
    </row>
    <row r="2634" spans="2:9" s="346" customFormat="1" ht="21" customHeight="1">
      <c r="B2634" s="305"/>
      <c r="C2634" s="305"/>
      <c r="D2634" s="234"/>
      <c r="E2634" s="306"/>
      <c r="F2634" s="306"/>
      <c r="G2634" s="308"/>
      <c r="H2634" s="233"/>
      <c r="I2634" s="301"/>
    </row>
    <row r="2635" spans="2:9" s="346" customFormat="1" ht="21" customHeight="1">
      <c r="B2635" s="305"/>
      <c r="C2635" s="305"/>
      <c r="D2635" s="234"/>
      <c r="E2635" s="306"/>
      <c r="F2635" s="306"/>
      <c r="G2635" s="308"/>
      <c r="H2635" s="233"/>
      <c r="I2635" s="301"/>
    </row>
    <row r="2636" spans="2:9" s="346" customFormat="1" ht="21" customHeight="1">
      <c r="B2636" s="305"/>
      <c r="C2636" s="305"/>
      <c r="D2636" s="234"/>
      <c r="E2636" s="306"/>
      <c r="F2636" s="306"/>
      <c r="G2636" s="308"/>
      <c r="H2636" s="233"/>
      <c r="I2636" s="301"/>
    </row>
    <row r="2637" spans="2:9" s="346" customFormat="1" ht="21" customHeight="1">
      <c r="B2637" s="312" t="s">
        <v>837</v>
      </c>
      <c r="C2637" s="305"/>
      <c r="D2637" s="234"/>
      <c r="E2637" s="307"/>
      <c r="F2637" s="307"/>
      <c r="G2637" s="232"/>
      <c r="H2637" s="233"/>
      <c r="I2637" s="301"/>
    </row>
    <row r="2638" spans="2:9" s="346" customFormat="1" ht="21" customHeight="1">
      <c r="B2638" s="305"/>
      <c r="C2638" s="305" t="s">
        <v>1154</v>
      </c>
      <c r="D2638" s="234" t="s">
        <v>869</v>
      </c>
      <c r="E2638" s="307">
        <v>7.0000000000000001E-3</v>
      </c>
      <c r="F2638" s="307"/>
      <c r="G2638" s="232"/>
      <c r="H2638" s="233"/>
      <c r="I2638" s="301"/>
    </row>
    <row r="2639" spans="2:9" s="346" customFormat="1" ht="21" customHeight="1">
      <c r="B2639" s="305"/>
      <c r="C2639" s="305"/>
      <c r="D2639" s="234"/>
      <c r="E2639" s="306"/>
      <c r="F2639" s="306"/>
      <c r="G2639" s="232"/>
      <c r="H2639" s="232"/>
      <c r="I2639" s="301"/>
    </row>
    <row r="2640" spans="2:9" s="346" customFormat="1" ht="21" customHeight="1">
      <c r="B2640" s="305"/>
      <c r="C2640" s="305"/>
      <c r="D2640" s="234"/>
      <c r="E2640" s="306"/>
      <c r="F2640" s="306"/>
      <c r="G2640" s="308"/>
      <c r="H2640" s="233"/>
      <c r="I2640" s="301"/>
    </row>
    <row r="2641" spans="2:9" s="346" customFormat="1" ht="21" customHeight="1">
      <c r="B2641" s="305"/>
      <c r="C2641" s="305"/>
      <c r="D2641" s="234"/>
      <c r="E2641" s="306"/>
      <c r="F2641" s="306"/>
      <c r="G2641" s="308"/>
      <c r="H2641" s="233"/>
      <c r="I2641" s="301"/>
    </row>
    <row r="2642" spans="2:9" s="346" customFormat="1" ht="21" customHeight="1">
      <c r="B2642" s="305"/>
      <c r="C2642" s="305"/>
      <c r="D2642" s="234"/>
      <c r="E2642" s="306"/>
      <c r="F2642" s="306"/>
      <c r="G2642" s="308"/>
      <c r="H2642" s="233"/>
      <c r="I2642" s="301"/>
    </row>
    <row r="2643" spans="2:9" s="346" customFormat="1" ht="21" customHeight="1">
      <c r="B2643" s="300" t="str">
        <f>'5. 공종별예산조서'!$A$205</f>
        <v>7-6. LED 등기구 철거</v>
      </c>
      <c r="C2643" s="300" t="str">
        <f>'5. 공종별예산조서'!$B$205</f>
        <v>벽부등</v>
      </c>
      <c r="D2643" s="301" t="str">
        <f>'5. 공종별예산조서'!$C$205</f>
        <v>개</v>
      </c>
      <c r="E2643" s="309">
        <f>'5. 공종별예산조서'!$D$205</f>
        <v>10</v>
      </c>
      <c r="F2643" s="302"/>
      <c r="G2643" s="303"/>
      <c r="H2643" s="304"/>
      <c r="I2643" s="301"/>
    </row>
    <row r="2644" spans="2:9" s="346" customFormat="1" ht="21" customHeight="1">
      <c r="B2644" s="312" t="s">
        <v>834</v>
      </c>
      <c r="C2644" s="305"/>
      <c r="D2644" s="234"/>
      <c r="E2644" s="310"/>
      <c r="F2644" s="306"/>
      <c r="G2644" s="232"/>
      <c r="H2644" s="233"/>
      <c r="I2644" s="301"/>
    </row>
    <row r="2645" spans="2:9" s="346" customFormat="1" ht="21" customHeight="1">
      <c r="B2645" s="305" t="s">
        <v>1130</v>
      </c>
      <c r="C2645" s="305" t="str">
        <f>C2643</f>
        <v>벽부등</v>
      </c>
      <c r="D2645" s="234" t="str">
        <f>D2643</f>
        <v>개</v>
      </c>
      <c r="E2645" s="311">
        <f>E2643</f>
        <v>10</v>
      </c>
      <c r="F2645" s="307"/>
      <c r="G2645" s="308"/>
      <c r="H2645" s="233"/>
      <c r="I2645" s="301"/>
    </row>
    <row r="2646" spans="2:9" s="346" customFormat="1" ht="21" customHeight="1">
      <c r="B2646" s="305"/>
      <c r="C2646" s="305"/>
      <c r="D2646" s="234"/>
      <c r="E2646" s="313"/>
      <c r="F2646" s="307"/>
      <c r="G2646" s="308"/>
      <c r="H2646" s="233"/>
      <c r="I2646" s="301"/>
    </row>
    <row r="2647" spans="2:9" s="346" customFormat="1" ht="21" customHeight="1">
      <c r="B2647" s="305"/>
      <c r="C2647" s="305"/>
      <c r="D2647" s="234"/>
      <c r="E2647" s="307"/>
      <c r="F2647" s="307"/>
      <c r="G2647" s="308"/>
      <c r="H2647" s="233"/>
      <c r="I2647" s="301"/>
    </row>
    <row r="2648" spans="2:9" s="346" customFormat="1" ht="21" customHeight="1">
      <c r="B2648" s="305"/>
      <c r="C2648" s="305"/>
      <c r="D2648" s="234"/>
      <c r="E2648" s="307"/>
      <c r="F2648" s="307"/>
      <c r="G2648" s="308"/>
      <c r="H2648" s="233"/>
      <c r="I2648" s="301"/>
    </row>
    <row r="2649" spans="2:9" s="346" customFormat="1" ht="21" customHeight="1">
      <c r="B2649" s="305"/>
      <c r="C2649" s="305"/>
      <c r="D2649" s="234"/>
      <c r="E2649" s="307"/>
      <c r="F2649" s="307"/>
      <c r="G2649" s="308"/>
      <c r="H2649" s="233"/>
      <c r="I2649" s="301"/>
    </row>
    <row r="2650" spans="2:9" s="346" customFormat="1" ht="21" customHeight="1">
      <c r="B2650" s="305"/>
      <c r="C2650" s="305"/>
      <c r="D2650" s="234"/>
      <c r="E2650" s="307"/>
      <c r="F2650" s="307"/>
      <c r="G2650" s="308"/>
      <c r="H2650" s="233"/>
      <c r="I2650" s="301"/>
    </row>
    <row r="2651" spans="2:9" s="346" customFormat="1" ht="21" customHeight="1">
      <c r="B2651" s="305"/>
      <c r="C2651" s="305"/>
      <c r="D2651" s="234"/>
      <c r="E2651" s="307"/>
      <c r="F2651" s="307"/>
      <c r="G2651" s="308"/>
      <c r="H2651" s="233"/>
      <c r="I2651" s="301"/>
    </row>
    <row r="2652" spans="2:9" s="346" customFormat="1" ht="21" customHeight="1">
      <c r="B2652" s="305"/>
      <c r="C2652" s="305"/>
      <c r="D2652" s="234"/>
      <c r="E2652" s="307"/>
      <c r="F2652" s="307"/>
      <c r="G2652" s="308"/>
      <c r="H2652" s="233"/>
      <c r="I2652" s="301"/>
    </row>
    <row r="2653" spans="2:9" s="346" customFormat="1" ht="21" customHeight="1">
      <c r="B2653" s="305"/>
      <c r="C2653" s="305"/>
      <c r="D2653" s="234"/>
      <c r="E2653" s="307"/>
      <c r="F2653" s="307"/>
      <c r="G2653" s="308"/>
      <c r="H2653" s="233"/>
      <c r="I2653" s="301"/>
    </row>
    <row r="2654" spans="2:9" s="346" customFormat="1" ht="21" customHeight="1">
      <c r="B2654" s="305"/>
      <c r="C2654" s="305"/>
      <c r="D2654" s="234"/>
      <c r="E2654" s="307"/>
      <c r="F2654" s="307"/>
      <c r="G2654" s="308"/>
      <c r="H2654" s="233"/>
      <c r="I2654" s="301"/>
    </row>
    <row r="2655" spans="2:9" s="346" customFormat="1" ht="21" customHeight="1">
      <c r="B2655" s="312" t="s">
        <v>835</v>
      </c>
      <c r="C2655" s="305"/>
      <c r="D2655" s="234"/>
      <c r="E2655" s="307"/>
      <c r="F2655" s="307"/>
      <c r="G2655" s="232"/>
      <c r="H2655" s="233"/>
      <c r="I2655" s="301"/>
    </row>
    <row r="2656" spans="2:9" s="346" customFormat="1" ht="21" customHeight="1">
      <c r="B2656" s="305"/>
      <c r="C2656" s="305" t="s">
        <v>1154</v>
      </c>
      <c r="D2656" s="234" t="s">
        <v>869</v>
      </c>
      <c r="E2656" s="307">
        <v>0.35099999999999998</v>
      </c>
      <c r="F2656" s="307"/>
      <c r="G2656" s="232"/>
      <c r="H2656" s="233"/>
      <c r="I2656" s="301"/>
    </row>
    <row r="2657" spans="2:9" s="346" customFormat="1" ht="21" customHeight="1">
      <c r="B2657" s="305"/>
      <c r="C2657" s="305"/>
      <c r="D2657" s="234"/>
      <c r="E2657" s="306"/>
      <c r="F2657" s="306"/>
      <c r="G2657" s="232"/>
      <c r="H2657" s="232"/>
      <c r="I2657" s="301"/>
    </row>
    <row r="2658" spans="2:9" s="346" customFormat="1" ht="21" customHeight="1">
      <c r="B2658" s="305"/>
      <c r="C2658" s="305"/>
      <c r="D2658" s="234"/>
      <c r="E2658" s="306"/>
      <c r="F2658" s="306"/>
      <c r="G2658" s="308"/>
      <c r="H2658" s="233"/>
      <c r="I2658" s="301"/>
    </row>
    <row r="2659" spans="2:9" s="346" customFormat="1" ht="21" customHeight="1">
      <c r="B2659" s="305"/>
      <c r="C2659" s="305"/>
      <c r="D2659" s="234"/>
      <c r="E2659" s="306"/>
      <c r="F2659" s="306"/>
      <c r="G2659" s="308"/>
      <c r="H2659" s="233"/>
      <c r="I2659" s="301"/>
    </row>
    <row r="2660" spans="2:9" s="346" customFormat="1" ht="21" customHeight="1">
      <c r="B2660" s="305"/>
      <c r="C2660" s="305"/>
      <c r="D2660" s="234"/>
      <c r="E2660" s="306"/>
      <c r="F2660" s="306"/>
      <c r="G2660" s="308"/>
      <c r="H2660" s="233"/>
      <c r="I2660" s="301"/>
    </row>
    <row r="2661" spans="2:9" s="346" customFormat="1" ht="21" customHeight="1">
      <c r="B2661" s="312" t="s">
        <v>837</v>
      </c>
      <c r="C2661" s="305"/>
      <c r="D2661" s="234"/>
      <c r="E2661" s="307"/>
      <c r="F2661" s="307"/>
      <c r="G2661" s="232"/>
      <c r="H2661" s="233"/>
      <c r="I2661" s="301"/>
    </row>
    <row r="2662" spans="2:9" s="346" customFormat="1" ht="21" customHeight="1">
      <c r="B2662" s="305"/>
      <c r="C2662" s="305" t="s">
        <v>1154</v>
      </c>
      <c r="D2662" s="234" t="s">
        <v>869</v>
      </c>
      <c r="E2662" s="307">
        <v>1.0999999999999999E-2</v>
      </c>
      <c r="F2662" s="307"/>
      <c r="G2662" s="232"/>
      <c r="H2662" s="233"/>
      <c r="I2662" s="301"/>
    </row>
    <row r="2663" spans="2:9" s="346" customFormat="1" ht="21" customHeight="1">
      <c r="B2663" s="305"/>
      <c r="C2663" s="305"/>
      <c r="D2663" s="234"/>
      <c r="E2663" s="306"/>
      <c r="F2663" s="306"/>
      <c r="G2663" s="232"/>
      <c r="H2663" s="232"/>
      <c r="I2663" s="301"/>
    </row>
    <row r="2664" spans="2:9" s="346" customFormat="1" ht="21" customHeight="1">
      <c r="B2664" s="305"/>
      <c r="C2664" s="305"/>
      <c r="D2664" s="234"/>
      <c r="E2664" s="306"/>
      <c r="F2664" s="306"/>
      <c r="G2664" s="308"/>
      <c r="H2664" s="233"/>
      <c r="I2664" s="301"/>
    </row>
    <row r="2665" spans="2:9" s="346" customFormat="1" ht="21" customHeight="1">
      <c r="B2665" s="305"/>
      <c r="C2665" s="305"/>
      <c r="D2665" s="234"/>
      <c r="E2665" s="306"/>
      <c r="F2665" s="306"/>
      <c r="G2665" s="308"/>
      <c r="H2665" s="233"/>
      <c r="I2665" s="301"/>
    </row>
    <row r="2666" spans="2:9" s="346" customFormat="1" ht="21" customHeight="1">
      <c r="B2666" s="305"/>
      <c r="C2666" s="305"/>
      <c r="D2666" s="234"/>
      <c r="E2666" s="306"/>
      <c r="F2666" s="306"/>
      <c r="G2666" s="308"/>
      <c r="H2666" s="233"/>
      <c r="I2666" s="301"/>
    </row>
    <row r="2667" spans="2:9" s="346" customFormat="1" ht="21" customHeight="1">
      <c r="B2667" s="300" t="str">
        <f>'5. 공종별예산조서'!$A$206</f>
        <v>7-7. PVC 노출 스위치박스1개용 철거</v>
      </c>
      <c r="C2667" s="300" t="str">
        <f>'5. 공종별예산조서'!$B$206</f>
        <v>PVC 노출 스위치박스1개용</v>
      </c>
      <c r="D2667" s="301" t="str">
        <f>'5. 공종별예산조서'!$C$206</f>
        <v>개</v>
      </c>
      <c r="E2667" s="309">
        <f>'5. 공종별예산조서'!$D$206</f>
        <v>8</v>
      </c>
      <c r="F2667" s="302"/>
      <c r="G2667" s="303"/>
      <c r="H2667" s="304"/>
      <c r="I2667" s="301"/>
    </row>
    <row r="2668" spans="2:9" s="346" customFormat="1" ht="21" customHeight="1">
      <c r="B2668" s="312" t="s">
        <v>834</v>
      </c>
      <c r="C2668" s="305"/>
      <c r="D2668" s="234"/>
      <c r="E2668" s="310"/>
      <c r="F2668" s="306"/>
      <c r="G2668" s="232"/>
      <c r="H2668" s="233"/>
      <c r="I2668" s="301"/>
    </row>
    <row r="2669" spans="2:9" s="346" customFormat="1" ht="21" customHeight="1">
      <c r="B2669" s="305" t="s">
        <v>1156</v>
      </c>
      <c r="C2669" s="305" t="str">
        <f>C2667</f>
        <v>PVC 노출 스위치박스1개용</v>
      </c>
      <c r="D2669" s="234" t="str">
        <f>D2667</f>
        <v>개</v>
      </c>
      <c r="E2669" s="311">
        <f>E2667</f>
        <v>8</v>
      </c>
      <c r="F2669" s="307"/>
      <c r="G2669" s="308"/>
      <c r="H2669" s="233"/>
      <c r="I2669" s="301"/>
    </row>
    <row r="2670" spans="2:9" s="346" customFormat="1" ht="21" customHeight="1">
      <c r="B2670" s="305"/>
      <c r="C2670" s="305"/>
      <c r="D2670" s="234"/>
      <c r="E2670" s="313"/>
      <c r="F2670" s="307"/>
      <c r="G2670" s="308"/>
      <c r="H2670" s="233"/>
      <c r="I2670" s="301"/>
    </row>
    <row r="2671" spans="2:9" s="346" customFormat="1" ht="21" customHeight="1">
      <c r="B2671" s="305"/>
      <c r="C2671" s="305"/>
      <c r="D2671" s="234"/>
      <c r="E2671" s="307"/>
      <c r="F2671" s="307"/>
      <c r="G2671" s="308"/>
      <c r="H2671" s="233"/>
      <c r="I2671" s="301"/>
    </row>
    <row r="2672" spans="2:9" s="346" customFormat="1" ht="21" customHeight="1">
      <c r="B2672" s="305"/>
      <c r="C2672" s="305"/>
      <c r="D2672" s="234"/>
      <c r="E2672" s="307"/>
      <c r="F2672" s="307"/>
      <c r="G2672" s="308"/>
      <c r="H2672" s="233"/>
      <c r="I2672" s="301"/>
    </row>
    <row r="2673" spans="2:9" s="346" customFormat="1" ht="21" customHeight="1">
      <c r="B2673" s="305"/>
      <c r="C2673" s="305"/>
      <c r="D2673" s="234"/>
      <c r="E2673" s="307"/>
      <c r="F2673" s="307"/>
      <c r="G2673" s="308"/>
      <c r="H2673" s="233"/>
      <c r="I2673" s="301"/>
    </row>
    <row r="2674" spans="2:9" s="346" customFormat="1" ht="21" customHeight="1">
      <c r="B2674" s="305"/>
      <c r="C2674" s="305"/>
      <c r="D2674" s="234"/>
      <c r="E2674" s="307"/>
      <c r="F2674" s="307"/>
      <c r="G2674" s="308"/>
      <c r="H2674" s="233"/>
      <c r="I2674" s="301"/>
    </row>
    <row r="2675" spans="2:9" s="346" customFormat="1" ht="21" customHeight="1">
      <c r="B2675" s="305"/>
      <c r="C2675" s="305"/>
      <c r="D2675" s="234"/>
      <c r="E2675" s="307"/>
      <c r="F2675" s="307"/>
      <c r="G2675" s="308"/>
      <c r="H2675" s="233"/>
      <c r="I2675" s="301"/>
    </row>
    <row r="2676" spans="2:9" s="346" customFormat="1" ht="21" customHeight="1">
      <c r="B2676" s="305"/>
      <c r="C2676" s="305"/>
      <c r="D2676" s="234"/>
      <c r="E2676" s="307"/>
      <c r="F2676" s="307"/>
      <c r="G2676" s="308"/>
      <c r="H2676" s="233"/>
      <c r="I2676" s="301"/>
    </row>
    <row r="2677" spans="2:9" s="346" customFormat="1" ht="21" customHeight="1">
      <c r="B2677" s="305"/>
      <c r="C2677" s="305"/>
      <c r="D2677" s="234"/>
      <c r="E2677" s="307"/>
      <c r="F2677" s="307"/>
      <c r="G2677" s="308"/>
      <c r="H2677" s="233"/>
      <c r="I2677" s="301"/>
    </row>
    <row r="2678" spans="2:9" s="346" customFormat="1" ht="21" customHeight="1">
      <c r="B2678" s="305"/>
      <c r="C2678" s="305"/>
      <c r="D2678" s="234"/>
      <c r="E2678" s="307"/>
      <c r="F2678" s="307"/>
      <c r="G2678" s="308"/>
      <c r="H2678" s="233"/>
      <c r="I2678" s="301"/>
    </row>
    <row r="2679" spans="2:9" s="346" customFormat="1" ht="21" customHeight="1">
      <c r="B2679" s="312" t="s">
        <v>835</v>
      </c>
      <c r="C2679" s="305"/>
      <c r="D2679" s="234"/>
      <c r="E2679" s="307"/>
      <c r="F2679" s="307"/>
      <c r="G2679" s="232"/>
      <c r="H2679" s="233"/>
      <c r="I2679" s="301"/>
    </row>
    <row r="2680" spans="2:9" s="346" customFormat="1" ht="21" customHeight="1">
      <c r="B2680" s="305"/>
      <c r="C2680" s="305" t="s">
        <v>1154</v>
      </c>
      <c r="D2680" s="234" t="s">
        <v>869</v>
      </c>
      <c r="E2680" s="307">
        <v>0.432</v>
      </c>
      <c r="F2680" s="307"/>
      <c r="G2680" s="232"/>
      <c r="H2680" s="233"/>
      <c r="I2680" s="301"/>
    </row>
    <row r="2681" spans="2:9" s="346" customFormat="1" ht="21" customHeight="1">
      <c r="B2681" s="305"/>
      <c r="C2681" s="305"/>
      <c r="D2681" s="234"/>
      <c r="E2681" s="306"/>
      <c r="F2681" s="306"/>
      <c r="G2681" s="232"/>
      <c r="H2681" s="232"/>
      <c r="I2681" s="301"/>
    </row>
    <row r="2682" spans="2:9" s="346" customFormat="1" ht="21" customHeight="1">
      <c r="B2682" s="305"/>
      <c r="C2682" s="305"/>
      <c r="D2682" s="234"/>
      <c r="E2682" s="306"/>
      <c r="F2682" s="306"/>
      <c r="G2682" s="308"/>
      <c r="H2682" s="233"/>
      <c r="I2682" s="301"/>
    </row>
    <row r="2683" spans="2:9" s="346" customFormat="1" ht="21" customHeight="1">
      <c r="B2683" s="305"/>
      <c r="C2683" s="305"/>
      <c r="D2683" s="234"/>
      <c r="E2683" s="306"/>
      <c r="F2683" s="306"/>
      <c r="G2683" s="308"/>
      <c r="H2683" s="233"/>
      <c r="I2683" s="301"/>
    </row>
    <row r="2684" spans="2:9" s="346" customFormat="1" ht="21" customHeight="1">
      <c r="B2684" s="305"/>
      <c r="C2684" s="305"/>
      <c r="D2684" s="234"/>
      <c r="E2684" s="306"/>
      <c r="F2684" s="306"/>
      <c r="G2684" s="308"/>
      <c r="H2684" s="233"/>
      <c r="I2684" s="301"/>
    </row>
    <row r="2685" spans="2:9" s="346" customFormat="1" ht="21" customHeight="1">
      <c r="B2685" s="312" t="s">
        <v>837</v>
      </c>
      <c r="C2685" s="305"/>
      <c r="D2685" s="234"/>
      <c r="E2685" s="307"/>
      <c r="F2685" s="307"/>
      <c r="G2685" s="232"/>
      <c r="H2685" s="233"/>
      <c r="I2685" s="301"/>
    </row>
    <row r="2686" spans="2:9" s="346" customFormat="1" ht="21" customHeight="1">
      <c r="B2686" s="305"/>
      <c r="C2686" s="305" t="s">
        <v>1154</v>
      </c>
      <c r="D2686" s="234" t="s">
        <v>869</v>
      </c>
      <c r="E2686" s="307">
        <v>1.2999999999999999E-2</v>
      </c>
      <c r="F2686" s="307"/>
      <c r="G2686" s="232"/>
      <c r="H2686" s="233"/>
      <c r="I2686" s="301"/>
    </row>
    <row r="2687" spans="2:9" s="346" customFormat="1" ht="21" customHeight="1">
      <c r="B2687" s="305"/>
      <c r="C2687" s="305"/>
      <c r="D2687" s="234"/>
      <c r="E2687" s="306"/>
      <c r="F2687" s="306"/>
      <c r="G2687" s="232"/>
      <c r="H2687" s="232"/>
      <c r="I2687" s="301"/>
    </row>
    <row r="2688" spans="2:9" s="346" customFormat="1" ht="21" customHeight="1">
      <c r="B2688" s="305"/>
      <c r="C2688" s="305"/>
      <c r="D2688" s="234"/>
      <c r="E2688" s="306"/>
      <c r="F2688" s="306"/>
      <c r="G2688" s="308"/>
      <c r="H2688" s="233"/>
      <c r="I2688" s="301"/>
    </row>
    <row r="2689" spans="2:9" s="346" customFormat="1" ht="21" customHeight="1">
      <c r="B2689" s="305"/>
      <c r="C2689" s="305"/>
      <c r="D2689" s="234"/>
      <c r="E2689" s="306"/>
      <c r="F2689" s="306"/>
      <c r="G2689" s="308"/>
      <c r="H2689" s="233"/>
      <c r="I2689" s="301"/>
    </row>
    <row r="2690" spans="2:9" s="346" customFormat="1" ht="21" customHeight="1">
      <c r="B2690" s="305"/>
      <c r="C2690" s="305"/>
      <c r="D2690" s="234"/>
      <c r="E2690" s="306"/>
      <c r="F2690" s="306"/>
      <c r="G2690" s="308"/>
      <c r="H2690" s="233"/>
      <c r="I2690" s="301"/>
    </row>
    <row r="2691" spans="2:9" s="346" customFormat="1" ht="21" customHeight="1">
      <c r="B2691" s="300" t="str">
        <f>'5. 공종별예산조서'!$A$207</f>
        <v>7-8. PVC 노출 스위치박스2개용 철거</v>
      </c>
      <c r="C2691" s="300" t="str">
        <f>'5. 공종별예산조서'!$B$207</f>
        <v>PVC 노출 스위치박스1개용(커버포함)</v>
      </c>
      <c r="D2691" s="301" t="str">
        <f>'5. 공종별예산조서'!$C$207</f>
        <v>개</v>
      </c>
      <c r="E2691" s="309">
        <f>'5. 공종별예산조서'!$D$207</f>
        <v>7</v>
      </c>
      <c r="F2691" s="302"/>
      <c r="G2691" s="303"/>
      <c r="H2691" s="304"/>
      <c r="I2691" s="301"/>
    </row>
    <row r="2692" spans="2:9" s="346" customFormat="1" ht="21" customHeight="1">
      <c r="B2692" s="312" t="s">
        <v>834</v>
      </c>
      <c r="C2692" s="305"/>
      <c r="D2692" s="234"/>
      <c r="E2692" s="310"/>
      <c r="F2692" s="306"/>
      <c r="G2692" s="232"/>
      <c r="H2692" s="233"/>
      <c r="I2692" s="301"/>
    </row>
    <row r="2693" spans="2:9" s="346" customFormat="1" ht="21" customHeight="1">
      <c r="B2693" s="305" t="s">
        <v>1161</v>
      </c>
      <c r="C2693" s="305" t="str">
        <f>C2691</f>
        <v>PVC 노출 스위치박스1개용(커버포함)</v>
      </c>
      <c r="D2693" s="234" t="str">
        <f>D2691</f>
        <v>개</v>
      </c>
      <c r="E2693" s="311">
        <f>E2691</f>
        <v>7</v>
      </c>
      <c r="F2693" s="307"/>
      <c r="G2693" s="308"/>
      <c r="H2693" s="233"/>
      <c r="I2693" s="301"/>
    </row>
    <row r="2694" spans="2:9" s="346" customFormat="1" ht="21" customHeight="1">
      <c r="B2694" s="305"/>
      <c r="C2694" s="305"/>
      <c r="D2694" s="234"/>
      <c r="E2694" s="313"/>
      <c r="F2694" s="307"/>
      <c r="G2694" s="308"/>
      <c r="H2694" s="233"/>
      <c r="I2694" s="301"/>
    </row>
    <row r="2695" spans="2:9" s="346" customFormat="1" ht="21" customHeight="1">
      <c r="B2695" s="305"/>
      <c r="C2695" s="305"/>
      <c r="D2695" s="234"/>
      <c r="E2695" s="307"/>
      <c r="F2695" s="307"/>
      <c r="G2695" s="308"/>
      <c r="H2695" s="233"/>
      <c r="I2695" s="301"/>
    </row>
    <row r="2696" spans="2:9" s="346" customFormat="1" ht="21" customHeight="1">
      <c r="B2696" s="305"/>
      <c r="C2696" s="305"/>
      <c r="D2696" s="234"/>
      <c r="E2696" s="307"/>
      <c r="F2696" s="307"/>
      <c r="G2696" s="308"/>
      <c r="H2696" s="233"/>
      <c r="I2696" s="301"/>
    </row>
    <row r="2697" spans="2:9" s="346" customFormat="1" ht="21" customHeight="1">
      <c r="B2697" s="305"/>
      <c r="C2697" s="305"/>
      <c r="D2697" s="234"/>
      <c r="E2697" s="307"/>
      <c r="F2697" s="307"/>
      <c r="G2697" s="308"/>
      <c r="H2697" s="233"/>
      <c r="I2697" s="301"/>
    </row>
    <row r="2698" spans="2:9" s="346" customFormat="1" ht="21" customHeight="1">
      <c r="B2698" s="305"/>
      <c r="C2698" s="305"/>
      <c r="D2698" s="234"/>
      <c r="E2698" s="307"/>
      <c r="F2698" s="307"/>
      <c r="G2698" s="308"/>
      <c r="H2698" s="233"/>
      <c r="I2698" s="301"/>
    </row>
    <row r="2699" spans="2:9" s="346" customFormat="1" ht="21" customHeight="1">
      <c r="B2699" s="305"/>
      <c r="C2699" s="305"/>
      <c r="D2699" s="234"/>
      <c r="E2699" s="307"/>
      <c r="F2699" s="307"/>
      <c r="G2699" s="308"/>
      <c r="H2699" s="233"/>
      <c r="I2699" s="301"/>
    </row>
    <row r="2700" spans="2:9" s="346" customFormat="1" ht="21" customHeight="1">
      <c r="B2700" s="305"/>
      <c r="C2700" s="305"/>
      <c r="D2700" s="234"/>
      <c r="E2700" s="307"/>
      <c r="F2700" s="307"/>
      <c r="G2700" s="308"/>
      <c r="H2700" s="233"/>
      <c r="I2700" s="301"/>
    </row>
    <row r="2701" spans="2:9" s="346" customFormat="1" ht="21" customHeight="1">
      <c r="B2701" s="305"/>
      <c r="C2701" s="305"/>
      <c r="D2701" s="234"/>
      <c r="E2701" s="307"/>
      <c r="F2701" s="307"/>
      <c r="G2701" s="308"/>
      <c r="H2701" s="233"/>
      <c r="I2701" s="301"/>
    </row>
    <row r="2702" spans="2:9" s="346" customFormat="1" ht="21" customHeight="1">
      <c r="B2702" s="305"/>
      <c r="C2702" s="305"/>
      <c r="D2702" s="234"/>
      <c r="E2702" s="307"/>
      <c r="F2702" s="307"/>
      <c r="G2702" s="308"/>
      <c r="H2702" s="233"/>
      <c r="I2702" s="301"/>
    </row>
    <row r="2703" spans="2:9" s="346" customFormat="1" ht="21" customHeight="1">
      <c r="B2703" s="312" t="s">
        <v>835</v>
      </c>
      <c r="C2703" s="305"/>
      <c r="D2703" s="234"/>
      <c r="E2703" s="307"/>
      <c r="F2703" s="307"/>
      <c r="G2703" s="232"/>
      <c r="H2703" s="233"/>
      <c r="I2703" s="301"/>
    </row>
    <row r="2704" spans="2:9" s="346" customFormat="1" ht="21" customHeight="1">
      <c r="B2704" s="305"/>
      <c r="C2704" s="305" t="s">
        <v>1154</v>
      </c>
      <c r="D2704" s="234" t="s">
        <v>869</v>
      </c>
      <c r="E2704" s="307">
        <v>0.378</v>
      </c>
      <c r="F2704" s="307"/>
      <c r="G2704" s="232"/>
      <c r="H2704" s="233"/>
      <c r="I2704" s="301"/>
    </row>
    <row r="2705" spans="2:9" s="346" customFormat="1" ht="21" customHeight="1">
      <c r="B2705" s="305"/>
      <c r="C2705" s="305"/>
      <c r="D2705" s="234"/>
      <c r="E2705" s="306"/>
      <c r="F2705" s="306"/>
      <c r="G2705" s="232"/>
      <c r="H2705" s="232"/>
      <c r="I2705" s="301"/>
    </row>
    <row r="2706" spans="2:9" s="346" customFormat="1" ht="21" customHeight="1">
      <c r="B2706" s="305"/>
      <c r="C2706" s="305"/>
      <c r="D2706" s="234"/>
      <c r="E2706" s="306"/>
      <c r="F2706" s="306"/>
      <c r="G2706" s="308"/>
      <c r="H2706" s="233"/>
      <c r="I2706" s="301"/>
    </row>
    <row r="2707" spans="2:9" s="346" customFormat="1" ht="21" customHeight="1">
      <c r="B2707" s="305"/>
      <c r="C2707" s="305"/>
      <c r="D2707" s="234"/>
      <c r="E2707" s="306"/>
      <c r="F2707" s="306"/>
      <c r="G2707" s="308"/>
      <c r="H2707" s="233"/>
      <c r="I2707" s="301"/>
    </row>
    <row r="2708" spans="2:9" s="346" customFormat="1" ht="21" customHeight="1">
      <c r="B2708" s="305"/>
      <c r="C2708" s="305"/>
      <c r="D2708" s="234"/>
      <c r="E2708" s="306"/>
      <c r="F2708" s="306"/>
      <c r="G2708" s="308"/>
      <c r="H2708" s="233"/>
      <c r="I2708" s="301"/>
    </row>
    <row r="2709" spans="2:9" s="346" customFormat="1" ht="21" customHeight="1">
      <c r="B2709" s="312" t="s">
        <v>837</v>
      </c>
      <c r="C2709" s="305"/>
      <c r="D2709" s="234"/>
      <c r="E2709" s="307"/>
      <c r="F2709" s="307"/>
      <c r="G2709" s="232"/>
      <c r="H2709" s="233"/>
      <c r="I2709" s="301"/>
    </row>
    <row r="2710" spans="2:9" s="346" customFormat="1" ht="21" customHeight="1">
      <c r="B2710" s="305"/>
      <c r="C2710" s="305" t="s">
        <v>1154</v>
      </c>
      <c r="D2710" s="234" t="s">
        <v>869</v>
      </c>
      <c r="E2710" s="307">
        <v>1.0999999999999999E-2</v>
      </c>
      <c r="F2710" s="307"/>
      <c r="G2710" s="232"/>
      <c r="H2710" s="233"/>
      <c r="I2710" s="301"/>
    </row>
    <row r="2711" spans="2:9" s="346" customFormat="1" ht="21" customHeight="1">
      <c r="B2711" s="305"/>
      <c r="C2711" s="305"/>
      <c r="D2711" s="234"/>
      <c r="E2711" s="306"/>
      <c r="F2711" s="306"/>
      <c r="G2711" s="232"/>
      <c r="H2711" s="232"/>
      <c r="I2711" s="301"/>
    </row>
    <row r="2712" spans="2:9" s="346" customFormat="1" ht="21" customHeight="1">
      <c r="B2712" s="305"/>
      <c r="C2712" s="305"/>
      <c r="D2712" s="234"/>
      <c r="E2712" s="306"/>
      <c r="F2712" s="306"/>
      <c r="G2712" s="308"/>
      <c r="H2712" s="233"/>
      <c r="I2712" s="301"/>
    </row>
    <row r="2713" spans="2:9" s="346" customFormat="1" ht="21" customHeight="1">
      <c r="B2713" s="305"/>
      <c r="C2713" s="305"/>
      <c r="D2713" s="234"/>
      <c r="E2713" s="306"/>
      <c r="F2713" s="306"/>
      <c r="G2713" s="308"/>
      <c r="H2713" s="233"/>
      <c r="I2713" s="301"/>
    </row>
    <row r="2714" spans="2:9" s="346" customFormat="1" ht="21" customHeight="1">
      <c r="B2714" s="305"/>
      <c r="C2714" s="305"/>
      <c r="D2714" s="234"/>
      <c r="E2714" s="306"/>
      <c r="F2714" s="306"/>
      <c r="G2714" s="308"/>
      <c r="H2714" s="233"/>
      <c r="I2714" s="301"/>
    </row>
    <row r="2715" spans="2:9" s="346" customFormat="1" ht="21" customHeight="1">
      <c r="B2715" s="300" t="str">
        <f>'5. 공종별예산조서'!$A$208</f>
        <v>7-9. 아우트렛박스(커버포함) 철거</v>
      </c>
      <c r="C2715" s="300" t="str">
        <f>'5. 공종별예산조서'!$B$208</f>
        <v>4각 중형 54㎜</v>
      </c>
      <c r="D2715" s="301" t="str">
        <f>'5. 공종별예산조서'!$C$208</f>
        <v>개</v>
      </c>
      <c r="E2715" s="309">
        <f>'5. 공종별예산조서'!$D$208</f>
        <v>30</v>
      </c>
      <c r="F2715" s="302"/>
      <c r="G2715" s="303"/>
      <c r="H2715" s="304"/>
      <c r="I2715" s="301"/>
    </row>
    <row r="2716" spans="2:9" s="346" customFormat="1" ht="21" customHeight="1">
      <c r="B2716" s="312" t="s">
        <v>834</v>
      </c>
      <c r="C2716" s="305"/>
      <c r="D2716" s="234"/>
      <c r="E2716" s="310"/>
      <c r="F2716" s="306"/>
      <c r="G2716" s="232"/>
      <c r="H2716" s="233"/>
      <c r="I2716" s="301"/>
    </row>
    <row r="2717" spans="2:9" s="346" customFormat="1" ht="21" customHeight="1">
      <c r="B2717" s="305" t="s">
        <v>1162</v>
      </c>
      <c r="C2717" s="305" t="str">
        <f>C2715</f>
        <v>4각 중형 54㎜</v>
      </c>
      <c r="D2717" s="234" t="str">
        <f>D2715</f>
        <v>개</v>
      </c>
      <c r="E2717" s="311">
        <f>E2715</f>
        <v>30</v>
      </c>
      <c r="F2717" s="307"/>
      <c r="G2717" s="308"/>
      <c r="H2717" s="233"/>
      <c r="I2717" s="301"/>
    </row>
    <row r="2718" spans="2:9" s="346" customFormat="1" ht="21" customHeight="1">
      <c r="B2718" s="305"/>
      <c r="C2718" s="305"/>
      <c r="D2718" s="234"/>
      <c r="E2718" s="313"/>
      <c r="F2718" s="307"/>
      <c r="G2718" s="308"/>
      <c r="H2718" s="233"/>
      <c r="I2718" s="301"/>
    </row>
    <row r="2719" spans="2:9" s="346" customFormat="1" ht="21" customHeight="1">
      <c r="B2719" s="305"/>
      <c r="C2719" s="305"/>
      <c r="D2719" s="234"/>
      <c r="E2719" s="307"/>
      <c r="F2719" s="307"/>
      <c r="G2719" s="308"/>
      <c r="H2719" s="233"/>
      <c r="I2719" s="301"/>
    </row>
    <row r="2720" spans="2:9" s="346" customFormat="1" ht="21" customHeight="1">
      <c r="B2720" s="305"/>
      <c r="C2720" s="305"/>
      <c r="D2720" s="234"/>
      <c r="E2720" s="307"/>
      <c r="F2720" s="307"/>
      <c r="G2720" s="308"/>
      <c r="H2720" s="233"/>
      <c r="I2720" s="301"/>
    </row>
    <row r="2721" spans="2:9" s="346" customFormat="1" ht="21" customHeight="1">
      <c r="B2721" s="305"/>
      <c r="C2721" s="305"/>
      <c r="D2721" s="234"/>
      <c r="E2721" s="307"/>
      <c r="F2721" s="307"/>
      <c r="G2721" s="308"/>
      <c r="H2721" s="233"/>
      <c r="I2721" s="301"/>
    </row>
    <row r="2722" spans="2:9" s="346" customFormat="1" ht="21" customHeight="1">
      <c r="B2722" s="305"/>
      <c r="C2722" s="305"/>
      <c r="D2722" s="234"/>
      <c r="E2722" s="307"/>
      <c r="F2722" s="307"/>
      <c r="G2722" s="308"/>
      <c r="H2722" s="233"/>
      <c r="I2722" s="301"/>
    </row>
    <row r="2723" spans="2:9" s="346" customFormat="1" ht="21" customHeight="1">
      <c r="B2723" s="305"/>
      <c r="C2723" s="305"/>
      <c r="D2723" s="234"/>
      <c r="E2723" s="307"/>
      <c r="F2723" s="307"/>
      <c r="G2723" s="308"/>
      <c r="H2723" s="233"/>
      <c r="I2723" s="301"/>
    </row>
    <row r="2724" spans="2:9" s="346" customFormat="1" ht="21" customHeight="1">
      <c r="B2724" s="305"/>
      <c r="C2724" s="305"/>
      <c r="D2724" s="234"/>
      <c r="E2724" s="307"/>
      <c r="F2724" s="307"/>
      <c r="G2724" s="308"/>
      <c r="H2724" s="233"/>
      <c r="I2724" s="301"/>
    </row>
    <row r="2725" spans="2:9" s="346" customFormat="1" ht="21" customHeight="1">
      <c r="B2725" s="305"/>
      <c r="C2725" s="305"/>
      <c r="D2725" s="234"/>
      <c r="E2725" s="307"/>
      <c r="F2725" s="307"/>
      <c r="G2725" s="308"/>
      <c r="H2725" s="233"/>
      <c r="I2725" s="301"/>
    </row>
    <row r="2726" spans="2:9" s="346" customFormat="1" ht="21" customHeight="1">
      <c r="B2726" s="305"/>
      <c r="C2726" s="305"/>
      <c r="D2726" s="234"/>
      <c r="E2726" s="307"/>
      <c r="F2726" s="307"/>
      <c r="G2726" s="308"/>
      <c r="H2726" s="233"/>
      <c r="I2726" s="301"/>
    </row>
    <row r="2727" spans="2:9" s="346" customFormat="1" ht="21" customHeight="1">
      <c r="B2727" s="312" t="s">
        <v>835</v>
      </c>
      <c r="C2727" s="305"/>
      <c r="D2727" s="234"/>
      <c r="E2727" s="307"/>
      <c r="F2727" s="307"/>
      <c r="G2727" s="232"/>
      <c r="H2727" s="233"/>
      <c r="I2727" s="301"/>
    </row>
    <row r="2728" spans="2:9" s="346" customFormat="1" ht="21" customHeight="1">
      <c r="B2728" s="305"/>
      <c r="C2728" s="305" t="s">
        <v>1154</v>
      </c>
      <c r="D2728" s="234" t="s">
        <v>869</v>
      </c>
      <c r="E2728" s="307">
        <v>1.62</v>
      </c>
      <c r="F2728" s="307"/>
      <c r="G2728" s="232"/>
      <c r="H2728" s="233"/>
      <c r="I2728" s="301"/>
    </row>
    <row r="2729" spans="2:9" s="346" customFormat="1" ht="21" customHeight="1">
      <c r="B2729" s="305"/>
      <c r="C2729" s="305"/>
      <c r="D2729" s="234"/>
      <c r="E2729" s="306"/>
      <c r="F2729" s="306"/>
      <c r="G2729" s="232"/>
      <c r="H2729" s="232"/>
      <c r="I2729" s="301"/>
    </row>
    <row r="2730" spans="2:9" s="346" customFormat="1" ht="21" customHeight="1">
      <c r="B2730" s="305"/>
      <c r="C2730" s="305"/>
      <c r="D2730" s="234"/>
      <c r="E2730" s="306"/>
      <c r="F2730" s="306"/>
      <c r="G2730" s="308"/>
      <c r="H2730" s="233"/>
      <c r="I2730" s="301"/>
    </row>
    <row r="2731" spans="2:9" s="346" customFormat="1" ht="21" customHeight="1">
      <c r="B2731" s="305"/>
      <c r="C2731" s="305"/>
      <c r="D2731" s="234"/>
      <c r="E2731" s="306"/>
      <c r="F2731" s="306"/>
      <c r="G2731" s="308"/>
      <c r="H2731" s="233"/>
      <c r="I2731" s="301"/>
    </row>
    <row r="2732" spans="2:9" s="346" customFormat="1" ht="21" customHeight="1">
      <c r="B2732" s="305"/>
      <c r="C2732" s="305"/>
      <c r="D2732" s="234"/>
      <c r="E2732" s="306"/>
      <c r="F2732" s="306"/>
      <c r="G2732" s="308"/>
      <c r="H2732" s="233"/>
      <c r="I2732" s="301"/>
    </row>
    <row r="2733" spans="2:9" s="346" customFormat="1" ht="21" customHeight="1">
      <c r="B2733" s="312" t="s">
        <v>837</v>
      </c>
      <c r="C2733" s="305"/>
      <c r="D2733" s="234"/>
      <c r="E2733" s="307"/>
      <c r="F2733" s="307"/>
      <c r="G2733" s="232"/>
      <c r="H2733" s="233"/>
      <c r="I2733" s="301"/>
    </row>
    <row r="2734" spans="2:9" s="346" customFormat="1" ht="21" customHeight="1">
      <c r="B2734" s="305"/>
      <c r="C2734" s="305" t="s">
        <v>1154</v>
      </c>
      <c r="D2734" s="234" t="s">
        <v>869</v>
      </c>
      <c r="E2734" s="307">
        <v>4.9000000000000002E-2</v>
      </c>
      <c r="F2734" s="307"/>
      <c r="G2734" s="232"/>
      <c r="H2734" s="233"/>
      <c r="I2734" s="301"/>
    </row>
    <row r="2735" spans="2:9" s="346" customFormat="1" ht="21" customHeight="1">
      <c r="B2735" s="305"/>
      <c r="C2735" s="305"/>
      <c r="D2735" s="234"/>
      <c r="E2735" s="306"/>
      <c r="F2735" s="306"/>
      <c r="G2735" s="232"/>
      <c r="H2735" s="232"/>
      <c r="I2735" s="301"/>
    </row>
    <row r="2736" spans="2:9" s="346" customFormat="1" ht="21" customHeight="1">
      <c r="B2736" s="305"/>
      <c r="C2736" s="305"/>
      <c r="D2736" s="234"/>
      <c r="E2736" s="306"/>
      <c r="F2736" s="306"/>
      <c r="G2736" s="308"/>
      <c r="H2736" s="233"/>
      <c r="I2736" s="301"/>
    </row>
    <row r="2737" spans="2:9" s="346" customFormat="1" ht="21" customHeight="1">
      <c r="B2737" s="305"/>
      <c r="C2737" s="305"/>
      <c r="D2737" s="234"/>
      <c r="E2737" s="306"/>
      <c r="F2737" s="306"/>
      <c r="G2737" s="308"/>
      <c r="H2737" s="233"/>
      <c r="I2737" s="301"/>
    </row>
    <row r="2738" spans="2:9" s="346" customFormat="1" ht="21" customHeight="1">
      <c r="B2738" s="305"/>
      <c r="C2738" s="305"/>
      <c r="D2738" s="234"/>
      <c r="E2738" s="306"/>
      <c r="F2738" s="306"/>
      <c r="G2738" s="308"/>
      <c r="H2738" s="233"/>
      <c r="I2738" s="301"/>
    </row>
    <row r="2739" spans="2:9" s="346" customFormat="1" ht="21" customHeight="1">
      <c r="B2739" s="300" t="str">
        <f>'5. 공종별예산조서'!$A$209</f>
        <v>7-10. 스위치 철거</v>
      </c>
      <c r="C2739" s="300" t="str">
        <f>'5. 공종별예산조서'!$B$209</f>
        <v>단로, 1구</v>
      </c>
      <c r="D2739" s="301" t="str">
        <f>'5. 공종별예산조서'!$C$209</f>
        <v>개</v>
      </c>
      <c r="E2739" s="309">
        <f>'5. 공종별예산조서'!$D$209</f>
        <v>2</v>
      </c>
      <c r="F2739" s="302"/>
      <c r="G2739" s="303"/>
      <c r="H2739" s="304"/>
      <c r="I2739" s="301"/>
    </row>
    <row r="2740" spans="2:9" s="346" customFormat="1" ht="21" customHeight="1">
      <c r="B2740" s="312" t="s">
        <v>834</v>
      </c>
      <c r="C2740" s="305"/>
      <c r="D2740" s="234"/>
      <c r="E2740" s="310"/>
      <c r="F2740" s="306"/>
      <c r="G2740" s="232"/>
      <c r="H2740" s="233"/>
      <c r="I2740" s="301"/>
    </row>
    <row r="2741" spans="2:9" s="346" customFormat="1" ht="21" customHeight="1">
      <c r="B2741" s="305" t="s">
        <v>1163</v>
      </c>
      <c r="C2741" s="305" t="str">
        <f>C2739</f>
        <v>단로, 1구</v>
      </c>
      <c r="D2741" s="234" t="str">
        <f>D2739</f>
        <v>개</v>
      </c>
      <c r="E2741" s="311">
        <f>E2739</f>
        <v>2</v>
      </c>
      <c r="F2741" s="307"/>
      <c r="G2741" s="308"/>
      <c r="H2741" s="233"/>
      <c r="I2741" s="301"/>
    </row>
    <row r="2742" spans="2:9" s="346" customFormat="1" ht="21" customHeight="1">
      <c r="B2742" s="305"/>
      <c r="C2742" s="305"/>
      <c r="D2742" s="234"/>
      <c r="E2742" s="313"/>
      <c r="F2742" s="307"/>
      <c r="G2742" s="308"/>
      <c r="H2742" s="233"/>
      <c r="I2742" s="301"/>
    </row>
    <row r="2743" spans="2:9" s="346" customFormat="1" ht="21" customHeight="1">
      <c r="B2743" s="305"/>
      <c r="C2743" s="305"/>
      <c r="D2743" s="234"/>
      <c r="E2743" s="307"/>
      <c r="F2743" s="307"/>
      <c r="G2743" s="308"/>
      <c r="H2743" s="233"/>
      <c r="I2743" s="301"/>
    </row>
    <row r="2744" spans="2:9" s="346" customFormat="1" ht="21" customHeight="1">
      <c r="B2744" s="305"/>
      <c r="C2744" s="305"/>
      <c r="D2744" s="234"/>
      <c r="E2744" s="307"/>
      <c r="F2744" s="307"/>
      <c r="G2744" s="308"/>
      <c r="H2744" s="233"/>
      <c r="I2744" s="301"/>
    </row>
    <row r="2745" spans="2:9" s="346" customFormat="1" ht="21" customHeight="1">
      <c r="B2745" s="305"/>
      <c r="C2745" s="305"/>
      <c r="D2745" s="234"/>
      <c r="E2745" s="307"/>
      <c r="F2745" s="307"/>
      <c r="G2745" s="308"/>
      <c r="H2745" s="233"/>
      <c r="I2745" s="301"/>
    </row>
    <row r="2746" spans="2:9" s="346" customFormat="1" ht="21" customHeight="1">
      <c r="B2746" s="305"/>
      <c r="C2746" s="305"/>
      <c r="D2746" s="234"/>
      <c r="E2746" s="307"/>
      <c r="F2746" s="307"/>
      <c r="G2746" s="308"/>
      <c r="H2746" s="233"/>
      <c r="I2746" s="301"/>
    </row>
    <row r="2747" spans="2:9" s="346" customFormat="1" ht="21" customHeight="1">
      <c r="B2747" s="305"/>
      <c r="C2747" s="305"/>
      <c r="D2747" s="234"/>
      <c r="E2747" s="307"/>
      <c r="F2747" s="307"/>
      <c r="G2747" s="308"/>
      <c r="H2747" s="233"/>
      <c r="I2747" s="301"/>
    </row>
    <row r="2748" spans="2:9" s="346" customFormat="1" ht="21" customHeight="1">
      <c r="B2748" s="305"/>
      <c r="C2748" s="305"/>
      <c r="D2748" s="234"/>
      <c r="E2748" s="307"/>
      <c r="F2748" s="307"/>
      <c r="G2748" s="308"/>
      <c r="H2748" s="233"/>
      <c r="I2748" s="301"/>
    </row>
    <row r="2749" spans="2:9" s="346" customFormat="1" ht="21" customHeight="1">
      <c r="B2749" s="305"/>
      <c r="C2749" s="305"/>
      <c r="D2749" s="234"/>
      <c r="E2749" s="307"/>
      <c r="F2749" s="307"/>
      <c r="G2749" s="308"/>
      <c r="H2749" s="233"/>
      <c r="I2749" s="301"/>
    </row>
    <row r="2750" spans="2:9" s="346" customFormat="1" ht="21" customHeight="1">
      <c r="B2750" s="305"/>
      <c r="C2750" s="305"/>
      <c r="D2750" s="234"/>
      <c r="E2750" s="307"/>
      <c r="F2750" s="307"/>
      <c r="G2750" s="308"/>
      <c r="H2750" s="233"/>
      <c r="I2750" s="301"/>
    </row>
    <row r="2751" spans="2:9" s="346" customFormat="1" ht="21" customHeight="1">
      <c r="B2751" s="312" t="s">
        <v>835</v>
      </c>
      <c r="C2751" s="305"/>
      <c r="D2751" s="234"/>
      <c r="E2751" s="307"/>
      <c r="F2751" s="307"/>
      <c r="G2751" s="232"/>
      <c r="H2751" s="233"/>
      <c r="I2751" s="301"/>
    </row>
    <row r="2752" spans="2:9" s="346" customFormat="1" ht="21" customHeight="1">
      <c r="B2752" s="305"/>
      <c r="C2752" s="305" t="s">
        <v>1154</v>
      </c>
      <c r="D2752" s="234" t="s">
        <v>869</v>
      </c>
      <c r="E2752" s="307">
        <v>5.0999999999999997E-2</v>
      </c>
      <c r="F2752" s="307"/>
      <c r="G2752" s="232"/>
      <c r="H2752" s="233"/>
      <c r="I2752" s="301"/>
    </row>
    <row r="2753" spans="2:9" s="346" customFormat="1" ht="21" customHeight="1">
      <c r="B2753" s="305"/>
      <c r="C2753" s="305"/>
      <c r="D2753" s="234"/>
      <c r="E2753" s="306"/>
      <c r="F2753" s="306"/>
      <c r="G2753" s="232"/>
      <c r="H2753" s="232"/>
      <c r="I2753" s="301"/>
    </row>
    <row r="2754" spans="2:9" s="346" customFormat="1" ht="21" customHeight="1">
      <c r="B2754" s="305"/>
      <c r="C2754" s="305"/>
      <c r="D2754" s="234"/>
      <c r="E2754" s="306"/>
      <c r="F2754" s="306"/>
      <c r="G2754" s="308"/>
      <c r="H2754" s="233"/>
      <c r="I2754" s="301"/>
    </row>
    <row r="2755" spans="2:9" s="346" customFormat="1" ht="21" customHeight="1">
      <c r="B2755" s="305"/>
      <c r="C2755" s="305"/>
      <c r="D2755" s="234"/>
      <c r="E2755" s="306"/>
      <c r="F2755" s="306"/>
      <c r="G2755" s="308"/>
      <c r="H2755" s="233"/>
      <c r="I2755" s="301"/>
    </row>
    <row r="2756" spans="2:9" s="346" customFormat="1" ht="21" customHeight="1">
      <c r="B2756" s="305"/>
      <c r="C2756" s="305"/>
      <c r="D2756" s="234"/>
      <c r="E2756" s="306"/>
      <c r="F2756" s="306"/>
      <c r="G2756" s="308"/>
      <c r="H2756" s="233"/>
      <c r="I2756" s="301"/>
    </row>
    <row r="2757" spans="2:9" s="346" customFormat="1" ht="21" customHeight="1">
      <c r="B2757" s="312" t="s">
        <v>837</v>
      </c>
      <c r="C2757" s="305"/>
      <c r="D2757" s="234"/>
      <c r="E2757" s="307"/>
      <c r="F2757" s="307"/>
      <c r="G2757" s="232"/>
      <c r="H2757" s="233"/>
      <c r="I2757" s="301"/>
    </row>
    <row r="2758" spans="2:9" s="346" customFormat="1" ht="21" customHeight="1">
      <c r="B2758" s="305"/>
      <c r="C2758" s="305" t="s">
        <v>1154</v>
      </c>
      <c r="D2758" s="234" t="s">
        <v>869</v>
      </c>
      <c r="E2758" s="307">
        <v>2E-3</v>
      </c>
      <c r="F2758" s="307"/>
      <c r="G2758" s="232"/>
      <c r="H2758" s="233"/>
      <c r="I2758" s="301"/>
    </row>
    <row r="2759" spans="2:9" s="346" customFormat="1" ht="21" customHeight="1">
      <c r="B2759" s="305"/>
      <c r="C2759" s="305"/>
      <c r="D2759" s="234"/>
      <c r="E2759" s="306"/>
      <c r="F2759" s="306"/>
      <c r="G2759" s="232"/>
      <c r="H2759" s="232"/>
      <c r="I2759" s="301"/>
    </row>
    <row r="2760" spans="2:9" s="346" customFormat="1" ht="21" customHeight="1">
      <c r="B2760" s="305"/>
      <c r="C2760" s="305"/>
      <c r="D2760" s="234"/>
      <c r="E2760" s="306"/>
      <c r="F2760" s="306"/>
      <c r="G2760" s="308"/>
      <c r="H2760" s="233"/>
      <c r="I2760" s="301"/>
    </row>
    <row r="2761" spans="2:9" s="346" customFormat="1" ht="21" customHeight="1">
      <c r="B2761" s="305"/>
      <c r="C2761" s="305"/>
      <c r="D2761" s="234"/>
      <c r="E2761" s="306"/>
      <c r="F2761" s="306"/>
      <c r="G2761" s="308"/>
      <c r="H2761" s="233"/>
      <c r="I2761" s="301"/>
    </row>
    <row r="2762" spans="2:9" s="346" customFormat="1" ht="21" customHeight="1">
      <c r="B2762" s="305"/>
      <c r="C2762" s="305"/>
      <c r="D2762" s="234"/>
      <c r="E2762" s="306"/>
      <c r="F2762" s="306"/>
      <c r="G2762" s="308"/>
      <c r="H2762" s="233"/>
      <c r="I2762" s="301"/>
    </row>
    <row r="2763" spans="2:9" s="346" customFormat="1" ht="21" customHeight="1">
      <c r="B2763" s="300" t="str">
        <f>'5. 공종별예산조서'!$A$210</f>
        <v>7-11. 스위치 철거</v>
      </c>
      <c r="C2763" s="300" t="str">
        <f>'5. 공종별예산조서'!$B$210</f>
        <v>단로, 2구</v>
      </c>
      <c r="D2763" s="301" t="str">
        <f>'5. 공종별예산조서'!$C$210</f>
        <v>개</v>
      </c>
      <c r="E2763" s="309">
        <f>'5. 공종별예산조서'!$D$210</f>
        <v>2</v>
      </c>
      <c r="F2763" s="302"/>
      <c r="G2763" s="303"/>
      <c r="H2763" s="304"/>
      <c r="I2763" s="301"/>
    </row>
    <row r="2764" spans="2:9" s="346" customFormat="1" ht="21" customHeight="1">
      <c r="B2764" s="312" t="s">
        <v>834</v>
      </c>
      <c r="C2764" s="305"/>
      <c r="D2764" s="234"/>
      <c r="E2764" s="310"/>
      <c r="F2764" s="306"/>
      <c r="G2764" s="232"/>
      <c r="H2764" s="233"/>
      <c r="I2764" s="301"/>
    </row>
    <row r="2765" spans="2:9" s="346" customFormat="1" ht="21" customHeight="1">
      <c r="B2765" s="305" t="s">
        <v>1163</v>
      </c>
      <c r="C2765" s="305" t="str">
        <f>C2763</f>
        <v>단로, 2구</v>
      </c>
      <c r="D2765" s="234" t="str">
        <f>D2763</f>
        <v>개</v>
      </c>
      <c r="E2765" s="311">
        <f>E2763</f>
        <v>2</v>
      </c>
      <c r="F2765" s="307"/>
      <c r="G2765" s="308"/>
      <c r="H2765" s="233"/>
      <c r="I2765" s="301"/>
    </row>
    <row r="2766" spans="2:9" s="346" customFormat="1" ht="21" customHeight="1">
      <c r="B2766" s="305"/>
      <c r="C2766" s="305"/>
      <c r="D2766" s="234"/>
      <c r="E2766" s="313"/>
      <c r="F2766" s="307"/>
      <c r="G2766" s="308"/>
      <c r="H2766" s="233"/>
      <c r="I2766" s="301"/>
    </row>
    <row r="2767" spans="2:9" s="346" customFormat="1" ht="21" customHeight="1">
      <c r="B2767" s="305"/>
      <c r="C2767" s="305"/>
      <c r="D2767" s="234"/>
      <c r="E2767" s="307"/>
      <c r="F2767" s="307"/>
      <c r="G2767" s="308"/>
      <c r="H2767" s="233"/>
      <c r="I2767" s="301"/>
    </row>
    <row r="2768" spans="2:9" s="346" customFormat="1" ht="21" customHeight="1">
      <c r="B2768" s="305"/>
      <c r="C2768" s="305"/>
      <c r="D2768" s="234"/>
      <c r="E2768" s="307"/>
      <c r="F2768" s="307"/>
      <c r="G2768" s="308"/>
      <c r="H2768" s="233"/>
      <c r="I2768" s="301"/>
    </row>
    <row r="2769" spans="2:9" s="346" customFormat="1" ht="21" customHeight="1">
      <c r="B2769" s="305"/>
      <c r="C2769" s="305"/>
      <c r="D2769" s="234"/>
      <c r="E2769" s="307"/>
      <c r="F2769" s="307"/>
      <c r="G2769" s="308"/>
      <c r="H2769" s="233"/>
      <c r="I2769" s="301"/>
    </row>
    <row r="2770" spans="2:9" s="346" customFormat="1" ht="21" customHeight="1">
      <c r="B2770" s="305"/>
      <c r="C2770" s="305"/>
      <c r="D2770" s="234"/>
      <c r="E2770" s="307"/>
      <c r="F2770" s="307"/>
      <c r="G2770" s="308"/>
      <c r="H2770" s="233"/>
      <c r="I2770" s="301"/>
    </row>
    <row r="2771" spans="2:9" s="346" customFormat="1" ht="21" customHeight="1">
      <c r="B2771" s="305"/>
      <c r="C2771" s="305"/>
      <c r="D2771" s="234"/>
      <c r="E2771" s="307"/>
      <c r="F2771" s="307"/>
      <c r="G2771" s="308"/>
      <c r="H2771" s="233"/>
      <c r="I2771" s="301"/>
    </row>
    <row r="2772" spans="2:9" s="346" customFormat="1" ht="21" customHeight="1">
      <c r="B2772" s="305"/>
      <c r="C2772" s="305"/>
      <c r="D2772" s="234"/>
      <c r="E2772" s="307"/>
      <c r="F2772" s="307"/>
      <c r="G2772" s="308"/>
      <c r="H2772" s="233"/>
      <c r="I2772" s="301"/>
    </row>
    <row r="2773" spans="2:9" s="346" customFormat="1" ht="21" customHeight="1">
      <c r="B2773" s="305"/>
      <c r="C2773" s="305"/>
      <c r="D2773" s="234"/>
      <c r="E2773" s="307"/>
      <c r="F2773" s="307"/>
      <c r="G2773" s="308"/>
      <c r="H2773" s="233"/>
      <c r="I2773" s="301"/>
    </row>
    <row r="2774" spans="2:9" s="346" customFormat="1" ht="21" customHeight="1">
      <c r="B2774" s="305"/>
      <c r="C2774" s="305"/>
      <c r="D2774" s="234"/>
      <c r="E2774" s="307"/>
      <c r="F2774" s="307"/>
      <c r="G2774" s="308"/>
      <c r="H2774" s="233"/>
      <c r="I2774" s="301"/>
    </row>
    <row r="2775" spans="2:9" s="346" customFormat="1" ht="21" customHeight="1">
      <c r="B2775" s="312" t="s">
        <v>835</v>
      </c>
      <c r="C2775" s="305"/>
      <c r="D2775" s="234"/>
      <c r="E2775" s="307"/>
      <c r="F2775" s="307"/>
      <c r="G2775" s="232"/>
      <c r="H2775" s="233"/>
      <c r="I2775" s="301"/>
    </row>
    <row r="2776" spans="2:9" s="346" customFormat="1" ht="21" customHeight="1">
      <c r="B2776" s="305"/>
      <c r="C2776" s="305" t="s">
        <v>1154</v>
      </c>
      <c r="D2776" s="234" t="s">
        <v>869</v>
      </c>
      <c r="E2776" s="307">
        <v>5.0999999999999997E-2</v>
      </c>
      <c r="F2776" s="307"/>
      <c r="G2776" s="232"/>
      <c r="H2776" s="233"/>
      <c r="I2776" s="301"/>
    </row>
    <row r="2777" spans="2:9" s="346" customFormat="1" ht="21" customHeight="1">
      <c r="B2777" s="305"/>
      <c r="C2777" s="305"/>
      <c r="D2777" s="234"/>
      <c r="E2777" s="306"/>
      <c r="F2777" s="306"/>
      <c r="G2777" s="232"/>
      <c r="H2777" s="232"/>
      <c r="I2777" s="301"/>
    </row>
    <row r="2778" spans="2:9" s="346" customFormat="1" ht="21" customHeight="1">
      <c r="B2778" s="305"/>
      <c r="C2778" s="305"/>
      <c r="D2778" s="234"/>
      <c r="E2778" s="306"/>
      <c r="F2778" s="306"/>
      <c r="G2778" s="308"/>
      <c r="H2778" s="233"/>
      <c r="I2778" s="301"/>
    </row>
    <row r="2779" spans="2:9" s="346" customFormat="1" ht="21" customHeight="1">
      <c r="B2779" s="305"/>
      <c r="C2779" s="305"/>
      <c r="D2779" s="234"/>
      <c r="E2779" s="306"/>
      <c r="F2779" s="306"/>
      <c r="G2779" s="308"/>
      <c r="H2779" s="233"/>
      <c r="I2779" s="301"/>
    </row>
    <row r="2780" spans="2:9" s="346" customFormat="1" ht="21" customHeight="1">
      <c r="B2780" s="305"/>
      <c r="C2780" s="305"/>
      <c r="D2780" s="234"/>
      <c r="E2780" s="306"/>
      <c r="F2780" s="306"/>
      <c r="G2780" s="308"/>
      <c r="H2780" s="233"/>
      <c r="I2780" s="301"/>
    </row>
    <row r="2781" spans="2:9" s="346" customFormat="1" ht="21" customHeight="1">
      <c r="B2781" s="312" t="s">
        <v>837</v>
      </c>
      <c r="C2781" s="305"/>
      <c r="D2781" s="234"/>
      <c r="E2781" s="307"/>
      <c r="F2781" s="307"/>
      <c r="G2781" s="232"/>
      <c r="H2781" s="233"/>
      <c r="I2781" s="301"/>
    </row>
    <row r="2782" spans="2:9" s="346" customFormat="1" ht="21" customHeight="1">
      <c r="B2782" s="305"/>
      <c r="C2782" s="305" t="s">
        <v>1154</v>
      </c>
      <c r="D2782" s="234" t="s">
        <v>869</v>
      </c>
      <c r="E2782" s="307">
        <v>2E-3</v>
      </c>
      <c r="F2782" s="307"/>
      <c r="G2782" s="232"/>
      <c r="H2782" s="233"/>
      <c r="I2782" s="301"/>
    </row>
    <row r="2783" spans="2:9" s="346" customFormat="1" ht="21" customHeight="1">
      <c r="B2783" s="305"/>
      <c r="C2783" s="305"/>
      <c r="D2783" s="234"/>
      <c r="E2783" s="306"/>
      <c r="F2783" s="306"/>
      <c r="G2783" s="232"/>
      <c r="H2783" s="232"/>
      <c r="I2783" s="301"/>
    </row>
    <row r="2784" spans="2:9" s="346" customFormat="1" ht="21" customHeight="1">
      <c r="B2784" s="305"/>
      <c r="C2784" s="305"/>
      <c r="D2784" s="234"/>
      <c r="E2784" s="306"/>
      <c r="F2784" s="306"/>
      <c r="G2784" s="308"/>
      <c r="H2784" s="233"/>
      <c r="I2784" s="301"/>
    </row>
    <row r="2785" spans="2:9" s="346" customFormat="1" ht="21" customHeight="1">
      <c r="B2785" s="305"/>
      <c r="C2785" s="305"/>
      <c r="D2785" s="234"/>
      <c r="E2785" s="306"/>
      <c r="F2785" s="306"/>
      <c r="G2785" s="308"/>
      <c r="H2785" s="233"/>
      <c r="I2785" s="301"/>
    </row>
    <row r="2786" spans="2:9" s="346" customFormat="1" ht="21" customHeight="1">
      <c r="B2786" s="305"/>
      <c r="C2786" s="305"/>
      <c r="D2786" s="234"/>
      <c r="E2786" s="306"/>
      <c r="F2786" s="306"/>
      <c r="G2786" s="308"/>
      <c r="H2786" s="233"/>
      <c r="I2786" s="301"/>
    </row>
    <row r="2787" spans="2:9" s="346" customFormat="1" ht="21" customHeight="1">
      <c r="B2787" s="300" t="str">
        <f>'5. 공종별예산조서'!$A$211</f>
        <v>7-12. 스위치 철거</v>
      </c>
      <c r="C2787" s="300" t="str">
        <f>'5. 공종별예산조서'!$B$211</f>
        <v>단로, 3구</v>
      </c>
      <c r="D2787" s="301" t="str">
        <f>'5. 공종별예산조서'!$C$211</f>
        <v>개</v>
      </c>
      <c r="E2787" s="309">
        <f>'5. 공종별예산조서'!$D$211</f>
        <v>1</v>
      </c>
      <c r="F2787" s="302"/>
      <c r="G2787" s="303"/>
      <c r="H2787" s="304"/>
      <c r="I2787" s="301"/>
    </row>
    <row r="2788" spans="2:9" s="346" customFormat="1" ht="21" customHeight="1">
      <c r="B2788" s="312" t="s">
        <v>834</v>
      </c>
      <c r="C2788" s="305"/>
      <c r="D2788" s="234"/>
      <c r="E2788" s="310"/>
      <c r="F2788" s="306"/>
      <c r="G2788" s="232"/>
      <c r="H2788" s="233"/>
      <c r="I2788" s="301"/>
    </row>
    <row r="2789" spans="2:9" s="346" customFormat="1" ht="21" customHeight="1">
      <c r="B2789" s="305" t="s">
        <v>1163</v>
      </c>
      <c r="C2789" s="305" t="str">
        <f>C2787</f>
        <v>단로, 3구</v>
      </c>
      <c r="D2789" s="234" t="str">
        <f>D2787</f>
        <v>개</v>
      </c>
      <c r="E2789" s="311">
        <f>E2787</f>
        <v>1</v>
      </c>
      <c r="F2789" s="307"/>
      <c r="G2789" s="308"/>
      <c r="H2789" s="233"/>
      <c r="I2789" s="301"/>
    </row>
    <row r="2790" spans="2:9" s="346" customFormat="1" ht="21" customHeight="1">
      <c r="B2790" s="305"/>
      <c r="C2790" s="305"/>
      <c r="D2790" s="234"/>
      <c r="E2790" s="313"/>
      <c r="F2790" s="307"/>
      <c r="G2790" s="308"/>
      <c r="H2790" s="233"/>
      <c r="I2790" s="301"/>
    </row>
    <row r="2791" spans="2:9" s="346" customFormat="1" ht="21" customHeight="1">
      <c r="B2791" s="305"/>
      <c r="C2791" s="305"/>
      <c r="D2791" s="234"/>
      <c r="E2791" s="307"/>
      <c r="F2791" s="307"/>
      <c r="G2791" s="308"/>
      <c r="H2791" s="233"/>
      <c r="I2791" s="301"/>
    </row>
    <row r="2792" spans="2:9" s="346" customFormat="1" ht="21" customHeight="1">
      <c r="B2792" s="305"/>
      <c r="C2792" s="305"/>
      <c r="D2792" s="234"/>
      <c r="E2792" s="307"/>
      <c r="F2792" s="307"/>
      <c r="G2792" s="308"/>
      <c r="H2792" s="233"/>
      <c r="I2792" s="301"/>
    </row>
    <row r="2793" spans="2:9" s="346" customFormat="1" ht="21" customHeight="1">
      <c r="B2793" s="305"/>
      <c r="C2793" s="305"/>
      <c r="D2793" s="234"/>
      <c r="E2793" s="307"/>
      <c r="F2793" s="307"/>
      <c r="G2793" s="308"/>
      <c r="H2793" s="233"/>
      <c r="I2793" s="301"/>
    </row>
    <row r="2794" spans="2:9" s="346" customFormat="1" ht="21" customHeight="1">
      <c r="B2794" s="305"/>
      <c r="C2794" s="305"/>
      <c r="D2794" s="234"/>
      <c r="E2794" s="307"/>
      <c r="F2794" s="307"/>
      <c r="G2794" s="308"/>
      <c r="H2794" s="233"/>
      <c r="I2794" s="301"/>
    </row>
    <row r="2795" spans="2:9" s="346" customFormat="1" ht="21" customHeight="1">
      <c r="B2795" s="305"/>
      <c r="C2795" s="305"/>
      <c r="D2795" s="234"/>
      <c r="E2795" s="307"/>
      <c r="F2795" s="307"/>
      <c r="G2795" s="308"/>
      <c r="H2795" s="233"/>
      <c r="I2795" s="301"/>
    </row>
    <row r="2796" spans="2:9" s="346" customFormat="1" ht="21" customHeight="1">
      <c r="B2796" s="305"/>
      <c r="C2796" s="305"/>
      <c r="D2796" s="234"/>
      <c r="E2796" s="307"/>
      <c r="F2796" s="307"/>
      <c r="G2796" s="308"/>
      <c r="H2796" s="233"/>
      <c r="I2796" s="301"/>
    </row>
    <row r="2797" spans="2:9" s="346" customFormat="1" ht="21" customHeight="1">
      <c r="B2797" s="305"/>
      <c r="C2797" s="305"/>
      <c r="D2797" s="234"/>
      <c r="E2797" s="307"/>
      <c r="F2797" s="307"/>
      <c r="G2797" s="308"/>
      <c r="H2797" s="233"/>
      <c r="I2797" s="301"/>
    </row>
    <row r="2798" spans="2:9" s="346" customFormat="1" ht="21" customHeight="1">
      <c r="B2798" s="305"/>
      <c r="C2798" s="305"/>
      <c r="D2798" s="234"/>
      <c r="E2798" s="307"/>
      <c r="F2798" s="307"/>
      <c r="G2798" s="308"/>
      <c r="H2798" s="233"/>
      <c r="I2798" s="301"/>
    </row>
    <row r="2799" spans="2:9" s="346" customFormat="1" ht="21" customHeight="1">
      <c r="B2799" s="312" t="s">
        <v>835</v>
      </c>
      <c r="C2799" s="305"/>
      <c r="D2799" s="234"/>
      <c r="E2799" s="307"/>
      <c r="F2799" s="307"/>
      <c r="G2799" s="232"/>
      <c r="H2799" s="233"/>
      <c r="I2799" s="301"/>
    </row>
    <row r="2800" spans="2:9" s="346" customFormat="1" ht="21" customHeight="1">
      <c r="B2800" s="305"/>
      <c r="C2800" s="305" t="s">
        <v>1154</v>
      </c>
      <c r="D2800" s="234" t="s">
        <v>869</v>
      </c>
      <c r="E2800" s="307">
        <v>2.5999999999999999E-2</v>
      </c>
      <c r="F2800" s="307"/>
      <c r="G2800" s="232"/>
      <c r="H2800" s="233"/>
      <c r="I2800" s="301"/>
    </row>
    <row r="2801" spans="2:9" s="346" customFormat="1" ht="21" customHeight="1">
      <c r="B2801" s="305"/>
      <c r="C2801" s="305"/>
      <c r="D2801" s="234"/>
      <c r="E2801" s="306"/>
      <c r="F2801" s="306"/>
      <c r="G2801" s="232"/>
      <c r="H2801" s="232"/>
      <c r="I2801" s="301"/>
    </row>
    <row r="2802" spans="2:9" s="346" customFormat="1" ht="21" customHeight="1">
      <c r="B2802" s="305"/>
      <c r="C2802" s="305"/>
      <c r="D2802" s="234"/>
      <c r="E2802" s="306"/>
      <c r="F2802" s="306"/>
      <c r="G2802" s="308"/>
      <c r="H2802" s="233"/>
      <c r="I2802" s="301"/>
    </row>
    <row r="2803" spans="2:9" s="346" customFormat="1" ht="21" customHeight="1">
      <c r="B2803" s="305"/>
      <c r="C2803" s="305"/>
      <c r="D2803" s="234"/>
      <c r="E2803" s="306"/>
      <c r="F2803" s="306"/>
      <c r="G2803" s="308"/>
      <c r="H2803" s="233"/>
      <c r="I2803" s="301"/>
    </row>
    <row r="2804" spans="2:9" s="346" customFormat="1" ht="21" customHeight="1">
      <c r="B2804" s="305"/>
      <c r="C2804" s="305"/>
      <c r="D2804" s="234"/>
      <c r="E2804" s="306"/>
      <c r="F2804" s="306"/>
      <c r="G2804" s="308"/>
      <c r="H2804" s="233"/>
      <c r="I2804" s="301"/>
    </row>
    <row r="2805" spans="2:9" s="346" customFormat="1" ht="21" customHeight="1">
      <c r="B2805" s="312" t="s">
        <v>837</v>
      </c>
      <c r="C2805" s="305"/>
      <c r="D2805" s="234"/>
      <c r="E2805" s="307"/>
      <c r="F2805" s="307"/>
      <c r="G2805" s="232"/>
      <c r="H2805" s="233"/>
      <c r="I2805" s="301"/>
    </row>
    <row r="2806" spans="2:9" s="346" customFormat="1" ht="21" customHeight="1">
      <c r="B2806" s="305"/>
      <c r="C2806" s="305" t="s">
        <v>1154</v>
      </c>
      <c r="D2806" s="234" t="s">
        <v>869</v>
      </c>
      <c r="E2806" s="307">
        <v>1E-3</v>
      </c>
      <c r="F2806" s="307"/>
      <c r="G2806" s="232"/>
      <c r="H2806" s="233"/>
      <c r="I2806" s="301"/>
    </row>
    <row r="2807" spans="2:9" s="346" customFormat="1" ht="21" customHeight="1">
      <c r="B2807" s="305"/>
      <c r="C2807" s="305"/>
      <c r="D2807" s="234"/>
      <c r="E2807" s="306"/>
      <c r="F2807" s="306"/>
      <c r="G2807" s="232"/>
      <c r="H2807" s="232"/>
      <c r="I2807" s="301"/>
    </row>
    <row r="2808" spans="2:9" s="346" customFormat="1" ht="21" customHeight="1">
      <c r="B2808" s="305"/>
      <c r="C2808" s="305"/>
      <c r="D2808" s="234"/>
      <c r="E2808" s="306"/>
      <c r="F2808" s="306"/>
      <c r="G2808" s="308"/>
      <c r="H2808" s="233"/>
      <c r="I2808" s="301"/>
    </row>
    <row r="2809" spans="2:9" s="346" customFormat="1" ht="21" customHeight="1">
      <c r="B2809" s="305"/>
      <c r="C2809" s="305"/>
      <c r="D2809" s="234"/>
      <c r="E2809" s="306"/>
      <c r="F2809" s="306"/>
      <c r="G2809" s="308"/>
      <c r="H2809" s="233"/>
      <c r="I2809" s="301"/>
    </row>
    <row r="2810" spans="2:9" s="346" customFormat="1" ht="21" customHeight="1">
      <c r="B2810" s="305"/>
      <c r="C2810" s="305"/>
      <c r="D2810" s="234"/>
      <c r="E2810" s="306"/>
      <c r="F2810" s="306"/>
      <c r="G2810" s="308"/>
      <c r="H2810" s="233"/>
      <c r="I2810" s="301"/>
    </row>
    <row r="2811" spans="2:9" s="346" customFormat="1" ht="21" customHeight="1">
      <c r="B2811" s="300" t="str">
        <f>'5. 공종별예산조서'!$A$212</f>
        <v>7-13. 1종금속제가요전선관 신설</v>
      </c>
      <c r="C2811" s="300" t="str">
        <f>'5. 공종별예산조서'!$B$212</f>
        <v>일반, 16C</v>
      </c>
      <c r="D2811" s="301" t="str">
        <f>'5. 공종별예산조서'!$C$212</f>
        <v>M</v>
      </c>
      <c r="E2811" s="309">
        <f>'5. 공종별예산조서'!$D$212</f>
        <v>190</v>
      </c>
      <c r="F2811" s="302"/>
      <c r="G2811" s="303"/>
      <c r="H2811" s="304"/>
      <c r="I2811" s="301"/>
    </row>
    <row r="2812" spans="2:9" s="346" customFormat="1" ht="21" customHeight="1">
      <c r="B2812" s="312" t="s">
        <v>834</v>
      </c>
      <c r="C2812" s="305"/>
      <c r="D2812" s="234"/>
      <c r="E2812" s="310"/>
      <c r="F2812" s="306"/>
      <c r="G2812" s="232"/>
      <c r="H2812" s="233"/>
      <c r="I2812" s="301"/>
    </row>
    <row r="2813" spans="2:9" s="346" customFormat="1" ht="21" customHeight="1">
      <c r="B2813" s="305" t="s">
        <v>1084</v>
      </c>
      <c r="C2813" s="305" t="str">
        <f>C2811</f>
        <v>일반, 16C</v>
      </c>
      <c r="D2813" s="234" t="str">
        <f>D2811</f>
        <v>M</v>
      </c>
      <c r="E2813" s="311">
        <f>E2811</f>
        <v>190</v>
      </c>
      <c r="F2813" s="307"/>
      <c r="G2813" s="308"/>
      <c r="H2813" s="233"/>
      <c r="I2813" s="301"/>
    </row>
    <row r="2814" spans="2:9" s="346" customFormat="1" ht="21" customHeight="1">
      <c r="B2814" s="305" t="s">
        <v>1133</v>
      </c>
      <c r="C2814" s="305" t="s">
        <v>1134</v>
      </c>
      <c r="D2814" s="234" t="s">
        <v>1135</v>
      </c>
      <c r="E2814" s="313">
        <v>1</v>
      </c>
      <c r="F2814" s="307"/>
      <c r="G2814" s="308"/>
      <c r="H2814" s="233"/>
      <c r="I2814" s="301"/>
    </row>
    <row r="2815" spans="2:9" s="346" customFormat="1" ht="21" customHeight="1">
      <c r="B2815" s="305"/>
      <c r="C2815" s="305"/>
      <c r="D2815" s="234"/>
      <c r="E2815" s="307"/>
      <c r="F2815" s="307"/>
      <c r="G2815" s="308"/>
      <c r="H2815" s="233"/>
      <c r="I2815" s="301"/>
    </row>
    <row r="2816" spans="2:9" s="346" customFormat="1" ht="21" customHeight="1">
      <c r="B2816" s="305"/>
      <c r="C2816" s="305"/>
      <c r="D2816" s="234"/>
      <c r="E2816" s="307"/>
      <c r="F2816" s="307"/>
      <c r="G2816" s="308"/>
      <c r="H2816" s="233"/>
      <c r="I2816" s="301"/>
    </row>
    <row r="2817" spans="2:9" s="346" customFormat="1" ht="21" customHeight="1">
      <c r="B2817" s="305"/>
      <c r="C2817" s="305"/>
      <c r="D2817" s="234"/>
      <c r="E2817" s="307"/>
      <c r="F2817" s="307"/>
      <c r="G2817" s="308"/>
      <c r="H2817" s="233"/>
      <c r="I2817" s="301"/>
    </row>
    <row r="2818" spans="2:9" s="346" customFormat="1" ht="21" customHeight="1">
      <c r="B2818" s="305"/>
      <c r="C2818" s="305"/>
      <c r="D2818" s="234"/>
      <c r="E2818" s="307"/>
      <c r="F2818" s="307"/>
      <c r="G2818" s="308"/>
      <c r="H2818" s="233"/>
      <c r="I2818" s="301"/>
    </row>
    <row r="2819" spans="2:9" s="346" customFormat="1" ht="21" customHeight="1">
      <c r="B2819" s="305"/>
      <c r="C2819" s="305"/>
      <c r="D2819" s="234"/>
      <c r="E2819" s="307"/>
      <c r="F2819" s="307"/>
      <c r="G2819" s="308"/>
      <c r="H2819" s="233"/>
      <c r="I2819" s="301"/>
    </row>
    <row r="2820" spans="2:9" s="346" customFormat="1" ht="21" customHeight="1">
      <c r="B2820" s="305"/>
      <c r="C2820" s="305"/>
      <c r="D2820" s="234"/>
      <c r="E2820" s="307"/>
      <c r="F2820" s="307"/>
      <c r="G2820" s="308"/>
      <c r="H2820" s="233"/>
      <c r="I2820" s="301"/>
    </row>
    <row r="2821" spans="2:9" s="346" customFormat="1" ht="21" customHeight="1">
      <c r="B2821" s="305"/>
      <c r="C2821" s="305"/>
      <c r="D2821" s="234"/>
      <c r="E2821" s="307"/>
      <c r="F2821" s="307"/>
      <c r="G2821" s="308"/>
      <c r="H2821" s="233"/>
      <c r="I2821" s="301"/>
    </row>
    <row r="2822" spans="2:9" s="346" customFormat="1" ht="21" customHeight="1">
      <c r="B2822" s="305"/>
      <c r="C2822" s="305"/>
      <c r="D2822" s="234"/>
      <c r="E2822" s="307"/>
      <c r="F2822" s="307"/>
      <c r="G2822" s="308"/>
      <c r="H2822" s="233"/>
      <c r="I2822" s="301"/>
    </row>
    <row r="2823" spans="2:9" s="346" customFormat="1" ht="21" customHeight="1">
      <c r="B2823" s="312" t="s">
        <v>835</v>
      </c>
      <c r="C2823" s="305"/>
      <c r="D2823" s="234"/>
      <c r="E2823" s="307"/>
      <c r="F2823" s="307"/>
      <c r="G2823" s="232"/>
      <c r="H2823" s="233"/>
      <c r="I2823" s="301"/>
    </row>
    <row r="2824" spans="2:9" s="346" customFormat="1" ht="21" customHeight="1">
      <c r="B2824" s="305"/>
      <c r="C2824" s="305" t="s">
        <v>1154</v>
      </c>
      <c r="D2824" s="234" t="s">
        <v>869</v>
      </c>
      <c r="E2824" s="307">
        <v>7.524</v>
      </c>
      <c r="F2824" s="307"/>
      <c r="G2824" s="232"/>
      <c r="H2824" s="233"/>
      <c r="I2824" s="301"/>
    </row>
    <row r="2825" spans="2:9" s="346" customFormat="1" ht="21" customHeight="1">
      <c r="B2825" s="305"/>
      <c r="C2825" s="305"/>
      <c r="D2825" s="234"/>
      <c r="E2825" s="306"/>
      <c r="F2825" s="306"/>
      <c r="G2825" s="232"/>
      <c r="H2825" s="232"/>
      <c r="I2825" s="301"/>
    </row>
    <row r="2826" spans="2:9" s="346" customFormat="1" ht="21" customHeight="1">
      <c r="B2826" s="305"/>
      <c r="C2826" s="305"/>
      <c r="D2826" s="234"/>
      <c r="E2826" s="306"/>
      <c r="F2826" s="306"/>
      <c r="G2826" s="308"/>
      <c r="H2826" s="233"/>
      <c r="I2826" s="301"/>
    </row>
    <row r="2827" spans="2:9" s="346" customFormat="1" ht="21" customHeight="1">
      <c r="B2827" s="305"/>
      <c r="C2827" s="305"/>
      <c r="D2827" s="234"/>
      <c r="E2827" s="306"/>
      <c r="F2827" s="306"/>
      <c r="G2827" s="308"/>
      <c r="H2827" s="233"/>
      <c r="I2827" s="301"/>
    </row>
    <row r="2828" spans="2:9" s="346" customFormat="1" ht="21" customHeight="1">
      <c r="B2828" s="305"/>
      <c r="C2828" s="305"/>
      <c r="D2828" s="234"/>
      <c r="E2828" s="306"/>
      <c r="F2828" s="306"/>
      <c r="G2828" s="308"/>
      <c r="H2828" s="233"/>
      <c r="I2828" s="301"/>
    </row>
    <row r="2829" spans="2:9" s="346" customFormat="1" ht="21" customHeight="1">
      <c r="B2829" s="312" t="s">
        <v>837</v>
      </c>
      <c r="C2829" s="305"/>
      <c r="D2829" s="234"/>
      <c r="E2829" s="307"/>
      <c r="F2829" s="307"/>
      <c r="G2829" s="232"/>
      <c r="H2829" s="233"/>
      <c r="I2829" s="301"/>
    </row>
    <row r="2830" spans="2:9" s="346" customFormat="1" ht="21" customHeight="1">
      <c r="B2830" s="305"/>
      <c r="C2830" s="305" t="s">
        <v>1154</v>
      </c>
      <c r="D2830" s="234" t="s">
        <v>869</v>
      </c>
      <c r="E2830" s="307">
        <v>0.22600000000000001</v>
      </c>
      <c r="F2830" s="307"/>
      <c r="G2830" s="232"/>
      <c r="H2830" s="233"/>
      <c r="I2830" s="301"/>
    </row>
    <row r="2831" spans="2:9" s="346" customFormat="1" ht="21" customHeight="1">
      <c r="B2831" s="305"/>
      <c r="C2831" s="305"/>
      <c r="D2831" s="234"/>
      <c r="E2831" s="306"/>
      <c r="F2831" s="306"/>
      <c r="G2831" s="232"/>
      <c r="H2831" s="232"/>
      <c r="I2831" s="301"/>
    </row>
    <row r="2832" spans="2:9" s="346" customFormat="1" ht="21" customHeight="1">
      <c r="B2832" s="305"/>
      <c r="C2832" s="305"/>
      <c r="D2832" s="234"/>
      <c r="E2832" s="306"/>
      <c r="F2832" s="306"/>
      <c r="G2832" s="308"/>
      <c r="H2832" s="233"/>
      <c r="I2832" s="301"/>
    </row>
    <row r="2833" spans="2:9" s="346" customFormat="1" ht="21" customHeight="1">
      <c r="B2833" s="305"/>
      <c r="C2833" s="305"/>
      <c r="D2833" s="234"/>
      <c r="E2833" s="306"/>
      <c r="F2833" s="306"/>
      <c r="G2833" s="308"/>
      <c r="H2833" s="233"/>
      <c r="I2833" s="301"/>
    </row>
    <row r="2834" spans="2:9" s="346" customFormat="1" ht="21" customHeight="1">
      <c r="B2834" s="305"/>
      <c r="C2834" s="305"/>
      <c r="D2834" s="234"/>
      <c r="E2834" s="306"/>
      <c r="F2834" s="306"/>
      <c r="G2834" s="308"/>
      <c r="H2834" s="233"/>
      <c r="I2834" s="301"/>
    </row>
    <row r="2835" spans="2:9" s="346" customFormat="1" ht="21" customHeight="1">
      <c r="B2835" s="300" t="str">
        <f>'5. 공종별예산조서'!$A$213</f>
        <v>7-14. 1종금속제가요전선관 신설</v>
      </c>
      <c r="C2835" s="300" t="str">
        <f>'5. 공종별예산조서'!$B$213</f>
        <v>일반, 22C</v>
      </c>
      <c r="D2835" s="301" t="str">
        <f>'5. 공종별예산조서'!$C$213</f>
        <v>M</v>
      </c>
      <c r="E2835" s="309">
        <f>'5. 공종별예산조서'!$D$213</f>
        <v>14</v>
      </c>
      <c r="F2835" s="302"/>
      <c r="G2835" s="303"/>
      <c r="H2835" s="304"/>
      <c r="I2835" s="301"/>
    </row>
    <row r="2836" spans="2:9" s="346" customFormat="1" ht="21" customHeight="1">
      <c r="B2836" s="312" t="s">
        <v>834</v>
      </c>
      <c r="C2836" s="305"/>
      <c r="D2836" s="234"/>
      <c r="E2836" s="310"/>
      <c r="F2836" s="306"/>
      <c r="G2836" s="232"/>
      <c r="H2836" s="233"/>
      <c r="I2836" s="301"/>
    </row>
    <row r="2837" spans="2:9" s="346" customFormat="1" ht="21" customHeight="1">
      <c r="B2837" s="305" t="s">
        <v>1084</v>
      </c>
      <c r="C2837" s="305" t="str">
        <f>C2835</f>
        <v>일반, 22C</v>
      </c>
      <c r="D2837" s="234" t="str">
        <f>D2835</f>
        <v>M</v>
      </c>
      <c r="E2837" s="311">
        <f>E2835</f>
        <v>14</v>
      </c>
      <c r="F2837" s="307"/>
      <c r="G2837" s="308"/>
      <c r="H2837" s="233"/>
      <c r="I2837" s="301"/>
    </row>
    <row r="2838" spans="2:9" s="346" customFormat="1" ht="21" customHeight="1">
      <c r="B2838" s="305" t="s">
        <v>1133</v>
      </c>
      <c r="C2838" s="305" t="s">
        <v>1134</v>
      </c>
      <c r="D2838" s="234" t="s">
        <v>1135</v>
      </c>
      <c r="E2838" s="313">
        <v>1</v>
      </c>
      <c r="F2838" s="307"/>
      <c r="G2838" s="308"/>
      <c r="H2838" s="233"/>
      <c r="I2838" s="301"/>
    </row>
    <row r="2839" spans="2:9" s="346" customFormat="1" ht="21" customHeight="1">
      <c r="B2839" s="305"/>
      <c r="C2839" s="305"/>
      <c r="D2839" s="234"/>
      <c r="E2839" s="307"/>
      <c r="F2839" s="307"/>
      <c r="G2839" s="308"/>
      <c r="H2839" s="233"/>
      <c r="I2839" s="301"/>
    </row>
    <row r="2840" spans="2:9" s="346" customFormat="1" ht="21" customHeight="1">
      <c r="B2840" s="305"/>
      <c r="C2840" s="305"/>
      <c r="D2840" s="234"/>
      <c r="E2840" s="307"/>
      <c r="F2840" s="307"/>
      <c r="G2840" s="308"/>
      <c r="H2840" s="233"/>
      <c r="I2840" s="301"/>
    </row>
    <row r="2841" spans="2:9" s="346" customFormat="1" ht="21" customHeight="1">
      <c r="B2841" s="305"/>
      <c r="C2841" s="305"/>
      <c r="D2841" s="234"/>
      <c r="E2841" s="307"/>
      <c r="F2841" s="307"/>
      <c r="G2841" s="308"/>
      <c r="H2841" s="233"/>
      <c r="I2841" s="301"/>
    </row>
    <row r="2842" spans="2:9" s="346" customFormat="1" ht="21" customHeight="1">
      <c r="B2842" s="305"/>
      <c r="C2842" s="305"/>
      <c r="D2842" s="234"/>
      <c r="E2842" s="307"/>
      <c r="F2842" s="307"/>
      <c r="G2842" s="308"/>
      <c r="H2842" s="233"/>
      <c r="I2842" s="301"/>
    </row>
    <row r="2843" spans="2:9" s="346" customFormat="1" ht="21" customHeight="1">
      <c r="B2843" s="305"/>
      <c r="C2843" s="305"/>
      <c r="D2843" s="234"/>
      <c r="E2843" s="307"/>
      <c r="F2843" s="307"/>
      <c r="G2843" s="308"/>
      <c r="H2843" s="233"/>
      <c r="I2843" s="301"/>
    </row>
    <row r="2844" spans="2:9" s="346" customFormat="1" ht="21" customHeight="1">
      <c r="B2844" s="305"/>
      <c r="C2844" s="305"/>
      <c r="D2844" s="234"/>
      <c r="E2844" s="307"/>
      <c r="F2844" s="307"/>
      <c r="G2844" s="308"/>
      <c r="H2844" s="233"/>
      <c r="I2844" s="301"/>
    </row>
    <row r="2845" spans="2:9" s="346" customFormat="1" ht="21" customHeight="1">
      <c r="B2845" s="305"/>
      <c r="C2845" s="305"/>
      <c r="D2845" s="234"/>
      <c r="E2845" s="307"/>
      <c r="F2845" s="307"/>
      <c r="G2845" s="308"/>
      <c r="H2845" s="233"/>
      <c r="I2845" s="301"/>
    </row>
    <row r="2846" spans="2:9" s="346" customFormat="1" ht="21" customHeight="1">
      <c r="B2846" s="305"/>
      <c r="C2846" s="305"/>
      <c r="D2846" s="234"/>
      <c r="E2846" s="307"/>
      <c r="F2846" s="307"/>
      <c r="G2846" s="308"/>
      <c r="H2846" s="233"/>
      <c r="I2846" s="301"/>
    </row>
    <row r="2847" spans="2:9" s="346" customFormat="1" ht="21" customHeight="1">
      <c r="B2847" s="312" t="s">
        <v>835</v>
      </c>
      <c r="C2847" s="305"/>
      <c r="D2847" s="234"/>
      <c r="E2847" s="307"/>
      <c r="F2847" s="307"/>
      <c r="G2847" s="232"/>
      <c r="H2847" s="233"/>
      <c r="I2847" s="301"/>
    </row>
    <row r="2848" spans="2:9" s="346" customFormat="1" ht="21" customHeight="1">
      <c r="B2848" s="305"/>
      <c r="C2848" s="305" t="s">
        <v>1154</v>
      </c>
      <c r="D2848" s="234" t="s">
        <v>869</v>
      </c>
      <c r="E2848" s="307">
        <v>0.74299999999999999</v>
      </c>
      <c r="F2848" s="307"/>
      <c r="G2848" s="232"/>
      <c r="H2848" s="233"/>
      <c r="I2848" s="301"/>
    </row>
    <row r="2849" spans="2:9" s="346" customFormat="1" ht="21" customHeight="1">
      <c r="B2849" s="305"/>
      <c r="C2849" s="305"/>
      <c r="D2849" s="234"/>
      <c r="E2849" s="306"/>
      <c r="F2849" s="306"/>
      <c r="G2849" s="232"/>
      <c r="H2849" s="232"/>
      <c r="I2849" s="301"/>
    </row>
    <row r="2850" spans="2:9" s="346" customFormat="1" ht="21" customHeight="1">
      <c r="B2850" s="305"/>
      <c r="C2850" s="305"/>
      <c r="D2850" s="234"/>
      <c r="E2850" s="306"/>
      <c r="F2850" s="306"/>
      <c r="G2850" s="308"/>
      <c r="H2850" s="233"/>
      <c r="I2850" s="301"/>
    </row>
    <row r="2851" spans="2:9" s="346" customFormat="1" ht="21" customHeight="1">
      <c r="B2851" s="305"/>
      <c r="C2851" s="305"/>
      <c r="D2851" s="234"/>
      <c r="E2851" s="306"/>
      <c r="F2851" s="306"/>
      <c r="G2851" s="308"/>
      <c r="H2851" s="233"/>
      <c r="I2851" s="301"/>
    </row>
    <row r="2852" spans="2:9" s="346" customFormat="1" ht="21" customHeight="1">
      <c r="B2852" s="305"/>
      <c r="C2852" s="305"/>
      <c r="D2852" s="234"/>
      <c r="E2852" s="306"/>
      <c r="F2852" s="306"/>
      <c r="G2852" s="308"/>
      <c r="H2852" s="233"/>
      <c r="I2852" s="301"/>
    </row>
    <row r="2853" spans="2:9" s="346" customFormat="1" ht="21" customHeight="1">
      <c r="B2853" s="312" t="s">
        <v>837</v>
      </c>
      <c r="C2853" s="305"/>
      <c r="D2853" s="234"/>
      <c r="E2853" s="307"/>
      <c r="F2853" s="307"/>
      <c r="G2853" s="232"/>
      <c r="H2853" s="233"/>
      <c r="I2853" s="301"/>
    </row>
    <row r="2854" spans="2:9" s="346" customFormat="1" ht="21" customHeight="1">
      <c r="B2854" s="305"/>
      <c r="C2854" s="305" t="s">
        <v>1154</v>
      </c>
      <c r="D2854" s="234" t="s">
        <v>869</v>
      </c>
      <c r="E2854" s="307">
        <v>2.1999999999999999E-2</v>
      </c>
      <c r="F2854" s="307"/>
      <c r="G2854" s="232"/>
      <c r="H2854" s="233"/>
      <c r="I2854" s="301"/>
    </row>
    <row r="2855" spans="2:9" s="346" customFormat="1" ht="21" customHeight="1">
      <c r="B2855" s="305"/>
      <c r="C2855" s="305"/>
      <c r="D2855" s="234"/>
      <c r="E2855" s="306"/>
      <c r="F2855" s="306"/>
      <c r="G2855" s="232"/>
      <c r="H2855" s="232"/>
      <c r="I2855" s="301"/>
    </row>
    <row r="2856" spans="2:9" s="346" customFormat="1" ht="21" customHeight="1">
      <c r="B2856" s="305"/>
      <c r="C2856" s="305"/>
      <c r="D2856" s="234"/>
      <c r="E2856" s="306"/>
      <c r="F2856" s="306"/>
      <c r="G2856" s="308"/>
      <c r="H2856" s="233"/>
      <c r="I2856" s="301"/>
    </row>
    <row r="2857" spans="2:9" s="346" customFormat="1" ht="21" customHeight="1">
      <c r="B2857" s="305"/>
      <c r="C2857" s="305"/>
      <c r="D2857" s="234"/>
      <c r="E2857" s="306"/>
      <c r="F2857" s="306"/>
      <c r="G2857" s="308"/>
      <c r="H2857" s="233"/>
      <c r="I2857" s="301"/>
    </row>
    <row r="2858" spans="2:9" s="346" customFormat="1" ht="21" customHeight="1">
      <c r="B2858" s="305"/>
      <c r="C2858" s="305"/>
      <c r="D2858" s="234"/>
      <c r="E2858" s="306"/>
      <c r="F2858" s="306"/>
      <c r="G2858" s="308"/>
      <c r="H2858" s="233"/>
      <c r="I2858" s="301"/>
    </row>
    <row r="2859" spans="2:9" s="346" customFormat="1" ht="21" customHeight="1">
      <c r="B2859" s="300" t="str">
        <f>'5. 공종별예산조서'!$A$214</f>
        <v>7-15. 전선 신설</v>
      </c>
      <c r="C2859" s="300" t="str">
        <f>'5. 공종별예산조서'!$B$214</f>
        <v>HFIX, 2.5SQ</v>
      </c>
      <c r="D2859" s="301" t="str">
        <f>'5. 공종별예산조서'!$C$214</f>
        <v>M</v>
      </c>
      <c r="E2859" s="309">
        <f>'5. 공종별예산조서'!$D$214</f>
        <v>677</v>
      </c>
      <c r="F2859" s="302"/>
      <c r="G2859" s="303"/>
      <c r="H2859" s="304"/>
      <c r="I2859" s="301"/>
    </row>
    <row r="2860" spans="2:9" s="346" customFormat="1" ht="21" customHeight="1">
      <c r="B2860" s="312" t="s">
        <v>834</v>
      </c>
      <c r="C2860" s="305"/>
      <c r="D2860" s="234"/>
      <c r="E2860" s="310"/>
      <c r="F2860" s="306"/>
      <c r="G2860" s="232"/>
      <c r="H2860" s="233"/>
      <c r="I2860" s="301"/>
    </row>
    <row r="2861" spans="2:9" s="346" customFormat="1" ht="21" customHeight="1">
      <c r="B2861" s="305" t="s">
        <v>1136</v>
      </c>
      <c r="C2861" s="305" t="str">
        <f>C2859</f>
        <v>HFIX, 2.5SQ</v>
      </c>
      <c r="D2861" s="234" t="str">
        <f>D2859</f>
        <v>M</v>
      </c>
      <c r="E2861" s="311">
        <v>24</v>
      </c>
      <c r="F2861" s="307"/>
      <c r="G2861" s="308"/>
      <c r="H2861" s="233"/>
      <c r="I2861" s="301"/>
    </row>
    <row r="2862" spans="2:9" s="346" customFormat="1" ht="21" customHeight="1">
      <c r="B2862" s="305" t="s">
        <v>1118</v>
      </c>
      <c r="C2862" s="305" t="str">
        <f>C2861</f>
        <v>HFIX, 2.5SQ</v>
      </c>
      <c r="D2862" s="234" t="str">
        <f>D2861</f>
        <v>M</v>
      </c>
      <c r="E2862" s="313">
        <v>462</v>
      </c>
      <c r="F2862" s="307"/>
      <c r="G2862" s="308"/>
      <c r="H2862" s="233"/>
      <c r="I2862" s="301"/>
    </row>
    <row r="2863" spans="2:9" s="346" customFormat="1" ht="21" customHeight="1">
      <c r="B2863" s="305" t="s">
        <v>1137</v>
      </c>
      <c r="C2863" s="305" t="str">
        <f t="shared" ref="C2863:C2866" si="8">C2862</f>
        <v>HFIX, 2.5SQ</v>
      </c>
      <c r="D2863" s="234" t="str">
        <f t="shared" ref="D2863:D2866" si="9">D2862</f>
        <v>M</v>
      </c>
      <c r="E2863" s="313">
        <v>171</v>
      </c>
      <c r="F2863" s="307"/>
      <c r="G2863" s="308"/>
      <c r="H2863" s="233"/>
      <c r="I2863" s="301"/>
    </row>
    <row r="2864" spans="2:9" s="346" customFormat="1" ht="21" customHeight="1">
      <c r="B2864" s="305" t="s">
        <v>1138</v>
      </c>
      <c r="C2864" s="305" t="str">
        <f t="shared" si="8"/>
        <v>HFIX, 2.5SQ</v>
      </c>
      <c r="D2864" s="234" t="str">
        <f t="shared" si="9"/>
        <v>M</v>
      </c>
      <c r="E2864" s="313">
        <v>44</v>
      </c>
      <c r="F2864" s="307"/>
      <c r="G2864" s="308"/>
      <c r="H2864" s="233"/>
      <c r="I2864" s="301"/>
    </row>
    <row r="2865" spans="2:9" s="346" customFormat="1" ht="21" customHeight="1">
      <c r="B2865" s="305" t="s">
        <v>1139</v>
      </c>
      <c r="C2865" s="305" t="str">
        <f t="shared" si="8"/>
        <v>HFIX, 2.5SQ</v>
      </c>
      <c r="D2865" s="234" t="str">
        <f t="shared" si="9"/>
        <v>M</v>
      </c>
      <c r="E2865" s="313">
        <v>19</v>
      </c>
      <c r="F2865" s="307"/>
      <c r="G2865" s="308"/>
      <c r="H2865" s="233"/>
      <c r="I2865" s="301"/>
    </row>
    <row r="2866" spans="2:9" s="346" customFormat="1" ht="21" customHeight="1">
      <c r="B2866" s="305" t="s">
        <v>1140</v>
      </c>
      <c r="C2866" s="305" t="str">
        <f t="shared" si="8"/>
        <v>HFIX, 2.5SQ</v>
      </c>
      <c r="D2866" s="234" t="str">
        <f t="shared" si="9"/>
        <v>M</v>
      </c>
      <c r="E2866" s="313">
        <v>23</v>
      </c>
      <c r="F2866" s="307"/>
      <c r="G2866" s="308"/>
      <c r="H2866" s="233"/>
      <c r="I2866" s="301"/>
    </row>
    <row r="2867" spans="2:9" s="346" customFormat="1" ht="21" customHeight="1">
      <c r="B2867" s="305"/>
      <c r="C2867" s="305"/>
      <c r="D2867" s="234"/>
      <c r="E2867" s="307"/>
      <c r="F2867" s="307"/>
      <c r="G2867" s="308"/>
      <c r="H2867" s="233"/>
      <c r="I2867" s="301"/>
    </row>
    <row r="2868" spans="2:9" s="346" customFormat="1" ht="21" customHeight="1">
      <c r="B2868" s="305"/>
      <c r="C2868" s="305"/>
      <c r="D2868" s="234"/>
      <c r="E2868" s="307"/>
      <c r="F2868" s="307"/>
      <c r="G2868" s="308"/>
      <c r="H2868" s="233"/>
      <c r="I2868" s="301"/>
    </row>
    <row r="2869" spans="2:9" s="346" customFormat="1" ht="21" customHeight="1">
      <c r="B2869" s="305"/>
      <c r="C2869" s="305"/>
      <c r="D2869" s="234"/>
      <c r="E2869" s="307"/>
      <c r="F2869" s="307"/>
      <c r="G2869" s="308"/>
      <c r="H2869" s="233"/>
      <c r="I2869" s="301"/>
    </row>
    <row r="2870" spans="2:9" s="346" customFormat="1" ht="21" customHeight="1">
      <c r="B2870" s="305"/>
      <c r="C2870" s="305"/>
      <c r="D2870" s="234"/>
      <c r="E2870" s="307"/>
      <c r="F2870" s="307"/>
      <c r="G2870" s="308"/>
      <c r="H2870" s="233"/>
      <c r="I2870" s="301"/>
    </row>
    <row r="2871" spans="2:9" s="346" customFormat="1" ht="21" customHeight="1">
      <c r="B2871" s="312" t="s">
        <v>835</v>
      </c>
      <c r="C2871" s="305"/>
      <c r="D2871" s="234"/>
      <c r="E2871" s="307"/>
      <c r="F2871" s="307"/>
      <c r="G2871" s="232"/>
      <c r="H2871" s="233"/>
      <c r="I2871" s="301"/>
    </row>
    <row r="2872" spans="2:9" s="346" customFormat="1" ht="21" customHeight="1">
      <c r="B2872" s="305"/>
      <c r="C2872" s="305" t="s">
        <v>1154</v>
      </c>
      <c r="D2872" s="234" t="s">
        <v>869</v>
      </c>
      <c r="E2872" s="307">
        <v>5.89</v>
      </c>
      <c r="F2872" s="307"/>
      <c r="G2872" s="232"/>
      <c r="H2872" s="233"/>
      <c r="I2872" s="301"/>
    </row>
    <row r="2873" spans="2:9" s="346" customFormat="1" ht="21" customHeight="1">
      <c r="B2873" s="305"/>
      <c r="C2873" s="305"/>
      <c r="D2873" s="234"/>
      <c r="E2873" s="306"/>
      <c r="F2873" s="306"/>
      <c r="G2873" s="232"/>
      <c r="H2873" s="232"/>
      <c r="I2873" s="301"/>
    </row>
    <row r="2874" spans="2:9" s="346" customFormat="1" ht="21" customHeight="1">
      <c r="B2874" s="305"/>
      <c r="C2874" s="305"/>
      <c r="D2874" s="234"/>
      <c r="E2874" s="306"/>
      <c r="F2874" s="306"/>
      <c r="G2874" s="308"/>
      <c r="H2874" s="233"/>
      <c r="I2874" s="301"/>
    </row>
    <row r="2875" spans="2:9" s="346" customFormat="1" ht="21" customHeight="1">
      <c r="B2875" s="305"/>
      <c r="C2875" s="305"/>
      <c r="D2875" s="234"/>
      <c r="E2875" s="306"/>
      <c r="F2875" s="306"/>
      <c r="G2875" s="308"/>
      <c r="H2875" s="233"/>
      <c r="I2875" s="301"/>
    </row>
    <row r="2876" spans="2:9" s="346" customFormat="1" ht="21" customHeight="1">
      <c r="B2876" s="305"/>
      <c r="C2876" s="305"/>
      <c r="D2876" s="234"/>
      <c r="E2876" s="306"/>
      <c r="F2876" s="306"/>
      <c r="G2876" s="308"/>
      <c r="H2876" s="233"/>
      <c r="I2876" s="301"/>
    </row>
    <row r="2877" spans="2:9" s="346" customFormat="1" ht="21" customHeight="1">
      <c r="B2877" s="312" t="s">
        <v>837</v>
      </c>
      <c r="C2877" s="305"/>
      <c r="D2877" s="234"/>
      <c r="E2877" s="307"/>
      <c r="F2877" s="307"/>
      <c r="G2877" s="232"/>
      <c r="H2877" s="233"/>
      <c r="I2877" s="301"/>
    </row>
    <row r="2878" spans="2:9" s="346" customFormat="1" ht="21" customHeight="1">
      <c r="B2878" s="305"/>
      <c r="C2878" s="305" t="s">
        <v>1154</v>
      </c>
      <c r="D2878" s="234" t="s">
        <v>869</v>
      </c>
      <c r="E2878" s="307">
        <v>0.17699999999999999</v>
      </c>
      <c r="F2878" s="307"/>
      <c r="G2878" s="232"/>
      <c r="H2878" s="233"/>
      <c r="I2878" s="301"/>
    </row>
    <row r="2879" spans="2:9" s="346" customFormat="1" ht="21" customHeight="1">
      <c r="B2879" s="305"/>
      <c r="C2879" s="305"/>
      <c r="D2879" s="234"/>
      <c r="E2879" s="306"/>
      <c r="F2879" s="306"/>
      <c r="G2879" s="232"/>
      <c r="H2879" s="232"/>
      <c r="I2879" s="301"/>
    </row>
    <row r="2880" spans="2:9" s="346" customFormat="1" ht="21" customHeight="1">
      <c r="B2880" s="305"/>
      <c r="C2880" s="305"/>
      <c r="D2880" s="234"/>
      <c r="E2880" s="306"/>
      <c r="F2880" s="306"/>
      <c r="G2880" s="308"/>
      <c r="H2880" s="233"/>
      <c r="I2880" s="301"/>
    </row>
    <row r="2881" spans="2:9" s="346" customFormat="1" ht="21" customHeight="1">
      <c r="B2881" s="305"/>
      <c r="C2881" s="305"/>
      <c r="D2881" s="234"/>
      <c r="E2881" s="306"/>
      <c r="F2881" s="306"/>
      <c r="G2881" s="308"/>
      <c r="H2881" s="233"/>
      <c r="I2881" s="301"/>
    </row>
    <row r="2882" spans="2:9" s="346" customFormat="1" ht="21" customHeight="1">
      <c r="B2882" s="305"/>
      <c r="C2882" s="305"/>
      <c r="D2882" s="234"/>
      <c r="E2882" s="306"/>
      <c r="F2882" s="306"/>
      <c r="G2882" s="308"/>
      <c r="H2882" s="233"/>
      <c r="I2882" s="301"/>
    </row>
    <row r="2883" spans="2:9" s="346" customFormat="1" ht="21" customHeight="1">
      <c r="B2883" s="300" t="str">
        <f>'5. 공종별예산조서'!$A$215</f>
        <v>7-16. 등기구 신설</v>
      </c>
      <c r="C2883" s="300" t="str">
        <f>'5. 공종별예산조서'!$B$215</f>
        <v>LED 15W, 벽부등</v>
      </c>
      <c r="D2883" s="301" t="str">
        <f>'5. 공종별예산조서'!$C$215</f>
        <v>개</v>
      </c>
      <c r="E2883" s="309">
        <f>'5. 공종별예산조서'!$D$215</f>
        <v>10</v>
      </c>
      <c r="F2883" s="302"/>
      <c r="G2883" s="303"/>
      <c r="H2883" s="304"/>
      <c r="I2883" s="301"/>
    </row>
    <row r="2884" spans="2:9" s="346" customFormat="1" ht="21" customHeight="1">
      <c r="B2884" s="312" t="s">
        <v>834</v>
      </c>
      <c r="C2884" s="305"/>
      <c r="D2884" s="234"/>
      <c r="E2884" s="310"/>
      <c r="F2884" s="306"/>
      <c r="G2884" s="232"/>
      <c r="H2884" s="233"/>
      <c r="I2884" s="301"/>
    </row>
    <row r="2885" spans="2:9" s="346" customFormat="1" ht="21" customHeight="1">
      <c r="B2885" s="305" t="s">
        <v>1164</v>
      </c>
      <c r="C2885" s="305" t="str">
        <f>C2883</f>
        <v>LED 15W, 벽부등</v>
      </c>
      <c r="D2885" s="234" t="str">
        <f>D2883</f>
        <v>개</v>
      </c>
      <c r="E2885" s="311">
        <f>E2883</f>
        <v>10</v>
      </c>
      <c r="F2885" s="307"/>
      <c r="G2885" s="308"/>
      <c r="H2885" s="233"/>
      <c r="I2885" s="301"/>
    </row>
    <row r="2886" spans="2:9" s="346" customFormat="1" ht="21" customHeight="1">
      <c r="B2886" s="305"/>
      <c r="C2886" s="305"/>
      <c r="D2886" s="234"/>
      <c r="E2886" s="313"/>
      <c r="F2886" s="307"/>
      <c r="G2886" s="308"/>
      <c r="H2886" s="233"/>
      <c r="I2886" s="301"/>
    </row>
    <row r="2887" spans="2:9" s="346" customFormat="1" ht="21" customHeight="1">
      <c r="B2887" s="305"/>
      <c r="C2887" s="305"/>
      <c r="D2887" s="234"/>
      <c r="E2887" s="313"/>
      <c r="F2887" s="307"/>
      <c r="G2887" s="308"/>
      <c r="H2887" s="233"/>
      <c r="I2887" s="301"/>
    </row>
    <row r="2888" spans="2:9" s="346" customFormat="1" ht="21" customHeight="1">
      <c r="B2888" s="305"/>
      <c r="C2888" s="305"/>
      <c r="D2888" s="234"/>
      <c r="E2888" s="313"/>
      <c r="F2888" s="307"/>
      <c r="G2888" s="308"/>
      <c r="H2888" s="233"/>
      <c r="I2888" s="301"/>
    </row>
    <row r="2889" spans="2:9" s="346" customFormat="1" ht="21" customHeight="1">
      <c r="B2889" s="305"/>
      <c r="C2889" s="305"/>
      <c r="D2889" s="234"/>
      <c r="E2889" s="313"/>
      <c r="F2889" s="307"/>
      <c r="G2889" s="308"/>
      <c r="H2889" s="233"/>
      <c r="I2889" s="301"/>
    </row>
    <row r="2890" spans="2:9" s="346" customFormat="1" ht="21" customHeight="1">
      <c r="B2890" s="305"/>
      <c r="C2890" s="305"/>
      <c r="D2890" s="234"/>
      <c r="E2890" s="313"/>
      <c r="F2890" s="307"/>
      <c r="G2890" s="308"/>
      <c r="H2890" s="233"/>
      <c r="I2890" s="301"/>
    </row>
    <row r="2891" spans="2:9" s="346" customFormat="1" ht="21" customHeight="1">
      <c r="B2891" s="305"/>
      <c r="C2891" s="305"/>
      <c r="D2891" s="234"/>
      <c r="E2891" s="307"/>
      <c r="F2891" s="307"/>
      <c r="G2891" s="308"/>
      <c r="H2891" s="233"/>
      <c r="I2891" s="301"/>
    </row>
    <row r="2892" spans="2:9" s="346" customFormat="1" ht="21" customHeight="1">
      <c r="B2892" s="305"/>
      <c r="C2892" s="305"/>
      <c r="D2892" s="234"/>
      <c r="E2892" s="307"/>
      <c r="F2892" s="307"/>
      <c r="G2892" s="308"/>
      <c r="H2892" s="233"/>
      <c r="I2892" s="301"/>
    </row>
    <row r="2893" spans="2:9" s="346" customFormat="1" ht="21" customHeight="1">
      <c r="B2893" s="305"/>
      <c r="C2893" s="305"/>
      <c r="D2893" s="234"/>
      <c r="E2893" s="307"/>
      <c r="F2893" s="307"/>
      <c r="G2893" s="308"/>
      <c r="H2893" s="233"/>
      <c r="I2893" s="301"/>
    </row>
    <row r="2894" spans="2:9" s="346" customFormat="1" ht="21" customHeight="1">
      <c r="B2894" s="305"/>
      <c r="C2894" s="305"/>
      <c r="D2894" s="234"/>
      <c r="E2894" s="307"/>
      <c r="F2894" s="307"/>
      <c r="G2894" s="308"/>
      <c r="H2894" s="233"/>
      <c r="I2894" s="301"/>
    </row>
    <row r="2895" spans="2:9" s="346" customFormat="1" ht="21" customHeight="1">
      <c r="B2895" s="312" t="s">
        <v>835</v>
      </c>
      <c r="C2895" s="305"/>
      <c r="D2895" s="234"/>
      <c r="E2895" s="307"/>
      <c r="F2895" s="307"/>
      <c r="G2895" s="232"/>
      <c r="H2895" s="233"/>
      <c r="I2895" s="301"/>
    </row>
    <row r="2896" spans="2:9" s="346" customFormat="1" ht="21" customHeight="1">
      <c r="B2896" s="305"/>
      <c r="C2896" s="305" t="s">
        <v>1154</v>
      </c>
      <c r="D2896" s="234" t="s">
        <v>869</v>
      </c>
      <c r="E2896" s="307">
        <v>1.0529999999999999</v>
      </c>
      <c r="F2896" s="307"/>
      <c r="G2896" s="232"/>
      <c r="H2896" s="233"/>
      <c r="I2896" s="301"/>
    </row>
    <row r="2897" spans="2:9" s="346" customFormat="1" ht="21" customHeight="1">
      <c r="B2897" s="305"/>
      <c r="C2897" s="305"/>
      <c r="D2897" s="234"/>
      <c r="E2897" s="306"/>
      <c r="F2897" s="306"/>
      <c r="G2897" s="232"/>
      <c r="H2897" s="232"/>
      <c r="I2897" s="301"/>
    </row>
    <row r="2898" spans="2:9" s="346" customFormat="1" ht="21" customHeight="1">
      <c r="B2898" s="305"/>
      <c r="C2898" s="305"/>
      <c r="D2898" s="234"/>
      <c r="E2898" s="306"/>
      <c r="F2898" s="306"/>
      <c r="G2898" s="308"/>
      <c r="H2898" s="233"/>
      <c r="I2898" s="301"/>
    </row>
    <row r="2899" spans="2:9" s="346" customFormat="1" ht="21" customHeight="1">
      <c r="B2899" s="305"/>
      <c r="C2899" s="305"/>
      <c r="D2899" s="234"/>
      <c r="E2899" s="306"/>
      <c r="F2899" s="306"/>
      <c r="G2899" s="308"/>
      <c r="H2899" s="233"/>
      <c r="I2899" s="301"/>
    </row>
    <row r="2900" spans="2:9" s="346" customFormat="1" ht="21" customHeight="1">
      <c r="B2900" s="305"/>
      <c r="C2900" s="305"/>
      <c r="D2900" s="234"/>
      <c r="E2900" s="306"/>
      <c r="F2900" s="306"/>
      <c r="G2900" s="308"/>
      <c r="H2900" s="233"/>
      <c r="I2900" s="301"/>
    </row>
    <row r="2901" spans="2:9" s="346" customFormat="1" ht="21" customHeight="1">
      <c r="B2901" s="312" t="s">
        <v>837</v>
      </c>
      <c r="C2901" s="305"/>
      <c r="D2901" s="234"/>
      <c r="E2901" s="307"/>
      <c r="F2901" s="307"/>
      <c r="G2901" s="232"/>
      <c r="H2901" s="233"/>
      <c r="I2901" s="301"/>
    </row>
    <row r="2902" spans="2:9" s="346" customFormat="1" ht="21" customHeight="1">
      <c r="B2902" s="305"/>
      <c r="C2902" s="305" t="s">
        <v>1154</v>
      </c>
      <c r="D2902" s="234" t="s">
        <v>869</v>
      </c>
      <c r="E2902" s="307">
        <v>3.2000000000000001E-2</v>
      </c>
      <c r="F2902" s="307"/>
      <c r="G2902" s="232"/>
      <c r="H2902" s="233"/>
      <c r="I2902" s="301"/>
    </row>
    <row r="2903" spans="2:9" s="346" customFormat="1" ht="21" customHeight="1">
      <c r="B2903" s="305"/>
      <c r="C2903" s="305"/>
      <c r="D2903" s="234"/>
      <c r="E2903" s="306"/>
      <c r="F2903" s="306"/>
      <c r="G2903" s="232"/>
      <c r="H2903" s="232"/>
      <c r="I2903" s="301"/>
    </row>
    <row r="2904" spans="2:9" s="346" customFormat="1" ht="21" customHeight="1">
      <c r="B2904" s="305"/>
      <c r="C2904" s="305"/>
      <c r="D2904" s="234"/>
      <c r="E2904" s="306"/>
      <c r="F2904" s="306"/>
      <c r="G2904" s="308"/>
      <c r="H2904" s="233"/>
      <c r="I2904" s="301"/>
    </row>
    <row r="2905" spans="2:9" s="346" customFormat="1" ht="21" customHeight="1">
      <c r="B2905" s="305"/>
      <c r="C2905" s="305"/>
      <c r="D2905" s="234"/>
      <c r="E2905" s="306"/>
      <c r="F2905" s="306"/>
      <c r="G2905" s="308"/>
      <c r="H2905" s="233"/>
      <c r="I2905" s="301"/>
    </row>
    <row r="2906" spans="2:9" s="346" customFormat="1" ht="21" customHeight="1">
      <c r="B2906" s="305"/>
      <c r="C2906" s="305"/>
      <c r="D2906" s="234"/>
      <c r="E2906" s="306"/>
      <c r="F2906" s="306"/>
      <c r="G2906" s="308"/>
      <c r="H2906" s="233"/>
      <c r="I2906" s="301"/>
    </row>
    <row r="2907" spans="2:9" s="346" customFormat="1" ht="21" customHeight="1">
      <c r="B2907" s="300" t="str">
        <f>'5. 공종별예산조서'!$A$216</f>
        <v>7-17. 아우트렛박스(커버포함) 신설</v>
      </c>
      <c r="C2907" s="300" t="str">
        <f>'5. 공종별예산조서'!$B$216</f>
        <v>4각 중형 54㎜</v>
      </c>
      <c r="D2907" s="301" t="str">
        <f>'5. 공종별예산조서'!$C$216</f>
        <v>개</v>
      </c>
      <c r="E2907" s="309">
        <f>'5. 공종별예산조서'!$D$216</f>
        <v>30</v>
      </c>
      <c r="F2907" s="302"/>
      <c r="G2907" s="303"/>
      <c r="H2907" s="304"/>
      <c r="I2907" s="301"/>
    </row>
    <row r="2908" spans="2:9" s="346" customFormat="1" ht="21" customHeight="1">
      <c r="B2908" s="312" t="s">
        <v>834</v>
      </c>
      <c r="C2908" s="305"/>
      <c r="D2908" s="234"/>
      <c r="E2908" s="310"/>
      <c r="F2908" s="306"/>
      <c r="G2908" s="232"/>
      <c r="H2908" s="233"/>
      <c r="I2908" s="301"/>
    </row>
    <row r="2909" spans="2:9" s="346" customFormat="1" ht="21" customHeight="1">
      <c r="B2909" s="305" t="s">
        <v>1164</v>
      </c>
      <c r="C2909" s="305" t="str">
        <f>C2907</f>
        <v>4각 중형 54㎜</v>
      </c>
      <c r="D2909" s="234" t="str">
        <f>D2907</f>
        <v>개</v>
      </c>
      <c r="E2909" s="311">
        <f>E2907</f>
        <v>30</v>
      </c>
      <c r="F2909" s="307"/>
      <c r="G2909" s="308"/>
      <c r="H2909" s="233"/>
      <c r="I2909" s="301"/>
    </row>
    <row r="2910" spans="2:9" s="346" customFormat="1" ht="21" customHeight="1">
      <c r="B2910" s="305" t="s">
        <v>1127</v>
      </c>
      <c r="C2910" s="305" t="s">
        <v>1128</v>
      </c>
      <c r="D2910" s="234" t="str">
        <f>D2909</f>
        <v>개</v>
      </c>
      <c r="E2910" s="313">
        <f>E2909</f>
        <v>30</v>
      </c>
      <c r="F2910" s="307"/>
      <c r="G2910" s="308"/>
      <c r="H2910" s="233"/>
      <c r="I2910" s="301"/>
    </row>
    <row r="2911" spans="2:9" s="346" customFormat="1" ht="21" customHeight="1">
      <c r="B2911" s="305"/>
      <c r="C2911" s="305"/>
      <c r="D2911" s="234"/>
      <c r="E2911" s="313"/>
      <c r="F2911" s="307"/>
      <c r="G2911" s="308"/>
      <c r="H2911" s="233"/>
      <c r="I2911" s="301"/>
    </row>
    <row r="2912" spans="2:9" s="346" customFormat="1" ht="21" customHeight="1">
      <c r="B2912" s="305"/>
      <c r="C2912" s="305"/>
      <c r="D2912" s="234"/>
      <c r="E2912" s="313"/>
      <c r="F2912" s="307"/>
      <c r="G2912" s="308"/>
      <c r="H2912" s="233"/>
      <c r="I2912" s="301"/>
    </row>
    <row r="2913" spans="2:9" s="346" customFormat="1" ht="21" customHeight="1">
      <c r="B2913" s="305"/>
      <c r="C2913" s="305"/>
      <c r="D2913" s="234"/>
      <c r="E2913" s="313"/>
      <c r="F2913" s="307"/>
      <c r="G2913" s="308"/>
      <c r="H2913" s="233"/>
      <c r="I2913" s="301"/>
    </row>
    <row r="2914" spans="2:9" s="346" customFormat="1" ht="21" customHeight="1">
      <c r="B2914" s="305"/>
      <c r="C2914" s="305"/>
      <c r="D2914" s="234"/>
      <c r="E2914" s="313"/>
      <c r="F2914" s="307"/>
      <c r="G2914" s="308"/>
      <c r="H2914" s="233"/>
      <c r="I2914" s="301"/>
    </row>
    <row r="2915" spans="2:9" s="346" customFormat="1" ht="21" customHeight="1">
      <c r="B2915" s="305"/>
      <c r="C2915" s="305"/>
      <c r="D2915" s="234"/>
      <c r="E2915" s="307"/>
      <c r="F2915" s="307"/>
      <c r="G2915" s="308"/>
      <c r="H2915" s="233"/>
      <c r="I2915" s="301"/>
    </row>
    <row r="2916" spans="2:9" s="346" customFormat="1" ht="21" customHeight="1">
      <c r="B2916" s="305"/>
      <c r="C2916" s="305"/>
      <c r="D2916" s="234"/>
      <c r="E2916" s="307"/>
      <c r="F2916" s="307"/>
      <c r="G2916" s="308"/>
      <c r="H2916" s="233"/>
      <c r="I2916" s="301"/>
    </row>
    <row r="2917" spans="2:9" s="346" customFormat="1" ht="21" customHeight="1">
      <c r="B2917" s="305"/>
      <c r="C2917" s="305"/>
      <c r="D2917" s="234"/>
      <c r="E2917" s="307"/>
      <c r="F2917" s="307"/>
      <c r="G2917" s="308"/>
      <c r="H2917" s="233"/>
      <c r="I2917" s="301"/>
    </row>
    <row r="2918" spans="2:9" s="346" customFormat="1" ht="21" customHeight="1">
      <c r="B2918" s="305"/>
      <c r="C2918" s="305"/>
      <c r="D2918" s="234"/>
      <c r="E2918" s="307"/>
      <c r="F2918" s="307"/>
      <c r="G2918" s="308"/>
      <c r="H2918" s="233"/>
      <c r="I2918" s="301"/>
    </row>
    <row r="2919" spans="2:9" s="346" customFormat="1" ht="21" customHeight="1">
      <c r="B2919" s="312" t="s">
        <v>835</v>
      </c>
      <c r="C2919" s="305"/>
      <c r="D2919" s="234"/>
      <c r="E2919" s="307"/>
      <c r="F2919" s="307"/>
      <c r="G2919" s="232"/>
      <c r="H2919" s="233"/>
      <c r="I2919" s="301"/>
    </row>
    <row r="2920" spans="2:9" s="346" customFormat="1" ht="21" customHeight="1">
      <c r="B2920" s="305"/>
      <c r="C2920" s="305" t="s">
        <v>1154</v>
      </c>
      <c r="D2920" s="234" t="s">
        <v>869</v>
      </c>
      <c r="E2920" s="307">
        <v>5.4</v>
      </c>
      <c r="F2920" s="307"/>
      <c r="G2920" s="232"/>
      <c r="H2920" s="233"/>
      <c r="I2920" s="301"/>
    </row>
    <row r="2921" spans="2:9" s="346" customFormat="1" ht="21" customHeight="1">
      <c r="B2921" s="305"/>
      <c r="C2921" s="305"/>
      <c r="D2921" s="234"/>
      <c r="E2921" s="306"/>
      <c r="F2921" s="306"/>
      <c r="G2921" s="232"/>
      <c r="H2921" s="232"/>
      <c r="I2921" s="301"/>
    </row>
    <row r="2922" spans="2:9" s="346" customFormat="1" ht="21" customHeight="1">
      <c r="B2922" s="305"/>
      <c r="C2922" s="305"/>
      <c r="D2922" s="234"/>
      <c r="E2922" s="306"/>
      <c r="F2922" s="306"/>
      <c r="G2922" s="308"/>
      <c r="H2922" s="233"/>
      <c r="I2922" s="301"/>
    </row>
    <row r="2923" spans="2:9" s="346" customFormat="1" ht="21" customHeight="1">
      <c r="B2923" s="305"/>
      <c r="C2923" s="305"/>
      <c r="D2923" s="234"/>
      <c r="E2923" s="306"/>
      <c r="F2923" s="306"/>
      <c r="G2923" s="308"/>
      <c r="H2923" s="233"/>
      <c r="I2923" s="301"/>
    </row>
    <row r="2924" spans="2:9" s="346" customFormat="1" ht="21" customHeight="1">
      <c r="B2924" s="305"/>
      <c r="C2924" s="305"/>
      <c r="D2924" s="234"/>
      <c r="E2924" s="306"/>
      <c r="F2924" s="306"/>
      <c r="G2924" s="308"/>
      <c r="H2924" s="233"/>
      <c r="I2924" s="301"/>
    </row>
    <row r="2925" spans="2:9" s="346" customFormat="1" ht="21" customHeight="1">
      <c r="B2925" s="312" t="s">
        <v>837</v>
      </c>
      <c r="C2925" s="305"/>
      <c r="D2925" s="234"/>
      <c r="E2925" s="307"/>
      <c r="F2925" s="307"/>
      <c r="G2925" s="232"/>
      <c r="H2925" s="233"/>
      <c r="I2925" s="301"/>
    </row>
    <row r="2926" spans="2:9" s="346" customFormat="1" ht="21" customHeight="1">
      <c r="B2926" s="305"/>
      <c r="C2926" s="305" t="s">
        <v>1154</v>
      </c>
      <c r="D2926" s="234" t="s">
        <v>869</v>
      </c>
      <c r="E2926" s="307">
        <v>0.16200000000000001</v>
      </c>
      <c r="F2926" s="307"/>
      <c r="G2926" s="232"/>
      <c r="H2926" s="233"/>
      <c r="I2926" s="301"/>
    </row>
    <row r="2927" spans="2:9" s="346" customFormat="1" ht="21" customHeight="1">
      <c r="B2927" s="305"/>
      <c r="C2927" s="305"/>
      <c r="D2927" s="234"/>
      <c r="E2927" s="306"/>
      <c r="F2927" s="306"/>
      <c r="G2927" s="232"/>
      <c r="H2927" s="232"/>
      <c r="I2927" s="301"/>
    </row>
    <row r="2928" spans="2:9" s="346" customFormat="1" ht="21" customHeight="1">
      <c r="B2928" s="305"/>
      <c r="C2928" s="305"/>
      <c r="D2928" s="234"/>
      <c r="E2928" s="306"/>
      <c r="F2928" s="306"/>
      <c r="G2928" s="308"/>
      <c r="H2928" s="233"/>
      <c r="I2928" s="301"/>
    </row>
    <row r="2929" spans="2:9" s="346" customFormat="1" ht="21" customHeight="1">
      <c r="B2929" s="305"/>
      <c r="C2929" s="305"/>
      <c r="D2929" s="234"/>
      <c r="E2929" s="306"/>
      <c r="F2929" s="306"/>
      <c r="G2929" s="308"/>
      <c r="H2929" s="233"/>
      <c r="I2929" s="301"/>
    </row>
    <row r="2930" spans="2:9" s="346" customFormat="1" ht="21" customHeight="1">
      <c r="B2930" s="305"/>
      <c r="C2930" s="305"/>
      <c r="D2930" s="234"/>
      <c r="E2930" s="306"/>
      <c r="F2930" s="306"/>
      <c r="G2930" s="308"/>
      <c r="H2930" s="233"/>
      <c r="I2930" s="301"/>
    </row>
    <row r="2931" spans="2:9" s="346" customFormat="1" ht="21" customHeight="1">
      <c r="B2931" s="300" t="str">
        <f>'5. 공종별예산조서'!$A$217</f>
        <v>7-18. PVC 노출 스위치박스 신설</v>
      </c>
      <c r="C2931" s="300" t="str">
        <f>'5. 공종별예산조서'!$B$217</f>
        <v>PVC 노출 스위치박스 1개용</v>
      </c>
      <c r="D2931" s="301" t="str">
        <f>'5. 공종별예산조서'!$C$217</f>
        <v>개</v>
      </c>
      <c r="E2931" s="309">
        <f>'5. 공종별예산조서'!$D$217</f>
        <v>8</v>
      </c>
      <c r="F2931" s="302"/>
      <c r="G2931" s="303"/>
      <c r="H2931" s="304"/>
      <c r="I2931" s="301"/>
    </row>
    <row r="2932" spans="2:9" s="346" customFormat="1" ht="21" customHeight="1">
      <c r="B2932" s="312" t="s">
        <v>834</v>
      </c>
      <c r="C2932" s="305"/>
      <c r="D2932" s="234"/>
      <c r="E2932" s="310"/>
      <c r="F2932" s="306"/>
      <c r="G2932" s="232"/>
      <c r="H2932" s="233"/>
      <c r="I2932" s="301"/>
    </row>
    <row r="2933" spans="2:9" s="346" customFormat="1" ht="21" customHeight="1">
      <c r="B2933" s="305" t="s">
        <v>1165</v>
      </c>
      <c r="C2933" s="305" t="str">
        <f>C2931</f>
        <v>PVC 노출 스위치박스 1개용</v>
      </c>
      <c r="D2933" s="234" t="str">
        <f>D2931</f>
        <v>개</v>
      </c>
      <c r="E2933" s="311">
        <f>E2931</f>
        <v>8</v>
      </c>
      <c r="F2933" s="307"/>
      <c r="G2933" s="308"/>
      <c r="H2933" s="233"/>
      <c r="I2933" s="301"/>
    </row>
    <row r="2934" spans="2:9" s="346" customFormat="1" ht="21" customHeight="1">
      <c r="B2934" s="305"/>
      <c r="C2934" s="305"/>
      <c r="D2934" s="234"/>
      <c r="E2934" s="313"/>
      <c r="F2934" s="307"/>
      <c r="G2934" s="308"/>
      <c r="H2934" s="233"/>
      <c r="I2934" s="301"/>
    </row>
    <row r="2935" spans="2:9" s="346" customFormat="1" ht="21" customHeight="1">
      <c r="B2935" s="305"/>
      <c r="C2935" s="305"/>
      <c r="D2935" s="234"/>
      <c r="E2935" s="313"/>
      <c r="F2935" s="307"/>
      <c r="G2935" s="308"/>
      <c r="H2935" s="233"/>
      <c r="I2935" s="301"/>
    </row>
    <row r="2936" spans="2:9" s="346" customFormat="1" ht="21" customHeight="1">
      <c r="B2936" s="305"/>
      <c r="C2936" s="305"/>
      <c r="D2936" s="234"/>
      <c r="E2936" s="313"/>
      <c r="F2936" s="307"/>
      <c r="G2936" s="308"/>
      <c r="H2936" s="233"/>
      <c r="I2936" s="301"/>
    </row>
    <row r="2937" spans="2:9" s="346" customFormat="1" ht="21" customHeight="1">
      <c r="B2937" s="305"/>
      <c r="C2937" s="305"/>
      <c r="D2937" s="234"/>
      <c r="E2937" s="313"/>
      <c r="F2937" s="307"/>
      <c r="G2937" s="308"/>
      <c r="H2937" s="233"/>
      <c r="I2937" s="301"/>
    </row>
    <row r="2938" spans="2:9" s="346" customFormat="1" ht="21" customHeight="1">
      <c r="B2938" s="305"/>
      <c r="C2938" s="305"/>
      <c r="D2938" s="234"/>
      <c r="E2938" s="313"/>
      <c r="F2938" s="307"/>
      <c r="G2938" s="308"/>
      <c r="H2938" s="233"/>
      <c r="I2938" s="301"/>
    </row>
    <row r="2939" spans="2:9" s="346" customFormat="1" ht="21" customHeight="1">
      <c r="B2939" s="305"/>
      <c r="C2939" s="305"/>
      <c r="D2939" s="234"/>
      <c r="E2939" s="307"/>
      <c r="F2939" s="307"/>
      <c r="G2939" s="308"/>
      <c r="H2939" s="233"/>
      <c r="I2939" s="301"/>
    </row>
    <row r="2940" spans="2:9" s="346" customFormat="1" ht="21" customHeight="1">
      <c r="B2940" s="305"/>
      <c r="C2940" s="305"/>
      <c r="D2940" s="234"/>
      <c r="E2940" s="307"/>
      <c r="F2940" s="307"/>
      <c r="G2940" s="308"/>
      <c r="H2940" s="233"/>
      <c r="I2940" s="301"/>
    </row>
    <row r="2941" spans="2:9" s="346" customFormat="1" ht="21" customHeight="1">
      <c r="B2941" s="305"/>
      <c r="C2941" s="305"/>
      <c r="D2941" s="234"/>
      <c r="E2941" s="307"/>
      <c r="F2941" s="307"/>
      <c r="G2941" s="308"/>
      <c r="H2941" s="233"/>
      <c r="I2941" s="301"/>
    </row>
    <row r="2942" spans="2:9" s="346" customFormat="1" ht="21" customHeight="1">
      <c r="B2942" s="305"/>
      <c r="C2942" s="305"/>
      <c r="D2942" s="234"/>
      <c r="E2942" s="307"/>
      <c r="F2942" s="307"/>
      <c r="G2942" s="308"/>
      <c r="H2942" s="233"/>
      <c r="I2942" s="301"/>
    </row>
    <row r="2943" spans="2:9" s="346" customFormat="1" ht="21" customHeight="1">
      <c r="B2943" s="312" t="s">
        <v>835</v>
      </c>
      <c r="C2943" s="305"/>
      <c r="D2943" s="234"/>
      <c r="E2943" s="307"/>
      <c r="F2943" s="307"/>
      <c r="G2943" s="232"/>
      <c r="H2943" s="233"/>
      <c r="I2943" s="301"/>
    </row>
    <row r="2944" spans="2:9" s="346" customFormat="1" ht="21" customHeight="1">
      <c r="B2944" s="305"/>
      <c r="C2944" s="305" t="s">
        <v>1154</v>
      </c>
      <c r="D2944" s="234" t="s">
        <v>869</v>
      </c>
      <c r="E2944" s="307">
        <v>1.44</v>
      </c>
      <c r="F2944" s="307"/>
      <c r="G2944" s="232"/>
      <c r="H2944" s="233"/>
      <c r="I2944" s="301"/>
    </row>
    <row r="2945" spans="2:9" s="346" customFormat="1" ht="21" customHeight="1">
      <c r="B2945" s="305"/>
      <c r="C2945" s="305"/>
      <c r="D2945" s="234"/>
      <c r="E2945" s="306"/>
      <c r="F2945" s="306"/>
      <c r="G2945" s="232"/>
      <c r="H2945" s="232"/>
      <c r="I2945" s="301"/>
    </row>
    <row r="2946" spans="2:9" s="346" customFormat="1" ht="21" customHeight="1">
      <c r="B2946" s="305"/>
      <c r="C2946" s="305"/>
      <c r="D2946" s="234"/>
      <c r="E2946" s="306"/>
      <c r="F2946" s="306"/>
      <c r="G2946" s="308"/>
      <c r="H2946" s="233"/>
      <c r="I2946" s="301"/>
    </row>
    <row r="2947" spans="2:9" s="346" customFormat="1" ht="21" customHeight="1">
      <c r="B2947" s="305"/>
      <c r="C2947" s="305"/>
      <c r="D2947" s="234"/>
      <c r="E2947" s="306"/>
      <c r="F2947" s="306"/>
      <c r="G2947" s="308"/>
      <c r="H2947" s="233"/>
      <c r="I2947" s="301"/>
    </row>
    <row r="2948" spans="2:9" s="346" customFormat="1" ht="21" customHeight="1">
      <c r="B2948" s="305"/>
      <c r="C2948" s="305"/>
      <c r="D2948" s="234"/>
      <c r="E2948" s="306"/>
      <c r="F2948" s="306"/>
      <c r="G2948" s="308"/>
      <c r="H2948" s="233"/>
      <c r="I2948" s="301"/>
    </row>
    <row r="2949" spans="2:9" s="346" customFormat="1" ht="21" customHeight="1">
      <c r="B2949" s="312" t="s">
        <v>837</v>
      </c>
      <c r="C2949" s="305"/>
      <c r="D2949" s="234"/>
      <c r="E2949" s="307"/>
      <c r="F2949" s="307"/>
      <c r="G2949" s="232"/>
      <c r="H2949" s="233"/>
      <c r="I2949" s="301"/>
    </row>
    <row r="2950" spans="2:9" s="346" customFormat="1" ht="21" customHeight="1">
      <c r="B2950" s="305"/>
      <c r="C2950" s="305" t="s">
        <v>1154</v>
      </c>
      <c r="D2950" s="234" t="s">
        <v>869</v>
      </c>
      <c r="E2950" s="307">
        <v>4.2999999999999997E-2</v>
      </c>
      <c r="F2950" s="307"/>
      <c r="G2950" s="232"/>
      <c r="H2950" s="233"/>
      <c r="I2950" s="301"/>
    </row>
    <row r="2951" spans="2:9" s="346" customFormat="1" ht="21" customHeight="1">
      <c r="B2951" s="305"/>
      <c r="C2951" s="305"/>
      <c r="D2951" s="234"/>
      <c r="E2951" s="306"/>
      <c r="F2951" s="306"/>
      <c r="G2951" s="232"/>
      <c r="H2951" s="232"/>
      <c r="I2951" s="301"/>
    </row>
    <row r="2952" spans="2:9" s="346" customFormat="1" ht="21" customHeight="1">
      <c r="B2952" s="305"/>
      <c r="C2952" s="305"/>
      <c r="D2952" s="234"/>
      <c r="E2952" s="306"/>
      <c r="F2952" s="306"/>
      <c r="G2952" s="308"/>
      <c r="H2952" s="233"/>
      <c r="I2952" s="301"/>
    </row>
    <row r="2953" spans="2:9" s="346" customFormat="1" ht="21" customHeight="1">
      <c r="B2953" s="305"/>
      <c r="C2953" s="305"/>
      <c r="D2953" s="234"/>
      <c r="E2953" s="306"/>
      <c r="F2953" s="306"/>
      <c r="G2953" s="308"/>
      <c r="H2953" s="233"/>
      <c r="I2953" s="301"/>
    </row>
    <row r="2954" spans="2:9" s="346" customFormat="1" ht="21" customHeight="1">
      <c r="B2954" s="305"/>
      <c r="C2954" s="305"/>
      <c r="D2954" s="234"/>
      <c r="E2954" s="306"/>
      <c r="F2954" s="306"/>
      <c r="G2954" s="308"/>
      <c r="H2954" s="233"/>
      <c r="I2954" s="301"/>
    </row>
    <row r="2955" spans="2:9" s="346" customFormat="1" ht="21" customHeight="1">
      <c r="B2955" s="300" t="str">
        <f>'5. 공종별예산조서'!$A$218</f>
        <v>7-19. PVC 노출 스위치박스 신설</v>
      </c>
      <c r="C2955" s="300" t="str">
        <f>'5. 공종별예산조서'!$B$218</f>
        <v>PVC 노출 스위치박스 2개용</v>
      </c>
      <c r="D2955" s="301" t="str">
        <f>'5. 공종별예산조서'!$C$218</f>
        <v>개</v>
      </c>
      <c r="E2955" s="309">
        <f>'5. 공종별예산조서'!$D$218</f>
        <v>7</v>
      </c>
      <c r="F2955" s="302"/>
      <c r="G2955" s="303"/>
      <c r="H2955" s="304"/>
      <c r="I2955" s="301"/>
    </row>
    <row r="2956" spans="2:9" s="346" customFormat="1" ht="21" customHeight="1">
      <c r="B2956" s="312" t="s">
        <v>834</v>
      </c>
      <c r="C2956" s="305"/>
      <c r="D2956" s="234"/>
      <c r="E2956" s="310"/>
      <c r="F2956" s="306"/>
      <c r="G2956" s="232"/>
      <c r="H2956" s="233"/>
      <c r="I2956" s="301"/>
    </row>
    <row r="2957" spans="2:9" s="346" customFormat="1" ht="21" customHeight="1">
      <c r="B2957" s="305" t="s">
        <v>1165</v>
      </c>
      <c r="C2957" s="305" t="str">
        <f>C2955</f>
        <v>PVC 노출 스위치박스 2개용</v>
      </c>
      <c r="D2957" s="234" t="str">
        <f>D2955</f>
        <v>개</v>
      </c>
      <c r="E2957" s="311">
        <f>E2955</f>
        <v>7</v>
      </c>
      <c r="F2957" s="307"/>
      <c r="G2957" s="308"/>
      <c r="H2957" s="233"/>
      <c r="I2957" s="301"/>
    </row>
    <row r="2958" spans="2:9" s="346" customFormat="1" ht="21" customHeight="1">
      <c r="B2958" s="305"/>
      <c r="C2958" s="305"/>
      <c r="D2958" s="234"/>
      <c r="E2958" s="313"/>
      <c r="F2958" s="307"/>
      <c r="G2958" s="308"/>
      <c r="H2958" s="233"/>
      <c r="I2958" s="301"/>
    </row>
    <row r="2959" spans="2:9" s="346" customFormat="1" ht="21" customHeight="1">
      <c r="B2959" s="305"/>
      <c r="C2959" s="305"/>
      <c r="D2959" s="234"/>
      <c r="E2959" s="313"/>
      <c r="F2959" s="307"/>
      <c r="G2959" s="308"/>
      <c r="H2959" s="233"/>
      <c r="I2959" s="301"/>
    </row>
    <row r="2960" spans="2:9" s="346" customFormat="1" ht="21" customHeight="1">
      <c r="B2960" s="305"/>
      <c r="C2960" s="305"/>
      <c r="D2960" s="234"/>
      <c r="E2960" s="313"/>
      <c r="F2960" s="307"/>
      <c r="G2960" s="308"/>
      <c r="H2960" s="233"/>
      <c r="I2960" s="301"/>
    </row>
    <row r="2961" spans="2:9" s="346" customFormat="1" ht="21" customHeight="1">
      <c r="B2961" s="305"/>
      <c r="C2961" s="305"/>
      <c r="D2961" s="234"/>
      <c r="E2961" s="313"/>
      <c r="F2961" s="307"/>
      <c r="G2961" s="308"/>
      <c r="H2961" s="233"/>
      <c r="I2961" s="301"/>
    </row>
    <row r="2962" spans="2:9" s="346" customFormat="1" ht="21" customHeight="1">
      <c r="B2962" s="305"/>
      <c r="C2962" s="305"/>
      <c r="D2962" s="234"/>
      <c r="E2962" s="313"/>
      <c r="F2962" s="307"/>
      <c r="G2962" s="308"/>
      <c r="H2962" s="233"/>
      <c r="I2962" s="301"/>
    </row>
    <row r="2963" spans="2:9" s="346" customFormat="1" ht="21" customHeight="1">
      <c r="B2963" s="305"/>
      <c r="C2963" s="305"/>
      <c r="D2963" s="234"/>
      <c r="E2963" s="307"/>
      <c r="F2963" s="307"/>
      <c r="G2963" s="308"/>
      <c r="H2963" s="233"/>
      <c r="I2963" s="301"/>
    </row>
    <row r="2964" spans="2:9" s="346" customFormat="1" ht="21" customHeight="1">
      <c r="B2964" s="305"/>
      <c r="C2964" s="305"/>
      <c r="D2964" s="234"/>
      <c r="E2964" s="307"/>
      <c r="F2964" s="307"/>
      <c r="G2964" s="308"/>
      <c r="H2964" s="233"/>
      <c r="I2964" s="301"/>
    </row>
    <row r="2965" spans="2:9" s="346" customFormat="1" ht="21" customHeight="1">
      <c r="B2965" s="305"/>
      <c r="C2965" s="305"/>
      <c r="D2965" s="234"/>
      <c r="E2965" s="307"/>
      <c r="F2965" s="307"/>
      <c r="G2965" s="308"/>
      <c r="H2965" s="233"/>
      <c r="I2965" s="301"/>
    </row>
    <row r="2966" spans="2:9" s="346" customFormat="1" ht="21" customHeight="1">
      <c r="B2966" s="305"/>
      <c r="C2966" s="305"/>
      <c r="D2966" s="234"/>
      <c r="E2966" s="307"/>
      <c r="F2966" s="307"/>
      <c r="G2966" s="308"/>
      <c r="H2966" s="233"/>
      <c r="I2966" s="301"/>
    </row>
    <row r="2967" spans="2:9" s="346" customFormat="1" ht="21" customHeight="1">
      <c r="B2967" s="312" t="s">
        <v>835</v>
      </c>
      <c r="C2967" s="305"/>
      <c r="D2967" s="234"/>
      <c r="E2967" s="307"/>
      <c r="F2967" s="307"/>
      <c r="G2967" s="232"/>
      <c r="H2967" s="233"/>
      <c r="I2967" s="301"/>
    </row>
    <row r="2968" spans="2:9" s="346" customFormat="1" ht="21" customHeight="1">
      <c r="B2968" s="305"/>
      <c r="C2968" s="305" t="s">
        <v>1154</v>
      </c>
      <c r="D2968" s="234" t="s">
        <v>869</v>
      </c>
      <c r="E2968" s="307">
        <v>1.26</v>
      </c>
      <c r="F2968" s="307"/>
      <c r="G2968" s="232"/>
      <c r="H2968" s="233"/>
      <c r="I2968" s="301"/>
    </row>
    <row r="2969" spans="2:9" s="346" customFormat="1" ht="21" customHeight="1">
      <c r="B2969" s="305"/>
      <c r="C2969" s="305"/>
      <c r="D2969" s="234"/>
      <c r="E2969" s="306"/>
      <c r="F2969" s="306"/>
      <c r="G2969" s="232"/>
      <c r="H2969" s="232"/>
      <c r="I2969" s="301"/>
    </row>
    <row r="2970" spans="2:9" s="346" customFormat="1" ht="21" customHeight="1">
      <c r="B2970" s="305"/>
      <c r="C2970" s="305"/>
      <c r="D2970" s="234"/>
      <c r="E2970" s="306"/>
      <c r="F2970" s="306"/>
      <c r="G2970" s="308"/>
      <c r="H2970" s="233"/>
      <c r="I2970" s="301"/>
    </row>
    <row r="2971" spans="2:9" s="346" customFormat="1" ht="21" customHeight="1">
      <c r="B2971" s="305"/>
      <c r="C2971" s="305"/>
      <c r="D2971" s="234"/>
      <c r="E2971" s="306"/>
      <c r="F2971" s="306"/>
      <c r="G2971" s="308"/>
      <c r="H2971" s="233"/>
      <c r="I2971" s="301"/>
    </row>
    <row r="2972" spans="2:9" s="346" customFormat="1" ht="21" customHeight="1">
      <c r="B2972" s="305"/>
      <c r="C2972" s="305"/>
      <c r="D2972" s="234"/>
      <c r="E2972" s="306"/>
      <c r="F2972" s="306"/>
      <c r="G2972" s="308"/>
      <c r="H2972" s="233"/>
      <c r="I2972" s="301"/>
    </row>
    <row r="2973" spans="2:9" s="346" customFormat="1" ht="21" customHeight="1">
      <c r="B2973" s="312" t="s">
        <v>837</v>
      </c>
      <c r="C2973" s="305"/>
      <c r="D2973" s="234"/>
      <c r="E2973" s="307"/>
      <c r="F2973" s="307"/>
      <c r="G2973" s="232"/>
      <c r="H2973" s="233"/>
      <c r="I2973" s="301"/>
    </row>
    <row r="2974" spans="2:9" s="346" customFormat="1" ht="21" customHeight="1">
      <c r="B2974" s="305"/>
      <c r="C2974" s="305" t="s">
        <v>1154</v>
      </c>
      <c r="D2974" s="234" t="s">
        <v>869</v>
      </c>
      <c r="E2974" s="307">
        <v>3.7999999999999999E-2</v>
      </c>
      <c r="F2974" s="307"/>
      <c r="G2974" s="232"/>
      <c r="H2974" s="233"/>
      <c r="I2974" s="301"/>
    </row>
    <row r="2975" spans="2:9" s="346" customFormat="1" ht="21" customHeight="1">
      <c r="B2975" s="305"/>
      <c r="C2975" s="305"/>
      <c r="D2975" s="234"/>
      <c r="E2975" s="306"/>
      <c r="F2975" s="306"/>
      <c r="G2975" s="232"/>
      <c r="H2975" s="232"/>
      <c r="I2975" s="301"/>
    </row>
    <row r="2976" spans="2:9" s="346" customFormat="1" ht="21" customHeight="1">
      <c r="B2976" s="305"/>
      <c r="C2976" s="305"/>
      <c r="D2976" s="234"/>
      <c r="E2976" s="306"/>
      <c r="F2976" s="306"/>
      <c r="G2976" s="308"/>
      <c r="H2976" s="233"/>
      <c r="I2976" s="301"/>
    </row>
    <row r="2977" spans="2:9" s="346" customFormat="1" ht="21" customHeight="1">
      <c r="B2977" s="305"/>
      <c r="C2977" s="305"/>
      <c r="D2977" s="234"/>
      <c r="E2977" s="306"/>
      <c r="F2977" s="306"/>
      <c r="G2977" s="308"/>
      <c r="H2977" s="233"/>
      <c r="I2977" s="301"/>
    </row>
    <row r="2978" spans="2:9" s="346" customFormat="1" ht="21" customHeight="1">
      <c r="B2978" s="305"/>
      <c r="C2978" s="305"/>
      <c r="D2978" s="234"/>
      <c r="E2978" s="306"/>
      <c r="F2978" s="306"/>
      <c r="G2978" s="308"/>
      <c r="H2978" s="233"/>
      <c r="I2978" s="301"/>
    </row>
    <row r="2979" spans="2:9" s="346" customFormat="1" ht="21" customHeight="1">
      <c r="B2979" s="300" t="str">
        <f>'5. 공종별예산조서'!$A$219</f>
        <v>7-20. 스위치 신설</v>
      </c>
      <c r="C2979" s="300" t="str">
        <f>'5. 공종별예산조서'!$B$219</f>
        <v>250V, 단로 1구</v>
      </c>
      <c r="D2979" s="301" t="str">
        <f>'5. 공종별예산조서'!$C$219</f>
        <v>개</v>
      </c>
      <c r="E2979" s="309">
        <f>'5. 공종별예산조서'!$D$219</f>
        <v>2</v>
      </c>
      <c r="F2979" s="302"/>
      <c r="G2979" s="303"/>
      <c r="H2979" s="304"/>
      <c r="I2979" s="301"/>
    </row>
    <row r="2980" spans="2:9" s="346" customFormat="1" ht="21" customHeight="1">
      <c r="B2980" s="312" t="s">
        <v>834</v>
      </c>
      <c r="C2980" s="305"/>
      <c r="D2980" s="234"/>
      <c r="E2980" s="310"/>
      <c r="F2980" s="306"/>
      <c r="G2980" s="232"/>
      <c r="H2980" s="233"/>
      <c r="I2980" s="301"/>
    </row>
    <row r="2981" spans="2:9" s="346" customFormat="1" ht="21" customHeight="1">
      <c r="B2981" s="305" t="s">
        <v>1144</v>
      </c>
      <c r="C2981" s="305" t="str">
        <f>C2979</f>
        <v>250V, 단로 1구</v>
      </c>
      <c r="D2981" s="234" t="str">
        <f>D2979</f>
        <v>개</v>
      </c>
      <c r="E2981" s="311">
        <f>E2979</f>
        <v>2</v>
      </c>
      <c r="F2981" s="307"/>
      <c r="G2981" s="308"/>
      <c r="H2981" s="233"/>
      <c r="I2981" s="301"/>
    </row>
    <row r="2982" spans="2:9" s="346" customFormat="1" ht="21" customHeight="1">
      <c r="B2982" s="305"/>
      <c r="C2982" s="305"/>
      <c r="D2982" s="234"/>
      <c r="E2982" s="313"/>
      <c r="F2982" s="307"/>
      <c r="G2982" s="308"/>
      <c r="H2982" s="233"/>
      <c r="I2982" s="301"/>
    </row>
    <row r="2983" spans="2:9" s="346" customFormat="1" ht="21" customHeight="1">
      <c r="B2983" s="305"/>
      <c r="C2983" s="305"/>
      <c r="D2983" s="234"/>
      <c r="E2983" s="313"/>
      <c r="F2983" s="307"/>
      <c r="G2983" s="308"/>
      <c r="H2983" s="233"/>
      <c r="I2983" s="301"/>
    </row>
    <row r="2984" spans="2:9" s="346" customFormat="1" ht="21" customHeight="1">
      <c r="B2984" s="305"/>
      <c r="C2984" s="305"/>
      <c r="D2984" s="234"/>
      <c r="E2984" s="313"/>
      <c r="F2984" s="307"/>
      <c r="G2984" s="308"/>
      <c r="H2984" s="233"/>
      <c r="I2984" s="301"/>
    </row>
    <row r="2985" spans="2:9" s="346" customFormat="1" ht="21" customHeight="1">
      <c r="B2985" s="305"/>
      <c r="C2985" s="305"/>
      <c r="D2985" s="234"/>
      <c r="E2985" s="313"/>
      <c r="F2985" s="307"/>
      <c r="G2985" s="308"/>
      <c r="H2985" s="233"/>
      <c r="I2985" s="301"/>
    </row>
    <row r="2986" spans="2:9" s="346" customFormat="1" ht="21" customHeight="1">
      <c r="B2986" s="305"/>
      <c r="C2986" s="305"/>
      <c r="D2986" s="234"/>
      <c r="E2986" s="313"/>
      <c r="F2986" s="307"/>
      <c r="G2986" s="308"/>
      <c r="H2986" s="233"/>
      <c r="I2986" s="301"/>
    </row>
    <row r="2987" spans="2:9" s="346" customFormat="1" ht="21" customHeight="1">
      <c r="B2987" s="305"/>
      <c r="C2987" s="305"/>
      <c r="D2987" s="234"/>
      <c r="E2987" s="307"/>
      <c r="F2987" s="307"/>
      <c r="G2987" s="308"/>
      <c r="H2987" s="233"/>
      <c r="I2987" s="301"/>
    </row>
    <row r="2988" spans="2:9" s="346" customFormat="1" ht="21" customHeight="1">
      <c r="B2988" s="305"/>
      <c r="C2988" s="305"/>
      <c r="D2988" s="234"/>
      <c r="E2988" s="307"/>
      <c r="F2988" s="307"/>
      <c r="G2988" s="308"/>
      <c r="H2988" s="233"/>
      <c r="I2988" s="301"/>
    </row>
    <row r="2989" spans="2:9" s="346" customFormat="1" ht="21" customHeight="1">
      <c r="B2989" s="305"/>
      <c r="C2989" s="305"/>
      <c r="D2989" s="234"/>
      <c r="E2989" s="307"/>
      <c r="F2989" s="307"/>
      <c r="G2989" s="308"/>
      <c r="H2989" s="233"/>
      <c r="I2989" s="301"/>
    </row>
    <row r="2990" spans="2:9" s="346" customFormat="1" ht="21" customHeight="1">
      <c r="B2990" s="305"/>
      <c r="C2990" s="305"/>
      <c r="D2990" s="234"/>
      <c r="E2990" s="307"/>
      <c r="F2990" s="307"/>
      <c r="G2990" s="308"/>
      <c r="H2990" s="233"/>
      <c r="I2990" s="301"/>
    </row>
    <row r="2991" spans="2:9" s="346" customFormat="1" ht="21" customHeight="1">
      <c r="B2991" s="312" t="s">
        <v>835</v>
      </c>
      <c r="C2991" s="305"/>
      <c r="D2991" s="234"/>
      <c r="E2991" s="307"/>
      <c r="F2991" s="307"/>
      <c r="G2991" s="232"/>
      <c r="H2991" s="233"/>
      <c r="I2991" s="301"/>
    </row>
    <row r="2992" spans="2:9" s="346" customFormat="1" ht="21" customHeight="1">
      <c r="B2992" s="305"/>
      <c r="C2992" s="305" t="s">
        <v>1154</v>
      </c>
      <c r="D2992" s="234" t="s">
        <v>869</v>
      </c>
      <c r="E2992" s="307">
        <v>0.17</v>
      </c>
      <c r="F2992" s="307"/>
      <c r="G2992" s="232"/>
      <c r="H2992" s="233"/>
      <c r="I2992" s="301"/>
    </row>
    <row r="2993" spans="2:9" s="346" customFormat="1" ht="21" customHeight="1">
      <c r="B2993" s="305"/>
      <c r="C2993" s="305"/>
      <c r="D2993" s="234"/>
      <c r="E2993" s="306"/>
      <c r="F2993" s="306"/>
      <c r="G2993" s="232"/>
      <c r="H2993" s="232"/>
      <c r="I2993" s="301"/>
    </row>
    <row r="2994" spans="2:9" s="346" customFormat="1" ht="21" customHeight="1">
      <c r="B2994" s="305"/>
      <c r="C2994" s="305"/>
      <c r="D2994" s="234"/>
      <c r="E2994" s="306"/>
      <c r="F2994" s="306"/>
      <c r="G2994" s="308"/>
      <c r="H2994" s="233"/>
      <c r="I2994" s="301"/>
    </row>
    <row r="2995" spans="2:9" s="346" customFormat="1" ht="21" customHeight="1">
      <c r="B2995" s="305"/>
      <c r="C2995" s="305"/>
      <c r="D2995" s="234"/>
      <c r="E2995" s="306"/>
      <c r="F2995" s="306"/>
      <c r="G2995" s="308"/>
      <c r="H2995" s="233"/>
      <c r="I2995" s="301"/>
    </row>
    <row r="2996" spans="2:9" s="346" customFormat="1" ht="21" customHeight="1">
      <c r="B2996" s="305"/>
      <c r="C2996" s="305"/>
      <c r="D2996" s="234"/>
      <c r="E2996" s="306"/>
      <c r="F2996" s="306"/>
      <c r="G2996" s="308"/>
      <c r="H2996" s="233"/>
      <c r="I2996" s="301"/>
    </row>
    <row r="2997" spans="2:9" s="346" customFormat="1" ht="21" customHeight="1">
      <c r="B2997" s="312" t="s">
        <v>837</v>
      </c>
      <c r="C2997" s="305"/>
      <c r="D2997" s="234"/>
      <c r="E2997" s="307"/>
      <c r="F2997" s="307"/>
      <c r="G2997" s="232"/>
      <c r="H2997" s="233"/>
      <c r="I2997" s="301"/>
    </row>
    <row r="2998" spans="2:9" s="346" customFormat="1" ht="21" customHeight="1">
      <c r="B2998" s="305"/>
      <c r="C2998" s="305" t="s">
        <v>1154</v>
      </c>
      <c r="D2998" s="234" t="s">
        <v>869</v>
      </c>
      <c r="E2998" s="307">
        <v>5.0000000000000001E-3</v>
      </c>
      <c r="F2998" s="307"/>
      <c r="G2998" s="232"/>
      <c r="H2998" s="233"/>
      <c r="I2998" s="301"/>
    </row>
    <row r="2999" spans="2:9" s="346" customFormat="1" ht="21" customHeight="1">
      <c r="B2999" s="305"/>
      <c r="C2999" s="305"/>
      <c r="D2999" s="234"/>
      <c r="E2999" s="306"/>
      <c r="F2999" s="306"/>
      <c r="G2999" s="232"/>
      <c r="H2999" s="232"/>
      <c r="I2999" s="301"/>
    </row>
    <row r="3000" spans="2:9" s="346" customFormat="1" ht="21" customHeight="1">
      <c r="B3000" s="305"/>
      <c r="C3000" s="305"/>
      <c r="D3000" s="234"/>
      <c r="E3000" s="306"/>
      <c r="F3000" s="306"/>
      <c r="G3000" s="308"/>
      <c r="H3000" s="233"/>
      <c r="I3000" s="301"/>
    </row>
    <row r="3001" spans="2:9" s="346" customFormat="1" ht="21" customHeight="1">
      <c r="B3001" s="305"/>
      <c r="C3001" s="305"/>
      <c r="D3001" s="234"/>
      <c r="E3001" s="306"/>
      <c r="F3001" s="306"/>
      <c r="G3001" s="308"/>
      <c r="H3001" s="233"/>
      <c r="I3001" s="301"/>
    </row>
    <row r="3002" spans="2:9" s="346" customFormat="1" ht="21" customHeight="1">
      <c r="B3002" s="305"/>
      <c r="C3002" s="305"/>
      <c r="D3002" s="234"/>
      <c r="E3002" s="306"/>
      <c r="F3002" s="306"/>
      <c r="G3002" s="308"/>
      <c r="H3002" s="233"/>
      <c r="I3002" s="301"/>
    </row>
    <row r="3003" spans="2:9" s="346" customFormat="1" ht="21" customHeight="1">
      <c r="B3003" s="300" t="str">
        <f>'5. 공종별예산조서'!$A$220</f>
        <v>7-21. 스위치 신설</v>
      </c>
      <c r="C3003" s="300" t="str">
        <f>'5. 공종별예산조서'!$B$220</f>
        <v>250V, 단로 2구</v>
      </c>
      <c r="D3003" s="301" t="str">
        <f>'5. 공종별예산조서'!$C$220</f>
        <v>개</v>
      </c>
      <c r="E3003" s="309">
        <f>'5. 공종별예산조서'!$D$220</f>
        <v>2</v>
      </c>
      <c r="F3003" s="302"/>
      <c r="G3003" s="303"/>
      <c r="H3003" s="304"/>
      <c r="I3003" s="301"/>
    </row>
    <row r="3004" spans="2:9" s="346" customFormat="1" ht="21" customHeight="1">
      <c r="B3004" s="312" t="s">
        <v>834</v>
      </c>
      <c r="C3004" s="305"/>
      <c r="D3004" s="234"/>
      <c r="E3004" s="310"/>
      <c r="F3004" s="306"/>
      <c r="G3004" s="232"/>
      <c r="H3004" s="233"/>
      <c r="I3004" s="301"/>
    </row>
    <row r="3005" spans="2:9" s="346" customFormat="1" ht="21" customHeight="1">
      <c r="B3005" s="305" t="s">
        <v>1144</v>
      </c>
      <c r="C3005" s="305" t="str">
        <f>C3003</f>
        <v>250V, 단로 2구</v>
      </c>
      <c r="D3005" s="234" t="str">
        <f>D3003</f>
        <v>개</v>
      </c>
      <c r="E3005" s="311">
        <f>E3003</f>
        <v>2</v>
      </c>
      <c r="F3005" s="307"/>
      <c r="G3005" s="308"/>
      <c r="H3005" s="233"/>
      <c r="I3005" s="301"/>
    </row>
    <row r="3006" spans="2:9" s="346" customFormat="1" ht="21" customHeight="1">
      <c r="B3006" s="305"/>
      <c r="C3006" s="305"/>
      <c r="D3006" s="234"/>
      <c r="E3006" s="313"/>
      <c r="F3006" s="307"/>
      <c r="G3006" s="308"/>
      <c r="H3006" s="233"/>
      <c r="I3006" s="301"/>
    </row>
    <row r="3007" spans="2:9" s="346" customFormat="1" ht="21" customHeight="1">
      <c r="B3007" s="305"/>
      <c r="C3007" s="305"/>
      <c r="D3007" s="234"/>
      <c r="E3007" s="313"/>
      <c r="F3007" s="307"/>
      <c r="G3007" s="308"/>
      <c r="H3007" s="233"/>
      <c r="I3007" s="301"/>
    </row>
    <row r="3008" spans="2:9" s="346" customFormat="1" ht="21" customHeight="1">
      <c r="B3008" s="305"/>
      <c r="C3008" s="305"/>
      <c r="D3008" s="234"/>
      <c r="E3008" s="313"/>
      <c r="F3008" s="307"/>
      <c r="G3008" s="308"/>
      <c r="H3008" s="233"/>
      <c r="I3008" s="301"/>
    </row>
    <row r="3009" spans="2:9" s="346" customFormat="1" ht="21" customHeight="1">
      <c r="B3009" s="305"/>
      <c r="C3009" s="305"/>
      <c r="D3009" s="234"/>
      <c r="E3009" s="313"/>
      <c r="F3009" s="307"/>
      <c r="G3009" s="308"/>
      <c r="H3009" s="233"/>
      <c r="I3009" s="301"/>
    </row>
    <row r="3010" spans="2:9" s="346" customFormat="1" ht="21" customHeight="1">
      <c r="B3010" s="305"/>
      <c r="C3010" s="305"/>
      <c r="D3010" s="234"/>
      <c r="E3010" s="313"/>
      <c r="F3010" s="307"/>
      <c r="G3010" s="308"/>
      <c r="H3010" s="233"/>
      <c r="I3010" s="301"/>
    </row>
    <row r="3011" spans="2:9" s="346" customFormat="1" ht="21" customHeight="1">
      <c r="B3011" s="305"/>
      <c r="C3011" s="305"/>
      <c r="D3011" s="234"/>
      <c r="E3011" s="307"/>
      <c r="F3011" s="307"/>
      <c r="G3011" s="308"/>
      <c r="H3011" s="233"/>
      <c r="I3011" s="301"/>
    </row>
    <row r="3012" spans="2:9" s="346" customFormat="1" ht="21" customHeight="1">
      <c r="B3012" s="305"/>
      <c r="C3012" s="305"/>
      <c r="D3012" s="234"/>
      <c r="E3012" s="307"/>
      <c r="F3012" s="307"/>
      <c r="G3012" s="308"/>
      <c r="H3012" s="233"/>
      <c r="I3012" s="301"/>
    </row>
    <row r="3013" spans="2:9" s="346" customFormat="1" ht="21" customHeight="1">
      <c r="B3013" s="305"/>
      <c r="C3013" s="305"/>
      <c r="D3013" s="234"/>
      <c r="E3013" s="307"/>
      <c r="F3013" s="307"/>
      <c r="G3013" s="308"/>
      <c r="H3013" s="233"/>
      <c r="I3013" s="301"/>
    </row>
    <row r="3014" spans="2:9" s="346" customFormat="1" ht="21" customHeight="1">
      <c r="B3014" s="305"/>
      <c r="C3014" s="305"/>
      <c r="D3014" s="234"/>
      <c r="E3014" s="307"/>
      <c r="F3014" s="307"/>
      <c r="G3014" s="308"/>
      <c r="H3014" s="233"/>
      <c r="I3014" s="301"/>
    </row>
    <row r="3015" spans="2:9" s="346" customFormat="1" ht="21" customHeight="1">
      <c r="B3015" s="312" t="s">
        <v>835</v>
      </c>
      <c r="C3015" s="305"/>
      <c r="D3015" s="234"/>
      <c r="E3015" s="307"/>
      <c r="F3015" s="307"/>
      <c r="G3015" s="232"/>
      <c r="H3015" s="233"/>
      <c r="I3015" s="301"/>
    </row>
    <row r="3016" spans="2:9" s="346" customFormat="1" ht="21" customHeight="1">
      <c r="B3016" s="305"/>
      <c r="C3016" s="305" t="s">
        <v>1154</v>
      </c>
      <c r="D3016" s="234" t="s">
        <v>869</v>
      </c>
      <c r="E3016" s="307">
        <v>0.17</v>
      </c>
      <c r="F3016" s="307"/>
      <c r="G3016" s="232"/>
      <c r="H3016" s="233"/>
      <c r="I3016" s="301"/>
    </row>
    <row r="3017" spans="2:9" s="346" customFormat="1" ht="21" customHeight="1">
      <c r="B3017" s="305"/>
      <c r="C3017" s="305"/>
      <c r="D3017" s="234"/>
      <c r="E3017" s="306"/>
      <c r="F3017" s="306"/>
      <c r="G3017" s="232"/>
      <c r="H3017" s="232"/>
      <c r="I3017" s="301"/>
    </row>
    <row r="3018" spans="2:9" s="346" customFormat="1" ht="21" customHeight="1">
      <c r="B3018" s="305"/>
      <c r="C3018" s="305"/>
      <c r="D3018" s="234"/>
      <c r="E3018" s="306"/>
      <c r="F3018" s="306"/>
      <c r="G3018" s="308"/>
      <c r="H3018" s="233"/>
      <c r="I3018" s="301"/>
    </row>
    <row r="3019" spans="2:9" s="346" customFormat="1" ht="21" customHeight="1">
      <c r="B3019" s="305"/>
      <c r="C3019" s="305"/>
      <c r="D3019" s="234"/>
      <c r="E3019" s="306"/>
      <c r="F3019" s="306"/>
      <c r="G3019" s="308"/>
      <c r="H3019" s="233"/>
      <c r="I3019" s="301"/>
    </row>
    <row r="3020" spans="2:9" s="346" customFormat="1" ht="21" customHeight="1">
      <c r="B3020" s="305"/>
      <c r="C3020" s="305"/>
      <c r="D3020" s="234"/>
      <c r="E3020" s="306"/>
      <c r="F3020" s="306"/>
      <c r="G3020" s="308"/>
      <c r="H3020" s="233"/>
      <c r="I3020" s="301"/>
    </row>
    <row r="3021" spans="2:9" s="346" customFormat="1" ht="21" customHeight="1">
      <c r="B3021" s="312" t="s">
        <v>837</v>
      </c>
      <c r="C3021" s="305"/>
      <c r="D3021" s="234"/>
      <c r="E3021" s="307"/>
      <c r="F3021" s="307"/>
      <c r="G3021" s="232"/>
      <c r="H3021" s="233"/>
      <c r="I3021" s="301"/>
    </row>
    <row r="3022" spans="2:9" s="346" customFormat="1" ht="21" customHeight="1">
      <c r="B3022" s="305"/>
      <c r="C3022" s="305" t="s">
        <v>1154</v>
      </c>
      <c r="D3022" s="234" t="s">
        <v>869</v>
      </c>
      <c r="E3022" s="307">
        <v>5.0000000000000001E-3</v>
      </c>
      <c r="F3022" s="307"/>
      <c r="G3022" s="232"/>
      <c r="H3022" s="233"/>
      <c r="I3022" s="301"/>
    </row>
    <row r="3023" spans="2:9" s="346" customFormat="1" ht="21" customHeight="1">
      <c r="B3023" s="305"/>
      <c r="C3023" s="305"/>
      <c r="D3023" s="234"/>
      <c r="E3023" s="306"/>
      <c r="F3023" s="306"/>
      <c r="G3023" s="232"/>
      <c r="H3023" s="232"/>
      <c r="I3023" s="301"/>
    </row>
    <row r="3024" spans="2:9" s="346" customFormat="1" ht="21" customHeight="1">
      <c r="B3024" s="305"/>
      <c r="C3024" s="305"/>
      <c r="D3024" s="234"/>
      <c r="E3024" s="306"/>
      <c r="F3024" s="306"/>
      <c r="G3024" s="308"/>
      <c r="H3024" s="233"/>
      <c r="I3024" s="301"/>
    </row>
    <row r="3025" spans="2:9" s="346" customFormat="1" ht="21" customHeight="1">
      <c r="B3025" s="305"/>
      <c r="C3025" s="305"/>
      <c r="D3025" s="234"/>
      <c r="E3025" s="306"/>
      <c r="F3025" s="306"/>
      <c r="G3025" s="308"/>
      <c r="H3025" s="233"/>
      <c r="I3025" s="301"/>
    </row>
    <row r="3026" spans="2:9" s="346" customFormat="1" ht="21" customHeight="1">
      <c r="B3026" s="305"/>
      <c r="C3026" s="305"/>
      <c r="D3026" s="234"/>
      <c r="E3026" s="306"/>
      <c r="F3026" s="306"/>
      <c r="G3026" s="308"/>
      <c r="H3026" s="233"/>
      <c r="I3026" s="301"/>
    </row>
    <row r="3027" spans="2:9" s="346" customFormat="1" ht="21" customHeight="1">
      <c r="B3027" s="300" t="str">
        <f>'5. 공종별예산조서'!$A$221</f>
        <v>7-22. 스위치 신설</v>
      </c>
      <c r="C3027" s="300" t="str">
        <f>'5. 공종별예산조서'!$B$221</f>
        <v>250V, 단로 3구</v>
      </c>
      <c r="D3027" s="301" t="str">
        <f>'5. 공종별예산조서'!$C$221</f>
        <v>개</v>
      </c>
      <c r="E3027" s="309">
        <f>'5. 공종별예산조서'!$D$221</f>
        <v>1</v>
      </c>
      <c r="F3027" s="302"/>
      <c r="G3027" s="303"/>
      <c r="H3027" s="304"/>
      <c r="I3027" s="301"/>
    </row>
    <row r="3028" spans="2:9" s="346" customFormat="1" ht="21" customHeight="1">
      <c r="B3028" s="312" t="s">
        <v>834</v>
      </c>
      <c r="C3028" s="305"/>
      <c r="D3028" s="234"/>
      <c r="E3028" s="310"/>
      <c r="F3028" s="306"/>
      <c r="G3028" s="232"/>
      <c r="H3028" s="233"/>
      <c r="I3028" s="301"/>
    </row>
    <row r="3029" spans="2:9" s="346" customFormat="1" ht="21" customHeight="1">
      <c r="B3029" s="305" t="s">
        <v>1144</v>
      </c>
      <c r="C3029" s="305" t="str">
        <f>C3027</f>
        <v>250V, 단로 3구</v>
      </c>
      <c r="D3029" s="234" t="str">
        <f>D3027</f>
        <v>개</v>
      </c>
      <c r="E3029" s="311">
        <f>E3027</f>
        <v>1</v>
      </c>
      <c r="F3029" s="307"/>
      <c r="G3029" s="308"/>
      <c r="H3029" s="233"/>
      <c r="I3029" s="301"/>
    </row>
    <row r="3030" spans="2:9" s="346" customFormat="1" ht="21" customHeight="1">
      <c r="B3030" s="305"/>
      <c r="C3030" s="305"/>
      <c r="D3030" s="234"/>
      <c r="E3030" s="313"/>
      <c r="F3030" s="307"/>
      <c r="G3030" s="308"/>
      <c r="H3030" s="233"/>
      <c r="I3030" s="301"/>
    </row>
    <row r="3031" spans="2:9" s="346" customFormat="1" ht="21" customHeight="1">
      <c r="B3031" s="305"/>
      <c r="C3031" s="305"/>
      <c r="D3031" s="234"/>
      <c r="E3031" s="313"/>
      <c r="F3031" s="307"/>
      <c r="G3031" s="308"/>
      <c r="H3031" s="233"/>
      <c r="I3031" s="301"/>
    </row>
    <row r="3032" spans="2:9" s="346" customFormat="1" ht="21" customHeight="1">
      <c r="B3032" s="305"/>
      <c r="C3032" s="305"/>
      <c r="D3032" s="234"/>
      <c r="E3032" s="313"/>
      <c r="F3032" s="307"/>
      <c r="G3032" s="308"/>
      <c r="H3032" s="233"/>
      <c r="I3032" s="301"/>
    </row>
    <row r="3033" spans="2:9" s="346" customFormat="1" ht="21" customHeight="1">
      <c r="B3033" s="305"/>
      <c r="C3033" s="305"/>
      <c r="D3033" s="234"/>
      <c r="E3033" s="313"/>
      <c r="F3033" s="307"/>
      <c r="G3033" s="308"/>
      <c r="H3033" s="233"/>
      <c r="I3033" s="301"/>
    </row>
    <row r="3034" spans="2:9" s="346" customFormat="1" ht="21" customHeight="1">
      <c r="B3034" s="305"/>
      <c r="C3034" s="305"/>
      <c r="D3034" s="234"/>
      <c r="E3034" s="313"/>
      <c r="F3034" s="307"/>
      <c r="G3034" s="308"/>
      <c r="H3034" s="233"/>
      <c r="I3034" s="301"/>
    </row>
    <row r="3035" spans="2:9" s="346" customFormat="1" ht="21" customHeight="1">
      <c r="B3035" s="305"/>
      <c r="C3035" s="305"/>
      <c r="D3035" s="234"/>
      <c r="E3035" s="307"/>
      <c r="F3035" s="307"/>
      <c r="G3035" s="308"/>
      <c r="H3035" s="233"/>
      <c r="I3035" s="301"/>
    </row>
    <row r="3036" spans="2:9" s="346" customFormat="1" ht="21" customHeight="1">
      <c r="B3036" s="305"/>
      <c r="C3036" s="305"/>
      <c r="D3036" s="234"/>
      <c r="E3036" s="307"/>
      <c r="F3036" s="307"/>
      <c r="G3036" s="308"/>
      <c r="H3036" s="233"/>
      <c r="I3036" s="301"/>
    </row>
    <row r="3037" spans="2:9" s="346" customFormat="1" ht="21" customHeight="1">
      <c r="B3037" s="305"/>
      <c r="C3037" s="305"/>
      <c r="D3037" s="234"/>
      <c r="E3037" s="307"/>
      <c r="F3037" s="307"/>
      <c r="G3037" s="308"/>
      <c r="H3037" s="233"/>
      <c r="I3037" s="301"/>
    </row>
    <row r="3038" spans="2:9" s="346" customFormat="1" ht="21" customHeight="1">
      <c r="B3038" s="305"/>
      <c r="C3038" s="305"/>
      <c r="D3038" s="234"/>
      <c r="E3038" s="307"/>
      <c r="F3038" s="307"/>
      <c r="G3038" s="308"/>
      <c r="H3038" s="233"/>
      <c r="I3038" s="301"/>
    </row>
    <row r="3039" spans="2:9" s="346" customFormat="1" ht="21" customHeight="1">
      <c r="B3039" s="312" t="s">
        <v>835</v>
      </c>
      <c r="C3039" s="305"/>
      <c r="D3039" s="234"/>
      <c r="E3039" s="307"/>
      <c r="F3039" s="307"/>
      <c r="G3039" s="232"/>
      <c r="H3039" s="233"/>
      <c r="I3039" s="301"/>
    </row>
    <row r="3040" spans="2:9" s="346" customFormat="1" ht="21" customHeight="1">
      <c r="B3040" s="305"/>
      <c r="C3040" s="305" t="s">
        <v>1154</v>
      </c>
      <c r="D3040" s="234" t="s">
        <v>869</v>
      </c>
      <c r="E3040" s="307">
        <v>8.5000000000000006E-2</v>
      </c>
      <c r="F3040" s="307"/>
      <c r="G3040" s="232"/>
      <c r="H3040" s="233"/>
      <c r="I3040" s="301"/>
    </row>
    <row r="3041" spans="2:9" s="346" customFormat="1" ht="21" customHeight="1">
      <c r="B3041" s="305"/>
      <c r="C3041" s="305"/>
      <c r="D3041" s="234"/>
      <c r="E3041" s="306"/>
      <c r="F3041" s="306"/>
      <c r="G3041" s="232"/>
      <c r="H3041" s="232"/>
      <c r="I3041" s="301"/>
    </row>
    <row r="3042" spans="2:9" s="346" customFormat="1" ht="21" customHeight="1">
      <c r="B3042" s="305"/>
      <c r="C3042" s="305"/>
      <c r="D3042" s="234"/>
      <c r="E3042" s="306"/>
      <c r="F3042" s="306"/>
      <c r="G3042" s="308"/>
      <c r="H3042" s="233"/>
      <c r="I3042" s="301"/>
    </row>
    <row r="3043" spans="2:9" s="346" customFormat="1" ht="21" customHeight="1">
      <c r="B3043" s="305"/>
      <c r="C3043" s="305"/>
      <c r="D3043" s="234"/>
      <c r="E3043" s="306"/>
      <c r="F3043" s="306"/>
      <c r="G3043" s="308"/>
      <c r="H3043" s="233"/>
      <c r="I3043" s="301"/>
    </row>
    <row r="3044" spans="2:9" s="346" customFormat="1" ht="21" customHeight="1">
      <c r="B3044" s="305"/>
      <c r="C3044" s="305"/>
      <c r="D3044" s="234"/>
      <c r="E3044" s="306"/>
      <c r="F3044" s="306"/>
      <c r="G3044" s="308"/>
      <c r="H3044" s="233"/>
      <c r="I3044" s="301"/>
    </row>
    <row r="3045" spans="2:9" s="346" customFormat="1" ht="21" customHeight="1">
      <c r="B3045" s="312" t="s">
        <v>837</v>
      </c>
      <c r="C3045" s="305"/>
      <c r="D3045" s="234"/>
      <c r="E3045" s="307"/>
      <c r="F3045" s="307"/>
      <c r="G3045" s="232"/>
      <c r="H3045" s="233"/>
      <c r="I3045" s="301"/>
    </row>
    <row r="3046" spans="2:9" s="346" customFormat="1" ht="21" customHeight="1">
      <c r="B3046" s="305"/>
      <c r="C3046" s="305" t="s">
        <v>1154</v>
      </c>
      <c r="D3046" s="234" t="s">
        <v>869</v>
      </c>
      <c r="E3046" s="307">
        <v>3.0000000000000001E-3</v>
      </c>
      <c r="F3046" s="307"/>
      <c r="G3046" s="232"/>
      <c r="H3046" s="233"/>
      <c r="I3046" s="301"/>
    </row>
    <row r="3047" spans="2:9" s="346" customFormat="1" ht="21" customHeight="1">
      <c r="B3047" s="305"/>
      <c r="C3047" s="305"/>
      <c r="D3047" s="234"/>
      <c r="E3047" s="306"/>
      <c r="F3047" s="306"/>
      <c r="G3047" s="232"/>
      <c r="H3047" s="232"/>
      <c r="I3047" s="301"/>
    </row>
    <row r="3048" spans="2:9" s="346" customFormat="1" ht="21" customHeight="1">
      <c r="B3048" s="305"/>
      <c r="C3048" s="305"/>
      <c r="D3048" s="234"/>
      <c r="E3048" s="306"/>
      <c r="F3048" s="306"/>
      <c r="G3048" s="308"/>
      <c r="H3048" s="233"/>
      <c r="I3048" s="301"/>
    </row>
    <row r="3049" spans="2:9" s="346" customFormat="1" ht="21" customHeight="1">
      <c r="B3049" s="305"/>
      <c r="C3049" s="305"/>
      <c r="D3049" s="234"/>
      <c r="E3049" s="306"/>
      <c r="F3049" s="306"/>
      <c r="G3049" s="308"/>
      <c r="H3049" s="233"/>
      <c r="I3049" s="301"/>
    </row>
    <row r="3050" spans="2:9" s="346" customFormat="1" ht="21" customHeight="1">
      <c r="B3050" s="305"/>
      <c r="C3050" s="305"/>
      <c r="D3050" s="234"/>
      <c r="E3050" s="306"/>
      <c r="F3050" s="306"/>
      <c r="G3050" s="308"/>
      <c r="H3050" s="233"/>
      <c r="I3050" s="301"/>
    </row>
  </sheetData>
  <mergeCells count="2">
    <mergeCell ref="B1:I1"/>
    <mergeCell ref="E2:F2"/>
  </mergeCells>
  <phoneticPr fontId="2" type="noConversion"/>
  <printOptions horizontalCentered="1" verticalCentered="1"/>
  <pageMargins left="0.9055118110236221" right="0.62992125984251968" top="0.55118110236220474" bottom="0.31496062992125984" header="0.51181102362204722" footer="0.15748031496062992"/>
  <pageSetup paperSize="9" scale="95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이름이 지정된 범위</vt:lpstr>
      </vt:variant>
      <vt:variant>
        <vt:i4>35</vt:i4>
      </vt:variant>
    </vt:vector>
  </HeadingPairs>
  <TitlesOfParts>
    <vt:vector size="64" baseType="lpstr">
      <vt:lpstr>0. 설계서</vt:lpstr>
      <vt:lpstr>1. 설계설명서(총제)</vt:lpstr>
      <vt:lpstr>1-1. 설계설명서(1차)</vt:lpstr>
      <vt:lpstr>1-1. 설계설명서(2차)</vt:lpstr>
      <vt:lpstr>1-1. 설계설명서(3차)</vt:lpstr>
      <vt:lpstr>1-1. 설계설명서(4차)</vt:lpstr>
      <vt:lpstr>2. 시방서 </vt:lpstr>
      <vt:lpstr>3. 예정공정표</vt:lpstr>
      <vt:lpstr>3-1. 예정공정표(1차)</vt:lpstr>
      <vt:lpstr>3-2. 예정공정표(2차)</vt:lpstr>
      <vt:lpstr>3-3. 예정공정표(3차)</vt:lpstr>
      <vt:lpstr>3-4. 예정공정표(4차)</vt:lpstr>
      <vt:lpstr>4. 예산내역서</vt:lpstr>
      <vt:lpstr>4-1. 예산내역서(1차)</vt:lpstr>
      <vt:lpstr>4-2. 예산내역서(2차)</vt:lpstr>
      <vt:lpstr>4-3. 예산내역서(3차)</vt:lpstr>
      <vt:lpstr>4-4. 예산내역서(4차)</vt:lpstr>
      <vt:lpstr>5. 공종별예산조서</vt:lpstr>
      <vt:lpstr>5-1. 공종별예산조서(1차)</vt:lpstr>
      <vt:lpstr>5-2. 공종별예산조서(2차)</vt:lpstr>
      <vt:lpstr>5-3. 공종별예산조서(3차)</vt:lpstr>
      <vt:lpstr>5-3. 공종별예산조서(4차)</vt:lpstr>
      <vt:lpstr>7. 내역서(지급자재)</vt:lpstr>
      <vt:lpstr>7. 철거발생품 예정조서</vt:lpstr>
      <vt:lpstr>8-1. 철거발생품 예정조서(1차)</vt:lpstr>
      <vt:lpstr>8-2. 철거발생품 예정조서(2차)</vt:lpstr>
      <vt:lpstr>8-3. 철거발생품 예정조서(3차)</vt:lpstr>
      <vt:lpstr>8-4. 철거발생품 예정조서(4차)</vt:lpstr>
      <vt:lpstr>8. 일위대가표</vt:lpstr>
      <vt:lpstr>'0. 설계서'!Print_Area</vt:lpstr>
      <vt:lpstr>'1. 설계설명서(총제)'!Print_Area</vt:lpstr>
      <vt:lpstr>'1-1. 설계설명서(1차)'!Print_Area</vt:lpstr>
      <vt:lpstr>'1-1. 설계설명서(2차)'!Print_Area</vt:lpstr>
      <vt:lpstr>'1-1. 설계설명서(3차)'!Print_Area</vt:lpstr>
      <vt:lpstr>'1-1. 설계설명서(4차)'!Print_Area</vt:lpstr>
      <vt:lpstr>'2. 시방서 '!Print_Area</vt:lpstr>
      <vt:lpstr>'3. 예정공정표'!Print_Area</vt:lpstr>
      <vt:lpstr>'3-1. 예정공정표(1차)'!Print_Area</vt:lpstr>
      <vt:lpstr>'3-2. 예정공정표(2차)'!Print_Area</vt:lpstr>
      <vt:lpstr>'3-3. 예정공정표(3차)'!Print_Area</vt:lpstr>
      <vt:lpstr>'3-4. 예정공정표(4차)'!Print_Area</vt:lpstr>
      <vt:lpstr>'4. 예산내역서'!Print_Area</vt:lpstr>
      <vt:lpstr>'4-1. 예산내역서(1차)'!Print_Area</vt:lpstr>
      <vt:lpstr>'4-2. 예산내역서(2차)'!Print_Area</vt:lpstr>
      <vt:lpstr>'4-3. 예산내역서(3차)'!Print_Area</vt:lpstr>
      <vt:lpstr>'4-4. 예산내역서(4차)'!Print_Area</vt:lpstr>
      <vt:lpstr>'5. 공종별예산조서'!Print_Area</vt:lpstr>
      <vt:lpstr>'5-1. 공종별예산조서(1차)'!Print_Area</vt:lpstr>
      <vt:lpstr>'5-2. 공종별예산조서(2차)'!Print_Area</vt:lpstr>
      <vt:lpstr>'5-3. 공종별예산조서(3차)'!Print_Area</vt:lpstr>
      <vt:lpstr>'5-3. 공종별예산조서(4차)'!Print_Area</vt:lpstr>
      <vt:lpstr>'7. 내역서(지급자재)'!Print_Area</vt:lpstr>
      <vt:lpstr>'7. 철거발생품 예정조서'!Print_Area</vt:lpstr>
      <vt:lpstr>'8. 일위대가표'!Print_Area</vt:lpstr>
      <vt:lpstr>'8-1. 철거발생품 예정조서(1차)'!Print_Area</vt:lpstr>
      <vt:lpstr>'8-2. 철거발생품 예정조서(2차)'!Print_Area</vt:lpstr>
      <vt:lpstr>'8-3. 철거발생품 예정조서(3차)'!Print_Area</vt:lpstr>
      <vt:lpstr>'8-4. 철거발생품 예정조서(4차)'!Print_Area</vt:lpstr>
      <vt:lpstr>'5. 공종별예산조서'!Print_Titles</vt:lpstr>
      <vt:lpstr>'5-1. 공종별예산조서(1차)'!Print_Titles</vt:lpstr>
      <vt:lpstr>'5-2. 공종별예산조서(2차)'!Print_Titles</vt:lpstr>
      <vt:lpstr>'5-3. 공종별예산조서(3차)'!Print_Titles</vt:lpstr>
      <vt:lpstr>'5-3. 공종별예산조서(4차)'!Print_Titles</vt:lpstr>
      <vt:lpstr>'8. 일위대가표'!Print_Titles</vt:lpstr>
    </vt:vector>
  </TitlesOfParts>
  <Company>부산전기분소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전기분소</dc:creator>
  <cp:lastModifiedBy>KORAIL</cp:lastModifiedBy>
  <cp:lastPrinted>2024-02-23T08:55:54Z</cp:lastPrinted>
  <dcterms:created xsi:type="dcterms:W3CDTF">2001-05-29T13:01:00Z</dcterms:created>
  <dcterms:modified xsi:type="dcterms:W3CDTF">2024-04-18T09:42:17Z</dcterms:modified>
</cp:coreProperties>
</file>