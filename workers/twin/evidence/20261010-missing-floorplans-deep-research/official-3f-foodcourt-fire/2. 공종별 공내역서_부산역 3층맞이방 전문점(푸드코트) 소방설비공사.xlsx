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마케팅계획처\프로젝트\소방시설공사\20181218 부산역 3층 식당 소방공사 설계도서\"/>
    </mc:Choice>
  </mc:AlternateContent>
  <bookViews>
    <workbookView xWindow="6375" yWindow="0" windowWidth="15135" windowHeight="12270" tabRatio="783" firstSheet="5" activeTab="5"/>
  </bookViews>
  <sheets>
    <sheet name="01-원가계산서- x" sheetId="100" state="hidden" r:id="rId1"/>
    <sheet name="설계예산서" sheetId="28" state="hidden" r:id="rId2"/>
    <sheet name="공사원가계산서" sheetId="79" state="hidden" r:id="rId3"/>
    <sheet name="집계표-x" sheetId="98" state="hidden" r:id="rId4"/>
    <sheet name="설계예산서 " sheetId="110" r:id="rId5"/>
    <sheet name="공사 원가계산서" sheetId="111" r:id="rId6"/>
    <sheet name="내역서집계(전기+기계)" sheetId="112" r:id="rId7"/>
    <sheet name="내역 집계(전기)" sheetId="27" r:id="rId8"/>
    <sheet name="내역 집계(기계)" sheetId="102" r:id="rId9"/>
    <sheet name="내역서" sheetId="2" r:id="rId10"/>
    <sheet name="01-기계소방내역" sheetId="103" r:id="rId11"/>
    <sheet name="노임단가" sheetId="10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" localSheetId="0">#REF!</definedName>
    <definedName name="_" localSheetId="6" hidden="1">#REF!</definedName>
    <definedName name="_" hidden="1">#REF!</definedName>
    <definedName name="_?" localSheetId="6">#REF!</definedName>
    <definedName name="_?">#REF!</definedName>
    <definedName name="__" localSheetId="6">#REF!</definedName>
    <definedName name="__">#REF!</definedName>
    <definedName name="___" localSheetId="6">#REF!</definedName>
    <definedName name="___">#REF!</definedName>
    <definedName name="____" localSheetId="6">#REF!</definedName>
    <definedName name="____">#REF!</definedName>
    <definedName name="_____" localSheetId="6">#REF!</definedName>
    <definedName name="_____">#REF!</definedName>
    <definedName name="______" localSheetId="6">#REF!</definedName>
    <definedName name="______">#REF!</definedName>
    <definedName name="_______" localSheetId="6">#REF!</definedName>
    <definedName name="_______">#REF!</definedName>
    <definedName name="__________" localSheetId="6">#REF!</definedName>
    <definedName name="__________">#REF!</definedName>
    <definedName name="_____________0" localSheetId="6">#REF!</definedName>
    <definedName name="_____________0">#REF!</definedName>
    <definedName name="_____________11" localSheetId="6">#REF!</definedName>
    <definedName name="_____________11">#REF!</definedName>
    <definedName name="_____________12" localSheetId="6">#REF!</definedName>
    <definedName name="_____________12">#REF!</definedName>
    <definedName name="__________0" localSheetId="6">#REF!</definedName>
    <definedName name="__________0">#REF!</definedName>
    <definedName name="__________11" localSheetId="6">#REF!</definedName>
    <definedName name="__________11">#REF!</definedName>
    <definedName name="__________12" localSheetId="6">#REF!</definedName>
    <definedName name="__________12">#REF!</definedName>
    <definedName name="_________0" localSheetId="6">#REF!</definedName>
    <definedName name="_________0">#REF!</definedName>
    <definedName name="_________10" localSheetId="6">#REF!</definedName>
    <definedName name="_________10">#REF!</definedName>
    <definedName name="_________11" localSheetId="6">#REF!</definedName>
    <definedName name="_________11">#REF!</definedName>
    <definedName name="_________12" localSheetId="6">#REF!</definedName>
    <definedName name="_________12">#REF!</definedName>
    <definedName name="________0" localSheetId="6">#REF!</definedName>
    <definedName name="________0">#REF!</definedName>
    <definedName name="________10" localSheetId="6">#REF!</definedName>
    <definedName name="________10">#REF!</definedName>
    <definedName name="________11" localSheetId="6">#REF!</definedName>
    <definedName name="________11">#REF!</definedName>
    <definedName name="________12" localSheetId="6">#REF!</definedName>
    <definedName name="________12">#REF!</definedName>
    <definedName name="_______0" localSheetId="6">#REF!</definedName>
    <definedName name="_______0">#REF!</definedName>
    <definedName name="______0" localSheetId="6">#REF!</definedName>
    <definedName name="______0">#REF!</definedName>
    <definedName name="______11" localSheetId="6">#REF!</definedName>
    <definedName name="______11">#REF!</definedName>
    <definedName name="______12" localSheetId="6">#REF!</definedName>
    <definedName name="______12">#REF!</definedName>
    <definedName name="_____0" localSheetId="6">#REF!</definedName>
    <definedName name="_____0">#REF!</definedName>
    <definedName name="_____10" localSheetId="6">#REF!</definedName>
    <definedName name="_____10">#REF!</definedName>
    <definedName name="_____11" localSheetId="6">#REF!</definedName>
    <definedName name="_____11">#REF!</definedName>
    <definedName name="_____12" localSheetId="6">#REF!</definedName>
    <definedName name="_____12">#REF!</definedName>
    <definedName name="____0" localSheetId="6">#REF!</definedName>
    <definedName name="____0">#REF!</definedName>
    <definedName name="____1" localSheetId="6">#REF!</definedName>
    <definedName name="____1">#REF!</definedName>
    <definedName name="____10" localSheetId="6">#REF!</definedName>
    <definedName name="____10">#REF!</definedName>
    <definedName name="____11" localSheetId="6">#REF!</definedName>
    <definedName name="____11">#REF!</definedName>
    <definedName name="____12" localSheetId="6">#REF!</definedName>
    <definedName name="____12">#REF!</definedName>
    <definedName name="____2" localSheetId="6">#REF!</definedName>
    <definedName name="____2">#REF!</definedName>
    <definedName name="____3" localSheetId="6">#REF!</definedName>
    <definedName name="____3">#REF!</definedName>
    <definedName name="____4" localSheetId="6">#REF!</definedName>
    <definedName name="____4">#REF!</definedName>
    <definedName name="____5" localSheetId="6">#REF!</definedName>
    <definedName name="____5">#REF!</definedName>
    <definedName name="____7" localSheetId="6">#REF!</definedName>
    <definedName name="____7">#REF!</definedName>
    <definedName name="____8" localSheetId="6">#REF!</definedName>
    <definedName name="____8">#REF!</definedName>
    <definedName name="____9" localSheetId="6">#REF!</definedName>
    <definedName name="____9">#REF!</definedName>
    <definedName name="_2F" localSheetId="6" hidden="1">#REF!</definedName>
    <definedName name="_2F" hidden="1">#REF!</definedName>
    <definedName name="_3">#N/A</definedName>
    <definedName name="_4_0_0_F" localSheetId="6" hidden="1">#REF!</definedName>
    <definedName name="_4_0_0_F" hidden="1">#REF!</definedName>
    <definedName name="_415" localSheetId="6">#REF!</definedName>
    <definedName name="_415">#REF!</definedName>
    <definedName name="_415___0" localSheetId="6">#REF!</definedName>
    <definedName name="_415___0">#REF!</definedName>
    <definedName name="_415___10" localSheetId="6">#REF!</definedName>
    <definedName name="_415___10">#REF!</definedName>
    <definedName name="_415___12" localSheetId="6">#REF!</definedName>
    <definedName name="_415___12">#REF!</definedName>
    <definedName name="_415___2" localSheetId="6">#REF!</definedName>
    <definedName name="_415___2">#REF!</definedName>
    <definedName name="_415___3" localSheetId="6">#REF!</definedName>
    <definedName name="_415___3">#REF!</definedName>
    <definedName name="_415___4" localSheetId="6">#REF!</definedName>
    <definedName name="_415___4">#REF!</definedName>
    <definedName name="_415___5" localSheetId="6">#REF!</definedName>
    <definedName name="_415___5">#REF!</definedName>
    <definedName name="_415___7" localSheetId="6">#REF!</definedName>
    <definedName name="_415___7">#REF!</definedName>
    <definedName name="_415___8" localSheetId="6">#REF!</definedName>
    <definedName name="_415___8">#REF!</definedName>
    <definedName name="_415___9" localSheetId="6">#REF!</definedName>
    <definedName name="_415___9">#REF!</definedName>
    <definedName name="_461" localSheetId="6">#REF!</definedName>
    <definedName name="_461">#REF!</definedName>
    <definedName name="_461___0" localSheetId="6">#REF!</definedName>
    <definedName name="_461___0">#REF!</definedName>
    <definedName name="_461___10" localSheetId="6">#REF!</definedName>
    <definedName name="_461___10">#REF!</definedName>
    <definedName name="_461___12" localSheetId="6">#REF!</definedName>
    <definedName name="_461___12">#REF!</definedName>
    <definedName name="_461___2" localSheetId="6">#REF!</definedName>
    <definedName name="_461___2">#REF!</definedName>
    <definedName name="_461___3" localSheetId="6">#REF!</definedName>
    <definedName name="_461___3">#REF!</definedName>
    <definedName name="_461___4" localSheetId="6">#REF!</definedName>
    <definedName name="_461___4">#REF!</definedName>
    <definedName name="_461___5" localSheetId="6">#REF!</definedName>
    <definedName name="_461___5">#REF!</definedName>
    <definedName name="_461___7" localSheetId="6">#REF!</definedName>
    <definedName name="_461___7">#REF!</definedName>
    <definedName name="_461___8" localSheetId="6">#REF!</definedName>
    <definedName name="_461___8">#REF!</definedName>
    <definedName name="_461___9" localSheetId="6">#REF!</definedName>
    <definedName name="_461___9">#REF!</definedName>
    <definedName name="_a">#N/A</definedName>
    <definedName name="_A1" localSheetId="6">#REF!</definedName>
    <definedName name="_A1">#REF!</definedName>
    <definedName name="_a2" localSheetId="6">#REF!</definedName>
    <definedName name="_a2">#REF!</definedName>
    <definedName name="_a3" localSheetId="6">#REF!</definedName>
    <definedName name="_a3">#REF!</definedName>
    <definedName name="_aa1" localSheetId="6">#REF!</definedName>
    <definedName name="_aa1">#REF!</definedName>
    <definedName name="_aaa1" localSheetId="6">#REF!</definedName>
    <definedName name="_aaa1">#REF!</definedName>
    <definedName name="_B1" localSheetId="6">#REF!</definedName>
    <definedName name="_B1">#REF!</definedName>
    <definedName name="_C" localSheetId="6">#REF!</definedName>
    <definedName name="_C">#REF!</definedName>
    <definedName name="_C315" localSheetId="6">#REF!</definedName>
    <definedName name="_C315">#REF!</definedName>
    <definedName name="_Ç315" localSheetId="6">#REF!</definedName>
    <definedName name="_Ç315">#REF!</definedName>
    <definedName name="_C315___0" localSheetId="6">#REF!</definedName>
    <definedName name="_C315___0">#REF!</definedName>
    <definedName name="_Ç315___0" localSheetId="6">#REF!</definedName>
    <definedName name="_Ç315___0">#REF!</definedName>
    <definedName name="_Ç315___10" localSheetId="6">#REF!</definedName>
    <definedName name="_Ç315___10">#REF!</definedName>
    <definedName name="_C315___11" localSheetId="6">#REF!</definedName>
    <definedName name="_C315___11">#REF!</definedName>
    <definedName name="_C315___12" localSheetId="6">#REF!</definedName>
    <definedName name="_C315___12">#REF!</definedName>
    <definedName name="_Ç315___12" localSheetId="6">#REF!</definedName>
    <definedName name="_Ç315___12">#REF!</definedName>
    <definedName name="_Ç315___2" localSheetId="6">#REF!</definedName>
    <definedName name="_Ç315___2">#REF!</definedName>
    <definedName name="_Ç315___3" localSheetId="6">#REF!</definedName>
    <definedName name="_Ç315___3">#REF!</definedName>
    <definedName name="_Ç315___4" localSheetId="6">#REF!</definedName>
    <definedName name="_Ç315___4">#REF!</definedName>
    <definedName name="_Ç315___5" localSheetId="6">#REF!</definedName>
    <definedName name="_Ç315___5">#REF!</definedName>
    <definedName name="_Ç315___7" localSheetId="6">#REF!</definedName>
    <definedName name="_Ç315___7">#REF!</definedName>
    <definedName name="_Ç315___8" localSheetId="6">#REF!</definedName>
    <definedName name="_Ç315___8">#REF!</definedName>
    <definedName name="_Ç315___9" localSheetId="6">#REF!</definedName>
    <definedName name="_Ç315___9">#REF!</definedName>
    <definedName name="_D1" localSheetId="6">#REF!</definedName>
    <definedName name="_D1">#REF!</definedName>
    <definedName name="_D2" localSheetId="6">#REF!</definedName>
    <definedName name="_D2">#REF!</definedName>
    <definedName name="_DBB1" localSheetId="6">#REF!</definedName>
    <definedName name="_DBB1">#REF!</definedName>
    <definedName name="_DOG1" localSheetId="6">#REF!</definedName>
    <definedName name="_DOG1">#REF!</definedName>
    <definedName name="_DOG2" localSheetId="6">#REF!</definedName>
    <definedName name="_DOG2">#REF!</definedName>
    <definedName name="_DOG22" localSheetId="6">#REF!</definedName>
    <definedName name="_DOG22">#REF!</definedName>
    <definedName name="_DOG3" localSheetId="6">#REF!</definedName>
    <definedName name="_DOG3">#REF!</definedName>
    <definedName name="_DOG33" localSheetId="6">#REF!</definedName>
    <definedName name="_DOG33">#REF!</definedName>
    <definedName name="_DOG4" localSheetId="6">#REF!</definedName>
    <definedName name="_DOG4">#REF!</definedName>
    <definedName name="_E1" localSheetId="6">#REF!</definedName>
    <definedName name="_E1">#REF!</definedName>
    <definedName name="_E7_E9_E11_E13_">#N/A</definedName>
    <definedName name="_ENG1" localSheetId="6">VLOOKUP(#REF!,[1]!DBHAN,3)</definedName>
    <definedName name="_ENG1">VLOOKUP(#REF!,[1]!DBHAN,3)</definedName>
    <definedName name="_ENG2" localSheetId="6">VLOOKUP(#REF!,[1]!DBHAN,3)</definedName>
    <definedName name="_ENG2">VLOOKUP(#REF!,[1]!DBHAN,3)</definedName>
    <definedName name="_ENG3" localSheetId="6">VLOOKUP(#REF!,[1]!DBHAN,3)</definedName>
    <definedName name="_ENG3">VLOOKUP(#REF!,[1]!DBHAN,3)</definedName>
    <definedName name="_Fill" localSheetId="0" hidden="1">#REF!</definedName>
    <definedName name="_Fill" localSheetId="6" hidden="1">#REF!</definedName>
    <definedName name="_Fill" localSheetId="1" hidden="1">#REF!</definedName>
    <definedName name="_Fill" localSheetId="4" hidden="1">#REF!</definedName>
    <definedName name="_Fill" localSheetId="3" hidden="1">#REF!</definedName>
    <definedName name="_Fill" hidden="1">#REF!</definedName>
    <definedName name="_xlnm._FilterDatabase" localSheetId="0" hidden="1">#REF!</definedName>
    <definedName name="_xlnm._FilterDatabase" localSheetId="7" hidden="1">'내역 집계(전기)'!#REF!</definedName>
    <definedName name="_xlnm._FilterDatabase" localSheetId="9" hidden="1">내역서!$A:$A</definedName>
    <definedName name="_xlnm._FilterDatabase" localSheetId="6" hidden="1">'내역서집계(전기+기계)'!#REF!</definedName>
    <definedName name="_xlnm._FilterDatabase" hidden="1">#REF!</definedName>
    <definedName name="_HAN1" localSheetId="6">VLOOKUP(#REF!,[1]!DBHAN,2)</definedName>
    <definedName name="_HAN1">VLOOKUP(#REF!,[1]!DBHAN,2)</definedName>
    <definedName name="_HAN2" localSheetId="6">VLOOKUP(#REF!,[1]!DBHAN,2)</definedName>
    <definedName name="_HAN2">VLOOKUP(#REF!,[1]!DBHAN,2)</definedName>
    <definedName name="_HAN3" localSheetId="6">VLOOKUP(#REF!,[1]!DBHAN,2)</definedName>
    <definedName name="_HAN3">VLOOKUP(#REF!,[1]!DBHAN,2)</definedName>
    <definedName name="_IL1" localSheetId="6">#REF!</definedName>
    <definedName name="_IL1">#REF!</definedName>
    <definedName name="_K11" localSheetId="6">#REF!</definedName>
    <definedName name="_K11">#REF!</definedName>
    <definedName name="_K111" localSheetId="6">#REF!</definedName>
    <definedName name="_K111">#REF!</definedName>
    <definedName name="_K1111" localSheetId="6">#REF!</definedName>
    <definedName name="_K1111">#REF!</definedName>
    <definedName name="_Key1" localSheetId="0" hidden="1">#REF!</definedName>
    <definedName name="_Key1" localSheetId="6" hidden="1">#REF!</definedName>
    <definedName name="_Key1" localSheetId="1" hidden="1">#REF!</definedName>
    <definedName name="_Key1" localSheetId="4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6" hidden="1">#REF!</definedName>
    <definedName name="_Key2" localSheetId="1" hidden="1">#REF!</definedName>
    <definedName name="_Key2" localSheetId="4" hidden="1">#REF!</definedName>
    <definedName name="_Key2" localSheetId="3" hidden="1">#REF!</definedName>
    <definedName name="_Key2" hidden="1">#REF!</definedName>
    <definedName name="_L1" localSheetId="6">#REF!</definedName>
    <definedName name="_L1">#REF!</definedName>
    <definedName name="_L2" localSheetId="6">#REF!</definedName>
    <definedName name="_L2">#REF!</definedName>
    <definedName name="_L3" localSheetId="6">#REF!</definedName>
    <definedName name="_L3">#REF!</definedName>
    <definedName name="_Order1" hidden="1">255</definedName>
    <definedName name="_Order2" hidden="1">255</definedName>
    <definedName name="_PI48" localSheetId="6">#REF!</definedName>
    <definedName name="_PI48">#REF!</definedName>
    <definedName name="_PI60" localSheetId="6">#REF!</definedName>
    <definedName name="_PI60">#REF!</definedName>
    <definedName name="_Q1" localSheetId="6">#REF!</definedName>
    <definedName name="_Q1">#REF!</definedName>
    <definedName name="_Q2" localSheetId="6">#REF!</definedName>
    <definedName name="_Q2">#REF!</definedName>
    <definedName name="_Q3" localSheetId="6">#REF!</definedName>
    <definedName name="_Q3">#REF!</definedName>
    <definedName name="_Q4" localSheetId="6">#REF!</definedName>
    <definedName name="_Q4">#REF!</definedName>
    <definedName name="_RO110" localSheetId="6">#REF!</definedName>
    <definedName name="_RO110">#REF!</definedName>
    <definedName name="_RO22" localSheetId="6">#REF!</definedName>
    <definedName name="_RO22">#REF!</definedName>
    <definedName name="_RO35" localSheetId="6">#REF!</definedName>
    <definedName name="_RO35">#REF!</definedName>
    <definedName name="_RO45" localSheetId="6">#REF!</definedName>
    <definedName name="_RO45">#REF!</definedName>
    <definedName name="_RO60" localSheetId="6">#REF!</definedName>
    <definedName name="_RO60">#REF!</definedName>
    <definedName name="_RO80" localSheetId="6">#REF!</definedName>
    <definedName name="_RO80">#REF!</definedName>
    <definedName name="_Sort" localSheetId="0" hidden="1">#REF!</definedName>
    <definedName name="_Sort" localSheetId="6" hidden="1">#REF!</definedName>
    <definedName name="_Sort" localSheetId="1" hidden="1">#REF!</definedName>
    <definedName name="_Sort" localSheetId="4" hidden="1">#REF!</definedName>
    <definedName name="_Sort" localSheetId="3" hidden="1">#REF!</definedName>
    <definedName name="_Sort" hidden="1">#REF!</definedName>
    <definedName name="_SUB1" localSheetId="6">#REF!</definedName>
    <definedName name="_SUB1">#REF!</definedName>
    <definedName name="_SUB2" localSheetId="6">#REF!</definedName>
    <definedName name="_SUB2">#REF!</definedName>
    <definedName name="_SUB3" localSheetId="6">#REF!</definedName>
    <definedName name="_SUB3">#REF!</definedName>
    <definedName name="_sub4" localSheetId="6">#REF!</definedName>
    <definedName name="_sub4">#REF!</definedName>
    <definedName name="_sub5" localSheetId="6">#REF!</definedName>
    <definedName name="_sub5">#REF!</definedName>
    <definedName name="_TON1" localSheetId="6">#REF!</definedName>
    <definedName name="_TON1">#REF!</definedName>
    <definedName name="_TON2" localSheetId="6">#REF!</definedName>
    <definedName name="_TON2">#REF!</definedName>
    <definedName name="_WW2" localSheetId="6">#REF!</definedName>
    <definedName name="_WW2">#REF!</definedName>
    <definedName name="_WW3" localSheetId="6">#REF!</definedName>
    <definedName name="_WW3">#REF!</definedName>
    <definedName name="_WW6" localSheetId="6">#REF!</definedName>
    <definedName name="_WW6">#REF!</definedName>
    <definedName name="_WW7" localSheetId="6">#REF!</definedName>
    <definedName name="_WW7">#REF!</definedName>
    <definedName name="_WW8" localSheetId="6">#REF!</definedName>
    <definedName name="_WW8">#REF!</definedName>
    <definedName name="_Z1" localSheetId="6">#REF!</definedName>
    <definedName name="_Z1">#REF!</definedName>
    <definedName name="¤C315" localSheetId="6">#REF!</definedName>
    <definedName name="¤C315">#REF!</definedName>
    <definedName name="¤Ç315" localSheetId="6">#REF!</definedName>
    <definedName name="¤Ç315">#REF!</definedName>
    <definedName name="【95年" localSheetId="6">#REF!</definedName>
    <definedName name="【95年">#REF!</definedName>
    <definedName name="\0" localSheetId="6">#REF!</definedName>
    <definedName name="\0">#REF!</definedName>
    <definedName name="\a" localSheetId="6">#REF!</definedName>
    <definedName name="\a">#REF!</definedName>
    <definedName name="\c" localSheetId="6">#REF!</definedName>
    <definedName name="\c">#REF!</definedName>
    <definedName name="\f">#N/A</definedName>
    <definedName name="\h">#N/A</definedName>
    <definedName name="\j">#N/A</definedName>
    <definedName name="\m" localSheetId="6">#REF!</definedName>
    <definedName name="\m">#REF!</definedName>
    <definedName name="\n" localSheetId="6">#REF!</definedName>
    <definedName name="\n">#REF!</definedName>
    <definedName name="\r">#N/A</definedName>
    <definedName name="\s">#N/A</definedName>
    <definedName name="\v">#N/A</definedName>
    <definedName name="\z">#N/A</definedName>
    <definedName name="a" localSheetId="6">#REF!</definedName>
    <definedName name="a">#REF!</definedName>
    <definedName name="A1.1000" localSheetId="6">#REF!</definedName>
    <definedName name="A1.1000">#REF!</definedName>
    <definedName name="A1C1" localSheetId="0" hidden="1">#REF!</definedName>
    <definedName name="A1C1" localSheetId="6" hidden="1">#REF!</definedName>
    <definedName name="A1C1" hidden="1">#REF!</definedName>
    <definedName name="A5D8" localSheetId="6">#REF!</definedName>
    <definedName name="A5D8">#REF!</definedName>
    <definedName name="aa" localSheetId="6">#REF!</definedName>
    <definedName name="aa">#REF!</definedName>
    <definedName name="AA___0" localSheetId="6">#REF!</definedName>
    <definedName name="AA___0">#REF!</definedName>
    <definedName name="AA___11" localSheetId="6">#REF!</definedName>
    <definedName name="AA___11">#REF!</definedName>
    <definedName name="AA___12" localSheetId="6">#REF!</definedName>
    <definedName name="AA___12">#REF!</definedName>
    <definedName name="AA___8" localSheetId="6">#REF!</definedName>
    <definedName name="AA___8">#REF!</definedName>
    <definedName name="AAA" localSheetId="0" hidden="1">#REF!</definedName>
    <definedName name="AAA" localSheetId="5" hidden="1">#REF!</definedName>
    <definedName name="AAA" localSheetId="2" hidden="1">#REF!</definedName>
    <definedName name="AAA" localSheetId="7" hidden="1">#REF!</definedName>
    <definedName name="AAA" localSheetId="6" hidden="1">#REF!</definedName>
    <definedName name="AAA" localSheetId="1" hidden="1">#REF!</definedName>
    <definedName name="AAA" localSheetId="4" hidden="1">#REF!</definedName>
    <definedName name="AAA" localSheetId="3" hidden="1">#REF!</definedName>
    <definedName name="AAA" hidden="1">#REF!</definedName>
    <definedName name="AAAA" localSheetId="6">#REF!</definedName>
    <definedName name="AAAA">#REF!</definedName>
    <definedName name="AAAA___0" localSheetId="6">#REF!</definedName>
    <definedName name="AAAA___0">#REF!</definedName>
    <definedName name="AAAA___11" localSheetId="6">#REF!</definedName>
    <definedName name="AAAA___11">#REF!</definedName>
    <definedName name="AAAA___12" localSheetId="6">#REF!</definedName>
    <definedName name="AAAA___12">#REF!</definedName>
    <definedName name="AAAA___8" localSheetId="6">#REF!</definedName>
    <definedName name="AAAA___8">#REF!</definedName>
    <definedName name="AAAAAAA" localSheetId="6">#REF!</definedName>
    <definedName name="AAAAAAA">#REF!</definedName>
    <definedName name="AAAAAAAAAAA" localSheetId="6">#REF!</definedName>
    <definedName name="AAAAAAAAAAA">#REF!</definedName>
    <definedName name="AAAAAAAAAAAAAAA" localSheetId="6">#REF!</definedName>
    <definedName name="AAAAAAAAAAAAAAA">#REF!</definedName>
    <definedName name="ab" localSheetId="6">#REF!</definedName>
    <definedName name="ab">#REF!</definedName>
    <definedName name="AB_B" localSheetId="6">#REF!</definedName>
    <definedName name="AB_B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localSheetId="0" hidden="1">"C:\dnkim\협력업체\카드발송.mdb"</definedName>
    <definedName name="AccessDatabase" hidden="1">"\\유찬종\공유문서함\일진기업.MDB"</definedName>
    <definedName name="Acldlrtdk" localSheetId="6">#REF!</definedName>
    <definedName name="Acldlrtdk">#REF!</definedName>
    <definedName name="aifjoweidmcx" localSheetId="6">#REF!</definedName>
    <definedName name="aifjoweidmcx">#REF!</definedName>
    <definedName name="AJHD" localSheetId="6">#REF!</definedName>
    <definedName name="AJHD">#REF!</definedName>
    <definedName name="akfj" localSheetId="6">#REF!</definedName>
    <definedName name="akfj">#REF!</definedName>
    <definedName name="AKJFD" localSheetId="6">#REF!</definedName>
    <definedName name="AKJFD">#REF!</definedName>
    <definedName name="AKJFL" localSheetId="6">#REF!</definedName>
    <definedName name="AKJFL">#REF!</definedName>
    <definedName name="aldfkuxp" localSheetId="6">#REF!</definedName>
    <definedName name="aldfkuxp">#REF!</definedName>
    <definedName name="ALL" localSheetId="6">#REF!</definedName>
    <definedName name="ALL">#REF!</definedName>
    <definedName name="AMT" localSheetId="6">#REF!</definedName>
    <definedName name="AMT">#REF!</definedName>
    <definedName name="ANFRK2" localSheetId="6">#REF!</definedName>
    <definedName name="ANFRK2">#REF!</definedName>
    <definedName name="ANFRK3" localSheetId="6">#REF!</definedName>
    <definedName name="ANFRK3">#REF!</definedName>
    <definedName name="anfrkk" localSheetId="6">#REF!</definedName>
    <definedName name="anfrkk">#REF!</definedName>
    <definedName name="Annual_interest_rate" localSheetId="6">#REF!</definedName>
    <definedName name="Annual_interest_rate">#REF!</definedName>
    <definedName name="AREA" localSheetId="6">#REF!</definedName>
    <definedName name="AREA">#REF!</definedName>
    <definedName name="asaasa" localSheetId="6">#REF!</definedName>
    <definedName name="asaasa">#REF!</definedName>
    <definedName name="asdfasdf" localSheetId="0" hidden="1">{#N/A,#N/A,FALSE,"CCTV"}</definedName>
    <definedName name="asdfasdf" localSheetId="3" hidden="1">{#N/A,#N/A,FALSE,"CCTV"}</definedName>
    <definedName name="asdfasdf" hidden="1">{#N/A,#N/A,FALSE,"CCTV"}</definedName>
    <definedName name="asdhf" localSheetId="6">#REF!</definedName>
    <definedName name="asdhf">#REF!</definedName>
    <definedName name="ATS" localSheetId="6">#REF!</definedName>
    <definedName name="ATS">#REF!</definedName>
    <definedName name="AV" localSheetId="6">#REF!</definedName>
    <definedName name="AV">#REF!</definedName>
    <definedName name="bb" localSheetId="6" hidden="1">[2]내역서!#REF!</definedName>
    <definedName name="bb" hidden="1">[2]내역서!#REF!</definedName>
    <definedName name="BL" localSheetId="6">#REF!</definedName>
    <definedName name="BL">#REF!</definedName>
    <definedName name="BOM_OF_ECP" localSheetId="6">#REF!</definedName>
    <definedName name="BOM_OF_ECP">#REF!</definedName>
    <definedName name="BuiltIn_AutoFilter___10" localSheetId="6">#REF!</definedName>
    <definedName name="BuiltIn_AutoFilter___10">#REF!</definedName>
    <definedName name="BuiltIn_Print_Area___0">#N/A</definedName>
    <definedName name="C_">#N/A</definedName>
    <definedName name="C_S" localSheetId="6">#REF!</definedName>
    <definedName name="C_S">#REF!</definedName>
    <definedName name="CA" localSheetId="6">#REF!</definedName>
    <definedName name="CA">#REF!</definedName>
    <definedName name="CATE" localSheetId="6">#REF!</definedName>
    <definedName name="CATE">#REF!</definedName>
    <definedName name="CC" localSheetId="6">#REF!</definedName>
    <definedName name="CC">#REF!</definedName>
    <definedName name="ccdc" localSheetId="6">#REF!</definedName>
    <definedName name="ccdc">#REF!</definedName>
    <definedName name="CCTV및장애자편의설비" localSheetId="6">#REF!</definedName>
    <definedName name="CCTV및장애자편의설비">#REF!</definedName>
    <definedName name="CG" localSheetId="3">'집계표-x'!CG</definedName>
    <definedName name="CG">[1]!CG</definedName>
    <definedName name="CH" localSheetId="6">#REF!</definedName>
    <definedName name="CH">#REF!</definedName>
    <definedName name="CHF" localSheetId="6">#REF!</definedName>
    <definedName name="CHF">#REF!</definedName>
    <definedName name="CO" localSheetId="6">COUNTIF(#REF!,#REF!)</definedName>
    <definedName name="CO">COUNTIF(#REF!,#REF!)</definedName>
    <definedName name="CODE" localSheetId="6">#REF!</definedName>
    <definedName name="CODE">#REF!</definedName>
    <definedName name="CONDUIT" localSheetId="6">#REF!</definedName>
    <definedName name="CONDUIT">#REF!</definedName>
    <definedName name="CONFIRM" localSheetId="6">IF(#REF!=[1]!NUM,"","FALSE")</definedName>
    <definedName name="CONFIRM">IF(#REF!=[1]!NUM,"","FALSE")</definedName>
    <definedName name="COVER" localSheetId="6">#REF!</definedName>
    <definedName name="COVER">#REF!</definedName>
    <definedName name="CP_F" localSheetId="6">#REF!</definedName>
    <definedName name="CP_F">#REF!</definedName>
    <definedName name="_xlnm.Criteria" localSheetId="6">#REF!</definedName>
    <definedName name="_xlnm.Criteria">#REF!</definedName>
    <definedName name="Criteria_MI" localSheetId="6">#REF!</definedName>
    <definedName name="Criteria_MI">#REF!</definedName>
    <definedName name="CT" localSheetId="6">#REF!</definedName>
    <definedName name="CT">#REF!</definedName>
    <definedName name="CW" localSheetId="6">COUNTIF(#REF!,#REF!)</definedName>
    <definedName name="CW">COUNTIF(#REF!,#REF!)</definedName>
    <definedName name="D" localSheetId="6">#REF!</definedName>
    <definedName name="D">#REF!</definedName>
    <definedName name="d___0" localSheetId="6">#REF!</definedName>
    <definedName name="d___0">#REF!</definedName>
    <definedName name="d___12" localSheetId="6">#REF!</definedName>
    <definedName name="d___12">#REF!</definedName>
    <definedName name="D_R" localSheetId="6">#REF!</definedName>
    <definedName name="D_R">#REF!</definedName>
    <definedName name="DA" localSheetId="6">#REF!</definedName>
    <definedName name="DA">#REF!</definedName>
    <definedName name="DANGA" localSheetId="6">#REF!,#REF!</definedName>
    <definedName name="DANGA">#REF!,#REF!</definedName>
    <definedName name="DATA" localSheetId="6">#REF!</definedName>
    <definedName name="DATA">#REF!</definedName>
    <definedName name="DATA1" localSheetId="6">#REF!</definedName>
    <definedName name="DATA1">#REF!</definedName>
    <definedName name="_xlnm.Database" localSheetId="6">#REF!</definedName>
    <definedName name="_xlnm.Database">#REF!</definedName>
    <definedName name="Database_MI" localSheetId="6">#REF!</definedName>
    <definedName name="Database_MI">#REF!</definedName>
    <definedName name="DATE_COM" localSheetId="6">IF(MAX(#REF!)=0,"",MAX(#REF!))</definedName>
    <definedName name="DATE_COM">IF(MAX(#REF!)=0,"",MAX(#REF!))</definedName>
    <definedName name="DATE_COMC" localSheetId="6">IF(MAX(#REF!)=0,"",MAX(#REF!))</definedName>
    <definedName name="DATE_COMC">IF(MAX(#REF!)=0,"",MAX(#REF!))</definedName>
    <definedName name="DBHAN" localSheetId="6">#REF!</definedName>
    <definedName name="DBHAN">#REF!</definedName>
    <definedName name="DC.PIPE" localSheetId="6">#REF!</definedName>
    <definedName name="DC.PIPE">#REF!</definedName>
    <definedName name="DCA_P" localSheetId="6">ROUND(SUM([1]!DCC,[1]!DCO,[1]!DCN)*100/#REF!,1)</definedName>
    <definedName name="DCA_P">ROUND(SUM([1]!DCC,[1]!DCO,[1]!DCN)*100/#REF!,1)</definedName>
    <definedName name="DCC" localSheetId="6">#REF!</definedName>
    <definedName name="DCC">#REF!</definedName>
    <definedName name="DCC_P" localSheetId="6">ROUND([1]!DCC*100/#REF!,1)</definedName>
    <definedName name="DCC_P">ROUND([1]!DCC*100/#REF!,1)</definedName>
    <definedName name="DCN" localSheetId="6">#REF!</definedName>
    <definedName name="DCN">#REF!</definedName>
    <definedName name="DCN_P" localSheetId="6">ROUND([1]!DCN*100/#REF!,1)</definedName>
    <definedName name="DCN_P">ROUND([1]!DCN*100/#REF!,1)</definedName>
    <definedName name="DCO" localSheetId="6">#REF!</definedName>
    <definedName name="DCO">#REF!</definedName>
    <definedName name="DCO_P" localSheetId="6">ROUND([1]!DCO*100/#REF!,1)</definedName>
    <definedName name="DCO_P">ROUND([1]!DCO*100/#REF!,1)</definedName>
    <definedName name="DD" localSheetId="6">#REF!</definedName>
    <definedName name="DD">#REF!</definedName>
    <definedName name="DD___0" localSheetId="6">#REF!</definedName>
    <definedName name="DD___0">#REF!</definedName>
    <definedName name="DD___12" localSheetId="6">#REF!</definedName>
    <definedName name="DD___12">#REF!</definedName>
    <definedName name="DDD" localSheetId="0" hidden="1">#REF!</definedName>
    <definedName name="DDD" localSheetId="6" hidden="1">#REF!</definedName>
    <definedName name="DDD" localSheetId="1" hidden="1">#REF!</definedName>
    <definedName name="DDD" localSheetId="4" hidden="1">#REF!</definedName>
    <definedName name="DDD" localSheetId="3" hidden="1">#REF!</definedName>
    <definedName name="DDD" hidden="1">#REF!</definedName>
    <definedName name="DDDD" localSheetId="6">#REF!</definedName>
    <definedName name="DDDD">#REF!</definedName>
    <definedName name="DDDD___0" localSheetId="6">#REF!</definedName>
    <definedName name="DDDD___0">#REF!</definedName>
    <definedName name="DDDD___11" localSheetId="6">#REF!</definedName>
    <definedName name="DDDD___11">#REF!</definedName>
    <definedName name="DDDD___12" localSheetId="6">#REF!</definedName>
    <definedName name="DDDD___12">#REF!</definedName>
    <definedName name="DDDD___8" localSheetId="6">#REF!</definedName>
    <definedName name="DDDD___8">#REF!</definedName>
    <definedName name="ddddd" localSheetId="0" hidden="1">#REF!</definedName>
    <definedName name="ddddd" localSheetId="6" hidden="1">#REF!</definedName>
    <definedName name="ddddd" localSheetId="3" hidden="1">#REF!</definedName>
    <definedName name="ddddd" hidden="1">#REF!</definedName>
    <definedName name="DDDDDDDDDD" localSheetId="6">#REF!</definedName>
    <definedName name="DDDDDDDDDD">#REF!</definedName>
    <definedName name="DDDDDDDDDDDDD" localSheetId="6">#REF!</definedName>
    <definedName name="DDDDDDDDDDDDD">#REF!</definedName>
    <definedName name="DDS" localSheetId="6">BlankMacro1</definedName>
    <definedName name="DDS" localSheetId="3">BlankMacro1</definedName>
    <definedName name="DDS">BlankMacro1</definedName>
    <definedName name="DDW" localSheetId="6">BlankMacro1</definedName>
    <definedName name="DDW" localSheetId="3">BlankMacro1</definedName>
    <definedName name="DDW">BlankMacro1</definedName>
    <definedName name="DE" localSheetId="6">#REF!</definedName>
    <definedName name="DE">#REF!</definedName>
    <definedName name="DEM" localSheetId="6">#REF!</definedName>
    <definedName name="DEM">#REF!</definedName>
    <definedName name="DEMO" localSheetId="6">#REF!</definedName>
    <definedName name="DEMO">#REF!</definedName>
    <definedName name="DFER" localSheetId="6">#REF!</definedName>
    <definedName name="DFER">#REF!</definedName>
    <definedName name="dfhao" localSheetId="6">#REF!</definedName>
    <definedName name="dfhao">#REF!</definedName>
    <definedName name="dfjalk" localSheetId="6">#REF!</definedName>
    <definedName name="dfjalk">#REF!</definedName>
    <definedName name="DFJKSLAEO" localSheetId="6">#REF!</definedName>
    <definedName name="DFJKSLAEO">#REF!</definedName>
    <definedName name="DFS" localSheetId="6">#REF!</definedName>
    <definedName name="DFS">#REF!</definedName>
    <definedName name="DGF" localSheetId="6">#REF!</definedName>
    <definedName name="DGF">#REF!</definedName>
    <definedName name="DIA" localSheetId="6">#REF!</definedName>
    <definedName name="DIA">#REF!</definedName>
    <definedName name="djfhka" localSheetId="6">#REF!</definedName>
    <definedName name="djfhka">#REF!</definedName>
    <definedName name="DJHFJ" localSheetId="6">#REF!</definedName>
    <definedName name="DJHFJ">#REF!</definedName>
    <definedName name="djhfs" localSheetId="6">#REF!</definedName>
    <definedName name="djhfs">#REF!</definedName>
    <definedName name="DJKFJ" localSheetId="6">#REF!</definedName>
    <definedName name="DJKFJ">#REF!</definedName>
    <definedName name="djkfslkjapoapei93" localSheetId="6">#REF!</definedName>
    <definedName name="djkfslkjapoapei93">#REF!</definedName>
    <definedName name="DKD" localSheetId="6">BlankMacro1</definedName>
    <definedName name="DKD" localSheetId="3">BlankMacro1</definedName>
    <definedName name="DKD">BlankMacro1</definedName>
    <definedName name="DKE" localSheetId="6">BlankMacro1</definedName>
    <definedName name="DKE" localSheetId="3">BlankMacro1</definedName>
    <definedName name="DKE">BlankMacro1</definedName>
    <definedName name="DKFAJKL" localSheetId="6">#REF!</definedName>
    <definedName name="DKFAJKL">#REF!</definedName>
    <definedName name="dkfja" localSheetId="6">#REF!</definedName>
    <definedName name="dkfja">#REF!</definedName>
    <definedName name="dkfjl" localSheetId="6">#REF!</definedName>
    <definedName name="dkfjl">#REF!</definedName>
    <definedName name="DKFJLE" localSheetId="6">#REF!</definedName>
    <definedName name="DKFJLE">#REF!</definedName>
    <definedName name="dkfjsl" localSheetId="6">#REF!</definedName>
    <definedName name="dkfjsl">#REF!</definedName>
    <definedName name="DKFSLK" localSheetId="6">#REF!</definedName>
    <definedName name="DKFSLK">#REF!</definedName>
    <definedName name="dklsfj" localSheetId="6">#REF!</definedName>
    <definedName name="dklsfj">#REF!</definedName>
    <definedName name="dlkfjls" localSheetId="6">#REF!</definedName>
    <definedName name="dlkfjls">#REF!</definedName>
    <definedName name="DOG1___0" localSheetId="6">#REF!</definedName>
    <definedName name="DOG1___0">#REF!</definedName>
    <definedName name="DOG1___10" localSheetId="6">#REF!</definedName>
    <definedName name="DOG1___10">#REF!</definedName>
    <definedName name="DOG1___12" localSheetId="6">#REF!</definedName>
    <definedName name="DOG1___12">#REF!</definedName>
    <definedName name="DOG1___2" localSheetId="6">#REF!</definedName>
    <definedName name="DOG1___2">#REF!</definedName>
    <definedName name="DOG1___3" localSheetId="6">#REF!</definedName>
    <definedName name="DOG1___3">#REF!</definedName>
    <definedName name="DOG1___4" localSheetId="6">#REF!</definedName>
    <definedName name="DOG1___4">#REF!</definedName>
    <definedName name="DOG1___5" localSheetId="6">#REF!</definedName>
    <definedName name="DOG1___5">#REF!</definedName>
    <definedName name="DOG1___7" localSheetId="6">#REF!</definedName>
    <definedName name="DOG1___7">#REF!</definedName>
    <definedName name="DOG1___8" localSheetId="6">#REF!</definedName>
    <definedName name="DOG1___8">#REF!</definedName>
    <definedName name="DOG1___9" localSheetId="6">#REF!</definedName>
    <definedName name="DOG1___9">#REF!</definedName>
    <definedName name="DOG2___0" localSheetId="6">#REF!</definedName>
    <definedName name="DOG2___0">#REF!</definedName>
    <definedName name="DOG2___10" localSheetId="6">#REF!</definedName>
    <definedName name="DOG2___10">#REF!</definedName>
    <definedName name="DOG2___12" localSheetId="6">#REF!</definedName>
    <definedName name="DOG2___12">#REF!</definedName>
    <definedName name="DOG2___2" localSheetId="6">#REF!</definedName>
    <definedName name="DOG2___2">#REF!</definedName>
    <definedName name="DOG2___3" localSheetId="6">#REF!</definedName>
    <definedName name="DOG2___3">#REF!</definedName>
    <definedName name="DOG2___4" localSheetId="6">#REF!</definedName>
    <definedName name="DOG2___4">#REF!</definedName>
    <definedName name="DOG2___5" localSheetId="6">#REF!</definedName>
    <definedName name="DOG2___5">#REF!</definedName>
    <definedName name="DOG2___7" localSheetId="6">#REF!</definedName>
    <definedName name="DOG2___7">#REF!</definedName>
    <definedName name="DOG2___8" localSheetId="6">#REF!</definedName>
    <definedName name="DOG2___8">#REF!</definedName>
    <definedName name="DOG2___9" localSheetId="6">#REF!</definedName>
    <definedName name="DOG2___9">#REF!</definedName>
    <definedName name="DOG3___0" localSheetId="6">#REF!</definedName>
    <definedName name="DOG3___0">#REF!</definedName>
    <definedName name="DOG3___10" localSheetId="6">#REF!</definedName>
    <definedName name="DOG3___10">#REF!</definedName>
    <definedName name="DOG3___12" localSheetId="6">#REF!</definedName>
    <definedName name="DOG3___12">#REF!</definedName>
    <definedName name="DOG3___2" localSheetId="6">#REF!</definedName>
    <definedName name="DOG3___2">#REF!</definedName>
    <definedName name="DOG3___3" localSheetId="6">#REF!</definedName>
    <definedName name="DOG3___3">#REF!</definedName>
    <definedName name="DOG3___4" localSheetId="6">#REF!</definedName>
    <definedName name="DOG3___4">#REF!</definedName>
    <definedName name="DOG3___5" localSheetId="6">#REF!</definedName>
    <definedName name="DOG3___5">#REF!</definedName>
    <definedName name="DOG3___7" localSheetId="6">#REF!</definedName>
    <definedName name="DOG3___7">#REF!</definedName>
    <definedName name="DOG3___8" localSheetId="6">#REF!</definedName>
    <definedName name="DOG3___8">#REF!</definedName>
    <definedName name="DOG3___9" localSheetId="6">#REF!</definedName>
    <definedName name="DOG3___9">#REF!</definedName>
    <definedName name="DOG4___0" localSheetId="6">#REF!</definedName>
    <definedName name="DOG4___0">#REF!</definedName>
    <definedName name="DOG4___10" localSheetId="6">#REF!</definedName>
    <definedName name="DOG4___10">#REF!</definedName>
    <definedName name="DOG4___12" localSheetId="6">#REF!</definedName>
    <definedName name="DOG4___12">#REF!</definedName>
    <definedName name="DOG4___2" localSheetId="6">#REF!</definedName>
    <definedName name="DOG4___2">#REF!</definedName>
    <definedName name="DOG4___3" localSheetId="6">#REF!</definedName>
    <definedName name="DOG4___3">#REF!</definedName>
    <definedName name="DOG4___4" localSheetId="6">#REF!</definedName>
    <definedName name="DOG4___4">#REF!</definedName>
    <definedName name="DOG4___5" localSheetId="6">#REF!</definedName>
    <definedName name="DOG4___5">#REF!</definedName>
    <definedName name="DOG4___7" localSheetId="6">#REF!</definedName>
    <definedName name="DOG4___7">#REF!</definedName>
    <definedName name="DOG4___8" localSheetId="6">#REF!</definedName>
    <definedName name="DOG4___8">#REF!</definedName>
    <definedName name="DOG4___9" localSheetId="6">#REF!</definedName>
    <definedName name="DOG4___9">#REF!</definedName>
    <definedName name="DRIVE" localSheetId="6">#REF!</definedName>
    <definedName name="DRIVE">#REF!</definedName>
    <definedName name="DRIVE___0" localSheetId="6">#REF!</definedName>
    <definedName name="DRIVE___0">#REF!</definedName>
    <definedName name="DRIVE___10" localSheetId="6">#REF!</definedName>
    <definedName name="DRIVE___10">#REF!</definedName>
    <definedName name="DRIVE___12" localSheetId="6">#REF!</definedName>
    <definedName name="DRIVE___12">#REF!</definedName>
    <definedName name="DRIVE___2" localSheetId="6">#REF!</definedName>
    <definedName name="DRIVE___2">#REF!</definedName>
    <definedName name="DRIVE___3" localSheetId="6">#REF!</definedName>
    <definedName name="DRIVE___3">#REF!</definedName>
    <definedName name="DRIVE___4" localSheetId="6">#REF!</definedName>
    <definedName name="DRIVE___4">#REF!</definedName>
    <definedName name="DRIVE___5" localSheetId="6">#REF!</definedName>
    <definedName name="DRIVE___5">#REF!</definedName>
    <definedName name="DRIVE___7" localSheetId="6">#REF!</definedName>
    <definedName name="DRIVE___7">#REF!</definedName>
    <definedName name="DRIVE___8" localSheetId="6">#REF!</definedName>
    <definedName name="DRIVE___8">#REF!</definedName>
    <definedName name="DRIVE___9" localSheetId="6">#REF!</definedName>
    <definedName name="DRIVE___9">#REF!</definedName>
    <definedName name="drsg" localSheetId="6">#REF!</definedName>
    <definedName name="drsg">#REF!</definedName>
    <definedName name="DS" localSheetId="6">BlankMacro1</definedName>
    <definedName name="DS" localSheetId="3">BlankMacro1</definedName>
    <definedName name="DS">BlankMacro1</definedName>
    <definedName name="dsaghh" localSheetId="6">#REF!</definedName>
    <definedName name="dsaghh">#REF!</definedName>
    <definedName name="DSKFJL" localSheetId="6">#REF!</definedName>
    <definedName name="DSKFJL">#REF!</definedName>
    <definedName name="DWS" localSheetId="6">BlankMacro1</definedName>
    <definedName name="DWS" localSheetId="3">BlankMacro1</definedName>
    <definedName name="DWS">BlankMacro1</definedName>
    <definedName name="E" localSheetId="6">#REF!</definedName>
    <definedName name="E">#REF!</definedName>
    <definedName name="edgh" localSheetId="6">#REF!</definedName>
    <definedName name="edgh">#REF!</definedName>
    <definedName name="edtgh" localSheetId="6">#REF!</definedName>
    <definedName name="edtgh">#REF!</definedName>
    <definedName name="EE" localSheetId="6">#REF!</definedName>
    <definedName name="EE">#REF!</definedName>
    <definedName name="ef" localSheetId="6">#REF!</definedName>
    <definedName name="ef">#REF!</definedName>
    <definedName name="efb" localSheetId="6">#REF!</definedName>
    <definedName name="efb">#REF!</definedName>
    <definedName name="EFG" localSheetId="6">#REF!</definedName>
    <definedName name="EFG">#REF!</definedName>
    <definedName name="EIRP" localSheetId="6">#REF!</definedName>
    <definedName name="EIRP">#REF!</definedName>
    <definedName name="elec1" localSheetId="6">#REF!</definedName>
    <definedName name="elec1">#REF!</definedName>
    <definedName name="elec2" localSheetId="6">#REF!</definedName>
    <definedName name="elec2">#REF!</definedName>
    <definedName name="elec3" localSheetId="6">#REF!</definedName>
    <definedName name="elec3">#REF!</definedName>
    <definedName name="elec4" localSheetId="6">#REF!</definedName>
    <definedName name="elec4">#REF!</definedName>
    <definedName name="elec5" localSheetId="6">#REF!</definedName>
    <definedName name="elec5">#REF!</definedName>
    <definedName name="elec6" localSheetId="6">#REF!</definedName>
    <definedName name="elec6">#REF!</definedName>
    <definedName name="ENG" localSheetId="6">VLOOKUP(#REF!,[1]!DBHAN,3)</definedName>
    <definedName name="ENG">VLOOKUP(#REF!,[1]!DBHAN,3)</definedName>
    <definedName name="eor" localSheetId="6">#REF!</definedName>
    <definedName name="eor">#REF!</definedName>
    <definedName name="ERER" localSheetId="6">#REF!</definedName>
    <definedName name="ERER">#REF!</definedName>
    <definedName name="ertgjhkli" localSheetId="6">#REF!</definedName>
    <definedName name="ertgjhkli">#REF!</definedName>
    <definedName name="EXTRA" localSheetId="6">#REF!</definedName>
    <definedName name="EXTRA">#REF!</definedName>
    <definedName name="_xlnm.Extract" localSheetId="6">#REF!</definedName>
    <definedName name="_xlnm.Extract">#REF!</definedName>
    <definedName name="Extract_MI" localSheetId="6">#REF!</definedName>
    <definedName name="Extract_MI">#REF!</definedName>
    <definedName name="f" localSheetId="6">#REF!</definedName>
    <definedName name="f">#REF!</definedName>
    <definedName name="F___0" localSheetId="6">#REF!</definedName>
    <definedName name="F___0">#REF!</definedName>
    <definedName name="F___11" localSheetId="6">#REF!</definedName>
    <definedName name="F___11">#REF!</definedName>
    <definedName name="F___12" localSheetId="6">#REF!</definedName>
    <definedName name="F___12">#REF!</definedName>
    <definedName name="F___8" localSheetId="6">#REF!</definedName>
    <definedName name="F___8">#REF!</definedName>
    <definedName name="FDGFDGDGDGF" localSheetId="6">#REF!</definedName>
    <definedName name="FDGFDGDGDGF">#REF!</definedName>
    <definedName name="fdgz" localSheetId="6">#REF!</definedName>
    <definedName name="fdgz">#REF!</definedName>
    <definedName name="FF" localSheetId="6">#REF!</definedName>
    <definedName name="FF">#REF!</definedName>
    <definedName name="FFDGGFD" localSheetId="6">#REF!</definedName>
    <definedName name="FFDGGFD">#REF!</definedName>
    <definedName name="FFDGGFD___0" localSheetId="6">#REF!</definedName>
    <definedName name="FFDGGFD___0">#REF!</definedName>
    <definedName name="FFDGGFD___11" localSheetId="6">#REF!</definedName>
    <definedName name="FFDGGFD___11">#REF!</definedName>
    <definedName name="FFDGGFD___12" localSheetId="6">#REF!</definedName>
    <definedName name="FFDGGFD___12">#REF!</definedName>
    <definedName name="FFDGGFD___8" localSheetId="6">#REF!</definedName>
    <definedName name="FFDGGFD___8">#REF!</definedName>
    <definedName name="FFF" localSheetId="6">#REF!</definedName>
    <definedName name="FFF">#REF!</definedName>
    <definedName name="FFFF" localSheetId="6">#REF!</definedName>
    <definedName name="FFFF">#REF!</definedName>
    <definedName name="FFFF___0" localSheetId="6">#REF!</definedName>
    <definedName name="FFFF___0">#REF!</definedName>
    <definedName name="FFFF___11" localSheetId="6">#REF!</definedName>
    <definedName name="FFFF___11">#REF!</definedName>
    <definedName name="FFFF___12" localSheetId="6">#REF!</definedName>
    <definedName name="FFFF___12">#REF!</definedName>
    <definedName name="FFFF___8" localSheetId="6">#REF!</definedName>
    <definedName name="FFFF___8">#REF!</definedName>
    <definedName name="FFFFF" localSheetId="6">#REF!</definedName>
    <definedName name="FFFFF">#REF!</definedName>
    <definedName name="FFFFF___0" localSheetId="6">#REF!</definedName>
    <definedName name="FFFFF___0">#REF!</definedName>
    <definedName name="FFFFF___11" localSheetId="6">#REF!</definedName>
    <definedName name="FFFFF___11">#REF!</definedName>
    <definedName name="FFFFF___12" localSheetId="6">#REF!</definedName>
    <definedName name="FFFFF___12">#REF!</definedName>
    <definedName name="FFFFF___8" localSheetId="6">#REF!</definedName>
    <definedName name="FFFFF___8">#REF!</definedName>
    <definedName name="FG" localSheetId="6">#REF!</definedName>
    <definedName name="FG">#REF!</definedName>
    <definedName name="FGD" localSheetId="6">#REF!</definedName>
    <definedName name="FGD">#REF!</definedName>
    <definedName name="FGGG" localSheetId="6">#REF!</definedName>
    <definedName name="FGGG">#REF!</definedName>
    <definedName name="fgh" localSheetId="6">#REF!</definedName>
    <definedName name="fgh">#REF!</definedName>
    <definedName name="FGHFHFHFHF" localSheetId="6">#REF!</definedName>
    <definedName name="FGHFHFHFHF">#REF!</definedName>
    <definedName name="FGRKRKRKRKRKRKRKRKRKRKRKRKRKRKR" localSheetId="6">#REF!</definedName>
    <definedName name="FGRKRKRKRKRKRKRKRKRKRKRKRKRKRKR">#REF!</definedName>
    <definedName name="FGRKRKTBTB3RTDKDKDKDKDK" localSheetId="6">#REF!</definedName>
    <definedName name="FGRKRKTBTB3RTDKDKDKDKDK">#REF!</definedName>
    <definedName name="FGTBTB3RTDKDKDKDKDK" localSheetId="6">#REF!</definedName>
    <definedName name="FGTBTB3RTDKDKDKDKDK">#REF!</definedName>
    <definedName name="FHFH" hidden="1">[3]수량산출!$A$1:$A$8561</definedName>
    <definedName name="FHFHFHFHFGHF" localSheetId="6">#REF!</definedName>
    <definedName name="FHFHFHFHFGHF">#REF!</definedName>
    <definedName name="FHFK" localSheetId="0" hidden="1">[3]수량산출!#REF!</definedName>
    <definedName name="FHFK" localSheetId="6" hidden="1">[3]수량산출!#REF!</definedName>
    <definedName name="FHFK" localSheetId="3" hidden="1">[3]수량산출!#REF!</definedName>
    <definedName name="FHFK" hidden="1">[3]수량산출!#REF!</definedName>
    <definedName name="First_payment_due" localSheetId="6">#REF!</definedName>
    <definedName name="First_payment_due">#REF!</definedName>
    <definedName name="FIXT" localSheetId="6">#REF!</definedName>
    <definedName name="FIXT">#REF!</definedName>
    <definedName name="fkalsjdioa" localSheetId="6">#REF!</definedName>
    <definedName name="fkalsjdioa">#REF!</definedName>
    <definedName name="flag" localSheetId="6">#REF!</definedName>
    <definedName name="flag">#REF!</definedName>
    <definedName name="FSWADJK" localSheetId="6">#REF!</definedName>
    <definedName name="FSWADJK">#REF!</definedName>
    <definedName name="G" localSheetId="6">#REF!</definedName>
    <definedName name="G">#REF!</definedName>
    <definedName name="G_C" localSheetId="6">#REF!</definedName>
    <definedName name="G_C">#REF!</definedName>
    <definedName name="g_sort">[1]!g_sort</definedName>
    <definedName name="GA" localSheetId="6">#REF!</definedName>
    <definedName name="GA">#REF!</definedName>
    <definedName name="GFD" localSheetId="6">#REF!</definedName>
    <definedName name="GFD">#REF!</definedName>
    <definedName name="GFD___0" localSheetId="6">#REF!</definedName>
    <definedName name="GFD___0">#REF!</definedName>
    <definedName name="GFD___11" localSheetId="6">#REF!</definedName>
    <definedName name="GFD___11">#REF!</definedName>
    <definedName name="GFD___12" localSheetId="6">#REF!</definedName>
    <definedName name="GFD___12">#REF!</definedName>
    <definedName name="GFD___8" localSheetId="6">#REF!</definedName>
    <definedName name="GFD___8">#REF!</definedName>
    <definedName name="gg" localSheetId="6">#REF!</definedName>
    <definedName name="gg">#REF!</definedName>
    <definedName name="GGGG" localSheetId="6">#REF!</definedName>
    <definedName name="GGGG">#REF!</definedName>
    <definedName name="GGGG___0" localSheetId="6">#REF!</definedName>
    <definedName name="GGGG___0">#REF!</definedName>
    <definedName name="GGGG___11" localSheetId="6">#REF!</definedName>
    <definedName name="GGGG___11">#REF!</definedName>
    <definedName name="GGGG___12" localSheetId="6">#REF!</definedName>
    <definedName name="GGGG___12">#REF!</definedName>
    <definedName name="GGGG___8" localSheetId="6">#REF!</definedName>
    <definedName name="GGGG___8">#REF!</definedName>
    <definedName name="GH" localSheetId="6">#REF!</definedName>
    <definedName name="GH">#REF!</definedName>
    <definedName name="GHGFHFHF" localSheetId="6">#REF!</definedName>
    <definedName name="GHGFHFHF">#REF!</definedName>
    <definedName name="GHJK" localSheetId="6">#REF!</definedName>
    <definedName name="GHJK">#REF!</definedName>
    <definedName name="H" localSheetId="6">#REF!</definedName>
    <definedName name="H">#REF!</definedName>
    <definedName name="h___0" localSheetId="6">#REF!</definedName>
    <definedName name="h___0">#REF!</definedName>
    <definedName name="h___11" localSheetId="6">#REF!</definedName>
    <definedName name="h___11">#REF!</definedName>
    <definedName name="h___12" localSheetId="6">#REF!</definedName>
    <definedName name="h___12">#REF!</definedName>
    <definedName name="HAFJDHO" localSheetId="6">#REF!</definedName>
    <definedName name="HAFJDHO">#REF!</definedName>
    <definedName name="HAN" localSheetId="6">VLOOKUP(#REF!,[1]!DBHAN,2)</definedName>
    <definedName name="HAN">VLOOKUP(#REF!,[1]!DBHAN,2)</definedName>
    <definedName name="HG" localSheetId="6">#REF!</definedName>
    <definedName name="HG">#REF!</definedName>
    <definedName name="HGDF" localSheetId="6">#REF!</definedName>
    <definedName name="HGDF">#REF!</definedName>
    <definedName name="HGFHH" localSheetId="6">#REF!</definedName>
    <definedName name="HGFHH">#REF!</definedName>
    <definedName name="HH" localSheetId="0" hidden="1">#REF!</definedName>
    <definedName name="HH" localSheetId="6" hidden="1">#REF!</definedName>
    <definedName name="HH" localSheetId="3">[4]내역서!#REF!</definedName>
    <definedName name="HH" hidden="1">#REF!</definedName>
    <definedName name="HHH" localSheetId="6">#REF!</definedName>
    <definedName name="HHH">#REF!</definedName>
    <definedName name="HHH___0" localSheetId="6">#REF!</definedName>
    <definedName name="HHH___0">#REF!</definedName>
    <definedName name="HHH___11" localSheetId="6">#REF!</definedName>
    <definedName name="HHH___11">#REF!</definedName>
    <definedName name="HHH___12" localSheetId="6">#REF!</definedName>
    <definedName name="HHH___12">#REF!</definedName>
    <definedName name="HHH___8" localSheetId="6">#REF!</definedName>
    <definedName name="HHH___8">#REF!</definedName>
    <definedName name="HHHH" localSheetId="0" hidden="1">#REF!</definedName>
    <definedName name="HHHH" localSheetId="6" hidden="1">#REF!</definedName>
    <definedName name="HHHH" localSheetId="3" hidden="1">#REF!</definedName>
    <definedName name="HHHH" hidden="1">#REF!</definedName>
    <definedName name="HI_전선관" localSheetId="6">#REF!</definedName>
    <definedName name="HI_전선관">#REF!</definedName>
    <definedName name="hj" localSheetId="6">#REF!</definedName>
    <definedName name="hj">#REF!</definedName>
    <definedName name="hj___0" localSheetId="6">#REF!</definedName>
    <definedName name="hj___0">#REF!</definedName>
    <definedName name="hj___11" localSheetId="6">#REF!</definedName>
    <definedName name="hj___11">#REF!</definedName>
    <definedName name="hj___12" localSheetId="6">#REF!</definedName>
    <definedName name="hj___12">#REF!</definedName>
    <definedName name="HORI" localSheetId="6">#REF!</definedName>
    <definedName name="HORI">#REF!</definedName>
    <definedName name="HTML_CodePage" hidden="1">949</definedName>
    <definedName name="HTML_Control" localSheetId="0" hidden="1">{"'Firr(선)'!$AS$1:$AY$62","'Firr(사)'!$AS$1:$AY$62","'Firr(회)'!$AS$1:$AY$62","'Firr(선)'!$L$1:$V$62","'Firr(사)'!$L$1:$V$62","'Firr(회)'!$L$1:$V$62"}</definedName>
    <definedName name="HTML_Control" localSheetId="5" hidden="1">{"'Firr(선)'!$AS$1:$AY$62","'Firr(사)'!$AS$1:$AY$62","'Firr(회)'!$AS$1:$AY$62","'Firr(선)'!$L$1:$V$62","'Firr(사)'!$L$1:$V$62","'Firr(회)'!$L$1:$V$62"}</definedName>
    <definedName name="HTML_Control" localSheetId="2" hidden="1">{"'Firr(선)'!$AS$1:$AY$62","'Firr(사)'!$AS$1:$AY$62","'Firr(회)'!$AS$1:$AY$62","'Firr(선)'!$L$1:$V$62","'Firr(사)'!$L$1:$V$62","'Firr(회)'!$L$1:$V$62"}</definedName>
    <definedName name="HTML_Control" localSheetId="1" hidden="1">{"'Firr(선)'!$AS$1:$AY$62","'Firr(사)'!$AS$1:$AY$62","'Firr(회)'!$AS$1:$AY$62","'Firr(선)'!$L$1:$V$62","'Firr(사)'!$L$1:$V$62","'Firr(회)'!$L$1:$V$62"}</definedName>
    <definedName name="HTML_Control" localSheetId="4" hidden="1">{"'Firr(선)'!$AS$1:$AY$62","'Firr(사)'!$AS$1:$AY$62","'Firr(회)'!$AS$1:$AY$62","'Firr(선)'!$L$1:$V$62","'Firr(사)'!$L$1:$V$62","'Firr(회)'!$L$1:$V$62"}</definedName>
    <definedName name="HTML_Control" hidden="1">{"'Firr(선)'!$AS$1:$AY$62","'Firr(사)'!$AS$1:$AY$62","'Firr(회)'!$AS$1:$AY$62","'Firr(선)'!$L$1:$V$62","'Firr(사)'!$L$1:$V$62","'Firr(회)'!$L$1:$V$62"}</definedName>
    <definedName name="HTML_Description" hidden="1">""</definedName>
    <definedName name="HTML_Email" hidden="1">""</definedName>
    <definedName name="HTML_Header" hidden="1">"8%"</definedName>
    <definedName name="HTML_LastUpdate" hidden="1">"2000-11-08"</definedName>
    <definedName name="HTML_LineAfter" hidden="1">FALSE</definedName>
    <definedName name="HTML_LineBefore" hidden="1">FALSE</definedName>
    <definedName name="HTML_Name" hidden="1">"이제찬"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"Firrsrwd"</definedName>
    <definedName name="I" localSheetId="6">#REF!</definedName>
    <definedName name="I">#REF!</definedName>
    <definedName name="ID" localSheetId="6">#REF!,#REF!</definedName>
    <definedName name="ID">#REF!,#REF!</definedName>
    <definedName name="II" localSheetId="6">#REF!</definedName>
    <definedName name="II">#REF!</definedName>
    <definedName name="IL" localSheetId="6">#REF!</definedName>
    <definedName name="IL">#REF!</definedName>
    <definedName name="IL___0" localSheetId="6">#REF!</definedName>
    <definedName name="IL___0">#REF!</definedName>
    <definedName name="IL___10" localSheetId="6">#REF!</definedName>
    <definedName name="IL___10">#REF!</definedName>
    <definedName name="IL___12" localSheetId="6">#REF!</definedName>
    <definedName name="IL___12">#REF!</definedName>
    <definedName name="IL___2" localSheetId="6">#REF!</definedName>
    <definedName name="IL___2">#REF!</definedName>
    <definedName name="IL___3" localSheetId="6">#REF!</definedName>
    <definedName name="IL___3">#REF!</definedName>
    <definedName name="IL___4" localSheetId="6">#REF!</definedName>
    <definedName name="IL___4">#REF!</definedName>
    <definedName name="IL___5" localSheetId="6">#REF!</definedName>
    <definedName name="IL___5">#REF!</definedName>
    <definedName name="IL___7" localSheetId="6">#REF!</definedName>
    <definedName name="IL___7">#REF!</definedName>
    <definedName name="IL___8" localSheetId="6">#REF!</definedName>
    <definedName name="IL___8">#REF!</definedName>
    <definedName name="IL___9" localSheetId="6">#REF!</definedName>
    <definedName name="IL___9">#REF!</definedName>
    <definedName name="ITEMNO" localSheetId="6">#REF!</definedName>
    <definedName name="ITEMNO">#REF!</definedName>
    <definedName name="ITEX" localSheetId="6">#REF!</definedName>
    <definedName name="ITEX">#REF!</definedName>
    <definedName name="J" localSheetId="6">#REF!</definedName>
    <definedName name="J">#REF!</definedName>
    <definedName name="JA" localSheetId="6">#REF!</definedName>
    <definedName name="JA">#REF!</definedName>
    <definedName name="jj" localSheetId="6">#REF!</definedName>
    <definedName name="jj">#REF!</definedName>
    <definedName name="JJJ" localSheetId="0" hidden="1">#REF!</definedName>
    <definedName name="JJJ" localSheetId="6" hidden="1">#REF!</definedName>
    <definedName name="JJJ" localSheetId="3">[4]내역서!#REF!</definedName>
    <definedName name="JJJ" hidden="1">#REF!</definedName>
    <definedName name="JJJJJ" localSheetId="6">#REF!</definedName>
    <definedName name="JJJJJ">#REF!</definedName>
    <definedName name="JJJJJJJJJ" localSheetId="6">#REF!</definedName>
    <definedName name="JJJJJJJJJ">#REF!</definedName>
    <definedName name="JK" localSheetId="6">#REF!</definedName>
    <definedName name="JK">#REF!</definedName>
    <definedName name="JPY" localSheetId="6">#REF!</definedName>
    <definedName name="JPY">#REF!</definedName>
    <definedName name="K" localSheetId="6">#REF!</definedName>
    <definedName name="K">#REF!</definedName>
    <definedName name="K1__" localSheetId="6">#REF!</definedName>
    <definedName name="K1__">#REF!</definedName>
    <definedName name="K1_1" localSheetId="6">#REF!</definedName>
    <definedName name="K1_1">#REF!</definedName>
    <definedName name="K2_" localSheetId="6">#REF!</definedName>
    <definedName name="K2_">#REF!</definedName>
    <definedName name="kdfjaiow" localSheetId="6">#REF!</definedName>
    <definedName name="kdfjaiow">#REF!</definedName>
    <definedName name="KDJ" localSheetId="6">#REF!</definedName>
    <definedName name="KDJ">#REF!</definedName>
    <definedName name="kfjaje" localSheetId="6">#REF!</definedName>
    <definedName name="kfjaje">#REF!</definedName>
    <definedName name="KFJG" localSheetId="6">#REF!</definedName>
    <definedName name="KFJG">#REF!</definedName>
    <definedName name="KIM" localSheetId="6">#REF!</definedName>
    <definedName name="KIM">#REF!</definedName>
    <definedName name="KJHG" localSheetId="6">#REF!</definedName>
    <definedName name="KJHG">#REF!</definedName>
    <definedName name="kjkcm" localSheetId="6">#REF!</definedName>
    <definedName name="kjkcm">#REF!</definedName>
    <definedName name="KK" localSheetId="6">#REF!</definedName>
    <definedName name="KK">#REF!</definedName>
    <definedName name="KKK" localSheetId="0" hidden="1">#REF!</definedName>
    <definedName name="KKK" localSheetId="6" hidden="1">#REF!</definedName>
    <definedName name="KKK" localSheetId="3" hidden="1">#REF!</definedName>
    <definedName name="KKK" hidden="1">#REF!</definedName>
    <definedName name="KL" localSheetId="6">#REF!</definedName>
    <definedName name="KL">#REF!</definedName>
    <definedName name="ksjafie" localSheetId="6">#REF!</definedName>
    <definedName name="ksjafie">#REF!</definedName>
    <definedName name="L" localSheetId="6">#REF!</definedName>
    <definedName name="L">#REF!</definedName>
    <definedName name="L_C" localSheetId="6">#REF!</definedName>
    <definedName name="L_C">#REF!</definedName>
    <definedName name="labor" localSheetId="6">#REF!</definedName>
    <definedName name="labor">#REF!</definedName>
    <definedName name="lasdkj" localSheetId="6">#REF!</definedName>
    <definedName name="lasdkj">#REF!</definedName>
    <definedName name="ldskjf" localSheetId="6">#REF!</definedName>
    <definedName name="ldskjf">#REF!</definedName>
    <definedName name="LKJH" localSheetId="6">#REF!</definedName>
    <definedName name="LKJH">#REF!</definedName>
    <definedName name="LL" localSheetId="6">#REF!</definedName>
    <definedName name="LL">#REF!</definedName>
    <definedName name="LLL" localSheetId="0" hidden="1">#REF!</definedName>
    <definedName name="LLL" localSheetId="6" hidden="1">#REF!</definedName>
    <definedName name="lll" localSheetId="1" hidden="1">#REF!</definedName>
    <definedName name="lll" localSheetId="4" hidden="1">#REF!</definedName>
    <definedName name="lll" localSheetId="3" hidden="1">#REF!</definedName>
    <definedName name="LLL" hidden="1">#REF!</definedName>
    <definedName name="LLLL" localSheetId="6">BlankMacro1</definedName>
    <definedName name="LLLL" localSheetId="3">BlankMacro1</definedName>
    <definedName name="LLLL">BlankMacro1</definedName>
    <definedName name="LN" localSheetId="6">#REF!</definedName>
    <definedName name="LN">#REF!</definedName>
    <definedName name="LOADT" localSheetId="6">#REF!</definedName>
    <definedName name="LOADT">#REF!</definedName>
    <definedName name="LOT수" localSheetId="6">#REF!</definedName>
    <definedName name="LOT수">#REF!</definedName>
    <definedName name="L형옹벽" localSheetId="6">#REF!</definedName>
    <definedName name="L형옹벽">#REF!</definedName>
    <definedName name="m" localSheetId="0" hidden="1">#REF!</definedName>
    <definedName name="m" localSheetId="6" hidden="1">#REF!</definedName>
    <definedName name="M" localSheetId="3">#REF!</definedName>
    <definedName name="m" hidden="1">#REF!</definedName>
    <definedName name="MA" localSheetId="6">#REF!</definedName>
    <definedName name="MA">#REF!</definedName>
    <definedName name="MEMBER" localSheetId="6">#REF!</definedName>
    <definedName name="MEMBER">#REF!</definedName>
    <definedName name="MGE" localSheetId="6">#REF!</definedName>
    <definedName name="MGE">#REF!</definedName>
    <definedName name="MN" localSheetId="6">#REF!</definedName>
    <definedName name="MN">#REF!</definedName>
    <definedName name="MNBVCX" localSheetId="6">#REF!</definedName>
    <definedName name="MNBVCX">#REF!</definedName>
    <definedName name="MONEY" localSheetId="6">#REF!,#REF!</definedName>
    <definedName name="MONEY">#REF!,#REF!</definedName>
    <definedName name="monitor" localSheetId="6">#REF!</definedName>
    <definedName name="monitor">#REF!</definedName>
    <definedName name="MOTOR_______" localSheetId="6">#REF!</definedName>
    <definedName name="MOTOR_______">#REF!</definedName>
    <definedName name="MOTOR__________0" localSheetId="6">#REF!</definedName>
    <definedName name="MOTOR__________0">#REF!</definedName>
    <definedName name="MOTOR__________10" localSheetId="6">#REF!</definedName>
    <definedName name="MOTOR__________10">#REF!</definedName>
    <definedName name="MOTOR__________12" localSheetId="6">#REF!</definedName>
    <definedName name="MOTOR__________12">#REF!</definedName>
    <definedName name="MOTOR__________2" localSheetId="6">#REF!</definedName>
    <definedName name="MOTOR__________2">#REF!</definedName>
    <definedName name="MOTOR__________3" localSheetId="6">#REF!</definedName>
    <definedName name="MOTOR__________3">#REF!</definedName>
    <definedName name="MOTOR__________4" localSheetId="6">#REF!</definedName>
    <definedName name="MOTOR__________4">#REF!</definedName>
    <definedName name="MOTOR__________5" localSheetId="6">#REF!</definedName>
    <definedName name="MOTOR__________5">#REF!</definedName>
    <definedName name="MOTOR__________6" localSheetId="6">#REF!</definedName>
    <definedName name="MOTOR__________6">#REF!</definedName>
    <definedName name="MOTOR__________7" localSheetId="6">#REF!</definedName>
    <definedName name="MOTOR__________7">#REF!</definedName>
    <definedName name="MOTOR__________8" localSheetId="6">#REF!</definedName>
    <definedName name="MOTOR__________8">#REF!</definedName>
    <definedName name="MOTOR__________9" localSheetId="6">#REF!</definedName>
    <definedName name="MOTOR__________9">#REF!</definedName>
    <definedName name="MOTOR__농형_전폐" localSheetId="6">#REF!</definedName>
    <definedName name="MOTOR__농형_전폐">#REF!</definedName>
    <definedName name="MR" localSheetId="6">#REF!</definedName>
    <definedName name="MR">#REF!</definedName>
    <definedName name="MyRange" localSheetId="6">#REF!</definedName>
    <definedName name="MyRange">#REF!</definedName>
    <definedName name="MyRangeh" localSheetId="6">#REF!</definedName>
    <definedName name="MyRangeh">#REF!</definedName>
    <definedName name="MyRanget" localSheetId="6">#REF!</definedName>
    <definedName name="MyRanget">#REF!</definedName>
    <definedName name="MZ" localSheetId="6">#REF!</definedName>
    <definedName name="MZ">#REF!</definedName>
    <definedName name="N_P" localSheetId="6">#REF!</definedName>
    <definedName name="N_P">#REF!</definedName>
    <definedName name="NAM" localSheetId="6">#REF!</definedName>
    <definedName name="NAM">#REF!</definedName>
    <definedName name="NBC" localSheetId="6">#REF!</definedName>
    <definedName name="NBC">#REF!</definedName>
    <definedName name="NEWNAME" localSheetId="0" hidden="1">{#N/A,#N/A,FALSE,"CCTV"}</definedName>
    <definedName name="NEWNAME" localSheetId="3" hidden="1">{#N/A,#N/A,FALSE,"CCTV"}</definedName>
    <definedName name="NEWNAME" hidden="1">{#N/A,#N/A,FALSE,"CCTV"}</definedName>
    <definedName name="NO" localSheetId="6">#REF!</definedName>
    <definedName name="NO">#REF!</definedName>
    <definedName name="NUM" localSheetId="6">VLOOKUP(#REF!,[1]!DBHAN,1)</definedName>
    <definedName name="NUM">VLOOKUP(#REF!,[1]!DBHAN,1)</definedName>
    <definedName name="NUMBER" localSheetId="6">#REF!</definedName>
    <definedName name="NUMBER">#REF!</definedName>
    <definedName name="O" localSheetId="6">#REF!</definedName>
    <definedName name="O">#REF!</definedName>
    <definedName name="OIOPIPOPOPPOIPOOOIP" localSheetId="6">#REF!</definedName>
    <definedName name="OIOPIPOPOPPOIPOOOIP">#REF!</definedName>
    <definedName name="OOO" localSheetId="0" hidden="1">#REF!</definedName>
    <definedName name="OOO" localSheetId="6" hidden="1">#REF!</definedName>
    <definedName name="OOO" localSheetId="3" hidden="1">#REF!</definedName>
    <definedName name="OOO" hidden="1">#REF!</definedName>
    <definedName name="P" localSheetId="6">#REF!</definedName>
    <definedName name="P">#REF!</definedName>
    <definedName name="P_F" localSheetId="6">#REF!</definedName>
    <definedName name="P_F">#REF!</definedName>
    <definedName name="P1급수" localSheetId="6">#REF!</definedName>
    <definedName name="P1급수">#REF!</definedName>
    <definedName name="P1처음" localSheetId="6">#REF!</definedName>
    <definedName name="P1처음">#REF!</definedName>
    <definedName name="P2급탕" localSheetId="6">#REF!</definedName>
    <definedName name="P2급탕">#REF!</definedName>
    <definedName name="P3배수" localSheetId="6">#REF!</definedName>
    <definedName name="P3배수">#REF!</definedName>
    <definedName name="Payments_per_year" localSheetId="6">#REF!</definedName>
    <definedName name="Payments_per_year">#REF!</definedName>
    <definedName name="PB_B" localSheetId="6">#REF!</definedName>
    <definedName name="PB_B">#REF!</definedName>
    <definedName name="PB_B_R" localSheetId="6">#REF!</definedName>
    <definedName name="PB_B_R">#REF!</definedName>
    <definedName name="PI48___0" localSheetId="6">#REF!</definedName>
    <definedName name="PI48___0">#REF!</definedName>
    <definedName name="PI48___10" localSheetId="6">#REF!</definedName>
    <definedName name="PI48___10">#REF!</definedName>
    <definedName name="PI48___12" localSheetId="6">#REF!</definedName>
    <definedName name="PI48___12">#REF!</definedName>
    <definedName name="PI48___2" localSheetId="6">#REF!</definedName>
    <definedName name="PI48___2">#REF!</definedName>
    <definedName name="PI48___3" localSheetId="6">#REF!</definedName>
    <definedName name="PI48___3">#REF!</definedName>
    <definedName name="PI48___4" localSheetId="6">#REF!</definedName>
    <definedName name="PI48___4">#REF!</definedName>
    <definedName name="PI48___5" localSheetId="6">#REF!</definedName>
    <definedName name="PI48___5">#REF!</definedName>
    <definedName name="PI48___7" localSheetId="6">#REF!</definedName>
    <definedName name="PI48___7">#REF!</definedName>
    <definedName name="PI48___8" localSheetId="6">#REF!</definedName>
    <definedName name="PI48___8">#REF!</definedName>
    <definedName name="PI48___9" localSheetId="6">#REF!</definedName>
    <definedName name="PI48___9">#REF!</definedName>
    <definedName name="PI60___0" localSheetId="6">#REF!</definedName>
    <definedName name="PI60___0">#REF!</definedName>
    <definedName name="PI60___10" localSheetId="6">#REF!</definedName>
    <definedName name="PI60___10">#REF!</definedName>
    <definedName name="PI60___12" localSheetId="6">#REF!</definedName>
    <definedName name="PI60___12">#REF!</definedName>
    <definedName name="PI60___2" localSheetId="6">#REF!</definedName>
    <definedName name="PI60___2">#REF!</definedName>
    <definedName name="PI60___3" localSheetId="6">#REF!</definedName>
    <definedName name="PI60___3">#REF!</definedName>
    <definedName name="PI60___4" localSheetId="6">#REF!</definedName>
    <definedName name="PI60___4">#REF!</definedName>
    <definedName name="PI60___5" localSheetId="6">#REF!</definedName>
    <definedName name="PI60___5">#REF!</definedName>
    <definedName name="PI60___7" localSheetId="6">#REF!</definedName>
    <definedName name="PI60___7">#REF!</definedName>
    <definedName name="PI60___8" localSheetId="6">#REF!</definedName>
    <definedName name="PI60___8">#REF!</definedName>
    <definedName name="PI60___9" localSheetId="6">#REF!</definedName>
    <definedName name="PI60___9">#REF!</definedName>
    <definedName name="Pmt_to_use" localSheetId="6">#REF!</definedName>
    <definedName name="Pmt_to_use">#REF!</definedName>
    <definedName name="PN" localSheetId="6">#REF!</definedName>
    <definedName name="PN">#REF!</definedName>
    <definedName name="PO" localSheetId="6">#REF!</definedName>
    <definedName name="PO">#REF!</definedName>
    <definedName name="POIU" localSheetId="6">#REF!</definedName>
    <definedName name="POIU">#REF!</definedName>
    <definedName name="POR1C1R59C22RTSQKS15C6LRTPPPPPT" localSheetId="6">#REF!</definedName>
    <definedName name="POR1C1R59C22RTSQKS15C6LRTPPPPPT">#REF!</definedName>
    <definedName name="PPO" localSheetId="6">#REF!</definedName>
    <definedName name="PPO">#REF!</definedName>
    <definedName name="PPP" localSheetId="6" hidden="1">#REF!</definedName>
    <definedName name="PPP" localSheetId="3" hidden="1">#REF!</definedName>
    <definedName name="PPP" hidden="1">#REF!</definedName>
    <definedName name="PPPPPPPP" localSheetId="6">#REF!</definedName>
    <definedName name="PPPPPPPP">#REF!</definedName>
    <definedName name="PR" localSheetId="6">#REF!</definedName>
    <definedName name="PR">#REF!</definedName>
    <definedName name="PRINT" localSheetId="6">#REF!</definedName>
    <definedName name="PRINT">#REF!</definedName>
    <definedName name="_xlnm.Print_Area" localSheetId="10">'01-기계소방내역'!$A$1:$M$185</definedName>
    <definedName name="_xlnm.Print_Area" localSheetId="0">'01-원가계산서- x'!$A$1:$G$33</definedName>
    <definedName name="_xlnm.Print_Area" localSheetId="5">'공사 원가계산서'!$A$1:$H$28</definedName>
    <definedName name="_xlnm.Print_Area" localSheetId="2">공사원가계산서!$A$1:$H$28</definedName>
    <definedName name="_xlnm.Print_Area" localSheetId="7">'내역 집계(전기)'!$B$1:$J$16</definedName>
    <definedName name="_xlnm.Print_Area" localSheetId="9">내역서!$B$1:$M$170</definedName>
    <definedName name="_xlnm.Print_Area" localSheetId="6">'내역서집계(전기+기계)'!$B$1:$J$16</definedName>
    <definedName name="_xlnm.Print_Area" localSheetId="11">노임단가!$A$1:$E$120</definedName>
    <definedName name="_xlnm.Print_Area" localSheetId="1">설계예산서!$A$1:$U$21</definedName>
    <definedName name="_xlnm.Print_Area" localSheetId="4">'설계예산서 '!$A$1:$U$21</definedName>
    <definedName name="_xlnm.Print_Area">#REF!</definedName>
    <definedName name="PRINT_AREA_MI" localSheetId="6">#REF!</definedName>
    <definedName name="PRINT_AREA_MI">#REF!</definedName>
    <definedName name="PRINT_TITLE" localSheetId="6">#REF!</definedName>
    <definedName name="PRINT_TITLE">#REF!</definedName>
    <definedName name="_xlnm.Print_Titles" localSheetId="10">'01-기계소방내역'!$1:$4</definedName>
    <definedName name="_xlnm.Print_Titles" localSheetId="9">내역서!$1:$2</definedName>
    <definedName name="_xlnm.Print_Titles" localSheetId="6">#REF!</definedName>
    <definedName name="_xlnm.Print_Titles" localSheetId="11">노임단가!$1:$3</definedName>
    <definedName name="_xlnm.Print_Titles" localSheetId="3">'집계표-x'!$A$1:$IV$1</definedName>
    <definedName name="_xlnm.Print_Titles">#REF!</definedName>
    <definedName name="PRINT_TITLES_MI" localSheetId="6">#REF!</definedName>
    <definedName name="PRINT_TITLES_MI">#REF!</definedName>
    <definedName name="PRO" localSheetId="6">#REF!</definedName>
    <definedName name="PRO">#REF!</definedName>
    <definedName name="Q" localSheetId="6">#REF!</definedName>
    <definedName name="Q">#REF!</definedName>
    <definedName name="qq" localSheetId="6">#REF!</definedName>
    <definedName name="qq">#REF!</definedName>
    <definedName name="qry대차대차대차" localSheetId="6">#REF!</definedName>
    <definedName name="qry대차대차대차">#REF!</definedName>
    <definedName name="qry대차종합1116_2" localSheetId="6">#REF!</definedName>
    <definedName name="qry대차종합1116_2">#REF!</definedName>
    <definedName name="qry대차품목별입고예정일" localSheetId="6">#REF!</definedName>
    <definedName name="qry대차품목별입고예정일">#REF!</definedName>
    <definedName name="QW" localSheetId="6">#REF!</definedName>
    <definedName name="QW">#REF!</definedName>
    <definedName name="qwe" localSheetId="6">#REF!</definedName>
    <definedName name="qwe">#REF!</definedName>
    <definedName name="QWEER" localSheetId="6">#REF!</definedName>
    <definedName name="QWEER">#REF!</definedName>
    <definedName name="QWER" localSheetId="6">#REF!</definedName>
    <definedName name="QWER">#REF!</definedName>
    <definedName name="RACK" localSheetId="6">#REF!</definedName>
    <definedName name="RACK">#REF!</definedName>
    <definedName name="range1" localSheetId="6">#REF!</definedName>
    <definedName name="range1">#REF!</definedName>
    <definedName name="range2" localSheetId="6">#REF!</definedName>
    <definedName name="range2">#REF!</definedName>
    <definedName name="range3" localSheetId="6">#REF!</definedName>
    <definedName name="range3">#REF!</definedName>
    <definedName name="RATE" localSheetId="6">#REF!</definedName>
    <definedName name="RATE">#REF!</definedName>
    <definedName name="_xlnm.Recorder" localSheetId="6">#REF!</definedName>
    <definedName name="_xlnm.Recorder">#REF!</definedName>
    <definedName name="riipd" localSheetId="6">#REF!</definedName>
    <definedName name="riipd">#REF!</definedName>
    <definedName name="RK" localSheetId="0" hidden="1">[3]수량산출!#REF!</definedName>
    <definedName name="RK" localSheetId="6" hidden="1">[3]수량산출!#REF!</definedName>
    <definedName name="RK" localSheetId="3" hidden="1">[3]수량산출!#REF!</definedName>
    <definedName name="RK" hidden="1">[3]수량산출!#REF!</definedName>
    <definedName name="RKFL" localSheetId="6">#REF!</definedName>
    <definedName name="RKFL">#REF!</definedName>
    <definedName name="rkstjs" localSheetId="3">'집계표-x'!rkstjs</definedName>
    <definedName name="rkstjs">[1]!rkstjs</definedName>
    <definedName name="RL" localSheetId="6">#REF!</definedName>
    <definedName name="RL">#REF!</definedName>
    <definedName name="rlr" localSheetId="6">#REF!</definedName>
    <definedName name="rlr">#REF!</definedName>
    <definedName name="RO110___0" localSheetId="6">#REF!</definedName>
    <definedName name="RO110___0">#REF!</definedName>
    <definedName name="RO110___10" localSheetId="6">#REF!</definedName>
    <definedName name="RO110___10">#REF!</definedName>
    <definedName name="RO110___12" localSheetId="6">#REF!</definedName>
    <definedName name="RO110___12">#REF!</definedName>
    <definedName name="RO110___2" localSheetId="6">#REF!</definedName>
    <definedName name="RO110___2">#REF!</definedName>
    <definedName name="RO110___3" localSheetId="6">#REF!</definedName>
    <definedName name="RO110___3">#REF!</definedName>
    <definedName name="RO110___4" localSheetId="6">#REF!</definedName>
    <definedName name="RO110___4">#REF!</definedName>
    <definedName name="RO110___5" localSheetId="6">#REF!</definedName>
    <definedName name="RO110___5">#REF!</definedName>
    <definedName name="RO110___7" localSheetId="6">#REF!</definedName>
    <definedName name="RO110___7">#REF!</definedName>
    <definedName name="RO110___8" localSheetId="6">#REF!</definedName>
    <definedName name="RO110___8">#REF!</definedName>
    <definedName name="RO110___9" localSheetId="6">#REF!</definedName>
    <definedName name="RO110___9">#REF!</definedName>
    <definedName name="RO22___0" localSheetId="6">#REF!</definedName>
    <definedName name="RO22___0">#REF!</definedName>
    <definedName name="RO22___10" localSheetId="6">#REF!</definedName>
    <definedName name="RO22___10">#REF!</definedName>
    <definedName name="RO22___12" localSheetId="6">#REF!</definedName>
    <definedName name="RO22___12">#REF!</definedName>
    <definedName name="RO22___2" localSheetId="6">#REF!</definedName>
    <definedName name="RO22___2">#REF!</definedName>
    <definedName name="RO22___3" localSheetId="6">#REF!</definedName>
    <definedName name="RO22___3">#REF!</definedName>
    <definedName name="RO22___4" localSheetId="6">#REF!</definedName>
    <definedName name="RO22___4">#REF!</definedName>
    <definedName name="RO22___5" localSheetId="6">#REF!</definedName>
    <definedName name="RO22___5">#REF!</definedName>
    <definedName name="RO22___7" localSheetId="6">#REF!</definedName>
    <definedName name="RO22___7">#REF!</definedName>
    <definedName name="RO22___8" localSheetId="6">#REF!</definedName>
    <definedName name="RO22___8">#REF!</definedName>
    <definedName name="RO22___9" localSheetId="6">#REF!</definedName>
    <definedName name="RO22___9">#REF!</definedName>
    <definedName name="RO35___0" localSheetId="6">#REF!</definedName>
    <definedName name="RO35___0">#REF!</definedName>
    <definedName name="RO35___10" localSheetId="6">#REF!</definedName>
    <definedName name="RO35___10">#REF!</definedName>
    <definedName name="RO35___12" localSheetId="6">#REF!</definedName>
    <definedName name="RO35___12">#REF!</definedName>
    <definedName name="RO35___2" localSheetId="6">#REF!</definedName>
    <definedName name="RO35___2">#REF!</definedName>
    <definedName name="RO35___3" localSheetId="6">#REF!</definedName>
    <definedName name="RO35___3">#REF!</definedName>
    <definedName name="RO35___4" localSheetId="6">#REF!</definedName>
    <definedName name="RO35___4">#REF!</definedName>
    <definedName name="RO35___5" localSheetId="6">#REF!</definedName>
    <definedName name="RO35___5">#REF!</definedName>
    <definedName name="RO35___7" localSheetId="6">#REF!</definedName>
    <definedName name="RO35___7">#REF!</definedName>
    <definedName name="RO35___8" localSheetId="6">#REF!</definedName>
    <definedName name="RO35___8">#REF!</definedName>
    <definedName name="RO35___9" localSheetId="6">#REF!</definedName>
    <definedName name="RO35___9">#REF!</definedName>
    <definedName name="RO60___0" localSheetId="6">#REF!</definedName>
    <definedName name="RO60___0">#REF!</definedName>
    <definedName name="RO60___10" localSheetId="6">#REF!</definedName>
    <definedName name="RO60___10">#REF!</definedName>
    <definedName name="RO60___12" localSheetId="6">#REF!</definedName>
    <definedName name="RO60___12">#REF!</definedName>
    <definedName name="RO60___2" localSheetId="6">#REF!</definedName>
    <definedName name="RO60___2">#REF!</definedName>
    <definedName name="RO60___3" localSheetId="6">#REF!</definedName>
    <definedName name="RO60___3">#REF!</definedName>
    <definedName name="RO60___4" localSheetId="6">#REF!</definedName>
    <definedName name="RO60___4">#REF!</definedName>
    <definedName name="RO60___5" localSheetId="6">#REF!</definedName>
    <definedName name="RO60___5">#REF!</definedName>
    <definedName name="RO60___7" localSheetId="6">#REF!</definedName>
    <definedName name="RO60___7">#REF!</definedName>
    <definedName name="RO60___8" localSheetId="6">#REF!</definedName>
    <definedName name="RO60___8">#REF!</definedName>
    <definedName name="RO60___9" localSheetId="6">#REF!</definedName>
    <definedName name="RO60___9">#REF!</definedName>
    <definedName name="RO80___0" localSheetId="6">#REF!</definedName>
    <definedName name="RO80___0">#REF!</definedName>
    <definedName name="RO80___10" localSheetId="6">#REF!</definedName>
    <definedName name="RO80___10">#REF!</definedName>
    <definedName name="RO80___12" localSheetId="6">#REF!</definedName>
    <definedName name="RO80___12">#REF!</definedName>
    <definedName name="RO80___2" localSheetId="6">#REF!</definedName>
    <definedName name="RO80___2">#REF!</definedName>
    <definedName name="RO80___3" localSheetId="6">#REF!</definedName>
    <definedName name="RO80___3">#REF!</definedName>
    <definedName name="RO80___4" localSheetId="6">#REF!</definedName>
    <definedName name="RO80___4">#REF!</definedName>
    <definedName name="RO80___5" localSheetId="6">#REF!</definedName>
    <definedName name="RO80___5">#REF!</definedName>
    <definedName name="RO80___7" localSheetId="6">#REF!</definedName>
    <definedName name="RO80___7">#REF!</definedName>
    <definedName name="RO80___8" localSheetId="6">#REF!</definedName>
    <definedName name="RO80___8">#REF!</definedName>
    <definedName name="RO80___9" localSheetId="6">#REF!</definedName>
    <definedName name="RO80___9">#REF!</definedName>
    <definedName name="rowclm">MOD(ROW(),2)</definedName>
    <definedName name="RRR" localSheetId="6">#REF!</definedName>
    <definedName name="RRR">#REF!</definedName>
    <definedName name="RT" localSheetId="6">#REF!</definedName>
    <definedName name="RT">#REF!</definedName>
    <definedName name="RTCLSPDKRT" localSheetId="6">#REF!</definedName>
    <definedName name="RTCLSPDKRT">#REF!</definedName>
    <definedName name="RTCLSPRTDK" localSheetId="6">#REF!</definedName>
    <definedName name="RTCLSPRTDK">#REF!</definedName>
    <definedName name="S" localSheetId="6">#REF!</definedName>
    <definedName name="S">#REF!</definedName>
    <definedName name="S_F" localSheetId="6">#REF!</definedName>
    <definedName name="S_F">#REF!</definedName>
    <definedName name="SA_P" localSheetId="6">ROUND(SUM([1]!SC,[1]!SN,[1]!SO)*100/694,1)</definedName>
    <definedName name="SA_P">ROUND(SUM([1]!SC,[1]!SN,[1]!SO)*100/694,1)</definedName>
    <definedName name="SAPBEXdnldView" hidden="1">"41UZB7GLN48S0KSOKHEOLAP7A"</definedName>
    <definedName name="SAPBEXsysID" hidden="1">"BWP"</definedName>
    <definedName name="SC" localSheetId="6">COUNTIF(#REF!,#REF!)</definedName>
    <definedName name="SC">COUNTIF(#REF!,#REF!)</definedName>
    <definedName name="SC_P">ROUND([1]!SC*100/186,1)</definedName>
    <definedName name="SCC" localSheetId="6">#REF!</definedName>
    <definedName name="SCC">#REF!</definedName>
    <definedName name="SCH" localSheetId="6">#REF!</definedName>
    <definedName name="SCH">#REF!</definedName>
    <definedName name="sdakfj" localSheetId="6">#REF!</definedName>
    <definedName name="sdakfj">#REF!</definedName>
    <definedName name="SDF" localSheetId="6">#REF!</definedName>
    <definedName name="SDF">#REF!</definedName>
    <definedName name="SDF___0" localSheetId="6">#REF!</definedName>
    <definedName name="SDF___0">#REF!</definedName>
    <definedName name="SDF___11" localSheetId="6">#REF!</definedName>
    <definedName name="SDF___11">#REF!</definedName>
    <definedName name="SDF___12" localSheetId="6">#REF!</definedName>
    <definedName name="SDF___12">#REF!</definedName>
    <definedName name="SDF___8" localSheetId="6">#REF!</definedName>
    <definedName name="SDF___8">#REF!</definedName>
    <definedName name="SDFHK" localSheetId="6">#REF!</definedName>
    <definedName name="SDFHK">#REF!</definedName>
    <definedName name="sdfjk" localSheetId="6">#REF!</definedName>
    <definedName name="sdfjk">#REF!</definedName>
    <definedName name="sdjfkl" localSheetId="6">#REF!</definedName>
    <definedName name="sdjfkl">#REF!</definedName>
    <definedName name="SDJI" localSheetId="6">#REF!</definedName>
    <definedName name="SDJI">#REF!</definedName>
    <definedName name="SH" localSheetId="6">#REF!</definedName>
    <definedName name="SH">#REF!</definedName>
    <definedName name="SIDE" localSheetId="6">#REF!</definedName>
    <definedName name="SIDE">#REF!</definedName>
    <definedName name="sjrhei" localSheetId="6">#REF!</definedName>
    <definedName name="sjrhei">#REF!</definedName>
    <definedName name="skadjf" localSheetId="6">#REF!</definedName>
    <definedName name="skadjf">#REF!</definedName>
    <definedName name="SLID" localSheetId="6">#REF!</definedName>
    <definedName name="SLID">#REF!</definedName>
    <definedName name="SM" localSheetId="6">#REF!</definedName>
    <definedName name="SM">#REF!</definedName>
    <definedName name="SN_P" localSheetId="6">ROUND([1]!SN*100/325,1)</definedName>
    <definedName name="SN_P">ROUND([1]!SN*100/325,1)</definedName>
    <definedName name="SO" localSheetId="6">COUNTIF(#REF!,#REF!)</definedName>
    <definedName name="SO">COUNTIF(#REF!,#REF!)</definedName>
    <definedName name="SO_P">ROUND([1]!SO*100/183,1)</definedName>
    <definedName name="SORT" localSheetId="0" hidden="1">#REF!</definedName>
    <definedName name="SORT" localSheetId="6" hidden="1">#REF!</definedName>
    <definedName name="SORT" hidden="1">#REF!</definedName>
    <definedName name="SS" localSheetId="6">#REF!</definedName>
    <definedName name="SS">#REF!</definedName>
    <definedName name="SS___0" localSheetId="6">#REF!</definedName>
    <definedName name="SS___0">#REF!</definedName>
    <definedName name="SS___11" localSheetId="6">#REF!</definedName>
    <definedName name="SS___11">#REF!</definedName>
    <definedName name="SS___12" localSheetId="6">#REF!</definedName>
    <definedName name="SS___12">#REF!</definedName>
    <definedName name="SS___8" localSheetId="6">#REF!</definedName>
    <definedName name="SS___8">#REF!</definedName>
    <definedName name="SSS" localSheetId="6">#REF!</definedName>
    <definedName name="SSS">#REF!</definedName>
    <definedName name="SSS___0" localSheetId="6">#REF!</definedName>
    <definedName name="SSS___0">#REF!</definedName>
    <definedName name="SSS___11" localSheetId="6">#REF!</definedName>
    <definedName name="SSS___11">#REF!</definedName>
    <definedName name="SSS___12" localSheetId="6">#REF!</definedName>
    <definedName name="SSS___12">#REF!</definedName>
    <definedName name="SSS___8" localSheetId="6">#REF!</definedName>
    <definedName name="SSS___8">#REF!</definedName>
    <definedName name="SSSS" localSheetId="6">#REF!</definedName>
    <definedName name="SSSS">#REF!</definedName>
    <definedName name="SSSS___0" localSheetId="6">#REF!</definedName>
    <definedName name="SSSS___0">#REF!</definedName>
    <definedName name="SSSS___11" localSheetId="6">#REF!</definedName>
    <definedName name="SSSS___11">#REF!</definedName>
    <definedName name="SSSS___12" localSheetId="6">#REF!</definedName>
    <definedName name="SSSS___12">#REF!</definedName>
    <definedName name="SSSS___8" localSheetId="6">#REF!</definedName>
    <definedName name="SSSS___8">#REF!</definedName>
    <definedName name="SSSSS" localSheetId="6">#REF!</definedName>
    <definedName name="SSSSS">#REF!</definedName>
    <definedName name="SSSSS___0" localSheetId="6">#REF!</definedName>
    <definedName name="SSSSS___0">#REF!</definedName>
    <definedName name="SSSSS___11" localSheetId="6">#REF!</definedName>
    <definedName name="SSSSS___11">#REF!</definedName>
    <definedName name="SSSSS___12" localSheetId="6">#REF!</definedName>
    <definedName name="SSSSS___12">#REF!</definedName>
    <definedName name="SSSSS___8" localSheetId="6">#REF!</definedName>
    <definedName name="SSSSS___8">#REF!</definedName>
    <definedName name="SSSSSS" localSheetId="6">#REF!</definedName>
    <definedName name="SSSSSS">#REF!</definedName>
    <definedName name="SSSSSS___0" localSheetId="6">#REF!</definedName>
    <definedName name="SSSSSS___0">#REF!</definedName>
    <definedName name="SSSSSS___11" localSheetId="6">#REF!</definedName>
    <definedName name="SSSSSS___11">#REF!</definedName>
    <definedName name="SSSSSS___12" localSheetId="6">#REF!</definedName>
    <definedName name="SSSSSS___12">#REF!</definedName>
    <definedName name="SSSSSS___8" localSheetId="6">#REF!</definedName>
    <definedName name="SSSSSS___8">#REF!</definedName>
    <definedName name="SUBT1" localSheetId="6">#REF!</definedName>
    <definedName name="SUBT1">#REF!</definedName>
    <definedName name="SUBT2" localSheetId="6">#REF!</definedName>
    <definedName name="SUBT2">#REF!</definedName>
    <definedName name="SUBT3" localSheetId="6">#REF!</definedName>
    <definedName name="SUBT3">#REF!</definedName>
    <definedName name="SupplyH" localSheetId="6">#REF!</definedName>
    <definedName name="SupplyH">#REF!</definedName>
    <definedName name="SupplyT" localSheetId="6">#REF!</definedName>
    <definedName name="SupplyT">#REF!</definedName>
    <definedName name="T" localSheetId="6">#REF!</definedName>
    <definedName name="T">#REF!</definedName>
    <definedName name="tblBogie가격" localSheetId="6">#REF!</definedName>
    <definedName name="tblBogie가격">#REF!</definedName>
    <definedName name="tbl대차현황" localSheetId="6">#REF!</definedName>
    <definedName name="tbl대차현황">#REF!</definedName>
    <definedName name="Term_in_years" localSheetId="6">#REF!</definedName>
    <definedName name="Term_in_years">#REF!</definedName>
    <definedName name="TLFTN" localSheetId="3">'집계표-x'!TLFTN</definedName>
    <definedName name="TLFTN">[1]!TLFTN</definedName>
    <definedName name="TON1___0" localSheetId="6">#REF!</definedName>
    <definedName name="TON1___0">#REF!</definedName>
    <definedName name="TON1___10" localSheetId="6">#REF!</definedName>
    <definedName name="TON1___10">#REF!</definedName>
    <definedName name="TON1___12" localSheetId="6">#REF!</definedName>
    <definedName name="TON1___12">#REF!</definedName>
    <definedName name="TON1___2" localSheetId="6">#REF!</definedName>
    <definedName name="TON1___2">#REF!</definedName>
    <definedName name="TON1___3" localSheetId="6">#REF!</definedName>
    <definedName name="TON1___3">#REF!</definedName>
    <definedName name="TON1___4" localSheetId="6">#REF!</definedName>
    <definedName name="TON1___4">#REF!</definedName>
    <definedName name="TON1___5" localSheetId="6">#REF!</definedName>
    <definedName name="TON1___5">#REF!</definedName>
    <definedName name="TON1___7" localSheetId="6">#REF!</definedName>
    <definedName name="TON1___7">#REF!</definedName>
    <definedName name="TON1___8" localSheetId="6">#REF!</definedName>
    <definedName name="TON1___8">#REF!</definedName>
    <definedName name="TON1___9" localSheetId="6">#REF!</definedName>
    <definedName name="TON1___9">#REF!</definedName>
    <definedName name="TON2___0" localSheetId="6">#REF!</definedName>
    <definedName name="TON2___0">#REF!</definedName>
    <definedName name="TON2___10" localSheetId="6">#REF!</definedName>
    <definedName name="TON2___10">#REF!</definedName>
    <definedName name="TON2___12" localSheetId="6">#REF!</definedName>
    <definedName name="TON2___12">#REF!</definedName>
    <definedName name="TON2___2" localSheetId="6">#REF!</definedName>
    <definedName name="TON2___2">#REF!</definedName>
    <definedName name="TON2___3" localSheetId="6">#REF!</definedName>
    <definedName name="TON2___3">#REF!</definedName>
    <definedName name="TON2___4" localSheetId="6">#REF!</definedName>
    <definedName name="TON2___4">#REF!</definedName>
    <definedName name="TON2___5" localSheetId="6">#REF!</definedName>
    <definedName name="TON2___5">#REF!</definedName>
    <definedName name="TON2___7" localSheetId="6">#REF!</definedName>
    <definedName name="TON2___7">#REF!</definedName>
    <definedName name="TON2___8" localSheetId="6">#REF!</definedName>
    <definedName name="TON2___8">#REF!</definedName>
    <definedName name="TON2___9" localSheetId="6">#REF!</definedName>
    <definedName name="TON2___9">#REF!</definedName>
    <definedName name="TOTALNAME">IF([1]!ENG=[1]!HAN,[1]!ENG,[1]!ENG&amp;" ("&amp;[1]!HAN&amp;")")</definedName>
    <definedName name="TOTALNAME1">IF([1]!_ENG1=[1]!_HAN1,[1]!_ENG1,[1]!_ENG1&amp;" ("&amp;[1]!_HAN1&amp;")")</definedName>
    <definedName name="TOTALNAME2">IF([1]!_ENG2=[1]!_HAN2,[1]!_ENG2,[1]!_ENG2&amp;" ("&amp;[1]!_HAN2&amp;")")</definedName>
    <definedName name="TOTALNAME3">IF([1]!_ENG3=[1]!_HAN3,[1]!_ENG3,[1]!_ENG3&amp;" ("&amp;[1]!_HAN3&amp;")")</definedName>
    <definedName name="TTTT" localSheetId="0" hidden="1">#REF!</definedName>
    <definedName name="TTTT" localSheetId="6" hidden="1">#REF!</definedName>
    <definedName name="TTTT" localSheetId="3" hidden="1">#REF!</definedName>
    <definedName name="TTTT" hidden="1">#REF!</definedName>
    <definedName name="UA" localSheetId="6">#REF!</definedName>
    <definedName name="UA">#REF!</definedName>
    <definedName name="UM" localSheetId="6">#REF!</definedName>
    <definedName name="UM">#REF!</definedName>
    <definedName name="UNIT" localSheetId="6">#REF!</definedName>
    <definedName name="UNIT">#REF!</definedName>
    <definedName name="UP" localSheetId="6">#REF!</definedName>
    <definedName name="UP">#REF!</definedName>
    <definedName name="USD" localSheetId="6">#REF!</definedName>
    <definedName name="USD">#REF!</definedName>
    <definedName name="uu" localSheetId="6">#REF!</definedName>
    <definedName name="uu">#REF!</definedName>
    <definedName name="UUU" localSheetId="6">#REF!</definedName>
    <definedName name="UUU">#REF!</definedName>
    <definedName name="V" localSheetId="6">BlankMacro1</definedName>
    <definedName name="V">BlankMacro1</definedName>
    <definedName name="VAT" localSheetId="6">#REF!</definedName>
    <definedName name="VAT">#REF!</definedName>
    <definedName name="vsumUK1RT" localSheetId="6">#REF!</definedName>
    <definedName name="vsumUK1RT">#REF!</definedName>
    <definedName name="vv" localSheetId="6">#REF!</definedName>
    <definedName name="vv">#REF!</definedName>
    <definedName name="w" localSheetId="6">#REF!</definedName>
    <definedName name="w">#REF!</definedName>
    <definedName name="WEDGE" localSheetId="6">#REF!</definedName>
    <definedName name="WEDGE">#REF!</definedName>
    <definedName name="WEIGHT" localSheetId="6">#REF!</definedName>
    <definedName name="WEIGHT">#REF!</definedName>
    <definedName name="WEQ" localSheetId="6">#REF!</definedName>
    <definedName name="WEQ">#REF!</definedName>
    <definedName name="wessdd" localSheetId="6">#REF!</definedName>
    <definedName name="wessdd">#REF!</definedName>
    <definedName name="WEW" localSheetId="6">#REF!</definedName>
    <definedName name="WEW">#REF!</definedName>
    <definedName name="wp" localSheetId="6">#REF!</definedName>
    <definedName name="wp">#REF!</definedName>
    <definedName name="WRITE" localSheetId="0" hidden="1">{#N/A,#N/A,FALSE,"CCTV"}</definedName>
    <definedName name="WRITE" localSheetId="3" hidden="1">{#N/A,#N/A,FALSE,"CCTV"}</definedName>
    <definedName name="WRITE" hidden="1">{#N/A,#N/A,FALSE,"CCTV"}</definedName>
    <definedName name="wrn.BM." localSheetId="0" hidden="1">{#N/A,#N/A,FALSE,"CCTV"}</definedName>
    <definedName name="wrn.BM." localSheetId="3" hidden="1">{#N/A,#N/A,FALSE,"CCTV"}</definedName>
    <definedName name="wrn.BM." hidden="1">{#N/A,#N/A,FALSE,"CCTV"}</definedName>
    <definedName name="wrn.test1." localSheetId="0" hidden="1">{#N/A,#N/A,FALSE,"명세표"}</definedName>
    <definedName name="wrn.test1." localSheetId="5" hidden="1">{#N/A,#N/A,FALSE,"명세표"}</definedName>
    <definedName name="wrn.test1." localSheetId="2" hidden="1">{#N/A,#N/A,FALSE,"명세표"}</definedName>
    <definedName name="wrn.test1." hidden="1">{#N/A,#N/A,FALSE,"명세표"}</definedName>
    <definedName name="WT" localSheetId="6">#REF!</definedName>
    <definedName name="WT">#REF!</definedName>
    <definedName name="ww" localSheetId="6" hidden="1">[2]내역서!#REF!</definedName>
    <definedName name="ww" hidden="1">[2]내역서!#REF!</definedName>
    <definedName name="WW2___0" localSheetId="6">#REF!</definedName>
    <definedName name="WW2___0">#REF!</definedName>
    <definedName name="WW2___10" localSheetId="6">#REF!</definedName>
    <definedName name="WW2___10">#REF!</definedName>
    <definedName name="WW2___12" localSheetId="6">#REF!</definedName>
    <definedName name="WW2___12">#REF!</definedName>
    <definedName name="WW2___2" localSheetId="6">#REF!</definedName>
    <definedName name="WW2___2">#REF!</definedName>
    <definedName name="WW2___3" localSheetId="6">#REF!</definedName>
    <definedName name="WW2___3">#REF!</definedName>
    <definedName name="WW2___4" localSheetId="6">#REF!</definedName>
    <definedName name="WW2___4">#REF!</definedName>
    <definedName name="WW2___5" localSheetId="6">#REF!</definedName>
    <definedName name="WW2___5">#REF!</definedName>
    <definedName name="WW2___7" localSheetId="6">#REF!</definedName>
    <definedName name="WW2___7">#REF!</definedName>
    <definedName name="WW2___8" localSheetId="6">#REF!</definedName>
    <definedName name="WW2___8">#REF!</definedName>
    <definedName name="WW2___9" localSheetId="6">#REF!</definedName>
    <definedName name="WW2___9">#REF!</definedName>
    <definedName name="WW6___0" localSheetId="6">#REF!</definedName>
    <definedName name="WW6___0">#REF!</definedName>
    <definedName name="WW6___10" localSheetId="6">#REF!</definedName>
    <definedName name="WW6___10">#REF!</definedName>
    <definedName name="WW6___12" localSheetId="6">#REF!</definedName>
    <definedName name="WW6___12">#REF!</definedName>
    <definedName name="WW6___2" localSheetId="6">#REF!</definedName>
    <definedName name="WW6___2">#REF!</definedName>
    <definedName name="WW6___3" localSheetId="6">#REF!</definedName>
    <definedName name="WW6___3">#REF!</definedName>
    <definedName name="WW6___4" localSheetId="6">#REF!</definedName>
    <definedName name="WW6___4">#REF!</definedName>
    <definedName name="WW6___5" localSheetId="6">#REF!</definedName>
    <definedName name="WW6___5">#REF!</definedName>
    <definedName name="WW6___7" localSheetId="6">#REF!</definedName>
    <definedName name="WW6___7">#REF!</definedName>
    <definedName name="WW6___8" localSheetId="6">#REF!</definedName>
    <definedName name="WW6___8">#REF!</definedName>
    <definedName name="WW6___9" localSheetId="6">#REF!</definedName>
    <definedName name="WW6___9">#REF!</definedName>
    <definedName name="WWD" localSheetId="6">#REF!</definedName>
    <definedName name="WWD">#REF!</definedName>
    <definedName name="x" localSheetId="6">#REF!</definedName>
    <definedName name="X" localSheetId="3">BlankMacro1</definedName>
    <definedName name="x">#REF!</definedName>
    <definedName name="X2_" localSheetId="6">#REF!</definedName>
    <definedName name="X2_">#REF!</definedName>
    <definedName name="Y" localSheetId="6">BlankMacro1</definedName>
    <definedName name="Y" localSheetId="3">BlankMacro1</definedName>
    <definedName name="Y">BlankMacro1</definedName>
    <definedName name="yyy" hidden="1">[5]수량산출!$A$1:$A$8561</definedName>
    <definedName name="z" localSheetId="6">#REF!</definedName>
    <definedName name="z">#REF!</definedName>
    <definedName name="ZZ" localSheetId="6">#REF!</definedName>
    <definedName name="ZZ">#REF!</definedName>
    <definedName name="ㄱ" localSheetId="0" hidden="1">[6]수량산출!#REF!</definedName>
    <definedName name="ㄱ" localSheetId="6" hidden="1">[6]수량산출!#REF!</definedName>
    <definedName name="ㄱ" localSheetId="3" hidden="1">[6]수량산출!#REF!</definedName>
    <definedName name="ㄱ" hidden="1">[6]수량산출!#REF!</definedName>
    <definedName name="ㄱㄱ" localSheetId="0" hidden="1">{#N/A,#N/A,FALSE,"명세표"}</definedName>
    <definedName name="ㄱㄱ" localSheetId="5" hidden="1">{#N/A,#N/A,FALSE,"명세표"}</definedName>
    <definedName name="ㄱㄱ" localSheetId="2" hidden="1">{#N/A,#N/A,FALSE,"명세표"}</definedName>
    <definedName name="ㄱㄱ" hidden="1">{#N/A,#N/A,FALSE,"명세표"}</definedName>
    <definedName name="ㄱㄱㄱㄱㄱ" localSheetId="6">#REF!</definedName>
    <definedName name="ㄱㄱㄱㄱㄱ">#REF!</definedName>
    <definedName name="ㄱㄷ" localSheetId="3">'집계표-x'!ㄱㄷ</definedName>
    <definedName name="가" localSheetId="0">#REF!</definedName>
    <definedName name="가" localSheetId="3">#REF!</definedName>
    <definedName name="가" hidden="1">[7]수량산출!$A$3:$H$8539</definedName>
    <definedName name="가1" localSheetId="6">#REF!</definedName>
    <definedName name="가1">#REF!</definedName>
    <definedName name="가2" localSheetId="6">#REF!</definedName>
    <definedName name="가2">#REF!</definedName>
    <definedName name="가3" localSheetId="6">#REF!</definedName>
    <definedName name="가3">#REF!</definedName>
    <definedName name="가가" localSheetId="3">BlankMacro1</definedName>
    <definedName name="가공조립가공" localSheetId="6">ROUND(SUM([1]!DCC,[1]!DCO,[1]!DCN)*100/#REF!,1)</definedName>
    <definedName name="가공조립가공">ROUND(SUM([1]!DCC,[1]!DCO,[1]!DCN)*100/#REF!,1)</definedName>
    <definedName name="가나" localSheetId="6">#REF!</definedName>
    <definedName name="가나">#REF!</definedName>
    <definedName name="가링" localSheetId="6">#REF!</definedName>
    <definedName name="가링">#REF!</definedName>
    <definedName name="가스" localSheetId="0" hidden="1">{#N/A,#N/A,FALSE,"CCTV"}</definedName>
    <definedName name="가스" localSheetId="3" hidden="1">{#N/A,#N/A,FALSE,"CCTV"}</definedName>
    <definedName name="가스" hidden="1">{#N/A,#N/A,FALSE,"CCTV"}</definedName>
    <definedName name="가아" localSheetId="0" hidden="1">[8]수량산출!#REF!</definedName>
    <definedName name="가아" localSheetId="6" hidden="1">[9]수량산출!#REF!</definedName>
    <definedName name="가아" localSheetId="3" hidden="1">[9]수량산출!#REF!</definedName>
    <definedName name="가아" hidden="1">[9]수량산출!#REF!</definedName>
    <definedName name="간노율">#N/A</definedName>
    <definedName name="간선변경" localSheetId="6">BlankMacro1</definedName>
    <definedName name="간선변경" localSheetId="3">BlankMacro1</definedName>
    <definedName name="간선변경">BlankMacro1</definedName>
    <definedName name="간접노무비" localSheetId="6">#REF!</definedName>
    <definedName name="간접노무비">#REF!</definedName>
    <definedName name="감가" localSheetId="6">#REF!</definedName>
    <definedName name="감가">#REF!</definedName>
    <definedName name="갑" localSheetId="6">#REF!</definedName>
    <definedName name="갑">#REF!</definedName>
    <definedName name="갑03" localSheetId="6">#REF!</definedName>
    <definedName name="갑03">#REF!</definedName>
    <definedName name="갑지" localSheetId="6">#REF!</definedName>
    <definedName name="갑지">#REF!</definedName>
    <definedName name="갑지총계" localSheetId="6">#REF!</definedName>
    <definedName name="갑지총계">#REF!</definedName>
    <definedName name="갑진01" localSheetId="6">#REF!,#REF!</definedName>
    <definedName name="갑진01">#REF!,#REF!</definedName>
    <definedName name="강" localSheetId="6">#REF!</definedName>
    <definedName name="강">#REF!</definedName>
    <definedName name="강아지" localSheetId="0" hidden="1">#REF!</definedName>
    <definedName name="강아지" localSheetId="6" hidden="1">#REF!</definedName>
    <definedName name="강아지" localSheetId="3" hidden="1">#REF!</definedName>
    <definedName name="강아지" hidden="1">#REF!</definedName>
    <definedName name="강의" localSheetId="6">#REF!</definedName>
    <definedName name="강의">#REF!</definedName>
    <definedName name="거ㅏ" hidden="1">[6]수량산출!$A$3:$H$8539</definedName>
    <definedName name="건축원가" localSheetId="0" hidden="1">[9]전기!$B$4:$B$163</definedName>
    <definedName name="건축원가" hidden="1">[10]전기!$B$4:$B$163</definedName>
    <definedName name="겉표지" localSheetId="6">#REF!</definedName>
    <definedName name="겉표지">#REF!</definedName>
    <definedName name="견적" localSheetId="0" hidden="1">[10]내역서1999.8최종!$A$1:$A$2438</definedName>
    <definedName name="견적" hidden="1">[11]내역서1999.8최종!$A$1:$A$2438</definedName>
    <definedName name="견적탱크" localSheetId="6">#REF!</definedName>
    <definedName name="견적탱크">#REF!</definedName>
    <definedName name="결정치" localSheetId="6">#REF!</definedName>
    <definedName name="결정치">#REF!</definedName>
    <definedName name="경비" localSheetId="6">#REF!</definedName>
    <definedName name="경비">#REF!</definedName>
    <definedName name="경유가격" localSheetId="3">'집계표-x'!경유가격</definedName>
    <definedName name="경유가격">[1]!경유가격</definedName>
    <definedName name="공">[1]!공</definedName>
    <definedName name="공간노">#N/A</definedName>
    <definedName name="공급가액" localSheetId="6">#REF!</definedName>
    <definedName name="공급가액">#REF!</definedName>
    <definedName name="공사명" localSheetId="6">#REF!</definedName>
    <definedName name="공사명">#REF!</definedName>
    <definedName name="공사비" localSheetId="6">#REF!</definedName>
    <definedName name="공사비">#REF!</definedName>
    <definedName name="공수계" localSheetId="6">#REF!</definedName>
    <definedName name="공수계">#REF!</definedName>
    <definedName name="공장동" localSheetId="0" hidden="1">#REF!</definedName>
    <definedName name="공장동" localSheetId="6" hidden="1">#REF!</definedName>
    <definedName name="공장동" hidden="1">#REF!</definedName>
    <definedName name="공정">[1]!공정</definedName>
    <definedName name="관급" localSheetId="6">#REF!,#REF!,#REF!</definedName>
    <definedName name="관급">#REF!,#REF!,#REF!</definedName>
    <definedName name="관급단가" localSheetId="6">#REF!</definedName>
    <definedName name="관급단가">#REF!</definedName>
    <definedName name="관급자재" localSheetId="6">#REF!</definedName>
    <definedName name="관급자재">#REF!</definedName>
    <definedName name="관급자재비" localSheetId="6">#REF!</definedName>
    <definedName name="관급자재비">#REF!</definedName>
    <definedName name="구조" localSheetId="6">#REF!</definedName>
    <definedName name="구조">#REF!</definedName>
    <definedName name="그래픽" localSheetId="6">#REF!</definedName>
    <definedName name="그래픽">#REF!</definedName>
    <definedName name="金額" localSheetId="6">#REF!</definedName>
    <definedName name="金額">#REF!</definedName>
    <definedName name="기계변대" localSheetId="0" hidden="1">{#N/A,#N/A,FALSE,"명세표"}</definedName>
    <definedName name="기계변대" localSheetId="5" hidden="1">{#N/A,#N/A,FALSE,"명세표"}</definedName>
    <definedName name="기계변대" localSheetId="2" hidden="1">{#N/A,#N/A,FALSE,"명세표"}</definedName>
    <definedName name="기계변대" hidden="1">{#N/A,#N/A,FALSE,"명세표"}</definedName>
    <definedName name="기계화" localSheetId="6">#REF!</definedName>
    <definedName name="기계화">#REF!</definedName>
    <definedName name="기관차" localSheetId="6">ROUND(SUM([1]!DCC,[1]!DCO,[1]!DCN)*100/#REF!,1)</definedName>
    <definedName name="기관차">ROUND(SUM([1]!DCC,[1]!DCO,[1]!DCN)*100/#REF!,1)</definedName>
    <definedName name="기준" localSheetId="6">#REF!</definedName>
    <definedName name="기준">#REF!</definedName>
    <definedName name="기타경비" localSheetId="6">#REF!</definedName>
    <definedName name="기타경비">#REF!</definedName>
    <definedName name="기타자재">[1]!기타자재</definedName>
    <definedName name="ㄳㄳ" localSheetId="6">#REF!</definedName>
    <definedName name="ㄳㄳ">#REF!</definedName>
    <definedName name="ㄴ" localSheetId="6">#REF!</definedName>
    <definedName name="ㄴ">#REF!</definedName>
    <definedName name="ㄴㄴ" localSheetId="6">#REF!</definedName>
    <definedName name="ㄴㄴ">#REF!</definedName>
    <definedName name="ㄴㄴㄴ" localSheetId="0" hidden="1">#REF!</definedName>
    <definedName name="ㄴㄴㄴ" localSheetId="6" hidden="1">#REF!</definedName>
    <definedName name="ㄴㄴㄴ" localSheetId="1" hidden="1">#REF!</definedName>
    <definedName name="ㄴㄴㄴ" localSheetId="4" hidden="1">#REF!</definedName>
    <definedName name="ㄴㄴㄴ" localSheetId="3" hidden="1">#REF!</definedName>
    <definedName name="ㄴㄴㄴ" hidden="1">#REF!</definedName>
    <definedName name="ㄴㄴㄴㄴ" localSheetId="0" hidden="1">#REF!</definedName>
    <definedName name="ㄴㄴㄴㄴ" localSheetId="6" hidden="1">#REF!</definedName>
    <definedName name="ㄴㄴㄴㄴ" localSheetId="1" hidden="1">#REF!</definedName>
    <definedName name="ㄴㄴㄴㄴ" localSheetId="4" hidden="1">#REF!</definedName>
    <definedName name="ㄴㄴㄴㄴ" localSheetId="3" hidden="1">#REF!</definedName>
    <definedName name="ㄴㄴㄴㄴ" hidden="1">#REF!</definedName>
    <definedName name="ㄴㄴㄴㄴㄴ" localSheetId="0" hidden="1">#REF!</definedName>
    <definedName name="ㄴㄴㄴㄴㄴ" localSheetId="6" hidden="1">#REF!</definedName>
    <definedName name="ㄴㄴㄴㄴㄴ" localSheetId="1" hidden="1">#REF!</definedName>
    <definedName name="ㄴㄴㄴㄴㄴ" localSheetId="4" hidden="1">#REF!</definedName>
    <definedName name="ㄴㄴㄴㄴㄴ" localSheetId="3" hidden="1">#REF!</definedName>
    <definedName name="ㄴㄴㄴㄴㄴ" hidden="1">#REF!</definedName>
    <definedName name="ㄴㄴㄴㄴㄴㄴ" localSheetId="6">#REF!</definedName>
    <definedName name="ㄴㄴㄴㄴㄴㄴ">#REF!</definedName>
    <definedName name="ㄴㄴㄴㄴㄴㄴㄴㄴㄴㄴ" localSheetId="6">#REF!</definedName>
    <definedName name="ㄴㄴㄴㄴㄴㄴㄴㄴㄴㄴ">#REF!</definedName>
    <definedName name="ㄴㄴㄴㄴㄴㅁ" localSheetId="6">#REF!</definedName>
    <definedName name="ㄴㄴㄴㄴㄴㅁ">#REF!</definedName>
    <definedName name="ㄴㄴㅁㅁㅇㄴ" localSheetId="6">#REF!</definedName>
    <definedName name="ㄴㄴㅁㅁㅇㄴ">#REF!</definedName>
    <definedName name="ㄴㄴㅇㅇㄴ" localSheetId="6">#REF!</definedName>
    <definedName name="ㄴㄴㅇㅇㄴ">#REF!</definedName>
    <definedName name="ㄴ댜러ㅏ니아ㅣㅋ" localSheetId="6">#REF!</definedName>
    <definedName name="ㄴ댜러ㅏ니아ㅣㅋ">#REF!</definedName>
    <definedName name="ㄴㄹㄴ" localSheetId="6">BlankMacro1</definedName>
    <definedName name="ㄴㄹㄴ">BlankMacro1</definedName>
    <definedName name="ㄴㄹㅇㄴㄹㅇ" localSheetId="6">#REF!</definedName>
    <definedName name="ㄴㄹㅇㄴㄹㅇ">#REF!</definedName>
    <definedName name="ㄴ러ㅏ" localSheetId="6">#REF!</definedName>
    <definedName name="ㄴ러ㅏ">#REF!</definedName>
    <definedName name="ㄴㅁ" localSheetId="6">#REF!</definedName>
    <definedName name="ㄴㅁ">#REF!</definedName>
    <definedName name="ㄴㅁㅁ" localSheetId="6">#REF!</definedName>
    <definedName name="ㄴㅁㅁ">#REF!</definedName>
    <definedName name="ㄴㅁㅇㅇㄴㅇ" localSheetId="6">#REF!</definedName>
    <definedName name="ㄴㅁㅇㅇㄴㅇ">#REF!</definedName>
    <definedName name="ㄴㅁㅇㅇㄴㅇㄴ" localSheetId="6">#REF!</definedName>
    <definedName name="ㄴㅁㅇㅇㄴㅇㄴ">#REF!</definedName>
    <definedName name="ㄴㅇ" localSheetId="6">#REF!</definedName>
    <definedName name="ㄴㅇ">#REF!</definedName>
    <definedName name="ㄴㅇㄴㄴㅁㅁ" localSheetId="6">#REF!</definedName>
    <definedName name="ㄴㅇㄴㄴㅁㅁ">#REF!</definedName>
    <definedName name="ㄴㅇㄹ" localSheetId="6">#REF!</definedName>
    <definedName name="ㄴㅇㄹ">#REF!</definedName>
    <definedName name="ㄴㅇㄹㅇㄷ" localSheetId="6">#REF!</definedName>
    <definedName name="ㄴㅇㄹㅇㄷ">#REF!</definedName>
    <definedName name="ㄴㅇㄺㄷ" localSheetId="6">#REF!</definedName>
    <definedName name="ㄴㅇㄺㄷ">#REF!</definedName>
    <definedName name="ㄴ아러" localSheetId="6">#REF!</definedName>
    <definedName name="ㄴ아러">#REF!</definedName>
    <definedName name="ㄴ어" localSheetId="6">#REF!</definedName>
    <definedName name="ㄴ어">#REF!</definedName>
    <definedName name="ㄴ어ㅏㅑ" localSheetId="6">#REF!</definedName>
    <definedName name="ㄴ어ㅏㅑ">#REF!</definedName>
    <definedName name="ㄴ이라ㅓ" localSheetId="6">#REF!</definedName>
    <definedName name="ㄴ이라ㅓ">#REF!</definedName>
    <definedName name="ㄴ이ㅏ매" localSheetId="6">#REF!</definedName>
    <definedName name="ㄴ이ㅏ매">#REF!</definedName>
    <definedName name="나" localSheetId="6">BlankMacro1</definedName>
    <definedName name="나">BlankMacro1</definedName>
    <definedName name="나다라" localSheetId="6">#REF!</definedName>
    <definedName name="나다라">#REF!</definedName>
    <definedName name="나ㅓ리먀" localSheetId="6">#REF!</definedName>
    <definedName name="나ㅓ리먀">#REF!</definedName>
    <definedName name="나ㅣ러재ㅑ" localSheetId="6">#REF!</definedName>
    <definedName name="나ㅣ러재ㅑ">#REF!</definedName>
    <definedName name="남덕" localSheetId="6">BlankMacro1</definedName>
    <definedName name="남덕" localSheetId="3">BlankMacro1</definedName>
    <definedName name="남덕">BlankMacro1</definedName>
    <definedName name="남덕1" localSheetId="3">BlankMacro1</definedName>
    <definedName name="남럼" localSheetId="6">#REF!</definedName>
    <definedName name="남럼">#REF!</definedName>
    <definedName name="남어" localSheetId="6">#REF!</definedName>
    <definedName name="남어">#REF!</definedName>
    <definedName name="내선전공">[1]!내선전공</definedName>
    <definedName name="내역" localSheetId="6">#REF!</definedName>
    <definedName name="내역">#REF!</definedName>
    <definedName name="내역서" localSheetId="6">#REF!</definedName>
    <definedName name="내역서">#REF!</definedName>
    <definedName name="내역서1" localSheetId="6">#REF!</definedName>
    <definedName name="내역서1">#REF!</definedName>
    <definedName name="내역서4" localSheetId="0" hidden="1">[12]내역서!#REF!</definedName>
    <definedName name="내역서4" localSheetId="6" hidden="1">[13]내역서!#REF!</definedName>
    <definedName name="내역서4" hidden="1">[13]내역서!#REF!</definedName>
    <definedName name="내역서전기기계" localSheetId="3">'집계표-x'!내역서전기기계</definedName>
    <definedName name="내역서전기기계">[1]!내역서전기기계</definedName>
    <definedName name="너" localSheetId="6">#REF!</definedName>
    <definedName name="너">#REF!</definedName>
    <definedName name="널자" localSheetId="6">#REF!</definedName>
    <definedName name="널자">#REF!</definedName>
    <definedName name="네로" localSheetId="6">ROUND(SUM([1]!DCC,[1]!DCO,[1]!DCN)*100/#REF!,1)</definedName>
    <definedName name="네로">ROUND(SUM([1]!DCC,[1]!DCO,[1]!DCN)*100/#REF!,1)</definedName>
    <definedName name="노무비" localSheetId="6">#REF!</definedName>
    <definedName name="노무비">#REF!</definedName>
    <definedName name="노무비1" localSheetId="6">#REF!</definedName>
    <definedName name="노무비1">#REF!</definedName>
    <definedName name="노무비2" localSheetId="6">#REF!</definedName>
    <definedName name="노무비2">#REF!</definedName>
    <definedName name="노무비3" localSheetId="6">#REF!</definedName>
    <definedName name="노무비3">#REF!</definedName>
    <definedName name="노무비단가" localSheetId="0" hidden="1">{#N/A,#N/A,FALSE,"명세표"}</definedName>
    <definedName name="노무비단가" localSheetId="5" hidden="1">{#N/A,#N/A,FALSE,"명세표"}</definedName>
    <definedName name="노무비단가" localSheetId="2" hidden="1">{#N/A,#N/A,FALSE,"명세표"}</definedName>
    <definedName name="노무비단가" hidden="1">{#N/A,#N/A,FALSE,"명세표"}</definedName>
    <definedName name="노무비소계" localSheetId="6">#REF!</definedName>
    <definedName name="노무비소계">#REF!</definedName>
    <definedName name="노무비합계" localSheetId="6">#REF!</definedName>
    <definedName name="노무비합계">#REF!</definedName>
    <definedName name="노임단가" localSheetId="6">#REF!</definedName>
    <definedName name="노임단가">#REF!</definedName>
    <definedName name="늘이기" localSheetId="6">#REF!</definedName>
    <definedName name="늘이기">#REF!</definedName>
    <definedName name="니럼" localSheetId="6">#REF!</definedName>
    <definedName name="니럼">#REF!</definedName>
    <definedName name="ㄷ" localSheetId="6">#REF!</definedName>
    <definedName name="ㄷ">#REF!</definedName>
    <definedName name="ㄷㄱㄷㅅㅅㅅ" localSheetId="6">#REF!</definedName>
    <definedName name="ㄷㄱㄷㅅㅅㅅ">#REF!</definedName>
    <definedName name="ㄷㄷ" localSheetId="0" hidden="1">#REF!</definedName>
    <definedName name="ㄷㄷ" localSheetId="6" hidden="1">#REF!</definedName>
    <definedName name="ㄷㄷ" localSheetId="1" hidden="1">#REF!</definedName>
    <definedName name="ㄷㄷ" localSheetId="4" hidden="1">#REF!</definedName>
    <definedName name="ㄷㄷ" localSheetId="3" hidden="1">#REF!</definedName>
    <definedName name="ㄷㄷ" hidden="1">#REF!</definedName>
    <definedName name="ㄷㄷㄷㄷ" localSheetId="6">#REF!</definedName>
    <definedName name="ㄷㄷㄷㄷ">#REF!</definedName>
    <definedName name="ㄷㄷㄷㄷㄷㄷ" localSheetId="6">BlankMacro1</definedName>
    <definedName name="ㄷㄷㄷㄷㄷㄷ" localSheetId="3">BlankMacro1</definedName>
    <definedName name="ㄷㄷㄷㄷㄷㄷ">BlankMacro1</definedName>
    <definedName name="ㄷㄷㅈ" localSheetId="6">#REF!</definedName>
    <definedName name="ㄷㄷㅈ">#REF!</definedName>
    <definedName name="ㄷㄹㄹㅇ" localSheetId="6">#REF!</definedName>
    <definedName name="ㄷㄹㄹㅇ">#REF!</definedName>
    <definedName name="ㄷㄹㅇㄴ" localSheetId="6">#REF!</definedName>
    <definedName name="ㄷㄹㅇㄴ">#REF!</definedName>
    <definedName name="ㄷㄹㅇㄴㄹ" localSheetId="6">#REF!</definedName>
    <definedName name="ㄷㄹㅇㄴㄹ">#REF!</definedName>
    <definedName name="ㄷㅇㄴ" localSheetId="6">#REF!</definedName>
    <definedName name="ㄷㅇㄴ">#REF!</definedName>
    <definedName name="ㄷㅇㄹ" localSheetId="6">#REF!</definedName>
    <definedName name="ㄷㅇㄹ">#REF!</definedName>
    <definedName name="ㄷㅇㄹㄴ" localSheetId="6">#REF!</definedName>
    <definedName name="ㄷㅇㄹㄴ">#REF!</definedName>
    <definedName name="다" localSheetId="6">#REF!</definedName>
    <definedName name="다">#REF!</definedName>
    <definedName name="다목" localSheetId="6">#REF!</definedName>
    <definedName name="다목">#REF!</definedName>
    <definedName name="닥니야지" localSheetId="6">#REF!</definedName>
    <definedName name="닥니야지">#REF!</definedName>
    <definedName name="단_가" localSheetId="6">#REF!</definedName>
    <definedName name="단_가">#REF!</definedName>
    <definedName name="단_가2" localSheetId="6">#REF!</definedName>
    <definedName name="단_가2">#REF!</definedName>
    <definedName name="단_가3" localSheetId="6">#REF!</definedName>
    <definedName name="단_가3">#REF!</definedName>
    <definedName name="단_가4" localSheetId="6">#REF!</definedName>
    <definedName name="단_가4">#REF!</definedName>
    <definedName name="단_가5" localSheetId="6">#REF!</definedName>
    <definedName name="단_가5">#REF!</definedName>
    <definedName name="단_가6" localSheetId="6">#REF!</definedName>
    <definedName name="단_가6">#REF!</definedName>
    <definedName name="단가" localSheetId="6">#REF!</definedName>
    <definedName name="단가">#REF!</definedName>
    <definedName name="단가대비" localSheetId="6">#REF!</definedName>
    <definedName name="단가대비">#REF!</definedName>
    <definedName name="단가비교표" localSheetId="6">#REF!,#REF!</definedName>
    <definedName name="단가비교표">#REF!,#REF!</definedName>
    <definedName name="단가산출서" localSheetId="6">BlankMacro1</definedName>
    <definedName name="단가산출서">BlankMacro1</definedName>
    <definedName name="단가최종" localSheetId="6">#REF!</definedName>
    <definedName name="단가최종">#REF!</definedName>
    <definedName name="단가표지" localSheetId="6">#REF!</definedName>
    <definedName name="단가표지">#REF!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위공량1" localSheetId="6">#REF!</definedName>
    <definedName name="단위공량1">#REF!</definedName>
    <definedName name="단위공량10" localSheetId="6">#REF!</definedName>
    <definedName name="단위공량10">#REF!</definedName>
    <definedName name="단위공량11" localSheetId="6">#REF!</definedName>
    <definedName name="단위공량11">#REF!</definedName>
    <definedName name="단위공량12" localSheetId="6">#REF!</definedName>
    <definedName name="단위공량12">#REF!</definedName>
    <definedName name="단위공량13" localSheetId="6">#REF!</definedName>
    <definedName name="단위공량13">#REF!</definedName>
    <definedName name="단위공량14" localSheetId="6">#REF!</definedName>
    <definedName name="단위공량14">#REF!</definedName>
    <definedName name="단위공량15" localSheetId="6">#REF!</definedName>
    <definedName name="단위공량15">#REF!</definedName>
    <definedName name="단위공량16" localSheetId="6">#REF!</definedName>
    <definedName name="단위공량16">#REF!</definedName>
    <definedName name="단위공량17" localSheetId="6">#REF!</definedName>
    <definedName name="단위공량17">#REF!</definedName>
    <definedName name="단위공량2" localSheetId="6">#REF!</definedName>
    <definedName name="단위공량2">#REF!</definedName>
    <definedName name="단위공량3" localSheetId="6">#REF!</definedName>
    <definedName name="단위공량3">#REF!</definedName>
    <definedName name="단위공량4" localSheetId="6">#REF!</definedName>
    <definedName name="단위공량4">#REF!</definedName>
    <definedName name="단위공량5" localSheetId="6">#REF!</definedName>
    <definedName name="단위공량5">#REF!</definedName>
    <definedName name="단위공량6" localSheetId="6">#REF!</definedName>
    <definedName name="단위공량6">#REF!</definedName>
    <definedName name="단위공량7" localSheetId="6">#REF!</definedName>
    <definedName name="단위공량7">#REF!</definedName>
    <definedName name="단위공량8" localSheetId="6">#REF!</definedName>
    <definedName name="단위공량8">#REF!</definedName>
    <definedName name="단위공량9" localSheetId="6">#REF!</definedName>
    <definedName name="단위공량9">#REF!</definedName>
    <definedName name="대가" localSheetId="6">#REF!</definedName>
    <definedName name="대가">#REF!</definedName>
    <definedName name="대가단가범위" localSheetId="6">#REF!</definedName>
    <definedName name="대가단가범위">#REF!</definedName>
    <definedName name="대가목록" localSheetId="6">#REF!</definedName>
    <definedName name="대가목록">#REF!</definedName>
    <definedName name="대비표" localSheetId="6">#REF!</definedName>
    <definedName name="대비표">#REF!</definedName>
    <definedName name="대상" localSheetId="6">#REF!</definedName>
    <definedName name="대상" localSheetId="3">BlankMacro1</definedName>
    <definedName name="대상">#REF!</definedName>
    <definedName name="도급공사" localSheetId="6">#REF!</definedName>
    <definedName name="도급공사">#REF!</definedName>
    <definedName name="도급공사비" localSheetId="6">#REF!</definedName>
    <definedName name="도급공사비">#REF!</definedName>
    <definedName name="도급예산액" localSheetId="6">#REF!</definedName>
    <definedName name="도급예산액">#REF!</definedName>
    <definedName name="도급예상액" localSheetId="6">#REF!</definedName>
    <definedName name="도급예상액">#REF!</definedName>
    <definedName name="도산내역" localSheetId="6">#REF!</definedName>
    <definedName name="도산내역">#REF!</definedName>
    <definedName name="동" localSheetId="6">#REF!</definedName>
    <definedName name="동">#REF!</definedName>
    <definedName name="동남" localSheetId="6">#REF!</definedName>
    <definedName name="동남">#REF!</definedName>
    <definedName name="동력차미입고" localSheetId="6">#REF!</definedName>
    <definedName name="동력차미입고">#REF!</definedName>
    <definedName name="동원" localSheetId="6">#REF!</definedName>
    <definedName name="동원">#REF!</definedName>
    <definedName name="두성갑지" localSheetId="6">#REF!</definedName>
    <definedName name="두성갑지">#REF!</definedName>
    <definedName name="등가거리" localSheetId="6">#REF!</definedName>
    <definedName name="등가거리">#REF!</definedName>
    <definedName name="등가거리1" localSheetId="6">#REF!</definedName>
    <definedName name="등가거리1">#REF!</definedName>
    <definedName name="등가거리종" localSheetId="6">#REF!</definedName>
    <definedName name="등가거리종">#REF!</definedName>
    <definedName name="등용구분" localSheetId="3">'집계표-x'!등용구분</definedName>
    <definedName name="등용구분">[1]!등용구분</definedName>
    <definedName name="등주높이" localSheetId="3">'집계표-x'!등주높이</definedName>
    <definedName name="등주높이">[1]!등주높이</definedName>
    <definedName name="ㄹ" localSheetId="0" hidden="1">{#N/A,#N/A,FALSE,"명세표"}</definedName>
    <definedName name="ㄹ" localSheetId="5" hidden="1">{#N/A,#N/A,FALSE,"명세표"}</definedName>
    <definedName name="ㄹ" localSheetId="2" hidden="1">{#N/A,#N/A,FALSE,"명세표"}</definedName>
    <definedName name="ㄹ" localSheetId="3">#REF!</definedName>
    <definedName name="ㄹ" hidden="1">{#N/A,#N/A,FALSE,"명세표"}</definedName>
    <definedName name="ㄹㄹ" localSheetId="6" hidden="1">#REF!</definedName>
    <definedName name="ㄹㄹ" localSheetId="1" hidden="1">#REF!</definedName>
    <definedName name="ㄹㄹ" localSheetId="4" hidden="1">#REF!</definedName>
    <definedName name="ㄹㄹ" hidden="1">#REF!</definedName>
    <definedName name="ㄹㄹㄹ">[1]!ㄹㄹㄹ</definedName>
    <definedName name="ㄹㄹㄹㄹㄹ" localSheetId="6">ROUND(SUM([1]!DCC,[1]!DCO,[1]!DCN)*100/#REF!,1)</definedName>
    <definedName name="ㄹㄹㄹㄹㄹ">ROUND(SUM([1]!DCC,[1]!DCO,[1]!DCN)*100/#REF!,1)</definedName>
    <definedName name="ㄹㅇ" localSheetId="6">#REF!</definedName>
    <definedName name="ㄹㅇ">#REF!</definedName>
    <definedName name="ㄹㅇㄹㅇ" localSheetId="0" hidden="1">#REF!</definedName>
    <definedName name="ㄹㅇㄹㅇ" localSheetId="6" hidden="1">#REF!</definedName>
    <definedName name="ㄹㅇㄹㅇ" localSheetId="3" hidden="1">#REF!</definedName>
    <definedName name="ㄹㅇㄹㅇ" hidden="1">#REF!</definedName>
    <definedName name="라" localSheetId="6">BlankMacro1</definedName>
    <definedName name="라" localSheetId="3">BlankMacro1</definedName>
    <definedName name="라">BlankMacro1</definedName>
    <definedName name="라ㅓ니" localSheetId="6">#REF!</definedName>
    <definedName name="라ㅓ니">#REF!</definedName>
    <definedName name="러ㅗㄴ머ㅏㄹ" localSheetId="6">#REF!</definedName>
    <definedName name="러ㅗㄴ머ㅏㄹ">#REF!</definedName>
    <definedName name="로허ㅓㅎ" localSheetId="6">ROUND([1]!DCO*100/#REF!,1)</definedName>
    <definedName name="로허ㅓㅎ">ROUND([1]!DCO*100/#REF!,1)</definedName>
    <definedName name="롬나ㅓ" localSheetId="6">#REF!</definedName>
    <definedName name="롬나ㅓ">#REF!</definedName>
    <definedName name="ㅀ" localSheetId="6">#REF!</definedName>
    <definedName name="ㅀ">#REF!</definedName>
    <definedName name="ㅁ" localSheetId="0" hidden="1">#REF!</definedName>
    <definedName name="ㅁ" localSheetId="6" hidden="1">#REF!</definedName>
    <definedName name="ㅁ" localSheetId="1" hidden="1">#REF!</definedName>
    <definedName name="ㅁ" localSheetId="4" hidden="1">#REF!</definedName>
    <definedName name="ㅁ" localSheetId="3" hidden="1">#REF!</definedName>
    <definedName name="ㅁ" hidden="1">#REF!</definedName>
    <definedName name="ㅁ1" localSheetId="6">#REF!</definedName>
    <definedName name="ㅁ1">#REF!</definedName>
    <definedName name="ㅁ400" localSheetId="6">#REF!</definedName>
    <definedName name="ㅁ400">#REF!</definedName>
    <definedName name="ㅁㄴㅇㄹ호" localSheetId="6">#REF!</definedName>
    <definedName name="ㅁㄴㅇㄹ호">#REF!</definedName>
    <definedName name="ㅁㅁ" localSheetId="0" hidden="1">#REF!</definedName>
    <definedName name="ㅁㅁ" localSheetId="6" hidden="1">#REF!</definedName>
    <definedName name="ㅁㅁ" localSheetId="1" hidden="1">#REF!</definedName>
    <definedName name="ㅁㅁ" localSheetId="4" hidden="1">#REF!</definedName>
    <definedName name="ㅁㅁ" localSheetId="3" hidden="1">#REF!</definedName>
    <definedName name="ㅁㅁ" hidden="1">#REF!</definedName>
    <definedName name="ㅁㅇㄹ" localSheetId="6">#REF!</definedName>
    <definedName name="ㅁㅇㄹ">#REF!</definedName>
    <definedName name="ㅁㅇ리" localSheetId="6">#REF!</definedName>
    <definedName name="ㅁㅇ리">#REF!</definedName>
    <definedName name="마" localSheetId="6">BlankMacro1</definedName>
    <definedName name="마">BlankMacro1</definedName>
    <definedName name="마마" localSheetId="6">#REF!</definedName>
    <definedName name="마마">#REF!</definedName>
    <definedName name="말" localSheetId="6">BlankMacro1</definedName>
    <definedName name="말" localSheetId="3">BlankMacro1</definedName>
    <definedName name="말">BlankMacro1</definedName>
    <definedName name="매크로1" localSheetId="3">'집계표-x'!매크로1</definedName>
    <definedName name="매크로1">[1]!매크로1</definedName>
    <definedName name="머" localSheetId="0" hidden="1">{#N/A,#N/A,FALSE,"명세표"}</definedName>
    <definedName name="머" localSheetId="5" hidden="1">{#N/A,#N/A,FALSE,"명세표"}</definedName>
    <definedName name="머" localSheetId="2" hidden="1">{#N/A,#N/A,FALSE,"명세표"}</definedName>
    <definedName name="머" hidden="1">{#N/A,#N/A,FALSE,"명세표"}</definedName>
    <definedName name="명칭" localSheetId="6">#REF!</definedName>
    <definedName name="명칭">#REF!</definedName>
    <definedName name="모른다니까" localSheetId="6">#REF!</definedName>
    <definedName name="모른다니까">#REF!</definedName>
    <definedName name="몮ㄷㄱ" localSheetId="6">#REF!</definedName>
    <definedName name="몮ㄷㄱ">#REF!</definedName>
    <definedName name="몰라" localSheetId="6">#REF!</definedName>
    <definedName name="몰라">#REF!</definedName>
    <definedName name="물가" localSheetId="6">#REF!</definedName>
    <definedName name="물가">#REF!</definedName>
    <definedName name="물가2" localSheetId="6">#REF!</definedName>
    <definedName name="물가2">#REF!</definedName>
    <definedName name="물가2003년1월" localSheetId="6">#REF!</definedName>
    <definedName name="물가2003년1월">#REF!</definedName>
    <definedName name="물가3" localSheetId="6">#REF!</definedName>
    <definedName name="물가3">#REF!</definedName>
    <definedName name="물가대비표" localSheetId="6">#REF!</definedName>
    <definedName name="물가대비표">#REF!</definedName>
    <definedName name="물만골2" localSheetId="3">'집계표-x'!물만골2</definedName>
    <definedName name="뭐" localSheetId="6">BlankMacro1</definedName>
    <definedName name="뭐">BlankMacro1</definedName>
    <definedName name="미수__현황" localSheetId="6">#REF!</definedName>
    <definedName name="미수__현황">#REF!</definedName>
    <definedName name="미입고사급" localSheetId="6">#REF!</definedName>
    <definedName name="미입고사급">#REF!</definedName>
    <definedName name="ㅂ" localSheetId="6">#REF!</definedName>
    <definedName name="ㅂ">#REF!</definedName>
    <definedName name="ㅂㄴㅌ" localSheetId="6">#REF!</definedName>
    <definedName name="ㅂㄴㅌ">#REF!</definedName>
    <definedName name="ㅂㅁㅋ" localSheetId="6">#REF!</definedName>
    <definedName name="ㅂㅁㅋ">#REF!</definedName>
    <definedName name="ㅂㅂㅂ" localSheetId="6">#REF!</definedName>
    <definedName name="ㅂㅂㅂ">#REF!</definedName>
    <definedName name="ㅂㅂㅂㅂ" localSheetId="6">#REF!</definedName>
    <definedName name="ㅂㅂㅂㅂ">#REF!</definedName>
    <definedName name="ㅂㅂㅂㅂㅂㅂㅂ" localSheetId="0" hidden="1">{#N/A,#N/A,FALSE,"명세표"}</definedName>
    <definedName name="ㅂㅂㅂㅂㅂㅂㅂ" localSheetId="5" hidden="1">{#N/A,#N/A,FALSE,"명세표"}</definedName>
    <definedName name="ㅂㅂㅂㅂㅂㅂㅂ" localSheetId="2" hidden="1">{#N/A,#N/A,FALSE,"명세표"}</definedName>
    <definedName name="ㅂㅂㅂㅂㅂㅂㅂ" hidden="1">{#N/A,#N/A,FALSE,"명세표"}</definedName>
    <definedName name="ㅂㅂㅂㅂㅂㅂㅂㅂㅂㅂ" localSheetId="6">#REF!</definedName>
    <definedName name="ㅂㅂㅂㅂㅂㅂㅂㅂㅂㅂ">#REF!</definedName>
    <definedName name="ㅂㅈ" localSheetId="6">#REF!</definedName>
    <definedName name="ㅂㅈ">#REF!</definedName>
    <definedName name="ㅂㅈㄷㄱ" localSheetId="6">#REF!</definedName>
    <definedName name="ㅂㅈㄷㄱ">#REF!</definedName>
    <definedName name="ㅂㅈㅂㅈㅂㅈ" localSheetId="6">#REF!</definedName>
    <definedName name="ㅂㅈㅂㅈㅂㅈ">#REF!</definedName>
    <definedName name="바" localSheetId="6">BlankMacro1</definedName>
    <definedName name="바" localSheetId="3">BlankMacro1</definedName>
    <definedName name="바">BlankMacro1</definedName>
    <definedName name="바람" localSheetId="6">#REF!</definedName>
    <definedName name="바람">#REF!</definedName>
    <definedName name="박" localSheetId="6">#REF!</definedName>
    <definedName name="박">#REF!</definedName>
    <definedName name="박어쟈루" localSheetId="0" hidden="1">#REF!</definedName>
    <definedName name="박어쟈루" localSheetId="6" hidden="1">#REF!</definedName>
    <definedName name="박어쟈루" hidden="1">#REF!</definedName>
    <definedName name="박원상" localSheetId="6">#REF!</definedName>
    <definedName name="박원상">#REF!</definedName>
    <definedName name="반별부하" localSheetId="6">#REF!</definedName>
    <definedName name="반별부하">#REF!</definedName>
    <definedName name="방송" localSheetId="6">#REF!</definedName>
    <definedName name="방송" localSheetId="3">BlankMacro1</definedName>
    <definedName name="방송">#REF!</definedName>
    <definedName name="배관">[1]!배관</definedName>
    <definedName name="별첨1" localSheetId="6">BlankMacro1</definedName>
    <definedName name="별첨1" localSheetId="3">BlankMacro1</definedName>
    <definedName name="별첨1">BlankMacro1</definedName>
    <definedName name="별첨5" localSheetId="6">BlankMacro1</definedName>
    <definedName name="별첨5" localSheetId="3">BlankMacro1</definedName>
    <definedName name="별첨5">BlankMacro1</definedName>
    <definedName name="보" localSheetId="6">#REF!</definedName>
    <definedName name="보">#REF!</definedName>
    <definedName name="부가가치세" localSheetId="6">#REF!</definedName>
    <definedName name="부가가치세">#REF!</definedName>
    <definedName name="부가세" localSheetId="6">#REF!</definedName>
    <definedName name="부가세">#REF!</definedName>
    <definedName name="부대내역비교" localSheetId="6">#REF!</definedName>
    <definedName name="부대내역비교">#REF!</definedName>
    <definedName name="부하" localSheetId="6">#REF!</definedName>
    <definedName name="부하">#REF!</definedName>
    <definedName name="부하계산" localSheetId="6">#REF!</definedName>
    <definedName name="부하계산">#REF!</definedName>
    <definedName name="분소" localSheetId="3">'집계표-x'!분소</definedName>
    <definedName name="분소시슼템" localSheetId="3">'집계표-x'!분소시슼템</definedName>
    <definedName name="분전" localSheetId="6">BlankMacro1</definedName>
    <definedName name="분전" localSheetId="3">BlankMacro1</definedName>
    <definedName name="분전">BlankMacro1</definedName>
    <definedName name="분전반" localSheetId="6">BlankMacro1</definedName>
    <definedName name="분전반" localSheetId="3">BlankMacro1</definedName>
    <definedName name="분전반">BlankMacro1</definedName>
    <definedName name="분전반1" localSheetId="6">BlankMacro1</definedName>
    <definedName name="분전반1" localSheetId="3">BlankMacro1</definedName>
    <definedName name="분전반1">BlankMacro1</definedName>
    <definedName name="분전반제조총괄표" localSheetId="0" hidden="1">{"'건축내역'!$A$1:$L$413"}</definedName>
    <definedName name="분전반제조총괄표" localSheetId="5" hidden="1">{"'건축내역'!$A$1:$L$413"}</definedName>
    <definedName name="분전반제조총괄표" localSheetId="2" hidden="1">{"'건축내역'!$A$1:$L$413"}</definedName>
    <definedName name="분전반제조총괄표" localSheetId="1" hidden="1">{"'건축내역'!$A$1:$L$413"}</definedName>
    <definedName name="분전반제조총괄표" localSheetId="4" hidden="1">{"'건축내역'!$A$1:$L$413"}</definedName>
    <definedName name="분전반제조총괄표" hidden="1">{"'건축내역'!$A$1:$L$413"}</definedName>
    <definedName name="비목1" localSheetId="6">#REF!</definedName>
    <definedName name="비목1">#REF!</definedName>
    <definedName name="비목2" localSheetId="6">#REF!</definedName>
    <definedName name="비목2">#REF!</definedName>
    <definedName name="비목3" localSheetId="6">#REF!</definedName>
    <definedName name="비목3">#REF!</definedName>
    <definedName name="비목4" localSheetId="6">#REF!</definedName>
    <definedName name="비목4">#REF!</definedName>
    <definedName name="ㅅㅅ" localSheetId="6" hidden="1">#REF!</definedName>
    <definedName name="ㅅㅅ" localSheetId="3" hidden="1">#REF!</definedName>
    <definedName name="ㅅㅅ" hidden="1">#REF!</definedName>
    <definedName name="ㅅㅎㅅㅅ" localSheetId="6">BlankMacro1</definedName>
    <definedName name="ㅅㅎㅅㅅ">BlankMacro1</definedName>
    <definedName name="사" localSheetId="6">BlankMacro1</definedName>
    <definedName name="사" localSheetId="3">BlankMacro1</definedName>
    <definedName name="사">BlankMacro1</definedName>
    <definedName name="사령및분소시스템" localSheetId="3">'집계표-x'!사령및분소시스템</definedName>
    <definedName name="사본" localSheetId="6">#REF!</definedName>
    <definedName name="사본">#REF!</definedName>
    <definedName name="사용" localSheetId="6">ROUND(SUM([1]!DCC,[1]!DCO,[1]!DCN)*100/#REF!,1)</definedName>
    <definedName name="사용">ROUND(SUM([1]!DCC,[1]!DCO,[1]!DCN)*100/#REF!,1)</definedName>
    <definedName name="사용램프" localSheetId="3">'집계표-x'!사용램프</definedName>
    <definedName name="사용램프">[1]!사용램프</definedName>
    <definedName name="사용자" localSheetId="6">ROUND([1]!DCC*100/#REF!,1)</definedName>
    <definedName name="사용자">ROUND([1]!DCC*100/#REF!,1)</definedName>
    <definedName name="산재보험료" localSheetId="6">#REF!</definedName>
    <definedName name="산재보험료">#REF!</definedName>
    <definedName name="산추" localSheetId="6">#REF!</definedName>
    <definedName name="산추">#REF!</definedName>
    <definedName name="산출내역" localSheetId="6">#REF!</definedName>
    <definedName name="산출내역">#REF!</definedName>
    <definedName name="산출서aa" localSheetId="6">#REF!</definedName>
    <definedName name="산출서aa">#REF!</definedName>
    <definedName name="산출일위대가통신" localSheetId="6">BlankMacro1</definedName>
    <definedName name="산출일위대가통신" localSheetId="3">BlankMacro1</definedName>
    <definedName name="산출일위대가통신">BlankMacro1</definedName>
    <definedName name="산표" localSheetId="6">#REF!</definedName>
    <definedName name="산표">#REF!</definedName>
    <definedName name="삼분류" localSheetId="6">#REF!</definedName>
    <definedName name="삼분류">#REF!</definedName>
    <definedName name="생산계획" localSheetId="6">#REF!</definedName>
    <definedName name="생산계획">#REF!</definedName>
    <definedName name="생산및납품계획" localSheetId="6">#REF!</definedName>
    <definedName name="생산및납품계획">#REF!</definedName>
    <definedName name="석항" localSheetId="0" hidden="1">{#N/A,#N/A,FALSE,"명세표"}</definedName>
    <definedName name="석항" localSheetId="5" hidden="1">{#N/A,#N/A,FALSE,"명세표"}</definedName>
    <definedName name="석항" localSheetId="2" hidden="1">{#N/A,#N/A,FALSE,"명세표"}</definedName>
    <definedName name="석항" hidden="1">{#N/A,#N/A,FALSE,"명세표"}</definedName>
    <definedName name="설비" localSheetId="3">'집계표-x'!설비</definedName>
    <definedName name="설집" localSheetId="6">#REF!</definedName>
    <definedName name="설집">#REF!</definedName>
    <definedName name="소계" localSheetId="6">#REF!</definedName>
    <definedName name="소계">#REF!</definedName>
    <definedName name="소계3" localSheetId="6">#REF!</definedName>
    <definedName name="소계3">#REF!</definedName>
    <definedName name="소계4" localSheetId="6">#REF!</definedName>
    <definedName name="소계4">#REF!</definedName>
    <definedName name="소계5" localSheetId="6">#REF!</definedName>
    <definedName name="소계5">#REF!</definedName>
    <definedName name="소방" localSheetId="6">#REF!</definedName>
    <definedName name="소방">#REF!</definedName>
    <definedName name="소방공량산출서" localSheetId="3">BlankMacro1</definedName>
    <definedName name="소방내역" localSheetId="6">BlankMacro1</definedName>
    <definedName name="소방내역" localSheetId="3">BlankMacro1</definedName>
    <definedName name="소방내역">BlankMacro1</definedName>
    <definedName name="소방내역서" localSheetId="6">BlankMacro1</definedName>
    <definedName name="소방내역서" localSheetId="3">BlankMacro1</definedName>
    <definedName name="소방내역서">BlankMacro1</definedName>
    <definedName name="소화갑지" localSheetId="0" hidden="1">{#N/A,#N/A,FALSE,"CCTV"}</definedName>
    <definedName name="소화갑지" localSheetId="3" hidden="1">{#N/A,#N/A,FALSE,"CCTV"}</definedName>
    <definedName name="소화갑지" hidden="1">{#N/A,#N/A,FALSE,"CCTV"}</definedName>
    <definedName name="수량계산" localSheetId="6">#REF!</definedName>
    <definedName name="수량계산">#REF!</definedName>
    <definedName name="수량산출" localSheetId="6">#REF!</definedName>
    <definedName name="수량산출">#REF!</definedName>
    <definedName name="순공사비" localSheetId="6">#REF!</definedName>
    <definedName name="순공사비">#REF!</definedName>
    <definedName name="순공사원가" localSheetId="6">#REF!</definedName>
    <definedName name="순공사원가">#REF!</definedName>
    <definedName name="순번" localSheetId="6">#REF!</definedName>
    <definedName name="순번">#REF!</definedName>
    <definedName name="순번선택" localSheetId="6">#REF!</definedName>
    <definedName name="순번선택">#REF!</definedName>
    <definedName name="스튜디오소계" localSheetId="6">#REF!</definedName>
    <definedName name="스튜디오소계">#REF!</definedName>
    <definedName name="시방" localSheetId="6">#REF!</definedName>
    <definedName name="시방">#REF!</definedName>
    <definedName name="시방1" localSheetId="6">#REF!</definedName>
    <definedName name="시방1">#REF!</definedName>
    <definedName name="시행청" localSheetId="6">#REF!</definedName>
    <definedName name="시행청">#REF!</definedName>
    <definedName name="신성" localSheetId="6">#REF!</definedName>
    <definedName name="신성">#REF!</definedName>
    <definedName name="신성감" localSheetId="6">#REF!</definedName>
    <definedName name="신성감">#REF!</definedName>
    <definedName name="신진1" localSheetId="6">#REF!</definedName>
    <definedName name="신진1">#REF!</definedName>
    <definedName name="신호기">[1]!신호기</definedName>
    <definedName name="실경상" localSheetId="6">#REF!</definedName>
    <definedName name="실경상">#REF!</definedName>
    <definedName name="심우" localSheetId="6">#REF!</definedName>
    <definedName name="심우">#REF!</definedName>
    <definedName name="심우을" localSheetId="6">#REF!</definedName>
    <definedName name="심우을">#REF!</definedName>
    <definedName name="ㅇ" localSheetId="6">#REF!</definedName>
    <definedName name="ㅇ">#REF!</definedName>
    <definedName name="ㅇ나리" localSheetId="6">#REF!</definedName>
    <definedName name="ㅇ나리">#REF!</definedName>
    <definedName name="ㅇ남러이" localSheetId="6">#REF!</definedName>
    <definedName name="ㅇ남러이">#REF!</definedName>
    <definedName name="ㅇ낯ㅍ" localSheetId="6">#REF!</definedName>
    <definedName name="ㅇ낯ㅍ">#REF!</definedName>
    <definedName name="ㅇ널" localSheetId="6">#REF!</definedName>
    <definedName name="ㅇ널">#REF!</definedName>
    <definedName name="ㅇ닐" localSheetId="6">#REF!</definedName>
    <definedName name="ㅇ닐">#REF!</definedName>
    <definedName name="ㅇㄹ" localSheetId="0" hidden="1">#REF!</definedName>
    <definedName name="ㅇㄹ" localSheetId="6" hidden="1">#REF!</definedName>
    <definedName name="ㅇㄹ" hidden="1">#REF!</definedName>
    <definedName name="ㅇㄹㄷㄱ" localSheetId="6">#REF!</definedName>
    <definedName name="ㅇㄹㄷㄱ">#REF!</definedName>
    <definedName name="ㅇㄹㅇ" localSheetId="3">'집계표-x'!ㅇㄹㅇ</definedName>
    <definedName name="ㅇㄹㅇㄹ" localSheetId="0" hidden="1">#REF!</definedName>
    <definedName name="ㅇㄹㅇㄹ" localSheetId="6" hidden="1">#REF!</definedName>
    <definedName name="ㅇㄹㅇㄹ" localSheetId="3" hidden="1">#REF!</definedName>
    <definedName name="ㅇㄹㅇㄹ" hidden="1">#REF!</definedName>
    <definedName name="ㅇㄹ홍" localSheetId="6">#REF!</definedName>
    <definedName name="ㅇㄹ홍">#REF!</definedName>
    <definedName name="ㅇ러나ㅣ" localSheetId="6">#REF!</definedName>
    <definedName name="ㅇ러나ㅣ">#REF!</definedName>
    <definedName name="ㅇ리멍라" localSheetId="6">#REF!</definedName>
    <definedName name="ㅇ리멍라">#REF!</definedName>
    <definedName name="ㅇㅇ" localSheetId="6">#REF!</definedName>
    <definedName name="ㅇㅇ">#REF!</definedName>
    <definedName name="ㅇㅇㄹ" localSheetId="0" hidden="1">#REF!</definedName>
    <definedName name="ㅇㅇㄹ" localSheetId="6" hidden="1">#REF!</definedName>
    <definedName name="ㅇㅇㄹ" localSheetId="3" hidden="1">#REF!</definedName>
    <definedName name="ㅇㅇㄹ" hidden="1">#REF!</definedName>
    <definedName name="ㅇㅇㅇ" localSheetId="0" hidden="1">#REF!</definedName>
    <definedName name="ㅇㅇㅇ" localSheetId="6" hidden="1">#REF!</definedName>
    <definedName name="ㅇㅇㅇ" localSheetId="3" hidden="1">#REF!</definedName>
    <definedName name="ㅇㅇㅇ" hidden="1">#REF!</definedName>
    <definedName name="ㅇㅇㅇㅇ" localSheetId="6" hidden="1">#REF!</definedName>
    <definedName name="ㅇㅇㅇㅇ" localSheetId="3" hidden="1">#REF!</definedName>
    <definedName name="ㅇㅇㅇㅇ" hidden="1">#REF!</definedName>
    <definedName name="ㅇㅇㅇㅇㅇ" localSheetId="6">#REF!</definedName>
    <definedName name="ㅇㅇㅇㅇㅇ">#REF!</definedName>
    <definedName name="ㅇㅇㅇㅇㅇㅇㅇ" localSheetId="6">#REF!</definedName>
    <definedName name="ㅇㅇㅇㅇㅇㅇㅇ">#REF!</definedName>
    <definedName name="ㅇ퍼ㅐㄴ" localSheetId="6">#REF!</definedName>
    <definedName name="ㅇ퍼ㅐㄴ">#REF!</definedName>
    <definedName name="아" localSheetId="6">BlankMacro1</definedName>
    <definedName name="아" localSheetId="3">BlankMacro1</definedName>
    <definedName name="아">BlankMacro1</definedName>
    <definedName name="아나라니리다" localSheetId="6">#REF!</definedName>
    <definedName name="아나라니리다">#REF!</definedName>
    <definedName name="아늘믿" localSheetId="6">BlankMacro1</definedName>
    <definedName name="아늘믿" localSheetId="3">BlankMacro1</definedName>
    <definedName name="아늘믿">BlankMacro1</definedName>
    <definedName name="아니" localSheetId="6">BlankMacro1</definedName>
    <definedName name="아니" localSheetId="3">BlankMacro1</definedName>
    <definedName name="아니">BlankMacro1</definedName>
    <definedName name="아다" localSheetId="6">BlankMacro1</definedName>
    <definedName name="아다" localSheetId="3">BlankMacro1</definedName>
    <definedName name="아다">BlankMacro1</definedName>
    <definedName name="아디" localSheetId="6">BlankMacro1</definedName>
    <definedName name="아디" localSheetId="3">BlankMacro1</definedName>
    <definedName name="아디">BlankMacro1</definedName>
    <definedName name="아러" localSheetId="6">#REF!</definedName>
    <definedName name="아러">#REF!</definedName>
    <definedName name="아러ㅏ" localSheetId="6">#REF!</definedName>
    <definedName name="아러ㅏ">#REF!</definedName>
    <definedName name="아서" localSheetId="6">BlankMacro1</definedName>
    <definedName name="아서" localSheetId="3">BlankMacro1</definedName>
    <definedName name="아서">BlankMacro1</definedName>
    <definedName name="아이야" localSheetId="6">#REF!</definedName>
    <definedName name="아이야">#REF!</definedName>
    <definedName name="아ㅓㅣㅏㄴ" localSheetId="6">#REF!</definedName>
    <definedName name="아ㅓㅣㅏㄴ">#REF!</definedName>
    <definedName name="아ㅣㅓ" localSheetId="6">#REF!</definedName>
    <definedName name="아ㅣㅓ">#REF!</definedName>
    <definedName name="안전관리비" localSheetId="6">#REF!</definedName>
    <definedName name="안전관리비">#REF!</definedName>
    <definedName name="알지" localSheetId="6">#REF!</definedName>
    <definedName name="알지">#REF!</definedName>
    <definedName name="애머ㅏㄹ" localSheetId="6">#REF!</definedName>
    <definedName name="애머ㅏㄹ">#REF!</definedName>
    <definedName name="어라" localSheetId="6">#REF!</definedName>
    <definedName name="어라">#REF!</definedName>
    <definedName name="어쭈구리" localSheetId="6">#REF!</definedName>
    <definedName name="어쭈구리">#REF!</definedName>
    <definedName name="어ㅏ" localSheetId="6">#REF!</definedName>
    <definedName name="어ㅏ">#REF!</definedName>
    <definedName name="업체3" localSheetId="6">#REF!</definedName>
    <definedName name="업체3">#REF!</definedName>
    <definedName name="역L형옹벽" localSheetId="6">#REF!</definedName>
    <definedName name="역L형옹벽">#REF!</definedName>
    <definedName name="열차무선전화설비" localSheetId="6">#REF!</definedName>
    <definedName name="열차무선전화설비">#REF!</definedName>
    <definedName name="오오오" localSheetId="6">#REF!</definedName>
    <definedName name="오오오">#REF!</definedName>
    <definedName name="올ㅇ" localSheetId="6">#REF!</definedName>
    <definedName name="올ㅇ">#REF!</definedName>
    <definedName name="완공3" localSheetId="0" hidden="1">#REF!</definedName>
    <definedName name="완공3" localSheetId="6" hidden="1">#REF!</definedName>
    <definedName name="완공3" localSheetId="3" hidden="1">#REF!</definedName>
    <definedName name="완공3" hidden="1">#REF!</definedName>
    <definedName name="요율" localSheetId="6">#REF!</definedName>
    <definedName name="요율">#REF!</definedName>
    <definedName name="요율인쇄" localSheetId="6">#REF!</definedName>
    <definedName name="요율인쇄">#REF!</definedName>
    <definedName name="용량" localSheetId="6">#REF!</definedName>
    <definedName name="용량">#REF!</definedName>
    <definedName name="원" localSheetId="6">#REF!</definedName>
    <definedName name="원">#REF!</definedName>
    <definedName name="원가" localSheetId="6">BlankMacro1</definedName>
    <definedName name="원가" localSheetId="3">BlankMacro1</definedName>
    <definedName name="원가">BlankMacro1</definedName>
    <definedName name="원가계산" localSheetId="3">BlankMacro1</definedName>
    <definedName name="원가계산서" localSheetId="6">#REF!</definedName>
    <definedName name="원가계산서">#REF!</definedName>
    <definedName name="원가계산서2" localSheetId="6">#REF!</definedName>
    <definedName name="원가계산서2">#REF!</definedName>
    <definedName name="원각계ㅅ산" localSheetId="6">#REF!</definedName>
    <definedName name="원각계ㅅ산">#REF!</definedName>
    <definedName name="을" localSheetId="6">#REF!</definedName>
    <definedName name="을">#REF!</definedName>
    <definedName name="을지로" localSheetId="3">'집계표-x'!을지로</definedName>
    <definedName name="을지로">[1]!을지로</definedName>
    <definedName name="이" localSheetId="0" hidden="1">{#N/A,#N/A,FALSE,"명세표"}</definedName>
    <definedName name="이" localSheetId="5" hidden="1">{#N/A,#N/A,FALSE,"명세표"}</definedName>
    <definedName name="이" localSheetId="2" hidden="1">{#N/A,#N/A,FALSE,"명세표"}</definedName>
    <definedName name="이" localSheetId="3">#REF!</definedName>
    <definedName name="이" hidden="1">{#N/A,#N/A,FALSE,"명세표"}</definedName>
    <definedName name="이레" localSheetId="6">#REF!</definedName>
    <definedName name="이레">#REF!</definedName>
    <definedName name="이릉" localSheetId="0" hidden="1">#REF!</definedName>
    <definedName name="이릉" localSheetId="6" hidden="1">#REF!</definedName>
    <definedName name="이릉" hidden="1">#REF!</definedName>
    <definedName name="이분류" localSheetId="6">#REF!</definedName>
    <definedName name="이분류">#REF!</definedName>
    <definedName name="이상" localSheetId="6">#REF!</definedName>
    <definedName name="이상">#REF!</definedName>
    <definedName name="이성희" localSheetId="6">#REF!</definedName>
    <definedName name="이성희">#REF!</definedName>
    <definedName name="이윤" localSheetId="6">#REF!</definedName>
    <definedName name="이윤">#REF!</definedName>
    <definedName name="이종훈" localSheetId="0" hidden="1">[9]전기!$A$4:$A$163</definedName>
    <definedName name="이종훈" hidden="1">[10]전기!$A$4:$A$163</definedName>
    <definedName name="이ㅏㄴ러" localSheetId="6">#REF!</definedName>
    <definedName name="이ㅏㄴ러">#REF!</definedName>
    <definedName name="이ㅏㅓㄴ" localSheetId="6">#REF!</definedName>
    <definedName name="이ㅏㅓㄴ">#REF!</definedName>
    <definedName name="인건비2" localSheetId="6">#REF!</definedName>
    <definedName name="인건비2">#REF!</definedName>
    <definedName name="인상익" localSheetId="6">BlankMacro1</definedName>
    <definedName name="인상익" localSheetId="3">BlankMacro1</definedName>
    <definedName name="인상익">BlankMacro1</definedName>
    <definedName name="인쇄영역" localSheetId="6">#REF!</definedName>
    <definedName name="인쇄영역">#REF!</definedName>
    <definedName name="인쇄영역2" localSheetId="6">#REF!</definedName>
    <definedName name="인쇄영역2">#REF!</definedName>
    <definedName name="인테리어소계" localSheetId="6">#REF!</definedName>
    <definedName name="인테리어소계">#REF!</definedName>
    <definedName name="일" localSheetId="0" hidden="1">#REF!</definedName>
    <definedName name="일" localSheetId="6" hidden="1">#REF!</definedName>
    <definedName name="일" localSheetId="3" hidden="1">#REF!</definedName>
    <definedName name="일" hidden="1">#REF!</definedName>
    <definedName name="일반관리비" localSheetId="6">#REF!</definedName>
    <definedName name="일반관리비">#REF!</definedName>
    <definedName name="일분류" localSheetId="6">#REF!</definedName>
    <definedName name="일분류">#REF!</definedName>
    <definedName name="일위" localSheetId="6">#REF!,#REF!</definedName>
    <definedName name="일위">#REF!,#REF!</definedName>
    <definedName name="일위1" localSheetId="6">#REF!</definedName>
    <definedName name="일위1">#REF!</definedName>
    <definedName name="일위대가" localSheetId="6">#REF!</definedName>
    <definedName name="일위대가">#REF!</definedName>
    <definedName name="일위대가1" localSheetId="6">#REF!</definedName>
    <definedName name="일위대가1">#REF!</definedName>
    <definedName name="일위대가11" localSheetId="6">#REF!</definedName>
    <definedName name="일위대가11">#REF!</definedName>
    <definedName name="일위목록2" localSheetId="6">#REF!</definedName>
    <definedName name="일위목록2">#REF!</definedName>
    <definedName name="일위산출" localSheetId="6">#REF!</definedName>
    <definedName name="일위산출">#REF!</definedName>
    <definedName name="일위산출1" localSheetId="6">#REF!</definedName>
    <definedName name="일위산출1">#REF!</definedName>
    <definedName name="임률">[1]!임률</definedName>
    <definedName name="임시" localSheetId="6">#REF!</definedName>
    <definedName name="임시">#REF!</definedName>
    <definedName name="ㅈ" localSheetId="1" hidden="1">{#N/A,#N/A,FALSE,"명세표"}</definedName>
    <definedName name="ㅈ" localSheetId="4" hidden="1">{#N/A,#N/A,FALSE,"명세표"}</definedName>
    <definedName name="ㅈㄷㅈㄷ" localSheetId="6">#REF!</definedName>
    <definedName name="ㅈㄷㅈㄷ">#REF!</definedName>
    <definedName name="ㅈㅈㅈㅈ" localSheetId="0" hidden="1">{#N/A,#N/A,FALSE,"명세표"}</definedName>
    <definedName name="ㅈㅈㅈㅈ" localSheetId="5" hidden="1">{#N/A,#N/A,FALSE,"명세표"}</definedName>
    <definedName name="ㅈㅈㅈㅈ" localSheetId="2" hidden="1">{#N/A,#N/A,FALSE,"명세표"}</definedName>
    <definedName name="ㅈㅈㅈㅈ" hidden="1">{#N/A,#N/A,FALSE,"명세표"}</definedName>
    <definedName name="자" localSheetId="6">BlankMacro1</definedName>
    <definedName name="자" localSheetId="3">BlankMacro1</definedName>
    <definedName name="자">BlankMacro1</definedName>
    <definedName name="자니" localSheetId="6">#REF!</definedName>
    <definedName name="자니">#REF!</definedName>
    <definedName name="자동안내방송설비" localSheetId="6">#REF!</definedName>
    <definedName name="자동안내방송설비">#REF!</definedName>
    <definedName name="자동제어1차공량산출" localSheetId="6">BlankMacro1</definedName>
    <definedName name="자동제어1차공량산출" localSheetId="3">BlankMacro1</definedName>
    <definedName name="자동제어1차공량산출">BlankMacro1</definedName>
    <definedName name="자동화재탐지설비" localSheetId="6">#REF!</definedName>
    <definedName name="자동화재탐지설비">#REF!</definedName>
    <definedName name="자료1" localSheetId="6">#REF!</definedName>
    <definedName name="자료1">#REF!</definedName>
    <definedName name="자료2" localSheetId="6">#REF!</definedName>
    <definedName name="자료2">#REF!</definedName>
    <definedName name="자미" localSheetId="0" hidden="1">{#N/A,#N/A,FALSE,"명세표"}</definedName>
    <definedName name="자미" localSheetId="5" hidden="1">{#N/A,#N/A,FALSE,"명세표"}</definedName>
    <definedName name="자미" localSheetId="2" hidden="1">{#N/A,#N/A,FALSE,"명세표"}</definedName>
    <definedName name="자미" hidden="1">{#N/A,#N/A,FALSE,"명세표"}</definedName>
    <definedName name="자재단가표" localSheetId="6">#REF!</definedName>
    <definedName name="자재단가표">#REF!</definedName>
    <definedName name="작업구분" localSheetId="6">#REF!</definedName>
    <definedName name="작업구분">#REF!</definedName>
    <definedName name="작업선택" localSheetId="6">#REF!</definedName>
    <definedName name="작업선택">#REF!</definedName>
    <definedName name="잔액" localSheetId="6">#REF!</definedName>
    <definedName name="잔액">#REF!</definedName>
    <definedName name="재료비" localSheetId="6">#REF!</definedName>
    <definedName name="재료비">#REF!</definedName>
    <definedName name="재료비1" localSheetId="6">#REF!</definedName>
    <definedName name="재료비1">#REF!</definedName>
    <definedName name="재료비2" localSheetId="6">#REF!</definedName>
    <definedName name="재료비2">#REF!</definedName>
    <definedName name="재료비3" localSheetId="6">#REF!</definedName>
    <definedName name="재료비3">#REF!</definedName>
    <definedName name="재료비단가차이" localSheetId="6">#REF!</definedName>
    <definedName name="재료비단가차이">#REF!</definedName>
    <definedName name="재료비합계" localSheetId="6">#REF!</definedName>
    <definedName name="재료비합계">#REF!</definedName>
    <definedName name="재어ㅏ" localSheetId="6">#REF!</definedName>
    <definedName name="재어ㅏ">#REF!</definedName>
    <definedName name="재질" localSheetId="6">#REF!</definedName>
    <definedName name="재질">#REF!</definedName>
    <definedName name="재질선택" localSheetId="6">#REF!</definedName>
    <definedName name="재질선택">#REF!</definedName>
    <definedName name="저압케이블공" localSheetId="3">'집계표-x'!저압케이블공</definedName>
    <definedName name="저압케이블공">[1]!저압케이블공</definedName>
    <definedName name="적용전선" localSheetId="6">#REF!</definedName>
    <definedName name="적용전선">#REF!</definedName>
    <definedName name="적용전선1" localSheetId="6">#REF!</definedName>
    <definedName name="적용전선1">#REF!</definedName>
    <definedName name="전기기" localSheetId="0" hidden="1">[12]내역서!#REF!</definedName>
    <definedName name="전기기" localSheetId="6" hidden="1">[13]내역서!#REF!</definedName>
    <definedName name="전기기" hidden="1">[13]내역서!#REF!</definedName>
    <definedName name="전기내역" localSheetId="3">BlankMacro1</definedName>
    <definedName name="전기내역1" localSheetId="3">BlankMacro1</definedName>
    <definedName name="전기변경1" localSheetId="6">BlankMacro1</definedName>
    <definedName name="전기변경1" localSheetId="3">BlankMacro1</definedName>
    <definedName name="전기변경1">BlankMacro1</definedName>
    <definedName name="전기변경3" localSheetId="6">BlankMacro1</definedName>
    <definedName name="전기변경3" localSheetId="3">BlankMacro1</definedName>
    <definedName name="전기변경3">BlankMacro1</definedName>
    <definedName name="전기산출" localSheetId="6">#REF!</definedName>
    <definedName name="전기산출">#REF!</definedName>
    <definedName name="전기실전력간선철거" localSheetId="6">#REF!</definedName>
    <definedName name="전기실전력간선철거">#REF!</definedName>
    <definedName name="전류×길이" localSheetId="6">#REF!</definedName>
    <definedName name="전류×길이">#REF!</definedName>
    <definedName name="전류×길이의합" localSheetId="6">#REF!</definedName>
    <definedName name="전류×길이의합">#REF!</definedName>
    <definedName name="전류×길이의합1" localSheetId="6">#REF!</definedName>
    <definedName name="전류×길이의합1">#REF!</definedName>
    <definedName name="전류길이" localSheetId="6">#REF!</definedName>
    <definedName name="전류길이">#REF!</definedName>
    <definedName name="전류길이의합" localSheetId="6">#REF!</definedName>
    <definedName name="전류길이의합">#REF!</definedName>
    <definedName name="전용" localSheetId="6">#REF!</definedName>
    <definedName name="전용">#REF!</definedName>
    <definedName name="전체" localSheetId="6">#REF!</definedName>
    <definedName name="전체">#REF!</definedName>
    <definedName name="전체제조총괄표" localSheetId="0" hidden="1">{"'건축내역'!$A$1:$L$413"}</definedName>
    <definedName name="전체제조총괄표" localSheetId="5" hidden="1">{"'건축내역'!$A$1:$L$413"}</definedName>
    <definedName name="전체제조총괄표" localSheetId="2" hidden="1">{"'건축내역'!$A$1:$L$413"}</definedName>
    <definedName name="전체제조총괄표" localSheetId="1" hidden="1">{"'건축내역'!$A$1:$L$413"}</definedName>
    <definedName name="전체제조총괄표" localSheetId="4" hidden="1">{"'건축내역'!$A$1:$L$413"}</definedName>
    <definedName name="전체제조총괄표" hidden="1">{"'건축내역'!$A$1:$L$413"}</definedName>
    <definedName name="전화및TV공시청설비" localSheetId="6">#REF!</definedName>
    <definedName name="전화및TV공시청설비">#REF!</definedName>
    <definedName name="점수표" localSheetId="6">#REF!</definedName>
    <definedName name="점수표">#REF!</definedName>
    <definedName name="정화조" localSheetId="0" hidden="1">{#N/A,#N/A,FALSE,"CCTV"}</definedName>
    <definedName name="정화조" localSheetId="3" hidden="1">{#N/A,#N/A,FALSE,"CCTV"}</definedName>
    <definedName name="정화조" hidden="1">{#N/A,#N/A,FALSE,"CCTV"}</definedName>
    <definedName name="제관비교" localSheetId="6">#REF!</definedName>
    <definedName name="제관비교">#REF!</definedName>
    <definedName name="제잡비" localSheetId="6">#REF!</definedName>
    <definedName name="제잡비">#REF!</definedName>
    <definedName name="져" localSheetId="6">#REF!</definedName>
    <definedName name="져">#REF!</definedName>
    <definedName name="조" localSheetId="6">#REF!</definedName>
    <definedName name="조">#REF!</definedName>
    <definedName name="조도등주종류" localSheetId="3">'집계표-x'!조도등주종류</definedName>
    <definedName name="조도등주종류">[1]!조도등주종류</definedName>
    <definedName name="조도케이블길이" localSheetId="3">'집계표-x'!조도케이블길이</definedName>
    <definedName name="조도케이블길이">[1]!조도케이블길이</definedName>
    <definedName name="조명" localSheetId="6">#REF!</definedName>
    <definedName name="조명">#REF!</definedName>
    <definedName name="조명설계" localSheetId="6">#REF!</definedName>
    <definedName name="조명설계">#REF!</definedName>
    <definedName name="조명장치소계" localSheetId="6">#REF!</definedName>
    <definedName name="조명장치소계">#REF!</definedName>
    <definedName name="조묭" localSheetId="6">#REF!</definedName>
    <definedName name="조묭">#REF!</definedName>
    <definedName name="조사9909" localSheetId="6">#REF!</definedName>
    <definedName name="조사9909">#REF!</definedName>
    <definedName name="조수" localSheetId="3">'집계표-x'!조수</definedName>
    <definedName name="조수">[1]!조수</definedName>
    <definedName name="조조조조" localSheetId="6">BlankMacro1</definedName>
    <definedName name="조조조조" localSheetId="3">BlankMacro1</definedName>
    <definedName name="조조조조">BlankMacro1</definedName>
    <definedName name="조조조조좆" localSheetId="6">BlankMacro1</definedName>
    <definedName name="조조조조좆" localSheetId="3">BlankMacro1</definedName>
    <definedName name="조조조조좆">BlankMacro1</definedName>
    <definedName name="중기기사" localSheetId="3">'집계표-x'!중기기사</definedName>
    <definedName name="중기기사">[1]!중기기사</definedName>
    <definedName name="중앙갑지" localSheetId="6">#REF!</definedName>
    <definedName name="중앙갑지">#REF!</definedName>
    <definedName name="지산최초" localSheetId="6">#REF!</definedName>
    <definedName name="지산최초">#REF!</definedName>
    <definedName name="직접경비" localSheetId="6">#REF!</definedName>
    <definedName name="직접경비">#REF!</definedName>
    <definedName name="직접노무비" localSheetId="6">#REF!</definedName>
    <definedName name="직접노무비">#REF!</definedName>
    <definedName name="직종인원" localSheetId="6">#REF!</definedName>
    <definedName name="직종인원">#REF!</definedName>
    <definedName name="집계" localSheetId="6">#REF!</definedName>
    <definedName name="집계">#REF!</definedName>
    <definedName name="집계1" localSheetId="6">#REF!</definedName>
    <definedName name="집계1">#REF!</definedName>
    <definedName name="집계2" localSheetId="6">#REF!</definedName>
    <definedName name="집계2">#REF!</definedName>
    <definedName name="차" localSheetId="6">BlankMacro1</definedName>
    <definedName name="차" localSheetId="3">BlankMacro1</definedName>
    <definedName name="차">BlankMacro1</definedName>
    <definedName name="차종" localSheetId="6">#REF!</definedName>
    <definedName name="차종">#REF!</definedName>
    <definedName name="차종수" localSheetId="6">#REF!</definedName>
    <definedName name="차종수">#REF!</definedName>
    <definedName name="차체" localSheetId="6">#REF!</definedName>
    <definedName name="차체">#REF!</definedName>
    <definedName name="차커ㅑㅐㅁ" localSheetId="6">#REF!</definedName>
    <definedName name="차커ㅑㅐㅁ">#REF!</definedName>
    <definedName name="참조" localSheetId="3">'집계표-x'!참조</definedName>
    <definedName name="참조">[1]!참조</definedName>
    <definedName name="철거" localSheetId="6">BlankMacro1</definedName>
    <definedName name="철거" localSheetId="3">BlankMacro1</definedName>
    <definedName name="철거">BlankMacro1</definedName>
    <definedName name="철공" localSheetId="6">#REF!</definedName>
    <definedName name="철공">#REF!</definedName>
    <definedName name="첨부2_외자재" localSheetId="6">#REF!</definedName>
    <definedName name="첨부2_외자재">#REF!</definedName>
    <definedName name="총" localSheetId="3">BlankMacro1</definedName>
    <definedName name="총공사" localSheetId="3">BlankMacro1</definedName>
    <definedName name="총괄" localSheetId="6">#REF!</definedName>
    <definedName name="총괄">#REF!</definedName>
    <definedName name="총괄표" localSheetId="6">#REF!</definedName>
    <definedName name="총괄표">#REF!</definedName>
    <definedName name="총원가" localSheetId="6">#REF!</definedName>
    <definedName name="총원가">#REF!</definedName>
    <definedName name="총원가계산" localSheetId="6">#REF!</definedName>
    <definedName name="총원가계산">#REF!</definedName>
    <definedName name="총토탈" localSheetId="6">#REF!</definedName>
    <definedName name="총토탈">#REF!</definedName>
    <definedName name="총토탈1" localSheetId="6">#REF!</definedName>
    <definedName name="총토탈1">#REF!</definedName>
    <definedName name="총토탈2" localSheetId="6">#REF!</definedName>
    <definedName name="총토탈2">#REF!</definedName>
    <definedName name="축열식심야전기온돌공사" localSheetId="3">BlankMacro1</definedName>
    <definedName name="취소" localSheetId="3">'집계표-x'!취소</definedName>
    <definedName name="취소">[1]!취소</definedName>
    <definedName name="ㅋ" localSheetId="6">#REF!</definedName>
    <definedName name="ㅋ">#REF!</definedName>
    <definedName name="ㅋㅁ" localSheetId="0" hidden="1">{#N/A,#N/A,FALSE,"명세표"}</definedName>
    <definedName name="ㅋㅁ" localSheetId="5" hidden="1">{#N/A,#N/A,FALSE,"명세표"}</definedName>
    <definedName name="ㅋㅁ" localSheetId="2" hidden="1">{#N/A,#N/A,FALSE,"명세표"}</definedName>
    <definedName name="ㅋㅁ" hidden="1">{#N/A,#N/A,FALSE,"명세표"}</definedName>
    <definedName name="ㅋㅋ" localSheetId="6">#REF!</definedName>
    <definedName name="ㅋㅋ" localSheetId="3">BlankMacro1</definedName>
    <definedName name="ㅋㅋ">#REF!</definedName>
    <definedName name="ㅋ티ㅓ하ㅣ" localSheetId="6">#REF!</definedName>
    <definedName name="ㅋ티ㅓ하ㅣ">#REF!</definedName>
    <definedName name="카ㅓ치" localSheetId="6">#REF!</definedName>
    <definedName name="카ㅓ치">#REF!</definedName>
    <definedName name="크레인가격" localSheetId="3">'집계표-x'!크레인가격</definedName>
    <definedName name="크레인가격">[1]!크레인가격</definedName>
    <definedName name="ㅌ" localSheetId="6">#REF!</definedName>
    <definedName name="ㅌ">#REF!</definedName>
    <definedName name="ㅌ처포" localSheetId="6">#REF!</definedName>
    <definedName name="ㅌ처포">#REF!</definedName>
    <definedName name="타ㅐㅁㄴ" localSheetId="6">#REF!</definedName>
    <definedName name="타ㅐㅁㄴ">#REF!</definedName>
    <definedName name="템플리트모듈1" localSheetId="6">BlankMacro1</definedName>
    <definedName name="템플리트모듈1" localSheetId="3">BlankMacro1</definedName>
    <definedName name="템플리트모듈1">BlankMacro1</definedName>
    <definedName name="템플리트모듈2" localSheetId="6">BlankMacro1</definedName>
    <definedName name="템플리트모듈2" localSheetId="3">BlankMacro1</definedName>
    <definedName name="템플리트모듈2">BlankMacro1</definedName>
    <definedName name="템플리트모듈3" localSheetId="6">BlankMacro1</definedName>
    <definedName name="템플리트모듈3" localSheetId="3">BlankMacro1</definedName>
    <definedName name="템플리트모듈3">BlankMacro1</definedName>
    <definedName name="템플리트모듈4" localSheetId="6">BlankMacro1</definedName>
    <definedName name="템플리트모듈4" localSheetId="3">BlankMacro1</definedName>
    <definedName name="템플리트모듈4">BlankMacro1</definedName>
    <definedName name="템플리트모듈5" localSheetId="6">BlankMacro1</definedName>
    <definedName name="템플리트모듈5" localSheetId="3">BlankMacro1</definedName>
    <definedName name="템플리트모듈5">BlankMacro1</definedName>
    <definedName name="템플리트모듈6" localSheetId="6">BlankMacro1</definedName>
    <definedName name="템플리트모듈6" localSheetId="3">BlankMacro1</definedName>
    <definedName name="템플리트모듈6">BlankMacro1</definedName>
    <definedName name="토목내역" localSheetId="6">#REF!</definedName>
    <definedName name="토목내역">#REF!</definedName>
    <definedName name="통산출1" localSheetId="6">#REF!</definedName>
    <definedName name="통산출1">#REF!</definedName>
    <definedName name="통신" localSheetId="3">BlankMacro1</definedName>
    <definedName name="통신갑지" localSheetId="3">BlankMacro1</definedName>
    <definedName name="통신일위대가" localSheetId="3">BlankMacro1</definedName>
    <definedName name="통신집계" localSheetId="3">BlankMacro1</definedName>
    <definedName name="통합갑지총계" localSheetId="6">#REF!</definedName>
    <definedName name="통합갑지총계">#REF!</definedName>
    <definedName name="통합시행청" localSheetId="6">#REF!</definedName>
    <definedName name="통합시행청">#REF!</definedName>
    <definedName name="통합표지" localSheetId="6">#REF!</definedName>
    <definedName name="통합표지">#REF!</definedName>
    <definedName name="통합품목" localSheetId="6">#REF!</definedName>
    <definedName name="통합품목">#REF!</definedName>
    <definedName name="통합헤드커텐1" localSheetId="6">#REF!</definedName>
    <definedName name="통합헤드커텐1">#REF!</definedName>
    <definedName name="통합현수막" localSheetId="6">#REF!</definedName>
    <definedName name="통합현수막">#REF!</definedName>
    <definedName name="투자" localSheetId="6">#REF!</definedName>
    <definedName name="투자">#REF!</definedName>
    <definedName name="특장" localSheetId="6">#REF!</definedName>
    <definedName name="특장">#REF!</definedName>
    <definedName name="ㅍ" localSheetId="0" hidden="1">{#N/A,#N/A,FALSE,"명세표"}</definedName>
    <definedName name="ㅍ" localSheetId="5" hidden="1">{#N/A,#N/A,FALSE,"명세표"}</definedName>
    <definedName name="ㅍ" localSheetId="2" hidden="1">{#N/A,#N/A,FALSE,"명세표"}</definedName>
    <definedName name="ㅍ" hidden="1">{#N/A,#N/A,FALSE,"명세표"}</definedName>
    <definedName name="販__賣____手__數__料" localSheetId="6">#REF!</definedName>
    <definedName name="販__賣____手__數__料">#REF!</definedName>
    <definedName name="패킹" localSheetId="6">ROUND(SUM([1]!DCC,[1]!DCO,[1]!DCN)*100/#REF!,1)</definedName>
    <definedName name="패킹">ROUND(SUM([1]!DCC,[1]!DCO,[1]!DCN)*100/#REF!,1)</definedName>
    <definedName name="평안" localSheetId="6">#REF!</definedName>
    <definedName name="평안">#REF!</definedName>
    <definedName name="표지" localSheetId="6">#REF!</definedName>
    <definedName name="표지">#REF!</definedName>
    <definedName name="표지2" localSheetId="6">#REF!</definedName>
    <definedName name="표지2" localSheetId="3">BlankMacro1</definedName>
    <definedName name="표지2">#REF!</definedName>
    <definedName name="품명" localSheetId="6">#REF!</definedName>
    <definedName name="품명">#REF!</definedName>
    <definedName name="품목" localSheetId="6">#REF!</definedName>
    <definedName name="품목">#REF!</definedName>
    <definedName name="품위내역서" localSheetId="6">BlankMacro1</definedName>
    <definedName name="품위내역서" localSheetId="3">BlankMacro1</definedName>
    <definedName name="품위내역서">BlankMacro1</definedName>
    <definedName name="ㅎ662" localSheetId="6">#REF!</definedName>
    <definedName name="ㅎ662">#REF!</definedName>
    <definedName name="ㅎ략" localSheetId="6">#REF!</definedName>
    <definedName name="ㅎ략">#REF!</definedName>
    <definedName name="ㅎㅎ" localSheetId="6">#REF!</definedName>
    <definedName name="ㅎㅎ">#REF!</definedName>
    <definedName name="ㅎㅎㅎ" localSheetId="6">#REF!</definedName>
    <definedName name="ㅎㅎㅎ">#REF!</definedName>
    <definedName name="하도" localSheetId="6">#REF!</definedName>
    <definedName name="하도">#REF!</definedName>
    <definedName name="하도비율" localSheetId="6">#REF!</definedName>
    <definedName name="하도비율">#REF!</definedName>
    <definedName name="하하" localSheetId="6">#REF!</definedName>
    <definedName name="하하">#REF!</definedName>
    <definedName name="학교" localSheetId="6">#REF!</definedName>
    <definedName name="학교">#REF!</definedName>
    <definedName name="학교2" localSheetId="6">#REF!</definedName>
    <definedName name="학교2">#REF!</definedName>
    <definedName name="한국" localSheetId="3">'집계표-x'!한국</definedName>
    <definedName name="한전수탁비" localSheetId="6">#REF!</definedName>
    <definedName name="한전수탁비">#REF!</definedName>
    <definedName name="합계" localSheetId="6">#REF!</definedName>
    <definedName name="합계">#REF!</definedName>
    <definedName name="합계1" localSheetId="6">#REF!</definedName>
    <definedName name="합계1">#REF!</definedName>
    <definedName name="합계2" localSheetId="6">#REF!</definedName>
    <definedName name="합계2">#REF!</definedName>
    <definedName name="합계3" localSheetId="6">#REF!</definedName>
    <definedName name="합계3">#REF!</definedName>
    <definedName name="합계전류" localSheetId="6">#REF!</definedName>
    <definedName name="합계전류">#REF!</definedName>
    <definedName name="합계전류1" localSheetId="6">#REF!</definedName>
    <definedName name="합계전류1">#REF!</definedName>
    <definedName name="합계전류2" localSheetId="6">#REF!</definedName>
    <definedName name="합계전류2">#REF!</definedName>
    <definedName name="합계전류종" localSheetId="6">#REF!</definedName>
    <definedName name="합계전류종">#REF!</definedName>
    <definedName name="허" localSheetId="6">#REF!</definedName>
    <definedName name="허">#REF!</definedName>
    <definedName name="허용전류" localSheetId="6">#REF!</definedName>
    <definedName name="허용전류">#REF!</definedName>
    <definedName name="호" localSheetId="6">#REF!</definedName>
    <definedName name="호">#REF!</definedName>
    <definedName name="호호호호" localSheetId="6">#REF!</definedName>
    <definedName name="호호호호">#REF!</definedName>
    <definedName name="홍" localSheetId="6">#REF!</definedName>
    <definedName name="홍">#REF!</definedName>
    <definedName name="환율" localSheetId="6">#REF!</definedName>
    <definedName name="환율">#REF!</definedName>
    <definedName name="환율비" localSheetId="6">#REF!</definedName>
    <definedName name="환율비">#REF!</definedName>
    <definedName name="회수년" localSheetId="6">#REF!</definedName>
    <definedName name="회수년">#REF!</definedName>
    <definedName name="ㅏ">#N/A</definedName>
    <definedName name="ㅏ96" localSheetId="6">#REF!</definedName>
    <definedName name="ㅏ96">#REF!</definedName>
    <definedName name="ㅏ눞ㄴ" localSheetId="6">#REF!</definedName>
    <definedName name="ㅏ눞ㄴ">#REF!</definedName>
    <definedName name="ㅏㅇㄹ너ㅑ" localSheetId="6">#REF!</definedName>
    <definedName name="ㅏㅇㄹ너ㅑ">#REF!</definedName>
    <definedName name="ㅏ커" localSheetId="6">#REF!</definedName>
    <definedName name="ㅏ커">#REF!</definedName>
    <definedName name="ㅏㅏㅇ라너" localSheetId="6">#REF!</definedName>
    <definedName name="ㅏㅏㅇ라너">#REF!</definedName>
    <definedName name="ㅏㅏㅏ" localSheetId="0" hidden="1">{#N/A,#N/A,FALSE,"명세표"}</definedName>
    <definedName name="ㅏㅏㅏ" localSheetId="5" hidden="1">{#N/A,#N/A,FALSE,"명세표"}</definedName>
    <definedName name="ㅏㅏㅏ" localSheetId="2" hidden="1">{#N/A,#N/A,FALSE,"명세표"}</definedName>
    <definedName name="ㅏㅏㅏ" hidden="1">{#N/A,#N/A,FALSE,"명세표"}</definedName>
    <definedName name="ㅏㅣㅇ널" localSheetId="6">#REF!</definedName>
    <definedName name="ㅏㅣㅇ널">#REF!</definedName>
    <definedName name="ㅐㅐ" localSheetId="6">#REF!</definedName>
    <definedName name="ㅐㅐ">#REF!</definedName>
    <definedName name="ㅑ러ㅑ" localSheetId="6">#REF!</definedName>
    <definedName name="ㅑ러ㅑ">#REF!</definedName>
    <definedName name="ㅓㅏ" localSheetId="0" hidden="1">{#N/A,#N/A,FALSE,"명세표"}</definedName>
    <definedName name="ㅓㅏ" localSheetId="5" hidden="1">{#N/A,#N/A,FALSE,"명세표"}</definedName>
    <definedName name="ㅓㅏ" localSheetId="2" hidden="1">{#N/A,#N/A,FALSE,"명세표"}</definedName>
    <definedName name="ㅓㅏ" hidden="1">{#N/A,#N/A,FALSE,"명세표"}</definedName>
    <definedName name="ㅓㅗ허" localSheetId="6">#REF!</definedName>
    <definedName name="ㅓㅗ허">#REF!</definedName>
    <definedName name="ㅓㅣ망래ㅑ" localSheetId="6">#REF!</definedName>
    <definedName name="ㅓㅣ망래ㅑ">#REF!</definedName>
    <definedName name="ㅔㅔ" localSheetId="0" hidden="1">{#N/A,#N/A,FALSE,"명세표"}</definedName>
    <definedName name="ㅔㅔ" localSheetId="5" hidden="1">{#N/A,#N/A,FALSE,"명세표"}</definedName>
    <definedName name="ㅔㅔ" localSheetId="2" hidden="1">{#N/A,#N/A,FALSE,"명세표"}</definedName>
    <definedName name="ㅔㅔ" hidden="1">{#N/A,#N/A,FALSE,"명세표"}</definedName>
    <definedName name="ㅔㅔㅔ" localSheetId="6">#REF!</definedName>
    <definedName name="ㅔㅔㅔ">#REF!</definedName>
    <definedName name="ㅕㅑ" localSheetId="6">#REF!</definedName>
    <definedName name="ㅕㅑ">#REF!</definedName>
    <definedName name="ㅗ415" localSheetId="6">#REF!</definedName>
    <definedName name="ㅗ415">#REF!</definedName>
    <definedName name="ㅗ461" localSheetId="6">#REF!</definedName>
    <definedName name="ㅗ461">#REF!</definedName>
    <definedName name="ㅗㅓ" localSheetId="0" hidden="1">{"'제조(순번)'!$A$386:$A$387","'제조(순번)'!$A$1:$H$399"}</definedName>
    <definedName name="ㅗㅓ" hidden="1">{"'제조(순번)'!$A$386:$A$387","'제조(순번)'!$A$1:$H$399"}</definedName>
    <definedName name="ㅗㅓㅏ" localSheetId="6">#REF!</definedName>
    <definedName name="ㅗㅓㅏ">#REF!</definedName>
    <definedName name="ㅗㅗ" localSheetId="0" hidden="1">{#N/A,#N/A,FALSE,"명세표"}</definedName>
    <definedName name="ㅗㅗ" localSheetId="5" hidden="1">{#N/A,#N/A,FALSE,"명세표"}</definedName>
    <definedName name="ㅗㅗ" localSheetId="2" hidden="1">{#N/A,#N/A,FALSE,"명세표"}</definedName>
    <definedName name="ㅗㅗ" hidden="1">{#N/A,#N/A,FALSE,"명세표"}</definedName>
    <definedName name="ㅛㅛㅛㅛ" hidden="1">[5]수량산출!$A$1:$A$8561</definedName>
    <definedName name="ㅜ" localSheetId="0" hidden="1">[6]수량산출!#REF!</definedName>
    <definedName name="ㅜ" localSheetId="6" hidden="1">[6]수량산출!#REF!</definedName>
    <definedName name="ㅜ" localSheetId="3" hidden="1">[6]수량산출!#REF!</definedName>
    <definedName name="ㅜ" hidden="1">[6]수량산출!#REF!</definedName>
    <definedName name="ㅜㅜ" localSheetId="3">BlankMacro1</definedName>
    <definedName name="ㅠ" localSheetId="6">#REF!</definedName>
    <definedName name="ㅠ">#REF!</definedName>
    <definedName name="ㅡㅡ" localSheetId="6">#REF!</definedName>
    <definedName name="ㅡㅡ">#REF!</definedName>
    <definedName name="ㅡㅡㅡㅡㅡ" localSheetId="6">#REF!,#REF!</definedName>
    <definedName name="ㅡㅡㅡㅡㅡ">#REF!,#REF!</definedName>
    <definedName name="ㅣㅣ" localSheetId="6">#REF!</definedName>
    <definedName name="ㅣㅣ">#REF!</definedName>
    <definedName name="ㅣㅣㅣㅣㅣ" localSheetId="6">#REF!</definedName>
    <definedName name="ㅣㅣㅣㅣㅣ">#REF!</definedName>
  </definedNames>
  <calcPr calcId="162913"/>
</workbook>
</file>

<file path=xl/calcChain.xml><?xml version="1.0" encoding="utf-8"?>
<calcChain xmlns="http://schemas.openxmlformats.org/spreadsheetml/2006/main">
  <c r="H3" i="112" l="1"/>
  <c r="C2" i="112"/>
  <c r="B2" i="112"/>
  <c r="C1" i="111"/>
  <c r="S15" i="110"/>
  <c r="I11" i="110"/>
  <c r="I10" i="110"/>
  <c r="E11" i="103"/>
  <c r="K11" i="103" s="1"/>
  <c r="D11" i="103"/>
  <c r="F11" i="103" s="1"/>
  <c r="L11" i="103" s="1"/>
  <c r="C11" i="103"/>
  <c r="B11" i="103"/>
  <c r="A11" i="103"/>
  <c r="E10" i="103"/>
  <c r="K10" i="103" s="1"/>
  <c r="D10" i="103"/>
  <c r="F10" i="103" s="1"/>
  <c r="L10" i="103" s="1"/>
  <c r="C10" i="103"/>
  <c r="B10" i="103"/>
  <c r="A10" i="103"/>
  <c r="E9" i="103"/>
  <c r="K9" i="103" s="1"/>
  <c r="D9" i="103"/>
  <c r="F9" i="103" s="1"/>
  <c r="L9" i="103" s="1"/>
  <c r="C9" i="103"/>
  <c r="B9" i="103"/>
  <c r="A9" i="103"/>
  <c r="E8" i="103"/>
  <c r="K8" i="103" s="1"/>
  <c r="D8" i="103"/>
  <c r="C8" i="103"/>
  <c r="B8" i="103"/>
  <c r="A8" i="103"/>
  <c r="E7" i="103"/>
  <c r="K7" i="103" s="1"/>
  <c r="D7" i="103"/>
  <c r="F7" i="103" s="1"/>
  <c r="L7" i="103" s="1"/>
  <c r="C7" i="103"/>
  <c r="B7" i="103"/>
  <c r="A7" i="103"/>
  <c r="E6" i="103"/>
  <c r="K6" i="103" s="1"/>
  <c r="D6" i="103"/>
  <c r="F6" i="103" s="1"/>
  <c r="C6" i="103"/>
  <c r="B6" i="103"/>
  <c r="A6" i="103"/>
  <c r="A5" i="103"/>
  <c r="A5" i="102" s="1"/>
  <c r="F8" i="103" l="1"/>
  <c r="L8" i="103" s="1"/>
  <c r="D13" i="111"/>
  <c r="E15" i="111" s="1"/>
  <c r="D15" i="111" s="1"/>
  <c r="L6" i="103"/>
  <c r="A146" i="2"/>
  <c r="A67" i="2"/>
  <c r="A9" i="2"/>
  <c r="A116" i="2"/>
  <c r="A88" i="2"/>
  <c r="A60" i="2"/>
  <c r="A4" i="2"/>
  <c r="B7" i="27"/>
  <c r="I14" i="28" s="1"/>
  <c r="A29" i="2" l="1"/>
  <c r="A150" i="2"/>
  <c r="A5" i="2"/>
  <c r="A118" i="2"/>
  <c r="A28" i="2"/>
  <c r="A15" i="2"/>
  <c r="A8" i="2"/>
  <c r="A66" i="2"/>
  <c r="A121" i="2"/>
  <c r="A147" i="2"/>
  <c r="A16" i="2"/>
  <c r="A17" i="2"/>
  <c r="A11" i="2"/>
  <c r="A91" i="2"/>
  <c r="A117" i="2"/>
  <c r="A25" i="2"/>
  <c r="A12" i="2"/>
  <c r="A92" i="2"/>
  <c r="A62" i="2"/>
  <c r="A96" i="2"/>
  <c r="A21" i="2"/>
  <c r="A93" i="2"/>
  <c r="A144" i="2"/>
  <c r="A30" i="2"/>
  <c r="A26" i="2"/>
  <c r="A22" i="2"/>
  <c r="A18" i="2"/>
  <c r="A14" i="2"/>
  <c r="A10" i="2"/>
  <c r="A6" i="2"/>
  <c r="A68" i="2"/>
  <c r="A64" i="2"/>
  <c r="A94" i="2"/>
  <c r="A90" i="2"/>
  <c r="A120" i="2"/>
  <c r="A145" i="2"/>
  <c r="A24" i="2"/>
  <c r="A20" i="2"/>
  <c r="A13" i="2"/>
  <c r="A63" i="2"/>
  <c r="A97" i="2"/>
  <c r="A89" i="2"/>
  <c r="A119" i="2"/>
  <c r="A148" i="2"/>
  <c r="A31" i="2"/>
  <c r="A27" i="2"/>
  <c r="A23" i="2"/>
  <c r="A19" i="2"/>
  <c r="A7" i="2"/>
  <c r="A69" i="2"/>
  <c r="A65" i="2"/>
  <c r="A61" i="2"/>
  <c r="A95" i="2"/>
  <c r="A149" i="2"/>
  <c r="H7" i="27" l="1"/>
  <c r="D32" i="100" l="1"/>
  <c r="D19" i="100"/>
  <c r="D12" i="100"/>
  <c r="D9" i="100"/>
  <c r="D8" i="100"/>
  <c r="D17" i="100" s="1"/>
  <c r="D4" i="100"/>
  <c r="D7" i="100" s="1"/>
  <c r="E5" i="102" l="1"/>
  <c r="D21" i="100"/>
  <c r="D10" i="100"/>
  <c r="D16" i="100"/>
  <c r="D18" i="100" s="1"/>
  <c r="D20" i="100"/>
  <c r="E20" i="102" l="1"/>
  <c r="F4" i="112" s="1"/>
  <c r="D15" i="100"/>
  <c r="D14" i="100"/>
  <c r="D25" i="100" s="1"/>
  <c r="D26" i="100" s="1"/>
  <c r="D27" i="100" l="1"/>
  <c r="D28" i="100" s="1"/>
  <c r="D29" i="100" l="1"/>
  <c r="D30" i="100" l="1"/>
  <c r="D31" i="100" s="1"/>
  <c r="D33" i="100" s="1"/>
  <c r="G2" i="100" s="1"/>
  <c r="F2" i="100" s="1"/>
  <c r="F5" i="102" l="1"/>
  <c r="G5" i="102" l="1"/>
  <c r="G20" i="102" s="1"/>
  <c r="H4" i="112" s="1"/>
  <c r="H16" i="112" s="1"/>
  <c r="D10" i="111" s="1"/>
  <c r="F20" i="102"/>
  <c r="B6" i="27"/>
  <c r="I13" i="28" s="1"/>
  <c r="H5" i="102" l="1"/>
  <c r="H20" i="102"/>
  <c r="H3" i="102" s="1"/>
  <c r="G4" i="112"/>
  <c r="I4" i="112" s="1"/>
  <c r="B3" i="102" l="1"/>
  <c r="B3" i="2" l="1"/>
  <c r="B3" i="27" s="1"/>
  <c r="I10" i="28" s="1"/>
  <c r="B4" i="27"/>
  <c r="I11" i="28" s="1"/>
  <c r="B5" i="27"/>
  <c r="I12" i="28" s="1"/>
  <c r="B2" i="27"/>
  <c r="C1" i="79"/>
  <c r="S15" i="28"/>
  <c r="A5" i="98" l="1"/>
  <c r="A6" i="98"/>
  <c r="A7" i="98"/>
  <c r="G7" i="98" l="1"/>
  <c r="G6" i="98"/>
  <c r="K3" i="2"/>
  <c r="F7" i="27" l="1"/>
  <c r="G7" i="27"/>
  <c r="F6" i="27"/>
  <c r="G6" i="27"/>
  <c r="H3" i="27"/>
  <c r="H16" i="27" s="1"/>
  <c r="D10" i="79" s="1"/>
  <c r="G5" i="98"/>
  <c r="G21" i="98" s="1"/>
  <c r="I7" i="27" l="1"/>
  <c r="E6" i="98"/>
  <c r="I6" i="27"/>
  <c r="F5" i="27"/>
  <c r="G5" i="27"/>
  <c r="F7" i="98"/>
  <c r="G4" i="27"/>
  <c r="F6" i="98"/>
  <c r="G3" i="2" l="1"/>
  <c r="E5" i="98" s="1"/>
  <c r="I3" i="2"/>
  <c r="G3" i="27" s="1"/>
  <c r="E7" i="98"/>
  <c r="I5" i="27"/>
  <c r="F4" i="27"/>
  <c r="I4" i="27" s="1"/>
  <c r="H6" i="98"/>
  <c r="L3" i="2" l="1"/>
  <c r="G16" i="27"/>
  <c r="F5" i="98"/>
  <c r="F21" i="98" s="1"/>
  <c r="F3" i="27"/>
  <c r="F16" i="27" s="1"/>
  <c r="F3" i="112" s="1"/>
  <c r="E21" i="98"/>
  <c r="H7" i="98"/>
  <c r="F16" i="112" l="1"/>
  <c r="D7" i="79"/>
  <c r="E13" i="79" s="1"/>
  <c r="D13" i="79" s="1"/>
  <c r="E15" i="79" s="1"/>
  <c r="G3" i="112"/>
  <c r="G16" i="112" s="1"/>
  <c r="D7" i="111" s="1"/>
  <c r="D3" i="79"/>
  <c r="I16" i="27"/>
  <c r="H5" i="98"/>
  <c r="H21" i="98"/>
  <c r="B3" i="98" s="1"/>
  <c r="I3" i="27"/>
  <c r="I3" i="112" l="1"/>
  <c r="E8" i="79"/>
  <c r="D8" i="79" s="1"/>
  <c r="D9" i="79" s="1"/>
  <c r="E12" i="79" s="1"/>
  <c r="D12" i="79" s="1"/>
  <c r="E14" i="79"/>
  <c r="D14" i="79" s="1"/>
  <c r="D3" i="111"/>
  <c r="D6" i="111" s="1"/>
  <c r="I16" i="112"/>
  <c r="D14" i="111"/>
  <c r="E8" i="111"/>
  <c r="D8" i="111" s="1"/>
  <c r="D9" i="111" s="1"/>
  <c r="E18" i="79"/>
  <c r="E3" i="98"/>
  <c r="D6" i="79"/>
  <c r="E11" i="79" l="1"/>
  <c r="D11" i="79" s="1"/>
  <c r="E17" i="111"/>
  <c r="D17" i="111" s="1"/>
  <c r="E12" i="111"/>
  <c r="D12" i="111" s="1"/>
  <c r="E11" i="111"/>
  <c r="D11" i="111" s="1"/>
  <c r="E16" i="111"/>
  <c r="D16" i="111" s="1"/>
  <c r="E16" i="79"/>
  <c r="D16" i="79" s="1"/>
  <c r="E17" i="79"/>
  <c r="D17" i="79" s="1"/>
  <c r="D19" i="111" l="1"/>
  <c r="D19" i="79"/>
  <c r="E20" i="111" l="1"/>
  <c r="D20" i="111" s="1"/>
  <c r="D21" i="111" s="1"/>
  <c r="E20" i="79"/>
  <c r="D20" i="79" s="1"/>
  <c r="E22" i="111" l="1"/>
  <c r="D23" i="111" s="1"/>
  <c r="D21" i="79"/>
  <c r="E22" i="79"/>
  <c r="D22" i="79" s="1"/>
  <c r="E24" i="111" l="1"/>
  <c r="D24" i="111" s="1"/>
  <c r="P18" i="110" s="1"/>
  <c r="I18" i="110" s="1"/>
  <c r="P17" i="110"/>
  <c r="I17" i="110" s="1"/>
  <c r="D23" i="79"/>
  <c r="D25" i="111" l="1"/>
  <c r="E24" i="79"/>
  <c r="D24" i="79" s="1"/>
  <c r="P17" i="28"/>
  <c r="P19" i="110" l="1"/>
  <c r="I19" i="110" s="1"/>
  <c r="D28" i="111"/>
  <c r="D25" i="79"/>
  <c r="P18" i="28"/>
  <c r="I18" i="28" s="1"/>
  <c r="P19" i="28" l="1"/>
  <c r="I19" i="28" s="1"/>
  <c r="D28" i="79"/>
  <c r="I17" i="28" s="1"/>
</calcChain>
</file>

<file path=xl/sharedStrings.xml><?xml version="1.0" encoding="utf-8"?>
<sst xmlns="http://schemas.openxmlformats.org/spreadsheetml/2006/main" count="1384" uniqueCount="685">
  <si>
    <t>식별</t>
  </si>
  <si>
    <t>직   종</t>
  </si>
  <si>
    <t>작업반장</t>
  </si>
  <si>
    <t>조력공</t>
  </si>
  <si>
    <t>제도사</t>
  </si>
  <si>
    <t>비계공</t>
  </si>
  <si>
    <t>형틀목공</t>
  </si>
  <si>
    <t>철근공</t>
  </si>
  <si>
    <t>철공</t>
  </si>
  <si>
    <t>철판공</t>
  </si>
  <si>
    <t>철골공</t>
  </si>
  <si>
    <t>용접공</t>
  </si>
  <si>
    <t>콘크리트공</t>
  </si>
  <si>
    <t>보링공</t>
  </si>
  <si>
    <t>착암공</t>
  </si>
  <si>
    <t>화약취급공</t>
  </si>
  <si>
    <t>할석공</t>
  </si>
  <si>
    <t>포설공</t>
  </si>
  <si>
    <t>포장공</t>
  </si>
  <si>
    <t>잠수부</t>
  </si>
  <si>
    <t>조적공</t>
  </si>
  <si>
    <t>견출공</t>
  </si>
  <si>
    <t>건축목공</t>
  </si>
  <si>
    <t>창호공</t>
  </si>
  <si>
    <t>유리공</t>
  </si>
  <si>
    <t>방수공</t>
  </si>
  <si>
    <t>미장공</t>
  </si>
  <si>
    <t>타일공</t>
  </si>
  <si>
    <t>도장공</t>
  </si>
  <si>
    <t>내장공</t>
  </si>
  <si>
    <t>도배공</t>
  </si>
  <si>
    <t>연마공</t>
  </si>
  <si>
    <t>석공</t>
  </si>
  <si>
    <t>줄눈공</t>
  </si>
  <si>
    <t>판넬조립공</t>
  </si>
  <si>
    <t>지붕잇기공</t>
  </si>
  <si>
    <t>벌목공</t>
  </si>
  <si>
    <t>조경공</t>
  </si>
  <si>
    <t>배관공</t>
  </si>
  <si>
    <t>배관공(수도)</t>
  </si>
  <si>
    <t>보일러공</t>
  </si>
  <si>
    <t>위생공</t>
  </si>
  <si>
    <t>덕트공</t>
  </si>
  <si>
    <t>보온공</t>
  </si>
  <si>
    <t>인력운반공</t>
  </si>
  <si>
    <t>-</t>
  </si>
  <si>
    <t>궤도공</t>
  </si>
  <si>
    <t>건설기계조장</t>
  </si>
  <si>
    <t>건설기계운전사</t>
  </si>
  <si>
    <t>화물차운전사</t>
  </si>
  <si>
    <t>일반기계운전사</t>
  </si>
  <si>
    <t>기계설비공</t>
  </si>
  <si>
    <t>준설선선장</t>
  </si>
  <si>
    <t>준설선기관사</t>
  </si>
  <si>
    <t>준설선운전사</t>
  </si>
  <si>
    <t>선원</t>
  </si>
  <si>
    <t>플랜트배관공</t>
  </si>
  <si>
    <t>플랜트제관공</t>
  </si>
  <si>
    <t>플랜트용접공</t>
  </si>
  <si>
    <t>플랜트특수용접공</t>
  </si>
  <si>
    <t>플랜트기계설치공</t>
  </si>
  <si>
    <t>플랜트특별인부</t>
  </si>
  <si>
    <t>플랜트케이블전공</t>
  </si>
  <si>
    <t>플랜트계장공</t>
  </si>
  <si>
    <t>플랜트덕트공</t>
  </si>
  <si>
    <t>플랜트보온공</t>
  </si>
  <si>
    <t>제철축로공</t>
  </si>
  <si>
    <t>비파괴시험공</t>
  </si>
  <si>
    <t>특급품질관리원</t>
  </si>
  <si>
    <t>고급품질관리원</t>
  </si>
  <si>
    <t>중급품질관리원</t>
  </si>
  <si>
    <t>초급품질관리원</t>
  </si>
  <si>
    <t>지적기사</t>
  </si>
  <si>
    <t>지적산업기사</t>
  </si>
  <si>
    <t>지적기능사</t>
  </si>
  <si>
    <t>특고압케이블전공</t>
  </si>
  <si>
    <t>고압케이블전공</t>
  </si>
  <si>
    <t>저압케이블전공</t>
  </si>
  <si>
    <t>송전전공</t>
  </si>
  <si>
    <t>송전활선전공</t>
  </si>
  <si>
    <t>배전활선전공</t>
  </si>
  <si>
    <t>플랜트전공</t>
  </si>
  <si>
    <t>계장공</t>
  </si>
  <si>
    <t>철도신호공</t>
  </si>
  <si>
    <t>통신내선공</t>
  </si>
  <si>
    <t>통신설비공</t>
  </si>
  <si>
    <t>통신외선공</t>
  </si>
  <si>
    <t>통신케이블공</t>
  </si>
  <si>
    <t>무선안테나공</t>
  </si>
  <si>
    <t>석면해체공</t>
  </si>
  <si>
    <t>광케이블설치사</t>
  </si>
  <si>
    <t>H/W시험사</t>
  </si>
  <si>
    <t>S/W시험사</t>
  </si>
  <si>
    <t>도편수</t>
  </si>
  <si>
    <t>드잡이공</t>
  </si>
  <si>
    <t>한식목공</t>
  </si>
  <si>
    <t>한식목공조공</t>
  </si>
  <si>
    <t>한식석공</t>
  </si>
  <si>
    <t>한식미장공</t>
  </si>
  <si>
    <t>한식와공</t>
  </si>
  <si>
    <t>한식와공조공</t>
  </si>
  <si>
    <t>목조각공</t>
  </si>
  <si>
    <t>석조각공</t>
  </si>
  <si>
    <t>특수화공</t>
  </si>
  <si>
    <t>화공</t>
  </si>
  <si>
    <t>원자력플랜트전공</t>
  </si>
  <si>
    <t>원자력용접공</t>
  </si>
  <si>
    <t>원자력기계설치공</t>
  </si>
  <si>
    <t>원자력품질관리사</t>
  </si>
  <si>
    <t>통신관련기사</t>
  </si>
  <si>
    <t>통신관련산업기사</t>
  </si>
  <si>
    <t>통신관련기능사</t>
  </si>
  <si>
    <t>전기공사기사</t>
  </si>
  <si>
    <t>전기공사산업기사</t>
  </si>
  <si>
    <t>변전전공</t>
  </si>
  <si>
    <t>코킹공</t>
  </si>
  <si>
    <t>◎ 공 사 개 요</t>
    <phoneticPr fontId="18" type="noConversion"/>
  </si>
  <si>
    <t xml:space="preserve"> 공 사 명 : </t>
    <phoneticPr fontId="69" type="noConversion"/>
  </si>
  <si>
    <t xml:space="preserve">설      계      예      산      서 </t>
    <phoneticPr fontId="18" type="noConversion"/>
  </si>
  <si>
    <t>구      분</t>
    <phoneticPr fontId="18" type="noConversion"/>
  </si>
  <si>
    <t>금      액</t>
    <phoneticPr fontId="18" type="noConversion"/>
  </si>
  <si>
    <t>순    공    사    비</t>
    <phoneticPr fontId="18" type="noConversion"/>
  </si>
  <si>
    <t>재료비</t>
    <phoneticPr fontId="20" type="noConversion"/>
  </si>
  <si>
    <t>직 접 재 료 비</t>
    <phoneticPr fontId="10" type="noConversion"/>
  </si>
  <si>
    <t>간 접 재 료 비</t>
    <phoneticPr fontId="10" type="noConversion"/>
  </si>
  <si>
    <t>작업실 부산물</t>
    <phoneticPr fontId="10" type="noConversion"/>
  </si>
  <si>
    <t>소             계</t>
    <phoneticPr fontId="10" type="noConversion"/>
  </si>
  <si>
    <t>노무비</t>
    <phoneticPr fontId="20" type="noConversion"/>
  </si>
  <si>
    <t>직 접 노 무 비</t>
    <phoneticPr fontId="10" type="noConversion"/>
  </si>
  <si>
    <t>간 접 노 무 비</t>
    <phoneticPr fontId="10" type="noConversion"/>
  </si>
  <si>
    <t>소            계</t>
    <phoneticPr fontId="10" type="noConversion"/>
  </si>
  <si>
    <t>경  비</t>
    <phoneticPr fontId="18" type="noConversion"/>
  </si>
  <si>
    <t>산 재 보 험 료</t>
    <phoneticPr fontId="10" type="noConversion"/>
  </si>
  <si>
    <t>기  계  경  비</t>
    <phoneticPr fontId="4" type="noConversion"/>
  </si>
  <si>
    <t>고  용  보  험</t>
    <phoneticPr fontId="4" type="noConversion"/>
  </si>
  <si>
    <t>건 강 보 험 료</t>
    <phoneticPr fontId="4" type="noConversion"/>
  </si>
  <si>
    <t>연 금 보 험 료</t>
    <phoneticPr fontId="4" type="noConversion"/>
  </si>
  <si>
    <t>노인장기요양보험료</t>
    <phoneticPr fontId="4" type="noConversion"/>
  </si>
  <si>
    <t>기  타  경  비</t>
    <phoneticPr fontId="4" type="noConversion"/>
  </si>
  <si>
    <t>일  반   관  리  비</t>
    <phoneticPr fontId="4" type="noConversion"/>
  </si>
  <si>
    <t>누                 계</t>
    <phoneticPr fontId="70" type="noConversion"/>
  </si>
  <si>
    <t>이        윤     (%)</t>
    <phoneticPr fontId="70" type="noConversion"/>
  </si>
  <si>
    <t>총       원       가</t>
    <phoneticPr fontId="70" type="noConversion"/>
  </si>
  <si>
    <t>부  가   가  치  세</t>
    <phoneticPr fontId="7" type="noConversion"/>
  </si>
  <si>
    <t xml:space="preserve"> 재료비+노무비+경비</t>
  </si>
  <si>
    <t xml:space="preserve"> 노무비+경비+일반관리비</t>
  </si>
  <si>
    <t>산업안전보건관리비</t>
    <phoneticPr fontId="18" type="noConversion"/>
  </si>
  <si>
    <t>1식</t>
    <phoneticPr fontId="17" type="noConversion"/>
  </si>
  <si>
    <t>도  급   공  사  비</t>
    <phoneticPr fontId="7" type="noConversion"/>
  </si>
  <si>
    <t>총      합      계</t>
    <phoneticPr fontId="70" type="noConversion"/>
  </si>
  <si>
    <t>합     계</t>
    <phoneticPr fontId="8" type="noConversion"/>
  </si>
  <si>
    <t>재 료 비</t>
    <phoneticPr fontId="8" type="noConversion"/>
  </si>
  <si>
    <t>노 무 비</t>
    <phoneticPr fontId="8" type="noConversion"/>
  </si>
  <si>
    <t>경    비</t>
    <phoneticPr fontId="8" type="noConversion"/>
  </si>
  <si>
    <t>수 량</t>
    <phoneticPr fontId="8" type="noConversion"/>
  </si>
  <si>
    <t>단 위</t>
    <phoneticPr fontId="8" type="noConversion"/>
  </si>
  <si>
    <t>공       종</t>
    <phoneticPr fontId="8" type="noConversion"/>
  </si>
  <si>
    <t>비   고</t>
    <phoneticPr fontId="8" type="noConversion"/>
  </si>
  <si>
    <t>노말밴드</t>
  </si>
  <si>
    <t>ST36</t>
  </si>
  <si>
    <t>파이프크램프</t>
  </si>
  <si>
    <t>16C</t>
  </si>
  <si>
    <t>22C</t>
  </si>
  <si>
    <t>36C</t>
  </si>
  <si>
    <t>M10</t>
  </si>
  <si>
    <t>㎡</t>
  </si>
  <si>
    <t xml:space="preserve"> </t>
    <phoneticPr fontId="18" type="noConversion"/>
  </si>
  <si>
    <t>면</t>
  </si>
  <si>
    <t>화재감지기</t>
  </si>
  <si>
    <t>KG</t>
  </si>
  <si>
    <t>㎥</t>
  </si>
  <si>
    <t>설  계
년월일</t>
    <phoneticPr fontId="18" type="noConversion"/>
  </si>
  <si>
    <t>스트롱앙카</t>
  </si>
  <si>
    <t>50A</t>
  </si>
  <si>
    <t>80A</t>
  </si>
  <si>
    <t>매</t>
  </si>
  <si>
    <t>CODE</t>
  </si>
  <si>
    <t>품        명</t>
  </si>
  <si>
    <t>규        격</t>
  </si>
  <si>
    <t>단위</t>
  </si>
  <si>
    <t>수량</t>
  </si>
  <si>
    <t>비  고</t>
  </si>
  <si>
    <t>제목</t>
  </si>
  <si>
    <t>재  료  비</t>
  </si>
  <si>
    <t>노  무  비</t>
  </si>
  <si>
    <t>경    비</t>
  </si>
  <si>
    <t>합   계</t>
  </si>
  <si>
    <t>배전전공</t>
  </si>
  <si>
    <t>특별인부</t>
  </si>
  <si>
    <t>단 가</t>
  </si>
  <si>
    <t>금  액</t>
  </si>
  <si>
    <t>식</t>
  </si>
  <si>
    <t>잡자재비</t>
  </si>
  <si>
    <t>내선전공</t>
  </si>
  <si>
    <t>보통인부</t>
  </si>
  <si>
    <t>계</t>
  </si>
  <si>
    <t>합    계</t>
  </si>
  <si>
    <t>인</t>
  </si>
  <si>
    <t>code</t>
  </si>
  <si>
    <t>M</t>
  </si>
  <si>
    <t>1종 금속제 가요전선관</t>
  </si>
  <si>
    <t>아우트레트 박스</t>
  </si>
  <si>
    <t>8각 54mm</t>
  </si>
  <si>
    <t>박스 카바</t>
  </si>
  <si>
    <t>구  성  비</t>
  </si>
  <si>
    <t>비     고</t>
  </si>
  <si>
    <t>*</t>
  </si>
  <si>
    <t>강제전선관</t>
  </si>
  <si>
    <t>[￦</t>
    <phoneticPr fontId="18" type="noConversion"/>
  </si>
  <si>
    <t>]</t>
    <phoneticPr fontId="18" type="noConversion"/>
  </si>
  <si>
    <t>배관배선의 2%</t>
    <phoneticPr fontId="8" type="noConversion"/>
  </si>
  <si>
    <t>조합장</t>
    <phoneticPr fontId="17" type="noConversion"/>
  </si>
  <si>
    <t>설계자</t>
    <phoneticPr fontId="17" type="noConversion"/>
  </si>
  <si>
    <t>담당</t>
    <phoneticPr fontId="17" type="noConversion"/>
  </si>
  <si>
    <t>상무</t>
    <phoneticPr fontId="17" type="noConversion"/>
  </si>
  <si>
    <t>상임이사</t>
    <phoneticPr fontId="17" type="noConversion"/>
  </si>
  <si>
    <r>
      <t xml:space="preserve">합 </t>
    </r>
    <r>
      <rPr>
        <b/>
        <sz val="9"/>
        <rFont val="맑은 고딕"/>
        <family val="3"/>
        <charset val="129"/>
      </rPr>
      <t xml:space="preserve">         </t>
    </r>
    <r>
      <rPr>
        <b/>
        <sz val="9"/>
        <rFont val="맑은 고딕"/>
        <family val="3"/>
        <charset val="129"/>
      </rPr>
      <t>계</t>
    </r>
    <phoneticPr fontId="8" type="noConversion"/>
  </si>
  <si>
    <t>퇴직공제부금비</t>
    <phoneticPr fontId="4" type="noConversion"/>
  </si>
  <si>
    <t xml:space="preserve">도급공사비 : </t>
    <phoneticPr fontId="18" type="noConversion"/>
  </si>
  <si>
    <t xml:space="preserve">총  공사비  : </t>
    <phoneticPr fontId="18" type="noConversion"/>
  </si>
  <si>
    <t>EA</t>
  </si>
  <si>
    <t xml:space="preserve"> 직접노무비</t>
    <phoneticPr fontId="4" type="noConversion"/>
  </si>
  <si>
    <t xml:space="preserve"> 노무비</t>
    <phoneticPr fontId="4" type="noConversion"/>
  </si>
  <si>
    <t xml:space="preserve"> 건강보험료</t>
    <phoneticPr fontId="18" type="noConversion"/>
  </si>
  <si>
    <t>(재료비+직접노무비)*율</t>
    <phoneticPr fontId="18" type="noConversion"/>
  </si>
  <si>
    <t xml:space="preserve"> 재료비+노무비</t>
    <phoneticPr fontId="18" type="noConversion"/>
  </si>
  <si>
    <t>천단위 이하 절사</t>
    <phoneticPr fontId="18" type="noConversion"/>
  </si>
  <si>
    <t>2016.1.1</t>
    <phoneticPr fontId="10" type="noConversion"/>
  </si>
  <si>
    <t>전선관부속품비</t>
  </si>
  <si>
    <t>전선관의 15%</t>
  </si>
  <si>
    <t>공구손료</t>
  </si>
  <si>
    <t>노무비의 3%</t>
    <phoneticPr fontId="8" type="noConversion"/>
  </si>
  <si>
    <t>공종 집계표</t>
    <phoneticPr fontId="110" type="noConversion"/>
  </si>
  <si>
    <t>공 사 명</t>
    <phoneticPr fontId="18" type="noConversion"/>
  </si>
  <si>
    <t>공 사 비</t>
    <phoneticPr fontId="18" type="noConversion"/>
  </si>
  <si>
    <t>공      종      명</t>
  </si>
  <si>
    <t>단 위</t>
    <phoneticPr fontId="18" type="noConversion"/>
  </si>
  <si>
    <t>수 량</t>
    <phoneticPr fontId="18" type="noConversion"/>
  </si>
  <si>
    <t>재    료    비</t>
    <phoneticPr fontId="18" type="noConversion"/>
  </si>
  <si>
    <t>노    무    비</t>
    <phoneticPr fontId="18" type="noConversion"/>
  </si>
  <si>
    <t>경       비</t>
    <phoneticPr fontId="18" type="noConversion"/>
  </si>
  <si>
    <t>합        계</t>
    <phoneticPr fontId="18" type="noConversion"/>
  </si>
  <si>
    <t>비       고</t>
    <phoneticPr fontId="18" type="noConversion"/>
  </si>
  <si>
    <t>합           계</t>
    <phoneticPr fontId="18" type="noConversion"/>
  </si>
  <si>
    <t>2017년 하반기노임</t>
    <phoneticPr fontId="10" type="noConversion"/>
  </si>
  <si>
    <t>2017년 상반기노임</t>
    <phoneticPr fontId="10" type="noConversion"/>
  </si>
  <si>
    <t>2016년 하반기노임</t>
    <phoneticPr fontId="10" type="noConversion"/>
  </si>
  <si>
    <t>2016년 상반기노임</t>
    <phoneticPr fontId="10" type="noConversion"/>
  </si>
  <si>
    <t>2017.9.1</t>
    <phoneticPr fontId="10" type="noConversion"/>
  </si>
  <si>
    <t>2017.1.1</t>
    <phoneticPr fontId="10" type="noConversion"/>
  </si>
  <si>
    <t>2016.9.1</t>
    <phoneticPr fontId="10" type="noConversion"/>
  </si>
  <si>
    <t>-</t>
    <phoneticPr fontId="10" type="noConversion"/>
  </si>
  <si>
    <t>에이스침대 구미점 신축 소방공사</t>
    <phoneticPr fontId="18" type="noConversion"/>
  </si>
  <si>
    <t>2018년 상반기노임</t>
    <phoneticPr fontId="10" type="noConversion"/>
  </si>
  <si>
    <t>2018.1.1</t>
    <phoneticPr fontId="10" type="noConversion"/>
  </si>
  <si>
    <t xml:space="preserve">   2018년도</t>
    <phoneticPr fontId="18" type="noConversion"/>
  </si>
  <si>
    <t>2018년</t>
    <phoneticPr fontId="18" type="noConversion"/>
  </si>
  <si>
    <r>
      <t>201</t>
    </r>
    <r>
      <rPr>
        <b/>
        <sz val="11"/>
        <rFont val="맑은 고딕"/>
        <family val="3"/>
        <charset val="129"/>
      </rPr>
      <t>8</t>
    </r>
    <r>
      <rPr>
        <b/>
        <sz val="11"/>
        <rFont val="맑은 고딕"/>
        <family val="3"/>
        <charset val="129"/>
      </rPr>
      <t>년 하반기노임</t>
    </r>
    <phoneticPr fontId="10" type="noConversion"/>
  </si>
  <si>
    <r>
      <t>201</t>
    </r>
    <r>
      <rPr>
        <b/>
        <sz val="11"/>
        <rFont val="맑은 고딕"/>
        <family val="3"/>
        <charset val="129"/>
      </rPr>
      <t>8</t>
    </r>
    <r>
      <rPr>
        <b/>
        <sz val="11"/>
        <rFont val="맑은 고딕"/>
        <family val="3"/>
        <charset val="129"/>
      </rPr>
      <t>.9.1</t>
    </r>
    <phoneticPr fontId="10" type="noConversion"/>
  </si>
  <si>
    <t>-</t>
    <phoneticPr fontId="10" type="noConversion"/>
  </si>
  <si>
    <t>ST 16C</t>
  </si>
  <si>
    <t>ST 36C</t>
  </si>
  <si>
    <t>* 공사 원가 계산서 *</t>
  </si>
  <si>
    <t>비                              목</t>
  </si>
  <si>
    <t>금                  액</t>
  </si>
  <si>
    <t>구                 성                  비</t>
  </si>
  <si>
    <t xml:space="preserve">비         고 </t>
  </si>
  <si>
    <t xml:space="preserve"> 순   공   사   원   가</t>
  </si>
  <si>
    <t>재 료 비</t>
  </si>
  <si>
    <t>직    접    재   료   비</t>
  </si>
  <si>
    <t>간    접    재   료   비</t>
  </si>
  <si>
    <t>작업설,   부산물 (△)</t>
  </si>
  <si>
    <t>[  소                   계 ]</t>
  </si>
  <si>
    <t>노무비</t>
  </si>
  <si>
    <t>직   접    노   무   비</t>
  </si>
  <si>
    <t>간   접    노   무   비</t>
  </si>
  <si>
    <t xml:space="preserve">직접노무비 * </t>
  </si>
  <si>
    <t>[  소                  계 ]</t>
  </si>
  <si>
    <t>경     비</t>
  </si>
  <si>
    <t>운          반         비</t>
  </si>
  <si>
    <t>기     계      경    비</t>
  </si>
  <si>
    <t>가          설         비</t>
  </si>
  <si>
    <t>산   재   보   험   료</t>
  </si>
  <si>
    <t>노무비 *</t>
  </si>
  <si>
    <t>고   용   보   험   료</t>
  </si>
  <si>
    <t>건   강   보   험   료</t>
  </si>
  <si>
    <t>연   금   보   험   료</t>
  </si>
  <si>
    <t>노인장기요양보험료</t>
  </si>
  <si>
    <t xml:space="preserve">건강보험료 * </t>
  </si>
  <si>
    <t>퇴 직 공 제 부 금 비</t>
  </si>
  <si>
    <t>산업안전보건관리비</t>
    <phoneticPr fontId="174" type="noConversion"/>
  </si>
  <si>
    <t>(재료비+직노)*</t>
  </si>
  <si>
    <t>기    타      경    비</t>
  </si>
  <si>
    <t>(재료비+노무비) *</t>
  </si>
  <si>
    <t>[ 소                 계 ]</t>
  </si>
  <si>
    <t>일        반        관        리        비</t>
  </si>
  <si>
    <t xml:space="preserve">계 * </t>
  </si>
  <si>
    <t>이                                          윤</t>
  </si>
  <si>
    <t>(노무비+경비+일반관리비) *</t>
  </si>
  <si>
    <t>공           급              가          액</t>
  </si>
  <si>
    <t>만단위 절삭</t>
    <phoneticPr fontId="18" type="noConversion"/>
  </si>
  <si>
    <t>부        가        가        치       세</t>
  </si>
  <si>
    <t>공급가액 *</t>
  </si>
  <si>
    <t>도                   급                   액</t>
  </si>
  <si>
    <t xml:space="preserve"> </t>
  </si>
  <si>
    <t>대        관        수        수        료</t>
    <phoneticPr fontId="18" type="noConversion"/>
  </si>
  <si>
    <t>(한전불입금 및 사용전검사)</t>
    <phoneticPr fontId="18" type="noConversion"/>
  </si>
  <si>
    <t>총            공           사            비</t>
  </si>
  <si>
    <t>공사명 : ㈜CJ제일제당 제주물류통합창고 신축 소방공사</t>
    <phoneticPr fontId="110" type="noConversion"/>
  </si>
  <si>
    <t>부산역 3층 전문식당가 소방 설비공사</t>
    <phoneticPr fontId="18" type="noConversion"/>
  </si>
  <si>
    <t xml:space="preserve">부가가치세 : </t>
    <phoneticPr fontId="18" type="noConversion"/>
  </si>
  <si>
    <t>공종 집계표</t>
    <phoneticPr fontId="110" type="noConversion"/>
  </si>
  <si>
    <t>공 사 명</t>
    <phoneticPr fontId="18" type="noConversion"/>
  </si>
  <si>
    <t>공 사 비</t>
    <phoneticPr fontId="18" type="noConversion"/>
  </si>
  <si>
    <t>단 위</t>
    <phoneticPr fontId="18" type="noConversion"/>
  </si>
  <si>
    <t>수 량</t>
    <phoneticPr fontId="18" type="noConversion"/>
  </si>
  <si>
    <t>재    료    비</t>
    <phoneticPr fontId="18" type="noConversion"/>
  </si>
  <si>
    <t>노    무    비</t>
    <phoneticPr fontId="18" type="noConversion"/>
  </si>
  <si>
    <t>경       비</t>
    <phoneticPr fontId="18" type="noConversion"/>
  </si>
  <si>
    <t>합        계</t>
    <phoneticPr fontId="18" type="noConversion"/>
  </si>
  <si>
    <t>비       고</t>
    <phoneticPr fontId="18" type="noConversion"/>
  </si>
  <si>
    <t>식</t>
    <phoneticPr fontId="110" type="noConversion"/>
  </si>
  <si>
    <t>합           계</t>
    <phoneticPr fontId="18" type="noConversion"/>
  </si>
  <si>
    <t>- 내 역 서 -</t>
    <phoneticPr fontId="110" type="noConversion"/>
  </si>
  <si>
    <t>공사명 : 부산역 3층 전문식당가 소방설비공사(기계)</t>
    <phoneticPr fontId="110" type="noConversion"/>
  </si>
  <si>
    <t>품        명</t>
    <phoneticPr fontId="18" type="noConversion"/>
  </si>
  <si>
    <t>규       격</t>
    <phoneticPr fontId="18" type="noConversion"/>
  </si>
  <si>
    <t>수량</t>
    <phoneticPr fontId="18" type="noConversion"/>
  </si>
  <si>
    <t>재     료     비</t>
  </si>
  <si>
    <t>노     무     비</t>
  </si>
  <si>
    <t>경        비</t>
    <phoneticPr fontId="18" type="noConversion"/>
  </si>
  <si>
    <t>합     계</t>
    <phoneticPr fontId="18" type="noConversion"/>
  </si>
  <si>
    <t>비    고</t>
    <phoneticPr fontId="18" type="noConversion"/>
  </si>
  <si>
    <t>단   가</t>
    <phoneticPr fontId="18" type="noConversion"/>
  </si>
  <si>
    <t>금    액</t>
    <phoneticPr fontId="18" type="noConversion"/>
  </si>
  <si>
    <t>단   가</t>
    <phoneticPr fontId="18" type="noConversion"/>
  </si>
  <si>
    <t>금   액</t>
    <phoneticPr fontId="18" type="noConversion"/>
  </si>
  <si>
    <t>대가 5-1</t>
    <phoneticPr fontId="110" type="noConversion"/>
  </si>
  <si>
    <t>대가 5-3</t>
    <phoneticPr fontId="110" type="noConversion"/>
  </si>
  <si>
    <t>대가 5-4</t>
  </si>
  <si>
    <t>대가 5-5</t>
  </si>
  <si>
    <t>대가 5-6</t>
  </si>
  <si>
    <t>대가 5-7</t>
  </si>
  <si>
    <t>대가 4-1</t>
    <phoneticPr fontId="110" type="noConversion"/>
  </si>
  <si>
    <t>대가 4-2</t>
  </si>
  <si>
    <t>대가 4-3</t>
  </si>
  <si>
    <t>대가 4-4</t>
  </si>
  <si>
    <t>대가 4-5</t>
  </si>
  <si>
    <t>대가 4-6</t>
  </si>
  <si>
    <t>대가 4-7</t>
  </si>
  <si>
    <t>대가 6-1</t>
    <phoneticPr fontId="110" type="noConversion"/>
  </si>
  <si>
    <t>대가 6-2</t>
  </si>
  <si>
    <t>대가 6-3</t>
  </si>
  <si>
    <t>대가 6-4</t>
  </si>
  <si>
    <t>대가 6-5</t>
  </si>
  <si>
    <t>대가 6-6</t>
  </si>
  <si>
    <t>대가 1-1</t>
    <phoneticPr fontId="110" type="noConversion"/>
  </si>
  <si>
    <t>대가 1-2</t>
  </si>
  <si>
    <t>대가 1-3</t>
  </si>
  <si>
    <t>대가 6-10</t>
  </si>
  <si>
    <t>대가 6-11</t>
  </si>
  <si>
    <t>대가 6-12</t>
  </si>
  <si>
    <t>대가 7-1</t>
    <phoneticPr fontId="110" type="noConversion"/>
  </si>
  <si>
    <t>대가 7-2</t>
  </si>
  <si>
    <t>대가 7-3</t>
  </si>
  <si>
    <t>대가 7-4</t>
  </si>
  <si>
    <t>대가 7-5</t>
  </si>
  <si>
    <t>대가 7-6</t>
  </si>
  <si>
    <t>대가 8-1</t>
    <phoneticPr fontId="110" type="noConversion"/>
  </si>
  <si>
    <t>대가 8-2</t>
  </si>
  <si>
    <t>대가 8-3</t>
  </si>
  <si>
    <t>대가 8-4</t>
  </si>
  <si>
    <t>대가 8-5</t>
  </si>
  <si>
    <t>대가 8-6</t>
  </si>
  <si>
    <t>대가2-1</t>
    <phoneticPr fontId="110" type="noConversion"/>
  </si>
  <si>
    <t>대가2-2</t>
  </si>
  <si>
    <t>대가2-3</t>
  </si>
  <si>
    <t>대가 9-1</t>
    <phoneticPr fontId="110" type="noConversion"/>
  </si>
  <si>
    <t>대가 9-2</t>
  </si>
  <si>
    <t>대가 9-3</t>
  </si>
  <si>
    <t>대가 9-4</t>
  </si>
  <si>
    <t>대가 9-5</t>
  </si>
  <si>
    <t>대가 9-6</t>
  </si>
  <si>
    <t>대가 9-7</t>
  </si>
  <si>
    <t>대가 9-8</t>
  </si>
  <si>
    <t>대가 9-9</t>
  </si>
  <si>
    <t>대가 9-10</t>
  </si>
  <si>
    <t>대가 10-1</t>
    <phoneticPr fontId="110" type="noConversion"/>
  </si>
  <si>
    <t>대가 11-1</t>
    <phoneticPr fontId="110" type="noConversion"/>
  </si>
  <si>
    <t>대가 12-1</t>
    <phoneticPr fontId="110" type="noConversion"/>
  </si>
  <si>
    <t>대가 13-1</t>
    <phoneticPr fontId="110" type="noConversion"/>
  </si>
  <si>
    <t>대가 14-1</t>
    <phoneticPr fontId="110" type="noConversion"/>
  </si>
  <si>
    <t>대가 14-2</t>
  </si>
  <si>
    <t>대가 15-1</t>
    <phoneticPr fontId="110" type="noConversion"/>
  </si>
  <si>
    <t>대가 15-2</t>
  </si>
  <si>
    <t>대가 15-3</t>
  </si>
  <si>
    <t>대가 16-1</t>
    <phoneticPr fontId="110" type="noConversion"/>
  </si>
  <si>
    <t>대가 16-2</t>
  </si>
  <si>
    <t>대가 16-3</t>
  </si>
  <si>
    <t>잡자재비</t>
    <phoneticPr fontId="18" type="noConversion"/>
  </si>
  <si>
    <t>관의 3%</t>
    <phoneticPr fontId="18" type="noConversion"/>
  </si>
  <si>
    <t>식</t>
    <phoneticPr fontId="18" type="noConversion"/>
  </si>
  <si>
    <t>노무비</t>
    <phoneticPr fontId="18" type="noConversion"/>
  </si>
  <si>
    <t>인</t>
    <phoneticPr fontId="18" type="noConversion"/>
  </si>
  <si>
    <t>인</t>
    <phoneticPr fontId="18" type="noConversion"/>
  </si>
  <si>
    <t>공구손료</t>
    <phoneticPr fontId="18" type="noConversion"/>
  </si>
  <si>
    <t>노무비의 2%</t>
    <phoneticPr fontId="18" type="noConversion"/>
  </si>
  <si>
    <t>식</t>
    <phoneticPr fontId="18" type="noConversion"/>
  </si>
  <si>
    <t>합    계</t>
    <phoneticPr fontId="18" type="noConversion"/>
  </si>
  <si>
    <t>개소</t>
  </si>
  <si>
    <t>D150</t>
  </si>
  <si>
    <t>강관용접</t>
  </si>
  <si>
    <t>D125</t>
  </si>
  <si>
    <t>D100</t>
  </si>
  <si>
    <t>D80</t>
  </si>
  <si>
    <t>D65</t>
  </si>
  <si>
    <t>D50</t>
  </si>
  <si>
    <t>D40</t>
  </si>
  <si>
    <t>D32</t>
  </si>
  <si>
    <t>D25</t>
  </si>
  <si>
    <t>너트</t>
  </si>
  <si>
    <t>배관용 탄소강관</t>
  </si>
  <si>
    <t>용접식 관이음쇠</t>
  </si>
  <si>
    <t>나사식 강관제 관이음쇠</t>
  </si>
  <si>
    <t>게이트 밸브</t>
  </si>
  <si>
    <t>체크밸브</t>
  </si>
  <si>
    <t>스트레이너</t>
  </si>
  <si>
    <t>플랙시블 조인트</t>
  </si>
  <si>
    <t>수격방지기</t>
  </si>
  <si>
    <t>릴리프밸브</t>
  </si>
  <si>
    <t>유량계(후로셀)</t>
  </si>
  <si>
    <t>압력계설치(백관)</t>
  </si>
  <si>
    <t>템퍼스위치</t>
  </si>
  <si>
    <t xml:space="preserve"> 방  청  도  장</t>
  </si>
  <si>
    <t xml:space="preserve"> 철제외부</t>
  </si>
  <si>
    <t>설  계
년월일</t>
    <phoneticPr fontId="18" type="noConversion"/>
  </si>
  <si>
    <t>2018년</t>
    <phoneticPr fontId="18" type="noConversion"/>
  </si>
  <si>
    <t>설계자</t>
    <phoneticPr fontId="17" type="noConversion"/>
  </si>
  <si>
    <t>담당</t>
    <phoneticPr fontId="17" type="noConversion"/>
  </si>
  <si>
    <t>상무</t>
    <phoneticPr fontId="17" type="noConversion"/>
  </si>
  <si>
    <t>상임이사</t>
    <phoneticPr fontId="17" type="noConversion"/>
  </si>
  <si>
    <t>조합장</t>
    <phoneticPr fontId="17" type="noConversion"/>
  </si>
  <si>
    <t xml:space="preserve">   2018년도</t>
    <phoneticPr fontId="18" type="noConversion"/>
  </si>
  <si>
    <t xml:space="preserve">설      계      예      산      서 </t>
    <phoneticPr fontId="18" type="noConversion"/>
  </si>
  <si>
    <t>◎ 공 사 개 요</t>
    <phoneticPr fontId="18" type="noConversion"/>
  </si>
  <si>
    <t>1식</t>
    <phoneticPr fontId="17" type="noConversion"/>
  </si>
  <si>
    <t xml:space="preserve">총  공사비  : </t>
    <phoneticPr fontId="18" type="noConversion"/>
  </si>
  <si>
    <t>[￦</t>
    <phoneticPr fontId="18" type="noConversion"/>
  </si>
  <si>
    <t>]</t>
    <phoneticPr fontId="18" type="noConversion"/>
  </si>
  <si>
    <t xml:space="preserve">부가가치세 : </t>
    <phoneticPr fontId="18" type="noConversion"/>
  </si>
  <si>
    <t xml:space="preserve">도급공사비 : </t>
    <phoneticPr fontId="18" type="noConversion"/>
  </si>
  <si>
    <t xml:space="preserve"> 공 사 명 : </t>
    <phoneticPr fontId="69" type="noConversion"/>
  </si>
  <si>
    <t>구      분</t>
    <phoneticPr fontId="18" type="noConversion"/>
  </si>
  <si>
    <t>금      액</t>
    <phoneticPr fontId="18" type="noConversion"/>
  </si>
  <si>
    <t>순    공    사    비</t>
    <phoneticPr fontId="18" type="noConversion"/>
  </si>
  <si>
    <t>재료비</t>
    <phoneticPr fontId="20" type="noConversion"/>
  </si>
  <si>
    <t>직 접 재 료 비</t>
    <phoneticPr fontId="10" type="noConversion"/>
  </si>
  <si>
    <t>간 접 재 료 비</t>
    <phoneticPr fontId="10" type="noConversion"/>
  </si>
  <si>
    <t>작업실 부산물</t>
    <phoneticPr fontId="10" type="noConversion"/>
  </si>
  <si>
    <t>소             계</t>
    <phoneticPr fontId="10" type="noConversion"/>
  </si>
  <si>
    <t>노무비</t>
    <phoneticPr fontId="20" type="noConversion"/>
  </si>
  <si>
    <t>직 접 노 무 비</t>
    <phoneticPr fontId="10" type="noConversion"/>
  </si>
  <si>
    <t>간 접 노 무 비</t>
    <phoneticPr fontId="10" type="noConversion"/>
  </si>
  <si>
    <t xml:space="preserve"> 직접노무비</t>
    <phoneticPr fontId="4" type="noConversion"/>
  </si>
  <si>
    <t>소            계</t>
    <phoneticPr fontId="10" type="noConversion"/>
  </si>
  <si>
    <t>경  비</t>
    <phoneticPr fontId="18" type="noConversion"/>
  </si>
  <si>
    <t>기  계  경  비</t>
    <phoneticPr fontId="4" type="noConversion"/>
  </si>
  <si>
    <t>산 재 보 험 료</t>
    <phoneticPr fontId="10" type="noConversion"/>
  </si>
  <si>
    <t xml:space="preserve"> 노무비</t>
    <phoneticPr fontId="4" type="noConversion"/>
  </si>
  <si>
    <t>고  용  보  험</t>
    <phoneticPr fontId="4" type="noConversion"/>
  </si>
  <si>
    <t>건 강 보 험 료</t>
    <phoneticPr fontId="4" type="noConversion"/>
  </si>
  <si>
    <t>연 금 보 험 료</t>
    <phoneticPr fontId="4" type="noConversion"/>
  </si>
  <si>
    <t>노인장기요양보험료</t>
    <phoneticPr fontId="4" type="noConversion"/>
  </si>
  <si>
    <t>산업안전보건관리비</t>
    <phoneticPr fontId="18" type="noConversion"/>
  </si>
  <si>
    <t>(재료비+직접노무비)*율</t>
    <phoneticPr fontId="18" type="noConversion"/>
  </si>
  <si>
    <t>기  타  경  비</t>
    <phoneticPr fontId="4" type="noConversion"/>
  </si>
  <si>
    <t xml:space="preserve"> 재료비+노무비</t>
    <phoneticPr fontId="18" type="noConversion"/>
  </si>
  <si>
    <t>퇴직공제부금비</t>
    <phoneticPr fontId="4" type="noConversion"/>
  </si>
  <si>
    <t>일  반   관  리  비</t>
    <phoneticPr fontId="4" type="noConversion"/>
  </si>
  <si>
    <t>누                 계</t>
    <phoneticPr fontId="70" type="noConversion"/>
  </si>
  <si>
    <t>이        윤     (%)</t>
    <phoneticPr fontId="70" type="noConversion"/>
  </si>
  <si>
    <t>총       원       가</t>
    <phoneticPr fontId="70" type="noConversion"/>
  </si>
  <si>
    <t>천단위 이하 절사</t>
    <phoneticPr fontId="18" type="noConversion"/>
  </si>
  <si>
    <t>부  가   가  치  세</t>
    <phoneticPr fontId="7" type="noConversion"/>
  </si>
  <si>
    <t>도  급   공  사  비</t>
    <phoneticPr fontId="7" type="noConversion"/>
  </si>
  <si>
    <t>총      합      계</t>
    <phoneticPr fontId="70" type="noConversion"/>
  </si>
  <si>
    <t xml:space="preserve"> </t>
    <phoneticPr fontId="18" type="noConversion"/>
  </si>
  <si>
    <t>공       종</t>
    <phoneticPr fontId="8" type="noConversion"/>
  </si>
  <si>
    <t>수 량</t>
    <phoneticPr fontId="8" type="noConversion"/>
  </si>
  <si>
    <t>단 위</t>
    <phoneticPr fontId="8" type="noConversion"/>
  </si>
  <si>
    <t>재 료 비</t>
    <phoneticPr fontId="8" type="noConversion"/>
  </si>
  <si>
    <t>노 무 비</t>
    <phoneticPr fontId="8" type="noConversion"/>
  </si>
  <si>
    <t>경    비</t>
    <phoneticPr fontId="8" type="noConversion"/>
  </si>
  <si>
    <t>합     계</t>
    <phoneticPr fontId="8" type="noConversion"/>
  </si>
  <si>
    <t>비   고</t>
    <phoneticPr fontId="8" type="noConversion"/>
  </si>
  <si>
    <t>1. 전기소방 공사</t>
    <phoneticPr fontId="18" type="noConversion"/>
  </si>
  <si>
    <t>2. 기계소방 공사</t>
    <phoneticPr fontId="18" type="noConversion"/>
  </si>
  <si>
    <r>
      <t xml:space="preserve">합 </t>
    </r>
    <r>
      <rPr>
        <b/>
        <sz val="9"/>
        <rFont val="맑은 고딕"/>
        <family val="3"/>
        <charset val="129"/>
      </rPr>
      <t xml:space="preserve">         </t>
    </r>
    <r>
      <rPr>
        <b/>
        <sz val="9"/>
        <rFont val="맑은 고딕"/>
        <family val="3"/>
        <charset val="129"/>
      </rPr>
      <t>계</t>
    </r>
    <phoneticPr fontId="8" type="noConversion"/>
  </si>
  <si>
    <t>해당없음</t>
    <phoneticPr fontId="18" type="noConversion"/>
  </si>
  <si>
    <t>부산역 3층 전문점 소방설비공사</t>
    <phoneticPr fontId="18" type="noConversion"/>
  </si>
  <si>
    <t>부산역 3층 전문점 소방설비공사 &lt;전기분야&gt;</t>
    <phoneticPr fontId="8" type="noConversion"/>
  </si>
  <si>
    <t>부산역 3층 전문점 소방설비공사(기계분야)</t>
    <phoneticPr fontId="18" type="noConversion"/>
  </si>
  <si>
    <t>ST 22C</t>
  </si>
  <si>
    <t>플렉시블 전선관</t>
  </si>
  <si>
    <t>GW 16C 방수</t>
  </si>
  <si>
    <t>GW 22C 방수</t>
  </si>
  <si>
    <t>GW 36C 방수</t>
  </si>
  <si>
    <t>450/750V 저독성 가교 폴리올레핀</t>
  </si>
  <si>
    <t>HFIX 2.5㎟</t>
  </si>
  <si>
    <t>제어용 차폐 케이블</t>
  </si>
  <si>
    <t>H-CVV-SB  2.5㎟/2C</t>
  </si>
  <si>
    <t>1종 가요관  콘넥타</t>
  </si>
  <si>
    <t xml:space="preserve">풀박스 </t>
  </si>
  <si>
    <t>200*200*200</t>
  </si>
  <si>
    <t>8각 평형</t>
  </si>
  <si>
    <t>수동발신기셋(P형1급)</t>
  </si>
  <si>
    <t>C:SUS, BOX:STEEL</t>
  </si>
  <si>
    <t>소화반발신기셋</t>
  </si>
  <si>
    <t>이설재사용</t>
  </si>
  <si>
    <t>화재수신반</t>
  </si>
  <si>
    <t>P형 1급 5회로용</t>
  </si>
  <si>
    <t>기존 R형 수신반 프로그램 및 CRT 변경비</t>
  </si>
  <si>
    <t>시각경보기</t>
  </si>
  <si>
    <t>휴대용비상조명등</t>
  </si>
  <si>
    <t>FI인증, 건전지형</t>
  </si>
  <si>
    <t>유니스트러트판넬</t>
  </si>
  <si>
    <t>42x42x2.6t</t>
  </si>
  <si>
    <t>3/8"</t>
  </si>
  <si>
    <t>행거볼트</t>
  </si>
  <si>
    <t>2. 자동화재탐지 설비공사</t>
  </si>
  <si>
    <t>고장력 16C 방수</t>
  </si>
  <si>
    <t>16C 방수</t>
  </si>
  <si>
    <t>HFIX 1.5㎟</t>
  </si>
  <si>
    <t>차동식 스포트형</t>
  </si>
  <si>
    <t>정온식 스포트형</t>
  </si>
  <si>
    <t>3. 유도등 설비공사</t>
  </si>
  <si>
    <t>피난구 유도등 (LED)</t>
  </si>
  <si>
    <t>대형</t>
  </si>
  <si>
    <t>거실통로 유도등 (LED)</t>
  </si>
  <si>
    <t>중형</t>
  </si>
  <si>
    <t>4. 비상방송 설비공사</t>
  </si>
  <si>
    <t>스피커</t>
  </si>
  <si>
    <t>천정형3W</t>
  </si>
  <si>
    <t>5. 비상조명 설비공사</t>
  </si>
  <si>
    <t>비상조명등</t>
  </si>
  <si>
    <t>LED 8W (밧데리등)</t>
  </si>
  <si>
    <t>백관 (SPP), D40, 반제품</t>
  </si>
  <si>
    <t>백관 (SPP), D32, 반제품</t>
  </si>
  <si>
    <t>백관 (SPP), D25, 반제품</t>
  </si>
  <si>
    <t>백엘보 (용접) D150</t>
  </si>
  <si>
    <t>백엘보 (용접) D100</t>
  </si>
  <si>
    <t>백엘보 (용접) D80</t>
  </si>
  <si>
    <t>백엘보 (용접) D65</t>
  </si>
  <si>
    <t>백엘보 (용접) D50</t>
  </si>
  <si>
    <t>백엘보 (용접) D40</t>
  </si>
  <si>
    <t>백엘보 (나사) D50</t>
  </si>
  <si>
    <t>백엘보 (나사) D40</t>
  </si>
  <si>
    <t>백엘보 (나사) D32</t>
  </si>
  <si>
    <t>백엘보 (나사) D25</t>
  </si>
  <si>
    <t>백티이 (용접) D150</t>
  </si>
  <si>
    <t>백티이 (용접) D125</t>
  </si>
  <si>
    <t>백티이 (용접) D100</t>
  </si>
  <si>
    <t>백티이 (용접) D80</t>
  </si>
  <si>
    <t>백티이 (용접) D65</t>
  </si>
  <si>
    <t>백티이 (용접) D40</t>
  </si>
  <si>
    <t>백티이 (나사) D50</t>
  </si>
  <si>
    <t>백티이 (나사) D40</t>
  </si>
  <si>
    <t>백티이 (나사) D32</t>
  </si>
  <si>
    <t>백티이 (나사) D25</t>
  </si>
  <si>
    <t>백레듀샤 (용접) D150</t>
  </si>
  <si>
    <t>백레듀샤 (용접) D125</t>
  </si>
  <si>
    <t>백레듀샤 (용접) D100</t>
  </si>
  <si>
    <t>백레듀샤 (용접) D80</t>
  </si>
  <si>
    <t>백레듀샤 (용접) D65</t>
  </si>
  <si>
    <t>백레듀샤 (나사) D50</t>
  </si>
  <si>
    <t>백레듀샤 (나사) D40</t>
  </si>
  <si>
    <t>백레듀샤 (나사) D32</t>
  </si>
  <si>
    <t>백레듀샤 (나사) D25</t>
  </si>
  <si>
    <t>백캡 (나사) D25</t>
  </si>
  <si>
    <t>백유니온 (나사) D50</t>
  </si>
  <si>
    <t>백유니온 (나사) D40</t>
  </si>
  <si>
    <t>백유니온 (나사) D25</t>
  </si>
  <si>
    <t>백니플 (나사) D50</t>
  </si>
  <si>
    <t>백니플 (나사) D40</t>
  </si>
  <si>
    <t>백니플 (나사) D25</t>
  </si>
  <si>
    <t>OS&amp;Y밸브, D150</t>
  </si>
  <si>
    <t>OS&amp;Y밸브, D80</t>
  </si>
  <si>
    <t>OS&amp;Y밸브, D65</t>
  </si>
  <si>
    <t>OS&amp;Y밸브, D50</t>
  </si>
  <si>
    <t>OS&amp;Y밸브, D40</t>
  </si>
  <si>
    <t>청동,10kg,D25</t>
  </si>
  <si>
    <t>스모렌스키,10kgf/cm2, D150</t>
  </si>
  <si>
    <t>스모렌스키,10kgf/cm2, D100</t>
  </si>
  <si>
    <t>스모렌스키,10kgf/cm2, D80</t>
  </si>
  <si>
    <t>스모렌스키,10kgf/cm2, D65</t>
  </si>
  <si>
    <t>스모렌스키,10kgf/cm2, D40</t>
  </si>
  <si>
    <t>플랜지, 10kg, D150</t>
  </si>
  <si>
    <t>플랜지, 10kg, D100</t>
  </si>
  <si>
    <t>플랜지, 10kg, D80</t>
  </si>
  <si>
    <t>플랜지, 10kg, D65</t>
  </si>
  <si>
    <t>플랜지, 10kg, D40</t>
  </si>
  <si>
    <t>벨로즈형, D150*10k</t>
  </si>
  <si>
    <t>벨로즈형, D80*10k</t>
  </si>
  <si>
    <t>벨로즈형, D40*10k</t>
  </si>
  <si>
    <t>W.H.C D150</t>
  </si>
  <si>
    <t>W.H.C D100</t>
  </si>
  <si>
    <t>W.H.C D80</t>
  </si>
  <si>
    <t>W.H.C D65</t>
  </si>
  <si>
    <t>W.H.C D50</t>
  </si>
  <si>
    <t>W.H.C D40</t>
  </si>
  <si>
    <t>프리엑션밸브</t>
  </si>
  <si>
    <t>D150 10kg</t>
  </si>
  <si>
    <t>알람밸브</t>
  </si>
  <si>
    <t>D80 10kg</t>
  </si>
  <si>
    <t>D65 10kg</t>
  </si>
  <si>
    <t>옥내소화전 이설</t>
  </si>
  <si>
    <t>옥내소화전카바(전면)</t>
  </si>
  <si>
    <t>스텐1.6T</t>
  </si>
  <si>
    <t>스프링클러헤드</t>
  </si>
  <si>
    <t>폐쇄상향식, D15*72°C</t>
  </si>
  <si>
    <t>폐쇄하향식, D15*72°C</t>
  </si>
  <si>
    <t>폐쇄하향식, D15*103°C</t>
  </si>
  <si>
    <t>스프링클러헤드 철거</t>
  </si>
  <si>
    <t>자동배수밸브</t>
  </si>
  <si>
    <t>D20</t>
  </si>
  <si>
    <t>용접 합후렌지</t>
  </si>
  <si>
    <t>간이스프링클러펙케이지</t>
  </si>
  <si>
    <t>수도직결형/1,000lit</t>
  </si>
  <si>
    <t>SET</t>
  </si>
  <si>
    <t>관보온(실내)</t>
  </si>
  <si>
    <t>150Ax40T (난연)</t>
  </si>
  <si>
    <t>125Ax40T (난연)</t>
  </si>
  <si>
    <t>100Ax40T (난연)</t>
  </si>
  <si>
    <t>80Ax40T (난연)</t>
  </si>
  <si>
    <t>65Ax25T (난연)</t>
  </si>
  <si>
    <t>50Ax25T (난연)</t>
  </si>
  <si>
    <t>40Ax25T (난연)</t>
  </si>
  <si>
    <t>32Ax25T (난연)</t>
  </si>
  <si>
    <t>25Ax25T (난연)</t>
  </si>
  <si>
    <t>관보온(옥외)</t>
  </si>
  <si>
    <t>80Ax50T (칼라함석마감)</t>
  </si>
  <si>
    <t>65Ax50T (칼라함석마감)</t>
  </si>
  <si>
    <t>50Ax50T (칼라함석마감)</t>
  </si>
  <si>
    <t>U볼트,너트(절연)</t>
  </si>
  <si>
    <t>일반행가(달대볼트)</t>
  </si>
  <si>
    <t xml:space="preserve"> 코아구멍뚫기 (T=150mm)-벽체</t>
  </si>
  <si>
    <t xml:space="preserve"> D75</t>
  </si>
  <si>
    <t xml:space="preserve"> 코아구멍뚫기 (T=150]mm)-벽체</t>
  </si>
  <si>
    <t xml:space="preserve"> D50</t>
  </si>
  <si>
    <t>강관슬리브(지수판제외)</t>
  </si>
  <si>
    <t>강관슬리브(지수판포함)</t>
  </si>
  <si>
    <t>ABC 소화기</t>
  </si>
  <si>
    <t>3.3 KG</t>
  </si>
  <si>
    <t>하론소화기</t>
  </si>
  <si>
    <t>3.0 KG</t>
  </si>
  <si>
    <t>자동확산소화기</t>
  </si>
  <si>
    <t>소공간 자동소화장치</t>
  </si>
  <si>
    <t>가스HFC-125(6KG)</t>
  </si>
  <si>
    <t>소화기 받침대</t>
  </si>
  <si>
    <t>주방용 K급 소화기</t>
  </si>
  <si>
    <t>3 LIT</t>
  </si>
  <si>
    <t>소방호스</t>
  </si>
  <si>
    <t>Φ40 x 15M(단일피)</t>
  </si>
  <si>
    <t>앵글밸브</t>
  </si>
  <si>
    <t>Φ40</t>
  </si>
  <si>
    <t>관창(직.방사형)</t>
  </si>
  <si>
    <t>앵글</t>
  </si>
  <si>
    <t>STS304, 50×50×5mm</t>
  </si>
  <si>
    <t>잡철물제작설치(스텐)</t>
  </si>
  <si>
    <t>간단</t>
  </si>
  <si>
    <t xml:space="preserve"> 유  성  도  장</t>
  </si>
  <si>
    <t>시험밸브함</t>
  </si>
  <si>
    <t>옥내소화전함설치</t>
  </si>
  <si>
    <t>기존벽체철거후신설:20</t>
  </si>
  <si>
    <t>옥내소화전함철거후 벽체마감</t>
  </si>
  <si>
    <t>기존벽체마감</t>
  </si>
  <si>
    <t>관보온철거(옥외)</t>
  </si>
  <si>
    <t>65A</t>
  </si>
  <si>
    <t>작업부산물</t>
  </si>
  <si>
    <t>고철</t>
  </si>
  <si>
    <t>MDF판넬 제작.설치</t>
  </si>
  <si>
    <t>기계.장비기초(H=200mm)</t>
  </si>
  <si>
    <t>콘크리트인력비빔타설</t>
  </si>
  <si>
    <t>1:3:6</t>
  </si>
  <si>
    <t>해당없음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</si>
</sst>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_ * #,##0_ ;_ * \-#,##0_ ;_ * &quot;-&quot;_ ;_ @_ "/>
    <numFmt numFmtId="177" formatCode="_ * #,##0.00_ ;_ * \-#,##0.00_ ;_ * &quot;-&quot;??_ ;_ @_ "/>
    <numFmt numFmtId="180" formatCode="#,##0_ "/>
    <numFmt numFmtId="181" formatCode="_-* #,##0.0_-;\-* #,##0.0_-;_-* &quot;-&quot;_-;_-@_-"/>
    <numFmt numFmtId="182" formatCode="&quot;$&quot;#,##0_);[Red]\(&quot;$&quot;#,##0\)"/>
    <numFmt numFmtId="183" formatCode="0.0"/>
    <numFmt numFmtId="184" formatCode="_-* #,##0.000_-;\-* #,##0.000_-;_-* &quot;-&quot;_-;_-@_-"/>
    <numFmt numFmtId="185" formatCode="#,##0;\(#,##0\)"/>
    <numFmt numFmtId="186" formatCode="0.0%;\(0.0%\)"/>
    <numFmt numFmtId="187" formatCode="#,##0.00&quot; $&quot;;[Red]\-#,##0.00&quot; $&quot;"/>
    <numFmt numFmtId="188" formatCode="d\.mmm\.yy"/>
    <numFmt numFmtId="189" formatCode="#,##0;[Red]&quot;-&quot;#,##0"/>
    <numFmt numFmtId="190" formatCode="#,##0.00;[Red]&quot;-&quot;#,##0.00"/>
    <numFmt numFmtId="192" formatCode="_-* #,##0.000_-;\-* #,##0.000_-;_-* &quot;-&quot;??_-;_-@_-"/>
    <numFmt numFmtId="193" formatCode="_-* #,##0.00\ &quot;DM&quot;_-;\-* #,##0.00\ &quot;DM&quot;_-;_-* &quot;-&quot;??\ &quot;DM&quot;_-;_-@_-"/>
    <numFmt numFmtId="194" formatCode="_-* #,##0.00\ _D_M_-;\-* #,##0.00\ _D_M_-;_-* &quot;-&quot;??\ _D_M_-;_-@_-"/>
    <numFmt numFmtId="195" formatCode="000\-0000"/>
    <numFmt numFmtId="196" formatCode="#,##0,000"/>
    <numFmt numFmtId="197" formatCode="000,000"/>
    <numFmt numFmtId="198" formatCode="#,##0.00\ &quot;F&quot;;\-#,##0.00\ &quot;F&quot;"/>
    <numFmt numFmtId="199" formatCode="#,##0.00\ &quot;Pts&quot;;\-#,##0.00\ &quot;Pts&quot;"/>
    <numFmt numFmtId="200" formatCode="_-&quot;₩&quot;* #,##0.00_-;\!\-&quot;₩&quot;* #,##0.00_-;_-&quot;₩&quot;* &quot;-&quot;??_-;_-@_-"/>
    <numFmt numFmtId="201" formatCode="_ &quot;₩&quot;* #,##0_ ;_ &quot;₩&quot;* \-#,##0_ ;_ &quot;₩&quot;* &quot;-&quot;_ ;_ @_ "/>
    <numFmt numFmtId="202" formatCode="_ &quot;₩&quot;* #,##0.00_ ;_ &quot;₩&quot;* \-#,##0.00_ ;_ &quot;₩&quot;* &quot;-&quot;??_ ;_ @_ "/>
    <numFmt numFmtId="203" formatCode="#,##0;[Red]#,##0"/>
    <numFmt numFmtId="204" formatCode="000.000"/>
    <numFmt numFmtId="207" formatCode="#,##0.0"/>
    <numFmt numFmtId="208" formatCode="&quot;제&quot;0&quot;호표&quot;"/>
    <numFmt numFmtId="209" formatCode="0.000"/>
    <numFmt numFmtId="210" formatCode="&quot;￥&quot;#,##0.00;[Red]&quot;￥&quot;\-#,##0.00"/>
    <numFmt numFmtId="211" formatCode="#,##0;&quot;-&quot;#,##0"/>
    <numFmt numFmtId="212" formatCode="_-&quot;S&quot;\ * #,##0_-;\-&quot;S&quot;\ * #,##0_-;_-&quot;S&quot;\ * &quot;-&quot;_-;_-@_-"/>
    <numFmt numFmtId="213" formatCode="#,##0.0000;[Red]\(#,##0.0000\)"/>
    <numFmt numFmtId="214" formatCode="_-[$€-2]* #,##0.00_-;\-[$€-2]* #,##0.00_-;_-[$€-2]* &quot;-&quot;??_-"/>
    <numFmt numFmtId="215" formatCode="#,###_);[Red]\-#,###_)"/>
    <numFmt numFmtId="216" formatCode="#,##0.000"/>
    <numFmt numFmtId="217" formatCode="#,##0\ &quot;DM&quot;;[Red]\-#,##0\ &quot;DM&quot;"/>
    <numFmt numFmtId="218" formatCode="#,##0.00\ &quot;DM&quot;;[Red]\-#,##0.00\ &quot;DM&quot;"/>
    <numFmt numFmtId="219" formatCode="&quot;$&quot;#,##0.00_);\(&quot;$&quot;#,##0.00\)"/>
    <numFmt numFmtId="220" formatCode="#."/>
    <numFmt numFmtId="221" formatCode="_-* #,##0.0_-;&quot;₩&quot;\!\-* #,##0.0_-;_-* &quot;-&quot;_-;_-@_-"/>
    <numFmt numFmtId="222" formatCode="#,##0_);[Red]&quot;₩&quot;\!\-#,##0"/>
    <numFmt numFmtId="223" formatCode="[Red]#,##0"/>
    <numFmt numFmtId="224" formatCode="[DBNum4]&quot;일금 &quot;[$-412]General&quot;원 정&quot;"/>
    <numFmt numFmtId="225" formatCode="_-* #,##0.0_-;\-* #,##0.0_-;_-* &quot;-&quot;??_-;_-@_-"/>
    <numFmt numFmtId="227" formatCode="_-* #,##0_-;\-* #,##0_-;_-* &quot;-&quot;??_-;_-@_-"/>
    <numFmt numFmtId="228" formatCode="0.0%"/>
    <numFmt numFmtId="233" formatCode="_-* #\!\,##0\!.00&quot;₩&quot;\!\ &quot;DM&quot;_-;&quot;₩&quot;\!\-* #\!\,##0\!.00&quot;₩&quot;\!\ &quot;DM&quot;_-;_-* &quot;-&quot;??&quot;₩&quot;\!\ &quot;DM&quot;_-;_-@_-"/>
    <numFmt numFmtId="234" formatCode="_-* #\!\,##0\!.00&quot;₩&quot;\!\ _D_M_-;&quot;₩&quot;\!\-* #\!\,##0\!.00&quot;₩&quot;\!\ _D_M_-;_-* &quot;-&quot;??&quot;₩&quot;\!\ _D_M_-;_-@_-"/>
    <numFmt numFmtId="235" formatCode="000&quot;₩&quot;\!\-0000"/>
    <numFmt numFmtId="236" formatCode="#\!\,##0\!\,000"/>
    <numFmt numFmtId="237" formatCode="000\!\,000"/>
    <numFmt numFmtId="238" formatCode="#\!\,##0\!.00&quot;₩&quot;\!\ &quot;F&quot;;&quot;₩&quot;\!\-#\!\,##0\!.00&quot;₩&quot;\!\ &quot;F&quot;"/>
    <numFmt numFmtId="239" formatCode="#\!\,##0\!.000"/>
    <numFmt numFmtId="240" formatCode="&quot;?#,##0.00;\-&quot;&quot;?&quot;#,##0.00"/>
    <numFmt numFmtId="241" formatCode="&quot;₩&quot;&quot;₩&quot;\!\!\$#,##0_);[Red]&quot;₩&quot;&quot;₩&quot;\!\!\(&quot;₩&quot;&quot;₩&quot;\!\!\$#,##0&quot;₩&quot;&quot;₩&quot;\!\!\)"/>
    <numFmt numFmtId="242" formatCode="yy&quot;년&quot;m&quot;월&quot;d&quot;일&quot;"/>
    <numFmt numFmtId="243" formatCode="yyyy&quot;년&quot;\ m&quot;월&quot;\ d&quot;일&quot;"/>
    <numFmt numFmtId="244" formatCode="&quot;₩&quot;\!\$#,##0_);&quot;₩&quot;\!\(&quot;₩&quot;\!\$#,##0&quot;₩&quot;\!\)"/>
    <numFmt numFmtId="245" formatCode="&quot;?#,##0;[Red]\-&quot;&quot;?&quot;#,##0"/>
    <numFmt numFmtId="246" formatCode="&quot;₩&quot;#,##0.00;&quot;₩&quot;&quot;₩&quot;&quot;₩&quot;\-#,##0.00"/>
    <numFmt numFmtId="247" formatCode="&quot;₩&quot;#,##0.00;[Red]&quot;₩&quot;&quot;₩&quot;&quot;₩&quot;\-#,##0.00"/>
    <numFmt numFmtId="248" formatCode="&quot;₩&quot;#,##0;&quot;₩&quot;&quot;₩&quot;&quot;₩&quot;&quot;₩&quot;\-#,##0"/>
    <numFmt numFmtId="249" formatCode="&quot;₩&quot;#,##0;[Red]&quot;₩&quot;&quot;₩&quot;&quot;₩&quot;&quot;₩&quot;\-#,##0"/>
    <numFmt numFmtId="250" formatCode="&quot;₩&quot;#,##0.00;&quot;₩&quot;&quot;₩&quot;&quot;₩&quot;&quot;₩&quot;\-#,##0.00"/>
    <numFmt numFmtId="251" formatCode="_(&quot;$&quot;* #,##0.000_);_(&quot;$&quot;* &quot;₩&quot;&quot;₩&quot;&quot;₩&quot;&quot;₩&quot;&quot;₩&quot;&quot;₩&quot;\(#,##0.000&quot;₩&quot;&quot;₩&quot;&quot;₩&quot;&quot;₩&quot;&quot;₩&quot;&quot;₩&quot;\);_(&quot;$&quot;* &quot;-&quot;??_);_(@_)"/>
    <numFmt numFmtId="252" formatCode="0.0&quot;%&quot;"/>
    <numFmt numFmtId="253" formatCode="&quot;SFr.&quot;#,##0.00;[Red]&quot;SFr.&quot;&quot;₩&quot;&quot;₩&quot;&quot;₩&quot;&quot;₩&quot;&quot;₩&quot;&quot;₩&quot;\-#,##0.00"/>
    <numFmt numFmtId="254" formatCode="mm&quot;월&quot;\ dd&quot;일&quot;"/>
    <numFmt numFmtId="255" formatCode="&quot;₩&quot;\$#,##0.00_);[Red]&quot;₩&quot;\(&quot;₩&quot;\$#,##0.00&quot;₩&quot;\)"/>
    <numFmt numFmtId="256" formatCode="_(&quot;RM&quot;* #,##0.00_);_(&quot;RM&quot;* \(#,##0.00\);_(&quot;RM&quot;* &quot;-&quot;??_);_(@_)"/>
    <numFmt numFmtId="257" formatCode="&quot;US$&quot;#,##0_);\(&quot;US$&quot;#,##0\)"/>
    <numFmt numFmtId="258" formatCode="&quot;US$&quot;#,##0_);[Red]\(&quot;US$&quot;#,##0\)"/>
    <numFmt numFmtId="259" formatCode="&quot;Fr.&quot;\ #,##0;[Red]&quot;Fr.&quot;\ \-#,##0"/>
    <numFmt numFmtId="260" formatCode="&quot;Fr.&quot;\ #,##0.00;[Red]&quot;Fr.&quot;\ \-#,##0.00"/>
    <numFmt numFmtId="261" formatCode="&quot;₩&quot;#,##0;[Red]&quot;₩&quot;\-#,##0"/>
    <numFmt numFmtId="262" formatCode="&quot;₩&quot;#,##0.00;[Red]&quot;₩&quot;\-#,##0.00"/>
    <numFmt numFmtId="263" formatCode="#,##0\ \ \ \ \ "/>
    <numFmt numFmtId="264" formatCode="0.000%"/>
    <numFmt numFmtId="265" formatCode="\&lt;#,##0\&gt;"/>
    <numFmt numFmtId="268" formatCode="&quot;₩&quot;#,##0_);[Red]\(&quot;₩&quot;#,##0\)"/>
    <numFmt numFmtId="269" formatCode="_-* #,##0_-;\-* #,##0_-;_-* &quot;&quot;??_-;_-@_-"/>
    <numFmt numFmtId="270" formatCode="[&lt;=9999999]###\-####;\(0###\)\ ###\-####"/>
    <numFmt numFmtId="271" formatCode="&quot;,&quot;###0"/>
    <numFmt numFmtId="272" formatCode="&quot;~&quot;#0"/>
    <numFmt numFmtId="273" formatCode="[&lt;=999999]&quot;,&quot;##\-####;\(0###\)\ ##\-####"/>
    <numFmt numFmtId="274" formatCode="[&lt;=9999999]&quot;,&quot;###\-####;\(0###\)\ ###\-####"/>
    <numFmt numFmtId="275" formatCode="[&lt;=999999]##\-####;\(0###\)\ ##\-####"/>
    <numFmt numFmtId="276" formatCode="[&lt;=99999999]####\-####;\(0###\)\ ####\-####"/>
    <numFmt numFmtId="277" formatCode="_ * #\!\,##0_ ;_ * &quot;₩&quot;\!\-#\!\,##0_ ;_ * &quot;-&quot;_ ;_ @_ "/>
    <numFmt numFmtId="278" formatCode="\$#,##0.00"/>
    <numFmt numFmtId="279" formatCode="0,###,000"/>
    <numFmt numFmtId="280" formatCode="0;__xd8ff_"/>
    <numFmt numFmtId="281" formatCode="0;_뀀"/>
  </numFmts>
  <fonts count="183"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2"/>
      <name val="굴림체"/>
      <family val="3"/>
      <charset val="129"/>
    </font>
    <font>
      <sz val="10"/>
      <name val="굴림체"/>
      <family val="3"/>
      <charset val="129"/>
    </font>
    <font>
      <sz val="12"/>
      <name val="System"/>
      <family val="2"/>
      <charset val="129"/>
    </font>
    <font>
      <sz val="12"/>
      <name val="돋움체"/>
      <family val="3"/>
      <charset val="129"/>
    </font>
    <font>
      <sz val="11"/>
      <name val="굴림체"/>
      <family val="3"/>
      <charset val="129"/>
    </font>
    <font>
      <sz val="10"/>
      <name val="돋움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8"/>
      <name val="굴림"/>
      <family val="3"/>
      <charset val="129"/>
    </font>
    <font>
      <sz val="8"/>
      <name val="돋움"/>
      <family val="3"/>
      <charset val="129"/>
    </font>
    <font>
      <sz val="11"/>
      <color indexed="10"/>
      <name val="돋움"/>
      <family val="3"/>
      <charset val="129"/>
    </font>
    <font>
      <sz val="8"/>
      <name val="바탕"/>
      <family val="1"/>
      <charset val="129"/>
    </font>
    <font>
      <sz val="10"/>
      <name val="Helv"/>
      <family val="2"/>
    </font>
    <font>
      <sz val="12"/>
      <name val="Times New Roman"/>
      <family val="1"/>
    </font>
    <font>
      <sz val="12"/>
      <name val="¹UAAA¼"/>
      <family val="3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"/>
      <color indexed="8"/>
      <name val="Courier"/>
      <family val="3"/>
    </font>
    <font>
      <sz val="9.5"/>
      <name val="돋움"/>
      <family val="3"/>
      <charset val="129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sz val="12"/>
      <name val="굴림"/>
      <family val="3"/>
      <charset val="129"/>
    </font>
    <font>
      <sz val="11"/>
      <name val="굴림"/>
      <family val="3"/>
      <charset val="129"/>
    </font>
    <font>
      <u/>
      <sz val="9"/>
      <color indexed="36"/>
      <name val="돋움체"/>
      <family val="3"/>
      <charset val="129"/>
    </font>
    <font>
      <sz val="11"/>
      <color indexed="60"/>
      <name val="맑은 고딕"/>
      <family val="3"/>
      <charset val="129"/>
    </font>
    <font>
      <sz val="10"/>
      <name val="바탕"/>
      <family val="1"/>
      <charset val="129"/>
    </font>
    <font>
      <sz val="10"/>
      <name val="돋움체"/>
      <family val="3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μ¸¿o"/>
      <family val="1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¹ÙÅÁÃ¼"/>
      <family val="1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Univers (WN)"/>
      <family val="2"/>
    </font>
    <font>
      <u/>
      <sz val="8"/>
      <color indexed="12"/>
      <name val="Times New Roman"/>
      <family val="1"/>
    </font>
    <font>
      <sz val="7"/>
      <name val="Small Fonts"/>
      <family val="2"/>
    </font>
    <font>
      <sz val="12"/>
      <name val="Helv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b/>
      <sz val="20"/>
      <name val="돋움체"/>
      <family val="3"/>
      <charset val="129"/>
    </font>
    <font>
      <sz val="10"/>
      <color indexed="8"/>
      <name val="MS Sans Serif"/>
      <family val="2"/>
    </font>
    <font>
      <sz val="10"/>
      <name val="바탕체"/>
      <family val="1"/>
      <charset val="129"/>
    </font>
    <font>
      <sz val="12"/>
      <name val="견명조"/>
      <family val="1"/>
      <charset val="129"/>
    </font>
    <font>
      <sz val="9"/>
      <name val="바탕체"/>
      <family val="1"/>
      <charset val="129"/>
    </font>
    <font>
      <sz val="1"/>
      <color indexed="8"/>
      <name val="Courier"/>
      <family val="3"/>
    </font>
    <font>
      <sz val="12"/>
      <name val="명조"/>
      <family val="3"/>
      <charset val="129"/>
    </font>
    <font>
      <sz val="12"/>
      <color indexed="8"/>
      <name val="돋움체"/>
      <family val="3"/>
      <charset val="129"/>
    </font>
    <font>
      <b/>
      <sz val="12"/>
      <color indexed="8"/>
      <name val="돋움체"/>
      <family val="3"/>
      <charset val="129"/>
    </font>
    <font>
      <sz val="10"/>
      <name val="굴림"/>
      <family val="3"/>
      <charset val="129"/>
    </font>
    <font>
      <sz val="11"/>
      <color indexed="9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color indexed="16"/>
      <name val="돋움"/>
      <family val="3"/>
      <charset val="129"/>
    </font>
    <font>
      <sz val="9"/>
      <name val="Arial"/>
      <family val="2"/>
    </font>
    <font>
      <b/>
      <sz val="11"/>
      <color indexed="53"/>
      <name val="돋움"/>
      <family val="3"/>
      <charset val="129"/>
    </font>
    <font>
      <b/>
      <sz val="11"/>
      <color indexed="9"/>
      <name val="돋움"/>
      <family val="3"/>
      <charset val="129"/>
    </font>
    <font>
      <u/>
      <sz val="10"/>
      <color indexed="12"/>
      <name val="Arial"/>
      <family val="2"/>
    </font>
    <font>
      <sz val="10"/>
      <name val="MS Serif"/>
      <family val="1"/>
    </font>
    <font>
      <b/>
      <sz val="11"/>
      <color indexed="8"/>
      <name val="돋움"/>
      <family val="3"/>
      <charset val="129"/>
    </font>
    <font>
      <sz val="10"/>
      <color indexed="16"/>
      <name val="MS Serif"/>
      <family val="1"/>
    </font>
    <font>
      <sz val="11"/>
      <color indexed="17"/>
      <name val="돋움"/>
      <family val="3"/>
      <charset val="129"/>
    </font>
    <font>
      <b/>
      <i/>
      <sz val="11"/>
      <name val="Times New Roman"/>
      <family val="1"/>
    </font>
    <font>
      <b/>
      <sz val="11"/>
      <color indexed="62"/>
      <name val="돋움"/>
      <family val="3"/>
      <charset val="129"/>
    </font>
    <font>
      <b/>
      <sz val="18"/>
      <name val="Arial"/>
      <family val="2"/>
    </font>
    <font>
      <sz val="10"/>
      <color indexed="12"/>
      <name val="Arial"/>
      <family val="2"/>
    </font>
    <font>
      <sz val="11"/>
      <color indexed="62"/>
      <name val="돋움"/>
      <family val="3"/>
      <charset val="129"/>
    </font>
    <font>
      <sz val="11"/>
      <color indexed="53"/>
      <name val="돋움"/>
      <family val="3"/>
      <charset val="129"/>
    </font>
    <font>
      <sz val="11"/>
      <color indexed="60"/>
      <name val="돋움"/>
      <family val="3"/>
      <charset val="129"/>
    </font>
    <font>
      <b/>
      <sz val="11"/>
      <color indexed="63"/>
      <name val="돋움"/>
      <family val="3"/>
      <charset val="129"/>
    </font>
    <font>
      <sz val="8"/>
      <name val="Helv"/>
      <family val="2"/>
    </font>
    <font>
      <b/>
      <sz val="18"/>
      <color indexed="62"/>
      <name val="맑은 고딕"/>
      <family val="3"/>
      <charset val="129"/>
    </font>
    <font>
      <b/>
      <sz val="8"/>
      <name val="Times New Roman"/>
      <family val="1"/>
    </font>
    <font>
      <b/>
      <sz val="8"/>
      <color indexed="8"/>
      <name val="Helv"/>
      <family val="2"/>
    </font>
    <font>
      <sz val="8"/>
      <name val="바탕체"/>
      <family val="1"/>
      <charset val="129"/>
    </font>
    <font>
      <sz val="8"/>
      <color indexed="12"/>
      <name val="Arial"/>
      <family val="2"/>
    </font>
    <font>
      <u/>
      <sz val="10"/>
      <color indexed="36"/>
      <name val="Arial"/>
      <family val="2"/>
    </font>
    <font>
      <sz val="11"/>
      <name val="새굴림"/>
      <family val="1"/>
      <charset val="129"/>
    </font>
    <font>
      <sz val="11"/>
      <name val="µ¸¿ò"/>
      <family val="3"/>
      <charset val="129"/>
    </font>
    <font>
      <sz val="12"/>
      <name val="Arial"/>
      <family val="2"/>
    </font>
    <font>
      <b/>
      <sz val="11"/>
      <name val="굴림체"/>
      <family val="3"/>
      <charset val="129"/>
    </font>
    <font>
      <b/>
      <sz val="11"/>
      <name val="새굴림"/>
      <family val="1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b/>
      <sz val="8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color indexed="8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</font>
    <font>
      <b/>
      <sz val="8"/>
      <name val="맑은 고딕"/>
      <family val="3"/>
      <charset val="129"/>
    </font>
    <font>
      <b/>
      <sz val="9"/>
      <name val="맑은 고딕"/>
      <family val="3"/>
      <charset val="129"/>
    </font>
    <font>
      <sz val="8"/>
      <color indexed="8"/>
      <name val="맑은 고딕"/>
      <family val="3"/>
      <charset val="129"/>
    </font>
    <font>
      <sz val="12"/>
      <name val="맑은 고딕"/>
      <family val="3"/>
      <charset val="129"/>
    </font>
    <font>
      <b/>
      <sz val="14"/>
      <name val="맑은 고딕"/>
      <family val="3"/>
      <charset val="129"/>
    </font>
    <font>
      <b/>
      <sz val="16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name val="맑은 고딕"/>
      <family val="3"/>
      <charset val="129"/>
    </font>
    <font>
      <sz val="16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20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u/>
      <sz val="11"/>
      <name val="맑은 고딕"/>
      <family val="3"/>
      <charset val="129"/>
    </font>
    <font>
      <b/>
      <u/>
      <sz val="12"/>
      <name val="맑은 고딕"/>
      <family val="3"/>
      <charset val="129"/>
    </font>
    <font>
      <b/>
      <sz val="8"/>
      <color indexed="10"/>
      <name val="맑은 고딕"/>
      <family val="3"/>
      <charset val="129"/>
    </font>
    <font>
      <sz val="8"/>
      <color indexed="10"/>
      <name val="맑은 고딕"/>
      <family val="3"/>
      <charset val="129"/>
    </font>
    <font>
      <b/>
      <sz val="21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u/>
      <sz val="11"/>
      <color indexed="9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name val="굴림체"/>
      <family val="3"/>
      <charset val="129"/>
    </font>
    <font>
      <sz val="12"/>
      <name val="ⓒoUAAA¨u"/>
      <family val="1"/>
      <charset val="129"/>
    </font>
    <font>
      <sz val="12"/>
      <color indexed="24"/>
      <name val="Arial"/>
      <family val="2"/>
    </font>
    <font>
      <b/>
      <i/>
      <sz val="18"/>
      <color indexed="39"/>
      <name val="돋움체"/>
      <family val="3"/>
      <charset val="129"/>
    </font>
    <font>
      <sz val="9"/>
      <color indexed="8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12"/>
      <color indexed="9"/>
      <name val="맑은 고딕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b/>
      <sz val="11"/>
      <name val="돋움"/>
      <family val="3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sz val="11"/>
      <name val="돋움체"/>
      <family val="3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b/>
      <sz val="9"/>
      <name val="Helv"/>
      <family val="2"/>
    </font>
    <font>
      <b/>
      <i/>
      <sz val="10"/>
      <name val="명조"/>
      <family val="3"/>
      <charset val="129"/>
    </font>
    <font>
      <b/>
      <sz val="18"/>
      <name val="돋움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6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indexed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ajor"/>
    </font>
    <font>
      <b/>
      <sz val="18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16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</fonts>
  <fills count="5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65"/>
        <bgColor indexed="64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4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299">
    <xf numFmtId="0" fontId="0" fillId="0" borderId="0"/>
    <xf numFmtId="220" fontId="31" fillId="0" borderId="0">
      <protection locked="0"/>
    </xf>
    <xf numFmtId="0" fontId="71" fillId="0" borderId="1">
      <alignment horizontal="centerContinuous" vertical="center"/>
    </xf>
    <xf numFmtId="3" fontId="1" fillId="0" borderId="0">
      <alignment vertical="center"/>
    </xf>
    <xf numFmtId="207" fontId="1" fillId="0" borderId="0">
      <alignment vertical="center"/>
    </xf>
    <xf numFmtId="4" fontId="1" fillId="0" borderId="0">
      <alignment vertical="center"/>
    </xf>
    <xf numFmtId="216" fontId="1" fillId="0" borderId="0">
      <alignment vertical="center"/>
    </xf>
    <xf numFmtId="24" fontId="11" fillId="0" borderId="0" applyFont="0" applyFill="0" applyBorder="0" applyAlignment="0" applyProtection="0"/>
    <xf numFmtId="213" fontId="1" fillId="0" borderId="0" applyNumberFormat="0" applyFont="0" applyFill="0" applyBorder="0" applyAlignment="0" applyProtection="0"/>
    <xf numFmtId="212" fontId="1" fillId="0" borderId="0" applyNumberFormat="0" applyFont="0" applyFill="0" applyBorder="0" applyAlignment="0" applyProtection="0"/>
    <xf numFmtId="213" fontId="1" fillId="0" borderId="0" applyNumberFormat="0" applyFont="0" applyFill="0" applyBorder="0" applyAlignment="0" applyProtection="0"/>
    <xf numFmtId="212" fontId="1" fillId="0" borderId="0" applyNumberFormat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0" fillId="0" borderId="0"/>
    <xf numFmtId="0" fontId="2" fillId="0" borderId="0"/>
    <xf numFmtId="0" fontId="21" fillId="0" borderId="0"/>
    <xf numFmtId="0" fontId="21" fillId="0" borderId="0"/>
    <xf numFmtId="0" fontId="2" fillId="0" borderId="0"/>
    <xf numFmtId="0" fontId="21" fillId="0" borderId="0"/>
    <xf numFmtId="0" fontId="10" fillId="0" borderId="0"/>
    <xf numFmtId="0" fontId="10" fillId="0" borderId="0"/>
    <xf numFmtId="0" fontId="4" fillId="0" borderId="0" applyFont="0" applyFill="0" applyBorder="0" applyAlignment="0" applyProtection="0"/>
    <xf numFmtId="0" fontId="10" fillId="0" borderId="0"/>
    <xf numFmtId="0" fontId="21" fillId="0" borderId="0"/>
    <xf numFmtId="0" fontId="21" fillId="0" borderId="0"/>
    <xf numFmtId="0" fontId="4" fillId="0" borderId="0" applyFont="0" applyFill="0" applyBorder="0" applyAlignment="0" applyProtection="0"/>
    <xf numFmtId="0" fontId="4" fillId="0" borderId="0"/>
    <xf numFmtId="0" fontId="10" fillId="0" borderId="0"/>
    <xf numFmtId="0" fontId="21" fillId="0" borderId="0"/>
    <xf numFmtId="0" fontId="21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" fillId="0" borderId="0"/>
    <xf numFmtId="0" fontId="4" fillId="0" borderId="0" applyFont="0" applyFill="0" applyBorder="0" applyAlignment="0" applyProtection="0"/>
    <xf numFmtId="0" fontId="4" fillId="0" borderId="0">
      <alignment vertical="center"/>
    </xf>
    <xf numFmtId="0" fontId="10" fillId="0" borderId="0"/>
    <xf numFmtId="0" fontId="10" fillId="0" borderId="0"/>
    <xf numFmtId="0" fontId="4" fillId="0" borderId="0"/>
    <xf numFmtId="0" fontId="4" fillId="0" borderId="0" applyFont="0" applyFill="0" applyBorder="0" applyAlignment="0" applyProtection="0"/>
    <xf numFmtId="0" fontId="10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4" fillId="0" borderId="0"/>
    <xf numFmtId="0" fontId="10" fillId="0" borderId="0"/>
    <xf numFmtId="0" fontId="1" fillId="0" borderId="0"/>
    <xf numFmtId="0" fontId="2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54" fontId="2" fillId="0" borderId="0" applyFont="0" applyFill="0" applyBorder="0" applyProtection="0">
      <alignment vertical="center"/>
    </xf>
    <xf numFmtId="225" fontId="2" fillId="0" borderId="0">
      <alignment vertical="center"/>
    </xf>
    <xf numFmtId="227" fontId="2" fillId="0" borderId="0" applyFont="0" applyFill="0" applyBorder="0" applyAlignment="0" applyProtection="0">
      <alignment vertical="center"/>
    </xf>
    <xf numFmtId="0" fontId="22" fillId="0" borderId="0"/>
    <xf numFmtId="9" fontId="71" fillId="0" borderId="0">
      <alignment vertical="center"/>
    </xf>
    <xf numFmtId="0" fontId="71" fillId="0" borderId="0">
      <alignment vertical="center"/>
    </xf>
    <xf numFmtId="10" fontId="71" fillId="0" borderId="0">
      <alignment vertical="center"/>
    </xf>
    <xf numFmtId="0" fontId="71" fillId="0" borderId="0">
      <alignment vertical="center"/>
    </xf>
    <xf numFmtId="221" fontId="2" fillId="0" borderId="0">
      <alignment vertical="center"/>
    </xf>
    <xf numFmtId="0" fontId="3" fillId="0" borderId="0"/>
    <xf numFmtId="41" fontId="1" fillId="0" borderId="0">
      <alignment horizontal="center" vertical="center"/>
    </xf>
    <xf numFmtId="209" fontId="72" fillId="0" borderId="0">
      <alignment horizontal="center" vertical="center"/>
    </xf>
    <xf numFmtId="0" fontId="7" fillId="0" borderId="0">
      <alignment horizontal="center" vertical="center"/>
    </xf>
    <xf numFmtId="0" fontId="10" fillId="0" borderId="0" applyNumberFormat="0" applyFill="0" applyBorder="0" applyAlignment="0" applyProtection="0"/>
    <xf numFmtId="10" fontId="23" fillId="0" borderId="0" applyFont="0" applyFill="0" applyBorder="0" applyAlignment="0" applyProtection="0"/>
    <xf numFmtId="0" fontId="1" fillId="0" borderId="0"/>
    <xf numFmtId="0" fontId="1" fillId="0" borderId="2">
      <alignment horizont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9" fontId="1" fillId="0" borderId="0">
      <protection locked="0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73" fillId="0" borderId="3">
      <alignment horizontal="center"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242" fontId="1" fillId="0" borderId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0" borderId="4" applyNumberFormat="0" applyAlignment="0" applyProtection="0">
      <alignment vertical="center"/>
    </xf>
    <xf numFmtId="0" fontId="27" fillId="20" borderId="4" applyNumberFormat="0" applyAlignment="0" applyProtection="0">
      <alignment vertical="center"/>
    </xf>
    <xf numFmtId="0" fontId="27" fillId="20" borderId="4" applyNumberFormat="0" applyAlignment="0" applyProtection="0">
      <alignment vertical="center"/>
    </xf>
    <xf numFmtId="0" fontId="27" fillId="20" borderId="4" applyNumberFormat="0" applyAlignment="0" applyProtection="0">
      <alignment vertical="center"/>
    </xf>
    <xf numFmtId="0" fontId="27" fillId="20" borderId="4" applyNumberFormat="0" applyAlignment="0" applyProtection="0">
      <alignment vertical="center"/>
    </xf>
    <xf numFmtId="0" fontId="27" fillId="20" borderId="4" applyNumberFormat="0" applyAlignment="0" applyProtection="0">
      <alignment vertical="center"/>
    </xf>
    <xf numFmtId="0" fontId="27" fillId="20" borderId="4" applyNumberFormat="0" applyAlignment="0" applyProtection="0">
      <alignment vertical="center"/>
    </xf>
    <xf numFmtId="0" fontId="27" fillId="20" borderId="4" applyNumberFormat="0" applyAlignment="0" applyProtection="0">
      <alignment vertical="center"/>
    </xf>
    <xf numFmtId="0" fontId="27" fillId="20" borderId="4" applyNumberFormat="0" applyAlignment="0" applyProtection="0">
      <alignment vertical="center"/>
    </xf>
    <xf numFmtId="0" fontId="27" fillId="20" borderId="4" applyNumberFormat="0" applyAlignment="0" applyProtection="0">
      <alignment vertical="center"/>
    </xf>
    <xf numFmtId="0" fontId="27" fillId="20" borderId="4" applyNumberFormat="0" applyAlignment="0" applyProtection="0">
      <alignment vertical="center"/>
    </xf>
    <xf numFmtId="0" fontId="27" fillId="20" borderId="4" applyNumberFormat="0" applyAlignment="0" applyProtection="0">
      <alignment vertical="center"/>
    </xf>
    <xf numFmtId="0" fontId="27" fillId="20" borderId="4" applyNumberFormat="0" applyAlignment="0" applyProtection="0">
      <alignment vertical="center"/>
    </xf>
    <xf numFmtId="19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35" fontId="2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35" fontId="2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35" fontId="2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48" fontId="1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235" fontId="2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202" fontId="2" fillId="0" borderId="0"/>
    <xf numFmtId="202" fontId="2" fillId="0" borderId="0"/>
    <xf numFmtId="202" fontId="2" fillId="0" borderId="0"/>
    <xf numFmtId="202" fontId="2" fillId="0" borderId="0"/>
    <xf numFmtId="202" fontId="2" fillId="0" borderId="0"/>
    <xf numFmtId="202" fontId="2" fillId="0" borderId="0"/>
    <xf numFmtId="202" fontId="2" fillId="0" borderId="0"/>
    <xf numFmtId="202" fontId="2" fillId="0" borderId="0"/>
    <xf numFmtId="202" fontId="2" fillId="0" borderId="0"/>
    <xf numFmtId="202" fontId="2" fillId="0" borderId="0"/>
    <xf numFmtId="202" fontId="2" fillId="0" borderId="0"/>
    <xf numFmtId="203" fontId="29" fillId="0" borderId="5">
      <alignment horizontal="right" vertical="center"/>
    </xf>
    <xf numFmtId="241" fontId="1" fillId="0" borderId="0"/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1" fillId="0" borderId="0">
      <protection locked="0"/>
    </xf>
    <xf numFmtId="0" fontId="32" fillId="0" borderId="0">
      <alignment vertical="center"/>
    </xf>
    <xf numFmtId="3" fontId="11" fillId="0" borderId="6">
      <alignment horizontal="center"/>
    </xf>
    <xf numFmtId="0" fontId="33" fillId="0" borderId="5">
      <alignment horizontal="center" vertical="center"/>
    </xf>
    <xf numFmtId="0" fontId="1" fillId="21" borderId="0">
      <alignment horizontal="left"/>
    </xf>
    <xf numFmtId="0" fontId="31" fillId="0" borderId="0"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" fillId="22" borderId="7" applyNumberFormat="0" applyFont="0" applyAlignment="0" applyProtection="0">
      <alignment vertical="center"/>
    </xf>
    <xf numFmtId="0" fontId="2" fillId="22" borderId="7" applyNumberFormat="0" applyFont="0" applyAlignment="0" applyProtection="0">
      <alignment vertical="center"/>
    </xf>
    <xf numFmtId="0" fontId="2" fillId="22" borderId="7" applyNumberFormat="0" applyFont="0" applyAlignment="0" applyProtection="0">
      <alignment vertical="center"/>
    </xf>
    <xf numFmtId="0" fontId="2" fillId="22" borderId="7" applyNumberFormat="0" applyFont="0" applyAlignment="0" applyProtection="0">
      <alignment vertical="center"/>
    </xf>
    <xf numFmtId="0" fontId="2" fillId="22" borderId="7" applyNumberFormat="0" applyFont="0" applyAlignment="0" applyProtection="0">
      <alignment vertical="center"/>
    </xf>
    <xf numFmtId="0" fontId="2" fillId="22" borderId="7" applyNumberFormat="0" applyFont="0" applyAlignment="0" applyProtection="0">
      <alignment vertical="center"/>
    </xf>
    <xf numFmtId="0" fontId="2" fillId="22" borderId="7" applyNumberFormat="0" applyFont="0" applyAlignment="0" applyProtection="0">
      <alignment vertical="center"/>
    </xf>
    <xf numFmtId="0" fontId="2" fillId="22" borderId="7" applyNumberFormat="0" applyFont="0" applyAlignment="0" applyProtection="0">
      <alignment vertical="center"/>
    </xf>
    <xf numFmtId="0" fontId="2" fillId="22" borderId="7" applyNumberFormat="0" applyFont="0" applyAlignment="0" applyProtection="0">
      <alignment vertical="center"/>
    </xf>
    <xf numFmtId="0" fontId="2" fillId="22" borderId="7" applyNumberFormat="0" applyFont="0" applyAlignment="0" applyProtection="0">
      <alignment vertical="center"/>
    </xf>
    <xf numFmtId="0" fontId="2" fillId="22" borderId="7" applyNumberFormat="0" applyFont="0" applyAlignment="0" applyProtection="0">
      <alignment vertical="center"/>
    </xf>
    <xf numFmtId="0" fontId="2" fillId="22" borderId="7" applyNumberFormat="0" applyFont="0" applyAlignment="0" applyProtection="0">
      <alignment vertical="center"/>
    </xf>
    <xf numFmtId="0" fontId="2" fillId="22" borderId="7" applyNumberFormat="0" applyFont="0" applyAlignment="0" applyProtection="0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7" fillId="0" borderId="0" applyNumberFormat="0" applyFont="0" applyFill="0" applyBorder="0" applyProtection="0">
      <alignment horizontal="distributed" vertical="center" justifyLastLine="1"/>
    </xf>
    <xf numFmtId="210" fontId="1" fillId="0" borderId="0">
      <alignment vertical="center"/>
    </xf>
    <xf numFmtId="9" fontId="2" fillId="0" borderId="0" applyFont="0" applyFill="0" applyBorder="0" applyAlignment="0" applyProtection="0"/>
    <xf numFmtId="256" fontId="1" fillId="0" borderId="0" applyFont="0" applyFill="0" applyBorder="0" applyProtection="0">
      <alignment horizontal="center" vertical="center"/>
    </xf>
    <xf numFmtId="257" fontId="1" fillId="0" borderId="0" applyFont="0" applyFill="0" applyBorder="0" applyProtection="0">
      <alignment horizontal="center" vertical="center"/>
    </xf>
    <xf numFmtId="9" fontId="7" fillId="23" borderId="0" applyFill="0" applyBorder="0" applyProtection="0">
      <alignment horizontal="right"/>
    </xf>
    <xf numFmtId="10" fontId="7" fillId="0" borderId="0" applyFill="0" applyBorder="0" applyProtection="0">
      <alignment horizontal="right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255" fontId="1" fillId="0" borderId="0" applyFont="0" applyFill="0" applyBorder="0" applyAlignment="0" applyProtection="0"/>
    <xf numFmtId="228" fontId="37" fillId="0" borderId="0" applyFont="0" applyFill="0" applyBorder="0" applyAlignment="0" applyProtection="0"/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1" fillId="0" borderId="0"/>
    <xf numFmtId="223" fontId="75" fillId="0" borderId="8" applyBorder="0"/>
    <xf numFmtId="0" fontId="37" fillId="0" borderId="0" applyNumberFormat="0" applyFont="0" applyFill="0" applyBorder="0" applyProtection="0">
      <alignment horizontal="centerContinuous" vertical="center"/>
    </xf>
    <xf numFmtId="180" fontId="36" fillId="0" borderId="5">
      <alignment vertical="center"/>
    </xf>
    <xf numFmtId="3" fontId="37" fillId="0" borderId="9"/>
    <xf numFmtId="0" fontId="37" fillId="0" borderId="9"/>
    <xf numFmtId="3" fontId="37" fillId="0" borderId="10"/>
    <xf numFmtId="3" fontId="37" fillId="0" borderId="11"/>
    <xf numFmtId="0" fontId="38" fillId="0" borderId="9"/>
    <xf numFmtId="0" fontId="39" fillId="0" borderId="0">
      <alignment horizontal="center"/>
    </xf>
    <xf numFmtId="0" fontId="40" fillId="0" borderId="12">
      <alignment horizont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3" fontId="43" fillId="0" borderId="0">
      <alignment vertical="center" wrapText="1"/>
    </xf>
    <xf numFmtId="3" fontId="44" fillId="0" borderId="0">
      <alignment vertical="center" wrapText="1"/>
    </xf>
    <xf numFmtId="1" fontId="1" fillId="0" borderId="0"/>
    <xf numFmtId="19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38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38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38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45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238" fontId="2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45" fillId="0" borderId="14"/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8" fillId="0" borderId="0" applyFont="0" applyFill="0" applyBorder="0" applyAlignment="0" applyProtection="0"/>
    <xf numFmtId="204" fontId="2" fillId="0" borderId="0" applyFont="0" applyFill="0" applyBorder="0" applyAlignment="0" applyProtection="0"/>
    <xf numFmtId="225" fontId="1" fillId="0" borderId="0" applyFont="0" applyFill="0" applyBorder="0" applyAlignment="0" applyProtection="0"/>
    <xf numFmtId="225" fontId="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211" fontId="48" fillId="0" borderId="0" applyFont="0" applyFill="0" applyBorder="0" applyAlignment="0" applyProtection="0"/>
    <xf numFmtId="219" fontId="2" fillId="0" borderId="0" applyFont="0" applyFill="0" applyBorder="0" applyAlignment="0" applyProtection="0"/>
    <xf numFmtId="0" fontId="49" fillId="0" borderId="0">
      <alignment horizontal="center"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0" fontId="50" fillId="7" borderId="4" applyNumberFormat="0" applyAlignment="0" applyProtection="0">
      <alignment vertical="center"/>
    </xf>
    <xf numFmtId="4" fontId="31" fillId="0" borderId="0">
      <protection locked="0"/>
    </xf>
    <xf numFmtId="0" fontId="75" fillId="0" borderId="0"/>
    <xf numFmtId="4" fontId="74" fillId="0" borderId="0">
      <protection locked="0"/>
    </xf>
    <xf numFmtId="19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36" fontId="2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36" fontId="2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36" fontId="2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49" fontId="1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236" fontId="2" fillId="0" borderId="0">
      <protection locked="0"/>
    </xf>
    <xf numFmtId="1" fontId="6" fillId="23" borderId="0" applyNumberFormat="0" applyFont="0" applyFill="0" applyBorder="0" applyAlignment="0">
      <alignment vertical="center"/>
    </xf>
    <xf numFmtId="1" fontId="76" fillId="23" borderId="0" applyNumberFormat="0" applyBorder="0" applyAlignment="0">
      <alignment vertical="center"/>
    </xf>
    <xf numFmtId="0" fontId="33" fillId="26" borderId="5" applyProtection="0">
      <alignment horizontal="center"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3" fillId="26" borderId="5" applyProtection="0">
      <alignment horizontal="center" vertical="center"/>
    </xf>
    <xf numFmtId="0" fontId="33" fillId="26" borderId="5" applyProtection="0">
      <alignment horizontal="center" vertical="center"/>
    </xf>
    <xf numFmtId="0" fontId="33" fillId="26" borderId="5" applyProtection="0">
      <alignment horizontal="center" vertical="center"/>
    </xf>
    <xf numFmtId="0" fontId="33" fillId="26" borderId="5" applyProtection="0">
      <alignment horizontal="center" vertical="center"/>
    </xf>
    <xf numFmtId="0" fontId="33" fillId="26" borderId="5" applyProtection="0">
      <alignment horizontal="center" vertical="center"/>
    </xf>
    <xf numFmtId="0" fontId="33" fillId="26" borderId="5" applyProtection="0">
      <alignment horizontal="center" vertical="center"/>
    </xf>
    <xf numFmtId="0" fontId="33" fillId="26" borderId="5" applyProtection="0">
      <alignment horizontal="center"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3" fillId="26" borderId="5" applyProtection="0">
      <alignment horizontal="center" vertical="center"/>
    </xf>
    <xf numFmtId="0" fontId="33" fillId="26" borderId="5" applyProtection="0">
      <alignment horizontal="center" vertical="center"/>
    </xf>
    <xf numFmtId="0" fontId="33" fillId="26" borderId="5" applyProtection="0">
      <alignment horizontal="center" vertical="center"/>
    </xf>
    <xf numFmtId="0" fontId="33" fillId="26" borderId="5" applyProtection="0">
      <alignment horizontal="center" vertical="center"/>
    </xf>
    <xf numFmtId="0" fontId="33" fillId="26" borderId="5" applyProtection="0">
      <alignment horizontal="center"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1" fillId="0" borderId="0"/>
    <xf numFmtId="1" fontId="77" fillId="23" borderId="0" applyNumberFormat="0" applyFont="0" applyFill="0" applyBorder="0" applyAlignment="0">
      <alignment vertical="center"/>
    </xf>
    <xf numFmtId="0" fontId="55" fillId="20" borderId="20" applyNumberFormat="0" applyAlignment="0" applyProtection="0">
      <alignment vertical="center"/>
    </xf>
    <xf numFmtId="0" fontId="55" fillId="20" borderId="20" applyNumberFormat="0" applyAlignment="0" applyProtection="0">
      <alignment vertical="center"/>
    </xf>
    <xf numFmtId="0" fontId="55" fillId="20" borderId="20" applyNumberFormat="0" applyAlignment="0" applyProtection="0">
      <alignment vertical="center"/>
    </xf>
    <xf numFmtId="0" fontId="55" fillId="20" borderId="20" applyNumberFormat="0" applyAlignment="0" applyProtection="0">
      <alignment vertical="center"/>
    </xf>
    <xf numFmtId="0" fontId="55" fillId="20" borderId="20" applyNumberFormat="0" applyAlignment="0" applyProtection="0">
      <alignment vertical="center"/>
    </xf>
    <xf numFmtId="0" fontId="55" fillId="20" borderId="20" applyNumberFormat="0" applyAlignment="0" applyProtection="0">
      <alignment vertical="center"/>
    </xf>
    <xf numFmtId="0" fontId="55" fillId="20" borderId="20" applyNumberFormat="0" applyAlignment="0" applyProtection="0">
      <alignment vertical="center"/>
    </xf>
    <xf numFmtId="0" fontId="55" fillId="20" borderId="20" applyNumberFormat="0" applyAlignment="0" applyProtection="0">
      <alignment vertical="center"/>
    </xf>
    <xf numFmtId="0" fontId="55" fillId="20" borderId="20" applyNumberFormat="0" applyAlignment="0" applyProtection="0">
      <alignment vertical="center"/>
    </xf>
    <xf numFmtId="0" fontId="55" fillId="20" borderId="20" applyNumberFormat="0" applyAlignment="0" applyProtection="0">
      <alignment vertical="center"/>
    </xf>
    <xf numFmtId="0" fontId="55" fillId="20" borderId="20" applyNumberFormat="0" applyAlignment="0" applyProtection="0">
      <alignment vertical="center"/>
    </xf>
    <xf numFmtId="0" fontId="55" fillId="20" borderId="20" applyNumberFormat="0" applyAlignment="0" applyProtection="0">
      <alignment vertical="center"/>
    </xf>
    <xf numFmtId="0" fontId="55" fillId="20" borderId="20" applyNumberFormat="0" applyAlignment="0" applyProtection="0">
      <alignment vertical="center"/>
    </xf>
    <xf numFmtId="0" fontId="33" fillId="0" borderId="5" applyFill="0" applyProtection="0">
      <alignment horizontal="center" vertical="center"/>
    </xf>
    <xf numFmtId="0" fontId="1" fillId="0" borderId="0" applyFont="0" applyFill="0" applyBorder="0" applyAlignment="0" applyProtection="0"/>
    <xf numFmtId="258" fontId="1" fillId="0" borderId="0" applyFont="0" applyFill="0" applyBorder="0" applyProtection="0">
      <alignment vertical="center"/>
    </xf>
    <xf numFmtId="38" fontId="37" fillId="0" borderId="0" applyFont="0" applyFill="0" applyBorder="0" applyProtection="0">
      <alignment vertical="center"/>
    </xf>
    <xf numFmtId="176" fontId="1" fillId="0" borderId="21">
      <alignment horizontal="center" vertical="center"/>
    </xf>
    <xf numFmtId="41" fontId="2" fillId="0" borderId="0" applyFont="0" applyFill="0" applyBorder="0" applyAlignment="0" applyProtection="0"/>
    <xf numFmtId="176" fontId="1" fillId="0" borderId="0" applyFont="0" applyFill="0" applyBorder="0" applyAlignment="0" applyProtection="0"/>
    <xf numFmtId="200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244" fontId="1" fillId="23" borderId="0" applyFill="0" applyBorder="0" applyProtection="0">
      <alignment horizontal="right"/>
    </xf>
    <xf numFmtId="38" fontId="37" fillId="0" borderId="0" applyFont="0" applyFill="0" applyBorder="0" applyAlignment="0" applyProtection="0">
      <alignment vertical="center"/>
    </xf>
    <xf numFmtId="180" fontId="37" fillId="0" borderId="0" applyFont="0" applyFill="0" applyBorder="0" applyAlignment="0" applyProtection="0">
      <alignment vertical="center"/>
    </xf>
    <xf numFmtId="38" fontId="37" fillId="0" borderId="0" applyFill="0" applyBorder="0" applyAlignment="0" applyProtection="0">
      <alignment vertical="center"/>
    </xf>
    <xf numFmtId="0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82" fontId="2" fillId="0" borderId="0" applyFont="0" applyFill="0" applyBorder="0" applyAlignment="0" applyProtection="0"/>
    <xf numFmtId="177" fontId="1" fillId="0" borderId="0" applyFont="0" applyFill="0" applyBorder="0" applyAlignment="0" applyProtection="0"/>
    <xf numFmtId="19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34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34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34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47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34" fontId="2" fillId="0" borderId="0">
      <protection locked="0"/>
    </xf>
    <xf numFmtId="201" fontId="1" fillId="0" borderId="0" applyFont="0" applyFill="0" applyBorder="0" applyAlignment="0" applyProtection="0"/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2" fillId="0" borderId="0"/>
    <xf numFmtId="0" fontId="2" fillId="0" borderId="0"/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2" fillId="0" borderId="0"/>
    <xf numFmtId="0" fontId="151" fillId="0" borderId="0">
      <alignment vertical="center"/>
    </xf>
    <xf numFmtId="0" fontId="151" fillId="0" borderId="0">
      <alignment vertical="center"/>
    </xf>
    <xf numFmtId="0" fontId="2" fillId="0" borderId="0"/>
    <xf numFmtId="0" fontId="2" fillId="0" borderId="0"/>
    <xf numFmtId="0" fontId="151" fillId="0" borderId="0">
      <alignment vertical="center"/>
    </xf>
    <xf numFmtId="0" fontId="2" fillId="0" borderId="0"/>
    <xf numFmtId="0" fontId="2" fillId="0" borderId="0"/>
    <xf numFmtId="0" fontId="151" fillId="0" borderId="0">
      <alignment vertical="center"/>
    </xf>
    <xf numFmtId="0" fontId="151" fillId="0" borderId="0">
      <alignment vertical="center"/>
    </xf>
    <xf numFmtId="0" fontId="2" fillId="0" borderId="0"/>
    <xf numFmtId="0" fontId="2" fillId="0" borderId="0"/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2" fillId="0" borderId="0"/>
    <xf numFmtId="0" fontId="151" fillId="0" borderId="0">
      <alignment vertical="center"/>
    </xf>
    <xf numFmtId="0" fontId="151" fillId="0" borderId="0">
      <alignment vertical="center"/>
    </xf>
    <xf numFmtId="0" fontId="2" fillId="0" borderId="0"/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2" fillId="0" borderId="0"/>
    <xf numFmtId="0" fontId="2" fillId="0" borderId="0"/>
    <xf numFmtId="0" fontId="1" fillId="0" borderId="0"/>
    <xf numFmtId="0" fontId="2" fillId="0" borderId="0"/>
    <xf numFmtId="0" fontId="152" fillId="0" borderId="0">
      <alignment vertical="center"/>
    </xf>
    <xf numFmtId="0" fontId="2" fillId="0" borderId="0"/>
    <xf numFmtId="0" fontId="152" fillId="0" borderId="0">
      <alignment vertical="center"/>
    </xf>
    <xf numFmtId="0" fontId="152" fillId="0" borderId="0">
      <alignment vertical="center"/>
    </xf>
    <xf numFmtId="0" fontId="2" fillId="0" borderId="0"/>
    <xf numFmtId="0" fontId="152" fillId="0" borderId="0">
      <alignment vertical="center"/>
    </xf>
    <xf numFmtId="0" fontId="152" fillId="0" borderId="0">
      <alignment vertical="center"/>
    </xf>
    <xf numFmtId="0" fontId="2" fillId="0" borderId="0"/>
    <xf numFmtId="0" fontId="152" fillId="0" borderId="0">
      <alignment vertical="center"/>
    </xf>
    <xf numFmtId="0" fontId="2" fillId="0" borderId="0"/>
    <xf numFmtId="0" fontId="152" fillId="0" borderId="0">
      <alignment vertical="center"/>
    </xf>
    <xf numFmtId="0" fontId="2" fillId="0" borderId="0"/>
    <xf numFmtId="0" fontId="2" fillId="0" borderId="0"/>
    <xf numFmtId="0" fontId="152" fillId="0" borderId="0">
      <alignment vertical="center"/>
    </xf>
    <xf numFmtId="0" fontId="151" fillId="0" borderId="0">
      <alignment vertical="center"/>
    </xf>
    <xf numFmtId="0" fontId="2" fillId="0" borderId="0"/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78" fillId="0" borderId="0">
      <alignment vertical="center"/>
    </xf>
    <xf numFmtId="0" fontId="1" fillId="0" borderId="5">
      <alignment vertical="center" wrapText="1"/>
    </xf>
    <xf numFmtId="0" fontId="2" fillId="0" borderId="9" applyNumberFormat="0" applyFill="0" applyProtection="0">
      <alignment vertical="center"/>
    </xf>
    <xf numFmtId="0" fontId="73" fillId="0" borderId="3">
      <alignment horizontal="center" vertical="center"/>
    </xf>
    <xf numFmtId="0" fontId="4" fillId="0" borderId="5">
      <alignment horizontal="center" vertical="center" wrapText="1"/>
    </xf>
    <xf numFmtId="0" fontId="31" fillId="0" borderId="22">
      <protection locked="0"/>
    </xf>
    <xf numFmtId="222" fontId="1" fillId="0" borderId="0">
      <protection locked="0"/>
    </xf>
    <xf numFmtId="19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33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33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33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46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233" fontId="2" fillId="0" borderId="0">
      <protection locked="0"/>
    </xf>
    <xf numFmtId="19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37" fontId="2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37" fontId="2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37" fontId="2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50" fontId="1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237" fontId="2" fillId="0" borderId="0">
      <protection locked="0"/>
    </xf>
    <xf numFmtId="189" fontId="143" fillId="0" borderId="0" applyFont="0" applyFill="0" applyBorder="0" applyAlignment="0" applyProtection="0"/>
    <xf numFmtId="190" fontId="143" fillId="0" borderId="0" applyFont="0" applyFill="0" applyBorder="0" applyAlignment="0" applyProtection="0"/>
    <xf numFmtId="0" fontId="7" fillId="0" borderId="5" applyProtection="0">
      <alignment horizontal="left" vertical="center" wrapText="1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265" fontId="142" fillId="0" borderId="9">
      <alignment horizontal="center" vertical="center"/>
    </xf>
    <xf numFmtId="0" fontId="79" fillId="27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79" fillId="29" borderId="0" applyNumberFormat="0" applyBorder="0" applyAlignment="0" applyProtection="0"/>
    <xf numFmtId="0" fontId="79" fillId="30" borderId="0" applyNumberFormat="0" applyBorder="0" applyAlignment="0" applyProtection="0"/>
    <xf numFmtId="0" fontId="80" fillId="31" borderId="0" applyNumberFormat="0" applyBorder="0" applyAlignment="0" applyProtection="0"/>
    <xf numFmtId="0" fontId="80" fillId="32" borderId="0" applyNumberFormat="0" applyBorder="0" applyAlignment="0" applyProtection="0"/>
    <xf numFmtId="0" fontId="79" fillId="33" borderId="0" applyNumberFormat="0" applyBorder="0" applyAlignment="0" applyProtection="0"/>
    <xf numFmtId="0" fontId="79" fillId="33" borderId="0" applyNumberFormat="0" applyBorder="0" applyAlignment="0" applyProtection="0"/>
    <xf numFmtId="0" fontId="80" fillId="31" borderId="0" applyNumberFormat="0" applyBorder="0" applyAlignment="0" applyProtection="0"/>
    <xf numFmtId="0" fontId="80" fillId="34" borderId="0" applyNumberFormat="0" applyBorder="0" applyAlignment="0" applyProtection="0"/>
    <xf numFmtId="0" fontId="79" fillId="32" borderId="0" applyNumberFormat="0" applyBorder="0" applyAlignment="0" applyProtection="0"/>
    <xf numFmtId="0" fontId="79" fillId="27" borderId="0" applyNumberFormat="0" applyBorder="0" applyAlignment="0" applyProtection="0"/>
    <xf numFmtId="0" fontId="80" fillId="28" borderId="0" applyNumberFormat="0" applyBorder="0" applyAlignment="0" applyProtection="0"/>
    <xf numFmtId="0" fontId="80" fillId="32" borderId="0" applyNumberFormat="0" applyBorder="0" applyAlignment="0" applyProtection="0"/>
    <xf numFmtId="0" fontId="79" fillId="32" borderId="0" applyNumberFormat="0" applyBorder="0" applyAlignment="0" applyProtection="0"/>
    <xf numFmtId="0" fontId="79" fillId="35" borderId="0" applyNumberFormat="0" applyBorder="0" applyAlignment="0" applyProtection="0"/>
    <xf numFmtId="0" fontId="80" fillId="36" borderId="0" applyNumberFormat="0" applyBorder="0" applyAlignment="0" applyProtection="0"/>
    <xf numFmtId="0" fontId="80" fillId="28" borderId="0" applyNumberFormat="0" applyBorder="0" applyAlignment="0" applyProtection="0"/>
    <xf numFmtId="0" fontId="79" fillId="29" borderId="0" applyNumberFormat="0" applyBorder="0" applyAlignment="0" applyProtection="0"/>
    <xf numFmtId="0" fontId="79" fillId="37" borderId="0" applyNumberFormat="0" applyBorder="0" applyAlignment="0" applyProtection="0"/>
    <xf numFmtId="0" fontId="80" fillId="31" borderId="0" applyNumberFormat="0" applyBorder="0" applyAlignment="0" applyProtection="0"/>
    <xf numFmtId="0" fontId="80" fillId="38" borderId="0" applyNumberFormat="0" applyBorder="0" applyAlignment="0" applyProtection="0"/>
    <xf numFmtId="0" fontId="79" fillId="38" borderId="0" applyNumberFormat="0" applyBorder="0" applyAlignment="0" applyProtection="0"/>
    <xf numFmtId="219" fontId="3" fillId="39" borderId="23">
      <alignment horizontal="center" vertical="center"/>
    </xf>
    <xf numFmtId="0" fontId="56" fillId="0" borderId="0" applyFont="0" applyFill="0" applyBorder="0" applyAlignment="0" applyProtection="0"/>
    <xf numFmtId="201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42" fontId="106" fillId="0" borderId="0" applyFont="0" applyFill="0" applyBorder="0" applyAlignment="0" applyProtection="0"/>
    <xf numFmtId="0" fontId="23" fillId="0" borderId="0" applyFont="0" applyFill="0" applyBorder="0" applyAlignment="0" applyProtection="0"/>
    <xf numFmtId="202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44" fontId="106" fillId="0" borderId="0" applyFont="0" applyFill="0" applyBorder="0" applyAlignment="0" applyProtection="0"/>
    <xf numFmtId="262" fontId="143" fillId="0" borderId="0" applyFont="0" applyFill="0" applyBorder="0" applyAlignment="0" applyProtection="0"/>
    <xf numFmtId="261" fontId="143" fillId="0" borderId="0" applyFont="0" applyFill="0" applyBorder="0" applyAlignment="0" applyProtection="0"/>
    <xf numFmtId="0" fontId="11" fillId="0" borderId="0"/>
    <xf numFmtId="0" fontId="56" fillId="0" borderId="0" applyFont="0" applyFill="0" applyBorder="0" applyAlignment="0" applyProtection="0"/>
    <xf numFmtId="176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49" fillId="0" borderId="0" applyFont="0" applyFill="0" applyBorder="0" applyAlignment="0" applyProtection="0"/>
    <xf numFmtId="0" fontId="58" fillId="0" borderId="0" applyFont="0" applyFill="0" applyBorder="0" applyAlignment="0" applyProtection="0"/>
    <xf numFmtId="41" fontId="106" fillId="0" borderId="0" applyFont="0" applyFill="0" applyBorder="0" applyAlignment="0" applyProtection="0"/>
    <xf numFmtId="0" fontId="23" fillId="0" borderId="0" applyFont="0" applyFill="0" applyBorder="0" applyAlignment="0" applyProtection="0"/>
    <xf numFmtId="177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49" fillId="0" borderId="0" applyFont="0" applyFill="0" applyBorder="0" applyAlignment="0" applyProtection="0"/>
    <xf numFmtId="0" fontId="58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81" fillId="40" borderId="0" applyNumberFormat="0" applyBorder="0" applyAlignment="0" applyProtection="0"/>
    <xf numFmtId="0" fontId="82" fillId="0" borderId="0"/>
    <xf numFmtId="0" fontId="5" fillId="0" borderId="0"/>
    <xf numFmtId="0" fontId="23" fillId="0" borderId="0"/>
    <xf numFmtId="0" fontId="57" fillId="0" borderId="0"/>
    <xf numFmtId="0" fontId="58" fillId="0" borderId="0"/>
    <xf numFmtId="0" fontId="5" fillId="0" borderId="0"/>
    <xf numFmtId="0" fontId="5" fillId="0" borderId="0"/>
    <xf numFmtId="0" fontId="59" fillId="0" borderId="0"/>
    <xf numFmtId="0" fontId="58" fillId="0" borderId="0"/>
    <xf numFmtId="0" fontId="57" fillId="0" borderId="0"/>
    <xf numFmtId="0" fontId="23" fillId="0" borderId="0"/>
    <xf numFmtId="0" fontId="57" fillId="0" borderId="0"/>
    <xf numFmtId="0" fontId="23" fillId="0" borderId="0"/>
    <xf numFmtId="0" fontId="59" fillId="0" borderId="0"/>
    <xf numFmtId="0" fontId="58" fillId="0" borderId="0"/>
    <xf numFmtId="0" fontId="57" fillId="0" borderId="0"/>
    <xf numFmtId="0" fontId="23" fillId="0" borderId="0"/>
    <xf numFmtId="0" fontId="59" fillId="0" borderId="0"/>
    <xf numFmtId="0" fontId="58" fillId="0" borderId="0"/>
    <xf numFmtId="0" fontId="57" fillId="0" borderId="0"/>
    <xf numFmtId="0" fontId="23" fillId="0" borderId="0"/>
    <xf numFmtId="0" fontId="107" fillId="0" borderId="0"/>
    <xf numFmtId="0" fontId="58" fillId="0" borderId="0"/>
    <xf numFmtId="0" fontId="57" fillId="0" borderId="0"/>
    <xf numFmtId="0" fontId="58" fillId="0" borderId="0"/>
    <xf numFmtId="0" fontId="149" fillId="0" borderId="0"/>
    <xf numFmtId="0" fontId="150" fillId="0" borderId="0"/>
    <xf numFmtId="0" fontId="149" fillId="0" borderId="0"/>
    <xf numFmtId="0" fontId="150" fillId="0" borderId="0"/>
    <xf numFmtId="0" fontId="149" fillId="0" borderId="0"/>
    <xf numFmtId="0" fontId="2" fillId="0" borderId="0" applyFill="0" applyBorder="0" applyAlignment="0"/>
    <xf numFmtId="0" fontId="83" fillId="41" borderId="4" applyNumberFormat="0" applyAlignment="0" applyProtection="0"/>
    <xf numFmtId="0" fontId="9" fillId="0" borderId="0"/>
    <xf numFmtId="0" fontId="84" fillId="33" borderId="13" applyNumberFormat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40" fontId="11" fillId="0" borderId="0" applyFont="0" applyFill="0" applyBorder="0" applyAlignment="0" applyProtection="0"/>
    <xf numFmtId="4" fontId="31" fillId="0" borderId="0">
      <protection locked="0"/>
    </xf>
    <xf numFmtId="38" fontId="10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41" fontId="10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41" fontId="10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41" fontId="10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185" fontId="1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39" fontId="2" fillId="0" borderId="0"/>
    <xf numFmtId="251" fontId="2" fillId="0" borderId="0"/>
    <xf numFmtId="251" fontId="2" fillId="0" borderId="0"/>
    <xf numFmtId="251" fontId="2" fillId="0" borderId="0"/>
    <xf numFmtId="251" fontId="2" fillId="0" borderId="0"/>
    <xf numFmtId="239" fontId="2" fillId="0" borderId="0"/>
    <xf numFmtId="251" fontId="2" fillId="0" borderId="0"/>
    <xf numFmtId="251" fontId="2" fillId="0" borderId="0"/>
    <xf numFmtId="251" fontId="2" fillId="0" borderId="0"/>
    <xf numFmtId="251" fontId="2" fillId="0" borderId="0"/>
    <xf numFmtId="251" fontId="2" fillId="0" borderId="0"/>
    <xf numFmtId="251" fontId="2" fillId="0" borderId="0"/>
    <xf numFmtId="251" fontId="2" fillId="0" borderId="0"/>
    <xf numFmtId="251" fontId="2" fillId="0" borderId="0"/>
    <xf numFmtId="251" fontId="2" fillId="0" borderId="0"/>
    <xf numFmtId="251" fontId="2" fillId="0" borderId="0"/>
    <xf numFmtId="239" fontId="2" fillId="0" borderId="0"/>
    <xf numFmtId="251" fontId="2" fillId="0" borderId="0"/>
    <xf numFmtId="251" fontId="2" fillId="0" borderId="0"/>
    <xf numFmtId="251" fontId="2" fillId="0" borderId="0"/>
    <xf numFmtId="251" fontId="2" fillId="0" borderId="0"/>
    <xf numFmtId="251" fontId="2" fillId="0" borderId="0"/>
    <xf numFmtId="251" fontId="2" fillId="0" borderId="0"/>
    <xf numFmtId="251" fontId="2" fillId="0" borderId="0"/>
    <xf numFmtId="251" fontId="2" fillId="0" borderId="0"/>
    <xf numFmtId="251" fontId="2" fillId="0" borderId="0"/>
    <xf numFmtId="251" fontId="2" fillId="0" borderId="0"/>
    <xf numFmtId="239" fontId="2" fillId="0" borderId="0"/>
    <xf numFmtId="251" fontId="2" fillId="0" borderId="0"/>
    <xf numFmtId="251" fontId="2" fillId="0" borderId="0"/>
    <xf numFmtId="251" fontId="2" fillId="0" borderId="0"/>
    <xf numFmtId="251" fontId="2" fillId="0" borderId="0"/>
    <xf numFmtId="251" fontId="2" fillId="0" borderId="0"/>
    <xf numFmtId="251" fontId="2" fillId="0" borderId="0"/>
    <xf numFmtId="251" fontId="2" fillId="0" borderId="0"/>
    <xf numFmtId="239" fontId="2" fillId="0" borderId="0"/>
    <xf numFmtId="239" fontId="2" fillId="0" borderId="0"/>
    <xf numFmtId="239" fontId="2" fillId="0" borderId="0"/>
    <xf numFmtId="43" fontId="1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0" fontId="86" fillId="0" borderId="0" applyNumberFormat="0" applyAlignment="0">
      <alignment horizontal="left"/>
    </xf>
    <xf numFmtId="0" fontId="4" fillId="0" borderId="0" applyFont="0" applyFill="0" applyBorder="0" applyAlignment="0" applyProtection="0"/>
    <xf numFmtId="264" fontId="1" fillId="0" borderId="0">
      <protection locked="0"/>
    </xf>
    <xf numFmtId="182" fontId="10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263" fontId="37" fillId="0" borderId="0" applyFont="0" applyFill="0" applyBorder="0" applyAlignment="0" applyProtection="0"/>
    <xf numFmtId="187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6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88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52" fontId="2" fillId="0" borderId="0"/>
    <xf numFmtId="252" fontId="2" fillId="0" borderId="0"/>
    <xf numFmtId="252" fontId="2" fillId="0" borderId="0"/>
    <xf numFmtId="252" fontId="2" fillId="0" borderId="0"/>
    <xf numFmtId="0" fontId="2" fillId="0" borderId="0"/>
    <xf numFmtId="252" fontId="2" fillId="0" borderId="0"/>
    <xf numFmtId="252" fontId="2" fillId="0" borderId="0"/>
    <xf numFmtId="252" fontId="2" fillId="0" borderId="0"/>
    <xf numFmtId="252" fontId="2" fillId="0" borderId="0"/>
    <xf numFmtId="252" fontId="2" fillId="0" borderId="0"/>
    <xf numFmtId="252" fontId="2" fillId="0" borderId="0"/>
    <xf numFmtId="252" fontId="2" fillId="0" borderId="0"/>
    <xf numFmtId="252" fontId="2" fillId="0" borderId="0"/>
    <xf numFmtId="252" fontId="2" fillId="0" borderId="0"/>
    <xf numFmtId="252" fontId="2" fillId="0" borderId="0"/>
    <xf numFmtId="0" fontId="2" fillId="0" borderId="0"/>
    <xf numFmtId="252" fontId="2" fillId="0" borderId="0"/>
    <xf numFmtId="252" fontId="2" fillId="0" borderId="0"/>
    <xf numFmtId="252" fontId="2" fillId="0" borderId="0"/>
    <xf numFmtId="252" fontId="2" fillId="0" borderId="0"/>
    <xf numFmtId="252" fontId="2" fillId="0" borderId="0"/>
    <xf numFmtId="252" fontId="2" fillId="0" borderId="0"/>
    <xf numFmtId="252" fontId="2" fillId="0" borderId="0"/>
    <xf numFmtId="252" fontId="2" fillId="0" borderId="0"/>
    <xf numFmtId="252" fontId="2" fillId="0" borderId="0"/>
    <xf numFmtId="252" fontId="2" fillId="0" borderId="0"/>
    <xf numFmtId="0" fontId="2" fillId="0" borderId="0"/>
    <xf numFmtId="252" fontId="2" fillId="0" borderId="0"/>
    <xf numFmtId="252" fontId="2" fillId="0" borderId="0"/>
    <xf numFmtId="252" fontId="2" fillId="0" borderId="0"/>
    <xf numFmtId="252" fontId="2" fillId="0" borderId="0"/>
    <xf numFmtId="252" fontId="2" fillId="0" borderId="0"/>
    <xf numFmtId="252" fontId="2" fillId="0" borderId="0"/>
    <xf numFmtId="252" fontId="2" fillId="0" borderId="0"/>
    <xf numFmtId="0" fontId="2" fillId="0" borderId="0"/>
    <xf numFmtId="0" fontId="2" fillId="0" borderId="0"/>
    <xf numFmtId="0" fontId="2" fillId="0" borderId="0"/>
    <xf numFmtId="0" fontId="87" fillId="42" borderId="0" applyNumberFormat="0" applyBorder="0" applyAlignment="0" applyProtection="0"/>
    <xf numFmtId="0" fontId="87" fillId="43" borderId="0" applyNumberFormat="0" applyBorder="0" applyAlignment="0" applyProtection="0"/>
    <xf numFmtId="0" fontId="87" fillId="44" borderId="0" applyNumberFormat="0" applyBorder="0" applyAlignment="0" applyProtection="0"/>
    <xf numFmtId="0" fontId="88" fillId="0" borderId="0" applyNumberFormat="0" applyAlignment="0">
      <alignment horizontal="left"/>
    </xf>
    <xf numFmtId="214" fontId="2" fillId="0" borderId="0" applyFont="0" applyFill="0" applyBorder="0" applyAlignment="0" applyProtection="0"/>
    <xf numFmtId="0" fontId="144" fillId="0" borderId="0" applyNumberFormat="0" applyFont="0" applyFill="0" applyBorder="0" applyAlignment="0" applyProtection="0"/>
    <xf numFmtId="0" fontId="144" fillId="0" borderId="0" applyNumberFormat="0" applyFont="0" applyFill="0" applyBorder="0" applyAlignment="0" applyProtection="0"/>
    <xf numFmtId="0" fontId="144" fillId="0" borderId="0" applyNumberFormat="0" applyFont="0" applyFill="0" applyBorder="0" applyAlignment="0" applyProtection="0"/>
    <xf numFmtId="0" fontId="144" fillId="0" borderId="0" applyNumberFormat="0" applyFont="0" applyFill="0" applyBorder="0" applyAlignment="0" applyProtection="0"/>
    <xf numFmtId="0" fontId="144" fillId="0" borderId="0" applyNumberFormat="0" applyFont="0" applyFill="0" applyBorder="0" applyAlignment="0" applyProtection="0"/>
    <xf numFmtId="0" fontId="144" fillId="0" borderId="0" applyNumberFormat="0" applyFont="0" applyFill="0" applyBorder="0" applyAlignment="0" applyProtection="0"/>
    <xf numFmtId="0" fontId="144" fillId="0" borderId="0" applyNumberFormat="0" applyFont="0" applyFill="0" applyBorder="0" applyAlignment="0" applyProtection="0"/>
    <xf numFmtId="2" fontId="6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0" fontId="1" fillId="0" borderId="0"/>
    <xf numFmtId="0" fontId="89" fillId="34" borderId="0" applyNumberFormat="0" applyBorder="0" applyAlignment="0" applyProtection="0"/>
    <xf numFmtId="38" fontId="13" fillId="23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38" fontId="13" fillId="26" borderId="0" applyNumberFormat="0" applyBorder="0" applyAlignment="0" applyProtection="0"/>
    <xf numFmtId="0" fontId="90" fillId="0" borderId="0" applyAlignment="0">
      <alignment horizontal="right"/>
    </xf>
    <xf numFmtId="0" fontId="14" fillId="0" borderId="0">
      <alignment horizontal="left"/>
    </xf>
    <xf numFmtId="0" fontId="15" fillId="0" borderId="24" applyNumberFormat="0" applyAlignment="0" applyProtection="0">
      <alignment horizontal="left" vertical="center"/>
    </xf>
    <xf numFmtId="0" fontId="15" fillId="0" borderId="25">
      <alignment horizontal="left" vertical="center"/>
    </xf>
    <xf numFmtId="0" fontId="61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91" fillId="0" borderId="26" applyNumberFormat="0" applyFill="0" applyAlignment="0" applyProtection="0"/>
    <xf numFmtId="0" fontId="91" fillId="0" borderId="0" applyNumberFormat="0" applyFill="0" applyBorder="0" applyAlignment="0" applyProtection="0"/>
    <xf numFmtId="0" fontId="92" fillId="0" borderId="0" applyProtection="0"/>
    <xf numFmtId="0" fontId="15" fillId="0" borderId="0" applyProtection="0"/>
    <xf numFmtId="0" fontId="63" fillId="0" borderId="0" applyNumberFormat="0" applyFill="0" applyBorder="0" applyAlignment="0" applyProtection="0"/>
    <xf numFmtId="0" fontId="93" fillId="0" borderId="27" applyNumberFormat="0" applyFill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94" fillId="38" borderId="4" applyNumberFormat="0" applyAlignment="0" applyProtection="0"/>
    <xf numFmtId="10" fontId="13" fillId="23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10" fontId="13" fillId="45" borderId="9" applyNumberFormat="0" applyBorder="0" applyAlignment="0" applyProtection="0"/>
    <xf numFmtId="0" fontId="1" fillId="0" borderId="9">
      <alignment horizontal="center"/>
    </xf>
    <xf numFmtId="0" fontId="95" fillId="0" borderId="15" applyNumberFormat="0" applyFill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0" fontId="16" fillId="0" borderId="28"/>
    <xf numFmtId="259" fontId="11" fillId="0" borderId="0" applyFont="0" applyFill="0" applyBorder="0" applyAlignment="0" applyProtection="0"/>
    <xf numFmtId="260" fontId="11" fillId="0" borderId="0" applyFont="0" applyFill="0" applyBorder="0" applyAlignment="0" applyProtection="0"/>
    <xf numFmtId="0" fontId="96" fillId="46" borderId="0" applyNumberFormat="0" applyBorder="0" applyAlignment="0" applyProtection="0"/>
    <xf numFmtId="37" fontId="65" fillId="0" borderId="0"/>
    <xf numFmtId="0" fontId="1" fillId="0" borderId="0"/>
    <xf numFmtId="186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40" fontId="2" fillId="0" borderId="0"/>
    <xf numFmtId="253" fontId="2" fillId="0" borderId="0"/>
    <xf numFmtId="253" fontId="2" fillId="0" borderId="0"/>
    <xf numFmtId="253" fontId="2" fillId="0" borderId="0"/>
    <xf numFmtId="253" fontId="2" fillId="0" borderId="0"/>
    <xf numFmtId="240" fontId="2" fillId="0" borderId="0"/>
    <xf numFmtId="253" fontId="2" fillId="0" borderId="0"/>
    <xf numFmtId="253" fontId="2" fillId="0" borderId="0"/>
    <xf numFmtId="253" fontId="2" fillId="0" borderId="0"/>
    <xf numFmtId="253" fontId="2" fillId="0" borderId="0"/>
    <xf numFmtId="253" fontId="2" fillId="0" borderId="0"/>
    <xf numFmtId="253" fontId="2" fillId="0" borderId="0"/>
    <xf numFmtId="253" fontId="2" fillId="0" borderId="0"/>
    <xf numFmtId="253" fontId="2" fillId="0" borderId="0"/>
    <xf numFmtId="253" fontId="2" fillId="0" borderId="0"/>
    <xf numFmtId="253" fontId="2" fillId="0" borderId="0"/>
    <xf numFmtId="240" fontId="2" fillId="0" borderId="0"/>
    <xf numFmtId="253" fontId="2" fillId="0" borderId="0"/>
    <xf numFmtId="253" fontId="2" fillId="0" borderId="0"/>
    <xf numFmtId="253" fontId="2" fillId="0" borderId="0"/>
    <xf numFmtId="253" fontId="2" fillId="0" borderId="0"/>
    <xf numFmtId="253" fontId="2" fillId="0" borderId="0"/>
    <xf numFmtId="253" fontId="2" fillId="0" borderId="0"/>
    <xf numFmtId="253" fontId="2" fillId="0" borderId="0"/>
    <xf numFmtId="253" fontId="2" fillId="0" borderId="0"/>
    <xf numFmtId="253" fontId="2" fillId="0" borderId="0"/>
    <xf numFmtId="253" fontId="2" fillId="0" borderId="0"/>
    <xf numFmtId="240" fontId="2" fillId="0" borderId="0"/>
    <xf numFmtId="253" fontId="2" fillId="0" borderId="0"/>
    <xf numFmtId="253" fontId="2" fillId="0" borderId="0"/>
    <xf numFmtId="253" fontId="2" fillId="0" borderId="0"/>
    <xf numFmtId="253" fontId="2" fillId="0" borderId="0"/>
    <xf numFmtId="253" fontId="2" fillId="0" borderId="0"/>
    <xf numFmtId="253" fontId="2" fillId="0" borderId="0"/>
    <xf numFmtId="253" fontId="2" fillId="0" borderId="0"/>
    <xf numFmtId="240" fontId="2" fillId="0" borderId="0"/>
    <xf numFmtId="240" fontId="2" fillId="0" borderId="0"/>
    <xf numFmtId="24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0" fillId="0" borderId="0"/>
    <xf numFmtId="0" fontId="80" fillId="31" borderId="7" applyNumberFormat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/>
    <xf numFmtId="0" fontId="97" fillId="41" borderId="20" applyNumberFormat="0" applyAlignment="0" applyProtection="0"/>
    <xf numFmtId="243" fontId="1" fillId="0" borderId="0">
      <protection locked="0"/>
    </xf>
    <xf numFmtId="10" fontId="10" fillId="0" borderId="0" applyFont="0" applyFill="0" applyBorder="0" applyAlignment="0" applyProtection="0"/>
    <xf numFmtId="30" fontId="98" fillId="0" borderId="0" applyNumberFormat="0" applyFill="0" applyBorder="0" applyAlignment="0" applyProtection="0">
      <alignment horizontal="left"/>
    </xf>
    <xf numFmtId="0" fontId="99" fillId="0" borderId="0" applyNumberFormat="0" applyFill="0" applyBorder="0" applyAlignment="0" applyProtection="0"/>
    <xf numFmtId="0" fontId="11" fillId="0" borderId="0"/>
    <xf numFmtId="0" fontId="100" fillId="0" borderId="0">
      <alignment horizontal="center" vertical="center"/>
    </xf>
    <xf numFmtId="0" fontId="16" fillId="0" borderId="0"/>
    <xf numFmtId="40" fontId="101" fillId="0" borderId="0" applyBorder="0">
      <alignment horizontal="right"/>
    </xf>
    <xf numFmtId="0" fontId="67" fillId="26" borderId="0">
      <alignment horizontal="centerContinuous"/>
    </xf>
    <xf numFmtId="0" fontId="68" fillId="0" borderId="0" applyFill="0" applyBorder="0" applyProtection="0">
      <alignment horizontal="centerContinuous" vertical="center"/>
    </xf>
    <xf numFmtId="0" fontId="3" fillId="23" borderId="0" applyFill="0" applyBorder="0" applyProtection="0">
      <alignment horizontal="center" vertical="center"/>
    </xf>
    <xf numFmtId="49" fontId="145" fillId="0" borderId="0" applyFill="0" applyBorder="0" applyProtection="0">
      <alignment horizontal="centerContinuous" vertical="center"/>
    </xf>
    <xf numFmtId="0" fontId="6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" fillId="0" borderId="22" applyNumberFormat="0" applyFont="0" applyFill="0" applyAlignment="0" applyProtection="0"/>
    <xf numFmtId="0" fontId="102" fillId="0" borderId="2">
      <alignment horizontal="left"/>
    </xf>
    <xf numFmtId="37" fontId="13" fillId="47" borderId="0" applyNumberFormat="0" applyBorder="0" applyAlignment="0" applyProtection="0"/>
    <xf numFmtId="37" fontId="13" fillId="0" borderId="0"/>
    <xf numFmtId="3" fontId="103" fillId="0" borderId="27" applyProtection="0"/>
    <xf numFmtId="217" fontId="11" fillId="0" borderId="0" applyFont="0" applyFill="0" applyBorder="0" applyAlignment="0" applyProtection="0"/>
    <xf numFmtId="218" fontId="1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3" fontId="6" fillId="0" borderId="9"/>
    <xf numFmtId="0" fontId="21" fillId="0" borderId="0"/>
    <xf numFmtId="0" fontId="21" fillId="0" borderId="0"/>
    <xf numFmtId="0" fontId="21" fillId="0" borderId="0"/>
    <xf numFmtId="0" fontId="4" fillId="0" borderId="0"/>
    <xf numFmtId="0" fontId="21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4" fillId="0" borderId="0"/>
    <xf numFmtId="0" fontId="21" fillId="0" borderId="0"/>
    <xf numFmtId="0" fontId="10" fillId="0" borderId="0"/>
    <xf numFmtId="0" fontId="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220" fontId="31" fillId="0" borderId="0">
      <protection locked="0"/>
    </xf>
    <xf numFmtId="0" fontId="21" fillId="0" borderId="0"/>
    <xf numFmtId="0" fontId="21" fillId="0" borderId="0"/>
    <xf numFmtId="0" fontId="21" fillId="0" borderId="0"/>
    <xf numFmtId="0" fontId="10" fillId="0" borderId="0"/>
    <xf numFmtId="3" fontId="6" fillId="0" borderId="9"/>
    <xf numFmtId="3" fontId="6" fillId="0" borderId="9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70" fontId="4" fillId="0" borderId="0">
      <alignment vertical="center"/>
    </xf>
    <xf numFmtId="271" fontId="4" fillId="0" borderId="0">
      <alignment horizontal="left" vertical="center"/>
    </xf>
    <xf numFmtId="272" fontId="4" fillId="0" borderId="0">
      <alignment horizontal="left" vertical="center"/>
    </xf>
    <xf numFmtId="273" fontId="4" fillId="0" borderId="0">
      <alignment horizontal="left" vertical="center"/>
    </xf>
    <xf numFmtId="274" fontId="4" fillId="0" borderId="0">
      <alignment horizontal="left" vertical="center"/>
    </xf>
    <xf numFmtId="275" fontId="4" fillId="0" borderId="56">
      <alignment vertical="center"/>
    </xf>
    <xf numFmtId="270" fontId="4" fillId="0" borderId="56">
      <alignment vertical="center"/>
    </xf>
    <xf numFmtId="276" fontId="4" fillId="0" borderId="56">
      <alignment vertical="center"/>
    </xf>
    <xf numFmtId="0" fontId="1" fillId="0" borderId="0">
      <alignment vertical="center"/>
    </xf>
    <xf numFmtId="0" fontId="156" fillId="0" borderId="0">
      <alignment horizontal="centerContinuous" vertical="center"/>
    </xf>
    <xf numFmtId="0" fontId="1" fillId="0" borderId="9">
      <alignment horizontal="distributed" vertical="center"/>
    </xf>
    <xf numFmtId="0" fontId="1" fillId="0" borderId="8">
      <alignment horizontal="distributed" vertical="top"/>
    </xf>
    <xf numFmtId="0" fontId="1" fillId="0" borderId="84">
      <alignment horizontal="distributed"/>
    </xf>
    <xf numFmtId="277" fontId="157" fillId="0" borderId="0">
      <alignment vertical="center"/>
    </xf>
    <xf numFmtId="184" fontId="158" fillId="0" borderId="9">
      <alignment vertical="center"/>
    </xf>
    <xf numFmtId="277" fontId="6" fillId="0" borderId="1" applyFont="0" applyFill="0" applyBorder="0" applyAlignment="0" applyProtection="0">
      <alignment vertical="center"/>
    </xf>
    <xf numFmtId="3" fontId="1" fillId="0" borderId="56"/>
    <xf numFmtId="0" fontId="6" fillId="0" borderId="84">
      <alignment horizontal="distributed"/>
    </xf>
    <xf numFmtId="0" fontId="6" fillId="0" borderId="99">
      <alignment horizontal="distributed" vertical="center"/>
    </xf>
    <xf numFmtId="0" fontId="6" fillId="0" borderId="100">
      <alignment horizontal="distributed" vertical="top"/>
    </xf>
    <xf numFmtId="0" fontId="2" fillId="0" borderId="0"/>
    <xf numFmtId="0" fontId="159" fillId="0" borderId="0"/>
    <xf numFmtId="0" fontId="160" fillId="0" borderId="0"/>
    <xf numFmtId="0" fontId="58" fillId="0" borderId="0"/>
    <xf numFmtId="0" fontId="10" fillId="0" borderId="0" applyFont="0" applyFill="0" applyBorder="0" applyAlignment="0" applyProtection="0"/>
    <xf numFmtId="278" fontId="161" fillId="0" borderId="9" applyFill="0" applyBorder="0" applyAlignment="0"/>
    <xf numFmtId="0" fontId="10" fillId="0" borderId="0" applyNumberFormat="0" applyFill="0" applyBorder="0" applyAlignment="0" applyProtection="0"/>
    <xf numFmtId="279" fontId="1" fillId="0" borderId="0">
      <protection locked="0"/>
    </xf>
    <xf numFmtId="3" fontId="162" fillId="0" borderId="56"/>
    <xf numFmtId="0" fontId="2" fillId="0" borderId="0"/>
    <xf numFmtId="0" fontId="151" fillId="0" borderId="0">
      <alignment vertical="center"/>
    </xf>
    <xf numFmtId="42" fontId="2" fillId="0" borderId="0" applyFont="0" applyFill="0" applyBorder="0" applyAlignment="0" applyProtection="0"/>
    <xf numFmtId="42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</cellStyleXfs>
  <cellXfs count="604">
    <xf numFmtId="0" fontId="0" fillId="0" borderId="0" xfId="0"/>
    <xf numFmtId="0" fontId="7" fillId="0" borderId="0" xfId="0" applyFont="1"/>
    <xf numFmtId="176" fontId="7" fillId="0" borderId="0" xfId="1031" applyFont="1"/>
    <xf numFmtId="0" fontId="7" fillId="0" borderId="0" xfId="0" applyFont="1" applyBorder="1"/>
    <xf numFmtId="3" fontId="7" fillId="0" borderId="5" xfId="0" applyNumberFormat="1" applyFont="1" applyFill="1" applyBorder="1"/>
    <xf numFmtId="49" fontId="7" fillId="0" borderId="0" xfId="0" applyNumberFormat="1" applyFont="1"/>
    <xf numFmtId="0" fontId="7" fillId="0" borderId="0" xfId="0" applyFont="1" applyAlignment="1"/>
    <xf numFmtId="0" fontId="7" fillId="0" borderId="0" xfId="0" applyFont="1" applyFill="1" applyBorder="1"/>
    <xf numFmtId="49" fontId="105" fillId="0" borderId="5" xfId="0" applyNumberFormat="1" applyFont="1" applyFill="1" applyBorder="1"/>
    <xf numFmtId="0" fontId="105" fillId="0" borderId="5" xfId="0" applyFont="1" applyFill="1" applyBorder="1" applyAlignment="1">
      <alignment horizontal="center"/>
    </xf>
    <xf numFmtId="0" fontId="7" fillId="48" borderId="0" xfId="0" applyFont="1" applyFill="1"/>
    <xf numFmtId="3" fontId="109" fillId="0" borderId="5" xfId="0" applyNumberFormat="1" applyFont="1" applyFill="1" applyBorder="1" applyAlignment="1">
      <alignment horizontal="center"/>
    </xf>
    <xf numFmtId="0" fontId="115" fillId="0" borderId="5" xfId="0" applyFont="1" applyFill="1" applyBorder="1" applyAlignment="1">
      <alignment horizontal="center" vertical="center"/>
    </xf>
    <xf numFmtId="0" fontId="115" fillId="0" borderId="29" xfId="0" applyFont="1" applyFill="1" applyBorder="1" applyAlignment="1">
      <alignment horizontal="center" vertical="center"/>
    </xf>
    <xf numFmtId="41" fontId="116" fillId="0" borderId="5" xfId="1069" quotePrefix="1" applyNumberFormat="1" applyFont="1" applyFill="1" applyBorder="1" applyAlignment="1" applyProtection="1">
      <alignment horizontal="center" vertical="center" shrinkToFit="1"/>
    </xf>
    <xf numFmtId="41" fontId="116" fillId="0" borderId="0" xfId="1069" applyNumberFormat="1" applyFont="1" applyFill="1" applyAlignment="1">
      <alignment shrinkToFit="1"/>
    </xf>
    <xf numFmtId="41" fontId="117" fillId="0" borderId="5" xfId="1069" applyNumberFormat="1" applyFont="1" applyFill="1" applyBorder="1" applyAlignment="1">
      <alignment horizontal="centerContinuous" vertical="center" shrinkToFit="1"/>
    </xf>
    <xf numFmtId="41" fontId="117" fillId="0" borderId="0" xfId="1069" applyNumberFormat="1" applyFont="1" applyFill="1" applyAlignment="1">
      <alignment shrinkToFit="1"/>
    </xf>
    <xf numFmtId="41" fontId="116" fillId="0" borderId="5" xfId="1069" quotePrefix="1" applyNumberFormat="1" applyFont="1" applyFill="1" applyBorder="1" applyAlignment="1" applyProtection="1">
      <alignment horizontal="left" vertical="center" shrinkToFit="1"/>
    </xf>
    <xf numFmtId="41" fontId="116" fillId="0" borderId="5" xfId="1069" applyNumberFormat="1" applyFont="1" applyFill="1" applyBorder="1" applyAlignment="1" applyProtection="1">
      <alignment vertical="center" shrinkToFit="1"/>
    </xf>
    <xf numFmtId="41" fontId="116" fillId="0" borderId="5" xfId="1069" applyNumberFormat="1" applyFont="1" applyFill="1" applyBorder="1" applyAlignment="1">
      <alignment vertical="center" shrinkToFit="1"/>
    </xf>
    <xf numFmtId="0" fontId="120" fillId="0" borderId="0" xfId="1200" applyFont="1" applyBorder="1"/>
    <xf numFmtId="0" fontId="121" fillId="0" borderId="0" xfId="1200" applyFont="1" applyBorder="1"/>
    <xf numFmtId="0" fontId="123" fillId="0" borderId="0" xfId="1200" applyFont="1" applyBorder="1"/>
    <xf numFmtId="0" fontId="123" fillId="0" borderId="30" xfId="1200" applyFont="1" applyBorder="1"/>
    <xf numFmtId="0" fontId="124" fillId="0" borderId="31" xfId="1200" applyFont="1" applyBorder="1" applyAlignment="1">
      <alignment vertical="center"/>
    </xf>
    <xf numFmtId="0" fontId="124" fillId="0" borderId="0" xfId="1200" applyFont="1" applyBorder="1" applyAlignment="1">
      <alignment horizontal="center" vertical="center"/>
    </xf>
    <xf numFmtId="41" fontId="124" fillId="0" borderId="0" xfId="0" applyNumberFormat="1" applyFont="1" applyBorder="1" applyAlignment="1">
      <alignment vertical="center"/>
    </xf>
    <xf numFmtId="0" fontId="124" fillId="0" borderId="0" xfId="1200" applyFont="1" applyBorder="1" applyAlignment="1">
      <alignment horizontal="left" vertical="center" wrapText="1"/>
    </xf>
    <xf numFmtId="0" fontId="124" fillId="0" borderId="0" xfId="1203" applyFont="1" applyBorder="1">
      <alignment vertical="center"/>
    </xf>
    <xf numFmtId="0" fontId="124" fillId="0" borderId="0" xfId="0" applyFont="1" applyBorder="1" applyAlignment="1">
      <alignment vertical="center"/>
    </xf>
    <xf numFmtId="0" fontId="125" fillId="0" borderId="0" xfId="1203" applyFont="1" applyBorder="1" applyAlignment="1">
      <alignment horizontal="left" vertical="top" wrapText="1"/>
    </xf>
    <xf numFmtId="215" fontId="124" fillId="0" borderId="0" xfId="1200" applyNumberFormat="1" applyFont="1" applyBorder="1" applyAlignment="1">
      <alignment vertical="center"/>
    </xf>
    <xf numFmtId="0" fontId="124" fillId="0" borderId="0" xfId="1200" applyFont="1" applyBorder="1" applyAlignment="1">
      <alignment vertical="center"/>
    </xf>
    <xf numFmtId="0" fontId="124" fillId="0" borderId="0" xfId="1200" applyFont="1" applyBorder="1"/>
    <xf numFmtId="0" fontId="124" fillId="0" borderId="30" xfId="1200" applyFont="1" applyBorder="1"/>
    <xf numFmtId="41" fontId="124" fillId="0" borderId="0" xfId="1200" applyNumberFormat="1" applyFont="1" applyBorder="1"/>
    <xf numFmtId="0" fontId="126" fillId="0" borderId="32" xfId="1200" applyFont="1" applyBorder="1"/>
    <xf numFmtId="0" fontId="126" fillId="0" borderId="28" xfId="1200" applyFont="1" applyBorder="1" applyAlignment="1">
      <alignment horizontal="center"/>
    </xf>
    <xf numFmtId="0" fontId="126" fillId="0" borderId="28" xfId="1200" applyFont="1" applyBorder="1"/>
    <xf numFmtId="180" fontId="115" fillId="0" borderId="28" xfId="1200" applyNumberFormat="1" applyFont="1" applyBorder="1" applyAlignment="1"/>
    <xf numFmtId="0" fontId="127" fillId="0" borderId="28" xfId="1200" applyFont="1" applyBorder="1"/>
    <xf numFmtId="0" fontId="126" fillId="0" borderId="33" xfId="1200" applyFont="1" applyBorder="1"/>
    <xf numFmtId="0" fontId="126" fillId="0" borderId="0" xfId="1200" applyFont="1" applyBorder="1"/>
    <xf numFmtId="41" fontId="126" fillId="0" borderId="0" xfId="1200" applyNumberFormat="1" applyFont="1" applyBorder="1"/>
    <xf numFmtId="0" fontId="126" fillId="0" borderId="0" xfId="1200" applyFont="1" applyBorder="1" applyAlignment="1">
      <alignment horizontal="center"/>
    </xf>
    <xf numFmtId="180" fontId="115" fillId="0" borderId="0" xfId="1200" applyNumberFormat="1" applyFont="1" applyBorder="1" applyAlignment="1"/>
    <xf numFmtId="0" fontId="127" fillId="0" borderId="0" xfId="1200" applyFont="1" applyBorder="1"/>
    <xf numFmtId="42" fontId="126" fillId="0" borderId="0" xfId="1200" applyNumberFormat="1" applyFont="1" applyBorder="1"/>
    <xf numFmtId="0" fontId="126" fillId="0" borderId="0" xfId="1200" applyFont="1" applyBorder="1" applyAlignment="1"/>
    <xf numFmtId="0" fontId="115" fillId="0" borderId="9" xfId="0" applyFont="1" applyFill="1" applyBorder="1" applyAlignment="1">
      <alignment horizontal="center" vertical="center"/>
    </xf>
    <xf numFmtId="38" fontId="115" fillId="0" borderId="29" xfId="0" applyNumberFormat="1" applyFont="1" applyFill="1" applyBorder="1" applyAlignment="1">
      <alignment vertical="center"/>
    </xf>
    <xf numFmtId="0" fontId="115" fillId="0" borderId="9" xfId="0" applyFont="1" applyFill="1" applyBorder="1" applyAlignment="1">
      <alignment vertical="center"/>
    </xf>
    <xf numFmtId="38" fontId="115" fillId="0" borderId="5" xfId="0" applyNumberFormat="1" applyFont="1" applyFill="1" applyBorder="1" applyAlignment="1">
      <alignment vertical="center"/>
    </xf>
    <xf numFmtId="0" fontId="115" fillId="0" borderId="34" xfId="0" applyFont="1" applyFill="1" applyBorder="1" applyAlignment="1">
      <alignment horizontal="center" vertical="center"/>
    </xf>
    <xf numFmtId="0" fontId="118" fillId="0" borderId="9" xfId="0" applyFont="1" applyFill="1" applyBorder="1" applyAlignment="1">
      <alignment vertical="center"/>
    </xf>
    <xf numFmtId="49" fontId="118" fillId="0" borderId="9" xfId="0" applyNumberFormat="1" applyFont="1" applyFill="1" applyBorder="1" applyAlignment="1">
      <alignment horizontal="center"/>
    </xf>
    <xf numFmtId="0" fontId="130" fillId="0" borderId="31" xfId="1200" applyFont="1" applyBorder="1" applyAlignment="1">
      <alignment horizontal="center" vertical="center"/>
    </xf>
    <xf numFmtId="0" fontId="130" fillId="0" borderId="0" xfId="1200" applyFont="1" applyBorder="1" applyAlignment="1">
      <alignment horizontal="center" vertical="center"/>
    </xf>
    <xf numFmtId="0" fontId="130" fillId="0" borderId="30" xfId="1200" applyFont="1" applyBorder="1" applyAlignment="1">
      <alignment horizontal="center" vertical="center"/>
    </xf>
    <xf numFmtId="0" fontId="128" fillId="0" borderId="31" xfId="1200" applyFont="1" applyBorder="1" applyAlignment="1">
      <alignment vertical="center"/>
    </xf>
    <xf numFmtId="0" fontId="128" fillId="0" borderId="0" xfId="1200" applyFont="1" applyBorder="1" applyAlignment="1">
      <alignment horizontal="center" vertical="center"/>
    </xf>
    <xf numFmtId="41" fontId="128" fillId="0" borderId="0" xfId="0" applyNumberFormat="1" applyFont="1" applyBorder="1" applyAlignment="1">
      <alignment vertical="center"/>
    </xf>
    <xf numFmtId="0" fontId="128" fillId="0" borderId="0" xfId="1200" applyFont="1" applyBorder="1" applyAlignment="1">
      <alignment horizontal="left" vertical="center" wrapText="1"/>
    </xf>
    <xf numFmtId="0" fontId="128" fillId="0" borderId="0" xfId="1203" applyFont="1" applyBorder="1">
      <alignment vertical="center"/>
    </xf>
    <xf numFmtId="0" fontId="128" fillId="0" borderId="0" xfId="0" applyFont="1" applyBorder="1" applyAlignment="1">
      <alignment vertical="center"/>
    </xf>
    <xf numFmtId="0" fontId="132" fillId="0" borderId="0" xfId="1203" applyFont="1" applyBorder="1" applyAlignment="1">
      <alignment horizontal="left" vertical="top" wrapText="1"/>
    </xf>
    <xf numFmtId="215" fontId="128" fillId="0" borderId="0" xfId="1200" applyNumberFormat="1" applyFont="1" applyBorder="1" applyAlignment="1">
      <alignment vertical="center"/>
    </xf>
    <xf numFmtId="0" fontId="128" fillId="0" borderId="0" xfId="1200" applyFont="1" applyBorder="1" applyAlignment="1">
      <alignment vertical="center"/>
    </xf>
    <xf numFmtId="0" fontId="128" fillId="0" borderId="0" xfId="1200" applyFont="1" applyBorder="1"/>
    <xf numFmtId="0" fontId="132" fillId="0" borderId="0" xfId="0" applyFont="1" applyBorder="1" applyAlignment="1">
      <alignment horizontal="justify"/>
    </xf>
    <xf numFmtId="0" fontId="128" fillId="0" borderId="30" xfId="1200" applyFont="1" applyBorder="1"/>
    <xf numFmtId="0" fontId="124" fillId="0" borderId="0" xfId="1200" applyFont="1" applyBorder="1" applyAlignment="1">
      <alignment horizontal="center"/>
    </xf>
    <xf numFmtId="0" fontId="124" fillId="0" borderId="0" xfId="1200" applyFont="1" applyBorder="1" applyAlignment="1"/>
    <xf numFmtId="0" fontId="133" fillId="0" borderId="31" xfId="1200" applyFont="1" applyBorder="1" applyAlignment="1">
      <alignment vertical="center"/>
    </xf>
    <xf numFmtId="0" fontId="134" fillId="0" borderId="31" xfId="1200" applyFont="1" applyBorder="1" applyAlignment="1">
      <alignment vertical="center"/>
    </xf>
    <xf numFmtId="203" fontId="123" fillId="0" borderId="0" xfId="1200" applyNumberFormat="1" applyFont="1" applyBorder="1" applyAlignment="1">
      <alignment horizontal="right" vertical="center"/>
    </xf>
    <xf numFmtId="203" fontId="123" fillId="0" borderId="0" xfId="1200" applyNumberFormat="1" applyFont="1" applyBorder="1" applyAlignment="1">
      <alignment vertical="center"/>
    </xf>
    <xf numFmtId="0" fontId="111" fillId="0" borderId="36" xfId="1199" applyFont="1" applyFill="1" applyBorder="1" applyAlignment="1">
      <alignment horizontal="center" vertical="center"/>
    </xf>
    <xf numFmtId="0" fontId="111" fillId="0" borderId="0" xfId="1199" applyFont="1" applyFill="1" applyAlignment="1">
      <alignment vertical="center"/>
    </xf>
    <xf numFmtId="0" fontId="111" fillId="0" borderId="37" xfId="1199" applyFont="1" applyFill="1" applyBorder="1" applyAlignment="1">
      <alignment horizontal="center" vertical="center"/>
    </xf>
    <xf numFmtId="41" fontId="131" fillId="0" borderId="38" xfId="1199" applyNumberFormat="1" applyFont="1" applyFill="1" applyBorder="1" applyAlignment="1" applyProtection="1">
      <alignment horizontal="right" vertical="center"/>
    </xf>
    <xf numFmtId="0" fontId="111" fillId="0" borderId="39" xfId="1199" applyFont="1" applyFill="1" applyBorder="1" applyAlignment="1">
      <alignment horizontal="center" vertical="center"/>
    </xf>
    <xf numFmtId="0" fontId="111" fillId="0" borderId="5" xfId="1199" applyNumberFormat="1" applyFont="1" applyFill="1" applyBorder="1" applyAlignment="1">
      <alignment vertical="center"/>
    </xf>
    <xf numFmtId="0" fontId="111" fillId="0" borderId="5" xfId="1199" applyNumberFormat="1" applyFont="1" applyFill="1" applyBorder="1" applyAlignment="1" applyProtection="1">
      <alignment horizontal="right" vertical="center"/>
    </xf>
    <xf numFmtId="0" fontId="111" fillId="0" borderId="40" xfId="1199" applyFont="1" applyFill="1" applyBorder="1" applyAlignment="1">
      <alignment horizontal="center" vertical="center"/>
    </xf>
    <xf numFmtId="41" fontId="111" fillId="0" borderId="6" xfId="1199" applyNumberFormat="1" applyFont="1" applyFill="1" applyBorder="1" applyAlignment="1">
      <alignment horizontal="center" vertical="center"/>
    </xf>
    <xf numFmtId="0" fontId="111" fillId="0" borderId="41" xfId="1199" applyFont="1" applyFill="1" applyBorder="1" applyAlignment="1">
      <alignment horizontal="center" vertical="center"/>
    </xf>
    <xf numFmtId="0" fontId="111" fillId="0" borderId="2" xfId="1199" applyFont="1" applyFill="1" applyBorder="1" applyAlignment="1">
      <alignment horizontal="center" vertical="center"/>
    </xf>
    <xf numFmtId="41" fontId="111" fillId="0" borderId="5" xfId="1199" applyNumberFormat="1" applyFont="1" applyFill="1" applyBorder="1" applyAlignment="1">
      <alignment vertical="center"/>
    </xf>
    <xf numFmtId="41" fontId="111" fillId="0" borderId="42" xfId="1199" applyNumberFormat="1" applyFont="1" applyFill="1" applyBorder="1" applyAlignment="1">
      <alignment vertical="center"/>
    </xf>
    <xf numFmtId="0" fontId="111" fillId="0" borderId="43" xfId="1199" applyFont="1" applyFill="1" applyBorder="1" applyAlignment="1">
      <alignment horizontal="right" vertical="center"/>
    </xf>
    <xf numFmtId="10" fontId="131" fillId="0" borderId="39" xfId="541" applyNumberFormat="1" applyFont="1" applyFill="1" applyBorder="1" applyAlignment="1">
      <alignment horizontal="center" vertical="center"/>
    </xf>
    <xf numFmtId="0" fontId="111" fillId="0" borderId="44" xfId="1199" applyFont="1" applyFill="1" applyBorder="1" applyAlignment="1">
      <alignment horizontal="center" vertical="center"/>
    </xf>
    <xf numFmtId="41" fontId="111" fillId="0" borderId="6" xfId="1199" applyNumberFormat="1" applyFont="1" applyFill="1" applyBorder="1" applyAlignment="1">
      <alignment vertical="center"/>
    </xf>
    <xf numFmtId="41" fontId="131" fillId="0" borderId="5" xfId="1199" applyNumberFormat="1" applyFont="1" applyFill="1" applyBorder="1" applyAlignment="1">
      <alignment vertical="center"/>
    </xf>
    <xf numFmtId="41" fontId="111" fillId="0" borderId="38" xfId="1198" applyNumberFormat="1" applyFont="1" applyFill="1" applyBorder="1" applyAlignment="1" applyProtection="1">
      <alignment horizontal="right" vertical="center"/>
    </xf>
    <xf numFmtId="0" fontId="111" fillId="0" borderId="0" xfId="1198" applyFont="1" applyFill="1" applyAlignment="1">
      <alignment vertical="center"/>
    </xf>
    <xf numFmtId="41" fontId="111" fillId="0" borderId="5" xfId="1198" applyNumberFormat="1" applyFont="1" applyFill="1" applyBorder="1" applyAlignment="1">
      <alignment vertical="center"/>
    </xf>
    <xf numFmtId="37" fontId="111" fillId="0" borderId="0" xfId="1198" applyNumberFormat="1" applyFont="1" applyFill="1" applyBorder="1" applyAlignment="1" applyProtection="1">
      <alignment horizontal="right" vertical="center"/>
    </xf>
    <xf numFmtId="10" fontId="111" fillId="0" borderId="0" xfId="541" applyNumberFormat="1" applyFont="1" applyFill="1" applyAlignment="1">
      <alignment vertical="center"/>
    </xf>
    <xf numFmtId="41" fontId="111" fillId="0" borderId="5" xfId="1198" applyNumberFormat="1" applyFont="1" applyFill="1" applyBorder="1" applyAlignment="1" applyProtection="1">
      <alignment horizontal="right" vertical="center"/>
    </xf>
    <xf numFmtId="0" fontId="113" fillId="0" borderId="0" xfId="1198" applyFont="1" applyFill="1" applyAlignment="1">
      <alignment vertical="center"/>
    </xf>
    <xf numFmtId="0" fontId="124" fillId="0" borderId="0" xfId="1200" applyFont="1" applyBorder="1" applyAlignment="1">
      <alignment horizontal="left" vertical="top"/>
    </xf>
    <xf numFmtId="0" fontId="110" fillId="0" borderId="34" xfId="1198" applyFont="1" applyFill="1" applyBorder="1" applyAlignment="1">
      <alignment vertical="center"/>
    </xf>
    <xf numFmtId="41" fontId="135" fillId="0" borderId="0" xfId="1069" applyNumberFormat="1" applyFont="1" applyFill="1" applyAlignment="1">
      <alignment shrinkToFit="1"/>
    </xf>
    <xf numFmtId="41" fontId="136" fillId="0" borderId="0" xfId="1069" applyNumberFormat="1" applyFont="1" applyFill="1" applyAlignment="1">
      <alignment shrinkToFit="1"/>
    </xf>
    <xf numFmtId="228" fontId="131" fillId="0" borderId="39" xfId="541" applyNumberFormat="1" applyFont="1" applyFill="1" applyBorder="1" applyAlignment="1">
      <alignment horizontal="center" vertical="center"/>
    </xf>
    <xf numFmtId="0" fontId="121" fillId="0" borderId="45" xfId="1200" applyFont="1" applyBorder="1" applyAlignment="1">
      <alignment vertical="center"/>
    </xf>
    <xf numFmtId="0" fontId="121" fillId="0" borderId="46" xfId="1200" applyFont="1" applyBorder="1" applyAlignment="1">
      <alignment horizontal="center" vertical="center"/>
    </xf>
    <xf numFmtId="0" fontId="121" fillId="0" borderId="46" xfId="1200" applyFont="1" applyBorder="1" applyAlignment="1">
      <alignment vertical="center"/>
    </xf>
    <xf numFmtId="0" fontId="121" fillId="0" borderId="46" xfId="1200" applyFont="1" applyBorder="1"/>
    <xf numFmtId="0" fontId="122" fillId="0" borderId="46" xfId="1200" applyFont="1" applyBorder="1"/>
    <xf numFmtId="41" fontId="110" fillId="0" borderId="0" xfId="1069" applyNumberFormat="1" applyFont="1" applyFill="1" applyAlignment="1">
      <alignment shrinkToFit="1"/>
    </xf>
    <xf numFmtId="41" fontId="110" fillId="0" borderId="0" xfId="1068" applyNumberFormat="1" applyFont="1" applyFill="1" applyAlignment="1">
      <alignment shrinkToFit="1"/>
    </xf>
    <xf numFmtId="180" fontId="2" fillId="0" borderId="9" xfId="0" applyNumberFormat="1" applyFont="1" applyBorder="1" applyAlignment="1">
      <alignment vertical="center"/>
    </xf>
    <xf numFmtId="0" fontId="139" fillId="0" borderId="31" xfId="1200" applyFont="1" applyBorder="1" applyAlignment="1">
      <alignment vertical="center"/>
    </xf>
    <xf numFmtId="0" fontId="140" fillId="0" borderId="0" xfId="1200" applyFont="1" applyBorder="1"/>
    <xf numFmtId="203" fontId="140" fillId="0" borderId="0" xfId="1200" applyNumberFormat="1" applyFont="1" applyBorder="1" applyAlignment="1">
      <alignment horizontal="right" vertical="center"/>
    </xf>
    <xf numFmtId="203" fontId="140" fillId="0" borderId="0" xfId="1200" applyNumberFormat="1" applyFont="1" applyBorder="1" applyAlignment="1">
      <alignment vertical="center"/>
    </xf>
    <xf numFmtId="0" fontId="140" fillId="0" borderId="30" xfId="1200" applyFont="1" applyBorder="1"/>
    <xf numFmtId="41" fontId="140" fillId="0" borderId="0" xfId="1200" applyNumberFormat="1" applyFont="1" applyBorder="1"/>
    <xf numFmtId="0" fontId="132" fillId="0" borderId="0" xfId="1203" applyFont="1" applyBorder="1" applyAlignment="1">
      <alignment horizontal="center" vertical="center" wrapText="1"/>
    </xf>
    <xf numFmtId="0" fontId="132" fillId="0" borderId="0" xfId="1203" applyFont="1" applyBorder="1" applyAlignment="1">
      <alignment horizontal="right" vertical="center" wrapText="1"/>
    </xf>
    <xf numFmtId="0" fontId="121" fillId="0" borderId="49" xfId="1200" applyFont="1" applyBorder="1"/>
    <xf numFmtId="0" fontId="123" fillId="0" borderId="0" xfId="1200" applyFont="1" applyBorder="1" applyAlignment="1">
      <alignment horizontal="left" vertical="center"/>
    </xf>
    <xf numFmtId="0" fontId="110" fillId="0" borderId="50" xfId="1199" applyFont="1" applyFill="1" applyBorder="1" applyAlignment="1">
      <alignment vertical="center"/>
    </xf>
    <xf numFmtId="0" fontId="110" fillId="0" borderId="34" xfId="1199" applyFont="1" applyFill="1" applyBorder="1" applyAlignment="1">
      <alignment vertical="center"/>
    </xf>
    <xf numFmtId="0" fontId="110" fillId="0" borderId="51" xfId="1199" applyFont="1" applyFill="1" applyBorder="1" applyAlignment="1">
      <alignment vertical="center"/>
    </xf>
    <xf numFmtId="0" fontId="110" fillId="0" borderId="35" xfId="1199" applyFont="1" applyFill="1" applyBorder="1" applyAlignment="1">
      <alignment vertical="center"/>
    </xf>
    <xf numFmtId="0" fontId="111" fillId="0" borderId="52" xfId="1199" applyFont="1" applyFill="1" applyBorder="1" applyAlignment="1">
      <alignment horizontal="center" vertical="center"/>
    </xf>
    <xf numFmtId="0" fontId="141" fillId="0" borderId="0" xfId="1199" applyFont="1" applyFill="1" applyAlignment="1">
      <alignment vertical="center"/>
    </xf>
    <xf numFmtId="41" fontId="111" fillId="0" borderId="0" xfId="1199" applyNumberFormat="1" applyFont="1" applyFill="1" applyAlignment="1">
      <alignment vertical="center"/>
    </xf>
    <xf numFmtId="0" fontId="128" fillId="0" borderId="0" xfId="1198" applyFont="1" applyFill="1" applyAlignment="1">
      <alignment vertical="center"/>
    </xf>
    <xf numFmtId="0" fontId="129" fillId="0" borderId="0" xfId="0" applyFont="1"/>
    <xf numFmtId="41" fontId="129" fillId="0" borderId="0" xfId="0" applyNumberFormat="1" applyFont="1"/>
    <xf numFmtId="0" fontId="128" fillId="0" borderId="0" xfId="1200" applyFont="1" applyBorder="1" applyAlignment="1">
      <alignment horizontal="left" vertical="center"/>
    </xf>
    <xf numFmtId="0" fontId="115" fillId="0" borderId="29" xfId="0" applyFont="1" applyFill="1" applyBorder="1" applyAlignment="1">
      <alignment vertical="center"/>
    </xf>
    <xf numFmtId="0" fontId="115" fillId="0" borderId="34" xfId="0" applyFont="1" applyFill="1" applyBorder="1" applyAlignment="1">
      <alignment vertical="center"/>
    </xf>
    <xf numFmtId="3" fontId="118" fillId="0" borderId="54" xfId="0" applyNumberFormat="1" applyFont="1" applyFill="1" applyBorder="1" applyAlignment="1" applyProtection="1">
      <alignment horizontal="right" vertical="center"/>
    </xf>
    <xf numFmtId="0" fontId="115" fillId="0" borderId="14" xfId="0" applyFont="1" applyFill="1" applyBorder="1" applyAlignment="1">
      <alignment vertical="center"/>
    </xf>
    <xf numFmtId="0" fontId="115" fillId="0" borderId="55" xfId="0" applyFont="1" applyFill="1" applyBorder="1" applyAlignment="1">
      <alignment horizontal="center" vertical="center"/>
    </xf>
    <xf numFmtId="0" fontId="115" fillId="0" borderId="35" xfId="0" applyFont="1" applyFill="1" applyBorder="1" applyAlignment="1">
      <alignment vertical="center"/>
    </xf>
    <xf numFmtId="3" fontId="118" fillId="0" borderId="36" xfId="0" applyNumberFormat="1" applyFont="1" applyFill="1" applyBorder="1" applyAlignment="1">
      <alignment horizontal="center" vertical="center"/>
    </xf>
    <xf numFmtId="0" fontId="118" fillId="0" borderId="36" xfId="0" applyFont="1" applyFill="1" applyBorder="1" applyAlignment="1">
      <alignment horizontal="center" vertical="center"/>
    </xf>
    <xf numFmtId="3" fontId="118" fillId="0" borderId="36" xfId="0" applyNumberFormat="1" applyFont="1" applyFill="1" applyBorder="1" applyAlignment="1">
      <alignment horizontal="center" vertical="center" wrapText="1"/>
    </xf>
    <xf numFmtId="3" fontId="118" fillId="0" borderId="36" xfId="0" applyNumberFormat="1" applyFont="1" applyFill="1" applyBorder="1" applyAlignment="1">
      <alignment horizontal="centerContinuous" vertical="center" wrapText="1"/>
    </xf>
    <xf numFmtId="49" fontId="118" fillId="0" borderId="52" xfId="0" applyNumberFormat="1" applyFont="1" applyFill="1" applyBorder="1" applyAlignment="1">
      <alignment horizontal="center" vertical="center" wrapText="1"/>
    </xf>
    <xf numFmtId="41" fontId="113" fillId="0" borderId="5" xfId="1198" applyNumberFormat="1" applyFont="1" applyFill="1" applyBorder="1" applyAlignment="1" applyProtection="1">
      <alignment horizontal="right" vertical="center"/>
    </xf>
    <xf numFmtId="41" fontId="114" fillId="49" borderId="5" xfId="1069" applyNumberFormat="1" applyFont="1" applyFill="1" applyBorder="1" applyAlignment="1">
      <alignment vertical="center" shrinkToFit="1"/>
    </xf>
    <xf numFmtId="0" fontId="113" fillId="0" borderId="0" xfId="1201" applyFont="1" applyAlignment="1">
      <alignment horizontal="left" vertical="center"/>
    </xf>
    <xf numFmtId="0" fontId="113" fillId="0" borderId="0" xfId="1201" applyFont="1"/>
    <xf numFmtId="0" fontId="113" fillId="0" borderId="0" xfId="0" applyFont="1"/>
    <xf numFmtId="0" fontId="7" fillId="0" borderId="5" xfId="0" applyFont="1" applyBorder="1" applyAlignment="1">
      <alignment horizontal="center"/>
    </xf>
    <xf numFmtId="176" fontId="7" fillId="0" borderId="5" xfId="1031" applyFont="1" applyFill="1" applyBorder="1"/>
    <xf numFmtId="0" fontId="7" fillId="0" borderId="0" xfId="0" applyFont="1" applyFill="1"/>
    <xf numFmtId="183" fontId="7" fillId="0" borderId="5" xfId="1031" applyNumberFormat="1" applyFont="1" applyFill="1" applyBorder="1"/>
    <xf numFmtId="0" fontId="7" fillId="0" borderId="0" xfId="0" applyFont="1" applyAlignment="1">
      <alignment horizontal="center"/>
    </xf>
    <xf numFmtId="3" fontId="105" fillId="0" borderId="5" xfId="0" applyNumberFormat="1" applyFont="1" applyFill="1" applyBorder="1" applyAlignment="1">
      <alignment horizontal="center" vertical="center"/>
    </xf>
    <xf numFmtId="181" fontId="117" fillId="0" borderId="47" xfId="1069" applyNumberFormat="1" applyFont="1" applyFill="1" applyBorder="1" applyAlignment="1">
      <alignment horizontal="center" shrinkToFit="1"/>
    </xf>
    <xf numFmtId="181" fontId="117" fillId="0" borderId="48" xfId="1069" applyNumberFormat="1" applyFont="1" applyFill="1" applyBorder="1" applyAlignment="1">
      <alignment horizontal="center" vertical="center" shrinkToFit="1"/>
    </xf>
    <xf numFmtId="181" fontId="119" fillId="0" borderId="1" xfId="1069" applyNumberFormat="1" applyFont="1" applyFill="1" applyBorder="1" applyAlignment="1">
      <alignment horizontal="center" vertical="center" shrinkToFit="1"/>
    </xf>
    <xf numFmtId="181" fontId="110" fillId="0" borderId="56" xfId="1070" applyNumberFormat="1" applyFont="1" applyFill="1" applyBorder="1" applyAlignment="1">
      <alignment horizontal="right" vertical="center" wrapText="1"/>
    </xf>
    <xf numFmtId="181" fontId="119" fillId="0" borderId="56" xfId="1070" applyNumberFormat="1" applyFont="1" applyFill="1" applyBorder="1" applyAlignment="1">
      <alignment horizontal="right" vertical="center" shrinkToFit="1"/>
    </xf>
    <xf numFmtId="181" fontId="110" fillId="0" borderId="56" xfId="1069" applyNumberFormat="1" applyFont="1" applyFill="1" applyBorder="1" applyAlignment="1">
      <alignment horizontal="center" vertical="center" shrinkToFit="1"/>
    </xf>
    <xf numFmtId="181" fontId="110" fillId="0" borderId="56" xfId="1068" applyNumberFormat="1" applyFont="1" applyFill="1" applyBorder="1" applyAlignment="1">
      <alignment horizontal="center" vertical="center" shrinkToFit="1"/>
    </xf>
    <xf numFmtId="181" fontId="116" fillId="0" borderId="1" xfId="1069" applyNumberFormat="1" applyFont="1" applyFill="1" applyBorder="1" applyAlignment="1">
      <alignment horizontal="center" vertical="center" shrinkToFit="1"/>
    </xf>
    <xf numFmtId="181" fontId="116" fillId="0" borderId="0" xfId="1069" applyNumberFormat="1" applyFont="1" applyFill="1" applyAlignment="1">
      <alignment shrinkToFit="1"/>
    </xf>
    <xf numFmtId="41" fontId="114" fillId="49" borderId="5" xfId="1069" applyNumberFormat="1" applyFont="1" applyFill="1" applyBorder="1" applyAlignment="1">
      <alignment horizontal="center" vertical="center" shrinkToFit="1"/>
    </xf>
    <xf numFmtId="41" fontId="112" fillId="0" borderId="5" xfId="1071" applyNumberFormat="1" applyFont="1" applyFill="1" applyBorder="1" applyAlignment="1" applyProtection="1">
      <alignment vertical="center" shrinkToFit="1"/>
    </xf>
    <xf numFmtId="41" fontId="113" fillId="0" borderId="5" xfId="1198" applyNumberFormat="1" applyFont="1" applyFill="1" applyBorder="1" applyAlignment="1">
      <alignment vertical="center"/>
    </xf>
    <xf numFmtId="0" fontId="131" fillId="0" borderId="39" xfId="541" applyNumberFormat="1" applyFont="1" applyFill="1" applyBorder="1" applyAlignment="1">
      <alignment horizontal="center" vertical="center"/>
    </xf>
    <xf numFmtId="0" fontId="118" fillId="48" borderId="57" xfId="0" applyNumberFormat="1" applyFont="1" applyFill="1" applyBorder="1" applyAlignment="1">
      <alignment vertical="center"/>
    </xf>
    <xf numFmtId="0" fontId="118" fillId="48" borderId="57" xfId="0" applyNumberFormat="1" applyFont="1" applyFill="1" applyBorder="1" applyAlignment="1">
      <alignment horizontal="center" vertical="center"/>
    </xf>
    <xf numFmtId="38" fontId="118" fillId="48" borderId="57" xfId="0" applyNumberFormat="1" applyFont="1" applyFill="1" applyBorder="1" applyAlignment="1" applyProtection="1">
      <alignment vertical="center"/>
    </xf>
    <xf numFmtId="38" fontId="113" fillId="48" borderId="57" xfId="0" applyNumberFormat="1" applyFont="1" applyFill="1" applyBorder="1" applyAlignment="1">
      <alignment vertical="center"/>
    </xf>
    <xf numFmtId="0" fontId="115" fillId="48" borderId="53" xfId="0" applyFont="1" applyFill="1" applyBorder="1" applyAlignment="1">
      <alignment horizontal="center" vertical="center"/>
    </xf>
    <xf numFmtId="9" fontId="115" fillId="0" borderId="9" xfId="0" applyNumberFormat="1" applyFont="1" applyFill="1" applyBorder="1" applyAlignment="1">
      <alignment vertical="center"/>
    </xf>
    <xf numFmtId="41" fontId="115" fillId="0" borderId="5" xfId="0" applyNumberFormat="1" applyFont="1" applyFill="1" applyBorder="1" applyAlignment="1">
      <alignment vertical="center"/>
    </xf>
    <xf numFmtId="38" fontId="115" fillId="0" borderId="9" xfId="0" applyNumberFormat="1" applyFont="1" applyFill="1" applyBorder="1" applyAlignment="1">
      <alignment vertical="center"/>
    </xf>
    <xf numFmtId="0" fontId="146" fillId="0" borderId="2" xfId="1199" applyFont="1" applyFill="1" applyBorder="1" applyAlignment="1">
      <alignment horizontal="center" vertical="center"/>
    </xf>
    <xf numFmtId="41" fontId="146" fillId="0" borderId="5" xfId="1199" applyNumberFormat="1" applyFont="1" applyFill="1" applyBorder="1" applyAlignment="1">
      <alignment vertical="center"/>
    </xf>
    <xf numFmtId="41" fontId="146" fillId="0" borderId="42" xfId="1199" applyNumberFormat="1" applyFont="1" applyFill="1" applyBorder="1" applyAlignment="1">
      <alignment vertical="center"/>
    </xf>
    <xf numFmtId="0" fontId="146" fillId="0" borderId="43" xfId="1199" applyFont="1" applyFill="1" applyBorder="1" applyAlignment="1">
      <alignment horizontal="right" vertical="center"/>
    </xf>
    <xf numFmtId="10" fontId="147" fillId="0" borderId="39" xfId="541" applyNumberFormat="1" applyFont="1" applyFill="1" applyBorder="1" applyAlignment="1">
      <alignment horizontal="center" vertical="center"/>
    </xf>
    <xf numFmtId="224" fontId="140" fillId="0" borderId="0" xfId="0" applyNumberFormat="1" applyFont="1" applyBorder="1" applyAlignment="1">
      <alignment vertical="center"/>
    </xf>
    <xf numFmtId="0" fontId="111" fillId="0" borderId="50" xfId="1198" applyFont="1" applyFill="1" applyBorder="1" applyAlignment="1">
      <alignment vertical="center"/>
    </xf>
    <xf numFmtId="0" fontId="138" fillId="0" borderId="34" xfId="1198" applyFont="1" applyFill="1" applyBorder="1" applyAlignment="1">
      <alignment vertical="center"/>
    </xf>
    <xf numFmtId="0" fontId="111" fillId="0" borderId="34" xfId="1198" applyFont="1" applyFill="1" applyBorder="1" applyAlignment="1">
      <alignment vertical="center"/>
    </xf>
    <xf numFmtId="0" fontId="111" fillId="0" borderId="34" xfId="1199" applyFont="1" applyFill="1" applyBorder="1" applyAlignment="1">
      <alignment vertical="center"/>
    </xf>
    <xf numFmtId="0" fontId="111" fillId="0" borderId="51" xfId="1199" applyFont="1" applyFill="1" applyBorder="1" applyAlignment="1">
      <alignment vertical="center"/>
    </xf>
    <xf numFmtId="0" fontId="111" fillId="0" borderId="65" xfId="1199" applyFont="1" applyFill="1" applyBorder="1" applyAlignment="1">
      <alignment vertical="center"/>
    </xf>
    <xf numFmtId="41" fontId="128" fillId="0" borderId="0" xfId="1200" applyNumberFormat="1" applyFont="1" applyBorder="1" applyAlignment="1">
      <alignment vertical="center"/>
    </xf>
    <xf numFmtId="38" fontId="128" fillId="0" borderId="0" xfId="1200" applyNumberFormat="1" applyFont="1" applyBorder="1" applyAlignment="1">
      <alignment vertical="center"/>
    </xf>
    <xf numFmtId="181" fontId="116" fillId="0" borderId="5" xfId="1069" quotePrefix="1" applyNumberFormat="1" applyFont="1" applyFill="1" applyBorder="1" applyAlignment="1" applyProtection="1">
      <alignment vertical="center" shrinkToFit="1"/>
    </xf>
    <xf numFmtId="41" fontId="111" fillId="0" borderId="34" xfId="1198" applyNumberFormat="1" applyFont="1" applyFill="1" applyBorder="1" applyAlignment="1">
      <alignment vertical="center"/>
    </xf>
    <xf numFmtId="41" fontId="154" fillId="0" borderId="0" xfId="0" applyNumberFormat="1" applyFont="1"/>
    <xf numFmtId="41" fontId="110" fillId="0" borderId="0" xfId="1068" applyNumberFormat="1" applyFont="1" applyFill="1" applyAlignment="1">
      <alignment shrinkToFit="1"/>
    </xf>
    <xf numFmtId="181" fontId="110" fillId="0" borderId="56" xfId="1070" applyNumberFormat="1" applyFont="1" applyFill="1" applyBorder="1" applyAlignment="1">
      <alignment horizontal="right" vertical="center" wrapText="1"/>
    </xf>
    <xf numFmtId="41" fontId="112" fillId="0" borderId="5" xfId="1069" applyNumberFormat="1" applyFont="1" applyFill="1" applyBorder="1" applyAlignment="1" applyProtection="1">
      <alignment vertical="center" shrinkToFit="1"/>
    </xf>
    <xf numFmtId="41" fontId="112" fillId="0" borderId="5" xfId="1069" applyNumberFormat="1" applyFont="1" applyFill="1" applyBorder="1" applyAlignment="1">
      <alignment horizontal="center" vertical="center" shrinkToFit="1"/>
    </xf>
    <xf numFmtId="41" fontId="112" fillId="0" borderId="5" xfId="1069" quotePrefix="1" applyNumberFormat="1" applyFont="1" applyFill="1" applyBorder="1" applyAlignment="1" applyProtection="1">
      <alignment vertical="center" shrinkToFit="1"/>
    </xf>
    <xf numFmtId="41" fontId="112" fillId="0" borderId="5" xfId="1069" applyNumberFormat="1" applyFont="1" applyFill="1" applyBorder="1" applyAlignment="1">
      <alignment vertical="center" shrinkToFit="1"/>
    </xf>
    <xf numFmtId="41" fontId="112" fillId="0" borderId="5" xfId="1068" applyNumberFormat="1" applyFont="1" applyFill="1" applyBorder="1" applyAlignment="1" applyProtection="1">
      <alignment vertical="center" shrinkToFit="1"/>
    </xf>
    <xf numFmtId="41" fontId="112" fillId="0" borderId="5" xfId="1068" applyNumberFormat="1" applyFont="1" applyFill="1" applyBorder="1" applyAlignment="1" applyProtection="1">
      <alignment horizontal="center" vertical="center" shrinkToFit="1"/>
    </xf>
    <xf numFmtId="41" fontId="112" fillId="0" borderId="5" xfId="1068" applyNumberFormat="1" applyFont="1" applyFill="1" applyBorder="1" applyAlignment="1">
      <alignment vertical="center" shrinkToFit="1"/>
    </xf>
    <xf numFmtId="181" fontId="112" fillId="0" borderId="5" xfId="1069" quotePrefix="1" applyNumberFormat="1" applyFont="1" applyFill="1" applyBorder="1" applyAlignment="1" applyProtection="1">
      <alignment vertical="center" shrinkToFit="1"/>
    </xf>
    <xf numFmtId="192" fontId="112" fillId="0" borderId="5" xfId="1069" quotePrefix="1" applyNumberFormat="1" applyFont="1" applyFill="1" applyBorder="1" applyAlignment="1" applyProtection="1">
      <alignment vertical="center" shrinkToFit="1"/>
    </xf>
    <xf numFmtId="0" fontId="123" fillId="0" borderId="64" xfId="0" applyFont="1" applyFill="1" applyBorder="1" applyAlignment="1">
      <alignment horizontal="center" vertical="center"/>
    </xf>
    <xf numFmtId="0" fontId="153" fillId="52" borderId="5" xfId="0" applyFont="1" applyFill="1" applyBorder="1" applyAlignment="1">
      <alignment horizontal="center" vertical="center"/>
    </xf>
    <xf numFmtId="0" fontId="123" fillId="52" borderId="5" xfId="0" applyFont="1" applyFill="1" applyBorder="1" applyAlignment="1">
      <alignment horizontal="center" vertical="center"/>
    </xf>
    <xf numFmtId="0" fontId="123" fillId="0" borderId="29" xfId="0" applyFont="1" applyFill="1" applyBorder="1" applyAlignment="1">
      <alignment horizontal="center" vertical="center"/>
    </xf>
    <xf numFmtId="0" fontId="124" fillId="50" borderId="5" xfId="0" applyFont="1" applyFill="1" applyBorder="1" applyAlignment="1">
      <alignment horizontal="center" vertical="center"/>
    </xf>
    <xf numFmtId="49" fontId="124" fillId="51" borderId="5" xfId="0" applyNumberFormat="1" applyFont="1" applyFill="1" applyBorder="1" applyAlignment="1">
      <alignment vertical="center"/>
    </xf>
    <xf numFmtId="0" fontId="124" fillId="51" borderId="5" xfId="0" applyFont="1" applyFill="1" applyBorder="1" applyAlignment="1">
      <alignment horizontal="center" vertical="center"/>
    </xf>
    <xf numFmtId="180" fontId="155" fillId="54" borderId="5" xfId="763" applyNumberFormat="1" applyFont="1" applyFill="1" applyBorder="1" applyAlignment="1">
      <alignment horizontal="center" vertical="center"/>
    </xf>
    <xf numFmtId="180" fontId="155" fillId="0" borderId="5" xfId="763" applyNumberFormat="1" applyFont="1" applyFill="1" applyBorder="1" applyAlignment="1">
      <alignment horizontal="center" vertical="center"/>
    </xf>
    <xf numFmtId="180" fontId="155" fillId="0" borderId="5" xfId="763" applyNumberFormat="1" applyFont="1" applyBorder="1" applyAlignment="1">
      <alignment horizontal="center" vertical="center"/>
    </xf>
    <xf numFmtId="3" fontId="108" fillId="0" borderId="5" xfId="0" applyNumberFormat="1" applyFont="1" applyFill="1" applyBorder="1"/>
    <xf numFmtId="176" fontId="108" fillId="0" borderId="5" xfId="1031" applyFont="1" applyFill="1" applyBorder="1"/>
    <xf numFmtId="0" fontId="108" fillId="0" borderId="0" xfId="0" applyFont="1" applyFill="1"/>
    <xf numFmtId="0" fontId="108" fillId="0" borderId="0" xfId="0" applyFont="1"/>
    <xf numFmtId="49" fontId="124" fillId="0" borderId="5" xfId="0" applyNumberFormat="1" applyFont="1" applyFill="1" applyBorder="1" applyAlignment="1">
      <alignment vertical="center"/>
    </xf>
    <xf numFmtId="0" fontId="124" fillId="0" borderId="5" xfId="0" applyFont="1" applyFill="1" applyBorder="1" applyAlignment="1">
      <alignment horizontal="center" vertical="center"/>
    </xf>
    <xf numFmtId="0" fontId="108" fillId="48" borderId="0" xfId="0" applyFont="1" applyFill="1"/>
    <xf numFmtId="0" fontId="124" fillId="0" borderId="5" xfId="0" applyFont="1" applyBorder="1" applyAlignment="1">
      <alignment horizontal="center" vertical="center"/>
    </xf>
    <xf numFmtId="0" fontId="108" fillId="0" borderId="0" xfId="0" applyFont="1" applyBorder="1" applyAlignment="1">
      <alignment horizontal="center"/>
    </xf>
    <xf numFmtId="0" fontId="164" fillId="0" borderId="0" xfId="1175" applyFont="1" applyAlignment="1">
      <alignment vertical="center"/>
    </xf>
    <xf numFmtId="0" fontId="165" fillId="0" borderId="77" xfId="1175" applyFont="1" applyBorder="1" applyAlignment="1">
      <alignment horizontal="center" vertical="center"/>
    </xf>
    <xf numFmtId="0" fontId="165" fillId="0" borderId="11" xfId="1175" applyFont="1" applyBorder="1" applyAlignment="1">
      <alignment horizontal="center" vertical="center"/>
    </xf>
    <xf numFmtId="268" fontId="165" fillId="0" borderId="1" xfId="1175" applyNumberFormat="1" applyFont="1" applyBorder="1" applyAlignment="1">
      <alignment horizontal="center" vertical="center"/>
    </xf>
    <xf numFmtId="268" fontId="165" fillId="0" borderId="25" xfId="1175" applyNumberFormat="1" applyFont="1" applyBorder="1" applyAlignment="1">
      <alignment vertical="center"/>
    </xf>
    <xf numFmtId="268" fontId="165" fillId="0" borderId="93" xfId="1175" applyNumberFormat="1" applyFont="1" applyBorder="1" applyAlignment="1">
      <alignment vertical="center" shrinkToFit="1"/>
    </xf>
    <xf numFmtId="0" fontId="165" fillId="0" borderId="94" xfId="1175" applyFont="1" applyBorder="1" applyAlignment="1">
      <alignment vertical="center"/>
    </xf>
    <xf numFmtId="0" fontId="165" fillId="48" borderId="9" xfId="1175" applyFont="1" applyFill="1" applyBorder="1" applyAlignment="1">
      <alignment horizontal="center" vertical="center"/>
    </xf>
    <xf numFmtId="0" fontId="165" fillId="48" borderId="10" xfId="1175" applyFont="1" applyFill="1" applyBorder="1" applyAlignment="1">
      <alignment horizontal="center" vertical="center"/>
    </xf>
    <xf numFmtId="0" fontId="164" fillId="0" borderId="9" xfId="1175" applyFont="1" applyBorder="1" applyAlignment="1">
      <alignment horizontal="center" vertical="center"/>
    </xf>
    <xf numFmtId="41" fontId="164" fillId="0" borderId="9" xfId="770" applyFont="1" applyBorder="1" applyAlignment="1">
      <alignment vertical="center"/>
    </xf>
    <xf numFmtId="41" fontId="164" fillId="0" borderId="9" xfId="763" applyFont="1" applyBorder="1" applyAlignment="1">
      <alignment horizontal="left" vertical="center" indent="1"/>
    </xf>
    <xf numFmtId="41" fontId="164" fillId="0" borderId="9" xfId="763" applyFont="1" applyBorder="1" applyAlignment="1">
      <alignment vertical="center"/>
    </xf>
    <xf numFmtId="269" fontId="164" fillId="0" borderId="10" xfId="1175" applyNumberFormat="1" applyFont="1" applyBorder="1" applyAlignment="1">
      <alignment horizontal="center" vertical="center"/>
    </xf>
    <xf numFmtId="0" fontId="165" fillId="48" borderId="21" xfId="1175" applyFont="1" applyFill="1" applyBorder="1" applyAlignment="1">
      <alignment horizontal="center" vertical="center"/>
    </xf>
    <xf numFmtId="41" fontId="165" fillId="48" borderId="21" xfId="770" applyFont="1" applyFill="1" applyBorder="1" applyAlignment="1">
      <alignment vertical="center"/>
    </xf>
    <xf numFmtId="41" fontId="165" fillId="48" borderId="21" xfId="763" applyFont="1" applyFill="1" applyBorder="1" applyAlignment="1">
      <alignment vertical="center"/>
    </xf>
    <xf numFmtId="269" fontId="165" fillId="48" borderId="98" xfId="1175" applyNumberFormat="1" applyFont="1" applyFill="1" applyBorder="1" applyAlignment="1">
      <alignment vertical="center"/>
    </xf>
    <xf numFmtId="41" fontId="164" fillId="0" borderId="0" xfId="1175" applyNumberFormat="1" applyFont="1" applyAlignment="1">
      <alignment vertical="center"/>
    </xf>
    <xf numFmtId="0" fontId="165" fillId="0" borderId="0" xfId="1175" applyFont="1"/>
    <xf numFmtId="0" fontId="164" fillId="0" borderId="0" xfId="0" applyFont="1"/>
    <xf numFmtId="0" fontId="113" fillId="0" borderId="14" xfId="0" applyFont="1" applyFill="1" applyBorder="1" applyAlignment="1">
      <alignment vertical="center"/>
    </xf>
    <xf numFmtId="41" fontId="113" fillId="53" borderId="57" xfId="1198" applyNumberFormat="1" applyFont="1" applyFill="1" applyBorder="1" applyAlignment="1">
      <alignment vertical="center"/>
    </xf>
    <xf numFmtId="0" fontId="129" fillId="53" borderId="53" xfId="1198" applyFont="1" applyFill="1" applyBorder="1" applyAlignment="1">
      <alignment vertical="center"/>
    </xf>
    <xf numFmtId="41" fontId="117" fillId="0" borderId="38" xfId="1069" applyNumberFormat="1" applyFont="1" applyFill="1" applyBorder="1" applyAlignment="1">
      <alignment horizontal="centerContinuous" vertical="center" shrinkToFit="1"/>
    </xf>
    <xf numFmtId="41" fontId="117" fillId="49" borderId="2" xfId="1069" applyNumberFormat="1" applyFont="1" applyFill="1" applyBorder="1" applyAlignment="1" applyProtection="1">
      <alignment horizontal="left" vertical="center"/>
    </xf>
    <xf numFmtId="41" fontId="114" fillId="49" borderId="34" xfId="1069" applyNumberFormat="1" applyFont="1" applyFill="1" applyBorder="1" applyAlignment="1">
      <alignment vertical="center" shrinkToFit="1"/>
    </xf>
    <xf numFmtId="41" fontId="116" fillId="0" borderId="2" xfId="1069" quotePrefix="1" applyNumberFormat="1" applyFont="1" applyFill="1" applyBorder="1" applyAlignment="1" applyProtection="1">
      <alignment horizontal="left" vertical="center" shrinkToFit="1"/>
    </xf>
    <xf numFmtId="208" fontId="116" fillId="0" borderId="34" xfId="1069" applyNumberFormat="1" applyFont="1" applyFill="1" applyBorder="1" applyAlignment="1">
      <alignment horizontal="center" vertical="center" shrinkToFit="1"/>
    </xf>
    <xf numFmtId="41" fontId="112" fillId="0" borderId="2" xfId="1069" applyNumberFormat="1" applyFont="1" applyFill="1" applyBorder="1" applyAlignment="1" applyProtection="1">
      <alignment horizontal="left" vertical="center" shrinkToFit="1"/>
    </xf>
    <xf numFmtId="41" fontId="110" fillId="0" borderId="34" xfId="1069" applyNumberFormat="1" applyFont="1" applyFill="1" applyBorder="1" applyAlignment="1">
      <alignment horizontal="center" vertical="center" shrinkToFit="1"/>
    </xf>
    <xf numFmtId="41" fontId="110" fillId="0" borderId="34" xfId="1069" applyNumberFormat="1" applyFont="1" applyFill="1" applyBorder="1" applyAlignment="1">
      <alignment vertical="center" shrinkToFit="1"/>
    </xf>
    <xf numFmtId="41" fontId="112" fillId="0" borderId="2" xfId="1068" applyNumberFormat="1" applyFont="1" applyFill="1" applyBorder="1" applyAlignment="1" applyProtection="1">
      <alignment vertical="center" shrinkToFit="1"/>
    </xf>
    <xf numFmtId="41" fontId="110" fillId="0" borderId="34" xfId="1068" applyNumberFormat="1" applyFont="1" applyFill="1" applyBorder="1" applyAlignment="1" applyProtection="1">
      <alignment vertical="center" shrinkToFit="1"/>
    </xf>
    <xf numFmtId="41" fontId="117" fillId="48" borderId="44" xfId="1069" applyNumberFormat="1" applyFont="1" applyFill="1" applyBorder="1" applyAlignment="1" applyProtection="1">
      <alignment horizontal="center" vertical="center" shrinkToFit="1"/>
    </xf>
    <xf numFmtId="41" fontId="116" fillId="48" borderId="6" xfId="1069" applyNumberFormat="1" applyFont="1" applyFill="1" applyBorder="1" applyAlignment="1">
      <alignment shrinkToFit="1"/>
    </xf>
    <xf numFmtId="41" fontId="116" fillId="48" borderId="6" xfId="1069" applyNumberFormat="1" applyFont="1" applyFill="1" applyBorder="1" applyAlignment="1">
      <alignment horizontal="center" vertical="center" shrinkToFit="1"/>
    </xf>
    <xf numFmtId="41" fontId="116" fillId="48" borderId="6" xfId="1069" applyNumberFormat="1" applyFont="1" applyFill="1" applyBorder="1" applyAlignment="1">
      <alignment vertical="center" shrinkToFit="1"/>
    </xf>
    <xf numFmtId="41" fontId="117" fillId="48" borderId="6" xfId="1069" applyNumberFormat="1" applyFont="1" applyFill="1" applyBorder="1" applyAlignment="1" applyProtection="1">
      <alignment vertical="center" shrinkToFit="1"/>
    </xf>
    <xf numFmtId="41" fontId="117" fillId="48" borderId="6" xfId="1069" applyNumberFormat="1" applyFont="1" applyFill="1" applyBorder="1" applyAlignment="1">
      <alignment vertical="center" shrinkToFit="1"/>
    </xf>
    <xf numFmtId="41" fontId="116" fillId="48" borderId="51" xfId="1069" applyNumberFormat="1" applyFont="1" applyFill="1" applyBorder="1" applyAlignment="1">
      <alignment vertical="center" shrinkToFit="1"/>
    </xf>
    <xf numFmtId="41" fontId="117" fillId="49" borderId="60" xfId="1069" applyNumberFormat="1" applyFont="1" applyFill="1" applyBorder="1" applyAlignment="1" applyProtection="1">
      <alignment horizontal="left" vertical="center"/>
    </xf>
    <xf numFmtId="41" fontId="114" fillId="49" borderId="38" xfId="1069" applyNumberFormat="1" applyFont="1" applyFill="1" applyBorder="1" applyAlignment="1">
      <alignment vertical="center" shrinkToFit="1"/>
    </xf>
    <xf numFmtId="41" fontId="114" fillId="49" borderId="38" xfId="1069" applyNumberFormat="1" applyFont="1" applyFill="1" applyBorder="1" applyAlignment="1">
      <alignment horizontal="center" vertical="center" shrinkToFit="1"/>
    </xf>
    <xf numFmtId="41" fontId="114" fillId="49" borderId="50" xfId="1069" applyNumberFormat="1" applyFont="1" applyFill="1" applyBorder="1" applyAlignment="1">
      <alignment vertical="center" shrinkToFit="1"/>
    </xf>
    <xf numFmtId="0" fontId="124" fillId="52" borderId="5" xfId="0" applyFont="1" applyFill="1" applyBorder="1" applyAlignment="1">
      <alignment horizontal="center" vertical="center"/>
    </xf>
    <xf numFmtId="180" fontId="155" fillId="51" borderId="5" xfId="763" applyNumberFormat="1" applyFont="1" applyFill="1" applyBorder="1" applyAlignment="1">
      <alignment horizontal="center" vertical="center"/>
    </xf>
    <xf numFmtId="180" fontId="109" fillId="0" borderId="5" xfId="763" applyNumberFormat="1" applyFont="1" applyFill="1" applyBorder="1" applyAlignment="1">
      <alignment horizontal="center" vertical="center"/>
    </xf>
    <xf numFmtId="180" fontId="108" fillId="0" borderId="0" xfId="763" applyNumberFormat="1" applyFont="1" applyBorder="1" applyAlignment="1">
      <alignment horizontal="center" vertical="center"/>
    </xf>
    <xf numFmtId="0" fontId="167" fillId="0" borderId="0" xfId="2295" applyFont="1" applyAlignment="1">
      <alignment horizontal="center" vertical="center"/>
    </xf>
    <xf numFmtId="0" fontId="168" fillId="0" borderId="103" xfId="2294" applyFont="1" applyFill="1" applyBorder="1" applyAlignment="1">
      <alignment horizontal="left" vertical="center"/>
    </xf>
    <xf numFmtId="42" fontId="169" fillId="0" borderId="103" xfId="2296" applyFont="1" applyBorder="1" applyAlignment="1">
      <alignment vertical="center"/>
    </xf>
    <xf numFmtId="0" fontId="169" fillId="52" borderId="105" xfId="2294" applyFont="1" applyFill="1" applyBorder="1" applyAlignment="1">
      <alignment horizontal="center" vertical="center"/>
    </xf>
    <xf numFmtId="0" fontId="169" fillId="52" borderId="107" xfId="2294" applyFont="1" applyFill="1" applyBorder="1" applyAlignment="1">
      <alignment horizontal="center" vertical="center"/>
    </xf>
    <xf numFmtId="0" fontId="169" fillId="52" borderId="109" xfId="2294" applyFont="1" applyFill="1" applyBorder="1" applyAlignment="1">
      <alignment horizontal="center" vertical="center"/>
    </xf>
    <xf numFmtId="41" fontId="170" fillId="0" borderId="102" xfId="2294" applyNumberFormat="1" applyFont="1" applyBorder="1" applyAlignment="1">
      <alignment vertical="center"/>
    </xf>
    <xf numFmtId="0" fontId="171" fillId="0" borderId="86" xfId="2294" applyFont="1" applyBorder="1" applyAlignment="1">
      <alignment horizontal="right" vertical="center"/>
    </xf>
    <xf numFmtId="10" fontId="171" fillId="0" borderId="86" xfId="2294" applyNumberFormat="1" applyFont="1" applyBorder="1" applyAlignment="1">
      <alignment horizontal="left" vertical="center"/>
    </xf>
    <xf numFmtId="0" fontId="171" fillId="0" borderId="110" xfId="2294" applyFont="1" applyBorder="1" applyAlignment="1">
      <alignment vertical="center"/>
    </xf>
    <xf numFmtId="0" fontId="169" fillId="52" borderId="3" xfId="2294" applyFont="1" applyFill="1" applyBorder="1" applyAlignment="1">
      <alignment horizontal="center" vertical="center"/>
    </xf>
    <xf numFmtId="41" fontId="171" fillId="0" borderId="66" xfId="2294" applyNumberFormat="1" applyFont="1" applyBorder="1" applyAlignment="1">
      <alignment vertical="center"/>
    </xf>
    <xf numFmtId="0" fontId="171" fillId="0" borderId="43" xfId="2294" applyFont="1" applyBorder="1" applyAlignment="1">
      <alignment horizontal="right" vertical="center"/>
    </xf>
    <xf numFmtId="10" fontId="171" fillId="0" borderId="43" xfId="2294" applyNumberFormat="1" applyFont="1" applyBorder="1" applyAlignment="1">
      <alignment horizontal="left" vertical="center"/>
    </xf>
    <xf numFmtId="0" fontId="171" fillId="0" borderId="112" xfId="2294" applyFont="1" applyBorder="1" applyAlignment="1">
      <alignment vertical="center"/>
    </xf>
    <xf numFmtId="0" fontId="169" fillId="52" borderId="113" xfId="2294" applyFont="1" applyFill="1" applyBorder="1" applyAlignment="1">
      <alignment horizontal="center" vertical="center"/>
    </xf>
    <xf numFmtId="41" fontId="169" fillId="52" borderId="101" xfId="2294" applyNumberFormat="1" applyFont="1" applyFill="1" applyBorder="1" applyAlignment="1">
      <alignment vertical="center"/>
    </xf>
    <xf numFmtId="0" fontId="169" fillId="52" borderId="88" xfId="2294" applyFont="1" applyFill="1" applyBorder="1" applyAlignment="1">
      <alignment horizontal="right" vertical="center"/>
    </xf>
    <xf numFmtId="10" fontId="169" fillId="52" borderId="88" xfId="2294" applyNumberFormat="1" applyFont="1" applyFill="1" applyBorder="1" applyAlignment="1">
      <alignment horizontal="left" vertical="center"/>
    </xf>
    <xf numFmtId="0" fontId="169" fillId="52" borderId="114" xfId="2294" applyFont="1" applyFill="1" applyBorder="1" applyAlignment="1">
      <alignment vertical="center"/>
    </xf>
    <xf numFmtId="0" fontId="169" fillId="52" borderId="115" xfId="2294" applyFont="1" applyFill="1" applyBorder="1" applyAlignment="1">
      <alignment horizontal="center" vertical="center"/>
    </xf>
    <xf numFmtId="41" fontId="171" fillId="0" borderId="116" xfId="2294" applyNumberFormat="1" applyFont="1" applyBorder="1" applyAlignment="1">
      <alignment vertical="center"/>
    </xf>
    <xf numFmtId="0" fontId="171" fillId="0" borderId="117" xfId="2294" applyFont="1" applyBorder="1" applyAlignment="1">
      <alignment horizontal="right" vertical="center"/>
    </xf>
    <xf numFmtId="228" fontId="171" fillId="0" borderId="117" xfId="2294" applyNumberFormat="1" applyFont="1" applyBorder="1" applyAlignment="1">
      <alignment horizontal="left" vertical="center"/>
    </xf>
    <xf numFmtId="0" fontId="171" fillId="0" borderId="118" xfId="2294" applyFont="1" applyBorder="1" applyAlignment="1">
      <alignment vertical="center"/>
    </xf>
    <xf numFmtId="0" fontId="169" fillId="52" borderId="72" xfId="2294" applyFont="1" applyFill="1" applyBorder="1" applyAlignment="1">
      <alignment horizontal="center" vertical="center"/>
    </xf>
    <xf numFmtId="41" fontId="169" fillId="52" borderId="72" xfId="2294" applyNumberFormat="1" applyFont="1" applyFill="1" applyBorder="1" applyAlignment="1">
      <alignment vertical="center"/>
    </xf>
    <xf numFmtId="0" fontId="169" fillId="52" borderId="59" xfId="2294" applyFont="1" applyFill="1" applyBorder="1" applyAlignment="1">
      <alignment horizontal="right" vertical="center"/>
    </xf>
    <xf numFmtId="10" fontId="169" fillId="52" borderId="59" xfId="2294" applyNumberFormat="1" applyFont="1" applyFill="1" applyBorder="1" applyAlignment="1">
      <alignment horizontal="left" vertical="center"/>
    </xf>
    <xf numFmtId="0" fontId="169" fillId="52" borderId="119" xfId="2294" applyFont="1" applyFill="1" applyBorder="1" applyAlignment="1">
      <alignment vertical="center"/>
    </xf>
    <xf numFmtId="41" fontId="171" fillId="0" borderId="102" xfId="2294" applyNumberFormat="1" applyFont="1" applyBorder="1" applyAlignment="1">
      <alignment vertical="center"/>
    </xf>
    <xf numFmtId="41" fontId="170" fillId="0" borderId="66" xfId="2294" applyNumberFormat="1" applyFont="1" applyBorder="1" applyAlignment="1">
      <alignment vertical="center"/>
    </xf>
    <xf numFmtId="10" fontId="171" fillId="0" borderId="66" xfId="2294" applyNumberFormat="1" applyFont="1" applyBorder="1" applyAlignment="1">
      <alignment horizontal="left" vertical="center"/>
    </xf>
    <xf numFmtId="0" fontId="173" fillId="0" borderId="0" xfId="2295" applyFont="1">
      <alignment vertical="center"/>
    </xf>
    <xf numFmtId="10" fontId="171" fillId="0" borderId="66" xfId="2294" quotePrefix="1" applyNumberFormat="1" applyFont="1" applyBorder="1" applyAlignment="1">
      <alignment horizontal="left" vertical="center"/>
    </xf>
    <xf numFmtId="228" fontId="171" fillId="0" borderId="66" xfId="2294" applyNumberFormat="1" applyFont="1" applyBorder="1" applyAlignment="1">
      <alignment horizontal="left" vertical="center"/>
    </xf>
    <xf numFmtId="264" fontId="171" fillId="0" borderId="66" xfId="2294" applyNumberFormat="1" applyFont="1" applyBorder="1" applyAlignment="1">
      <alignment horizontal="left" vertical="center"/>
    </xf>
    <xf numFmtId="0" fontId="169" fillId="52" borderId="3" xfId="2294" quotePrefix="1" applyFont="1" applyFill="1" applyBorder="1" applyAlignment="1">
      <alignment horizontal="center" vertical="center" shrinkToFit="1"/>
    </xf>
    <xf numFmtId="228" fontId="169" fillId="52" borderId="101" xfId="2294" applyNumberFormat="1" applyFont="1" applyFill="1" applyBorder="1" applyAlignment="1">
      <alignment horizontal="left" vertical="center"/>
    </xf>
    <xf numFmtId="41" fontId="169" fillId="52" borderId="9" xfId="2294" applyNumberFormat="1" applyFont="1" applyFill="1" applyBorder="1" applyAlignment="1">
      <alignment vertical="center"/>
    </xf>
    <xf numFmtId="0" fontId="169" fillId="52" borderId="86" xfId="2294" applyFont="1" applyFill="1" applyBorder="1" applyAlignment="1">
      <alignment horizontal="right" vertical="center"/>
    </xf>
    <xf numFmtId="228" fontId="169" fillId="52" borderId="102" xfId="2294" applyNumberFormat="1" applyFont="1" applyFill="1" applyBorder="1" applyAlignment="1">
      <alignment horizontal="left" vertical="center"/>
    </xf>
    <xf numFmtId="0" fontId="169" fillId="52" borderId="122" xfId="2294" applyFont="1" applyFill="1" applyBorder="1" applyAlignment="1">
      <alignment vertical="center"/>
    </xf>
    <xf numFmtId="41" fontId="171" fillId="0" borderId="109" xfId="2294" applyNumberFormat="1" applyFont="1" applyBorder="1" applyAlignment="1">
      <alignment vertical="center"/>
    </xf>
    <xf numFmtId="228" fontId="171" fillId="0" borderId="102" xfId="2294" applyNumberFormat="1" applyFont="1" applyBorder="1" applyAlignment="1">
      <alignment horizontal="left" vertical="center"/>
    </xf>
    <xf numFmtId="41" fontId="167" fillId="0" borderId="0" xfId="2295" applyNumberFormat="1" applyFont="1" applyAlignment="1">
      <alignment horizontal="center" vertical="center"/>
    </xf>
    <xf numFmtId="41" fontId="171" fillId="0" borderId="3" xfId="2294" applyNumberFormat="1" applyFont="1" applyBorder="1" applyAlignment="1">
      <alignment vertical="center"/>
    </xf>
    <xf numFmtId="9" fontId="171" fillId="0" borderId="66" xfId="2294" applyNumberFormat="1" applyFont="1" applyBorder="1" applyAlignment="1">
      <alignment horizontal="left" vertical="center"/>
    </xf>
    <xf numFmtId="0" fontId="169" fillId="52" borderId="25" xfId="2294" applyFont="1" applyFill="1" applyBorder="1" applyAlignment="1">
      <alignment horizontal="right" vertical="center"/>
    </xf>
    <xf numFmtId="180" fontId="175" fillId="52" borderId="93" xfId="2294" applyNumberFormat="1" applyFont="1" applyFill="1" applyBorder="1" applyAlignment="1">
      <alignment horizontal="right" vertical="center"/>
    </xf>
    <xf numFmtId="41" fontId="171" fillId="52" borderId="122" xfId="2294" applyNumberFormat="1" applyFont="1" applyFill="1" applyBorder="1" applyAlignment="1">
      <alignment horizontal="left" vertical="center"/>
    </xf>
    <xf numFmtId="41" fontId="171" fillId="0" borderId="93" xfId="2294" applyNumberFormat="1" applyFont="1" applyBorder="1" applyAlignment="1">
      <alignment vertical="center"/>
    </xf>
    <xf numFmtId="0" fontId="171" fillId="0" borderId="25" xfId="2294" applyFont="1" applyBorder="1" applyAlignment="1">
      <alignment horizontal="right" vertical="center"/>
    </xf>
    <xf numFmtId="9" fontId="171" fillId="0" borderId="93" xfId="2294" applyNumberFormat="1" applyFont="1" applyBorder="1" applyAlignment="1">
      <alignment horizontal="left" vertical="center"/>
    </xf>
    <xf numFmtId="0" fontId="171" fillId="0" borderId="122" xfId="2294" applyFont="1" applyBorder="1" applyAlignment="1">
      <alignment vertical="center"/>
    </xf>
    <xf numFmtId="41" fontId="169" fillId="0" borderId="9" xfId="2294" applyNumberFormat="1" applyFont="1" applyBorder="1" applyAlignment="1">
      <alignment vertical="center"/>
    </xf>
    <xf numFmtId="10" fontId="171" fillId="0" borderId="93" xfId="2294" applyNumberFormat="1" applyFont="1" applyBorder="1" applyAlignment="1">
      <alignment horizontal="left" vertical="center"/>
    </xf>
    <xf numFmtId="41" fontId="169" fillId="0" borderId="84" xfId="2294" applyNumberFormat="1" applyFont="1" applyBorder="1" applyAlignment="1">
      <alignment vertical="center"/>
    </xf>
    <xf numFmtId="0" fontId="171" fillId="0" borderId="46" xfId="2294" applyFont="1" applyBorder="1" applyAlignment="1">
      <alignment horizontal="right" vertical="center"/>
    </xf>
    <xf numFmtId="10" fontId="171" fillId="0" borderId="125" xfId="2294" applyNumberFormat="1" applyFont="1" applyBorder="1" applyAlignment="1">
      <alignment horizontal="left" vertical="center"/>
    </xf>
    <xf numFmtId="0" fontId="171" fillId="0" borderId="126" xfId="2294" applyFont="1" applyBorder="1" applyAlignment="1">
      <alignment vertical="center"/>
    </xf>
    <xf numFmtId="41" fontId="169" fillId="52" borderId="99" xfId="2294" applyNumberFormat="1" applyFont="1" applyFill="1" applyBorder="1" applyAlignment="1">
      <alignment vertical="center"/>
    </xf>
    <xf numFmtId="0" fontId="171" fillId="52" borderId="128" xfId="2294" applyFont="1" applyFill="1" applyBorder="1" applyAlignment="1">
      <alignment horizontal="right" vertical="center"/>
    </xf>
    <xf numFmtId="10" fontId="171" fillId="52" borderId="129" xfId="2294" applyNumberFormat="1" applyFont="1" applyFill="1" applyBorder="1" applyAlignment="1">
      <alignment horizontal="right" vertical="center"/>
    </xf>
    <xf numFmtId="41" fontId="171" fillId="52" borderId="130" xfId="2294" applyNumberFormat="1" applyFont="1" applyFill="1" applyBorder="1" applyAlignment="1">
      <alignment horizontal="left" vertical="center"/>
    </xf>
    <xf numFmtId="0" fontId="111" fillId="0" borderId="29" xfId="0" applyFont="1" applyFill="1" applyBorder="1" applyAlignment="1">
      <alignment horizontal="center" vertical="center"/>
    </xf>
    <xf numFmtId="0" fontId="177" fillId="0" borderId="0" xfId="1139" applyFont="1">
      <alignment vertical="center"/>
    </xf>
    <xf numFmtId="0" fontId="178" fillId="0" borderId="77" xfId="1139" applyFont="1" applyBorder="1" applyAlignment="1">
      <alignment horizontal="center" vertical="center"/>
    </xf>
    <xf numFmtId="0" fontId="178" fillId="0" borderId="11" xfId="1139" applyFont="1" applyBorder="1" applyAlignment="1">
      <alignment horizontal="center" vertical="center"/>
    </xf>
    <xf numFmtId="0" fontId="178" fillId="53" borderId="9" xfId="1139" applyFont="1" applyFill="1" applyBorder="1" applyAlignment="1">
      <alignment horizontal="center" vertical="center"/>
    </xf>
    <xf numFmtId="41" fontId="178" fillId="53" borderId="9" xfId="2298" applyFont="1" applyFill="1" applyBorder="1" applyAlignment="1">
      <alignment horizontal="center" vertical="center"/>
    </xf>
    <xf numFmtId="41" fontId="178" fillId="53" borderId="10" xfId="2298" applyFont="1" applyFill="1" applyBorder="1" applyAlignment="1">
      <alignment horizontal="center" vertical="center"/>
    </xf>
    <xf numFmtId="0" fontId="178" fillId="0" borderId="9" xfId="1139" applyFont="1" applyBorder="1" applyAlignment="1">
      <alignment horizontal="center" vertical="center"/>
    </xf>
    <xf numFmtId="41" fontId="177" fillId="0" borderId="9" xfId="2298" applyFont="1" applyBorder="1" applyAlignment="1">
      <alignment vertical="center"/>
    </xf>
    <xf numFmtId="41" fontId="178" fillId="0" borderId="10" xfId="2298" applyFont="1" applyBorder="1" applyAlignment="1">
      <alignment vertical="center"/>
    </xf>
    <xf numFmtId="0" fontId="177" fillId="0" borderId="9" xfId="1139" applyFont="1" applyBorder="1" applyAlignment="1">
      <alignment horizontal="center" vertical="center"/>
    </xf>
    <xf numFmtId="41" fontId="178" fillId="0" borderId="9" xfId="2298" applyFont="1" applyBorder="1" applyAlignment="1">
      <alignment vertical="center"/>
    </xf>
    <xf numFmtId="0" fontId="178" fillId="0" borderId="95" xfId="1139" applyFont="1" applyBorder="1" applyAlignment="1">
      <alignment horizontal="center" vertical="center"/>
    </xf>
    <xf numFmtId="0" fontId="178" fillId="0" borderId="93" xfId="1139" applyFont="1" applyBorder="1" applyAlignment="1">
      <alignment horizontal="center" vertical="center"/>
    </xf>
    <xf numFmtId="0" fontId="178" fillId="53" borderId="21" xfId="1139" applyFont="1" applyFill="1" applyBorder="1" applyAlignment="1">
      <alignment horizontal="center" vertical="center"/>
    </xf>
    <xf numFmtId="41" fontId="178" fillId="53" borderId="21" xfId="2298" applyFont="1" applyFill="1" applyBorder="1" applyAlignment="1">
      <alignment vertical="center"/>
    </xf>
    <xf numFmtId="41" fontId="178" fillId="53" borderId="98" xfId="2298" applyFont="1" applyFill="1" applyBorder="1" applyAlignment="1">
      <alignment vertical="center"/>
    </xf>
    <xf numFmtId="0" fontId="178" fillId="0" borderId="0" xfId="1139" applyFont="1" applyAlignment="1">
      <alignment vertical="center"/>
    </xf>
    <xf numFmtId="0" fontId="178" fillId="0" borderId="0" xfId="1139" applyFont="1" applyAlignment="1">
      <alignment horizontal="center" vertical="center"/>
    </xf>
    <xf numFmtId="41" fontId="178" fillId="0" borderId="0" xfId="2298" applyFont="1" applyAlignment="1">
      <alignment vertical="center"/>
    </xf>
    <xf numFmtId="0" fontId="177" fillId="0" borderId="0" xfId="1139" applyFont="1" applyAlignment="1">
      <alignment horizontal="center" vertical="center"/>
    </xf>
    <xf numFmtId="41" fontId="177" fillId="0" borderId="0" xfId="2298" applyFont="1">
      <alignment vertical="center"/>
    </xf>
    <xf numFmtId="0" fontId="24" fillId="0" borderId="0" xfId="1139" applyFont="1">
      <alignment vertical="center"/>
    </xf>
    <xf numFmtId="0" fontId="47" fillId="0" borderId="0" xfId="1139" applyFont="1">
      <alignment vertical="center"/>
    </xf>
    <xf numFmtId="0" fontId="24" fillId="0" borderId="0" xfId="1139" applyFont="1" applyAlignment="1">
      <alignment horizontal="left" vertical="center" shrinkToFit="1"/>
    </xf>
    <xf numFmtId="0" fontId="24" fillId="0" borderId="0" xfId="1139" applyFont="1" applyAlignment="1">
      <alignment horizontal="center" vertical="center"/>
    </xf>
    <xf numFmtId="41" fontId="24" fillId="0" borderId="0" xfId="2298" applyFont="1" applyAlignment="1">
      <alignment vertical="center" shrinkToFit="1"/>
    </xf>
    <xf numFmtId="41" fontId="180" fillId="55" borderId="9" xfId="2298" applyFont="1" applyFill="1" applyBorder="1" applyAlignment="1">
      <alignment horizontal="center" vertical="center"/>
    </xf>
    <xf numFmtId="0" fontId="181" fillId="55" borderId="0" xfId="1139" applyFont="1" applyFill="1">
      <alignment vertical="center"/>
    </xf>
    <xf numFmtId="0" fontId="180" fillId="56" borderId="9" xfId="1139" applyFont="1" applyFill="1" applyBorder="1" applyAlignment="1">
      <alignment vertical="center"/>
    </xf>
    <xf numFmtId="0" fontId="180" fillId="56" borderId="9" xfId="1139" applyFont="1" applyFill="1" applyBorder="1" applyAlignment="1">
      <alignment horizontal="center" vertical="center"/>
    </xf>
    <xf numFmtId="41" fontId="180" fillId="56" borderId="9" xfId="2298" applyFont="1" applyFill="1" applyBorder="1" applyAlignment="1">
      <alignment vertical="center"/>
    </xf>
    <xf numFmtId="41" fontId="181" fillId="56" borderId="9" xfId="2298" applyFont="1" applyFill="1" applyBorder="1" applyAlignment="1">
      <alignment vertical="center"/>
    </xf>
    <xf numFmtId="0" fontId="181" fillId="56" borderId="0" xfId="1139" applyFont="1" applyFill="1">
      <alignment vertical="center"/>
    </xf>
    <xf numFmtId="0" fontId="181" fillId="0" borderId="9" xfId="1139" applyFont="1" applyBorder="1" applyAlignment="1">
      <alignment vertical="center"/>
    </xf>
    <xf numFmtId="0" fontId="181" fillId="0" borderId="9" xfId="1139" applyFont="1" applyBorder="1" applyAlignment="1">
      <alignment horizontal="center" vertical="center"/>
    </xf>
    <xf numFmtId="41" fontId="181" fillId="0" borderId="9" xfId="2298" applyFont="1" applyBorder="1" applyAlignment="1">
      <alignment vertical="center"/>
    </xf>
    <xf numFmtId="0" fontId="181" fillId="0" borderId="0" xfId="1139" applyFont="1">
      <alignment vertical="center"/>
    </xf>
    <xf numFmtId="0" fontId="182" fillId="0" borderId="9" xfId="1139" applyFont="1" applyBorder="1" applyAlignment="1">
      <alignment vertical="center"/>
    </xf>
    <xf numFmtId="41" fontId="181" fillId="0" borderId="9" xfId="2298" applyFont="1" applyBorder="1" applyAlignment="1">
      <alignment horizontal="center" vertical="center"/>
    </xf>
    <xf numFmtId="280" fontId="181" fillId="0" borderId="9" xfId="1139" applyNumberFormat="1" applyFont="1" applyBorder="1" applyAlignment="1">
      <alignment horizontal="center" vertical="center"/>
    </xf>
    <xf numFmtId="281" fontId="181" fillId="0" borderId="9" xfId="1139" applyNumberFormat="1" applyFont="1" applyBorder="1" applyAlignment="1">
      <alignment horizontal="center" vertical="center"/>
    </xf>
    <xf numFmtId="0" fontId="180" fillId="0" borderId="9" xfId="1139" applyFont="1" applyBorder="1" applyAlignment="1">
      <alignment horizontal="center" vertical="center"/>
    </xf>
    <xf numFmtId="41" fontId="180" fillId="0" borderId="9" xfId="2298" applyFont="1" applyBorder="1" applyAlignment="1">
      <alignment vertical="center"/>
    </xf>
    <xf numFmtId="0" fontId="181" fillId="0" borderId="0" xfId="1139" applyFont="1" applyAlignment="1">
      <alignment horizontal="center" vertical="center"/>
    </xf>
    <xf numFmtId="41" fontId="181" fillId="0" borderId="0" xfId="2298" applyFont="1">
      <alignment vertical="center"/>
    </xf>
    <xf numFmtId="0" fontId="47" fillId="0" borderId="0" xfId="1203" applyFont="1" applyBorder="1" applyAlignment="1">
      <alignment horizontal="left" vertical="top" wrapText="1"/>
    </xf>
    <xf numFmtId="0" fontId="42" fillId="0" borderId="0" xfId="1200" applyFont="1" applyBorder="1"/>
    <xf numFmtId="224" fontId="42" fillId="0" borderId="0" xfId="0" applyNumberFormat="1" applyFont="1" applyBorder="1" applyAlignment="1">
      <alignment vertical="center"/>
    </xf>
    <xf numFmtId="0" fontId="42" fillId="0" borderId="30" xfId="1200" applyFont="1" applyBorder="1"/>
    <xf numFmtId="41" fontId="42" fillId="0" borderId="0" xfId="1200" applyNumberFormat="1" applyFont="1" applyBorder="1"/>
    <xf numFmtId="203" fontId="42" fillId="0" borderId="0" xfId="1200" applyNumberFormat="1" applyFont="1" applyBorder="1" applyAlignment="1">
      <alignment horizontal="right" vertical="center"/>
    </xf>
    <xf numFmtId="203" fontId="42" fillId="0" borderId="0" xfId="1200" applyNumberFormat="1" applyFont="1" applyBorder="1" applyAlignment="1">
      <alignment vertical="center"/>
    </xf>
    <xf numFmtId="180" fontId="111" fillId="0" borderId="28" xfId="1200" applyNumberFormat="1" applyFont="1" applyBorder="1" applyAlignment="1"/>
    <xf numFmtId="180" fontId="111" fillId="0" borderId="0" xfId="1200" applyNumberFormat="1" applyFont="1" applyBorder="1" applyAlignment="1"/>
    <xf numFmtId="0" fontId="138" fillId="0" borderId="2" xfId="1199" applyFont="1" applyFill="1" applyBorder="1" applyAlignment="1">
      <alignment horizontal="center" vertical="center"/>
    </xf>
    <xf numFmtId="41" fontId="138" fillId="0" borderId="5" xfId="1199" applyNumberFormat="1" applyFont="1" applyFill="1" applyBorder="1" applyAlignment="1">
      <alignment vertical="center"/>
    </xf>
    <xf numFmtId="41" fontId="138" fillId="0" borderId="42" xfId="1199" applyNumberFormat="1" applyFont="1" applyFill="1" applyBorder="1" applyAlignment="1">
      <alignment vertical="center"/>
    </xf>
    <xf numFmtId="0" fontId="138" fillId="0" borderId="43" xfId="1199" applyFont="1" applyFill="1" applyBorder="1" applyAlignment="1">
      <alignment horizontal="right" vertical="center"/>
    </xf>
    <xf numFmtId="49" fontId="113" fillId="0" borderId="9" xfId="0" applyNumberFormat="1" applyFont="1" applyFill="1" applyBorder="1" applyAlignment="1">
      <alignment horizontal="center"/>
    </xf>
    <xf numFmtId="3" fontId="113" fillId="0" borderId="36" xfId="0" applyNumberFormat="1" applyFont="1" applyFill="1" applyBorder="1" applyAlignment="1">
      <alignment horizontal="center" vertical="center"/>
    </xf>
    <xf numFmtId="0" fontId="113" fillId="0" borderId="36" xfId="0" applyFont="1" applyFill="1" applyBorder="1" applyAlignment="1">
      <alignment horizontal="center" vertical="center"/>
    </xf>
    <xf numFmtId="3" fontId="113" fillId="0" borderId="36" xfId="0" applyNumberFormat="1" applyFont="1" applyFill="1" applyBorder="1" applyAlignment="1">
      <alignment horizontal="center" vertical="center" wrapText="1"/>
    </xf>
    <xf numFmtId="3" fontId="113" fillId="0" borderId="36" xfId="0" applyNumberFormat="1" applyFont="1" applyFill="1" applyBorder="1" applyAlignment="1">
      <alignment horizontal="centerContinuous" vertical="center" wrapText="1"/>
    </xf>
    <xf numFmtId="49" fontId="113" fillId="0" borderId="52" xfId="0" applyNumberFormat="1" applyFont="1" applyFill="1" applyBorder="1" applyAlignment="1">
      <alignment horizontal="center" vertical="center" wrapText="1"/>
    </xf>
    <xf numFmtId="0" fontId="113" fillId="0" borderId="9" xfId="0" applyFont="1" applyFill="1" applyBorder="1" applyAlignment="1">
      <alignment vertical="center"/>
    </xf>
    <xf numFmtId="0" fontId="111" fillId="0" borderId="9" xfId="0" applyFont="1" applyFill="1" applyBorder="1" applyAlignment="1">
      <alignment horizontal="center" vertical="center"/>
    </xf>
    <xf numFmtId="3" fontId="113" fillId="0" borderId="54" xfId="0" applyNumberFormat="1" applyFont="1" applyFill="1" applyBorder="1" applyAlignment="1" applyProtection="1">
      <alignment horizontal="right" vertical="center"/>
    </xf>
    <xf numFmtId="0" fontId="111" fillId="0" borderId="14" xfId="0" applyFont="1" applyFill="1" applyBorder="1" applyAlignment="1">
      <alignment vertical="center"/>
    </xf>
    <xf numFmtId="0" fontId="111" fillId="0" borderId="55" xfId="0" applyFont="1" applyFill="1" applyBorder="1" applyAlignment="1">
      <alignment horizontal="center" vertical="center"/>
    </xf>
    <xf numFmtId="0" fontId="111" fillId="0" borderId="29" xfId="0" applyFont="1" applyFill="1" applyBorder="1" applyAlignment="1">
      <alignment vertical="center"/>
    </xf>
    <xf numFmtId="38" fontId="111" fillId="0" borderId="29" xfId="0" applyNumberFormat="1" applyFont="1" applyFill="1" applyBorder="1" applyAlignment="1">
      <alignment vertical="center"/>
    </xf>
    <xf numFmtId="0" fontId="111" fillId="0" borderId="35" xfId="0" applyFont="1" applyFill="1" applyBorder="1" applyAlignment="1">
      <alignment vertical="center"/>
    </xf>
    <xf numFmtId="0" fontId="111" fillId="0" borderId="9" xfId="0" applyFont="1" applyFill="1" applyBorder="1" applyAlignment="1">
      <alignment vertical="center"/>
    </xf>
    <xf numFmtId="0" fontId="111" fillId="0" borderId="5" xfId="0" applyFont="1" applyFill="1" applyBorder="1" applyAlignment="1">
      <alignment horizontal="center" vertical="center"/>
    </xf>
    <xf numFmtId="38" fontId="111" fillId="0" borderId="5" xfId="0" applyNumberFormat="1" applyFont="1" applyFill="1" applyBorder="1" applyAlignment="1">
      <alignment vertical="center"/>
    </xf>
    <xf numFmtId="0" fontId="111" fillId="0" borderId="34" xfId="0" applyFont="1" applyFill="1" applyBorder="1" applyAlignment="1">
      <alignment horizontal="center" vertical="center"/>
    </xf>
    <xf numFmtId="38" fontId="111" fillId="0" borderId="9" xfId="0" applyNumberFormat="1" applyFont="1" applyFill="1" applyBorder="1" applyAlignment="1">
      <alignment vertical="center"/>
    </xf>
    <xf numFmtId="0" fontId="111" fillId="0" borderId="34" xfId="0" applyFont="1" applyFill="1" applyBorder="1" applyAlignment="1">
      <alignment vertical="center"/>
    </xf>
    <xf numFmtId="41" fontId="111" fillId="0" borderId="5" xfId="0" applyNumberFormat="1" applyFont="1" applyFill="1" applyBorder="1" applyAlignment="1">
      <alignment vertical="center"/>
    </xf>
    <xf numFmtId="0" fontId="113" fillId="48" borderId="57" xfId="0" applyNumberFormat="1" applyFont="1" applyFill="1" applyBorder="1" applyAlignment="1">
      <alignment vertical="center"/>
    </xf>
    <xf numFmtId="0" fontId="113" fillId="48" borderId="57" xfId="0" applyNumberFormat="1" applyFont="1" applyFill="1" applyBorder="1" applyAlignment="1">
      <alignment horizontal="center" vertical="center"/>
    </xf>
    <xf numFmtId="38" fontId="113" fillId="48" borderId="57" xfId="0" applyNumberFormat="1" applyFont="1" applyFill="1" applyBorder="1" applyAlignment="1" applyProtection="1">
      <alignment vertical="center"/>
    </xf>
    <xf numFmtId="0" fontId="111" fillId="48" borderId="53" xfId="0" applyFont="1" applyFill="1" applyBorder="1" applyAlignment="1">
      <alignment horizontal="center" vertical="center"/>
    </xf>
    <xf numFmtId="9" fontId="111" fillId="0" borderId="9" xfId="0" applyNumberFormat="1" applyFont="1" applyFill="1" applyBorder="1" applyAlignment="1">
      <alignment vertical="center"/>
    </xf>
    <xf numFmtId="0" fontId="181" fillId="0" borderId="9" xfId="1139" applyFont="1" applyBorder="1" applyAlignment="1">
      <alignment vertical="center"/>
    </xf>
    <xf numFmtId="0" fontId="166" fillId="0" borderId="0" xfId="2294" applyFont="1" applyAlignment="1">
      <alignment horizontal="center" vertical="center"/>
    </xf>
    <xf numFmtId="0" fontId="168" fillId="0" borderId="0" xfId="2294" applyFont="1" applyAlignment="1">
      <alignment horizontal="left" vertical="center"/>
    </xf>
    <xf numFmtId="0" fontId="169" fillId="52" borderId="104" xfId="2294" applyFont="1" applyFill="1" applyBorder="1" applyAlignment="1">
      <alignment horizontal="center" vertical="center"/>
    </xf>
    <xf numFmtId="0" fontId="169" fillId="52" borderId="105" xfId="2294" applyFont="1" applyFill="1" applyBorder="1" applyAlignment="1">
      <alignment horizontal="center" vertical="center"/>
    </xf>
    <xf numFmtId="0" fontId="169" fillId="52" borderId="106" xfId="2294" applyFont="1" applyFill="1" applyBorder="1" applyAlignment="1">
      <alignment horizontal="center" vertical="center"/>
    </xf>
    <xf numFmtId="0" fontId="169" fillId="52" borderId="108" xfId="2294" applyFont="1" applyFill="1" applyBorder="1" applyAlignment="1">
      <alignment horizontal="center" vertical="center" textRotation="255"/>
    </xf>
    <xf numFmtId="0" fontId="172" fillId="52" borderId="111" xfId="2294" applyFont="1" applyFill="1" applyBorder="1" applyAlignment="1">
      <alignment horizontal="center" vertical="center" textRotation="255"/>
    </xf>
    <xf numFmtId="0" fontId="172" fillId="52" borderId="120" xfId="2294" applyFont="1" applyFill="1" applyBorder="1" applyAlignment="1">
      <alignment horizontal="center" vertical="center" textRotation="255"/>
    </xf>
    <xf numFmtId="0" fontId="169" fillId="52" borderId="84" xfId="2294" applyFont="1" applyFill="1" applyBorder="1" applyAlignment="1">
      <alignment horizontal="center" vertical="center" textRotation="255"/>
    </xf>
    <xf numFmtId="0" fontId="169" fillId="52" borderId="74" xfId="2294" applyFont="1" applyFill="1" applyBorder="1" applyAlignment="1">
      <alignment horizontal="center" vertical="center" textRotation="255"/>
    </xf>
    <xf numFmtId="0" fontId="169" fillId="52" borderId="8" xfId="2294" applyFont="1" applyFill="1" applyBorder="1" applyAlignment="1">
      <alignment horizontal="center" vertical="center" textRotation="255"/>
    </xf>
    <xf numFmtId="0" fontId="172" fillId="52" borderId="74" xfId="2294" applyFont="1" applyFill="1" applyBorder="1" applyAlignment="1">
      <alignment horizontal="center" vertical="center" textRotation="255"/>
    </xf>
    <xf numFmtId="0" fontId="172" fillId="52" borderId="8" xfId="2294" applyFont="1" applyFill="1" applyBorder="1" applyAlignment="1">
      <alignment horizontal="center" vertical="center" textRotation="255"/>
    </xf>
    <xf numFmtId="0" fontId="169" fillId="52" borderId="121" xfId="2294" applyFont="1" applyFill="1" applyBorder="1" applyAlignment="1">
      <alignment horizontal="center" vertical="center"/>
    </xf>
    <xf numFmtId="0" fontId="169" fillId="52" borderId="25" xfId="2294" applyFont="1" applyFill="1" applyBorder="1" applyAlignment="1">
      <alignment horizontal="center" vertical="center"/>
    </xf>
    <xf numFmtId="0" fontId="169" fillId="52" borderId="93" xfId="2294" applyFont="1" applyFill="1" applyBorder="1" applyAlignment="1">
      <alignment horizontal="center" vertical="center"/>
    </xf>
    <xf numFmtId="0" fontId="169" fillId="52" borderId="127" xfId="2294" applyFont="1" applyFill="1" applyBorder="1" applyAlignment="1">
      <alignment horizontal="center" vertical="center"/>
    </xf>
    <xf numFmtId="0" fontId="169" fillId="52" borderId="128" xfId="2294" applyFont="1" applyFill="1" applyBorder="1" applyAlignment="1">
      <alignment horizontal="center" vertical="center"/>
    </xf>
    <xf numFmtId="0" fontId="169" fillId="52" borderId="129" xfId="2294" applyFont="1" applyFill="1" applyBorder="1" applyAlignment="1">
      <alignment horizontal="center" vertical="center"/>
    </xf>
    <xf numFmtId="0" fontId="169" fillId="52" borderId="23" xfId="2294" applyFont="1" applyFill="1" applyBorder="1" applyAlignment="1">
      <alignment horizontal="center" vertical="center"/>
    </xf>
    <xf numFmtId="0" fontId="169" fillId="52" borderId="14" xfId="2294" applyFont="1" applyFill="1" applyBorder="1" applyAlignment="1">
      <alignment horizontal="center" vertical="center"/>
    </xf>
    <xf numFmtId="0" fontId="169" fillId="52" borderId="123" xfId="2294" applyFont="1" applyFill="1" applyBorder="1" applyAlignment="1">
      <alignment horizontal="center" vertical="center"/>
    </xf>
    <xf numFmtId="0" fontId="169" fillId="52" borderId="124" xfId="2294" applyFont="1" applyFill="1" applyBorder="1" applyAlignment="1">
      <alignment horizontal="center" vertical="center"/>
    </xf>
    <xf numFmtId="0" fontId="169" fillId="52" borderId="43" xfId="2294" applyFont="1" applyFill="1" applyBorder="1" applyAlignment="1">
      <alignment horizontal="center" vertical="center"/>
    </xf>
    <xf numFmtId="0" fontId="169" fillId="52" borderId="66" xfId="2294" applyFont="1" applyFill="1" applyBorder="1" applyAlignment="1">
      <alignment horizontal="center" vertical="center"/>
    </xf>
    <xf numFmtId="0" fontId="123" fillId="0" borderId="69" xfId="1200" applyFont="1" applyBorder="1" applyAlignment="1">
      <alignment horizontal="center" vertical="center"/>
    </xf>
    <xf numFmtId="0" fontId="123" fillId="0" borderId="75" xfId="1200" applyFont="1" applyBorder="1" applyAlignment="1">
      <alignment horizontal="center" vertical="center"/>
    </xf>
    <xf numFmtId="0" fontId="123" fillId="0" borderId="56" xfId="1200" applyFont="1" applyBorder="1" applyAlignment="1">
      <alignment horizontal="center" vertical="center"/>
    </xf>
    <xf numFmtId="0" fontId="123" fillId="0" borderId="30" xfId="1200" applyFont="1" applyBorder="1" applyAlignment="1">
      <alignment horizontal="center" vertical="center"/>
    </xf>
    <xf numFmtId="0" fontId="123" fillId="0" borderId="48" xfId="1200" applyFont="1" applyBorder="1" applyAlignment="1">
      <alignment horizontal="center" vertical="center"/>
    </xf>
    <xf numFmtId="0" fontId="123" fillId="0" borderId="76" xfId="1200" applyFont="1" applyBorder="1" applyAlignment="1">
      <alignment horizontal="center" vertical="center"/>
    </xf>
    <xf numFmtId="0" fontId="123" fillId="0" borderId="77" xfId="1200" applyFont="1" applyBorder="1" applyAlignment="1">
      <alignment horizontal="center" vertical="center" wrapText="1"/>
    </xf>
    <xf numFmtId="0" fontId="123" fillId="0" borderId="78" xfId="1200" applyFont="1" applyBorder="1" applyAlignment="1">
      <alignment horizontal="center" vertical="center" wrapText="1"/>
    </xf>
    <xf numFmtId="0" fontId="123" fillId="0" borderId="79" xfId="1200" applyFont="1" applyBorder="1" applyAlignment="1">
      <alignment horizontal="center" vertical="center" wrapText="1"/>
    </xf>
    <xf numFmtId="0" fontId="123" fillId="0" borderId="8" xfId="1200" applyFont="1" applyBorder="1" applyAlignment="1">
      <alignment horizontal="center" vertical="center" wrapText="1"/>
    </xf>
    <xf numFmtId="0" fontId="123" fillId="0" borderId="11" xfId="1200" applyFont="1" applyBorder="1" applyAlignment="1">
      <alignment horizontal="center" vertical="center" wrapText="1"/>
    </xf>
    <xf numFmtId="0" fontId="123" fillId="0" borderId="9" xfId="1200" applyFont="1" applyBorder="1" applyAlignment="1">
      <alignment horizontal="center" vertical="center" wrapText="1"/>
    </xf>
    <xf numFmtId="0" fontId="137" fillId="0" borderId="31" xfId="1200" applyFont="1" applyBorder="1" applyAlignment="1">
      <alignment horizontal="center" wrapText="1"/>
    </xf>
    <xf numFmtId="0" fontId="137" fillId="0" borderId="0" xfId="1200" applyFont="1" applyBorder="1" applyAlignment="1">
      <alignment horizontal="center"/>
    </xf>
    <xf numFmtId="0" fontId="137" fillId="0" borderId="30" xfId="1200" applyFont="1" applyBorder="1" applyAlignment="1">
      <alignment horizontal="center"/>
    </xf>
    <xf numFmtId="0" fontId="137" fillId="0" borderId="31" xfId="1200" applyFont="1" applyBorder="1" applyAlignment="1">
      <alignment horizontal="center" vertical="top" wrapText="1"/>
    </xf>
    <xf numFmtId="0" fontId="137" fillId="0" borderId="0" xfId="1200" applyFont="1" applyBorder="1" applyAlignment="1">
      <alignment horizontal="center" vertical="top"/>
    </xf>
    <xf numFmtId="0" fontId="137" fillId="0" borderId="30" xfId="1200" applyFont="1" applyBorder="1" applyAlignment="1">
      <alignment horizontal="center" vertical="top"/>
    </xf>
    <xf numFmtId="203" fontId="124" fillId="0" borderId="0" xfId="1200" applyNumberFormat="1" applyFont="1" applyBorder="1" applyAlignment="1">
      <alignment horizontal="left" vertical="center"/>
    </xf>
    <xf numFmtId="203" fontId="123" fillId="0" borderId="0" xfId="1200" applyNumberFormat="1" applyFont="1" applyBorder="1" applyAlignment="1">
      <alignment horizontal="left" vertical="center"/>
    </xf>
    <xf numFmtId="0" fontId="123" fillId="0" borderId="69" xfId="1200" applyFont="1" applyBorder="1" applyAlignment="1">
      <alignment horizontal="center" vertical="center" wrapText="1"/>
    </xf>
    <xf numFmtId="0" fontId="123" fillId="0" borderId="70" xfId="1200" applyFont="1" applyBorder="1" applyAlignment="1">
      <alignment horizontal="center" vertical="center"/>
    </xf>
    <xf numFmtId="0" fontId="123" fillId="0" borderId="71" xfId="1200" applyFont="1" applyBorder="1" applyAlignment="1">
      <alignment horizontal="center" vertical="center"/>
    </xf>
    <xf numFmtId="0" fontId="123" fillId="0" borderId="72" xfId="1200" applyFont="1" applyBorder="1" applyAlignment="1">
      <alignment horizontal="center" vertical="center"/>
    </xf>
    <xf numFmtId="0" fontId="123" fillId="0" borderId="73" xfId="1200" applyFont="1" applyBorder="1" applyAlignment="1">
      <alignment horizontal="center" vertical="center"/>
    </xf>
    <xf numFmtId="0" fontId="123" fillId="0" borderId="74" xfId="1200" applyFont="1" applyBorder="1" applyAlignment="1">
      <alignment horizontal="center" vertical="center"/>
    </xf>
    <xf numFmtId="0" fontId="123" fillId="0" borderId="8" xfId="1200" applyFont="1" applyBorder="1" applyAlignment="1">
      <alignment horizontal="center" vertical="center"/>
    </xf>
    <xf numFmtId="0" fontId="148" fillId="0" borderId="73" xfId="1200" applyFont="1" applyBorder="1" applyAlignment="1">
      <alignment horizontal="center" vertical="center"/>
    </xf>
    <xf numFmtId="0" fontId="148" fillId="0" borderId="74" xfId="1200" applyFont="1" applyBorder="1" applyAlignment="1">
      <alignment horizontal="center" vertical="center"/>
    </xf>
    <xf numFmtId="0" fontId="148" fillId="0" borderId="8" xfId="1200" applyFont="1" applyBorder="1" applyAlignment="1">
      <alignment horizontal="center" vertical="center"/>
    </xf>
    <xf numFmtId="0" fontId="148" fillId="0" borderId="69" xfId="1200" applyFont="1" applyBorder="1" applyAlignment="1">
      <alignment horizontal="center" vertical="center"/>
    </xf>
    <xf numFmtId="0" fontId="148" fillId="0" borderId="70" xfId="1200" applyFont="1" applyBorder="1" applyAlignment="1">
      <alignment horizontal="center" vertical="center"/>
    </xf>
    <xf numFmtId="0" fontId="148" fillId="0" borderId="56" xfId="1200" applyFont="1" applyBorder="1" applyAlignment="1">
      <alignment horizontal="center" vertical="center"/>
    </xf>
    <xf numFmtId="0" fontId="148" fillId="0" borderId="71" xfId="1200" applyFont="1" applyBorder="1" applyAlignment="1">
      <alignment horizontal="center" vertical="center"/>
    </xf>
    <xf numFmtId="0" fontId="148" fillId="0" borderId="48" xfId="1200" applyFont="1" applyBorder="1" applyAlignment="1">
      <alignment horizontal="center" vertical="center"/>
    </xf>
    <xf numFmtId="0" fontId="148" fillId="0" borderId="72" xfId="1200" applyFont="1" applyBorder="1" applyAlignment="1">
      <alignment horizontal="center" vertical="center"/>
    </xf>
    <xf numFmtId="224" fontId="123" fillId="0" borderId="0" xfId="0" applyNumberFormat="1" applyFont="1" applyBorder="1" applyAlignment="1">
      <alignment horizontal="left" vertical="center" shrinkToFit="1"/>
    </xf>
    <xf numFmtId="203" fontId="123" fillId="0" borderId="0" xfId="1200" applyNumberFormat="1" applyFont="1" applyBorder="1" applyAlignment="1">
      <alignment horizontal="center" vertical="center"/>
    </xf>
    <xf numFmtId="0" fontId="140" fillId="0" borderId="0" xfId="1200" applyFont="1" applyBorder="1" applyAlignment="1">
      <alignment horizontal="center" vertical="center"/>
    </xf>
    <xf numFmtId="224" fontId="140" fillId="0" borderId="0" xfId="0" applyNumberFormat="1" applyFont="1" applyBorder="1" applyAlignment="1">
      <alignment horizontal="left" vertical="center"/>
    </xf>
    <xf numFmtId="203" fontId="140" fillId="0" borderId="0" xfId="1200" applyNumberFormat="1" applyFont="1" applyBorder="1" applyAlignment="1">
      <alignment horizontal="left" vertical="center"/>
    </xf>
    <xf numFmtId="0" fontId="113" fillId="0" borderId="59" xfId="1201" applyFont="1" applyBorder="1" applyAlignment="1">
      <alignment horizontal="center" vertical="center"/>
    </xf>
    <xf numFmtId="0" fontId="111" fillId="0" borderId="1" xfId="1199" applyFont="1" applyFill="1" applyBorder="1" applyAlignment="1">
      <alignment horizontal="center" vertical="center"/>
    </xf>
    <xf numFmtId="0" fontId="111" fillId="0" borderId="46" xfId="1199" applyFont="1" applyFill="1" applyBorder="1" applyAlignment="1">
      <alignment horizontal="center" vertical="center"/>
    </xf>
    <xf numFmtId="0" fontId="111" fillId="0" borderId="82" xfId="1199" applyFont="1" applyFill="1" applyBorder="1" applyAlignment="1">
      <alignment horizontal="center" vertical="center"/>
    </xf>
    <xf numFmtId="0" fontId="111" fillId="0" borderId="83" xfId="1199" applyFont="1" applyFill="1" applyBorder="1" applyAlignment="1">
      <alignment horizontal="center" vertical="center"/>
    </xf>
    <xf numFmtId="0" fontId="111" fillId="0" borderId="25" xfId="1199" applyFont="1" applyFill="1" applyBorder="1" applyAlignment="1">
      <alignment horizontal="center" vertical="center"/>
    </xf>
    <xf numFmtId="0" fontId="111" fillId="0" borderId="84" xfId="1199" applyFont="1" applyFill="1" applyBorder="1" applyAlignment="1">
      <alignment horizontal="center" vertical="center" textRotation="255"/>
    </xf>
    <xf numFmtId="0" fontId="111" fillId="0" borderId="74" xfId="1199" applyFont="1" applyFill="1" applyBorder="1" applyAlignment="1">
      <alignment horizontal="center" vertical="center" textRotation="255"/>
    </xf>
    <xf numFmtId="0" fontId="111" fillId="0" borderId="8" xfId="1199" applyFont="1" applyFill="1" applyBorder="1" applyAlignment="1">
      <alignment horizontal="center" vertical="center" textRotation="255"/>
    </xf>
    <xf numFmtId="0" fontId="111" fillId="0" borderId="84" xfId="1199" applyFont="1" applyFill="1" applyBorder="1" applyAlignment="1">
      <alignment horizontal="center" vertical="center" textRotation="255" wrapText="1"/>
    </xf>
    <xf numFmtId="0" fontId="111" fillId="0" borderId="74" xfId="0" applyFont="1" applyBorder="1" applyAlignment="1">
      <alignment horizontal="center" vertical="center" textRotation="255"/>
    </xf>
    <xf numFmtId="0" fontId="111" fillId="0" borderId="8" xfId="0" applyFont="1" applyBorder="1" applyAlignment="1">
      <alignment horizontal="center" vertical="center" textRotation="255"/>
    </xf>
    <xf numFmtId="41" fontId="111" fillId="0" borderId="85" xfId="1199" applyNumberFormat="1" applyFont="1" applyFill="1" applyBorder="1" applyAlignment="1">
      <alignment horizontal="center" vertical="center"/>
    </xf>
    <xf numFmtId="41" fontId="111" fillId="0" borderId="86" xfId="1199" applyNumberFormat="1" applyFont="1" applyFill="1" applyBorder="1" applyAlignment="1">
      <alignment horizontal="center" vertical="center"/>
    </xf>
    <xf numFmtId="41" fontId="111" fillId="0" borderId="37" xfId="1199" applyNumberFormat="1" applyFont="1" applyFill="1" applyBorder="1" applyAlignment="1">
      <alignment horizontal="center" vertical="center"/>
    </xf>
    <xf numFmtId="41" fontId="111" fillId="0" borderId="42" xfId="1199" applyNumberFormat="1" applyFont="1" applyFill="1" applyBorder="1" applyAlignment="1">
      <alignment horizontal="center" vertical="center"/>
    </xf>
    <xf numFmtId="41" fontId="111" fillId="0" borderId="43" xfId="1199" applyNumberFormat="1" applyFont="1" applyFill="1" applyBorder="1" applyAlignment="1">
      <alignment horizontal="center" vertical="center"/>
    </xf>
    <xf numFmtId="41" fontId="111" fillId="0" borderId="39" xfId="1199" applyNumberFormat="1" applyFont="1" applyFill="1" applyBorder="1" applyAlignment="1">
      <alignment horizontal="center" vertical="center"/>
    </xf>
    <xf numFmtId="41" fontId="111" fillId="0" borderId="87" xfId="1199" applyNumberFormat="1" applyFont="1" applyFill="1" applyBorder="1" applyAlignment="1">
      <alignment horizontal="center" vertical="center"/>
    </xf>
    <xf numFmtId="41" fontId="111" fillId="0" borderId="88" xfId="1199" applyNumberFormat="1" applyFont="1" applyFill="1" applyBorder="1" applyAlignment="1">
      <alignment horizontal="center" vertical="center"/>
    </xf>
    <xf numFmtId="41" fontId="111" fillId="0" borderId="40" xfId="1199" applyNumberFormat="1" applyFont="1" applyFill="1" applyBorder="1" applyAlignment="1">
      <alignment horizontal="center" vertical="center"/>
    </xf>
    <xf numFmtId="0" fontId="111" fillId="0" borderId="84" xfId="1199" applyFont="1" applyFill="1" applyBorder="1" applyAlignment="1">
      <alignment horizontal="center" vertical="center" textRotation="255" wrapText="1" readingOrder="1"/>
    </xf>
    <xf numFmtId="0" fontId="111" fillId="0" borderId="74" xfId="1199" applyFont="1" applyFill="1" applyBorder="1" applyAlignment="1">
      <alignment horizontal="center" vertical="center" textRotation="255" readingOrder="1"/>
    </xf>
    <xf numFmtId="0" fontId="111" fillId="0" borderId="8" xfId="1199" applyFont="1" applyFill="1" applyBorder="1" applyAlignment="1">
      <alignment horizontal="center" vertical="center" textRotation="255" readingOrder="1"/>
    </xf>
    <xf numFmtId="0" fontId="113" fillId="0" borderId="74" xfId="1199" applyFont="1" applyFill="1" applyBorder="1" applyAlignment="1">
      <alignment horizontal="center" vertical="center" textRotation="255"/>
    </xf>
    <xf numFmtId="0" fontId="111" fillId="0" borderId="2" xfId="1198" applyFont="1" applyFill="1" applyBorder="1" applyAlignment="1">
      <alignment horizontal="center" vertical="center"/>
    </xf>
    <xf numFmtId="0" fontId="111" fillId="0" borderId="5" xfId="1198" applyFont="1" applyFill="1" applyBorder="1" applyAlignment="1">
      <alignment horizontal="center" vertical="center"/>
    </xf>
    <xf numFmtId="41" fontId="111" fillId="0" borderId="5" xfId="1198" applyNumberFormat="1" applyFont="1" applyFill="1" applyBorder="1" applyAlignment="1">
      <alignment horizontal="center" vertical="center"/>
    </xf>
    <xf numFmtId="0" fontId="111" fillId="0" borderId="60" xfId="1198" applyFont="1" applyFill="1" applyBorder="1" applyAlignment="1">
      <alignment horizontal="center" vertical="center"/>
    </xf>
    <xf numFmtId="0" fontId="111" fillId="0" borderId="38" xfId="1198" applyFont="1" applyFill="1" applyBorder="1" applyAlignment="1">
      <alignment horizontal="center" vertical="center"/>
    </xf>
    <xf numFmtId="0" fontId="113" fillId="53" borderId="80" xfId="1198" applyFont="1" applyFill="1" applyBorder="1" applyAlignment="1">
      <alignment horizontal="center" vertical="center"/>
    </xf>
    <xf numFmtId="0" fontId="113" fillId="53" borderId="57" xfId="1198" applyFont="1" applyFill="1" applyBorder="1" applyAlignment="1">
      <alignment horizontal="center" vertical="center"/>
    </xf>
    <xf numFmtId="41" fontId="128" fillId="53" borderId="57" xfId="1198" applyNumberFormat="1" applyFont="1" applyFill="1" applyBorder="1" applyAlignment="1">
      <alignment horizontal="center" vertical="center"/>
    </xf>
    <xf numFmtId="0" fontId="113" fillId="0" borderId="2" xfId="1198" applyFont="1" applyFill="1" applyBorder="1" applyAlignment="1">
      <alignment horizontal="center" vertical="center"/>
    </xf>
    <xf numFmtId="0" fontId="113" fillId="0" borderId="5" xfId="1198" applyFont="1" applyFill="1" applyBorder="1" applyAlignment="1">
      <alignment horizontal="center" vertical="center"/>
    </xf>
    <xf numFmtId="0" fontId="113" fillId="0" borderId="81" xfId="1198" applyFont="1" applyFill="1" applyBorder="1" applyAlignment="1">
      <alignment horizontal="center" vertical="center"/>
    </xf>
    <xf numFmtId="0" fontId="113" fillId="0" borderId="43" xfId="1198" applyFont="1" applyFill="1" applyBorder="1" applyAlignment="1">
      <alignment horizontal="center" vertical="center"/>
    </xf>
    <xf numFmtId="0" fontId="113" fillId="0" borderId="39" xfId="1198" applyFont="1" applyFill="1" applyBorder="1" applyAlignment="1">
      <alignment horizontal="center" vertical="center"/>
    </xf>
    <xf numFmtId="41" fontId="164" fillId="0" borderId="95" xfId="770" applyFont="1" applyBorder="1" applyAlignment="1">
      <alignment horizontal="left" vertical="center"/>
    </xf>
    <xf numFmtId="41" fontId="164" fillId="0" borderId="93" xfId="770" applyFont="1" applyBorder="1" applyAlignment="1">
      <alignment horizontal="left" vertical="center"/>
    </xf>
    <xf numFmtId="0" fontId="163" fillId="0" borderId="28" xfId="1175" applyFont="1" applyBorder="1" applyAlignment="1">
      <alignment horizontal="center"/>
    </xf>
    <xf numFmtId="0" fontId="165" fillId="0" borderId="90" xfId="1175" applyFont="1" applyBorder="1" applyAlignment="1">
      <alignment horizontal="left" vertical="center"/>
    </xf>
    <xf numFmtId="0" fontId="165" fillId="0" borderId="91" xfId="1175" applyFont="1" applyBorder="1" applyAlignment="1">
      <alignment horizontal="left" vertical="center"/>
    </xf>
    <xf numFmtId="0" fontId="165" fillId="0" borderId="92" xfId="1175" applyFont="1" applyBorder="1" applyAlignment="1">
      <alignment horizontal="left" vertical="center"/>
    </xf>
    <xf numFmtId="268" fontId="165" fillId="0" borderId="1" xfId="1175" applyNumberFormat="1" applyFont="1" applyBorder="1" applyAlignment="1">
      <alignment horizontal="center" vertical="center" shrinkToFit="1"/>
    </xf>
    <xf numFmtId="268" fontId="165" fillId="0" borderId="25" xfId="1175" applyNumberFormat="1" applyFont="1" applyBorder="1" applyAlignment="1">
      <alignment horizontal="center" vertical="center" shrinkToFit="1"/>
    </xf>
    <xf numFmtId="268" fontId="165" fillId="0" borderId="93" xfId="1175" applyNumberFormat="1" applyFont="1" applyBorder="1" applyAlignment="1">
      <alignment horizontal="center" vertical="center" shrinkToFit="1"/>
    </xf>
    <xf numFmtId="0" fontId="165" fillId="48" borderId="95" xfId="1175" applyFont="1" applyFill="1" applyBorder="1" applyAlignment="1">
      <alignment horizontal="center" vertical="center"/>
    </xf>
    <xf numFmtId="0" fontId="165" fillId="48" borderId="93" xfId="1175" applyFont="1" applyFill="1" applyBorder="1" applyAlignment="1">
      <alignment horizontal="center" vertical="center"/>
    </xf>
    <xf numFmtId="41" fontId="165" fillId="48" borderId="96" xfId="1175" applyNumberFormat="1" applyFont="1" applyFill="1" applyBorder="1" applyAlignment="1">
      <alignment horizontal="center" vertical="center"/>
    </xf>
    <xf numFmtId="41" fontId="165" fillId="48" borderId="97" xfId="1175" applyNumberFormat="1" applyFont="1" applyFill="1" applyBorder="1" applyAlignment="1">
      <alignment horizontal="center" vertical="center"/>
    </xf>
    <xf numFmtId="0" fontId="42" fillId="0" borderId="0" xfId="1200" applyFont="1" applyBorder="1" applyAlignment="1">
      <alignment horizontal="center" vertical="center"/>
    </xf>
    <xf numFmtId="224" fontId="42" fillId="0" borderId="0" xfId="0" applyNumberFormat="1" applyFont="1" applyBorder="1" applyAlignment="1">
      <alignment horizontal="left" vertical="center"/>
    </xf>
    <xf numFmtId="203" fontId="42" fillId="0" borderId="0" xfId="1200" applyNumberFormat="1" applyFont="1" applyBorder="1" applyAlignment="1">
      <alignment horizontal="left" vertical="center"/>
    </xf>
    <xf numFmtId="41" fontId="111" fillId="0" borderId="2" xfId="0" applyNumberFormat="1" applyFont="1" applyFill="1" applyBorder="1" applyAlignment="1" applyProtection="1">
      <alignment horizontal="left" vertical="center"/>
    </xf>
    <xf numFmtId="0" fontId="111" fillId="0" borderId="5" xfId="0" applyFont="1" applyFill="1" applyBorder="1" applyAlignment="1">
      <alignment horizontal="left" vertical="center"/>
    </xf>
    <xf numFmtId="0" fontId="113" fillId="48" borderId="80" xfId="0" applyNumberFormat="1" applyFont="1" applyFill="1" applyBorder="1" applyAlignment="1" applyProtection="1">
      <alignment horizontal="center" vertical="center" wrapText="1"/>
    </xf>
    <xf numFmtId="0" fontId="113" fillId="48" borderId="57" xfId="0" applyNumberFormat="1" applyFont="1" applyFill="1" applyBorder="1" applyAlignment="1" applyProtection="1">
      <alignment horizontal="center" vertical="center" wrapText="1"/>
    </xf>
    <xf numFmtId="41" fontId="111" fillId="0" borderId="41" xfId="0" applyNumberFormat="1" applyFont="1" applyFill="1" applyBorder="1" applyAlignment="1" applyProtection="1">
      <alignment horizontal="left" vertical="center"/>
    </xf>
    <xf numFmtId="0" fontId="111" fillId="0" borderId="29" xfId="0" applyFont="1" applyFill="1" applyBorder="1" applyAlignment="1">
      <alignment vertical="center"/>
    </xf>
    <xf numFmtId="41" fontId="111" fillId="0" borderId="81" xfId="0" applyNumberFormat="1" applyFont="1" applyFill="1" applyBorder="1" applyAlignment="1">
      <alignment horizontal="left" vertical="center"/>
    </xf>
    <xf numFmtId="0" fontId="111" fillId="0" borderId="39" xfId="0" applyFont="1" applyFill="1" applyBorder="1" applyAlignment="1">
      <alignment horizontal="left" vertical="center"/>
    </xf>
    <xf numFmtId="41" fontId="111" fillId="0" borderId="5" xfId="0" applyNumberFormat="1" applyFont="1" applyFill="1" applyBorder="1" applyAlignment="1" applyProtection="1">
      <alignment horizontal="left" vertical="center"/>
    </xf>
    <xf numFmtId="0" fontId="113" fillId="0" borderId="89" xfId="0" applyFont="1" applyFill="1" applyBorder="1" applyAlignment="1">
      <alignment horizontal="center" vertical="center" wrapText="1"/>
    </xf>
    <xf numFmtId="0" fontId="113" fillId="0" borderId="36" xfId="0" applyFont="1" applyFill="1" applyBorder="1" applyAlignment="1">
      <alignment horizontal="center" vertical="center" wrapText="1"/>
    </xf>
    <xf numFmtId="0" fontId="111" fillId="0" borderId="5" xfId="0" applyFont="1" applyFill="1" applyBorder="1" applyAlignment="1">
      <alignment vertical="center"/>
    </xf>
    <xf numFmtId="41" fontId="115" fillId="0" borderId="41" xfId="0" applyNumberFormat="1" applyFont="1" applyFill="1" applyBorder="1" applyAlignment="1" applyProtection="1">
      <alignment horizontal="left" vertical="center"/>
    </xf>
    <xf numFmtId="0" fontId="115" fillId="0" borderId="29" xfId="0" applyFont="1" applyFill="1" applyBorder="1" applyAlignment="1">
      <alignment vertical="center"/>
    </xf>
    <xf numFmtId="0" fontId="118" fillId="48" borderId="57" xfId="0" applyNumberFormat="1" applyFont="1" applyFill="1" applyBorder="1" applyAlignment="1" applyProtection="1">
      <alignment horizontal="center" vertical="center" wrapText="1"/>
    </xf>
    <xf numFmtId="0" fontId="115" fillId="0" borderId="5" xfId="0" applyFont="1" applyFill="1" applyBorder="1" applyAlignment="1">
      <alignment horizontal="left" vertical="center"/>
    </xf>
    <xf numFmtId="41" fontId="115" fillId="0" borderId="5" xfId="0" applyNumberFormat="1" applyFont="1" applyFill="1" applyBorder="1" applyAlignment="1" applyProtection="1">
      <alignment horizontal="left" vertical="center"/>
    </xf>
    <xf numFmtId="0" fontId="118" fillId="0" borderId="89" xfId="0" applyFont="1" applyFill="1" applyBorder="1" applyAlignment="1">
      <alignment horizontal="center" vertical="center" wrapText="1"/>
    </xf>
    <xf numFmtId="0" fontId="118" fillId="0" borderId="36" xfId="0" applyFont="1" applyFill="1" applyBorder="1" applyAlignment="1">
      <alignment horizontal="center" vertical="center" wrapText="1"/>
    </xf>
    <xf numFmtId="0" fontId="115" fillId="0" borderId="5" xfId="0" applyFont="1" applyFill="1" applyBorder="1" applyAlignment="1">
      <alignment vertical="center"/>
    </xf>
    <xf numFmtId="0" fontId="178" fillId="0" borderId="95" xfId="1139" applyFont="1" applyBorder="1" applyAlignment="1">
      <alignment horizontal="center" vertical="center"/>
    </xf>
    <xf numFmtId="0" fontId="178" fillId="0" borderId="93" xfId="1139" applyFont="1" applyBorder="1" applyAlignment="1">
      <alignment horizontal="center" vertical="center"/>
    </xf>
    <xf numFmtId="0" fontId="178" fillId="53" borderId="96" xfId="1139" applyFont="1" applyFill="1" applyBorder="1" applyAlignment="1">
      <alignment horizontal="center" vertical="center"/>
    </xf>
    <xf numFmtId="0" fontId="178" fillId="53" borderId="97" xfId="1139" applyFont="1" applyFill="1" applyBorder="1" applyAlignment="1">
      <alignment horizontal="center" vertical="center"/>
    </xf>
    <xf numFmtId="0" fontId="176" fillId="0" borderId="131" xfId="1139" applyFont="1" applyBorder="1" applyAlignment="1">
      <alignment horizontal="center" vertical="center"/>
    </xf>
    <xf numFmtId="0" fontId="176" fillId="0" borderId="132" xfId="1139" applyFont="1" applyBorder="1" applyAlignment="1">
      <alignment horizontal="center" vertical="center"/>
    </xf>
    <xf numFmtId="0" fontId="176" fillId="0" borderId="133" xfId="1139" applyFont="1" applyBorder="1" applyAlignment="1">
      <alignment horizontal="center" vertical="center"/>
    </xf>
    <xf numFmtId="0" fontId="178" fillId="0" borderId="90" xfId="1139" applyFont="1" applyBorder="1" applyAlignment="1">
      <alignment horizontal="left" vertical="center"/>
    </xf>
    <xf numFmtId="0" fontId="178" fillId="0" borderId="91" xfId="1139" applyFont="1" applyBorder="1" applyAlignment="1">
      <alignment horizontal="left" vertical="center"/>
    </xf>
    <xf numFmtId="0" fontId="178" fillId="0" borderId="92" xfId="1139" applyFont="1" applyBorder="1" applyAlignment="1">
      <alignment horizontal="left" vertical="center"/>
    </xf>
    <xf numFmtId="0" fontId="178" fillId="0" borderId="1" xfId="1139" applyFont="1" applyBorder="1" applyAlignment="1">
      <alignment horizontal="left" vertical="center"/>
    </xf>
    <xf numFmtId="0" fontId="178" fillId="0" borderId="25" xfId="1139" applyFont="1" applyBorder="1" applyAlignment="1">
      <alignment horizontal="left" vertical="center"/>
    </xf>
    <xf numFmtId="0" fontId="178" fillId="0" borderId="93" xfId="1139" applyFont="1" applyBorder="1" applyAlignment="1">
      <alignment horizontal="left" vertical="center"/>
    </xf>
    <xf numFmtId="42" fontId="178" fillId="0" borderId="9" xfId="2297" applyFont="1" applyBorder="1" applyAlignment="1">
      <alignment horizontal="center" vertical="center"/>
    </xf>
    <xf numFmtId="42" fontId="178" fillId="0" borderId="10" xfId="2297" applyFont="1" applyBorder="1" applyAlignment="1">
      <alignment horizontal="center" vertical="center"/>
    </xf>
    <xf numFmtId="0" fontId="178" fillId="53" borderId="11" xfId="1139" applyFont="1" applyFill="1" applyBorder="1" applyAlignment="1">
      <alignment horizontal="center" vertical="center"/>
    </xf>
    <xf numFmtId="0" fontId="178" fillId="53" borderId="9" xfId="1139" applyFont="1" applyFill="1" applyBorder="1" applyAlignment="1">
      <alignment horizontal="center" vertical="center"/>
    </xf>
    <xf numFmtId="0" fontId="178" fillId="0" borderId="95" xfId="1139" applyFont="1" applyBorder="1" applyAlignment="1">
      <alignment horizontal="left" vertical="center"/>
    </xf>
    <xf numFmtId="0" fontId="177" fillId="0" borderId="95" xfId="1139" applyFont="1" applyBorder="1" applyAlignment="1">
      <alignment horizontal="center" vertical="center"/>
    </xf>
    <xf numFmtId="0" fontId="177" fillId="0" borderId="93" xfId="1139" applyFont="1" applyBorder="1" applyAlignment="1">
      <alignment horizontal="center" vertical="center"/>
    </xf>
    <xf numFmtId="41" fontId="117" fillId="0" borderId="63" xfId="1069" applyNumberFormat="1" applyFont="1" applyFill="1" applyBorder="1" applyAlignment="1">
      <alignment horizontal="center" vertical="center" shrinkToFit="1"/>
    </xf>
    <xf numFmtId="41" fontId="117" fillId="0" borderId="35" xfId="1069" applyNumberFormat="1" applyFont="1" applyFill="1" applyBorder="1" applyAlignment="1">
      <alignment horizontal="center" vertical="center" shrinkToFit="1"/>
    </xf>
    <xf numFmtId="41" fontId="117" fillId="0" borderId="61" xfId="1069" applyNumberFormat="1" applyFont="1" applyFill="1" applyBorder="1" applyAlignment="1">
      <alignment horizontal="center" vertical="center" shrinkToFit="1"/>
    </xf>
    <xf numFmtId="41" fontId="117" fillId="0" borderId="41" xfId="1069" applyNumberFormat="1" applyFont="1" applyFill="1" applyBorder="1" applyAlignment="1">
      <alignment horizontal="center" vertical="center" shrinkToFit="1"/>
    </xf>
    <xf numFmtId="41" fontId="117" fillId="0" borderId="62" xfId="1069" applyNumberFormat="1" applyFont="1" applyFill="1" applyBorder="1" applyAlignment="1">
      <alignment horizontal="center" vertical="center" shrinkToFit="1"/>
    </xf>
    <xf numFmtId="41" fontId="117" fillId="0" borderId="29" xfId="1069" applyNumberFormat="1" applyFont="1" applyFill="1" applyBorder="1" applyAlignment="1">
      <alignment horizontal="center" vertical="center" shrinkToFit="1"/>
    </xf>
    <xf numFmtId="0" fontId="179" fillId="0" borderId="0" xfId="1139" quotePrefix="1" applyFont="1" applyAlignment="1">
      <alignment horizontal="center" vertical="center"/>
    </xf>
    <xf numFmtId="0" fontId="179" fillId="0" borderId="0" xfId="1139" applyFont="1" applyAlignment="1">
      <alignment horizontal="center" vertical="center"/>
    </xf>
    <xf numFmtId="0" fontId="180" fillId="55" borderId="9" xfId="1139" applyFont="1" applyFill="1" applyBorder="1" applyAlignment="1">
      <alignment horizontal="center" vertical="center"/>
    </xf>
    <xf numFmtId="41" fontId="180" fillId="55" borderId="9" xfId="2298" applyFont="1" applyFill="1" applyBorder="1" applyAlignment="1">
      <alignment horizontal="center" vertical="center"/>
    </xf>
    <xf numFmtId="41" fontId="180" fillId="55" borderId="1" xfId="2298" applyFont="1" applyFill="1" applyBorder="1" applyAlignment="1">
      <alignment horizontal="center" vertical="center"/>
    </xf>
    <xf numFmtId="41" fontId="180" fillId="55" borderId="93" xfId="2298" applyFont="1" applyFill="1" applyBorder="1" applyAlignment="1">
      <alignment horizontal="center" vertical="center"/>
    </xf>
    <xf numFmtId="0" fontId="0" fillId="0" borderId="0" xfId="0" applyFill="1"/>
    <xf numFmtId="0" fontId="124" fillId="0" borderId="58" xfId="0" applyFont="1" applyBorder="1" applyAlignment="1">
      <alignment horizontal="center" vertical="center"/>
    </xf>
    <xf numFmtId="0" fontId="124" fillId="0" borderId="68" xfId="0" applyFont="1" applyBorder="1" applyAlignment="1">
      <alignment horizontal="center" vertical="center"/>
    </xf>
    <xf numFmtId="0" fontId="124" fillId="0" borderId="67" xfId="0" applyFont="1" applyBorder="1" applyAlignment="1">
      <alignment horizontal="center" vertical="center"/>
    </xf>
    <xf numFmtId="0" fontId="124" fillId="0" borderId="55" xfId="0" applyFont="1" applyBorder="1" applyAlignment="1">
      <alignment horizontal="center" vertical="center"/>
    </xf>
  </cellXfs>
  <cellStyles count="2299">
    <cellStyle name="#" xfId="2"/>
    <cellStyle name="#,##0" xfId="3"/>
    <cellStyle name="#,##0.0" xfId="4"/>
    <cellStyle name="#,##0.00" xfId="5"/>
    <cellStyle name="#,##0.000" xfId="6"/>
    <cellStyle name="#,##0_2.비상발전기관급내역서" xfId="2228"/>
    <cellStyle name="$" xfId="7"/>
    <cellStyle name="$_db진흥" xfId="10"/>
    <cellStyle name="$_SE40" xfId="11"/>
    <cellStyle name="$_견적2" xfId="8"/>
    <cellStyle name="$_기아" xfId="9"/>
    <cellStyle name="(##.00)" xfId="12"/>
    <cellStyle name="??&amp;O?&amp;H?_x0008__x000f__x0007_?_x0007__x0001__x0001_" xfId="13"/>
    <cellStyle name="??&amp;O?&amp;H?_x0008_??_x0007__x0001__x0001_" xfId="14"/>
    <cellStyle name="?W?_laroux" xfId="15"/>
    <cellStyle name="_004 - 환경기초 민간위탁(공동오수-개별오수-하수관로) " xfId="16"/>
    <cellStyle name="_046-TS 시스템" xfId="17"/>
    <cellStyle name="_047-TS 시스템(축산)" xfId="18"/>
    <cellStyle name="_060803-1" xfId="2229"/>
    <cellStyle name="_2.비상발전기관급내역서" xfId="2230"/>
    <cellStyle name="_2002년 환경기초 민간위탁(2003년 물가상승적용) " xfId="19"/>
    <cellStyle name="_2007 MRO 가격내역서(1)" xfId="20"/>
    <cellStyle name="_3-2도로일위대가(향남)" xfId="21"/>
    <cellStyle name="_Book1" xfId="2257"/>
    <cellStyle name="_CCTV내역서" xfId="57"/>
    <cellStyle name="_TSQ-050728-001(설계가)" xfId="58"/>
    <cellStyle name="_TSQ-060209-001" xfId="59"/>
    <cellStyle name="_TSQ-060823-001" xfId="60"/>
    <cellStyle name="_견적서(랜장비R2)03(1).13" xfId="2231"/>
    <cellStyle name="_견적서-2(관급)060615" xfId="2232"/>
    <cellStyle name="_견적서-한국산전" xfId="22"/>
    <cellStyle name="_결재실행(동의대캐리어관)" xfId="2233"/>
    <cellStyle name="_결재실행-3" xfId="2234"/>
    <cellStyle name="_결재실행-4" xfId="2235"/>
    <cellStyle name="_결재실행-5" xfId="2236"/>
    <cellStyle name="_경남여고-전기내역서-" xfId="23"/>
    <cellStyle name="_경부선 밀양역 하중계신호기외 13개소 신호기 철거설치 기타공사" xfId="24"/>
    <cellStyle name="_공사계약-LIST" xfId="2237"/>
    <cellStyle name="_교환대내역서" xfId="25"/>
    <cellStyle name="_김해전기내역서-수정" xfId="2238"/>
    <cellStyle name="_김해전기내역서-수정-실행금액" xfId="2239"/>
    <cellStyle name="_남강-CCTV - TS시스템견적서(HD제출용)-1229" xfId="26"/>
    <cellStyle name="_내역B동" xfId="28"/>
    <cellStyle name="_내역서(문화예술회관)-수정" xfId="2240"/>
    <cellStyle name="_내역서(전광판)-1" xfId="27"/>
    <cellStyle name="_단가견적(2개사)-2006년도블록감시시스템제작설치" xfId="29"/>
    <cellStyle name="_단가표" xfId="2241"/>
    <cellStyle name="_대연동 견적서" xfId="2242"/>
    <cellStyle name="_동경" xfId="30"/>
    <cellStyle name="_방송관급내역서" xfId="2243"/>
    <cellStyle name="_방송장비" xfId="31"/>
    <cellStyle name="_부산공무원연수원 06(1).08.07" xfId="2244"/>
    <cellStyle name="_부산박물관 자동제어 교체 내역서" xfId="2245"/>
    <cellStyle name="_부산역 보일러실 개수에 따른 전력설비 신설 기타공사(최종)" xfId="32"/>
    <cellStyle name="_부산지사 어린이집 신축 전기설비 신설공사-수량및단가산출서(07,10,26)" xfId="33"/>
    <cellStyle name="_부산진CY 조명타워 개량공사(1차)" xfId="34"/>
    <cellStyle name="_부산항유지보수-전기내역서(맨홀+철거)" xfId="35"/>
    <cellStyle name="_부원동 상세견적서060622(소프트스타터기동방식)" xfId="36"/>
    <cellStyle name="_분전반(kd-수산과학원)" xfId="37"/>
    <cellStyle name="_사본 - 수량및단가산출서,설계서(부산진역구내 분기기 조명설비 " xfId="38"/>
    <cellStyle name="_설계변경내역서(전기,계측제어,설비보완)" xfId="39"/>
    <cellStyle name="_설비내역" xfId="2246"/>
    <cellStyle name="_설비분담내역(남성)" xfId="2247"/>
    <cellStyle name="_설비분담내역(동영)" xfId="2248"/>
    <cellStyle name="_소프트웨어개발비산정 원가계산" xfId="40"/>
    <cellStyle name="_실행보고(전력저압반공사)-자료포함" xfId="2249"/>
    <cellStyle name="_우4건널목 (신호)" xfId="41"/>
    <cellStyle name="_인원계획표 " xfId="42"/>
    <cellStyle name="_인원계획표 _적격 " xfId="43"/>
    <cellStyle name="_입찰표지 " xfId="44"/>
    <cellStyle name="_장유TMS-(마이크로랩)동양경제연구원제출" xfId="45"/>
    <cellStyle name="_적격 " xfId="46"/>
    <cellStyle name="_적격 _집행갑지 " xfId="47"/>
    <cellStyle name="_적격(화산) " xfId="48"/>
    <cellStyle name="_전라선 " xfId="49"/>
    <cellStyle name="_전력내역" xfId="2250"/>
    <cellStyle name="_전력분담내역(동영)" xfId="2251"/>
    <cellStyle name="_전력분담내역(세이브)" xfId="2252"/>
    <cellStyle name="_정성군 내역서 최종 편집중" xfId="50"/>
    <cellStyle name="_집행갑지 " xfId="51"/>
    <cellStyle name="_태종대1차" xfId="2254"/>
    <cellStyle name="_태종대2차" xfId="2255"/>
    <cellStyle name="_통신제어장치 계약내역서-시설관리사업소" xfId="52"/>
    <cellStyle name="_한스콤-이정-견적서-060803-1" xfId="2256"/>
    <cellStyle name="_항만해운청전기산출근거" xfId="53"/>
    <cellStyle name="_화명-온도감시장치 단가견적" xfId="54"/>
    <cellStyle name="_화목하수종말처리장-수질계측기기(TMS)" xfId="55"/>
    <cellStyle name="_환경기초 민간위탁(공동오수-개별오수)-KKKK " xfId="56"/>
    <cellStyle name="’E‰Y [0.00]_laroux" xfId="61"/>
    <cellStyle name="’E‰Y_laroux" xfId="62"/>
    <cellStyle name="¤@?e_TEST-1 " xfId="66"/>
    <cellStyle name="+,-,0" xfId="63"/>
    <cellStyle name="△ []" xfId="64"/>
    <cellStyle name="△ [0]" xfId="65"/>
    <cellStyle name="" xfId="1"/>
    <cellStyle name="_전체집계" xfId="2253"/>
    <cellStyle name="0%" xfId="67"/>
    <cellStyle name="0.0" xfId="2258"/>
    <cellStyle name="0.0%" xfId="68"/>
    <cellStyle name="0.00" xfId="2259"/>
    <cellStyle name="0.00%" xfId="69"/>
    <cellStyle name="0.000%" xfId="70"/>
    <cellStyle name="0.0000%" xfId="71"/>
    <cellStyle name="1" xfId="72"/>
    <cellStyle name="1_1.전산장비관급내역서" xfId="2260"/>
    <cellStyle name="1_공무원교육원전기내역서" xfId="2261"/>
    <cellStyle name="1_공무원교육원통신내역서" xfId="2262"/>
    <cellStyle name="1_시민계략공사" xfId="73"/>
    <cellStyle name="1_시민계략공사_전기-한남" xfId="74"/>
    <cellStyle name="1_전기관급총괄-" xfId="75"/>
    <cellStyle name="1_전체집계" xfId="2263"/>
    <cellStyle name="1_주례여고다목적강당통신도급내역서(070626)" xfId="2264"/>
    <cellStyle name="19990216" xfId="76"/>
    <cellStyle name="¹eºÐA²_AIAIC°AuCoE² " xfId="77"/>
    <cellStyle name="²" xfId="78"/>
    <cellStyle name="2)" xfId="79"/>
    <cellStyle name="20% - 강조색1" xfId="80" builtinId="30" customBuiltin="1"/>
    <cellStyle name="20% - 강조색1 10" xfId="81"/>
    <cellStyle name="20% - 강조색1 11" xfId="82"/>
    <cellStyle name="20% - 강조색1 12" xfId="83"/>
    <cellStyle name="20% - 강조색1 13" xfId="84"/>
    <cellStyle name="20% - 강조색1 2" xfId="85"/>
    <cellStyle name="20% - 강조색1 3" xfId="86"/>
    <cellStyle name="20% - 강조색1 4" xfId="87"/>
    <cellStyle name="20% - 강조색1 5" xfId="88"/>
    <cellStyle name="20% - 강조색1 6" xfId="89"/>
    <cellStyle name="20% - 강조색1 7" xfId="90"/>
    <cellStyle name="20% - 강조색1 8" xfId="91"/>
    <cellStyle name="20% - 강조색1 9" xfId="92"/>
    <cellStyle name="20% - 강조색2" xfId="93" builtinId="34" customBuiltin="1"/>
    <cellStyle name="20% - 강조색2 10" xfId="94"/>
    <cellStyle name="20% - 강조색2 11" xfId="95"/>
    <cellStyle name="20% - 강조색2 12" xfId="96"/>
    <cellStyle name="20% - 강조색2 13" xfId="97"/>
    <cellStyle name="20% - 강조색2 2" xfId="98"/>
    <cellStyle name="20% - 강조색2 3" xfId="99"/>
    <cellStyle name="20% - 강조색2 4" xfId="100"/>
    <cellStyle name="20% - 강조색2 5" xfId="101"/>
    <cellStyle name="20% - 강조색2 6" xfId="102"/>
    <cellStyle name="20% - 강조색2 7" xfId="103"/>
    <cellStyle name="20% - 강조색2 8" xfId="104"/>
    <cellStyle name="20% - 강조색2 9" xfId="105"/>
    <cellStyle name="20% - 강조색3" xfId="106" builtinId="38" customBuiltin="1"/>
    <cellStyle name="20% - 강조색3 10" xfId="107"/>
    <cellStyle name="20% - 강조색3 11" xfId="108"/>
    <cellStyle name="20% - 강조색3 12" xfId="109"/>
    <cellStyle name="20% - 강조색3 13" xfId="110"/>
    <cellStyle name="20% - 강조색3 2" xfId="111"/>
    <cellStyle name="20% - 강조색3 3" xfId="112"/>
    <cellStyle name="20% - 강조색3 4" xfId="113"/>
    <cellStyle name="20% - 강조색3 5" xfId="114"/>
    <cellStyle name="20% - 강조색3 6" xfId="115"/>
    <cellStyle name="20% - 강조색3 7" xfId="116"/>
    <cellStyle name="20% - 강조색3 8" xfId="117"/>
    <cellStyle name="20% - 강조색3 9" xfId="118"/>
    <cellStyle name="20% - 강조색4" xfId="119" builtinId="42" customBuiltin="1"/>
    <cellStyle name="20% - 강조색4 10" xfId="120"/>
    <cellStyle name="20% - 강조색4 11" xfId="121"/>
    <cellStyle name="20% - 강조색4 12" xfId="122"/>
    <cellStyle name="20% - 강조색4 13" xfId="123"/>
    <cellStyle name="20% - 강조색4 2" xfId="124"/>
    <cellStyle name="20% - 강조색4 3" xfId="125"/>
    <cellStyle name="20% - 강조색4 4" xfId="126"/>
    <cellStyle name="20% - 강조색4 5" xfId="127"/>
    <cellStyle name="20% - 강조색4 6" xfId="128"/>
    <cellStyle name="20% - 강조색4 7" xfId="129"/>
    <cellStyle name="20% - 강조색4 8" xfId="130"/>
    <cellStyle name="20% - 강조색4 9" xfId="131"/>
    <cellStyle name="20% - 강조색5" xfId="132" builtinId="46" customBuiltin="1"/>
    <cellStyle name="20% - 강조색5 10" xfId="133"/>
    <cellStyle name="20% - 강조색5 11" xfId="134"/>
    <cellStyle name="20% - 강조색5 12" xfId="135"/>
    <cellStyle name="20% - 강조색5 13" xfId="136"/>
    <cellStyle name="20% - 강조색5 2" xfId="137"/>
    <cellStyle name="20% - 강조색5 3" xfId="138"/>
    <cellStyle name="20% - 강조색5 4" xfId="139"/>
    <cellStyle name="20% - 강조색5 5" xfId="140"/>
    <cellStyle name="20% - 강조색5 6" xfId="141"/>
    <cellStyle name="20% - 강조색5 7" xfId="142"/>
    <cellStyle name="20% - 강조색5 8" xfId="143"/>
    <cellStyle name="20% - 강조색5 9" xfId="144"/>
    <cellStyle name="20% - 강조색6" xfId="145" builtinId="50" customBuiltin="1"/>
    <cellStyle name="20% - 강조색6 10" xfId="146"/>
    <cellStyle name="20% - 강조색6 11" xfId="147"/>
    <cellStyle name="20% - 강조색6 12" xfId="148"/>
    <cellStyle name="20% - 강조색6 13" xfId="149"/>
    <cellStyle name="20% - 강조색6 2" xfId="150"/>
    <cellStyle name="20% - 강조색6 3" xfId="151"/>
    <cellStyle name="20% - 강조색6 4" xfId="152"/>
    <cellStyle name="20% - 강조색6 5" xfId="153"/>
    <cellStyle name="20% - 강조색6 6" xfId="154"/>
    <cellStyle name="20% - 강조색6 7" xfId="155"/>
    <cellStyle name="20% - 강조색6 8" xfId="156"/>
    <cellStyle name="20% - 강조색6 9" xfId="157"/>
    <cellStyle name="3자리" xfId="2265"/>
    <cellStyle name="40% - 강조색1" xfId="158" builtinId="31" customBuiltin="1"/>
    <cellStyle name="40% - 강조색1 10" xfId="159"/>
    <cellStyle name="40% - 강조색1 11" xfId="160"/>
    <cellStyle name="40% - 강조색1 12" xfId="161"/>
    <cellStyle name="40% - 강조색1 13" xfId="162"/>
    <cellStyle name="40% - 강조색1 2" xfId="163"/>
    <cellStyle name="40% - 강조색1 3" xfId="164"/>
    <cellStyle name="40% - 강조색1 4" xfId="165"/>
    <cellStyle name="40% - 강조색1 5" xfId="166"/>
    <cellStyle name="40% - 강조색1 6" xfId="167"/>
    <cellStyle name="40% - 강조색1 7" xfId="168"/>
    <cellStyle name="40% - 강조색1 8" xfId="169"/>
    <cellStyle name="40% - 강조색1 9" xfId="170"/>
    <cellStyle name="40% - 강조색2" xfId="171" builtinId="35" customBuiltin="1"/>
    <cellStyle name="40% - 강조색2 10" xfId="172"/>
    <cellStyle name="40% - 강조색2 11" xfId="173"/>
    <cellStyle name="40% - 강조색2 12" xfId="174"/>
    <cellStyle name="40% - 강조색2 13" xfId="175"/>
    <cellStyle name="40% - 강조색2 2" xfId="176"/>
    <cellStyle name="40% - 강조색2 3" xfId="177"/>
    <cellStyle name="40% - 강조색2 4" xfId="178"/>
    <cellStyle name="40% - 강조색2 5" xfId="179"/>
    <cellStyle name="40% - 강조색2 6" xfId="180"/>
    <cellStyle name="40% - 강조색2 7" xfId="181"/>
    <cellStyle name="40% - 강조색2 8" xfId="182"/>
    <cellStyle name="40% - 강조색2 9" xfId="183"/>
    <cellStyle name="40% - 강조색3" xfId="184" builtinId="39" customBuiltin="1"/>
    <cellStyle name="40% - 강조색3 10" xfId="185"/>
    <cellStyle name="40% - 강조색3 11" xfId="186"/>
    <cellStyle name="40% - 강조색3 12" xfId="187"/>
    <cellStyle name="40% - 강조색3 13" xfId="188"/>
    <cellStyle name="40% - 강조색3 2" xfId="189"/>
    <cellStyle name="40% - 강조색3 3" xfId="190"/>
    <cellStyle name="40% - 강조색3 4" xfId="191"/>
    <cellStyle name="40% - 강조색3 5" xfId="192"/>
    <cellStyle name="40% - 강조색3 6" xfId="193"/>
    <cellStyle name="40% - 강조색3 7" xfId="194"/>
    <cellStyle name="40% - 강조색3 8" xfId="195"/>
    <cellStyle name="40% - 강조색3 9" xfId="196"/>
    <cellStyle name="40% - 강조색4" xfId="197" builtinId="43" customBuiltin="1"/>
    <cellStyle name="40% - 강조색4 10" xfId="198"/>
    <cellStyle name="40% - 강조색4 11" xfId="199"/>
    <cellStyle name="40% - 강조색4 12" xfId="200"/>
    <cellStyle name="40% - 강조색4 13" xfId="201"/>
    <cellStyle name="40% - 강조색4 2" xfId="202"/>
    <cellStyle name="40% - 강조색4 3" xfId="203"/>
    <cellStyle name="40% - 강조색4 4" xfId="204"/>
    <cellStyle name="40% - 강조색4 5" xfId="205"/>
    <cellStyle name="40% - 강조색4 6" xfId="206"/>
    <cellStyle name="40% - 강조색4 7" xfId="207"/>
    <cellStyle name="40% - 강조색4 8" xfId="208"/>
    <cellStyle name="40% - 강조색4 9" xfId="209"/>
    <cellStyle name="40% - 강조색5" xfId="210" builtinId="47" customBuiltin="1"/>
    <cellStyle name="40% - 강조색5 10" xfId="211"/>
    <cellStyle name="40% - 강조색5 11" xfId="212"/>
    <cellStyle name="40% - 강조색5 12" xfId="213"/>
    <cellStyle name="40% - 강조색5 13" xfId="214"/>
    <cellStyle name="40% - 강조색5 2" xfId="215"/>
    <cellStyle name="40% - 강조색5 3" xfId="216"/>
    <cellStyle name="40% - 강조색5 4" xfId="217"/>
    <cellStyle name="40% - 강조색5 5" xfId="218"/>
    <cellStyle name="40% - 강조색5 6" xfId="219"/>
    <cellStyle name="40% - 강조색5 7" xfId="220"/>
    <cellStyle name="40% - 강조색5 8" xfId="221"/>
    <cellStyle name="40% - 강조색5 9" xfId="222"/>
    <cellStyle name="40% - 강조색6" xfId="223" builtinId="51" customBuiltin="1"/>
    <cellStyle name="40% - 강조색6 10" xfId="224"/>
    <cellStyle name="40% - 강조색6 11" xfId="225"/>
    <cellStyle name="40% - 강조색6 12" xfId="226"/>
    <cellStyle name="40% - 강조색6 13" xfId="227"/>
    <cellStyle name="40% - 강조색6 2" xfId="228"/>
    <cellStyle name="40% - 강조색6 3" xfId="229"/>
    <cellStyle name="40% - 강조색6 4" xfId="230"/>
    <cellStyle name="40% - 강조색6 5" xfId="231"/>
    <cellStyle name="40% - 강조색6 6" xfId="232"/>
    <cellStyle name="40% - 강조색6 7" xfId="233"/>
    <cellStyle name="40% - 강조색6 8" xfId="234"/>
    <cellStyle name="40% - 강조색6 9" xfId="235"/>
    <cellStyle name="60" xfId="236"/>
    <cellStyle name="60% - 강조색1" xfId="237" builtinId="32" customBuiltin="1"/>
    <cellStyle name="60% - 강조색1 10" xfId="238"/>
    <cellStyle name="60% - 강조색1 11" xfId="239"/>
    <cellStyle name="60% - 강조색1 12" xfId="240"/>
    <cellStyle name="60% - 강조색1 13" xfId="241"/>
    <cellStyle name="60% - 강조색1 2" xfId="242"/>
    <cellStyle name="60% - 강조색1 3" xfId="243"/>
    <cellStyle name="60% - 강조색1 4" xfId="244"/>
    <cellStyle name="60% - 강조색1 5" xfId="245"/>
    <cellStyle name="60% - 강조색1 6" xfId="246"/>
    <cellStyle name="60% - 강조색1 7" xfId="247"/>
    <cellStyle name="60% - 강조색1 8" xfId="248"/>
    <cellStyle name="60% - 강조색1 9" xfId="249"/>
    <cellStyle name="60% - 강조색2" xfId="250" builtinId="36" customBuiltin="1"/>
    <cellStyle name="60% - 강조색2 10" xfId="251"/>
    <cellStyle name="60% - 강조색2 11" xfId="252"/>
    <cellStyle name="60% - 강조색2 12" xfId="253"/>
    <cellStyle name="60% - 강조색2 13" xfId="254"/>
    <cellStyle name="60% - 강조색2 2" xfId="255"/>
    <cellStyle name="60% - 강조색2 3" xfId="256"/>
    <cellStyle name="60% - 강조색2 4" xfId="257"/>
    <cellStyle name="60% - 강조색2 5" xfId="258"/>
    <cellStyle name="60% - 강조색2 6" xfId="259"/>
    <cellStyle name="60% - 강조색2 7" xfId="260"/>
    <cellStyle name="60% - 강조색2 8" xfId="261"/>
    <cellStyle name="60% - 강조색2 9" xfId="262"/>
    <cellStyle name="60% - 강조색3" xfId="263" builtinId="40" customBuiltin="1"/>
    <cellStyle name="60% - 강조색3 10" xfId="264"/>
    <cellStyle name="60% - 강조색3 11" xfId="265"/>
    <cellStyle name="60% - 강조색3 12" xfId="266"/>
    <cellStyle name="60% - 강조색3 13" xfId="267"/>
    <cellStyle name="60% - 강조색3 2" xfId="268"/>
    <cellStyle name="60% - 강조색3 3" xfId="269"/>
    <cellStyle name="60% - 강조색3 4" xfId="270"/>
    <cellStyle name="60% - 강조색3 5" xfId="271"/>
    <cellStyle name="60% - 강조색3 6" xfId="272"/>
    <cellStyle name="60% - 강조색3 7" xfId="273"/>
    <cellStyle name="60% - 강조색3 8" xfId="274"/>
    <cellStyle name="60% - 강조색3 9" xfId="275"/>
    <cellStyle name="60% - 강조색4" xfId="276" builtinId="44" customBuiltin="1"/>
    <cellStyle name="60% - 강조색4 10" xfId="277"/>
    <cellStyle name="60% - 강조색4 11" xfId="278"/>
    <cellStyle name="60% - 강조색4 12" xfId="279"/>
    <cellStyle name="60% - 강조색4 13" xfId="280"/>
    <cellStyle name="60% - 강조색4 2" xfId="281"/>
    <cellStyle name="60% - 강조색4 3" xfId="282"/>
    <cellStyle name="60% - 강조색4 4" xfId="283"/>
    <cellStyle name="60% - 강조색4 5" xfId="284"/>
    <cellStyle name="60% - 강조색4 6" xfId="285"/>
    <cellStyle name="60% - 강조색4 7" xfId="286"/>
    <cellStyle name="60% - 강조색4 8" xfId="287"/>
    <cellStyle name="60% - 강조색4 9" xfId="288"/>
    <cellStyle name="60% - 강조색5" xfId="289" builtinId="48" customBuiltin="1"/>
    <cellStyle name="60% - 강조색5 10" xfId="290"/>
    <cellStyle name="60% - 강조색5 11" xfId="291"/>
    <cellStyle name="60% - 강조색5 12" xfId="292"/>
    <cellStyle name="60% - 강조색5 13" xfId="293"/>
    <cellStyle name="60% - 강조색5 2" xfId="294"/>
    <cellStyle name="60% - 강조색5 3" xfId="295"/>
    <cellStyle name="60% - 강조색5 4" xfId="296"/>
    <cellStyle name="60% - 강조색5 5" xfId="297"/>
    <cellStyle name="60% - 강조색5 6" xfId="298"/>
    <cellStyle name="60% - 강조색5 7" xfId="299"/>
    <cellStyle name="60% - 강조색5 8" xfId="300"/>
    <cellStyle name="60% - 강조색5 9" xfId="301"/>
    <cellStyle name="60% - 강조색6" xfId="302" builtinId="52" customBuiltin="1"/>
    <cellStyle name="60% - 강조색6 10" xfId="303"/>
    <cellStyle name="60% - 강조색6 11" xfId="304"/>
    <cellStyle name="60% - 강조색6 12" xfId="305"/>
    <cellStyle name="60% - 강조색6 13" xfId="306"/>
    <cellStyle name="60% - 강조색6 2" xfId="307"/>
    <cellStyle name="60% - 강조색6 3" xfId="308"/>
    <cellStyle name="60% - 강조색6 4" xfId="309"/>
    <cellStyle name="60% - 강조색6 5" xfId="310"/>
    <cellStyle name="60% - 강조색6 6" xfId="311"/>
    <cellStyle name="60% - 강조색6 7" xfId="312"/>
    <cellStyle name="60% - 강조색6 8" xfId="313"/>
    <cellStyle name="60% - 강조색6 9" xfId="314"/>
    <cellStyle name="90" xfId="315"/>
    <cellStyle name="A¨­￠￢￠O [0]_￠?i¡ieE¡ⓒ¡¤A ¡¾a¡¾￠￢A￠OA¡AC¡I" xfId="1342"/>
    <cellStyle name="A¨­￠￢￠O_￠?i¡ieE¡ⓒ¡¤A ¡¾a¡¾￠￢A￠OA¡AC¡I" xfId="1343"/>
    <cellStyle name="AA" xfId="1344"/>
    <cellStyle name="AA 10" xfId="1345"/>
    <cellStyle name="AA 11" xfId="1346"/>
    <cellStyle name="AA 12" xfId="1347"/>
    <cellStyle name="AA 13" xfId="1348"/>
    <cellStyle name="AA 14" xfId="1349"/>
    <cellStyle name="AA 15" xfId="1350"/>
    <cellStyle name="AA 16" xfId="1351"/>
    <cellStyle name="AA 17" xfId="1352"/>
    <cellStyle name="AA 18" xfId="1353"/>
    <cellStyle name="AA 19" xfId="1354"/>
    <cellStyle name="AA 2" xfId="1355"/>
    <cellStyle name="AA 20" xfId="1356"/>
    <cellStyle name="AA 21" xfId="1357"/>
    <cellStyle name="AA 22" xfId="1358"/>
    <cellStyle name="AA 23" xfId="1359"/>
    <cellStyle name="AA 24" xfId="1360"/>
    <cellStyle name="AA 25" xfId="1361"/>
    <cellStyle name="AA 26" xfId="1362"/>
    <cellStyle name="AA 27" xfId="1363"/>
    <cellStyle name="AA 28" xfId="1364"/>
    <cellStyle name="AA 29" xfId="1365"/>
    <cellStyle name="AA 3" xfId="1366"/>
    <cellStyle name="AA 30" xfId="1367"/>
    <cellStyle name="AA 31" xfId="1368"/>
    <cellStyle name="AA 32" xfId="1369"/>
    <cellStyle name="AA 4" xfId="1370"/>
    <cellStyle name="AA 5" xfId="1371"/>
    <cellStyle name="AA 6" xfId="1372"/>
    <cellStyle name="AA 7" xfId="1373"/>
    <cellStyle name="AA 8" xfId="1374"/>
    <cellStyle name="AA 9" xfId="1375"/>
    <cellStyle name="Accent1" xfId="1376"/>
    <cellStyle name="Accent1 - 20%" xfId="1377"/>
    <cellStyle name="Accent1 - 40%" xfId="1378"/>
    <cellStyle name="Accent1 - 60%" xfId="1379"/>
    <cellStyle name="Accent2" xfId="1380"/>
    <cellStyle name="Accent2 - 20%" xfId="1381"/>
    <cellStyle name="Accent2 - 40%" xfId="1382"/>
    <cellStyle name="Accent2 - 60%" xfId="1383"/>
    <cellStyle name="Accent3" xfId="1384"/>
    <cellStyle name="Accent3 - 20%" xfId="1385"/>
    <cellStyle name="Accent3 - 40%" xfId="1386"/>
    <cellStyle name="Accent3 - 60%" xfId="1387"/>
    <cellStyle name="Accent4" xfId="1388"/>
    <cellStyle name="Accent4 - 20%" xfId="1389"/>
    <cellStyle name="Accent4 - 40%" xfId="1390"/>
    <cellStyle name="Accent4 - 60%" xfId="1391"/>
    <cellStyle name="Accent5" xfId="1392"/>
    <cellStyle name="Accent5 - 20%" xfId="1393"/>
    <cellStyle name="Accent5 - 40%" xfId="1394"/>
    <cellStyle name="Accent5 - 60%" xfId="1395"/>
    <cellStyle name="Accent6" xfId="1396"/>
    <cellStyle name="Accent6 - 20%" xfId="1397"/>
    <cellStyle name="Accent6 - 40%" xfId="1398"/>
    <cellStyle name="Accent6 - 60%" xfId="1399"/>
    <cellStyle name="Actual Date" xfId="1400"/>
    <cellStyle name="AeE­ [0]_  A¾  CO  " xfId="1401"/>
    <cellStyle name="ÅëÈ­ [0]_¸ðÇü¸·" xfId="1402"/>
    <cellStyle name="AeE­ [0]_°eE¹_11¿a½A " xfId="1403"/>
    <cellStyle name="ÅëÈ­ [0]_INQUIRY ¿µ¾÷ÃßÁø " xfId="1404"/>
    <cellStyle name="AeE­ [0]_INQUIRY ¿μ¾÷AßAø " xfId="1405"/>
    <cellStyle name="ÅëÈ­ [0]_Sheet1" xfId="1406"/>
    <cellStyle name="AeE­_  A¾  CO  " xfId="1407"/>
    <cellStyle name="ÅëÈ­_¸ðÇü¸·" xfId="1408"/>
    <cellStyle name="AeE­_°eE¹_11¿a½A " xfId="1409"/>
    <cellStyle name="ÅëÈ­_INQUIRY ¿µ¾÷ÃßÁø " xfId="1410"/>
    <cellStyle name="AeE­_INQUIRY ¿μ¾÷AßAø " xfId="1411"/>
    <cellStyle name="ÅëÈ­_Sheet1" xfId="1412"/>
    <cellStyle name="AeE¡ⓒ [0]_￠?i¡ieE¡ⓒ¡¤A ¡¾a¡¾￠￢A￠OA¡AC¡I" xfId="1413"/>
    <cellStyle name="AeE¡ⓒ_￠?i¡ieE¡ⓒ¡¤A ¡¾a¡¾￠￢A￠OA¡AC¡I" xfId="1414"/>
    <cellStyle name="ALIGNMENT" xfId="1415"/>
    <cellStyle name="AÞ¸¶ [0]_  A¾  CO  " xfId="1416"/>
    <cellStyle name="ÄÞ¸¶ [0]_¸ðÇü¸·" xfId="1417"/>
    <cellStyle name="AÞ¸¶ [0]_°eE¹_11¿a½A " xfId="1418"/>
    <cellStyle name="ÄÞ¸¶ [0]_INQUIRY ¿µ¾÷ÃßÁø " xfId="1419"/>
    <cellStyle name="AÞ¸¶ [0]_INQUIRY ¿μ¾÷AßAø " xfId="1420"/>
    <cellStyle name="ÄÞ¸¶ [0]_Sheet1" xfId="1421"/>
    <cellStyle name="AÞ¸¶_  A¾  CO  " xfId="1422"/>
    <cellStyle name="ÄÞ¸¶_¸ðÇü¸·" xfId="1423"/>
    <cellStyle name="AÞ¸¶_°eE¹_11¿a½A " xfId="1424"/>
    <cellStyle name="ÄÞ¸¶_INQUIRY ¿µ¾÷ÃßÁø " xfId="1425"/>
    <cellStyle name="AÞ¸¶_INQUIRY ¿μ¾÷AßAø " xfId="1426"/>
    <cellStyle name="ÄÞ¸¶_Sheet1" xfId="1427"/>
    <cellStyle name="_x0001_b" xfId="1428"/>
    <cellStyle name="Bad" xfId="1429"/>
    <cellStyle name="body" xfId="1430"/>
    <cellStyle name="C¡IA¨ª_¡ic¨u¡A¨￢I¨￢¡Æ AN¡Æe " xfId="1431"/>
    <cellStyle name="C￥AØ_  A¾  CO  " xfId="1432"/>
    <cellStyle name="Ç¥ÁØ_¸ðÇü¸·" xfId="1433"/>
    <cellStyle name="C￥AØ_¿μ¾÷CoE² " xfId="1434"/>
    <cellStyle name="Ç¥ÁØ_»ç¾÷ºÎº° ÃÑ°è " xfId="1435"/>
    <cellStyle name="C￥AØ_≫c¾÷ºIº° AN°e " xfId="1436"/>
    <cellStyle name="Ç¥ÁØ_°­´ç (2)" xfId="2286"/>
    <cellStyle name="C￥AØ_°­´c (2)_광명견적대비1010" xfId="2287"/>
    <cellStyle name="Ç¥ÁØ_°­´ç (2)_광명견적대비1010" xfId="1437"/>
    <cellStyle name="C￥AØ_°­´c (2)_광명견적대비1010_동아대부민캠퍼스내역서" xfId="1438"/>
    <cellStyle name="Ç¥ÁØ_°­´ç (2)_광명견적대비1010_동아대부민캠퍼스내역서" xfId="1439"/>
    <cellStyle name="C￥AØ_°­´c (2)_광명견적대비1010_동아대부민캠퍼스내역서 10" xfId="1440"/>
    <cellStyle name="Ç¥ÁØ_°­´ç (2)_광명관급" xfId="1441"/>
    <cellStyle name="C￥AØ_°­´c (2)_광명관급 2" xfId="1442"/>
    <cellStyle name="Ç¥ÁØ_°­´ç (2)_금광" xfId="1443"/>
    <cellStyle name="C￥AØ_°­´c (2)_금광_동아대부민캠퍼스내역서" xfId="1444"/>
    <cellStyle name="Ç¥ÁØ_°­´ç (2)_금광_동아대부민캠퍼스내역서" xfId="1445"/>
    <cellStyle name="C￥AØ_°­´c (2)_금광_동아대부민캠퍼스내역서 10" xfId="1446"/>
    <cellStyle name="Ç¥ÁØ_°­´ç (2)_삼사" xfId="1447"/>
    <cellStyle name="C￥AØ_°­´c (2)_삼사_동아대부민캠퍼스내역서" xfId="1448"/>
    <cellStyle name="Ç¥ÁØ_°­´ç (2)_삼사_동아대부민캠퍼스내역서" xfId="1449"/>
    <cellStyle name="C￥AØ_°­´c (2)_삼사_동아대부민캠퍼스내역서 10" xfId="1450"/>
    <cellStyle name="Ç¥ÁØ_³ëÀÓ´Ü°¡ " xfId="1451"/>
    <cellStyle name="C￥AØ_AI¿øCoE² " xfId="1452"/>
    <cellStyle name="Ç¥ÁØ_Áý°èÇ¥(2¿ù) " xfId="1453"/>
    <cellStyle name="C￥AØ_CoAo¹yAI °A¾×¿ⓒ½A " xfId="1454"/>
    <cellStyle name="Ç¥ÁØ_Sheet1_¿µ¾÷ÇöÈ² " xfId="1455"/>
    <cellStyle name="C￥AØ_Sheet1_¿μ¾÷CoE² " xfId="1456"/>
    <cellStyle name="Ç¥ÁØ_Sheet1_0N-HANDLING " xfId="1457"/>
    <cellStyle name="C￥AØ_Sheet1_Ay°eC￥(2¿u) " xfId="1458"/>
    <cellStyle name="Ç¥ÁØ_Sheet1_Áý°èÇ¥(2¿ù) " xfId="1459"/>
    <cellStyle name="C￥AØ_SOON1 " xfId="2288"/>
    <cellStyle name="Calc Currency (0)" xfId="1460"/>
    <cellStyle name="Calculation" xfId="1461"/>
    <cellStyle name="category" xfId="1462"/>
    <cellStyle name="Check Cell" xfId="1463"/>
    <cellStyle name="CIAIÆU¸μAⓒ" xfId="1464"/>
    <cellStyle name="Comma" xfId="1466"/>
    <cellStyle name="Comma [0]" xfId="1467"/>
    <cellStyle name="Comma [0] 10" xfId="1468"/>
    <cellStyle name="Comma [0] 11" xfId="1469"/>
    <cellStyle name="Comma [0] 12" xfId="1470"/>
    <cellStyle name="Comma [0] 13" xfId="1471"/>
    <cellStyle name="Comma [0] 14" xfId="1472"/>
    <cellStyle name="Comma [0] 15" xfId="1473"/>
    <cellStyle name="Comma [0] 16" xfId="1474"/>
    <cellStyle name="Comma [0] 17" xfId="1475"/>
    <cellStyle name="Comma [0] 18" xfId="1476"/>
    <cellStyle name="Comma [0] 19" xfId="1477"/>
    <cellStyle name="Comma [0] 2" xfId="1478"/>
    <cellStyle name="Comma [0] 20" xfId="1479"/>
    <cellStyle name="Comma [0] 21" xfId="1480"/>
    <cellStyle name="Comma [0] 22" xfId="1481"/>
    <cellStyle name="Comma [0] 23" xfId="1482"/>
    <cellStyle name="Comma [0] 24" xfId="1483"/>
    <cellStyle name="Comma [0] 25" xfId="1484"/>
    <cellStyle name="Comma [0] 26" xfId="1485"/>
    <cellStyle name="Comma [0] 27" xfId="1486"/>
    <cellStyle name="Comma [0] 28" xfId="1487"/>
    <cellStyle name="Comma [0] 29" xfId="1488"/>
    <cellStyle name="Comma [0] 3" xfId="1489"/>
    <cellStyle name="Comma [0] 30" xfId="1490"/>
    <cellStyle name="Comma [0] 31" xfId="1491"/>
    <cellStyle name="Comma [0] 32" xfId="1492"/>
    <cellStyle name="Comma [0] 33" xfId="1493"/>
    <cellStyle name="Comma [0] 34" xfId="1494"/>
    <cellStyle name="Comma [0] 35" xfId="1495"/>
    <cellStyle name="Comma [0] 36" xfId="1496"/>
    <cellStyle name="Comma [0] 37" xfId="1497"/>
    <cellStyle name="Comma [0] 38" xfId="1498"/>
    <cellStyle name="Comma [0] 39" xfId="1499"/>
    <cellStyle name="Comma [0] 4" xfId="1500"/>
    <cellStyle name="Comma [0] 40" xfId="1501"/>
    <cellStyle name="Comma [0] 41" xfId="1502"/>
    <cellStyle name="Comma [0] 42" xfId="1503"/>
    <cellStyle name="Comma [0] 43" xfId="1504"/>
    <cellStyle name="Comma [0] 44" xfId="1505"/>
    <cellStyle name="Comma [0] 45" xfId="1506"/>
    <cellStyle name="Comma [0] 46" xfId="1507"/>
    <cellStyle name="Comma [0] 47" xfId="1508"/>
    <cellStyle name="Comma [0] 48" xfId="1509"/>
    <cellStyle name="Comma [0] 49" xfId="1510"/>
    <cellStyle name="Comma [0] 5" xfId="1511"/>
    <cellStyle name="Comma [0] 50" xfId="1512"/>
    <cellStyle name="Comma [0] 51" xfId="1513"/>
    <cellStyle name="Comma [0] 52" xfId="1514"/>
    <cellStyle name="Comma [0] 53" xfId="1515"/>
    <cellStyle name="Comma [0] 54" xfId="1516"/>
    <cellStyle name="Comma [0] 55" xfId="1517"/>
    <cellStyle name="Comma [0] 56" xfId="1518"/>
    <cellStyle name="Comma [0] 57" xfId="1519"/>
    <cellStyle name="Comma [0] 58" xfId="1520"/>
    <cellStyle name="Comma [0] 59" xfId="1521"/>
    <cellStyle name="Comma [0] 6" xfId="1522"/>
    <cellStyle name="Comma [0] 60" xfId="1523"/>
    <cellStyle name="Comma [0] 61" xfId="1524"/>
    <cellStyle name="Comma [0] 62" xfId="1525"/>
    <cellStyle name="Comma [0] 63" xfId="1526"/>
    <cellStyle name="Comma [0] 64" xfId="1527"/>
    <cellStyle name="Comma [0] 65" xfId="1528"/>
    <cellStyle name="Comma [0] 66" xfId="1529"/>
    <cellStyle name="Comma [0] 7" xfId="1530"/>
    <cellStyle name="Comma [0] 8" xfId="1531"/>
    <cellStyle name="Comma [0] 9" xfId="1532"/>
    <cellStyle name="comma zerodec" xfId="1533"/>
    <cellStyle name="comma zerodec 10" xfId="1534"/>
    <cellStyle name="comma zerodec 11" xfId="1535"/>
    <cellStyle name="comma zerodec 12" xfId="1536"/>
    <cellStyle name="comma zerodec 13" xfId="1537"/>
    <cellStyle name="comma zerodec 14" xfId="1538"/>
    <cellStyle name="comma zerodec 15" xfId="1539"/>
    <cellStyle name="comma zerodec 16" xfId="1540"/>
    <cellStyle name="comma zerodec 17" xfId="1541"/>
    <cellStyle name="comma zerodec 18" xfId="1542"/>
    <cellStyle name="comma zerodec 19" xfId="1543"/>
    <cellStyle name="comma zerodec 2" xfId="1544"/>
    <cellStyle name="comma zerodec 20" xfId="1545"/>
    <cellStyle name="comma zerodec 21" xfId="1546"/>
    <cellStyle name="comma zerodec 22" xfId="1547"/>
    <cellStyle name="comma zerodec 23" xfId="1548"/>
    <cellStyle name="comma zerodec 24" xfId="1549"/>
    <cellStyle name="comma zerodec 25" xfId="1550"/>
    <cellStyle name="comma zerodec 26" xfId="1551"/>
    <cellStyle name="comma zerodec 27" xfId="1552"/>
    <cellStyle name="comma zerodec 28" xfId="1553"/>
    <cellStyle name="comma zerodec 29" xfId="1554"/>
    <cellStyle name="comma zerodec 3" xfId="1555"/>
    <cellStyle name="comma zerodec 30" xfId="1556"/>
    <cellStyle name="comma zerodec 31" xfId="1557"/>
    <cellStyle name="comma zerodec 32" xfId="1558"/>
    <cellStyle name="comma zerodec 33" xfId="1559"/>
    <cellStyle name="comma zerodec 34" xfId="1560"/>
    <cellStyle name="comma zerodec 35" xfId="1561"/>
    <cellStyle name="comma zerodec 36" xfId="1562"/>
    <cellStyle name="comma zerodec 37" xfId="1563"/>
    <cellStyle name="comma zerodec 38" xfId="1564"/>
    <cellStyle name="comma zerodec 39" xfId="1565"/>
    <cellStyle name="comma zerodec 4" xfId="1566"/>
    <cellStyle name="comma zerodec 40" xfId="1567"/>
    <cellStyle name="comma zerodec 41" xfId="1568"/>
    <cellStyle name="comma zerodec 42" xfId="1569"/>
    <cellStyle name="comma zerodec 43" xfId="1570"/>
    <cellStyle name="comma zerodec 44" xfId="1571"/>
    <cellStyle name="comma zerodec 45" xfId="1572"/>
    <cellStyle name="comma zerodec 46" xfId="1573"/>
    <cellStyle name="comma zerodec 47" xfId="1574"/>
    <cellStyle name="comma zerodec 48" xfId="1575"/>
    <cellStyle name="comma zerodec 49" xfId="1576"/>
    <cellStyle name="comma zerodec 5" xfId="1577"/>
    <cellStyle name="comma zerodec 50" xfId="1578"/>
    <cellStyle name="comma zerodec 51" xfId="1579"/>
    <cellStyle name="comma zerodec 52" xfId="1580"/>
    <cellStyle name="comma zerodec 53" xfId="1581"/>
    <cellStyle name="comma zerodec 54" xfId="1582"/>
    <cellStyle name="comma zerodec 55" xfId="1583"/>
    <cellStyle name="comma zerodec 56" xfId="1584"/>
    <cellStyle name="comma zerodec 57" xfId="1585"/>
    <cellStyle name="comma zerodec 58" xfId="1586"/>
    <cellStyle name="comma zerodec 59" xfId="1587"/>
    <cellStyle name="comma zerodec 6" xfId="1588"/>
    <cellStyle name="comma zerodec 60" xfId="1589"/>
    <cellStyle name="comma zerodec 61" xfId="1590"/>
    <cellStyle name="comma zerodec 62" xfId="1591"/>
    <cellStyle name="comma zerodec 63" xfId="1592"/>
    <cellStyle name="comma zerodec 64" xfId="1593"/>
    <cellStyle name="comma zerodec 65" xfId="1594"/>
    <cellStyle name="comma zerodec 66" xfId="1595"/>
    <cellStyle name="comma zerodec 7" xfId="1596"/>
    <cellStyle name="comma zerodec 8" xfId="1597"/>
    <cellStyle name="comma zerodec 9" xfId="1598"/>
    <cellStyle name="Comma_ SG&amp;A Bridge" xfId="1599"/>
    <cellStyle name="Comma0" xfId="1600"/>
    <cellStyle name="Comma0 10" xfId="1601"/>
    <cellStyle name="Comma0 11" xfId="1602"/>
    <cellStyle name="Comma0 12" xfId="1603"/>
    <cellStyle name="Comma0 13" xfId="1604"/>
    <cellStyle name="Comma0 14" xfId="1605"/>
    <cellStyle name="Comma0 15" xfId="1606"/>
    <cellStyle name="Comma0 16" xfId="1607"/>
    <cellStyle name="Comma0 17" xfId="1608"/>
    <cellStyle name="Comma0 18" xfId="1609"/>
    <cellStyle name="Comma0 19" xfId="1610"/>
    <cellStyle name="Comma0 2" xfId="1611"/>
    <cellStyle name="Comma0 20" xfId="1612"/>
    <cellStyle name="Comma0 21" xfId="1613"/>
    <cellStyle name="Comma0 22" xfId="1614"/>
    <cellStyle name="Comma0 23" xfId="1615"/>
    <cellStyle name="Comma0 24" xfId="1616"/>
    <cellStyle name="Comma0 25" xfId="1617"/>
    <cellStyle name="Comma0 26" xfId="1618"/>
    <cellStyle name="Comma0 27" xfId="1619"/>
    <cellStyle name="Comma0 28" xfId="1620"/>
    <cellStyle name="Comma0 29" xfId="1621"/>
    <cellStyle name="Comma0 3" xfId="1622"/>
    <cellStyle name="Comma0 30" xfId="1623"/>
    <cellStyle name="Comma0 31" xfId="1624"/>
    <cellStyle name="Comma0 32" xfId="1625"/>
    <cellStyle name="Comma0 4" xfId="1626"/>
    <cellStyle name="Comma0 5" xfId="1627"/>
    <cellStyle name="Comma0 6" xfId="1628"/>
    <cellStyle name="Comma0 7" xfId="1629"/>
    <cellStyle name="Comma0 8" xfId="1630"/>
    <cellStyle name="Comma0 9" xfId="1631"/>
    <cellStyle name="Comm뼬_E&amp;ONW2" xfId="1465"/>
    <cellStyle name="Copied" xfId="1632"/>
    <cellStyle name="Curren?_x0012_퐀_x0017_?" xfId="1633"/>
    <cellStyle name="Currenby_Cash&amp;DSO Chart" xfId="2289"/>
    <cellStyle name="Currency" xfId="1634"/>
    <cellStyle name="Currency [0]" xfId="1635"/>
    <cellStyle name="Currency [0] 10" xfId="1636"/>
    <cellStyle name="Currency [0] 11" xfId="1637"/>
    <cellStyle name="Currency [0] 12" xfId="1638"/>
    <cellStyle name="Currency [0] 13" xfId="1639"/>
    <cellStyle name="Currency [0] 14" xfId="1640"/>
    <cellStyle name="Currency [0] 15" xfId="1641"/>
    <cellStyle name="Currency [0] 16" xfId="1642"/>
    <cellStyle name="Currency [0] 17" xfId="1643"/>
    <cellStyle name="Currency [0] 18" xfId="1644"/>
    <cellStyle name="Currency [0] 19" xfId="1645"/>
    <cellStyle name="Currency [0] 2" xfId="1646"/>
    <cellStyle name="Currency [0] 20" xfId="1647"/>
    <cellStyle name="Currency [0] 21" xfId="1648"/>
    <cellStyle name="Currency [0] 22" xfId="1649"/>
    <cellStyle name="Currency [0] 23" xfId="1650"/>
    <cellStyle name="Currency [0] 24" xfId="1651"/>
    <cellStyle name="Currency [0] 25" xfId="1652"/>
    <cellStyle name="Currency [0] 26" xfId="1653"/>
    <cellStyle name="Currency [0] 27" xfId="1654"/>
    <cellStyle name="Currency [0] 28" xfId="1655"/>
    <cellStyle name="Currency [0] 29" xfId="1656"/>
    <cellStyle name="Currency [0] 3" xfId="1657"/>
    <cellStyle name="Currency [0] 30" xfId="1658"/>
    <cellStyle name="Currency [0] 31" xfId="1659"/>
    <cellStyle name="Currency [0] 32" xfId="1660"/>
    <cellStyle name="Currency [0] 33" xfId="1661"/>
    <cellStyle name="Currency [0] 34" xfId="1662"/>
    <cellStyle name="Currency [0] 35" xfId="1663"/>
    <cellStyle name="Currency [0] 36" xfId="1664"/>
    <cellStyle name="Currency [0] 37" xfId="1665"/>
    <cellStyle name="Currency [0] 38" xfId="1666"/>
    <cellStyle name="Currency [0] 39" xfId="1667"/>
    <cellStyle name="Currency [0] 4" xfId="1668"/>
    <cellStyle name="Currency [0] 40" xfId="1669"/>
    <cellStyle name="Currency [0] 41" xfId="1670"/>
    <cellStyle name="Currency [0] 42" xfId="1671"/>
    <cellStyle name="Currency [0] 43" xfId="1672"/>
    <cellStyle name="Currency [0] 44" xfId="1673"/>
    <cellStyle name="Currency [0] 45" xfId="1674"/>
    <cellStyle name="Currency [0] 46" xfId="1675"/>
    <cellStyle name="Currency [0] 47" xfId="1676"/>
    <cellStyle name="Currency [0] 48" xfId="1677"/>
    <cellStyle name="Currency [0] 49" xfId="1678"/>
    <cellStyle name="Currency [0] 5" xfId="1679"/>
    <cellStyle name="Currency [0] 50" xfId="1680"/>
    <cellStyle name="Currency [0] 51" xfId="1681"/>
    <cellStyle name="Currency [0] 52" xfId="1682"/>
    <cellStyle name="Currency [0] 53" xfId="1683"/>
    <cellStyle name="Currency [0] 54" xfId="1684"/>
    <cellStyle name="Currency [0] 55" xfId="1685"/>
    <cellStyle name="Currency [0] 56" xfId="1686"/>
    <cellStyle name="Currency [0] 57" xfId="1687"/>
    <cellStyle name="Currency [0] 58" xfId="1688"/>
    <cellStyle name="Currency [0] 59" xfId="1689"/>
    <cellStyle name="Currency [0] 6" xfId="1690"/>
    <cellStyle name="Currency [0] 60" xfId="1691"/>
    <cellStyle name="Currency [0] 61" xfId="1692"/>
    <cellStyle name="Currency [0] 62" xfId="1693"/>
    <cellStyle name="Currency [0] 63" xfId="1694"/>
    <cellStyle name="Currency [0] 64" xfId="1695"/>
    <cellStyle name="Currency [0] 65" xfId="1696"/>
    <cellStyle name="Currency [0] 66" xfId="1697"/>
    <cellStyle name="Currency [0] 7" xfId="1698"/>
    <cellStyle name="Currency [0] 8" xfId="1699"/>
    <cellStyle name="Currency [0] 9" xfId="1700"/>
    <cellStyle name="Currency [ﺜ]_P&amp;L_laroux" xfId="1701"/>
    <cellStyle name="currency-$" xfId="2290"/>
    <cellStyle name="Currency_ SG&amp;A Bridge " xfId="1702"/>
    <cellStyle name="Currency0" xfId="1703"/>
    <cellStyle name="Currency0 10" xfId="1704"/>
    <cellStyle name="Currency0 11" xfId="1705"/>
    <cellStyle name="Currency0 12" xfId="1706"/>
    <cellStyle name="Currency0 13" xfId="1707"/>
    <cellStyle name="Currency0 14" xfId="1708"/>
    <cellStyle name="Currency0 15" xfId="1709"/>
    <cellStyle name="Currency0 16" xfId="1710"/>
    <cellStyle name="Currency0 17" xfId="1711"/>
    <cellStyle name="Currency0 18" xfId="1712"/>
    <cellStyle name="Currency0 19" xfId="1713"/>
    <cellStyle name="Currency0 2" xfId="1714"/>
    <cellStyle name="Currency0 20" xfId="1715"/>
    <cellStyle name="Currency0 21" xfId="1716"/>
    <cellStyle name="Currency0 22" xfId="1717"/>
    <cellStyle name="Currency0 23" xfId="1718"/>
    <cellStyle name="Currency0 24" xfId="1719"/>
    <cellStyle name="Currency0 25" xfId="1720"/>
    <cellStyle name="Currency0 26" xfId="1721"/>
    <cellStyle name="Currency0 27" xfId="1722"/>
    <cellStyle name="Currency0 28" xfId="1723"/>
    <cellStyle name="Currency0 29" xfId="1724"/>
    <cellStyle name="Currency0 3" xfId="1725"/>
    <cellStyle name="Currency0 30" xfId="1726"/>
    <cellStyle name="Currency0 31" xfId="1727"/>
    <cellStyle name="Currency0 32" xfId="1728"/>
    <cellStyle name="Currency0 4" xfId="1729"/>
    <cellStyle name="Currency0 5" xfId="1730"/>
    <cellStyle name="Currency0 6" xfId="1731"/>
    <cellStyle name="Currency0 7" xfId="1732"/>
    <cellStyle name="Currency0 8" xfId="1733"/>
    <cellStyle name="Currency0 9" xfId="1734"/>
    <cellStyle name="Currency1" xfId="1735"/>
    <cellStyle name="Currency1 10" xfId="1736"/>
    <cellStyle name="Currency1 11" xfId="1737"/>
    <cellStyle name="Currency1 12" xfId="1738"/>
    <cellStyle name="Currency1 13" xfId="1739"/>
    <cellStyle name="Currency1 14" xfId="1740"/>
    <cellStyle name="Currency1 15" xfId="1741"/>
    <cellStyle name="Currency1 16" xfId="1742"/>
    <cellStyle name="Currency1 17" xfId="1743"/>
    <cellStyle name="Currency1 18" xfId="1744"/>
    <cellStyle name="Currency1 19" xfId="1745"/>
    <cellStyle name="Currency1 2" xfId="1746"/>
    <cellStyle name="Currency1 20" xfId="1747"/>
    <cellStyle name="Currency1 21" xfId="1748"/>
    <cellStyle name="Currency1 22" xfId="1749"/>
    <cellStyle name="Currency1 23" xfId="1750"/>
    <cellStyle name="Currency1 24" xfId="1751"/>
    <cellStyle name="Currency1 25" xfId="1752"/>
    <cellStyle name="Currency1 26" xfId="1753"/>
    <cellStyle name="Currency1 27" xfId="1754"/>
    <cellStyle name="Currency1 28" xfId="1755"/>
    <cellStyle name="Currency1 29" xfId="1756"/>
    <cellStyle name="Currency1 3" xfId="1757"/>
    <cellStyle name="Currency1 30" xfId="1758"/>
    <cellStyle name="Currency1 31" xfId="1759"/>
    <cellStyle name="Currency1 32" xfId="1760"/>
    <cellStyle name="Currency1 33" xfId="1761"/>
    <cellStyle name="Currency1 34" xfId="1762"/>
    <cellStyle name="Currency1 35" xfId="1763"/>
    <cellStyle name="Currency1 36" xfId="1764"/>
    <cellStyle name="Currency1 37" xfId="1765"/>
    <cellStyle name="Currency1 38" xfId="1766"/>
    <cellStyle name="Currency1 39" xfId="1767"/>
    <cellStyle name="Currency1 4" xfId="1768"/>
    <cellStyle name="Currency1 40" xfId="1769"/>
    <cellStyle name="Currency1 41" xfId="1770"/>
    <cellStyle name="Currency1 42" xfId="1771"/>
    <cellStyle name="Currency1 43" xfId="1772"/>
    <cellStyle name="Currency1 44" xfId="1773"/>
    <cellStyle name="Currency1 45" xfId="1774"/>
    <cellStyle name="Currency1 46" xfId="1775"/>
    <cellStyle name="Currency1 47" xfId="1776"/>
    <cellStyle name="Currency1 48" xfId="1777"/>
    <cellStyle name="Currency1 49" xfId="1778"/>
    <cellStyle name="Currency1 5" xfId="1779"/>
    <cellStyle name="Currency1 50" xfId="1780"/>
    <cellStyle name="Currency1 51" xfId="1781"/>
    <cellStyle name="Currency1 52" xfId="1782"/>
    <cellStyle name="Currency1 53" xfId="1783"/>
    <cellStyle name="Currency1 54" xfId="1784"/>
    <cellStyle name="Currency1 55" xfId="1785"/>
    <cellStyle name="Currency1 56" xfId="1786"/>
    <cellStyle name="Currency1 57" xfId="1787"/>
    <cellStyle name="Currency1 58" xfId="1788"/>
    <cellStyle name="Currency1 59" xfId="1789"/>
    <cellStyle name="Currency1 6" xfId="1790"/>
    <cellStyle name="Currency1 60" xfId="1791"/>
    <cellStyle name="Currency1 61" xfId="1792"/>
    <cellStyle name="Currency1 62" xfId="1793"/>
    <cellStyle name="Currency1 63" xfId="1794"/>
    <cellStyle name="Currency1 64" xfId="1795"/>
    <cellStyle name="Currency1 65" xfId="1796"/>
    <cellStyle name="Currency1 66" xfId="1797"/>
    <cellStyle name="Currency1 7" xfId="1798"/>
    <cellStyle name="Currency1 8" xfId="1799"/>
    <cellStyle name="Currency1 9" xfId="1800"/>
    <cellStyle name="Date" xfId="1801"/>
    <cellStyle name="Date 10" xfId="1802"/>
    <cellStyle name="Date 11" xfId="1803"/>
    <cellStyle name="Date 12" xfId="1804"/>
    <cellStyle name="Date 13" xfId="1805"/>
    <cellStyle name="Date 14" xfId="1806"/>
    <cellStyle name="Date 15" xfId="1807"/>
    <cellStyle name="Date 16" xfId="1808"/>
    <cellStyle name="Date 17" xfId="1809"/>
    <cellStyle name="Date 18" xfId="1810"/>
    <cellStyle name="Date 19" xfId="1811"/>
    <cellStyle name="Date 2" xfId="1812"/>
    <cellStyle name="Date 20" xfId="1813"/>
    <cellStyle name="Date 21" xfId="1814"/>
    <cellStyle name="Date 22" xfId="1815"/>
    <cellStyle name="Date 23" xfId="1816"/>
    <cellStyle name="Date 24" xfId="1817"/>
    <cellStyle name="Date 25" xfId="1818"/>
    <cellStyle name="Date 26" xfId="1819"/>
    <cellStyle name="Date 27" xfId="1820"/>
    <cellStyle name="Date 28" xfId="1821"/>
    <cellStyle name="Date 29" xfId="1822"/>
    <cellStyle name="Date 3" xfId="1823"/>
    <cellStyle name="Date 30" xfId="1824"/>
    <cellStyle name="Date 31" xfId="1825"/>
    <cellStyle name="Date 32" xfId="1826"/>
    <cellStyle name="Date 4" xfId="1827"/>
    <cellStyle name="Date 5" xfId="1828"/>
    <cellStyle name="Date 6" xfId="1829"/>
    <cellStyle name="Date 7" xfId="1830"/>
    <cellStyle name="Date 8" xfId="1831"/>
    <cellStyle name="Date 9" xfId="1832"/>
    <cellStyle name="Dezimal [0]_Ausdruck RUND (D)" xfId="1833"/>
    <cellStyle name="Dezimal_Ausdruck RUND (D)" xfId="1834"/>
    <cellStyle name="Dollar (zero dec)" xfId="1835"/>
    <cellStyle name="Dollar (zero dec) 10" xfId="1836"/>
    <cellStyle name="Dollar (zero dec) 11" xfId="1837"/>
    <cellStyle name="Dollar (zero dec) 12" xfId="1838"/>
    <cellStyle name="Dollar (zero dec) 13" xfId="1839"/>
    <cellStyle name="Dollar (zero dec) 14" xfId="1840"/>
    <cellStyle name="Dollar (zero dec) 15" xfId="1841"/>
    <cellStyle name="Dollar (zero dec) 16" xfId="1842"/>
    <cellStyle name="Dollar (zero dec) 17" xfId="1843"/>
    <cellStyle name="Dollar (zero dec) 18" xfId="1844"/>
    <cellStyle name="Dollar (zero dec) 19" xfId="1845"/>
    <cellStyle name="Dollar (zero dec) 2" xfId="1846"/>
    <cellStyle name="Dollar (zero dec) 20" xfId="1847"/>
    <cellStyle name="Dollar (zero dec) 21" xfId="1848"/>
    <cellStyle name="Dollar (zero dec) 22" xfId="1849"/>
    <cellStyle name="Dollar (zero dec) 23" xfId="1850"/>
    <cellStyle name="Dollar (zero dec) 24" xfId="1851"/>
    <cellStyle name="Dollar (zero dec) 25" xfId="1852"/>
    <cellStyle name="Dollar (zero dec) 26" xfId="1853"/>
    <cellStyle name="Dollar (zero dec) 27" xfId="1854"/>
    <cellStyle name="Dollar (zero dec) 28" xfId="1855"/>
    <cellStyle name="Dollar (zero dec) 29" xfId="1856"/>
    <cellStyle name="Dollar (zero dec) 3" xfId="1857"/>
    <cellStyle name="Dollar (zero dec) 30" xfId="1858"/>
    <cellStyle name="Dollar (zero dec) 31" xfId="1859"/>
    <cellStyle name="Dollar (zero dec) 32" xfId="1860"/>
    <cellStyle name="Dollar (zero dec) 33" xfId="1861"/>
    <cellStyle name="Dollar (zero dec) 34" xfId="1862"/>
    <cellStyle name="Dollar (zero dec) 35" xfId="1863"/>
    <cellStyle name="Dollar (zero dec) 36" xfId="1864"/>
    <cellStyle name="Dollar (zero dec) 37" xfId="1865"/>
    <cellStyle name="Dollar (zero dec) 38" xfId="1866"/>
    <cellStyle name="Dollar (zero dec) 39" xfId="1867"/>
    <cellStyle name="Dollar (zero dec) 4" xfId="1868"/>
    <cellStyle name="Dollar (zero dec) 40" xfId="1869"/>
    <cellStyle name="Dollar (zero dec) 41" xfId="1870"/>
    <cellStyle name="Dollar (zero dec) 42" xfId="1871"/>
    <cellStyle name="Dollar (zero dec) 43" xfId="1872"/>
    <cellStyle name="Dollar (zero dec) 44" xfId="1873"/>
    <cellStyle name="Dollar (zero dec) 45" xfId="1874"/>
    <cellStyle name="Dollar (zero dec) 46" xfId="1875"/>
    <cellStyle name="Dollar (zero dec) 47" xfId="1876"/>
    <cellStyle name="Dollar (zero dec) 48" xfId="1877"/>
    <cellStyle name="Dollar (zero dec) 49" xfId="1878"/>
    <cellStyle name="Dollar (zero dec) 5" xfId="1879"/>
    <cellStyle name="Dollar (zero dec) 50" xfId="1880"/>
    <cellStyle name="Dollar (zero dec) 51" xfId="1881"/>
    <cellStyle name="Dollar (zero dec) 52" xfId="1882"/>
    <cellStyle name="Dollar (zero dec) 53" xfId="1883"/>
    <cellStyle name="Dollar (zero dec) 54" xfId="1884"/>
    <cellStyle name="Dollar (zero dec) 55" xfId="1885"/>
    <cellStyle name="Dollar (zero dec) 56" xfId="1886"/>
    <cellStyle name="Dollar (zero dec) 57" xfId="1887"/>
    <cellStyle name="Dollar (zero dec) 58" xfId="1888"/>
    <cellStyle name="Dollar (zero dec) 59" xfId="1889"/>
    <cellStyle name="Dollar (zero dec) 6" xfId="1890"/>
    <cellStyle name="Dollar (zero dec) 60" xfId="1891"/>
    <cellStyle name="Dollar (zero dec) 61" xfId="1892"/>
    <cellStyle name="Dollar (zero dec) 62" xfId="1893"/>
    <cellStyle name="Dollar (zero dec) 63" xfId="1894"/>
    <cellStyle name="Dollar (zero dec) 64" xfId="1895"/>
    <cellStyle name="Dollar (zero dec) 65" xfId="1896"/>
    <cellStyle name="Dollar (zero dec) 66" xfId="1897"/>
    <cellStyle name="Dollar (zero dec) 7" xfId="1898"/>
    <cellStyle name="Dollar (zero dec) 8" xfId="1899"/>
    <cellStyle name="Dollar (zero dec) 9" xfId="1900"/>
    <cellStyle name="Emphasis 1" xfId="1901"/>
    <cellStyle name="Emphasis 2" xfId="1902"/>
    <cellStyle name="Emphasis 3" xfId="1903"/>
    <cellStyle name="Entered" xfId="1904"/>
    <cellStyle name="Euro" xfId="1905"/>
    <cellStyle name="F2" xfId="1906"/>
    <cellStyle name="F3" xfId="1907"/>
    <cellStyle name="F4" xfId="1908"/>
    <cellStyle name="F5" xfId="1909"/>
    <cellStyle name="F6" xfId="1910"/>
    <cellStyle name="F7" xfId="1911"/>
    <cellStyle name="F8" xfId="1912"/>
    <cellStyle name="Fixed" xfId="1913"/>
    <cellStyle name="Fixed 10" xfId="1914"/>
    <cellStyle name="Fixed 11" xfId="1915"/>
    <cellStyle name="Fixed 12" xfId="1916"/>
    <cellStyle name="Fixed 13" xfId="1917"/>
    <cellStyle name="Fixed 14" xfId="1918"/>
    <cellStyle name="Fixed 15" xfId="1919"/>
    <cellStyle name="Fixed 16" xfId="1920"/>
    <cellStyle name="Fixed 17" xfId="1921"/>
    <cellStyle name="Fixed 18" xfId="1922"/>
    <cellStyle name="Fixed 19" xfId="1923"/>
    <cellStyle name="Fixed 2" xfId="1924"/>
    <cellStyle name="Fixed 20" xfId="1925"/>
    <cellStyle name="Fixed 21" xfId="1926"/>
    <cellStyle name="Fixed 22" xfId="1927"/>
    <cellStyle name="Fixed 23" xfId="1928"/>
    <cellStyle name="Fixed 24" xfId="1929"/>
    <cellStyle name="Fixed 25" xfId="1930"/>
    <cellStyle name="Fixed 26" xfId="1931"/>
    <cellStyle name="Fixed 27" xfId="1932"/>
    <cellStyle name="Fixed 28" xfId="1933"/>
    <cellStyle name="Fixed 29" xfId="1934"/>
    <cellStyle name="Fixed 3" xfId="1935"/>
    <cellStyle name="Fixed 30" xfId="1936"/>
    <cellStyle name="Fixed 31" xfId="1937"/>
    <cellStyle name="Fixed 32" xfId="1938"/>
    <cellStyle name="Fixed 4" xfId="1939"/>
    <cellStyle name="Fixed 5" xfId="1940"/>
    <cellStyle name="Fixed 6" xfId="1941"/>
    <cellStyle name="Fixed 7" xfId="1942"/>
    <cellStyle name="Fixed 8" xfId="1943"/>
    <cellStyle name="Fixed 9" xfId="1944"/>
    <cellStyle name="G/표준" xfId="1945"/>
    <cellStyle name="Good" xfId="1946"/>
    <cellStyle name="Grey" xfId="1947"/>
    <cellStyle name="Grey 10" xfId="1948"/>
    <cellStyle name="Grey 11" xfId="1949"/>
    <cellStyle name="Grey 12" xfId="1950"/>
    <cellStyle name="Grey 13" xfId="1951"/>
    <cellStyle name="Grey 14" xfId="1952"/>
    <cellStyle name="Grey 15" xfId="1953"/>
    <cellStyle name="Grey 16" xfId="1954"/>
    <cellStyle name="Grey 17" xfId="1955"/>
    <cellStyle name="Grey 18" xfId="1956"/>
    <cellStyle name="Grey 19" xfId="1957"/>
    <cellStyle name="Grey 2" xfId="1958"/>
    <cellStyle name="Grey 20" xfId="1959"/>
    <cellStyle name="Grey 21" xfId="1960"/>
    <cellStyle name="Grey 22" xfId="1961"/>
    <cellStyle name="Grey 23" xfId="1962"/>
    <cellStyle name="Grey 24" xfId="1963"/>
    <cellStyle name="Grey 25" xfId="1964"/>
    <cellStyle name="Grey 26" xfId="1965"/>
    <cellStyle name="Grey 27" xfId="1966"/>
    <cellStyle name="Grey 28" xfId="1967"/>
    <cellStyle name="Grey 29" xfId="1968"/>
    <cellStyle name="Grey 3" xfId="1969"/>
    <cellStyle name="Grey 30" xfId="1970"/>
    <cellStyle name="Grey 31" xfId="1971"/>
    <cellStyle name="Grey 32" xfId="1972"/>
    <cellStyle name="Grey 4" xfId="1973"/>
    <cellStyle name="Grey 5" xfId="1974"/>
    <cellStyle name="Grey 6" xfId="1975"/>
    <cellStyle name="Grey 7" xfId="1976"/>
    <cellStyle name="Grey 8" xfId="1977"/>
    <cellStyle name="Grey 9" xfId="1978"/>
    <cellStyle name="head" xfId="1979"/>
    <cellStyle name="HEADER" xfId="1980"/>
    <cellStyle name="Header1" xfId="1981"/>
    <cellStyle name="Header2" xfId="1982"/>
    <cellStyle name="Heading 1" xfId="1983"/>
    <cellStyle name="Heading 1 10" xfId="1984"/>
    <cellStyle name="Heading 1 11" xfId="1985"/>
    <cellStyle name="Heading 1 12" xfId="1986"/>
    <cellStyle name="Heading 1 13" xfId="1987"/>
    <cellStyle name="Heading 1 14" xfId="1988"/>
    <cellStyle name="Heading 1 15" xfId="1989"/>
    <cellStyle name="Heading 1 16" xfId="1990"/>
    <cellStyle name="Heading 1 17" xfId="1991"/>
    <cellStyle name="Heading 1 18" xfId="1992"/>
    <cellStyle name="Heading 1 19" xfId="1993"/>
    <cellStyle name="Heading 1 2" xfId="1994"/>
    <cellStyle name="Heading 1 20" xfId="1995"/>
    <cellStyle name="Heading 1 21" xfId="1996"/>
    <cellStyle name="Heading 1 22" xfId="1997"/>
    <cellStyle name="Heading 1 23" xfId="1998"/>
    <cellStyle name="Heading 1 24" xfId="1999"/>
    <cellStyle name="Heading 1 25" xfId="2000"/>
    <cellStyle name="Heading 1 26" xfId="2001"/>
    <cellStyle name="Heading 1 27" xfId="2002"/>
    <cellStyle name="Heading 1 28" xfId="2003"/>
    <cellStyle name="Heading 1 29" xfId="2004"/>
    <cellStyle name="Heading 1 3" xfId="2005"/>
    <cellStyle name="Heading 1 30" xfId="2006"/>
    <cellStyle name="Heading 1 31" xfId="2007"/>
    <cellStyle name="Heading 1 32" xfId="2008"/>
    <cellStyle name="Heading 1 4" xfId="2009"/>
    <cellStyle name="Heading 1 5" xfId="2010"/>
    <cellStyle name="Heading 1 6" xfId="2011"/>
    <cellStyle name="Heading 1 7" xfId="2012"/>
    <cellStyle name="Heading 1 8" xfId="2013"/>
    <cellStyle name="Heading 1 9" xfId="2014"/>
    <cellStyle name="Heading 2" xfId="2015"/>
    <cellStyle name="Heading 2 10" xfId="2016"/>
    <cellStyle name="Heading 2 11" xfId="2017"/>
    <cellStyle name="Heading 2 12" xfId="2018"/>
    <cellStyle name="Heading 2 13" xfId="2019"/>
    <cellStyle name="Heading 2 14" xfId="2020"/>
    <cellStyle name="Heading 2 15" xfId="2021"/>
    <cellStyle name="Heading 2 16" xfId="2022"/>
    <cellStyle name="Heading 2 17" xfId="2023"/>
    <cellStyle name="Heading 2 18" xfId="2024"/>
    <cellStyle name="Heading 2 19" xfId="2025"/>
    <cellStyle name="Heading 2 2" xfId="2026"/>
    <cellStyle name="Heading 2 20" xfId="2027"/>
    <cellStyle name="Heading 2 21" xfId="2028"/>
    <cellStyle name="Heading 2 22" xfId="2029"/>
    <cellStyle name="Heading 2 23" xfId="2030"/>
    <cellStyle name="Heading 2 24" xfId="2031"/>
    <cellStyle name="Heading 2 25" xfId="2032"/>
    <cellStyle name="Heading 2 26" xfId="2033"/>
    <cellStyle name="Heading 2 27" xfId="2034"/>
    <cellStyle name="Heading 2 28" xfId="2035"/>
    <cellStyle name="Heading 2 29" xfId="2036"/>
    <cellStyle name="Heading 2 3" xfId="2037"/>
    <cellStyle name="Heading 2 30" xfId="2038"/>
    <cellStyle name="Heading 2 31" xfId="2039"/>
    <cellStyle name="Heading 2 32" xfId="2040"/>
    <cellStyle name="Heading 2 4" xfId="2041"/>
    <cellStyle name="Heading 2 5" xfId="2042"/>
    <cellStyle name="Heading 2 6" xfId="2043"/>
    <cellStyle name="Heading 2 7" xfId="2044"/>
    <cellStyle name="Heading 2 8" xfId="2045"/>
    <cellStyle name="Heading 2 9" xfId="2046"/>
    <cellStyle name="Heading 3" xfId="2047"/>
    <cellStyle name="Heading 4" xfId="2048"/>
    <cellStyle name="HEADING1" xfId="2049"/>
    <cellStyle name="HEADING2" xfId="2050"/>
    <cellStyle name="Helv8_PFD4.XLS" xfId="2051"/>
    <cellStyle name="HIGHLIGHT" xfId="2052"/>
    <cellStyle name="Hyperlink" xfId="2053"/>
    <cellStyle name="Input" xfId="2054"/>
    <cellStyle name="Input [yellow]" xfId="2055"/>
    <cellStyle name="Input [yellow] 10" xfId="2056"/>
    <cellStyle name="Input [yellow] 11" xfId="2057"/>
    <cellStyle name="Input [yellow] 12" xfId="2058"/>
    <cellStyle name="Input [yellow] 13" xfId="2059"/>
    <cellStyle name="Input [yellow] 14" xfId="2060"/>
    <cellStyle name="Input [yellow] 15" xfId="2061"/>
    <cellStyle name="Input [yellow] 16" xfId="2062"/>
    <cellStyle name="Input [yellow] 17" xfId="2063"/>
    <cellStyle name="Input [yellow] 18" xfId="2064"/>
    <cellStyle name="Input [yellow] 19" xfId="2065"/>
    <cellStyle name="Input [yellow] 2" xfId="2066"/>
    <cellStyle name="Input [yellow] 20" xfId="2067"/>
    <cellStyle name="Input [yellow] 21" xfId="2068"/>
    <cellStyle name="Input [yellow] 22" xfId="2069"/>
    <cellStyle name="Input [yellow] 23" xfId="2070"/>
    <cellStyle name="Input [yellow] 24" xfId="2071"/>
    <cellStyle name="Input [yellow] 25" xfId="2072"/>
    <cellStyle name="Input [yellow] 26" xfId="2073"/>
    <cellStyle name="Input [yellow] 27" xfId="2074"/>
    <cellStyle name="Input [yellow] 28" xfId="2075"/>
    <cellStyle name="Input [yellow] 29" xfId="2076"/>
    <cellStyle name="Input [yellow] 3" xfId="2077"/>
    <cellStyle name="Input [yellow] 30" xfId="2078"/>
    <cellStyle name="Input [yellow] 31" xfId="2079"/>
    <cellStyle name="Input [yellow] 32" xfId="2080"/>
    <cellStyle name="Input [yellow] 4" xfId="2081"/>
    <cellStyle name="Input [yellow] 5" xfId="2082"/>
    <cellStyle name="Input [yellow] 6" xfId="2083"/>
    <cellStyle name="Input [yellow] 7" xfId="2084"/>
    <cellStyle name="Input [yellow] 8" xfId="2085"/>
    <cellStyle name="Input [yellow] 9" xfId="2086"/>
    <cellStyle name="IP" xfId="2087"/>
    <cellStyle name="Linked Cell" xfId="2088"/>
    <cellStyle name="Milliers [0]_399GC10" xfId="2089"/>
    <cellStyle name="Milliers_399GC10" xfId="2090"/>
    <cellStyle name="Model" xfId="2091"/>
    <cellStyle name="Mon?aire [0]_399GC10" xfId="2092"/>
    <cellStyle name="Mon?aire_399GC10" xfId="2093"/>
    <cellStyle name="Neutral" xfId="2094"/>
    <cellStyle name="no dec" xfId="2095"/>
    <cellStyle name="normal" xfId="2291"/>
    <cellStyle name="Normal - Style1" xfId="2097"/>
    <cellStyle name="Normal - Style1 10" xfId="2098"/>
    <cellStyle name="Normal - Style1 11" xfId="2099"/>
    <cellStyle name="Normal - Style1 12" xfId="2100"/>
    <cellStyle name="Normal - Style1 13" xfId="2101"/>
    <cellStyle name="Normal - Style1 14" xfId="2102"/>
    <cellStyle name="Normal - Style1 15" xfId="2103"/>
    <cellStyle name="Normal - Style1 16" xfId="2104"/>
    <cellStyle name="Normal - Style1 17" xfId="2105"/>
    <cellStyle name="Normal - Style1 18" xfId="2106"/>
    <cellStyle name="Normal - Style1 19" xfId="2107"/>
    <cellStyle name="Normal - Style1 2" xfId="2108"/>
    <cellStyle name="Normal - Style1 20" xfId="2109"/>
    <cellStyle name="Normal - Style1 21" xfId="2110"/>
    <cellStyle name="Normal - Style1 22" xfId="2111"/>
    <cellStyle name="Normal - Style1 23" xfId="2112"/>
    <cellStyle name="Normal - Style1 24" xfId="2113"/>
    <cellStyle name="Normal - Style1 25" xfId="2114"/>
    <cellStyle name="Normal - Style1 26" xfId="2115"/>
    <cellStyle name="Normal - Style1 27" xfId="2116"/>
    <cellStyle name="Normal - Style1 28" xfId="2117"/>
    <cellStyle name="Normal - Style1 29" xfId="2118"/>
    <cellStyle name="Normal - Style1 3" xfId="2119"/>
    <cellStyle name="Normal - Style1 30" xfId="2120"/>
    <cellStyle name="Normal - Style1 31" xfId="2121"/>
    <cellStyle name="Normal - Style1 32" xfId="2122"/>
    <cellStyle name="Normal - Style1 33" xfId="2123"/>
    <cellStyle name="Normal - Style1 34" xfId="2124"/>
    <cellStyle name="Normal - Style1 35" xfId="2125"/>
    <cellStyle name="Normal - Style1 36" xfId="2126"/>
    <cellStyle name="Normal - Style1 37" xfId="2127"/>
    <cellStyle name="Normal - Style1 38" xfId="2128"/>
    <cellStyle name="Normal - Style1 39" xfId="2129"/>
    <cellStyle name="Normal - Style1 4" xfId="2130"/>
    <cellStyle name="Normal - Style1 40" xfId="2131"/>
    <cellStyle name="Normal - Style1 41" xfId="2132"/>
    <cellStyle name="Normal - Style1 42" xfId="2133"/>
    <cellStyle name="Normal - Style1 43" xfId="2134"/>
    <cellStyle name="Normal - Style1 44" xfId="2135"/>
    <cellStyle name="Normal - Style1 45" xfId="2136"/>
    <cellStyle name="Normal - Style1 46" xfId="2137"/>
    <cellStyle name="Normal - Style1 47" xfId="2138"/>
    <cellStyle name="Normal - Style1 48" xfId="2139"/>
    <cellStyle name="Normal - Style1 49" xfId="2140"/>
    <cellStyle name="Normal - Style1 5" xfId="2141"/>
    <cellStyle name="Normal - Style1 50" xfId="2142"/>
    <cellStyle name="Normal - Style1 51" xfId="2143"/>
    <cellStyle name="Normal - Style1 52" xfId="2144"/>
    <cellStyle name="Normal - Style1 53" xfId="2145"/>
    <cellStyle name="Normal - Style1 54" xfId="2146"/>
    <cellStyle name="Normal - Style1 55" xfId="2147"/>
    <cellStyle name="Normal - Style1 56" xfId="2148"/>
    <cellStyle name="Normal - Style1 57" xfId="2149"/>
    <cellStyle name="Normal - Style1 58" xfId="2150"/>
    <cellStyle name="Normal - Style1 59" xfId="2151"/>
    <cellStyle name="Normal - Style1 6" xfId="2152"/>
    <cellStyle name="Normal - Style1 60" xfId="2153"/>
    <cellStyle name="Normal - Style1 61" xfId="2154"/>
    <cellStyle name="Normal - Style1 62" xfId="2155"/>
    <cellStyle name="Normal - Style1 63" xfId="2156"/>
    <cellStyle name="Normal - Style1 64" xfId="2157"/>
    <cellStyle name="Normal - Style1 65" xfId="2158"/>
    <cellStyle name="Normal - Style1 66" xfId="2159"/>
    <cellStyle name="Normal - Style1 7" xfId="2160"/>
    <cellStyle name="Normal - Style1 8" xfId="2161"/>
    <cellStyle name="Normal - Style1 9" xfId="2162"/>
    <cellStyle name="Normal - Style2" xfId="2163"/>
    <cellStyle name="Normal - Style3" xfId="2164"/>
    <cellStyle name="Normal - Style4" xfId="2165"/>
    <cellStyle name="Normal - Style5" xfId="2166"/>
    <cellStyle name="Normal - Style6" xfId="2167"/>
    <cellStyle name="Normal - Style7" xfId="2168"/>
    <cellStyle name="Normal - Style8" xfId="2169"/>
    <cellStyle name="Normal - 유형1" xfId="2096"/>
    <cellStyle name="Normal_ SG&amp;A Bridge " xfId="2170"/>
    <cellStyle name="Note" xfId="2171"/>
    <cellStyle name="Œ…?æ맖?e [0.00]_laroux" xfId="2172"/>
    <cellStyle name="Œ…?æ맖?e_laroux" xfId="2173"/>
    <cellStyle name="oft Excel]_x000d__x000a_Comment=The open=/f lines load custom functions into the Paste Function list._x000d__x000a_Maximized=3_x000d__x000a_AutoFormat=" xfId="2174"/>
    <cellStyle name="Output" xfId="2175"/>
    <cellStyle name="Percent" xfId="2176"/>
    <cellStyle name="Percent [2]" xfId="2177"/>
    <cellStyle name="Percent_공내역서-실행내역" xfId="2292"/>
    <cellStyle name="RevList" xfId="2178"/>
    <cellStyle name="Sheet Title" xfId="2179"/>
    <cellStyle name="STANDARD" xfId="2180"/>
    <cellStyle name="STD" xfId="2181"/>
    <cellStyle name="subhead" xfId="2182"/>
    <cellStyle name="Subtotal" xfId="2183"/>
    <cellStyle name="Title" xfId="2184"/>
    <cellStyle name="title [1]" xfId="2185"/>
    <cellStyle name="title [2]" xfId="2186"/>
    <cellStyle name="Title_군위군 계측제어설비 견적서(한종)0928" xfId="2187"/>
    <cellStyle name="Total" xfId="2188"/>
    <cellStyle name="Total 10" xfId="2189"/>
    <cellStyle name="Total 11" xfId="2190"/>
    <cellStyle name="Total 12" xfId="2191"/>
    <cellStyle name="Total 13" xfId="2192"/>
    <cellStyle name="Total 14" xfId="2193"/>
    <cellStyle name="Total 15" xfId="2194"/>
    <cellStyle name="Total 16" xfId="2195"/>
    <cellStyle name="Total 17" xfId="2196"/>
    <cellStyle name="Total 18" xfId="2197"/>
    <cellStyle name="Total 19" xfId="2198"/>
    <cellStyle name="Total 2" xfId="2199"/>
    <cellStyle name="Total 20" xfId="2200"/>
    <cellStyle name="Total 21" xfId="2201"/>
    <cellStyle name="Total 22" xfId="2202"/>
    <cellStyle name="Total 23" xfId="2203"/>
    <cellStyle name="Total 24" xfId="2204"/>
    <cellStyle name="Total 25" xfId="2205"/>
    <cellStyle name="Total 26" xfId="2206"/>
    <cellStyle name="Total 27" xfId="2207"/>
    <cellStyle name="Total 28" xfId="2208"/>
    <cellStyle name="Total 29" xfId="2209"/>
    <cellStyle name="Total 3" xfId="2210"/>
    <cellStyle name="Total 30" xfId="2211"/>
    <cellStyle name="Total 31" xfId="2212"/>
    <cellStyle name="Total 32" xfId="2213"/>
    <cellStyle name="Total 4" xfId="2214"/>
    <cellStyle name="Total 5" xfId="2215"/>
    <cellStyle name="Total 6" xfId="2216"/>
    <cellStyle name="Total 7" xfId="2217"/>
    <cellStyle name="Total 8" xfId="2218"/>
    <cellStyle name="Total 9" xfId="2219"/>
    <cellStyle name="UM" xfId="2220"/>
    <cellStyle name="Unprot" xfId="2221"/>
    <cellStyle name="Unprot$" xfId="2222"/>
    <cellStyle name="Unprotect" xfId="2223"/>
    <cellStyle name="W?rung [0]_Ausdruck RUND (D)" xfId="2224"/>
    <cellStyle name="W?rung_Ausdruck RUND (D)" xfId="2225"/>
    <cellStyle name="Warning Text" xfId="2226"/>
    <cellStyle name="YONG " xfId="2293"/>
    <cellStyle name="μU¿¡ ¿A´A CIAIÆU¸μAⓒ" xfId="2227"/>
    <cellStyle name="강조색1" xfId="316" builtinId="29" customBuiltin="1"/>
    <cellStyle name="강조색1 10" xfId="317"/>
    <cellStyle name="강조색1 11" xfId="318"/>
    <cellStyle name="강조색1 12" xfId="319"/>
    <cellStyle name="강조색1 13" xfId="320"/>
    <cellStyle name="강조색1 2" xfId="321"/>
    <cellStyle name="강조색1 3" xfId="322"/>
    <cellStyle name="강조색1 4" xfId="323"/>
    <cellStyle name="강조색1 5" xfId="324"/>
    <cellStyle name="강조색1 6" xfId="325"/>
    <cellStyle name="강조색1 7" xfId="326"/>
    <cellStyle name="강조색1 8" xfId="327"/>
    <cellStyle name="강조색1 9" xfId="328"/>
    <cellStyle name="강조색2" xfId="329" builtinId="33" customBuiltin="1"/>
    <cellStyle name="강조색2 10" xfId="330"/>
    <cellStyle name="강조색2 11" xfId="331"/>
    <cellStyle name="강조색2 12" xfId="332"/>
    <cellStyle name="강조색2 13" xfId="333"/>
    <cellStyle name="강조색2 2" xfId="334"/>
    <cellStyle name="강조색2 3" xfId="335"/>
    <cellStyle name="강조색2 4" xfId="336"/>
    <cellStyle name="강조색2 5" xfId="337"/>
    <cellStyle name="강조색2 6" xfId="338"/>
    <cellStyle name="강조색2 7" xfId="339"/>
    <cellStyle name="강조색2 8" xfId="340"/>
    <cellStyle name="강조색2 9" xfId="341"/>
    <cellStyle name="강조색3" xfId="342" builtinId="37" customBuiltin="1"/>
    <cellStyle name="강조색3 10" xfId="343"/>
    <cellStyle name="강조색3 11" xfId="344"/>
    <cellStyle name="강조색3 12" xfId="345"/>
    <cellStyle name="강조색3 13" xfId="346"/>
    <cellStyle name="강조색3 2" xfId="347"/>
    <cellStyle name="강조색3 3" xfId="348"/>
    <cellStyle name="강조색3 4" xfId="349"/>
    <cellStyle name="강조색3 5" xfId="350"/>
    <cellStyle name="강조색3 6" xfId="351"/>
    <cellStyle name="강조색3 7" xfId="352"/>
    <cellStyle name="강조색3 8" xfId="353"/>
    <cellStyle name="강조색3 9" xfId="354"/>
    <cellStyle name="강조색4" xfId="355" builtinId="41" customBuiltin="1"/>
    <cellStyle name="강조색4 10" xfId="356"/>
    <cellStyle name="강조색4 11" xfId="357"/>
    <cellStyle name="강조색4 12" xfId="358"/>
    <cellStyle name="강조색4 13" xfId="359"/>
    <cellStyle name="강조색4 2" xfId="360"/>
    <cellStyle name="강조색4 3" xfId="361"/>
    <cellStyle name="강조색4 4" xfId="362"/>
    <cellStyle name="강조색4 5" xfId="363"/>
    <cellStyle name="강조색4 6" xfId="364"/>
    <cellStyle name="강조색4 7" xfId="365"/>
    <cellStyle name="강조색4 8" xfId="366"/>
    <cellStyle name="강조색4 9" xfId="367"/>
    <cellStyle name="강조색5" xfId="368" builtinId="45" customBuiltin="1"/>
    <cellStyle name="강조색5 10" xfId="369"/>
    <cellStyle name="강조색5 11" xfId="370"/>
    <cellStyle name="강조색5 12" xfId="371"/>
    <cellStyle name="강조색5 13" xfId="372"/>
    <cellStyle name="강조색5 2" xfId="373"/>
    <cellStyle name="강조색5 3" xfId="374"/>
    <cellStyle name="강조색5 4" xfId="375"/>
    <cellStyle name="강조색5 5" xfId="376"/>
    <cellStyle name="강조색5 6" xfId="377"/>
    <cellStyle name="강조색5 7" xfId="378"/>
    <cellStyle name="강조색5 8" xfId="379"/>
    <cellStyle name="강조색5 9" xfId="380"/>
    <cellStyle name="강조색6" xfId="381" builtinId="49" customBuiltin="1"/>
    <cellStyle name="강조색6 10" xfId="382"/>
    <cellStyle name="강조색6 11" xfId="383"/>
    <cellStyle name="강조색6 12" xfId="384"/>
    <cellStyle name="강조색6 13" xfId="385"/>
    <cellStyle name="강조색6 2" xfId="386"/>
    <cellStyle name="강조색6 3" xfId="387"/>
    <cellStyle name="강조색6 4" xfId="388"/>
    <cellStyle name="강조색6 5" xfId="389"/>
    <cellStyle name="강조색6 6" xfId="390"/>
    <cellStyle name="강조색6 7" xfId="391"/>
    <cellStyle name="강조색6 8" xfId="392"/>
    <cellStyle name="강조색6 9" xfId="393"/>
    <cellStyle name="견적" xfId="394"/>
    <cellStyle name="경고문" xfId="395" builtinId="11" customBuiltin="1"/>
    <cellStyle name="경고문 10" xfId="396"/>
    <cellStyle name="경고문 11" xfId="397"/>
    <cellStyle name="경고문 12" xfId="398"/>
    <cellStyle name="경고문 13" xfId="399"/>
    <cellStyle name="경고문 2" xfId="400"/>
    <cellStyle name="경고문 3" xfId="401"/>
    <cellStyle name="경고문 4" xfId="402"/>
    <cellStyle name="경고문 5" xfId="403"/>
    <cellStyle name="경고문 6" xfId="404"/>
    <cellStyle name="경고문 7" xfId="405"/>
    <cellStyle name="경고문 8" xfId="406"/>
    <cellStyle name="경고문 9" xfId="407"/>
    <cellStyle name="계산" xfId="408" builtinId="22" customBuiltin="1"/>
    <cellStyle name="계산 10" xfId="409"/>
    <cellStyle name="계산 11" xfId="410"/>
    <cellStyle name="계산 12" xfId="411"/>
    <cellStyle name="계산 13" xfId="412"/>
    <cellStyle name="계산 2" xfId="413"/>
    <cellStyle name="계산 3" xfId="414"/>
    <cellStyle name="계산 4" xfId="415"/>
    <cellStyle name="계산 5" xfId="416"/>
    <cellStyle name="계산 6" xfId="417"/>
    <cellStyle name="계산 7" xfId="418"/>
    <cellStyle name="계산 8" xfId="419"/>
    <cellStyle name="계산 9" xfId="420"/>
    <cellStyle name="고정소숫점" xfId="421"/>
    <cellStyle name="고정소숫점 10" xfId="422"/>
    <cellStyle name="고정소숫점 11" xfId="423"/>
    <cellStyle name="고정소숫점 12" xfId="424"/>
    <cellStyle name="고정소숫점 13" xfId="425"/>
    <cellStyle name="고정소숫점 14" xfId="426"/>
    <cellStyle name="고정소숫점 15" xfId="427"/>
    <cellStyle name="고정소숫점 16" xfId="428"/>
    <cellStyle name="고정소숫점 17" xfId="429"/>
    <cellStyle name="고정소숫점 18" xfId="430"/>
    <cellStyle name="고정소숫점 19" xfId="431"/>
    <cellStyle name="고정소숫점 2" xfId="432"/>
    <cellStyle name="고정소숫점 20" xfId="433"/>
    <cellStyle name="고정소숫점 21" xfId="434"/>
    <cellStyle name="고정소숫점 22" xfId="435"/>
    <cellStyle name="고정소숫점 23" xfId="436"/>
    <cellStyle name="고정소숫점 24" xfId="437"/>
    <cellStyle name="고정소숫점 25" xfId="438"/>
    <cellStyle name="고정소숫점 26" xfId="439"/>
    <cellStyle name="고정소숫점 27" xfId="440"/>
    <cellStyle name="고정소숫점 28" xfId="441"/>
    <cellStyle name="고정소숫점 29" xfId="442"/>
    <cellStyle name="고정소숫점 3" xfId="443"/>
    <cellStyle name="고정소숫점 30" xfId="444"/>
    <cellStyle name="고정소숫점 31" xfId="445"/>
    <cellStyle name="고정소숫점 32" xfId="446"/>
    <cellStyle name="고정소숫점 33" xfId="447"/>
    <cellStyle name="고정소숫점 34" xfId="448"/>
    <cellStyle name="고정소숫점 35" xfId="449"/>
    <cellStyle name="고정소숫점 36" xfId="450"/>
    <cellStyle name="고정소숫점 37" xfId="451"/>
    <cellStyle name="고정소숫점 38" xfId="452"/>
    <cellStyle name="고정소숫점 39" xfId="453"/>
    <cellStyle name="고정소숫점 4" xfId="454"/>
    <cellStyle name="고정소숫점 40" xfId="455"/>
    <cellStyle name="고정소숫점 41" xfId="456"/>
    <cellStyle name="고정소숫점 42" xfId="457"/>
    <cellStyle name="고정소숫점 43" xfId="458"/>
    <cellStyle name="고정소숫점 44" xfId="459"/>
    <cellStyle name="고정소숫점 45" xfId="460"/>
    <cellStyle name="고정소숫점 46" xfId="461"/>
    <cellStyle name="고정소숫점 47" xfId="462"/>
    <cellStyle name="고정소숫점 48" xfId="463"/>
    <cellStyle name="고정소숫점 49" xfId="464"/>
    <cellStyle name="고정소숫점 5" xfId="465"/>
    <cellStyle name="고정소숫점 50" xfId="466"/>
    <cellStyle name="고정소숫점 51" xfId="467"/>
    <cellStyle name="고정소숫점 52" xfId="468"/>
    <cellStyle name="고정소숫점 53" xfId="469"/>
    <cellStyle name="고정소숫점 54" xfId="470"/>
    <cellStyle name="고정소숫점 55" xfId="471"/>
    <cellStyle name="고정소숫점 56" xfId="472"/>
    <cellStyle name="고정소숫점 57" xfId="473"/>
    <cellStyle name="고정소숫점 58" xfId="474"/>
    <cellStyle name="고정소숫점 59" xfId="475"/>
    <cellStyle name="고정소숫점 6" xfId="476"/>
    <cellStyle name="고정소숫점 60" xfId="477"/>
    <cellStyle name="고정소숫점 61" xfId="478"/>
    <cellStyle name="고정소숫점 62" xfId="479"/>
    <cellStyle name="고정소숫점 63" xfId="480"/>
    <cellStyle name="고정소숫점 64" xfId="481"/>
    <cellStyle name="고정소숫점 65" xfId="482"/>
    <cellStyle name="고정소숫점 66" xfId="483"/>
    <cellStyle name="고정소숫점 7" xfId="484"/>
    <cellStyle name="고정소숫점 8" xfId="485"/>
    <cellStyle name="고정소숫점 9" xfId="486"/>
    <cellStyle name="고정출력1" xfId="487"/>
    <cellStyle name="고정출력2" xfId="488"/>
    <cellStyle name="咬訌裝?INCOM1" xfId="489"/>
    <cellStyle name="咬訌裝?INCOM10" xfId="490"/>
    <cellStyle name="咬訌裝?INCOM2" xfId="491"/>
    <cellStyle name="咬訌裝?INCOM3" xfId="492"/>
    <cellStyle name="咬訌裝?INCOM4" xfId="493"/>
    <cellStyle name="咬訌裝?INCOM5" xfId="494"/>
    <cellStyle name="咬訌裝?INCOM6" xfId="495"/>
    <cellStyle name="咬訌裝?INCOM7" xfId="496"/>
    <cellStyle name="咬訌裝?INCOM8" xfId="497"/>
    <cellStyle name="咬訌裝?INCOM9" xfId="498"/>
    <cellStyle name="咬訌裝?PRIB11" xfId="499"/>
    <cellStyle name="금액" xfId="500"/>
    <cellStyle name="기계" xfId="501"/>
    <cellStyle name="나쁨" xfId="502" builtinId="27" customBuiltin="1"/>
    <cellStyle name="나쁨 10" xfId="503"/>
    <cellStyle name="나쁨 11" xfId="504"/>
    <cellStyle name="나쁨 12" xfId="505"/>
    <cellStyle name="나쁨 13" xfId="506"/>
    <cellStyle name="나쁨 2" xfId="507"/>
    <cellStyle name="나쁨 3" xfId="508"/>
    <cellStyle name="나쁨 4" xfId="509"/>
    <cellStyle name="나쁨 5" xfId="510"/>
    <cellStyle name="나쁨 6" xfId="511"/>
    <cellStyle name="나쁨 7" xfId="512"/>
    <cellStyle name="나쁨 8" xfId="513"/>
    <cellStyle name="나쁨 9" xfId="514"/>
    <cellStyle name="날짜" xfId="515"/>
    <cellStyle name="내역" xfId="516"/>
    <cellStyle name="내역서" xfId="517"/>
    <cellStyle name="단위" xfId="518"/>
    <cellStyle name="단위(원)" xfId="519"/>
    <cellStyle name="달러" xfId="520"/>
    <cellStyle name="뒤에 오는 하이퍼링크" xfId="521"/>
    <cellStyle name="똿뗦먛귟 [0.00]_laroux" xfId="522"/>
    <cellStyle name="똿뗦먛귟_laroux" xfId="523"/>
    <cellStyle name="메모" xfId="524" builtinId="10" customBuiltin="1"/>
    <cellStyle name="메모 10" xfId="525"/>
    <cellStyle name="메모 11" xfId="526"/>
    <cellStyle name="메모 12" xfId="527"/>
    <cellStyle name="메모 13" xfId="528"/>
    <cellStyle name="메모 2" xfId="529"/>
    <cellStyle name="메모 3" xfId="530"/>
    <cellStyle name="메모 4" xfId="531"/>
    <cellStyle name="메모 5" xfId="532"/>
    <cellStyle name="메모 6" xfId="533"/>
    <cellStyle name="메모 7" xfId="534"/>
    <cellStyle name="메모 8" xfId="535"/>
    <cellStyle name="메모 9" xfId="536"/>
    <cellStyle name="믅됞 [0.00]_laroux" xfId="537"/>
    <cellStyle name="믅됞_laroux" xfId="538"/>
    <cellStyle name="배분" xfId="539"/>
    <cellStyle name="백만단위로" xfId="540"/>
    <cellStyle name="백분율" xfId="541" builtinId="5"/>
    <cellStyle name="백분율 [△1]" xfId="542"/>
    <cellStyle name="백분율 [△2]" xfId="543"/>
    <cellStyle name="백분율 [0]" xfId="544"/>
    <cellStyle name="백분율 [2]" xfId="545"/>
    <cellStyle name="백분율 10" xfId="546"/>
    <cellStyle name="백분율 11" xfId="547"/>
    <cellStyle name="백분율 12" xfId="548"/>
    <cellStyle name="백분율 13" xfId="549"/>
    <cellStyle name="백분율 14" xfId="550"/>
    <cellStyle name="백분율 15" xfId="551"/>
    <cellStyle name="백분율 16" xfId="552"/>
    <cellStyle name="백분율 17" xfId="553"/>
    <cellStyle name="백분율 18" xfId="554"/>
    <cellStyle name="백분율 19" xfId="555"/>
    <cellStyle name="백분율 2" xfId="556"/>
    <cellStyle name="백분율 20" xfId="557"/>
    <cellStyle name="백분율 21" xfId="558"/>
    <cellStyle name="백분율 22" xfId="559"/>
    <cellStyle name="백분율 23" xfId="560"/>
    <cellStyle name="백분율 24" xfId="561"/>
    <cellStyle name="백분율 25" xfId="562"/>
    <cellStyle name="백분율 26" xfId="563"/>
    <cellStyle name="백분율 27" xfId="564"/>
    <cellStyle name="백분율 28" xfId="565"/>
    <cellStyle name="백분율 29" xfId="566"/>
    <cellStyle name="백분율 3" xfId="567"/>
    <cellStyle name="백분율 30" xfId="568"/>
    <cellStyle name="백분율 31" xfId="569"/>
    <cellStyle name="백분율 31 2" xfId="570"/>
    <cellStyle name="백분율 31 3" xfId="571"/>
    <cellStyle name="백분율 31 4" xfId="572"/>
    <cellStyle name="백분율 32" xfId="573"/>
    <cellStyle name="백분율 33" xfId="574"/>
    <cellStyle name="백분율 34" xfId="575"/>
    <cellStyle name="백분율 35" xfId="576"/>
    <cellStyle name="백분율 36" xfId="577"/>
    <cellStyle name="백분율 37" xfId="578"/>
    <cellStyle name="백분율 38" xfId="579"/>
    <cellStyle name="백분율 39" xfId="580"/>
    <cellStyle name="백분율 4" xfId="581"/>
    <cellStyle name="백분율 40" xfId="582"/>
    <cellStyle name="백분율 41" xfId="583"/>
    <cellStyle name="백분율 42" xfId="584"/>
    <cellStyle name="백분율 43" xfId="585"/>
    <cellStyle name="백분율 44" xfId="586"/>
    <cellStyle name="백분율 45" xfId="587"/>
    <cellStyle name="백분율 46" xfId="588"/>
    <cellStyle name="백분율 47" xfId="589"/>
    <cellStyle name="백분율 48" xfId="590"/>
    <cellStyle name="백분율 49" xfId="591"/>
    <cellStyle name="백분율 5" xfId="592"/>
    <cellStyle name="백분율 50" xfId="593"/>
    <cellStyle name="백분율 51" xfId="594"/>
    <cellStyle name="백분율 52" xfId="595"/>
    <cellStyle name="백분율 53" xfId="596"/>
    <cellStyle name="백분율 54" xfId="597"/>
    <cellStyle name="백분율 55" xfId="598"/>
    <cellStyle name="백분율 56" xfId="599"/>
    <cellStyle name="백분율 57" xfId="600"/>
    <cellStyle name="백분율 58" xfId="601"/>
    <cellStyle name="백분율 59" xfId="602"/>
    <cellStyle name="백분율 6" xfId="603"/>
    <cellStyle name="백분율 60" xfId="604"/>
    <cellStyle name="백분율 61" xfId="605"/>
    <cellStyle name="백분율 62" xfId="606"/>
    <cellStyle name="백분율 63" xfId="607"/>
    <cellStyle name="백분율 64" xfId="608"/>
    <cellStyle name="백분율 65" xfId="609"/>
    <cellStyle name="백분율 66" xfId="610"/>
    <cellStyle name="백분율 67" xfId="611"/>
    <cellStyle name="백분율 68" xfId="612"/>
    <cellStyle name="백분율 69" xfId="613"/>
    <cellStyle name="백분율 7" xfId="614"/>
    <cellStyle name="백분율 70" xfId="615"/>
    <cellStyle name="백분율 71" xfId="616"/>
    <cellStyle name="백분율 72" xfId="617"/>
    <cellStyle name="백분율 73" xfId="618"/>
    <cellStyle name="백분율 74" xfId="619"/>
    <cellStyle name="백분율 75" xfId="620"/>
    <cellStyle name="백분율 76" xfId="621"/>
    <cellStyle name="백분율 77" xfId="622"/>
    <cellStyle name="백분율 78" xfId="623"/>
    <cellStyle name="백분율 79" xfId="624"/>
    <cellStyle name="백분율 8" xfId="625"/>
    <cellStyle name="백분율 80" xfId="626"/>
    <cellStyle name="백분율 81" xfId="627"/>
    <cellStyle name="백분율 82" xfId="628"/>
    <cellStyle name="백분율 83" xfId="629"/>
    <cellStyle name="백분율 84" xfId="630"/>
    <cellStyle name="백분율 85" xfId="631"/>
    <cellStyle name="백분율 86" xfId="632"/>
    <cellStyle name="백분율 87" xfId="633"/>
    <cellStyle name="백분율 88" xfId="634"/>
    <cellStyle name="백분율 89" xfId="635"/>
    <cellStyle name="백분율 9" xfId="636"/>
    <cellStyle name="백분율 90" xfId="637"/>
    <cellStyle name="백분율 91" xfId="638"/>
    <cellStyle name="백분율 92" xfId="639"/>
    <cellStyle name="백분율 93" xfId="640"/>
    <cellStyle name="백분율 94" xfId="641"/>
    <cellStyle name="백분율［△1］" xfId="642"/>
    <cellStyle name="백분율［△2］" xfId="643"/>
    <cellStyle name="보통" xfId="644" builtinId="28" customBuiltin="1"/>
    <cellStyle name="보통 10" xfId="645"/>
    <cellStyle name="보통 11" xfId="646"/>
    <cellStyle name="보통 12" xfId="647"/>
    <cellStyle name="보통 13" xfId="648"/>
    <cellStyle name="보통 2" xfId="649"/>
    <cellStyle name="보통 3" xfId="650"/>
    <cellStyle name="보통 4" xfId="651"/>
    <cellStyle name="보통 5" xfId="652"/>
    <cellStyle name="보통 6" xfId="653"/>
    <cellStyle name="보통 7" xfId="654"/>
    <cellStyle name="보통 8" xfId="655"/>
    <cellStyle name="보통 9" xfId="656"/>
    <cellStyle name="뷭?" xfId="657"/>
    <cellStyle name="빨강" xfId="658"/>
    <cellStyle name="선택영역의 가운데로" xfId="659"/>
    <cellStyle name="설계서" xfId="660"/>
    <cellStyle name="설계서-내용" xfId="661"/>
    <cellStyle name="설계서-내용-소수점" xfId="662"/>
    <cellStyle name="설계서-내용-우" xfId="663"/>
    <cellStyle name="설계서-내용-좌" xfId="664"/>
    <cellStyle name="설계서-소제목" xfId="665"/>
    <cellStyle name="설계서-타이틀" xfId="666"/>
    <cellStyle name="설계서-항목" xfId="667"/>
    <cellStyle name="설명 텍스트" xfId="668" builtinId="53" customBuiltin="1"/>
    <cellStyle name="설명 텍스트 10" xfId="669"/>
    <cellStyle name="설명 텍스트 11" xfId="670"/>
    <cellStyle name="설명 텍스트 12" xfId="671"/>
    <cellStyle name="설명 텍스트 13" xfId="672"/>
    <cellStyle name="설명 텍스트 2" xfId="673"/>
    <cellStyle name="설명 텍스트 3" xfId="674"/>
    <cellStyle name="설명 텍스트 4" xfId="675"/>
    <cellStyle name="설명 텍스트 5" xfId="676"/>
    <cellStyle name="설명 텍스트 6" xfId="677"/>
    <cellStyle name="설명 텍스트 7" xfId="678"/>
    <cellStyle name="설명 텍스트 8" xfId="679"/>
    <cellStyle name="설명 텍스트 9" xfId="680"/>
    <cellStyle name="셀 확인" xfId="681" builtinId="23" customBuiltin="1"/>
    <cellStyle name="셀 확인 10" xfId="682"/>
    <cellStyle name="셀 확인 11" xfId="683"/>
    <cellStyle name="셀 확인 12" xfId="684"/>
    <cellStyle name="셀 확인 13" xfId="685"/>
    <cellStyle name="셀 확인 2" xfId="686"/>
    <cellStyle name="셀 확인 3" xfId="687"/>
    <cellStyle name="셀 확인 4" xfId="688"/>
    <cellStyle name="셀 확인 5" xfId="689"/>
    <cellStyle name="셀 확인 6" xfId="690"/>
    <cellStyle name="셀 확인 7" xfId="691"/>
    <cellStyle name="셀 확인 8" xfId="692"/>
    <cellStyle name="셀 확인 9" xfId="693"/>
    <cellStyle name="수당" xfId="694"/>
    <cellStyle name="수당2" xfId="695"/>
    <cellStyle name="수량" xfId="696"/>
    <cellStyle name="숫자(R)" xfId="697"/>
    <cellStyle name="숫자(R) 10" xfId="698"/>
    <cellStyle name="숫자(R) 11" xfId="699"/>
    <cellStyle name="숫자(R) 12" xfId="700"/>
    <cellStyle name="숫자(R) 13" xfId="701"/>
    <cellStyle name="숫자(R) 14" xfId="702"/>
    <cellStyle name="숫자(R) 15" xfId="703"/>
    <cellStyle name="숫자(R) 16" xfId="704"/>
    <cellStyle name="숫자(R) 17" xfId="705"/>
    <cellStyle name="숫자(R) 18" xfId="706"/>
    <cellStyle name="숫자(R) 19" xfId="707"/>
    <cellStyle name="숫자(R) 2" xfId="708"/>
    <cellStyle name="숫자(R) 20" xfId="709"/>
    <cellStyle name="숫자(R) 21" xfId="710"/>
    <cellStyle name="숫자(R) 22" xfId="711"/>
    <cellStyle name="숫자(R) 23" xfId="712"/>
    <cellStyle name="숫자(R) 24" xfId="713"/>
    <cellStyle name="숫자(R) 25" xfId="714"/>
    <cellStyle name="숫자(R) 26" xfId="715"/>
    <cellStyle name="숫자(R) 27" xfId="716"/>
    <cellStyle name="숫자(R) 28" xfId="717"/>
    <cellStyle name="숫자(R) 29" xfId="718"/>
    <cellStyle name="숫자(R) 3" xfId="719"/>
    <cellStyle name="숫자(R) 30" xfId="720"/>
    <cellStyle name="숫자(R) 31" xfId="721"/>
    <cellStyle name="숫자(R) 32" xfId="722"/>
    <cellStyle name="숫자(R) 33" xfId="723"/>
    <cellStyle name="숫자(R) 34" xfId="724"/>
    <cellStyle name="숫자(R) 35" xfId="725"/>
    <cellStyle name="숫자(R) 36" xfId="726"/>
    <cellStyle name="숫자(R) 37" xfId="727"/>
    <cellStyle name="숫자(R) 38" xfId="728"/>
    <cellStyle name="숫자(R) 39" xfId="729"/>
    <cellStyle name="숫자(R) 4" xfId="730"/>
    <cellStyle name="숫자(R) 40" xfId="731"/>
    <cellStyle name="숫자(R) 41" xfId="732"/>
    <cellStyle name="숫자(R) 42" xfId="733"/>
    <cellStyle name="숫자(R) 43" xfId="734"/>
    <cellStyle name="숫자(R) 44" xfId="735"/>
    <cellStyle name="숫자(R) 45" xfId="736"/>
    <cellStyle name="숫자(R) 46" xfId="737"/>
    <cellStyle name="숫자(R) 47" xfId="738"/>
    <cellStyle name="숫자(R) 48" xfId="739"/>
    <cellStyle name="숫자(R) 49" xfId="740"/>
    <cellStyle name="숫자(R) 5" xfId="741"/>
    <cellStyle name="숫자(R) 50" xfId="742"/>
    <cellStyle name="숫자(R) 51" xfId="743"/>
    <cellStyle name="숫자(R) 52" xfId="744"/>
    <cellStyle name="숫자(R) 53" xfId="745"/>
    <cellStyle name="숫자(R) 54" xfId="746"/>
    <cellStyle name="숫자(R) 55" xfId="747"/>
    <cellStyle name="숫자(R) 56" xfId="748"/>
    <cellStyle name="숫자(R) 57" xfId="749"/>
    <cellStyle name="숫자(R) 58" xfId="750"/>
    <cellStyle name="숫자(R) 59" xfId="751"/>
    <cellStyle name="숫자(R) 6" xfId="752"/>
    <cellStyle name="숫자(R) 60" xfId="753"/>
    <cellStyle name="숫자(R) 61" xfId="754"/>
    <cellStyle name="숫자(R) 62" xfId="755"/>
    <cellStyle name="숫자(R) 63" xfId="756"/>
    <cellStyle name="숫자(R) 64" xfId="757"/>
    <cellStyle name="숫자(R) 65" xfId="758"/>
    <cellStyle name="숫자(R) 66" xfId="759"/>
    <cellStyle name="숫자(R) 7" xfId="760"/>
    <cellStyle name="숫자(R) 8" xfId="761"/>
    <cellStyle name="숫자(R) 9" xfId="762"/>
    <cellStyle name="쉼표 [0]" xfId="763" builtinId="6"/>
    <cellStyle name="쉼표 [0] 10" xfId="764"/>
    <cellStyle name="쉼표 [0] 11" xfId="765"/>
    <cellStyle name="쉼표 [0] 12" xfId="766"/>
    <cellStyle name="쉼표 [0] 13" xfId="767"/>
    <cellStyle name="쉼표 [0] 14" xfId="768"/>
    <cellStyle name="쉼표 [0] 15" xfId="2298"/>
    <cellStyle name="쉼표 [0] 2" xfId="769"/>
    <cellStyle name="쉼표 [0] 2 2" xfId="770"/>
    <cellStyle name="쉼표 [0] 3" xfId="771"/>
    <cellStyle name="쉼표 [0] 4" xfId="772"/>
    <cellStyle name="쉼표 [0] 5" xfId="773"/>
    <cellStyle name="쉼표 [0] 6" xfId="774"/>
    <cellStyle name="쉼표 [0] 7" xfId="775"/>
    <cellStyle name="쉼표 [0] 8" xfId="776"/>
    <cellStyle name="쉼표 [0] 9" xfId="777"/>
    <cellStyle name="스타일 1" xfId="778"/>
    <cellStyle name="스타일 1 10" xfId="779"/>
    <cellStyle name="스타일 1 11" xfId="780"/>
    <cellStyle name="스타일 1 12" xfId="781"/>
    <cellStyle name="스타일 1 13" xfId="782"/>
    <cellStyle name="스타일 1 14" xfId="783"/>
    <cellStyle name="스타일 1 15" xfId="784"/>
    <cellStyle name="스타일 1 16" xfId="785"/>
    <cellStyle name="스타일 1 17" xfId="786"/>
    <cellStyle name="스타일 1 18" xfId="787"/>
    <cellStyle name="스타일 1 19" xfId="788"/>
    <cellStyle name="스타일 1 2" xfId="789"/>
    <cellStyle name="스타일 1 20" xfId="790"/>
    <cellStyle name="스타일 1 21" xfId="791"/>
    <cellStyle name="스타일 1 22" xfId="792"/>
    <cellStyle name="스타일 1 23" xfId="793"/>
    <cellStyle name="스타일 1 24" xfId="794"/>
    <cellStyle name="스타일 1 25" xfId="795"/>
    <cellStyle name="스타일 1 26" xfId="796"/>
    <cellStyle name="스타일 1 27" xfId="797"/>
    <cellStyle name="스타일 1 28" xfId="798"/>
    <cellStyle name="스타일 1 29" xfId="799"/>
    <cellStyle name="스타일 1 3" xfId="800"/>
    <cellStyle name="스타일 1 30" xfId="801"/>
    <cellStyle name="스타일 1 31" xfId="802"/>
    <cellStyle name="스타일 1 32" xfId="803"/>
    <cellStyle name="스타일 1 4" xfId="804"/>
    <cellStyle name="스타일 1 5" xfId="805"/>
    <cellStyle name="스타일 1 6" xfId="806"/>
    <cellStyle name="스타일 1 7" xfId="807"/>
    <cellStyle name="스타일 1 8" xfId="808"/>
    <cellStyle name="스타일 1 9" xfId="809"/>
    <cellStyle name="스타일 2" xfId="810"/>
    <cellStyle name="안건회계법인" xfId="811"/>
    <cellStyle name="연결" xfId="2266"/>
    <cellStyle name="연결된 셀" xfId="812" builtinId="24" customBuiltin="1"/>
    <cellStyle name="연결된 셀 10" xfId="813"/>
    <cellStyle name="연결된 셀 11" xfId="814"/>
    <cellStyle name="연결된 셀 12" xfId="815"/>
    <cellStyle name="연결된 셀 13" xfId="816"/>
    <cellStyle name="연결된 셀 2" xfId="817"/>
    <cellStyle name="연결된 셀 3" xfId="818"/>
    <cellStyle name="연결된 셀 4" xfId="819"/>
    <cellStyle name="연결된 셀 5" xfId="820"/>
    <cellStyle name="연결된 셀 6" xfId="821"/>
    <cellStyle name="연결된 셀 7" xfId="822"/>
    <cellStyle name="연결된 셀 8" xfId="823"/>
    <cellStyle name="연결된 셀 9" xfId="824"/>
    <cellStyle name="연결번호" xfId="2267"/>
    <cellStyle name="연결전환2" xfId="2268"/>
    <cellStyle name="연결전환3" xfId="2269"/>
    <cellStyle name="요약" xfId="825" builtinId="25" customBuiltin="1"/>
    <cellStyle name="요약 10" xfId="826"/>
    <cellStyle name="요약 11" xfId="827"/>
    <cellStyle name="요약 12" xfId="828"/>
    <cellStyle name="요약 13" xfId="829"/>
    <cellStyle name="요약 2" xfId="830"/>
    <cellStyle name="요약 3" xfId="831"/>
    <cellStyle name="요약 4" xfId="832"/>
    <cellStyle name="요약 5" xfId="833"/>
    <cellStyle name="요약 6" xfId="834"/>
    <cellStyle name="요약 7" xfId="835"/>
    <cellStyle name="요약 8" xfId="836"/>
    <cellStyle name="요약 9" xfId="837"/>
    <cellStyle name="원" xfId="838"/>
    <cellStyle name="원_1-3.단가산출서(중기손료)" xfId="839"/>
    <cellStyle name="원_2007사업코드 예산센터(전기분야)" xfId="840"/>
    <cellStyle name="원_단가산출서(양산ICD노출개소)2" xfId="841"/>
    <cellStyle name="원_마산역구내 케이블개량공사" xfId="842"/>
    <cellStyle name="원_마산지사인입케이블단가산출서(수정)" xfId="843"/>
    <cellStyle name="원_부산체신청전기공사(11.15)" xfId="844"/>
    <cellStyle name="원_설계변경내역서(전기,계측제어,설비보완)" xfId="845"/>
    <cellStyle name="원_항만관리사업소청사건립공사(설계변경1)" xfId="846"/>
    <cellStyle name="유영" xfId="847"/>
    <cellStyle name="입력" xfId="848" builtinId="20" customBuiltin="1"/>
    <cellStyle name="입력 10" xfId="849"/>
    <cellStyle name="입력 11" xfId="850"/>
    <cellStyle name="입력 12" xfId="851"/>
    <cellStyle name="입력 13" xfId="852"/>
    <cellStyle name="입력 2" xfId="853"/>
    <cellStyle name="입력 3" xfId="854"/>
    <cellStyle name="입력 4" xfId="855"/>
    <cellStyle name="입력 5" xfId="856"/>
    <cellStyle name="입력 6" xfId="857"/>
    <cellStyle name="입력 7" xfId="858"/>
    <cellStyle name="입력 8" xfId="859"/>
    <cellStyle name="입력 9" xfId="860"/>
    <cellStyle name="자리수" xfId="861"/>
    <cellStyle name="자리수 - 유형1" xfId="862"/>
    <cellStyle name="자리수_3-2도로일위대가(향남)" xfId="863"/>
    <cellStyle name="자리수0" xfId="864"/>
    <cellStyle name="자리수0 10" xfId="865"/>
    <cellStyle name="자리수0 11" xfId="866"/>
    <cellStyle name="자리수0 12" xfId="867"/>
    <cellStyle name="자리수0 13" xfId="868"/>
    <cellStyle name="자리수0 14" xfId="869"/>
    <cellStyle name="자리수0 15" xfId="870"/>
    <cellStyle name="자리수0 16" xfId="871"/>
    <cellStyle name="자리수0 17" xfId="872"/>
    <cellStyle name="자리수0 18" xfId="873"/>
    <cellStyle name="자리수0 19" xfId="874"/>
    <cellStyle name="자리수0 2" xfId="875"/>
    <cellStyle name="자리수0 20" xfId="876"/>
    <cellStyle name="자리수0 21" xfId="877"/>
    <cellStyle name="자리수0 22" xfId="878"/>
    <cellStyle name="자리수0 23" xfId="879"/>
    <cellStyle name="자리수0 24" xfId="880"/>
    <cellStyle name="자리수0 25" xfId="881"/>
    <cellStyle name="자리수0 26" xfId="882"/>
    <cellStyle name="자리수0 27" xfId="883"/>
    <cellStyle name="자리수0 28" xfId="884"/>
    <cellStyle name="자리수0 29" xfId="885"/>
    <cellStyle name="자리수0 3" xfId="886"/>
    <cellStyle name="자리수0 30" xfId="887"/>
    <cellStyle name="자리수0 31" xfId="888"/>
    <cellStyle name="자리수0 32" xfId="889"/>
    <cellStyle name="자리수0 33" xfId="890"/>
    <cellStyle name="자리수0 34" xfId="891"/>
    <cellStyle name="자리수0 35" xfId="892"/>
    <cellStyle name="자리수0 36" xfId="893"/>
    <cellStyle name="자리수0 37" xfId="894"/>
    <cellStyle name="자리수0 38" xfId="895"/>
    <cellStyle name="자리수0 39" xfId="896"/>
    <cellStyle name="자리수0 4" xfId="897"/>
    <cellStyle name="자리수0 40" xfId="898"/>
    <cellStyle name="자리수0 41" xfId="899"/>
    <cellStyle name="자리수0 42" xfId="900"/>
    <cellStyle name="자리수0 43" xfId="901"/>
    <cellStyle name="자리수0 44" xfId="902"/>
    <cellStyle name="자리수0 45" xfId="903"/>
    <cellStyle name="자리수0 46" xfId="904"/>
    <cellStyle name="자리수0 47" xfId="905"/>
    <cellStyle name="자리수0 48" xfId="906"/>
    <cellStyle name="자리수0 49" xfId="907"/>
    <cellStyle name="자리수0 5" xfId="908"/>
    <cellStyle name="자리수0 50" xfId="909"/>
    <cellStyle name="자리수0 51" xfId="910"/>
    <cellStyle name="자리수0 52" xfId="911"/>
    <cellStyle name="자리수0 53" xfId="912"/>
    <cellStyle name="자리수0 54" xfId="913"/>
    <cellStyle name="자리수0 55" xfId="914"/>
    <cellStyle name="자리수0 56" xfId="915"/>
    <cellStyle name="자리수0 57" xfId="916"/>
    <cellStyle name="자리수0 58" xfId="917"/>
    <cellStyle name="자리수0 59" xfId="918"/>
    <cellStyle name="자리수0 6" xfId="919"/>
    <cellStyle name="자리수0 60" xfId="920"/>
    <cellStyle name="자리수0 61" xfId="921"/>
    <cellStyle name="자리수0 62" xfId="922"/>
    <cellStyle name="자리수0 63" xfId="923"/>
    <cellStyle name="자리수0 64" xfId="924"/>
    <cellStyle name="자리수0 65" xfId="925"/>
    <cellStyle name="자리수0 66" xfId="926"/>
    <cellStyle name="자리수0 7" xfId="927"/>
    <cellStyle name="자리수0 8" xfId="928"/>
    <cellStyle name="자리수0 9" xfId="929"/>
    <cellStyle name="전화2자리" xfId="2270"/>
    <cellStyle name="전화3자리" xfId="2271"/>
    <cellStyle name="전화4자리" xfId="2272"/>
    <cellStyle name="정렬" xfId="930"/>
    <cellStyle name="정렬범위" xfId="931"/>
    <cellStyle name="제목" xfId="932" builtinId="15" customBuiltin="1"/>
    <cellStyle name="제목 1" xfId="933" builtinId="16" customBuiltin="1"/>
    <cellStyle name="제목 1 10" xfId="934"/>
    <cellStyle name="제목 1 11" xfId="935"/>
    <cellStyle name="제목 1 12" xfId="936"/>
    <cellStyle name="제목 1 13" xfId="937"/>
    <cellStyle name="제목 1 2" xfId="938"/>
    <cellStyle name="제목 1 3" xfId="939"/>
    <cellStyle name="제목 1 4" xfId="940"/>
    <cellStyle name="제목 1 5" xfId="941"/>
    <cellStyle name="제목 1 6" xfId="942"/>
    <cellStyle name="제목 1 7" xfId="943"/>
    <cellStyle name="제목 1 8" xfId="944"/>
    <cellStyle name="제목 1 9" xfId="945"/>
    <cellStyle name="제목 1(左)" xfId="2273"/>
    <cellStyle name="제목 1(中)" xfId="2274"/>
    <cellStyle name="제목 10" xfId="946"/>
    <cellStyle name="제목 11" xfId="947"/>
    <cellStyle name="제목 12" xfId="948"/>
    <cellStyle name="제목 13" xfId="949"/>
    <cellStyle name="제목 14" xfId="950"/>
    <cellStyle name="제목 15" xfId="951"/>
    <cellStyle name="제목 16" xfId="952"/>
    <cellStyle name="제목 2" xfId="953" builtinId="17" customBuiltin="1"/>
    <cellStyle name="제목 2 10" xfId="954"/>
    <cellStyle name="제목 2 11" xfId="955"/>
    <cellStyle name="제목 2 12" xfId="956"/>
    <cellStyle name="제목 2 13" xfId="957"/>
    <cellStyle name="제목 2 2" xfId="958"/>
    <cellStyle name="제목 2 3" xfId="959"/>
    <cellStyle name="제목 2 4" xfId="960"/>
    <cellStyle name="제목 2 5" xfId="961"/>
    <cellStyle name="제목 2 6" xfId="962"/>
    <cellStyle name="제목 2 7" xfId="963"/>
    <cellStyle name="제목 2 8" xfId="964"/>
    <cellStyle name="제목 2 9" xfId="965"/>
    <cellStyle name="제목 3" xfId="966" builtinId="18" customBuiltin="1"/>
    <cellStyle name="제목 3 10" xfId="967"/>
    <cellStyle name="제목 3 11" xfId="968"/>
    <cellStyle name="제목 3 12" xfId="969"/>
    <cellStyle name="제목 3 13" xfId="970"/>
    <cellStyle name="제목 3 2" xfId="971"/>
    <cellStyle name="제목 3 3" xfId="972"/>
    <cellStyle name="제목 3 4" xfId="973"/>
    <cellStyle name="제목 3 5" xfId="974"/>
    <cellStyle name="제목 3 6" xfId="975"/>
    <cellStyle name="제목 3 7" xfId="976"/>
    <cellStyle name="제목 3 8" xfId="977"/>
    <cellStyle name="제목 3 9" xfId="978"/>
    <cellStyle name="제목 4" xfId="979" builtinId="19" customBuiltin="1"/>
    <cellStyle name="제목 4 10" xfId="980"/>
    <cellStyle name="제목 4 11" xfId="981"/>
    <cellStyle name="제목 4 12" xfId="982"/>
    <cellStyle name="제목 4 13" xfId="983"/>
    <cellStyle name="제목 4 2" xfId="984"/>
    <cellStyle name="제목 4 3" xfId="985"/>
    <cellStyle name="제목 4 4" xfId="986"/>
    <cellStyle name="제목 4 5" xfId="987"/>
    <cellStyle name="제목 4 6" xfId="988"/>
    <cellStyle name="제목 4 7" xfId="989"/>
    <cellStyle name="제목 4 8" xfId="990"/>
    <cellStyle name="제목 4 9" xfId="991"/>
    <cellStyle name="제목 5" xfId="992"/>
    <cellStyle name="제목 6" xfId="993"/>
    <cellStyle name="제목 7" xfId="994"/>
    <cellStyle name="제목 8" xfId="995"/>
    <cellStyle name="제목 9" xfId="996"/>
    <cellStyle name="제목[1 줄]" xfId="2275"/>
    <cellStyle name="제목[2줄 아래]" xfId="2276"/>
    <cellStyle name="제목[2줄 위]" xfId="2277"/>
    <cellStyle name="제목1" xfId="2278"/>
    <cellStyle name="좋음" xfId="997" builtinId="26" customBuiltin="1"/>
    <cellStyle name="좋음 10" xfId="998"/>
    <cellStyle name="좋음 11" xfId="999"/>
    <cellStyle name="좋음 12" xfId="1000"/>
    <cellStyle name="좋음 13" xfId="1001"/>
    <cellStyle name="좋음 2" xfId="1002"/>
    <cellStyle name="좋음 3" xfId="1003"/>
    <cellStyle name="좋음 4" xfId="1004"/>
    <cellStyle name="좋음 5" xfId="1005"/>
    <cellStyle name="좋음 6" xfId="1006"/>
    <cellStyle name="좋음 7" xfId="1007"/>
    <cellStyle name="좋음 8" xfId="1008"/>
    <cellStyle name="좋음 9" xfId="1009"/>
    <cellStyle name="지정되지 않음" xfId="1010"/>
    <cellStyle name="지하철정렬" xfId="1011"/>
    <cellStyle name="출력" xfId="1012" builtinId="21" customBuiltin="1"/>
    <cellStyle name="출력 10" xfId="1013"/>
    <cellStyle name="출력 11" xfId="1014"/>
    <cellStyle name="출력 12" xfId="1015"/>
    <cellStyle name="출력 13" xfId="1016"/>
    <cellStyle name="출력 2" xfId="1017"/>
    <cellStyle name="출력 3" xfId="1018"/>
    <cellStyle name="출력 4" xfId="1019"/>
    <cellStyle name="출력 5" xfId="1020"/>
    <cellStyle name="출력 6" xfId="1021"/>
    <cellStyle name="출력 7" xfId="1022"/>
    <cellStyle name="출력 8" xfId="1023"/>
    <cellStyle name="출력 9" xfId="1024"/>
    <cellStyle name="코드" xfId="1025"/>
    <cellStyle name="콤마 " xfId="1026"/>
    <cellStyle name="콤마 [#]" xfId="1027"/>
    <cellStyle name="콤마 []" xfId="1028"/>
    <cellStyle name="콤마 [0.00]" xfId="1029"/>
    <cellStyle name="콤마 [0]" xfId="1030"/>
    <cellStyle name="콤마 [0]_PERSONAL_부산운수업종사자무대조명내역" xfId="1031"/>
    <cellStyle name="콤마 [2]" xfId="1032"/>
    <cellStyle name="콤마 [2] 10" xfId="1033"/>
    <cellStyle name="콤마 [2] 11" xfId="1034"/>
    <cellStyle name="콤마 [2] 12" xfId="1035"/>
    <cellStyle name="콤마 [2] 13" xfId="1036"/>
    <cellStyle name="콤마 [2] 14" xfId="1037"/>
    <cellStyle name="콤마 [2] 15" xfId="1038"/>
    <cellStyle name="콤마 [2] 16" xfId="1039"/>
    <cellStyle name="콤마 [2] 17" xfId="1040"/>
    <cellStyle name="콤마 [2] 18" xfId="1041"/>
    <cellStyle name="콤마 [2] 19" xfId="1042"/>
    <cellStyle name="콤마 [2] 2" xfId="1043"/>
    <cellStyle name="콤마 [2] 20" xfId="1044"/>
    <cellStyle name="콤마 [2] 21" xfId="1045"/>
    <cellStyle name="콤마 [2] 22" xfId="1046"/>
    <cellStyle name="콤마 [2] 23" xfId="1047"/>
    <cellStyle name="콤마 [2] 24" xfId="1048"/>
    <cellStyle name="콤마 [2] 25" xfId="1049"/>
    <cellStyle name="콤마 [2] 26" xfId="1050"/>
    <cellStyle name="콤마 [2] 27" xfId="1051"/>
    <cellStyle name="콤마 [2] 28" xfId="1052"/>
    <cellStyle name="콤마 [2] 29" xfId="1053"/>
    <cellStyle name="콤마 [2] 3" xfId="1054"/>
    <cellStyle name="콤마 [2] 30" xfId="1055"/>
    <cellStyle name="콤마 [2] 31" xfId="1056"/>
    <cellStyle name="콤마 [2] 32" xfId="1057"/>
    <cellStyle name="콤마 [2] 4" xfId="1058"/>
    <cellStyle name="콤마 [2] 5" xfId="1059"/>
    <cellStyle name="콤마 [2] 6" xfId="1060"/>
    <cellStyle name="콤마 [2] 7" xfId="1061"/>
    <cellStyle name="콤마 [2] 8" xfId="1062"/>
    <cellStyle name="콤마 [2] 9" xfId="1063"/>
    <cellStyle name="콤마 [금액]" xfId="1064"/>
    <cellStyle name="콤마 [소수]" xfId="1065"/>
    <cellStyle name="콤마 [수량]" xfId="1066"/>
    <cellStyle name="콤마[,]" xfId="2279"/>
    <cellStyle name="콤마[0]" xfId="2280"/>
    <cellStyle name="콤마_  종  합  " xfId="1067"/>
    <cellStyle name="콤마_11월4주" xfId="1068"/>
    <cellStyle name="콤마_1-2.가전실판매 그래프]" xfId="1069"/>
    <cellStyle name="콤마_1202" xfId="1070"/>
    <cellStyle name="콤마_12월" xfId="1071"/>
    <cellStyle name="콤마숫자" xfId="2281"/>
    <cellStyle name="통화 [0] 2" xfId="2297"/>
    <cellStyle name="통화 [0] 3" xfId="2296"/>
    <cellStyle name="퍼센트" xfId="1072"/>
    <cellStyle name="퍼센트 10" xfId="1073"/>
    <cellStyle name="퍼센트 11" xfId="1074"/>
    <cellStyle name="퍼센트 12" xfId="1075"/>
    <cellStyle name="퍼센트 13" xfId="1076"/>
    <cellStyle name="퍼센트 14" xfId="1077"/>
    <cellStyle name="퍼센트 15" xfId="1078"/>
    <cellStyle name="퍼센트 16" xfId="1079"/>
    <cellStyle name="퍼센트 17" xfId="1080"/>
    <cellStyle name="퍼센트 18" xfId="1081"/>
    <cellStyle name="퍼센트 19" xfId="1082"/>
    <cellStyle name="퍼센트 2" xfId="1083"/>
    <cellStyle name="퍼센트 20" xfId="1084"/>
    <cellStyle name="퍼센트 21" xfId="1085"/>
    <cellStyle name="퍼센트 22" xfId="1086"/>
    <cellStyle name="퍼센트 23" xfId="1087"/>
    <cellStyle name="퍼센트 24" xfId="1088"/>
    <cellStyle name="퍼센트 25" xfId="1089"/>
    <cellStyle name="퍼센트 26" xfId="1090"/>
    <cellStyle name="퍼센트 27" xfId="1091"/>
    <cellStyle name="퍼센트 28" xfId="1092"/>
    <cellStyle name="퍼센트 29" xfId="1093"/>
    <cellStyle name="퍼센트 3" xfId="1094"/>
    <cellStyle name="퍼센트 30" xfId="1095"/>
    <cellStyle name="퍼센트 31" xfId="1096"/>
    <cellStyle name="퍼센트 32" xfId="1097"/>
    <cellStyle name="퍼센트 33" xfId="1098"/>
    <cellStyle name="퍼센트 34" xfId="1099"/>
    <cellStyle name="퍼센트 35" xfId="1100"/>
    <cellStyle name="퍼센트 36" xfId="1101"/>
    <cellStyle name="퍼센트 37" xfId="1102"/>
    <cellStyle name="퍼센트 38" xfId="1103"/>
    <cellStyle name="퍼센트 39" xfId="1104"/>
    <cellStyle name="퍼센트 4" xfId="1105"/>
    <cellStyle name="퍼센트 40" xfId="1106"/>
    <cellStyle name="퍼센트 41" xfId="1107"/>
    <cellStyle name="퍼센트 42" xfId="1108"/>
    <cellStyle name="퍼센트 43" xfId="1109"/>
    <cellStyle name="퍼센트 44" xfId="1110"/>
    <cellStyle name="퍼센트 45" xfId="1111"/>
    <cellStyle name="퍼센트 46" xfId="1112"/>
    <cellStyle name="퍼센트 47" xfId="1113"/>
    <cellStyle name="퍼센트 48" xfId="1114"/>
    <cellStyle name="퍼센트 49" xfId="1115"/>
    <cellStyle name="퍼센트 5" xfId="1116"/>
    <cellStyle name="퍼센트 50" xfId="1117"/>
    <cellStyle name="퍼센트 51" xfId="1118"/>
    <cellStyle name="퍼센트 52" xfId="1119"/>
    <cellStyle name="퍼센트 53" xfId="1120"/>
    <cellStyle name="퍼센트 54" xfId="1121"/>
    <cellStyle name="퍼센트 55" xfId="1122"/>
    <cellStyle name="퍼센트 56" xfId="1123"/>
    <cellStyle name="퍼센트 57" xfId="1124"/>
    <cellStyle name="퍼센트 58" xfId="1125"/>
    <cellStyle name="퍼센트 59" xfId="1126"/>
    <cellStyle name="퍼센트 6" xfId="1127"/>
    <cellStyle name="퍼센트 60" xfId="1128"/>
    <cellStyle name="퍼센트 61" xfId="1129"/>
    <cellStyle name="퍼센트 62" xfId="1130"/>
    <cellStyle name="퍼센트 63" xfId="1131"/>
    <cellStyle name="퍼센트 64" xfId="1132"/>
    <cellStyle name="퍼센트 65" xfId="1133"/>
    <cellStyle name="퍼센트 66" xfId="1134"/>
    <cellStyle name="퍼센트 7" xfId="1135"/>
    <cellStyle name="퍼센트 8" xfId="1136"/>
    <cellStyle name="퍼센트 9" xfId="1137"/>
    <cellStyle name="평" xfId="1138"/>
    <cellStyle name="표머릿글(上)" xfId="2282"/>
    <cellStyle name="표머릿글(中)" xfId="2283"/>
    <cellStyle name="표머릿글(下)" xfId="2284"/>
    <cellStyle name="표준" xfId="0" builtinId="0"/>
    <cellStyle name="표준 10" xfId="1139"/>
    <cellStyle name="표준 11" xfId="1140"/>
    <cellStyle name="표준 11 2" xfId="1141"/>
    <cellStyle name="표준 11 3" xfId="1142"/>
    <cellStyle name="표준 11 4" xfId="1143"/>
    <cellStyle name="표준 11 5" xfId="1144"/>
    <cellStyle name="표준 12" xfId="1145"/>
    <cellStyle name="표준 12 2" xfId="1146"/>
    <cellStyle name="표준 12 2 2" xfId="1147"/>
    <cellStyle name="표준 12 2 3" xfId="1148"/>
    <cellStyle name="표준 12 2 4" xfId="1149"/>
    <cellStyle name="표준 12 2 5" xfId="1150"/>
    <cellStyle name="표준 12 3" xfId="1151"/>
    <cellStyle name="표준 12 3 2" xfId="1152"/>
    <cellStyle name="표준 12 3 3" xfId="1153"/>
    <cellStyle name="표준 12 3 4" xfId="1154"/>
    <cellStyle name="표준 12 3 5" xfId="1155"/>
    <cellStyle name="표준 13" xfId="1156"/>
    <cellStyle name="표준 13 2" xfId="1157"/>
    <cellStyle name="표준 13 3" xfId="1158"/>
    <cellStyle name="표준 13 4" xfId="1159"/>
    <cellStyle name="표준 13 5" xfId="1160"/>
    <cellStyle name="표준 14" xfId="1161"/>
    <cellStyle name="표준 14 2" xfId="1162"/>
    <cellStyle name="표준 14 3" xfId="1163"/>
    <cellStyle name="표준 15" xfId="1164"/>
    <cellStyle name="표준 15 2" xfId="1165"/>
    <cellStyle name="표준 15 3" xfId="1166"/>
    <cellStyle name="표준 16" xfId="1167"/>
    <cellStyle name="표준 17" xfId="1168"/>
    <cellStyle name="표준 18" xfId="1169"/>
    <cellStyle name="표준 19" xfId="1170"/>
    <cellStyle name="표준 19 2" xfId="1171"/>
    <cellStyle name="표준 19 3" xfId="1172"/>
    <cellStyle name="표준 19 4" xfId="1173"/>
    <cellStyle name="표준 2" xfId="1174"/>
    <cellStyle name="표준 2 2" xfId="1175"/>
    <cellStyle name="표준 2 2 2" xfId="2294"/>
    <cellStyle name="표준 2 5" xfId="2295"/>
    <cellStyle name="표준 20" xfId="1176"/>
    <cellStyle name="표준 20 2" xfId="1177"/>
    <cellStyle name="표준 20 3" xfId="1178"/>
    <cellStyle name="표준 21" xfId="1179"/>
    <cellStyle name="표준 22" xfId="1180"/>
    <cellStyle name="표준 23" xfId="1181"/>
    <cellStyle name="표준 24" xfId="1182"/>
    <cellStyle name="표준 25" xfId="1183"/>
    <cellStyle name="표준 26" xfId="1184"/>
    <cellStyle name="표준 27" xfId="1185"/>
    <cellStyle name="표준 28" xfId="1186"/>
    <cellStyle name="표준 29" xfId="1187"/>
    <cellStyle name="표준 3" xfId="1188"/>
    <cellStyle name="표준 30" xfId="1189"/>
    <cellStyle name="표준 4" xfId="1190"/>
    <cellStyle name="표준 5" xfId="1191"/>
    <cellStyle name="표준 5 2" xfId="2285"/>
    <cellStyle name="표준 6" xfId="1192"/>
    <cellStyle name="표준 6 2" xfId="1193"/>
    <cellStyle name="표준 6 3" xfId="1194"/>
    <cellStyle name="표준 7" xfId="1195"/>
    <cellStyle name="표준 8" xfId="1196"/>
    <cellStyle name="표준 9" xfId="1197"/>
    <cellStyle name="표준_(참고)_서여상(전기공사)" xfId="1198"/>
    <cellStyle name="標準_Akia(F）-8" xfId="1202"/>
    <cellStyle name="표준_Book2" xfId="1203"/>
    <cellStyle name="표준_내역서_초장중통신(3월1일)" xfId="1199"/>
    <cellStyle name="표준_아시아경기장도급" xfId="1200"/>
    <cellStyle name="표준_집계표" xfId="1201"/>
    <cellStyle name="표준1" xfId="1204"/>
    <cellStyle name="표준2" xfId="1205"/>
    <cellStyle name="표쥰" xfId="1206"/>
    <cellStyle name="합계" xfId="1207"/>
    <cellStyle name="합산" xfId="1208"/>
    <cellStyle name="해동양식" xfId="1209"/>
    <cellStyle name="화폐기호" xfId="1210"/>
    <cellStyle name="화폐기호 10" xfId="1211"/>
    <cellStyle name="화폐기호 11" xfId="1212"/>
    <cellStyle name="화폐기호 12" xfId="1213"/>
    <cellStyle name="화폐기호 13" xfId="1214"/>
    <cellStyle name="화폐기호 14" xfId="1215"/>
    <cellStyle name="화폐기호 15" xfId="1216"/>
    <cellStyle name="화폐기호 16" xfId="1217"/>
    <cellStyle name="화폐기호 17" xfId="1218"/>
    <cellStyle name="화폐기호 18" xfId="1219"/>
    <cellStyle name="화폐기호 19" xfId="1220"/>
    <cellStyle name="화폐기호 2" xfId="1221"/>
    <cellStyle name="화폐기호 20" xfId="1222"/>
    <cellStyle name="화폐기호 21" xfId="1223"/>
    <cellStyle name="화폐기호 22" xfId="1224"/>
    <cellStyle name="화폐기호 23" xfId="1225"/>
    <cellStyle name="화폐기호 24" xfId="1226"/>
    <cellStyle name="화폐기호 25" xfId="1227"/>
    <cellStyle name="화폐기호 26" xfId="1228"/>
    <cellStyle name="화폐기호 27" xfId="1229"/>
    <cellStyle name="화폐기호 28" xfId="1230"/>
    <cellStyle name="화폐기호 29" xfId="1231"/>
    <cellStyle name="화폐기호 3" xfId="1232"/>
    <cellStyle name="화폐기호 30" xfId="1233"/>
    <cellStyle name="화폐기호 31" xfId="1234"/>
    <cellStyle name="화폐기호 32" xfId="1235"/>
    <cellStyle name="화폐기호 33" xfId="1236"/>
    <cellStyle name="화폐기호 34" xfId="1237"/>
    <cellStyle name="화폐기호 35" xfId="1238"/>
    <cellStyle name="화폐기호 36" xfId="1239"/>
    <cellStyle name="화폐기호 37" xfId="1240"/>
    <cellStyle name="화폐기호 38" xfId="1241"/>
    <cellStyle name="화폐기호 39" xfId="1242"/>
    <cellStyle name="화폐기호 4" xfId="1243"/>
    <cellStyle name="화폐기호 40" xfId="1244"/>
    <cellStyle name="화폐기호 41" xfId="1245"/>
    <cellStyle name="화폐기호 42" xfId="1246"/>
    <cellStyle name="화폐기호 43" xfId="1247"/>
    <cellStyle name="화폐기호 44" xfId="1248"/>
    <cellStyle name="화폐기호 45" xfId="1249"/>
    <cellStyle name="화폐기호 46" xfId="1250"/>
    <cellStyle name="화폐기호 47" xfId="1251"/>
    <cellStyle name="화폐기호 48" xfId="1252"/>
    <cellStyle name="화폐기호 49" xfId="1253"/>
    <cellStyle name="화폐기호 5" xfId="1254"/>
    <cellStyle name="화폐기호 50" xfId="1255"/>
    <cellStyle name="화폐기호 51" xfId="1256"/>
    <cellStyle name="화폐기호 52" xfId="1257"/>
    <cellStyle name="화폐기호 53" xfId="1258"/>
    <cellStyle name="화폐기호 54" xfId="1259"/>
    <cellStyle name="화폐기호 55" xfId="1260"/>
    <cellStyle name="화폐기호 56" xfId="1261"/>
    <cellStyle name="화폐기호 57" xfId="1262"/>
    <cellStyle name="화폐기호 58" xfId="1263"/>
    <cellStyle name="화폐기호 59" xfId="1264"/>
    <cellStyle name="화폐기호 6" xfId="1265"/>
    <cellStyle name="화폐기호 60" xfId="1266"/>
    <cellStyle name="화폐기호 61" xfId="1267"/>
    <cellStyle name="화폐기호 62" xfId="1268"/>
    <cellStyle name="화폐기호 63" xfId="1269"/>
    <cellStyle name="화폐기호 64" xfId="1270"/>
    <cellStyle name="화폐기호 65" xfId="1271"/>
    <cellStyle name="화폐기호 66" xfId="1272"/>
    <cellStyle name="화폐기호 7" xfId="1273"/>
    <cellStyle name="화폐기호 8" xfId="1274"/>
    <cellStyle name="화폐기호 9" xfId="1275"/>
    <cellStyle name="화폐기호0" xfId="1276"/>
    <cellStyle name="화폐기호0 10" xfId="1277"/>
    <cellStyle name="화폐기호0 11" xfId="1278"/>
    <cellStyle name="화폐기호0 12" xfId="1279"/>
    <cellStyle name="화폐기호0 13" xfId="1280"/>
    <cellStyle name="화폐기호0 14" xfId="1281"/>
    <cellStyle name="화폐기호0 15" xfId="1282"/>
    <cellStyle name="화폐기호0 16" xfId="1283"/>
    <cellStyle name="화폐기호0 17" xfId="1284"/>
    <cellStyle name="화폐기호0 18" xfId="1285"/>
    <cellStyle name="화폐기호0 19" xfId="1286"/>
    <cellStyle name="화폐기호0 2" xfId="1287"/>
    <cellStyle name="화폐기호0 20" xfId="1288"/>
    <cellStyle name="화폐기호0 21" xfId="1289"/>
    <cellStyle name="화폐기호0 22" xfId="1290"/>
    <cellStyle name="화폐기호0 23" xfId="1291"/>
    <cellStyle name="화폐기호0 24" xfId="1292"/>
    <cellStyle name="화폐기호0 25" xfId="1293"/>
    <cellStyle name="화폐기호0 26" xfId="1294"/>
    <cellStyle name="화폐기호0 27" xfId="1295"/>
    <cellStyle name="화폐기호0 28" xfId="1296"/>
    <cellStyle name="화폐기호0 29" xfId="1297"/>
    <cellStyle name="화폐기호0 3" xfId="1298"/>
    <cellStyle name="화폐기호0 30" xfId="1299"/>
    <cellStyle name="화폐기호0 31" xfId="1300"/>
    <cellStyle name="화폐기호0 32" xfId="1301"/>
    <cellStyle name="화폐기호0 33" xfId="1302"/>
    <cellStyle name="화폐기호0 34" xfId="1303"/>
    <cellStyle name="화폐기호0 35" xfId="1304"/>
    <cellStyle name="화폐기호0 36" xfId="1305"/>
    <cellStyle name="화폐기호0 37" xfId="1306"/>
    <cellStyle name="화폐기호0 38" xfId="1307"/>
    <cellStyle name="화폐기호0 39" xfId="1308"/>
    <cellStyle name="화폐기호0 4" xfId="1309"/>
    <cellStyle name="화폐기호0 40" xfId="1310"/>
    <cellStyle name="화폐기호0 41" xfId="1311"/>
    <cellStyle name="화폐기호0 42" xfId="1312"/>
    <cellStyle name="화폐기호0 43" xfId="1313"/>
    <cellStyle name="화폐기호0 44" xfId="1314"/>
    <cellStyle name="화폐기호0 45" xfId="1315"/>
    <cellStyle name="화폐기호0 46" xfId="1316"/>
    <cellStyle name="화폐기호0 47" xfId="1317"/>
    <cellStyle name="화폐기호0 48" xfId="1318"/>
    <cellStyle name="화폐기호0 49" xfId="1319"/>
    <cellStyle name="화폐기호0 5" xfId="1320"/>
    <cellStyle name="화폐기호0 50" xfId="1321"/>
    <cellStyle name="화폐기호0 51" xfId="1322"/>
    <cellStyle name="화폐기호0 52" xfId="1323"/>
    <cellStyle name="화폐기호0 53" xfId="1324"/>
    <cellStyle name="화폐기호0 54" xfId="1325"/>
    <cellStyle name="화폐기호0 55" xfId="1326"/>
    <cellStyle name="화폐기호0 56" xfId="1327"/>
    <cellStyle name="화폐기호0 57" xfId="1328"/>
    <cellStyle name="화폐기호0 58" xfId="1329"/>
    <cellStyle name="화폐기호0 59" xfId="1330"/>
    <cellStyle name="화폐기호0 6" xfId="1331"/>
    <cellStyle name="화폐기호0 60" xfId="1332"/>
    <cellStyle name="화폐기호0 61" xfId="1333"/>
    <cellStyle name="화폐기호0 62" xfId="1334"/>
    <cellStyle name="화폐기호0 63" xfId="1335"/>
    <cellStyle name="화폐기호0 64" xfId="1336"/>
    <cellStyle name="화폐기호0 65" xfId="1337"/>
    <cellStyle name="화폐기호0 66" xfId="1338"/>
    <cellStyle name="화폐기호0 7" xfId="1339"/>
    <cellStyle name="화폐기호0 8" xfId="1340"/>
    <cellStyle name="화폐기호0 9" xfId="134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++&#44620;&#45005;++/01-&#49437;&#52264;&#51109;/20160611/02-&#45236;&#50669;/&#50696;&#49328;&#45236;&#50669;&#49436;/00-&#52280;&#44256;&#49324;&#5463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688;&#50896;\C\&#49444;&#44228;&#46020;&#47732;03\&#44256;&#46321;&#54617;&#44368;\&#48512;&#49328;&#50668;&#51088;&#44256;&#46321;&#54617;&#44368;\&#48512;&#49328;&#50668;&#51088;&#44256;&#46321;&#54617;&#44368;%20&#48169;&#49569;&#51109;&#52824;D-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\c\1\&#49884;&#47549;&#46020;&#49436;&#44288;&#44053;&#45817;\TOT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4508;\WORK\1%20&#51089;%20%20&#50629;\6%20&#44204;&#51201;%20&#44288;&#47144;&#51088;&#47308;\&#47924;&#45824;&#51109;&#52824;\My%20Documents\&#44032;&#48169;&#51060;&#48169;\&#44288;&#44553;\&#45812;&#48176;&#51064;&#49340;&#44277;&#49324;\&#52649;&#48513;&#48376;&#48512;\&#12619;&#12619;&#1261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4508;\WORK\1%20&#51089;%20%20&#50629;\6%20&#44204;&#51201;%20&#44288;&#47144;&#51088;&#47308;\&#45236;&#50669;&#49436;sample\K-SET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4508;\WORK\1%20&#51089;%20%20&#50629;\6%20&#44204;&#51201;%20&#44288;&#47144;&#51088;&#47308;\Program%20Files\AutoCAD%20R14\&#49892;&#49884;\&#49569;&#46972;&#52488;&#46321;&#54617;&#44368;\&#45236;&#50669;&#49436;\&#49569;&#46972;&#52488;&#51473;&#54617;&#44368;(final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am%20Files\AutoCAD%20R14\&#49892;&#49884;\&#49569;&#46972;&#52488;&#46321;&#54617;&#44368;\&#45236;&#50669;&#49436;\&#49569;&#46972;&#52488;&#51473;&#54617;&#44368;(final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4508;\WORK\1%20&#51089;%20%20&#50629;\6%20&#44204;&#51201;%20&#44288;&#47144;&#51088;&#47308;\backup1\2001&#45380;\&#49888;&#50900;&#52397;&#49548;&#45380;&#47928;&#54868;&#49468;&#53552;\&#45236;&#50669;&#4943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7564;\D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4508;\WORK\1%20&#51089;%20%20&#50629;\6%20&#44204;&#51201;%20&#44288;&#47144;&#51088;&#47308;\PROJEC99\SONGB\new\&#49457;&#48513;&#45236;&#50669;&#49436;(&#51333;&#54633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2;&#55148;\DATA\&#45236;&#50669;&#51089;&#50629;\&#51221;&#51088;&#51648;&#44396;\&#45236;&#50669;&#49436;\&#51221;&#51088;&#51648;&#44396;\&#45236;&#50669;(~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\&#48148;&#53461;%20&#54868;&#47732;\&#49468;&#53568;&#51473;\&#51204;&#44592;&#45236;&#50669;&#49436;\&#51204;&#44592;&#44288;&#44553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617;&#51652;\C\&#45236;&#50669;&#49436;\2001-&#49345;&#48152;&#44592;\&#49457;&#48712;&#49468;&#53944;-&#49328;&#5263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1.&#51089;&#50629;&#51652;&#54665;&#48169;/&#45224;&#50577;&#44148;&#52629;/&#45224;&#50577;-CJ%20&#51228;&#51452;%20&#45257;&#46041;&#52285;&#44256;/&#45236;&#50669;&#49436;/&#51204;&#44592;&#45236;&#50669;&#49436;/3.&#51204;&#44592;&#49444;&#44228;&#45236;&#50669;&#49436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.%20&#44277;&#51333;&#48324;%20&#45236;&#50669;&#49436;_%20&#48512;&#49328;&#50669;%203&#52789;%20&#51204;&#47928;&#51216;%20&#49548;&#48169;&#49444;&#48708;&#44277;&#49324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-내역 참고 사항"/>
      <sheetName val="00-참고사항"/>
    </sheetNames>
    <definedNames>
      <definedName name="_ENG1" refersTo="#REF!"/>
      <definedName name="_ENG2" refersTo="#REF!"/>
      <definedName name="_ENG3" refersTo="#REF!"/>
      <definedName name="_HAN1" refersTo="#REF!"/>
      <definedName name="_HAN2" refersTo="#REF!"/>
      <definedName name="_HAN3" refersTo="#REF!"/>
      <definedName name="CG" refersTo="#REF!"/>
      <definedName name="DBHAN" refersTo="#REF!"/>
      <definedName name="DCC" refersTo="#REF!"/>
      <definedName name="DCN" refersTo="#REF!"/>
      <definedName name="DCO" refersTo="#REF!"/>
      <definedName name="ENG" refersTo="#REF!"/>
      <definedName name="g_sort" refersTo="#REF!"/>
      <definedName name="HAN" refersTo="#REF!"/>
      <definedName name="NUM" refersTo="#REF!"/>
      <definedName name="rkstjs" refersTo="#REF!"/>
      <definedName name="SC" refersTo="#REF!"/>
      <definedName name="SN"/>
      <definedName name="SO" refersTo="#REF!"/>
      <definedName name="TLFTN" refersTo="#REF!"/>
      <definedName name="경유가격" refersTo="#REF!"/>
      <definedName name="공" refersTo="#REF!"/>
      <definedName name="공정" refersTo="#REF!"/>
      <definedName name="기타자재" refersTo="#REF!"/>
      <definedName name="내선전공" refersTo="#REF!"/>
      <definedName name="내역서전기기계" refersTo="#REF!"/>
      <definedName name="등용구분" refersTo="#REF!"/>
      <definedName name="등주높이" refersTo="#REF!"/>
      <definedName name="ㄹㄹㄹ" refersTo="#REF!"/>
      <definedName name="매크로1" refersTo="#REF!"/>
      <definedName name="배관" refersTo="#REF!"/>
      <definedName name="사용램프" refersTo="#REF!"/>
      <definedName name="신호기" refersTo="#REF!"/>
      <definedName name="을지로" refersTo="#REF!"/>
      <definedName name="임률" refersTo="#REF!"/>
      <definedName name="저압케이블공" refersTo="#REF!"/>
      <definedName name="조도등주종류" refersTo="#REF!"/>
      <definedName name="조도케이블길이" refersTo="#REF!"/>
      <definedName name="조수" refersTo="#REF!"/>
      <definedName name="중기기사" refersTo="#REF!"/>
      <definedName name="참조" refersTo="#REF!"/>
      <definedName name="취소" refersTo="#REF!"/>
      <definedName name="크레인가격" refersTo="#REF!"/>
    </defined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표지 "/>
      <sheetName val="내역서"/>
      <sheetName val="기기품셈내역"/>
      <sheetName val="재료비산출"/>
      <sheetName val="단가비교"/>
      <sheetName val="동성"/>
      <sheetName val="한일"/>
      <sheetName val="국제"/>
      <sheetName val="기성금내역서"/>
      <sheetName val="EP0618"/>
      <sheetName val="부서현황"/>
      <sheetName val="sw1"/>
      <sheetName val="NOMUBI"/>
      <sheetName val="B부대공"/>
      <sheetName val="교각계산"/>
      <sheetName val="개소별수량산출"/>
      <sheetName val="부산여자고등학교 방송장치D-2"/>
      <sheetName val="#REF"/>
      <sheetName val="일위대가(계측기설치)"/>
      <sheetName val="우수"/>
      <sheetName val="우수공"/>
      <sheetName val="969910( R)"/>
      <sheetName val="현장관리비 산출내역"/>
      <sheetName val="불출요청"/>
      <sheetName val="토공"/>
      <sheetName val="부하계산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수량산출"/>
      <sheetName val="중량산출"/>
      <sheetName val="PANEL 중량산출"/>
      <sheetName val="내역서"/>
      <sheetName val="견적대비표"/>
      <sheetName val="단가대비표"/>
      <sheetName val="I一般比"/>
      <sheetName val="일위대가"/>
      <sheetName val="TEL"/>
      <sheetName val="과천MAIN"/>
      <sheetName val="대비"/>
      <sheetName val="내역서(총)"/>
      <sheetName val="부대대비"/>
      <sheetName val="냉연집계"/>
      <sheetName val="Sheet3"/>
      <sheetName val="신우"/>
      <sheetName val="직재"/>
      <sheetName val="교각계산"/>
      <sheetName val="감가상각"/>
      <sheetName val="J直材4"/>
      <sheetName val="DATE"/>
      <sheetName val="sheets"/>
      <sheetName val="예산M12A"/>
      <sheetName val="일위대가목차"/>
      <sheetName val="노임단가"/>
      <sheetName val="경비_원본"/>
      <sheetName val="민속촌메뉴"/>
      <sheetName val="수량산출서"/>
      <sheetName val="N賃率-職"/>
      <sheetName val="노원열병합  건축공사기성내역서"/>
      <sheetName val="도"/>
      <sheetName val="plan&amp;section of foundation"/>
      <sheetName val="업무"/>
      <sheetName val="code"/>
      <sheetName val="공사현황"/>
      <sheetName val="설계조건"/>
      <sheetName val="직노"/>
      <sheetName val="경산"/>
      <sheetName val="Sheet2"/>
      <sheetName val="소비자가"/>
      <sheetName val="일위단가"/>
      <sheetName val="을"/>
      <sheetName val="신규 수주분(사용자 정의)"/>
      <sheetName val="터널조도"/>
      <sheetName val="실행내역서 "/>
      <sheetName val="부하계산서"/>
      <sheetName val="CT "/>
      <sheetName val="노임"/>
      <sheetName val="ABUT수량-A1"/>
      <sheetName val="발신정보"/>
      <sheetName val="기본일위"/>
      <sheetName val="2F 회의실견적(5_14 일대)"/>
      <sheetName val="TOTAL"/>
      <sheetName val="NOMUBI"/>
      <sheetName val="sw1"/>
      <sheetName val="실행철강하도"/>
      <sheetName val="단가비교표"/>
      <sheetName val="동원(3)"/>
      <sheetName val="예정(3)"/>
      <sheetName val="인건-측정"/>
      <sheetName val="조도계산서 (도서)"/>
      <sheetName val="동력부하(도산)"/>
      <sheetName val="명세서"/>
      <sheetName val="20관리비율"/>
      <sheetName val="C-노임단가"/>
      <sheetName val="건축내역"/>
      <sheetName val="입찰안"/>
      <sheetName val="기성금내역서"/>
      <sheetName val="견적서"/>
      <sheetName val="주소록"/>
      <sheetName val="FANDBS"/>
      <sheetName val="GRDATA"/>
      <sheetName val="SHAFTDBSE"/>
      <sheetName val="자재단가비교표"/>
      <sheetName val="단가산출(변경없음)"/>
      <sheetName val="danga"/>
      <sheetName val="ilch"/>
      <sheetName val="Sheet14"/>
      <sheetName val="Sheet13"/>
      <sheetName val="유림골조"/>
      <sheetName val="6호기"/>
      <sheetName val="공사원가계산서"/>
      <sheetName val="재집"/>
      <sheetName val="Sheet1"/>
      <sheetName val="밸브설치"/>
      <sheetName val="LEGEND"/>
      <sheetName val="노임이"/>
      <sheetName val="제36-40호표"/>
      <sheetName val="#REF"/>
      <sheetName val="총괄집계표"/>
      <sheetName val="노무비"/>
      <sheetName val="공조기휀"/>
      <sheetName val="재료"/>
      <sheetName val="설치자재"/>
      <sheetName val="기본사항"/>
      <sheetName val="환산"/>
      <sheetName val="일위"/>
      <sheetName val="단가조사"/>
      <sheetName val="TABLE"/>
      <sheetName val="유기공정"/>
      <sheetName val="96물가 CODE"/>
      <sheetName val="연부97-1"/>
      <sheetName val="갑지1"/>
      <sheetName val="단가산출2"/>
      <sheetName val="개요"/>
      <sheetName val="DB단가"/>
      <sheetName val="조명시설"/>
      <sheetName val="예산변경사항"/>
      <sheetName val="세부내역"/>
      <sheetName val="정공공사"/>
      <sheetName val="Sheet5"/>
      <sheetName val="갑지"/>
      <sheetName val="인건비"/>
      <sheetName val="공사내역"/>
      <sheetName val="전기일위대가"/>
      <sheetName val="DATA"/>
      <sheetName val="BID"/>
      <sheetName val="내역"/>
      <sheetName val="갑지(추정)"/>
      <sheetName val="조경"/>
      <sheetName val="도체종-상수표"/>
      <sheetName val="설직재-1"/>
      <sheetName val="본장"/>
      <sheetName val="최종갑지"/>
      <sheetName val="sum1 (2)"/>
      <sheetName val="견적정보"/>
      <sheetName val="PANEL_중량산출"/>
      <sheetName val="노원열병합__건축공사기성내역서"/>
      <sheetName val="plan&amp;section_of_foundation"/>
      <sheetName val="1단계"/>
      <sheetName val="FB25JN"/>
      <sheetName val="년도별실"/>
      <sheetName val="을지"/>
      <sheetName val="DB"/>
      <sheetName val="화재 탐지 설비"/>
      <sheetName val="工완성공사율"/>
      <sheetName val="Y-WORK"/>
      <sheetName val="합천내역"/>
      <sheetName val="1안"/>
      <sheetName val="음료실행"/>
      <sheetName val="APT내역"/>
      <sheetName val="부대시설"/>
      <sheetName val="기둥(원형)"/>
      <sheetName val="단가표"/>
      <sheetName val="견적대비 견적서"/>
      <sheetName val="EACT10"/>
      <sheetName val="계산서(곡선부)"/>
      <sheetName val="-치수표(곡선부)"/>
      <sheetName val="GAEYO"/>
      <sheetName val="사통"/>
      <sheetName val="내역서1999.8최종"/>
      <sheetName val="백암비스타내역"/>
      <sheetName val="프로그램"/>
      <sheetName val="예산서"/>
      <sheetName val="운반비"/>
      <sheetName val="단가(1)"/>
      <sheetName val="단가(2)"/>
      <sheetName val="배관(TON)"/>
      <sheetName val="물량집계"/>
      <sheetName val="물량비교"/>
      <sheetName val="배관비교"/>
      <sheetName val="리스트"/>
      <sheetName val="용량-침사"/>
      <sheetName val="용량-펌프"/>
      <sheetName val="WORK"/>
      <sheetName val="원가계산서"/>
      <sheetName val="타견적1"/>
      <sheetName val="타견적2"/>
      <sheetName val="타견적3"/>
      <sheetName val="UserData"/>
      <sheetName val="환율"/>
      <sheetName val="11.단가비교표_"/>
      <sheetName val="16.기계경비산출내역_"/>
      <sheetName val="1.설계조건"/>
      <sheetName val="LOPCALC"/>
      <sheetName val="CTEMCOST"/>
      <sheetName val="Sheet9"/>
      <sheetName val="장애코드"/>
      <sheetName val="현금예금"/>
      <sheetName val="종배수관"/>
      <sheetName val="CP-E2 (품셈표)"/>
      <sheetName val="품목납기"/>
      <sheetName val="설비"/>
      <sheetName val="U-TYPE(1)"/>
      <sheetName val="조도계산(1)"/>
      <sheetName val="전차선로 물량표"/>
      <sheetName val="일위대가목록"/>
      <sheetName val="001"/>
      <sheetName val="와동25-3(변경)"/>
      <sheetName val="60명당사(총괄)"/>
      <sheetName val="CT_"/>
      <sheetName val="2F_회의실견적(5_14_일대)"/>
      <sheetName val="조도계산서_(도서)"/>
      <sheetName val="96물가_CODE"/>
      <sheetName val="CP-E2_(품셈표)"/>
      <sheetName val="70%"/>
      <sheetName val="전기단가조사서"/>
      <sheetName val="반중력식옹벽3.5"/>
      <sheetName val="중기사용료"/>
      <sheetName val="Macro1"/>
      <sheetName val="Macro2"/>
      <sheetName val="김재복부장님"/>
      <sheetName val="기초대가"/>
      <sheetName val="97"/>
      <sheetName val="K1자재(3차등)"/>
      <sheetName val="자재단가"/>
      <sheetName val="덕전리"/>
      <sheetName val="선급금신청서"/>
      <sheetName val="실행비교"/>
      <sheetName val="OPT7"/>
      <sheetName val="6PILE  (돌출)"/>
      <sheetName val="금액집계"/>
      <sheetName val="통신원가"/>
      <sheetName val="터파기및재료"/>
      <sheetName val="소상 &quot;1&quot;"/>
      <sheetName val="여과지동"/>
      <sheetName val="기초자료"/>
      <sheetName val="CONCRETE"/>
      <sheetName val="부하LOAD"/>
      <sheetName val="데이타"/>
      <sheetName val="11월 가격"/>
      <sheetName val="일위대가(1)"/>
      <sheetName val="연수동"/>
      <sheetName val="1000 DB구축 부표"/>
      <sheetName val="청천내"/>
      <sheetName val="차액보증"/>
      <sheetName val="10월가격"/>
      <sheetName val="원형1호맨홀토공수량"/>
      <sheetName val="정부노임단가"/>
      <sheetName val="철거산출근거"/>
      <sheetName val="기계경비산출기준"/>
      <sheetName val="원본(갑지)"/>
      <sheetName val="판매96"/>
      <sheetName val="제-노임"/>
      <sheetName val="제직재"/>
      <sheetName val="원가"/>
      <sheetName val="운반"/>
      <sheetName val="UR2-Calculation"/>
      <sheetName val="단"/>
      <sheetName val="부속동"/>
      <sheetName val="공사개요(좌)"/>
      <sheetName val="직공비"/>
      <sheetName val="매입세율"/>
      <sheetName val="공사개요"/>
      <sheetName val="Sheet7"/>
      <sheetName val="어음광고주"/>
      <sheetName val="FPA"/>
      <sheetName val="순수개발"/>
      <sheetName val="Data Vol"/>
      <sheetName val="차수"/>
      <sheetName val="공통가설"/>
      <sheetName val="전체"/>
      <sheetName val="Galaxy 소비자가격표"/>
      <sheetName val="기성"/>
      <sheetName val="copy"/>
      <sheetName val="전기"/>
      <sheetName val="날개벽수량표"/>
      <sheetName val="교각1"/>
      <sheetName val="토공(우물통,기타) "/>
      <sheetName val="wall"/>
      <sheetName val="COPING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집계표"/>
      <sheetName val="9GNG운반"/>
      <sheetName val="준검 내역서"/>
      <sheetName val="T13(P68~72,78)"/>
      <sheetName val="2"/>
      <sheetName val="여방토공 "/>
      <sheetName val="심사계산"/>
      <sheetName val="심사물량"/>
      <sheetName val="가로등기초"/>
      <sheetName val="BASIC (2)"/>
      <sheetName val="토공정보"/>
      <sheetName val="예산M5A"/>
      <sheetName val="예산M2"/>
      <sheetName val="표지"/>
      <sheetName val="남양시작동자105노65기1.3화1.2"/>
      <sheetName val="지급자재"/>
      <sheetName val="계약내역서(을지)"/>
      <sheetName val="장비분석"/>
      <sheetName val="공조기"/>
      <sheetName val="STORAGE"/>
      <sheetName val="토목주소"/>
      <sheetName val="프랜트면허"/>
      <sheetName val="별표 "/>
      <sheetName val="조명율표"/>
      <sheetName val="단가조사-2"/>
      <sheetName val="화재_탐지_설비"/>
      <sheetName val="BUS제원1"/>
      <sheetName val="7.1 자재단가표(케이블)"/>
      <sheetName val="dt0301"/>
      <sheetName val="dtt0301"/>
      <sheetName val="일반수량총괄"/>
      <sheetName val="토공총괄"/>
      <sheetName val="골재수량"/>
      <sheetName val="레미콘집계"/>
      <sheetName val="주요자재"/>
      <sheetName val="타공종이기"/>
      <sheetName val="산출내역서집계표"/>
      <sheetName val="내역서 (2)"/>
      <sheetName val="총괄내역서"/>
      <sheetName val="(C)원내역"/>
      <sheetName val="원가계산"/>
      <sheetName val="사급자재"/>
      <sheetName val="이토변실(A3-LINE)"/>
      <sheetName val="첨부파일"/>
      <sheetName val="단면가정"/>
      <sheetName val="토공계산서(부체도로)"/>
      <sheetName val="VE절감"/>
      <sheetName val="물량표S"/>
      <sheetName val="금액내역서"/>
      <sheetName val="물가시세"/>
      <sheetName val="ITEM"/>
      <sheetName val="type-F"/>
      <sheetName val="실행"/>
      <sheetName val="내부부하"/>
      <sheetName val="제잡비"/>
      <sheetName val="플랜트 설치"/>
      <sheetName val="교대(A1-A2)"/>
      <sheetName val="공사비집계"/>
      <sheetName val="건축"/>
      <sheetName val="B(함)일반수량"/>
      <sheetName val="산출근거"/>
      <sheetName val="LOAD-46"/>
      <sheetName val="부하(성남)"/>
      <sheetName val="목록"/>
      <sheetName val="입출재고현황 (2)"/>
      <sheetName val="7내역"/>
      <sheetName val="dtxl"/>
      <sheetName val="단가조사서"/>
      <sheetName val="목차"/>
      <sheetName val="기계내역"/>
      <sheetName val="소상_&quot;1&quot;"/>
      <sheetName val="기계경비(시간당)"/>
      <sheetName val="램머"/>
      <sheetName val="단가산출"/>
      <sheetName val="환경평가"/>
      <sheetName val="인구"/>
      <sheetName val="배수관공"/>
      <sheetName val="Sheet1 (2)"/>
      <sheetName val="Oper Amount"/>
      <sheetName val="실적단가"/>
      <sheetName val="일위대가_복합"/>
      <sheetName val="일위대가_서비스"/>
      <sheetName val="장비집계"/>
      <sheetName val="대치판정"/>
      <sheetName val="8.PILE  (돌출)"/>
      <sheetName val="임차품의(농조)"/>
      <sheetName val="실행내역"/>
      <sheetName val="조도계산서 _도서_"/>
      <sheetName val="98수문일위"/>
      <sheetName val="rate"/>
      <sheetName val="원가 (2)"/>
      <sheetName val="진주방향"/>
      <sheetName val="유통망계획"/>
      <sheetName val="기준자료"/>
      <sheetName val="제품"/>
      <sheetName val="견적계산"/>
      <sheetName val="담장산출"/>
      <sheetName val="말뚝지지력산정"/>
      <sheetName val="예산대비"/>
      <sheetName val="공문"/>
      <sheetName val="NEYOK"/>
      <sheetName val="TRE TABLE"/>
      <sheetName val="협조전"/>
      <sheetName val="건축원가계산서"/>
      <sheetName val="설계내역(2001)"/>
      <sheetName val="본체"/>
      <sheetName val="토목"/>
      <sheetName val="BOX"/>
      <sheetName val="건축내역서"/>
      <sheetName val="실정공사비단가표"/>
      <sheetName val="PROCESS"/>
      <sheetName val="일위대가(계측기설치)"/>
      <sheetName val="외주가공"/>
      <sheetName val="7단가"/>
      <sheetName val="품산출서"/>
      <sheetName val="1-1"/>
      <sheetName val="차도조도계산"/>
      <sheetName val="DRUM"/>
    </sheetNames>
    <sheetDataSet>
      <sheetData sheetId="0" refreshError="1"/>
      <sheetData sheetId="1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</row>
        <row r="26">
          <cell r="A26">
            <v>26</v>
          </cell>
        </row>
        <row r="27">
          <cell r="A27">
            <v>27</v>
          </cell>
        </row>
        <row r="28">
          <cell r="A28">
            <v>28</v>
          </cell>
        </row>
        <row r="29">
          <cell r="A29">
            <v>29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</row>
        <row r="36">
          <cell r="A36">
            <v>36</v>
          </cell>
        </row>
        <row r="37">
          <cell r="A37">
            <v>37</v>
          </cell>
        </row>
        <row r="38">
          <cell r="A38">
            <v>38</v>
          </cell>
        </row>
        <row r="39">
          <cell r="A39">
            <v>39</v>
          </cell>
        </row>
        <row r="40">
          <cell r="A40">
            <v>40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</row>
        <row r="44">
          <cell r="A44">
            <v>44</v>
          </cell>
        </row>
        <row r="45">
          <cell r="A45">
            <v>45</v>
          </cell>
        </row>
        <row r="46">
          <cell r="A46">
            <v>46</v>
          </cell>
        </row>
        <row r="47">
          <cell r="A47">
            <v>47</v>
          </cell>
        </row>
        <row r="48">
          <cell r="A48">
            <v>48</v>
          </cell>
        </row>
        <row r="49">
          <cell r="A49">
            <v>49</v>
          </cell>
        </row>
        <row r="50">
          <cell r="A50">
            <v>50</v>
          </cell>
        </row>
        <row r="51">
          <cell r="A51">
            <v>51</v>
          </cell>
        </row>
        <row r="52">
          <cell r="A52">
            <v>52</v>
          </cell>
        </row>
        <row r="53">
          <cell r="A53">
            <v>53</v>
          </cell>
        </row>
        <row r="54">
          <cell r="A54">
            <v>54</v>
          </cell>
        </row>
        <row r="55">
          <cell r="A55">
            <v>55</v>
          </cell>
        </row>
        <row r="56">
          <cell r="A56">
            <v>56</v>
          </cell>
        </row>
        <row r="57">
          <cell r="A57">
            <v>57</v>
          </cell>
        </row>
        <row r="58">
          <cell r="A58">
            <v>58</v>
          </cell>
        </row>
        <row r="59">
          <cell r="A59">
            <v>59</v>
          </cell>
        </row>
        <row r="60">
          <cell r="A60">
            <v>60</v>
          </cell>
        </row>
        <row r="61">
          <cell r="A61">
            <v>61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</row>
        <row r="68">
          <cell r="A68">
            <v>68</v>
          </cell>
        </row>
        <row r="69">
          <cell r="A69">
            <v>69</v>
          </cell>
        </row>
        <row r="70">
          <cell r="A70">
            <v>70</v>
          </cell>
        </row>
        <row r="71">
          <cell r="A71">
            <v>71</v>
          </cell>
        </row>
        <row r="72">
          <cell r="A72">
            <v>72</v>
          </cell>
        </row>
        <row r="73">
          <cell r="A73">
            <v>73</v>
          </cell>
        </row>
        <row r="74">
          <cell r="A74">
            <v>74</v>
          </cell>
        </row>
        <row r="75">
          <cell r="A75">
            <v>75</v>
          </cell>
        </row>
        <row r="76">
          <cell r="A76">
            <v>76</v>
          </cell>
        </row>
        <row r="77">
          <cell r="A77">
            <v>77</v>
          </cell>
        </row>
        <row r="78">
          <cell r="A78">
            <v>78</v>
          </cell>
        </row>
        <row r="79">
          <cell r="A79">
            <v>79</v>
          </cell>
        </row>
        <row r="80">
          <cell r="A80">
            <v>80</v>
          </cell>
        </row>
        <row r="81">
          <cell r="A81">
            <v>81</v>
          </cell>
        </row>
        <row r="82">
          <cell r="A82">
            <v>82</v>
          </cell>
        </row>
        <row r="83">
          <cell r="A83">
            <v>83</v>
          </cell>
        </row>
        <row r="84">
          <cell r="A84">
            <v>84</v>
          </cell>
        </row>
        <row r="85">
          <cell r="A85">
            <v>85</v>
          </cell>
        </row>
        <row r="86">
          <cell r="A86">
            <v>86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</row>
        <row r="90">
          <cell r="A90">
            <v>90</v>
          </cell>
        </row>
        <row r="91">
          <cell r="A91">
            <v>91</v>
          </cell>
        </row>
        <row r="92">
          <cell r="A92">
            <v>92</v>
          </cell>
        </row>
        <row r="93">
          <cell r="A93">
            <v>93</v>
          </cell>
        </row>
        <row r="94">
          <cell r="A94">
            <v>94</v>
          </cell>
        </row>
        <row r="95">
          <cell r="A95">
            <v>95</v>
          </cell>
        </row>
        <row r="96">
          <cell r="A96">
            <v>96</v>
          </cell>
        </row>
        <row r="97">
          <cell r="A97">
            <v>97</v>
          </cell>
        </row>
        <row r="98">
          <cell r="A98">
            <v>98</v>
          </cell>
        </row>
        <row r="99">
          <cell r="A99">
            <v>99</v>
          </cell>
        </row>
        <row r="100">
          <cell r="A100">
            <v>100</v>
          </cell>
        </row>
        <row r="101">
          <cell r="A101">
            <v>101</v>
          </cell>
        </row>
        <row r="102">
          <cell r="A102">
            <v>102</v>
          </cell>
        </row>
        <row r="103">
          <cell r="A103">
            <v>103</v>
          </cell>
        </row>
        <row r="104">
          <cell r="A104">
            <v>104</v>
          </cell>
        </row>
        <row r="105">
          <cell r="A105">
            <v>105</v>
          </cell>
        </row>
        <row r="106">
          <cell r="A106">
            <v>106</v>
          </cell>
        </row>
        <row r="107">
          <cell r="A107">
            <v>107</v>
          </cell>
        </row>
        <row r="108">
          <cell r="A108">
            <v>108</v>
          </cell>
        </row>
        <row r="109">
          <cell r="A109">
            <v>109</v>
          </cell>
        </row>
        <row r="110">
          <cell r="A110">
            <v>110</v>
          </cell>
        </row>
        <row r="111">
          <cell r="A111">
            <v>111</v>
          </cell>
        </row>
        <row r="112">
          <cell r="A112">
            <v>112</v>
          </cell>
        </row>
        <row r="113">
          <cell r="A113">
            <v>113</v>
          </cell>
        </row>
        <row r="114">
          <cell r="A114">
            <v>114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  <row r="127">
          <cell r="A127">
            <v>127</v>
          </cell>
        </row>
        <row r="128">
          <cell r="A128">
            <v>128</v>
          </cell>
        </row>
        <row r="129">
          <cell r="A129">
            <v>129</v>
          </cell>
        </row>
        <row r="130">
          <cell r="A130">
            <v>130</v>
          </cell>
        </row>
        <row r="131">
          <cell r="A131">
            <v>131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</row>
        <row r="135">
          <cell r="A135">
            <v>135</v>
          </cell>
        </row>
        <row r="136">
          <cell r="A136">
            <v>136</v>
          </cell>
        </row>
        <row r="137">
          <cell r="A137">
            <v>137</v>
          </cell>
        </row>
        <row r="138">
          <cell r="A138">
            <v>138</v>
          </cell>
        </row>
        <row r="139">
          <cell r="A139">
            <v>139</v>
          </cell>
        </row>
        <row r="140">
          <cell r="A140">
            <v>140</v>
          </cell>
        </row>
        <row r="141">
          <cell r="A141">
            <v>141</v>
          </cell>
        </row>
        <row r="142">
          <cell r="A142">
            <v>142</v>
          </cell>
        </row>
        <row r="143">
          <cell r="A143">
            <v>143</v>
          </cell>
        </row>
        <row r="144">
          <cell r="A144">
            <v>144</v>
          </cell>
        </row>
        <row r="145">
          <cell r="A145">
            <v>145</v>
          </cell>
        </row>
        <row r="146">
          <cell r="A146">
            <v>146</v>
          </cell>
        </row>
        <row r="147">
          <cell r="A147">
            <v>147</v>
          </cell>
        </row>
        <row r="148">
          <cell r="A148">
            <v>148</v>
          </cell>
        </row>
        <row r="149">
          <cell r="A149">
            <v>149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</row>
        <row r="153">
          <cell r="A153">
            <v>153</v>
          </cell>
        </row>
        <row r="154">
          <cell r="A154">
            <v>154</v>
          </cell>
        </row>
        <row r="155">
          <cell r="A155">
            <v>155</v>
          </cell>
        </row>
        <row r="156">
          <cell r="A156">
            <v>156</v>
          </cell>
        </row>
        <row r="157">
          <cell r="A157">
            <v>157</v>
          </cell>
        </row>
        <row r="158">
          <cell r="A158">
            <v>158</v>
          </cell>
        </row>
        <row r="159">
          <cell r="A159">
            <v>159</v>
          </cell>
        </row>
        <row r="160">
          <cell r="A160">
            <v>160</v>
          </cell>
        </row>
        <row r="161">
          <cell r="A161">
            <v>161</v>
          </cell>
        </row>
        <row r="162">
          <cell r="A162">
            <v>162</v>
          </cell>
        </row>
        <row r="163">
          <cell r="A163">
            <v>163</v>
          </cell>
        </row>
        <row r="164">
          <cell r="A164">
            <v>164</v>
          </cell>
        </row>
        <row r="165">
          <cell r="A165">
            <v>165</v>
          </cell>
        </row>
        <row r="166">
          <cell r="A166">
            <v>166</v>
          </cell>
        </row>
        <row r="167">
          <cell r="A167">
            <v>167</v>
          </cell>
        </row>
        <row r="168">
          <cell r="A168">
            <v>168</v>
          </cell>
        </row>
        <row r="169">
          <cell r="A169">
            <v>169</v>
          </cell>
        </row>
        <row r="170">
          <cell r="A170">
            <v>170</v>
          </cell>
        </row>
        <row r="171">
          <cell r="A171">
            <v>171</v>
          </cell>
        </row>
        <row r="172">
          <cell r="A172">
            <v>172</v>
          </cell>
        </row>
        <row r="173">
          <cell r="A173">
            <v>173</v>
          </cell>
        </row>
        <row r="174">
          <cell r="A174">
            <v>174</v>
          </cell>
        </row>
        <row r="175">
          <cell r="A175">
            <v>175</v>
          </cell>
        </row>
        <row r="176">
          <cell r="A176">
            <v>176</v>
          </cell>
        </row>
        <row r="177">
          <cell r="A177">
            <v>177</v>
          </cell>
        </row>
        <row r="178">
          <cell r="A178">
            <v>178</v>
          </cell>
        </row>
        <row r="179">
          <cell r="A179">
            <v>179</v>
          </cell>
        </row>
        <row r="180">
          <cell r="A180">
            <v>180</v>
          </cell>
        </row>
        <row r="181">
          <cell r="A181">
            <v>181</v>
          </cell>
        </row>
        <row r="182">
          <cell r="A182">
            <v>182</v>
          </cell>
        </row>
        <row r="183">
          <cell r="A183">
            <v>183</v>
          </cell>
        </row>
        <row r="184">
          <cell r="A184">
            <v>184</v>
          </cell>
        </row>
        <row r="185">
          <cell r="A185">
            <v>185</v>
          </cell>
        </row>
        <row r="186">
          <cell r="A186">
            <v>186</v>
          </cell>
        </row>
        <row r="187">
          <cell r="A187">
            <v>187</v>
          </cell>
        </row>
        <row r="188">
          <cell r="A188">
            <v>188</v>
          </cell>
        </row>
        <row r="189">
          <cell r="A189">
            <v>189</v>
          </cell>
        </row>
        <row r="190">
          <cell r="A190">
            <v>190</v>
          </cell>
        </row>
        <row r="191">
          <cell r="A191">
            <v>191</v>
          </cell>
        </row>
        <row r="192">
          <cell r="A192">
            <v>192</v>
          </cell>
        </row>
        <row r="193">
          <cell r="A193">
            <v>193</v>
          </cell>
        </row>
        <row r="194">
          <cell r="A194">
            <v>194</v>
          </cell>
        </row>
        <row r="195">
          <cell r="A195">
            <v>195</v>
          </cell>
        </row>
        <row r="196">
          <cell r="A196">
            <v>196</v>
          </cell>
        </row>
        <row r="197">
          <cell r="A197">
            <v>197</v>
          </cell>
        </row>
        <row r="198">
          <cell r="A198">
            <v>198</v>
          </cell>
        </row>
        <row r="199">
          <cell r="A199">
            <v>199</v>
          </cell>
        </row>
        <row r="200">
          <cell r="A200">
            <v>200</v>
          </cell>
        </row>
        <row r="201">
          <cell r="A201">
            <v>201</v>
          </cell>
        </row>
        <row r="202">
          <cell r="A202">
            <v>202</v>
          </cell>
        </row>
        <row r="203">
          <cell r="A203">
            <v>203</v>
          </cell>
        </row>
        <row r="204">
          <cell r="A204">
            <v>204</v>
          </cell>
        </row>
        <row r="205">
          <cell r="A205">
            <v>205</v>
          </cell>
        </row>
        <row r="206">
          <cell r="A206">
            <v>206</v>
          </cell>
        </row>
        <row r="207">
          <cell r="A207">
            <v>207</v>
          </cell>
        </row>
        <row r="208">
          <cell r="A208">
            <v>208</v>
          </cell>
        </row>
        <row r="209">
          <cell r="A209">
            <v>209</v>
          </cell>
        </row>
        <row r="210">
          <cell r="A210">
            <v>210</v>
          </cell>
        </row>
        <row r="211">
          <cell r="A211">
            <v>211</v>
          </cell>
        </row>
        <row r="212">
          <cell r="A212">
            <v>212</v>
          </cell>
        </row>
        <row r="213">
          <cell r="A213">
            <v>213</v>
          </cell>
        </row>
        <row r="214">
          <cell r="A214">
            <v>214</v>
          </cell>
        </row>
        <row r="215">
          <cell r="A215">
            <v>215</v>
          </cell>
        </row>
        <row r="216">
          <cell r="A216">
            <v>216</v>
          </cell>
        </row>
        <row r="217">
          <cell r="A217">
            <v>217</v>
          </cell>
        </row>
        <row r="218">
          <cell r="A218">
            <v>218</v>
          </cell>
        </row>
        <row r="219">
          <cell r="A219">
            <v>219</v>
          </cell>
        </row>
        <row r="220">
          <cell r="A220">
            <v>220</v>
          </cell>
        </row>
        <row r="221">
          <cell r="A221">
            <v>221</v>
          </cell>
        </row>
        <row r="222">
          <cell r="A222">
            <v>222</v>
          </cell>
        </row>
        <row r="223">
          <cell r="A223">
            <v>223</v>
          </cell>
        </row>
        <row r="224">
          <cell r="A224">
            <v>224</v>
          </cell>
        </row>
        <row r="225">
          <cell r="A225">
            <v>225</v>
          </cell>
        </row>
        <row r="226">
          <cell r="A226">
            <v>226</v>
          </cell>
        </row>
        <row r="227">
          <cell r="A227">
            <v>227</v>
          </cell>
        </row>
        <row r="228">
          <cell r="A228">
            <v>228</v>
          </cell>
        </row>
        <row r="229">
          <cell r="A229">
            <v>229</v>
          </cell>
        </row>
        <row r="230">
          <cell r="A230">
            <v>230</v>
          </cell>
        </row>
        <row r="231">
          <cell r="A231">
            <v>231</v>
          </cell>
        </row>
        <row r="232">
          <cell r="A232">
            <v>232</v>
          </cell>
        </row>
        <row r="233">
          <cell r="A233">
            <v>233</v>
          </cell>
        </row>
        <row r="234">
          <cell r="A234">
            <v>234</v>
          </cell>
        </row>
        <row r="235">
          <cell r="A235">
            <v>235</v>
          </cell>
        </row>
        <row r="236">
          <cell r="A236">
            <v>236</v>
          </cell>
        </row>
        <row r="237">
          <cell r="A237">
            <v>237</v>
          </cell>
        </row>
        <row r="238">
          <cell r="A238">
            <v>238</v>
          </cell>
        </row>
        <row r="239">
          <cell r="A239">
            <v>239</v>
          </cell>
        </row>
        <row r="240">
          <cell r="A240">
            <v>240</v>
          </cell>
        </row>
        <row r="241">
          <cell r="A241">
            <v>241</v>
          </cell>
        </row>
        <row r="242">
          <cell r="A242">
            <v>242</v>
          </cell>
        </row>
        <row r="243">
          <cell r="A243">
            <v>243</v>
          </cell>
        </row>
        <row r="244">
          <cell r="A244">
            <v>244</v>
          </cell>
        </row>
        <row r="245">
          <cell r="A245">
            <v>245</v>
          </cell>
        </row>
        <row r="246">
          <cell r="A246">
            <v>246</v>
          </cell>
        </row>
        <row r="247">
          <cell r="A247">
            <v>247</v>
          </cell>
        </row>
        <row r="248">
          <cell r="A248">
            <v>248</v>
          </cell>
        </row>
        <row r="249">
          <cell r="A249">
            <v>249</v>
          </cell>
        </row>
        <row r="250">
          <cell r="A250">
            <v>250</v>
          </cell>
        </row>
        <row r="251">
          <cell r="A251">
            <v>251</v>
          </cell>
        </row>
        <row r="252">
          <cell r="A252">
            <v>252</v>
          </cell>
        </row>
        <row r="253">
          <cell r="A253">
            <v>253</v>
          </cell>
        </row>
        <row r="254">
          <cell r="A254">
            <v>254</v>
          </cell>
        </row>
        <row r="255">
          <cell r="A255">
            <v>255</v>
          </cell>
        </row>
        <row r="256">
          <cell r="A256">
            <v>256</v>
          </cell>
        </row>
        <row r="257">
          <cell r="A257">
            <v>257</v>
          </cell>
        </row>
        <row r="258">
          <cell r="A258">
            <v>258</v>
          </cell>
        </row>
        <row r="259">
          <cell r="A259">
            <v>259</v>
          </cell>
        </row>
        <row r="260">
          <cell r="A260">
            <v>260</v>
          </cell>
        </row>
        <row r="261">
          <cell r="A261">
            <v>261</v>
          </cell>
        </row>
        <row r="262">
          <cell r="A262">
            <v>262</v>
          </cell>
        </row>
        <row r="263">
          <cell r="A263">
            <v>263</v>
          </cell>
        </row>
        <row r="264">
          <cell r="A264">
            <v>264</v>
          </cell>
        </row>
        <row r="265">
          <cell r="A265">
            <v>265</v>
          </cell>
        </row>
        <row r="266">
          <cell r="A266">
            <v>266</v>
          </cell>
        </row>
        <row r="267">
          <cell r="A267">
            <v>267</v>
          </cell>
        </row>
        <row r="268">
          <cell r="A268">
            <v>268</v>
          </cell>
        </row>
        <row r="269">
          <cell r="A269">
            <v>269</v>
          </cell>
        </row>
        <row r="270">
          <cell r="A270">
            <v>270</v>
          </cell>
        </row>
        <row r="271">
          <cell r="A271">
            <v>271</v>
          </cell>
        </row>
        <row r="272">
          <cell r="A272">
            <v>272</v>
          </cell>
        </row>
        <row r="273">
          <cell r="A273">
            <v>273</v>
          </cell>
        </row>
        <row r="274">
          <cell r="A274">
            <v>274</v>
          </cell>
        </row>
        <row r="275">
          <cell r="A275">
            <v>275</v>
          </cell>
        </row>
        <row r="276">
          <cell r="A276">
            <v>276</v>
          </cell>
        </row>
        <row r="277">
          <cell r="A277">
            <v>277</v>
          </cell>
        </row>
        <row r="278">
          <cell r="A278">
            <v>278</v>
          </cell>
        </row>
        <row r="279">
          <cell r="A279">
            <v>279</v>
          </cell>
        </row>
        <row r="280">
          <cell r="A280">
            <v>280</v>
          </cell>
        </row>
        <row r="281">
          <cell r="A281">
            <v>281</v>
          </cell>
        </row>
        <row r="282">
          <cell r="A282">
            <v>282</v>
          </cell>
        </row>
        <row r="283">
          <cell r="A283">
            <v>283</v>
          </cell>
        </row>
        <row r="284">
          <cell r="A284">
            <v>284</v>
          </cell>
        </row>
        <row r="285">
          <cell r="A285">
            <v>285</v>
          </cell>
        </row>
        <row r="286">
          <cell r="A286">
            <v>286</v>
          </cell>
        </row>
        <row r="287">
          <cell r="A287">
            <v>287</v>
          </cell>
        </row>
        <row r="288">
          <cell r="A288">
            <v>288</v>
          </cell>
        </row>
        <row r="289">
          <cell r="A289">
            <v>289</v>
          </cell>
        </row>
        <row r="290">
          <cell r="A290">
            <v>290</v>
          </cell>
        </row>
        <row r="291">
          <cell r="A291">
            <v>291</v>
          </cell>
        </row>
        <row r="292">
          <cell r="A292">
            <v>292</v>
          </cell>
        </row>
        <row r="293">
          <cell r="A293">
            <v>293</v>
          </cell>
        </row>
        <row r="294">
          <cell r="A294">
            <v>294</v>
          </cell>
        </row>
        <row r="295">
          <cell r="A295">
            <v>295</v>
          </cell>
        </row>
        <row r="296">
          <cell r="A296">
            <v>296</v>
          </cell>
        </row>
        <row r="297">
          <cell r="A297">
            <v>297</v>
          </cell>
        </row>
        <row r="298">
          <cell r="A298">
            <v>298</v>
          </cell>
        </row>
        <row r="299">
          <cell r="A299">
            <v>299</v>
          </cell>
        </row>
        <row r="300">
          <cell r="A300">
            <v>300</v>
          </cell>
        </row>
        <row r="301">
          <cell r="A301">
            <v>301</v>
          </cell>
        </row>
        <row r="302">
          <cell r="A302">
            <v>302</v>
          </cell>
        </row>
        <row r="303">
          <cell r="A303">
            <v>303</v>
          </cell>
        </row>
        <row r="304">
          <cell r="A304">
            <v>304</v>
          </cell>
        </row>
        <row r="305">
          <cell r="A305">
            <v>305</v>
          </cell>
        </row>
        <row r="306">
          <cell r="A306">
            <v>306</v>
          </cell>
        </row>
        <row r="307">
          <cell r="A307">
            <v>307</v>
          </cell>
        </row>
        <row r="308">
          <cell r="A308">
            <v>308</v>
          </cell>
        </row>
        <row r="309">
          <cell r="A309">
            <v>309</v>
          </cell>
        </row>
        <row r="310">
          <cell r="A310">
            <v>310</v>
          </cell>
        </row>
        <row r="311">
          <cell r="A311">
            <v>311</v>
          </cell>
        </row>
        <row r="312">
          <cell r="A312">
            <v>312</v>
          </cell>
        </row>
        <row r="313">
          <cell r="A313">
            <v>313</v>
          </cell>
        </row>
        <row r="314">
          <cell r="A314">
            <v>314</v>
          </cell>
        </row>
        <row r="315">
          <cell r="A315">
            <v>315</v>
          </cell>
        </row>
        <row r="316">
          <cell r="A316">
            <v>316</v>
          </cell>
        </row>
        <row r="317">
          <cell r="A317">
            <v>317</v>
          </cell>
        </row>
        <row r="318">
          <cell r="A318">
            <v>318</v>
          </cell>
        </row>
        <row r="319">
          <cell r="A319">
            <v>319</v>
          </cell>
        </row>
        <row r="320">
          <cell r="A320">
            <v>320</v>
          </cell>
        </row>
        <row r="321">
          <cell r="A321">
            <v>321</v>
          </cell>
        </row>
        <row r="322">
          <cell r="A322">
            <v>322</v>
          </cell>
        </row>
        <row r="323">
          <cell r="A323">
            <v>323</v>
          </cell>
        </row>
        <row r="324">
          <cell r="A324">
            <v>324</v>
          </cell>
        </row>
        <row r="325">
          <cell r="A325">
            <v>325</v>
          </cell>
        </row>
        <row r="326">
          <cell r="A326">
            <v>326</v>
          </cell>
        </row>
        <row r="327">
          <cell r="A327">
            <v>327</v>
          </cell>
        </row>
        <row r="328">
          <cell r="A328">
            <v>328</v>
          </cell>
        </row>
        <row r="329">
          <cell r="A329">
            <v>329</v>
          </cell>
        </row>
        <row r="330">
          <cell r="A330">
            <v>330</v>
          </cell>
        </row>
        <row r="331">
          <cell r="A331">
            <v>331</v>
          </cell>
        </row>
        <row r="332">
          <cell r="A332">
            <v>332</v>
          </cell>
        </row>
        <row r="333">
          <cell r="A333">
            <v>333</v>
          </cell>
        </row>
        <row r="334">
          <cell r="A334">
            <v>334</v>
          </cell>
        </row>
        <row r="335">
          <cell r="A335">
            <v>335</v>
          </cell>
        </row>
        <row r="336">
          <cell r="A336">
            <v>336</v>
          </cell>
        </row>
        <row r="337">
          <cell r="A337">
            <v>337</v>
          </cell>
        </row>
        <row r="338">
          <cell r="A338">
            <v>338</v>
          </cell>
        </row>
        <row r="339">
          <cell r="A339">
            <v>339</v>
          </cell>
        </row>
        <row r="340">
          <cell r="A340">
            <v>340</v>
          </cell>
        </row>
        <row r="341">
          <cell r="A341">
            <v>341</v>
          </cell>
        </row>
        <row r="342">
          <cell r="A342">
            <v>342</v>
          </cell>
        </row>
        <row r="343">
          <cell r="A343">
            <v>343</v>
          </cell>
        </row>
        <row r="344">
          <cell r="A344">
            <v>344</v>
          </cell>
        </row>
        <row r="345">
          <cell r="A345">
            <v>345</v>
          </cell>
        </row>
        <row r="346">
          <cell r="A346">
            <v>346</v>
          </cell>
        </row>
        <row r="347">
          <cell r="A347">
            <v>347</v>
          </cell>
        </row>
        <row r="348">
          <cell r="A348">
            <v>348</v>
          </cell>
        </row>
        <row r="349">
          <cell r="A349">
            <v>349</v>
          </cell>
        </row>
        <row r="350">
          <cell r="A350">
            <v>350</v>
          </cell>
        </row>
        <row r="351">
          <cell r="A351">
            <v>351</v>
          </cell>
        </row>
        <row r="352">
          <cell r="A352">
            <v>352</v>
          </cell>
        </row>
        <row r="353">
          <cell r="A353">
            <v>353</v>
          </cell>
        </row>
        <row r="354">
          <cell r="A354">
            <v>354</v>
          </cell>
        </row>
        <row r="355">
          <cell r="A355">
            <v>355</v>
          </cell>
        </row>
        <row r="356">
          <cell r="A356">
            <v>356</v>
          </cell>
        </row>
        <row r="357">
          <cell r="A357">
            <v>357</v>
          </cell>
        </row>
        <row r="358">
          <cell r="A358">
            <v>358</v>
          </cell>
        </row>
        <row r="359">
          <cell r="A359">
            <v>359</v>
          </cell>
        </row>
        <row r="360">
          <cell r="A360">
            <v>360</v>
          </cell>
        </row>
        <row r="361">
          <cell r="A361">
            <v>361</v>
          </cell>
        </row>
        <row r="362">
          <cell r="A362">
            <v>362</v>
          </cell>
        </row>
        <row r="363">
          <cell r="A363">
            <v>363</v>
          </cell>
        </row>
        <row r="364">
          <cell r="A364">
            <v>364</v>
          </cell>
        </row>
        <row r="365">
          <cell r="A365">
            <v>365</v>
          </cell>
        </row>
        <row r="366">
          <cell r="A366">
            <v>366</v>
          </cell>
        </row>
        <row r="367">
          <cell r="A367">
            <v>367</v>
          </cell>
        </row>
        <row r="368">
          <cell r="A368">
            <v>368</v>
          </cell>
        </row>
        <row r="369">
          <cell r="A369">
            <v>369</v>
          </cell>
        </row>
        <row r="370">
          <cell r="A370">
            <v>370</v>
          </cell>
        </row>
        <row r="371">
          <cell r="A371">
            <v>371</v>
          </cell>
        </row>
        <row r="372">
          <cell r="A372">
            <v>372</v>
          </cell>
        </row>
        <row r="373">
          <cell r="A373">
            <v>373</v>
          </cell>
        </row>
        <row r="374">
          <cell r="A374">
            <v>374</v>
          </cell>
        </row>
        <row r="375">
          <cell r="A375">
            <v>375</v>
          </cell>
        </row>
        <row r="376">
          <cell r="A376">
            <v>376</v>
          </cell>
        </row>
        <row r="377">
          <cell r="A377">
            <v>377</v>
          </cell>
        </row>
        <row r="378">
          <cell r="A378">
            <v>378</v>
          </cell>
        </row>
        <row r="379">
          <cell r="A379">
            <v>379</v>
          </cell>
        </row>
        <row r="380">
          <cell r="A380">
            <v>380</v>
          </cell>
        </row>
        <row r="381">
          <cell r="A381">
            <v>381</v>
          </cell>
        </row>
        <row r="382">
          <cell r="A382">
            <v>382</v>
          </cell>
        </row>
        <row r="383">
          <cell r="A383">
            <v>383</v>
          </cell>
        </row>
        <row r="384">
          <cell r="A384">
            <v>384</v>
          </cell>
        </row>
        <row r="385">
          <cell r="A385">
            <v>385</v>
          </cell>
        </row>
        <row r="386">
          <cell r="A386">
            <v>386</v>
          </cell>
        </row>
        <row r="387">
          <cell r="A387">
            <v>387</v>
          </cell>
        </row>
        <row r="388">
          <cell r="A388">
            <v>388</v>
          </cell>
        </row>
        <row r="389">
          <cell r="A389">
            <v>389</v>
          </cell>
        </row>
        <row r="390">
          <cell r="A390">
            <v>390</v>
          </cell>
        </row>
        <row r="391">
          <cell r="A391">
            <v>391</v>
          </cell>
        </row>
        <row r="392">
          <cell r="A392">
            <v>392</v>
          </cell>
        </row>
        <row r="393">
          <cell r="A393">
            <v>393</v>
          </cell>
        </row>
        <row r="394">
          <cell r="A394">
            <v>394</v>
          </cell>
        </row>
        <row r="395">
          <cell r="A395">
            <v>395</v>
          </cell>
        </row>
        <row r="396">
          <cell r="A396">
            <v>396</v>
          </cell>
        </row>
        <row r="397">
          <cell r="A397">
            <v>397</v>
          </cell>
        </row>
        <row r="398">
          <cell r="A398">
            <v>398</v>
          </cell>
        </row>
        <row r="399">
          <cell r="A399">
            <v>399</v>
          </cell>
        </row>
        <row r="400">
          <cell r="A400">
            <v>400</v>
          </cell>
        </row>
        <row r="401">
          <cell r="A401">
            <v>401</v>
          </cell>
        </row>
        <row r="402">
          <cell r="A402">
            <v>402</v>
          </cell>
        </row>
        <row r="403">
          <cell r="A403">
            <v>403</v>
          </cell>
        </row>
        <row r="404">
          <cell r="A404">
            <v>404</v>
          </cell>
        </row>
        <row r="405">
          <cell r="A405">
            <v>405</v>
          </cell>
        </row>
        <row r="406">
          <cell r="A406">
            <v>406</v>
          </cell>
        </row>
        <row r="407">
          <cell r="A407">
            <v>407</v>
          </cell>
        </row>
        <row r="408">
          <cell r="A408">
            <v>408</v>
          </cell>
        </row>
        <row r="409">
          <cell r="A409">
            <v>409</v>
          </cell>
        </row>
        <row r="410">
          <cell r="A410">
            <v>410</v>
          </cell>
        </row>
        <row r="411">
          <cell r="A411">
            <v>411</v>
          </cell>
        </row>
        <row r="412">
          <cell r="A412">
            <v>412</v>
          </cell>
        </row>
        <row r="413">
          <cell r="A413">
            <v>413</v>
          </cell>
        </row>
        <row r="414">
          <cell r="A414">
            <v>414</v>
          </cell>
        </row>
        <row r="415">
          <cell r="A415">
            <v>415</v>
          </cell>
        </row>
        <row r="416">
          <cell r="A416">
            <v>416</v>
          </cell>
        </row>
        <row r="417">
          <cell r="A417">
            <v>417</v>
          </cell>
        </row>
        <row r="418">
          <cell r="A418">
            <v>418</v>
          </cell>
        </row>
        <row r="419">
          <cell r="A419">
            <v>419</v>
          </cell>
        </row>
        <row r="420">
          <cell r="A420">
            <v>420</v>
          </cell>
        </row>
        <row r="421">
          <cell r="A421">
            <v>421</v>
          </cell>
        </row>
        <row r="422">
          <cell r="A422">
            <v>422</v>
          </cell>
        </row>
        <row r="423">
          <cell r="A423">
            <v>423</v>
          </cell>
        </row>
        <row r="424">
          <cell r="A424">
            <v>424</v>
          </cell>
        </row>
        <row r="425">
          <cell r="A425">
            <v>425</v>
          </cell>
        </row>
        <row r="426">
          <cell r="A426">
            <v>426</v>
          </cell>
        </row>
        <row r="427">
          <cell r="A427">
            <v>427</v>
          </cell>
        </row>
        <row r="428">
          <cell r="A428">
            <v>428</v>
          </cell>
        </row>
        <row r="429">
          <cell r="A429">
            <v>429</v>
          </cell>
        </row>
        <row r="430">
          <cell r="A430">
            <v>430</v>
          </cell>
        </row>
        <row r="431">
          <cell r="A431">
            <v>431</v>
          </cell>
        </row>
        <row r="432">
          <cell r="A432">
            <v>432</v>
          </cell>
        </row>
        <row r="433">
          <cell r="A433">
            <v>433</v>
          </cell>
        </row>
        <row r="434">
          <cell r="A434">
            <v>434</v>
          </cell>
        </row>
        <row r="435">
          <cell r="A435">
            <v>435</v>
          </cell>
        </row>
        <row r="436">
          <cell r="A436">
            <v>436</v>
          </cell>
        </row>
        <row r="437">
          <cell r="A437">
            <v>437</v>
          </cell>
        </row>
        <row r="438">
          <cell r="A438">
            <v>438</v>
          </cell>
        </row>
        <row r="439">
          <cell r="A439">
            <v>439</v>
          </cell>
        </row>
        <row r="440">
          <cell r="A440">
            <v>440</v>
          </cell>
        </row>
        <row r="441">
          <cell r="A441">
            <v>441</v>
          </cell>
        </row>
        <row r="442">
          <cell r="A442">
            <v>442</v>
          </cell>
        </row>
        <row r="443">
          <cell r="A443">
            <v>443</v>
          </cell>
        </row>
        <row r="444">
          <cell r="A444">
            <v>444</v>
          </cell>
        </row>
        <row r="445">
          <cell r="A445">
            <v>445</v>
          </cell>
        </row>
        <row r="446">
          <cell r="A446">
            <v>446</v>
          </cell>
        </row>
        <row r="447">
          <cell r="A447">
            <v>447</v>
          </cell>
        </row>
        <row r="448">
          <cell r="A448">
            <v>448</v>
          </cell>
        </row>
        <row r="449">
          <cell r="A449">
            <v>449</v>
          </cell>
        </row>
        <row r="450">
          <cell r="A450">
            <v>450</v>
          </cell>
        </row>
        <row r="451">
          <cell r="A451">
            <v>451</v>
          </cell>
        </row>
        <row r="452">
          <cell r="A452">
            <v>452</v>
          </cell>
        </row>
        <row r="453">
          <cell r="A453">
            <v>453</v>
          </cell>
        </row>
        <row r="454">
          <cell r="A454">
            <v>454</v>
          </cell>
        </row>
        <row r="455">
          <cell r="A455">
            <v>455</v>
          </cell>
        </row>
        <row r="456">
          <cell r="A456">
            <v>456</v>
          </cell>
        </row>
        <row r="457">
          <cell r="A457">
            <v>457</v>
          </cell>
        </row>
        <row r="458">
          <cell r="A458">
            <v>458</v>
          </cell>
        </row>
        <row r="459">
          <cell r="A459">
            <v>459</v>
          </cell>
        </row>
        <row r="460">
          <cell r="A460">
            <v>460</v>
          </cell>
        </row>
        <row r="461">
          <cell r="A461">
            <v>461</v>
          </cell>
        </row>
        <row r="462">
          <cell r="A462">
            <v>462</v>
          </cell>
        </row>
        <row r="463">
          <cell r="A463">
            <v>463</v>
          </cell>
        </row>
        <row r="464">
          <cell r="A464">
            <v>464</v>
          </cell>
        </row>
        <row r="465">
          <cell r="A465">
            <v>465</v>
          </cell>
        </row>
        <row r="466">
          <cell r="A466">
            <v>466</v>
          </cell>
        </row>
        <row r="467">
          <cell r="A467">
            <v>467</v>
          </cell>
        </row>
        <row r="468">
          <cell r="A468">
            <v>468</v>
          </cell>
        </row>
        <row r="469">
          <cell r="A469">
            <v>469</v>
          </cell>
        </row>
        <row r="470">
          <cell r="A470">
            <v>470</v>
          </cell>
        </row>
        <row r="471">
          <cell r="A471">
            <v>471</v>
          </cell>
        </row>
        <row r="472">
          <cell r="A472">
            <v>472</v>
          </cell>
        </row>
        <row r="473">
          <cell r="A473">
            <v>473</v>
          </cell>
        </row>
        <row r="474">
          <cell r="A474">
            <v>474</v>
          </cell>
        </row>
        <row r="475">
          <cell r="A475">
            <v>475</v>
          </cell>
        </row>
        <row r="476">
          <cell r="A476">
            <v>476</v>
          </cell>
        </row>
        <row r="477">
          <cell r="A477">
            <v>477</v>
          </cell>
        </row>
        <row r="478">
          <cell r="A478">
            <v>478</v>
          </cell>
        </row>
        <row r="479">
          <cell r="A479">
            <v>479</v>
          </cell>
        </row>
        <row r="480">
          <cell r="A480">
            <v>480</v>
          </cell>
        </row>
        <row r="481">
          <cell r="A481">
            <v>481</v>
          </cell>
        </row>
        <row r="482">
          <cell r="A482">
            <v>482</v>
          </cell>
        </row>
        <row r="483">
          <cell r="A483">
            <v>483</v>
          </cell>
        </row>
        <row r="484">
          <cell r="A484">
            <v>484</v>
          </cell>
        </row>
        <row r="485">
          <cell r="A485">
            <v>485</v>
          </cell>
        </row>
        <row r="486">
          <cell r="A486">
            <v>486</v>
          </cell>
        </row>
        <row r="487">
          <cell r="A487">
            <v>487</v>
          </cell>
        </row>
        <row r="488">
          <cell r="A488">
            <v>488</v>
          </cell>
        </row>
        <row r="489">
          <cell r="A489">
            <v>489</v>
          </cell>
        </row>
        <row r="490">
          <cell r="A490">
            <v>490</v>
          </cell>
        </row>
        <row r="491">
          <cell r="A491">
            <v>491</v>
          </cell>
        </row>
        <row r="492">
          <cell r="A492">
            <v>492</v>
          </cell>
        </row>
        <row r="493">
          <cell r="A493">
            <v>493</v>
          </cell>
        </row>
        <row r="494">
          <cell r="A494">
            <v>494</v>
          </cell>
        </row>
        <row r="495">
          <cell r="A495">
            <v>495</v>
          </cell>
        </row>
        <row r="496">
          <cell r="A496">
            <v>496</v>
          </cell>
        </row>
        <row r="497">
          <cell r="A497">
            <v>497</v>
          </cell>
        </row>
        <row r="498">
          <cell r="A498">
            <v>498</v>
          </cell>
        </row>
        <row r="499">
          <cell r="A499">
            <v>499</v>
          </cell>
        </row>
        <row r="500">
          <cell r="A500">
            <v>500</v>
          </cell>
        </row>
        <row r="501">
          <cell r="A501">
            <v>501</v>
          </cell>
        </row>
        <row r="502">
          <cell r="A502">
            <v>502</v>
          </cell>
        </row>
        <row r="503">
          <cell r="A503">
            <v>503</v>
          </cell>
        </row>
        <row r="504">
          <cell r="A504">
            <v>504</v>
          </cell>
        </row>
        <row r="505">
          <cell r="A505">
            <v>505</v>
          </cell>
        </row>
        <row r="506">
          <cell r="A506">
            <v>506</v>
          </cell>
        </row>
        <row r="507">
          <cell r="A507">
            <v>507</v>
          </cell>
        </row>
        <row r="508">
          <cell r="A508">
            <v>508</v>
          </cell>
        </row>
        <row r="509">
          <cell r="A509">
            <v>509</v>
          </cell>
        </row>
        <row r="510">
          <cell r="A510">
            <v>510</v>
          </cell>
        </row>
        <row r="511">
          <cell r="A511">
            <v>511</v>
          </cell>
        </row>
        <row r="512">
          <cell r="A512">
            <v>512</v>
          </cell>
        </row>
        <row r="513">
          <cell r="A513">
            <v>513</v>
          </cell>
        </row>
        <row r="514">
          <cell r="A514">
            <v>514</v>
          </cell>
        </row>
        <row r="515">
          <cell r="A515">
            <v>515</v>
          </cell>
        </row>
        <row r="516">
          <cell r="A516">
            <v>516</v>
          </cell>
        </row>
        <row r="517">
          <cell r="A517">
            <v>517</v>
          </cell>
        </row>
        <row r="518">
          <cell r="A518">
            <v>518</v>
          </cell>
        </row>
        <row r="519">
          <cell r="A519">
            <v>519</v>
          </cell>
        </row>
        <row r="520">
          <cell r="A520">
            <v>520</v>
          </cell>
        </row>
        <row r="521">
          <cell r="A521">
            <v>521</v>
          </cell>
        </row>
        <row r="522">
          <cell r="A522">
            <v>522</v>
          </cell>
        </row>
        <row r="523">
          <cell r="A523">
            <v>523</v>
          </cell>
        </row>
        <row r="524">
          <cell r="A524">
            <v>524</v>
          </cell>
        </row>
        <row r="525">
          <cell r="A525">
            <v>525</v>
          </cell>
        </row>
        <row r="526">
          <cell r="A526">
            <v>526</v>
          </cell>
        </row>
        <row r="527">
          <cell r="A527">
            <v>527</v>
          </cell>
        </row>
        <row r="528">
          <cell r="A528">
            <v>528</v>
          </cell>
        </row>
        <row r="529">
          <cell r="A529">
            <v>529</v>
          </cell>
        </row>
        <row r="530">
          <cell r="A530">
            <v>530</v>
          </cell>
        </row>
        <row r="531">
          <cell r="A531">
            <v>531</v>
          </cell>
        </row>
        <row r="532">
          <cell r="A532">
            <v>532</v>
          </cell>
        </row>
        <row r="533">
          <cell r="A533">
            <v>533</v>
          </cell>
        </row>
        <row r="534">
          <cell r="A534">
            <v>534</v>
          </cell>
        </row>
        <row r="535">
          <cell r="A535">
            <v>535</v>
          </cell>
        </row>
        <row r="536">
          <cell r="A536">
            <v>536</v>
          </cell>
        </row>
        <row r="537">
          <cell r="A537">
            <v>537</v>
          </cell>
        </row>
        <row r="538">
          <cell r="A538">
            <v>538</v>
          </cell>
        </row>
        <row r="539">
          <cell r="A539">
            <v>539</v>
          </cell>
        </row>
        <row r="540">
          <cell r="A540">
            <v>540</v>
          </cell>
        </row>
        <row r="541">
          <cell r="A541">
            <v>541</v>
          </cell>
        </row>
        <row r="542">
          <cell r="A542">
            <v>542</v>
          </cell>
        </row>
        <row r="543">
          <cell r="A543">
            <v>543</v>
          </cell>
        </row>
        <row r="544">
          <cell r="A544">
            <v>544</v>
          </cell>
        </row>
        <row r="545">
          <cell r="A545">
            <v>545</v>
          </cell>
        </row>
        <row r="546">
          <cell r="A546">
            <v>546</v>
          </cell>
        </row>
        <row r="547">
          <cell r="A547">
            <v>547</v>
          </cell>
        </row>
        <row r="548">
          <cell r="A548">
            <v>548</v>
          </cell>
        </row>
        <row r="549">
          <cell r="A549">
            <v>549</v>
          </cell>
        </row>
        <row r="550">
          <cell r="A550">
            <v>550</v>
          </cell>
        </row>
        <row r="551">
          <cell r="A551">
            <v>551</v>
          </cell>
        </row>
        <row r="552">
          <cell r="A552">
            <v>552</v>
          </cell>
        </row>
        <row r="553">
          <cell r="A553">
            <v>553</v>
          </cell>
        </row>
        <row r="554">
          <cell r="A554">
            <v>554</v>
          </cell>
        </row>
        <row r="555">
          <cell r="A555">
            <v>555</v>
          </cell>
        </row>
        <row r="556">
          <cell r="A556">
            <v>556</v>
          </cell>
        </row>
        <row r="557">
          <cell r="A557">
            <v>557</v>
          </cell>
        </row>
        <row r="558">
          <cell r="A558">
            <v>558</v>
          </cell>
        </row>
        <row r="559">
          <cell r="A559">
            <v>559</v>
          </cell>
        </row>
        <row r="560">
          <cell r="A560">
            <v>560</v>
          </cell>
        </row>
        <row r="561">
          <cell r="A561">
            <v>561</v>
          </cell>
        </row>
        <row r="562">
          <cell r="A562">
            <v>562</v>
          </cell>
        </row>
        <row r="563">
          <cell r="A563">
            <v>563</v>
          </cell>
        </row>
        <row r="564">
          <cell r="A564">
            <v>564</v>
          </cell>
        </row>
        <row r="565">
          <cell r="A565">
            <v>565</v>
          </cell>
        </row>
        <row r="566">
          <cell r="A566">
            <v>566</v>
          </cell>
        </row>
        <row r="567">
          <cell r="A567">
            <v>567</v>
          </cell>
        </row>
        <row r="568">
          <cell r="A568">
            <v>568</v>
          </cell>
        </row>
        <row r="569">
          <cell r="A569">
            <v>569</v>
          </cell>
        </row>
        <row r="570">
          <cell r="A570">
            <v>570</v>
          </cell>
        </row>
        <row r="571">
          <cell r="A571">
            <v>571</v>
          </cell>
        </row>
        <row r="572">
          <cell r="A572">
            <v>572</v>
          </cell>
        </row>
        <row r="573">
          <cell r="A573">
            <v>573</v>
          </cell>
        </row>
        <row r="574">
          <cell r="A574">
            <v>574</v>
          </cell>
        </row>
        <row r="575">
          <cell r="A575">
            <v>575</v>
          </cell>
        </row>
        <row r="576">
          <cell r="A576">
            <v>576</v>
          </cell>
        </row>
        <row r="577">
          <cell r="A577">
            <v>577</v>
          </cell>
        </row>
        <row r="578">
          <cell r="A578">
            <v>578</v>
          </cell>
        </row>
        <row r="579">
          <cell r="A579">
            <v>579</v>
          </cell>
        </row>
        <row r="580">
          <cell r="A580">
            <v>580</v>
          </cell>
        </row>
        <row r="581">
          <cell r="A581">
            <v>581</v>
          </cell>
        </row>
        <row r="582">
          <cell r="A582">
            <v>582</v>
          </cell>
        </row>
        <row r="583">
          <cell r="A583">
            <v>583</v>
          </cell>
        </row>
        <row r="584">
          <cell r="A584">
            <v>584</v>
          </cell>
        </row>
        <row r="585">
          <cell r="A585">
            <v>585</v>
          </cell>
        </row>
        <row r="586">
          <cell r="A586">
            <v>586</v>
          </cell>
        </row>
        <row r="587">
          <cell r="A587">
            <v>587</v>
          </cell>
        </row>
        <row r="588">
          <cell r="A588">
            <v>588</v>
          </cell>
        </row>
        <row r="589">
          <cell r="A589">
            <v>589</v>
          </cell>
        </row>
        <row r="590">
          <cell r="A590">
            <v>590</v>
          </cell>
        </row>
        <row r="591">
          <cell r="A591">
            <v>591</v>
          </cell>
        </row>
        <row r="592">
          <cell r="A592">
            <v>592</v>
          </cell>
        </row>
        <row r="593">
          <cell r="A593">
            <v>593</v>
          </cell>
        </row>
        <row r="594">
          <cell r="A594">
            <v>594</v>
          </cell>
        </row>
        <row r="595">
          <cell r="A595">
            <v>595</v>
          </cell>
        </row>
        <row r="596">
          <cell r="A596">
            <v>596</v>
          </cell>
        </row>
        <row r="597">
          <cell r="A597">
            <v>597</v>
          </cell>
        </row>
        <row r="598">
          <cell r="A598">
            <v>598</v>
          </cell>
        </row>
        <row r="599">
          <cell r="A599">
            <v>599</v>
          </cell>
        </row>
        <row r="600">
          <cell r="A600">
            <v>600</v>
          </cell>
        </row>
        <row r="601">
          <cell r="A601">
            <v>601</v>
          </cell>
        </row>
        <row r="602">
          <cell r="A602">
            <v>602</v>
          </cell>
        </row>
        <row r="603">
          <cell r="A603">
            <v>603</v>
          </cell>
        </row>
        <row r="604">
          <cell r="A604">
            <v>604</v>
          </cell>
        </row>
        <row r="605">
          <cell r="A605">
            <v>605</v>
          </cell>
        </row>
        <row r="606">
          <cell r="A606">
            <v>606</v>
          </cell>
        </row>
        <row r="607">
          <cell r="A607">
            <v>607</v>
          </cell>
        </row>
        <row r="608">
          <cell r="A608">
            <v>608</v>
          </cell>
        </row>
        <row r="609">
          <cell r="A609">
            <v>609</v>
          </cell>
        </row>
        <row r="610">
          <cell r="A610">
            <v>610</v>
          </cell>
        </row>
        <row r="611">
          <cell r="A611">
            <v>611</v>
          </cell>
        </row>
        <row r="612">
          <cell r="A612">
            <v>612</v>
          </cell>
        </row>
        <row r="613">
          <cell r="A613">
            <v>613</v>
          </cell>
        </row>
        <row r="614">
          <cell r="A614">
            <v>614</v>
          </cell>
        </row>
        <row r="615">
          <cell r="A615">
            <v>615</v>
          </cell>
        </row>
        <row r="616">
          <cell r="A616">
            <v>616</v>
          </cell>
        </row>
        <row r="617">
          <cell r="A617">
            <v>617</v>
          </cell>
        </row>
        <row r="618">
          <cell r="A618">
            <v>618</v>
          </cell>
        </row>
        <row r="619">
          <cell r="A619">
            <v>619</v>
          </cell>
        </row>
        <row r="620">
          <cell r="A620">
            <v>620</v>
          </cell>
        </row>
        <row r="621">
          <cell r="A621">
            <v>621</v>
          </cell>
        </row>
        <row r="622">
          <cell r="A622">
            <v>622</v>
          </cell>
        </row>
        <row r="623">
          <cell r="A623">
            <v>623</v>
          </cell>
        </row>
        <row r="624">
          <cell r="A624">
            <v>624</v>
          </cell>
        </row>
        <row r="625">
          <cell r="A625">
            <v>625</v>
          </cell>
        </row>
        <row r="626">
          <cell r="A626">
            <v>626</v>
          </cell>
        </row>
        <row r="627">
          <cell r="A627">
            <v>627</v>
          </cell>
        </row>
        <row r="628">
          <cell r="A628">
            <v>628</v>
          </cell>
        </row>
        <row r="629">
          <cell r="A629">
            <v>629</v>
          </cell>
        </row>
        <row r="630">
          <cell r="A630">
            <v>630</v>
          </cell>
        </row>
        <row r="631">
          <cell r="A631">
            <v>631</v>
          </cell>
        </row>
        <row r="632">
          <cell r="A632">
            <v>632</v>
          </cell>
        </row>
        <row r="633">
          <cell r="A633">
            <v>633</v>
          </cell>
        </row>
        <row r="634">
          <cell r="A634">
            <v>634</v>
          </cell>
        </row>
        <row r="635">
          <cell r="A635">
            <v>635</v>
          </cell>
        </row>
        <row r="636">
          <cell r="A636">
            <v>636</v>
          </cell>
        </row>
        <row r="637">
          <cell r="A637">
            <v>637</v>
          </cell>
        </row>
        <row r="638">
          <cell r="A638">
            <v>638</v>
          </cell>
        </row>
        <row r="639">
          <cell r="A639">
            <v>639</v>
          </cell>
        </row>
        <row r="640">
          <cell r="A640">
            <v>640</v>
          </cell>
        </row>
        <row r="641">
          <cell r="A641">
            <v>641</v>
          </cell>
        </row>
        <row r="642">
          <cell r="A642">
            <v>642</v>
          </cell>
        </row>
        <row r="643">
          <cell r="A643">
            <v>643</v>
          </cell>
        </row>
        <row r="644">
          <cell r="A644">
            <v>644</v>
          </cell>
        </row>
        <row r="645">
          <cell r="A645">
            <v>645</v>
          </cell>
        </row>
        <row r="646">
          <cell r="A646">
            <v>646</v>
          </cell>
        </row>
        <row r="647">
          <cell r="A647">
            <v>647</v>
          </cell>
        </row>
        <row r="648">
          <cell r="A648">
            <v>648</v>
          </cell>
        </row>
        <row r="649">
          <cell r="A649">
            <v>649</v>
          </cell>
        </row>
        <row r="650">
          <cell r="A650">
            <v>650</v>
          </cell>
        </row>
        <row r="651">
          <cell r="A651">
            <v>651</v>
          </cell>
        </row>
        <row r="652">
          <cell r="A652">
            <v>652</v>
          </cell>
        </row>
        <row r="653">
          <cell r="A653">
            <v>653</v>
          </cell>
        </row>
        <row r="654">
          <cell r="A654">
            <v>654</v>
          </cell>
        </row>
        <row r="655">
          <cell r="A655">
            <v>655</v>
          </cell>
        </row>
        <row r="656">
          <cell r="A656">
            <v>656</v>
          </cell>
        </row>
        <row r="657">
          <cell r="A657">
            <v>657</v>
          </cell>
        </row>
        <row r="658">
          <cell r="A658">
            <v>658</v>
          </cell>
        </row>
        <row r="659">
          <cell r="A659">
            <v>659</v>
          </cell>
        </row>
        <row r="660">
          <cell r="A660">
            <v>660</v>
          </cell>
        </row>
        <row r="661">
          <cell r="A661">
            <v>661</v>
          </cell>
        </row>
        <row r="662">
          <cell r="A662">
            <v>662</v>
          </cell>
        </row>
        <row r="663">
          <cell r="A663">
            <v>663</v>
          </cell>
        </row>
        <row r="664">
          <cell r="A664">
            <v>664</v>
          </cell>
        </row>
        <row r="665">
          <cell r="A665">
            <v>665</v>
          </cell>
        </row>
        <row r="666">
          <cell r="A666">
            <v>666</v>
          </cell>
        </row>
        <row r="667">
          <cell r="A667">
            <v>667</v>
          </cell>
        </row>
        <row r="668">
          <cell r="A668">
            <v>668</v>
          </cell>
        </row>
        <row r="669">
          <cell r="A669">
            <v>669</v>
          </cell>
        </row>
        <row r="670">
          <cell r="A670">
            <v>670</v>
          </cell>
        </row>
        <row r="671">
          <cell r="A671">
            <v>671</v>
          </cell>
        </row>
        <row r="672">
          <cell r="A672">
            <v>672</v>
          </cell>
        </row>
        <row r="673">
          <cell r="A673">
            <v>673</v>
          </cell>
        </row>
        <row r="674">
          <cell r="A674">
            <v>674</v>
          </cell>
        </row>
        <row r="675">
          <cell r="A675">
            <v>675</v>
          </cell>
        </row>
        <row r="676">
          <cell r="A676">
            <v>676</v>
          </cell>
        </row>
        <row r="677">
          <cell r="A677">
            <v>677</v>
          </cell>
        </row>
        <row r="678">
          <cell r="A678">
            <v>678</v>
          </cell>
        </row>
        <row r="679">
          <cell r="A679">
            <v>679</v>
          </cell>
        </row>
        <row r="680">
          <cell r="A680">
            <v>680</v>
          </cell>
        </row>
        <row r="681">
          <cell r="A681">
            <v>681</v>
          </cell>
        </row>
        <row r="682">
          <cell r="A682">
            <v>682</v>
          </cell>
        </row>
        <row r="683">
          <cell r="A683">
            <v>683</v>
          </cell>
        </row>
        <row r="684">
          <cell r="A684">
            <v>684</v>
          </cell>
        </row>
        <row r="685">
          <cell r="A685">
            <v>685</v>
          </cell>
        </row>
        <row r="686">
          <cell r="A686">
            <v>686</v>
          </cell>
        </row>
        <row r="687">
          <cell r="A687">
            <v>687</v>
          </cell>
        </row>
        <row r="688">
          <cell r="A688">
            <v>688</v>
          </cell>
        </row>
        <row r="689">
          <cell r="A689">
            <v>689</v>
          </cell>
        </row>
        <row r="690">
          <cell r="A690">
            <v>690</v>
          </cell>
        </row>
        <row r="691">
          <cell r="A691">
            <v>691</v>
          </cell>
        </row>
        <row r="692">
          <cell r="A692">
            <v>692</v>
          </cell>
        </row>
        <row r="693">
          <cell r="A693">
            <v>693</v>
          </cell>
        </row>
        <row r="694">
          <cell r="A694">
            <v>694</v>
          </cell>
        </row>
        <row r="695">
          <cell r="A695">
            <v>695</v>
          </cell>
        </row>
        <row r="696">
          <cell r="A696">
            <v>696</v>
          </cell>
        </row>
        <row r="697">
          <cell r="A697">
            <v>697</v>
          </cell>
        </row>
        <row r="698">
          <cell r="A698">
            <v>698</v>
          </cell>
        </row>
        <row r="699">
          <cell r="A699">
            <v>699</v>
          </cell>
        </row>
        <row r="700">
          <cell r="A700">
            <v>700</v>
          </cell>
        </row>
        <row r="701">
          <cell r="A701">
            <v>701</v>
          </cell>
        </row>
        <row r="702">
          <cell r="A702">
            <v>702</v>
          </cell>
        </row>
        <row r="703">
          <cell r="A703">
            <v>703</v>
          </cell>
        </row>
        <row r="704">
          <cell r="A704">
            <v>704</v>
          </cell>
        </row>
        <row r="705">
          <cell r="A705">
            <v>705</v>
          </cell>
        </row>
        <row r="706">
          <cell r="A706">
            <v>706</v>
          </cell>
        </row>
        <row r="707">
          <cell r="A707">
            <v>707</v>
          </cell>
        </row>
        <row r="708">
          <cell r="A708">
            <v>708</v>
          </cell>
        </row>
        <row r="709">
          <cell r="A709">
            <v>709</v>
          </cell>
        </row>
        <row r="710">
          <cell r="A710">
            <v>710</v>
          </cell>
        </row>
        <row r="711">
          <cell r="A711">
            <v>711</v>
          </cell>
        </row>
        <row r="712">
          <cell r="A712">
            <v>712</v>
          </cell>
        </row>
        <row r="713">
          <cell r="A713">
            <v>713</v>
          </cell>
        </row>
        <row r="714">
          <cell r="A714">
            <v>714</v>
          </cell>
        </row>
        <row r="715">
          <cell r="A715">
            <v>715</v>
          </cell>
        </row>
        <row r="716">
          <cell r="A716">
            <v>716</v>
          </cell>
        </row>
        <row r="717">
          <cell r="A717">
            <v>717</v>
          </cell>
        </row>
        <row r="718">
          <cell r="A718">
            <v>718</v>
          </cell>
        </row>
        <row r="719">
          <cell r="A719">
            <v>719</v>
          </cell>
        </row>
        <row r="720">
          <cell r="A720">
            <v>720</v>
          </cell>
        </row>
        <row r="721">
          <cell r="A721">
            <v>721</v>
          </cell>
        </row>
        <row r="722">
          <cell r="A722">
            <v>722</v>
          </cell>
        </row>
        <row r="723">
          <cell r="A723">
            <v>723</v>
          </cell>
        </row>
        <row r="724">
          <cell r="A724">
            <v>724</v>
          </cell>
        </row>
        <row r="725">
          <cell r="A725">
            <v>725</v>
          </cell>
        </row>
        <row r="726">
          <cell r="A726">
            <v>726</v>
          </cell>
        </row>
        <row r="727">
          <cell r="A727">
            <v>727</v>
          </cell>
        </row>
        <row r="728">
          <cell r="A728">
            <v>728</v>
          </cell>
        </row>
        <row r="729">
          <cell r="A729">
            <v>729</v>
          </cell>
        </row>
        <row r="730">
          <cell r="A730">
            <v>730</v>
          </cell>
        </row>
        <row r="731">
          <cell r="A731">
            <v>731</v>
          </cell>
        </row>
        <row r="732">
          <cell r="A732">
            <v>732</v>
          </cell>
        </row>
        <row r="733">
          <cell r="A733">
            <v>733</v>
          </cell>
        </row>
        <row r="734">
          <cell r="A734">
            <v>734</v>
          </cell>
        </row>
        <row r="735">
          <cell r="A735">
            <v>735</v>
          </cell>
        </row>
        <row r="736">
          <cell r="A736">
            <v>736</v>
          </cell>
        </row>
        <row r="737">
          <cell r="A737">
            <v>737</v>
          </cell>
        </row>
        <row r="738">
          <cell r="A738">
            <v>738</v>
          </cell>
        </row>
        <row r="739">
          <cell r="A739">
            <v>739</v>
          </cell>
        </row>
        <row r="740">
          <cell r="A740">
            <v>740</v>
          </cell>
        </row>
        <row r="741">
          <cell r="A741">
            <v>741</v>
          </cell>
        </row>
        <row r="742">
          <cell r="A742">
            <v>742</v>
          </cell>
        </row>
        <row r="743">
          <cell r="A743">
            <v>743</v>
          </cell>
        </row>
        <row r="744">
          <cell r="A744">
            <v>744</v>
          </cell>
        </row>
        <row r="745">
          <cell r="A745">
            <v>745</v>
          </cell>
        </row>
        <row r="746">
          <cell r="A746">
            <v>746</v>
          </cell>
        </row>
        <row r="747">
          <cell r="A747">
            <v>747</v>
          </cell>
        </row>
        <row r="748">
          <cell r="A748">
            <v>748</v>
          </cell>
        </row>
        <row r="749">
          <cell r="A749">
            <v>749</v>
          </cell>
        </row>
        <row r="750">
          <cell r="A750">
            <v>750</v>
          </cell>
        </row>
        <row r="751">
          <cell r="A751">
            <v>751</v>
          </cell>
        </row>
        <row r="752">
          <cell r="A752">
            <v>752</v>
          </cell>
        </row>
        <row r="753">
          <cell r="A753">
            <v>753</v>
          </cell>
        </row>
        <row r="754">
          <cell r="A754">
            <v>754</v>
          </cell>
        </row>
        <row r="755">
          <cell r="A755">
            <v>755</v>
          </cell>
        </row>
        <row r="756">
          <cell r="A756">
            <v>756</v>
          </cell>
        </row>
        <row r="757">
          <cell r="A757">
            <v>757</v>
          </cell>
        </row>
        <row r="758">
          <cell r="A758">
            <v>758</v>
          </cell>
        </row>
        <row r="759">
          <cell r="A759">
            <v>759</v>
          </cell>
        </row>
        <row r="760">
          <cell r="A760">
            <v>760</v>
          </cell>
        </row>
        <row r="761">
          <cell r="A761">
            <v>761</v>
          </cell>
        </row>
        <row r="762">
          <cell r="A762">
            <v>762</v>
          </cell>
        </row>
        <row r="763">
          <cell r="A763">
            <v>763</v>
          </cell>
        </row>
        <row r="764">
          <cell r="A764">
            <v>764</v>
          </cell>
        </row>
        <row r="765">
          <cell r="A765">
            <v>765</v>
          </cell>
        </row>
        <row r="766">
          <cell r="A766">
            <v>766</v>
          </cell>
        </row>
        <row r="767">
          <cell r="A767">
            <v>767</v>
          </cell>
        </row>
        <row r="768">
          <cell r="A768">
            <v>768</v>
          </cell>
        </row>
        <row r="769">
          <cell r="A769">
            <v>769</v>
          </cell>
        </row>
        <row r="770">
          <cell r="A770">
            <v>770</v>
          </cell>
        </row>
        <row r="771">
          <cell r="A771">
            <v>771</v>
          </cell>
        </row>
        <row r="772">
          <cell r="A772">
            <v>772</v>
          </cell>
        </row>
        <row r="773">
          <cell r="A773">
            <v>773</v>
          </cell>
        </row>
        <row r="774">
          <cell r="A774">
            <v>774</v>
          </cell>
        </row>
        <row r="775">
          <cell r="A775">
            <v>775</v>
          </cell>
        </row>
        <row r="776">
          <cell r="A776">
            <v>776</v>
          </cell>
        </row>
        <row r="777">
          <cell r="A777">
            <v>777</v>
          </cell>
        </row>
        <row r="778">
          <cell r="A778">
            <v>778</v>
          </cell>
        </row>
        <row r="779">
          <cell r="A779">
            <v>779</v>
          </cell>
        </row>
        <row r="780">
          <cell r="A780">
            <v>780</v>
          </cell>
        </row>
        <row r="781">
          <cell r="A781">
            <v>781</v>
          </cell>
        </row>
        <row r="782">
          <cell r="A782">
            <v>782</v>
          </cell>
        </row>
        <row r="783">
          <cell r="A783">
            <v>783</v>
          </cell>
        </row>
        <row r="784">
          <cell r="A784">
            <v>784</v>
          </cell>
        </row>
        <row r="785">
          <cell r="A785">
            <v>785</v>
          </cell>
        </row>
        <row r="786">
          <cell r="A786">
            <v>786</v>
          </cell>
        </row>
        <row r="787">
          <cell r="A787">
            <v>787</v>
          </cell>
        </row>
        <row r="788">
          <cell r="A788">
            <v>788</v>
          </cell>
        </row>
        <row r="789">
          <cell r="A789">
            <v>789</v>
          </cell>
        </row>
        <row r="790">
          <cell r="A790">
            <v>790</v>
          </cell>
        </row>
        <row r="791">
          <cell r="A791">
            <v>791</v>
          </cell>
        </row>
        <row r="792">
          <cell r="A792">
            <v>792</v>
          </cell>
        </row>
        <row r="793">
          <cell r="A793">
            <v>793</v>
          </cell>
        </row>
        <row r="794">
          <cell r="A794">
            <v>794</v>
          </cell>
        </row>
        <row r="795">
          <cell r="A795">
            <v>795</v>
          </cell>
        </row>
        <row r="796">
          <cell r="A796">
            <v>796</v>
          </cell>
        </row>
        <row r="797">
          <cell r="A797">
            <v>797</v>
          </cell>
        </row>
        <row r="798">
          <cell r="A798">
            <v>798</v>
          </cell>
        </row>
        <row r="799">
          <cell r="A799">
            <v>799</v>
          </cell>
        </row>
        <row r="800">
          <cell r="A800">
            <v>800</v>
          </cell>
        </row>
        <row r="801">
          <cell r="A801">
            <v>801</v>
          </cell>
        </row>
        <row r="802">
          <cell r="A802">
            <v>802</v>
          </cell>
        </row>
        <row r="803">
          <cell r="A803">
            <v>803</v>
          </cell>
        </row>
        <row r="804">
          <cell r="A804">
            <v>804</v>
          </cell>
        </row>
        <row r="805">
          <cell r="A805">
            <v>805</v>
          </cell>
        </row>
        <row r="806">
          <cell r="A806">
            <v>806</v>
          </cell>
        </row>
        <row r="807">
          <cell r="A807">
            <v>807</v>
          </cell>
        </row>
        <row r="808">
          <cell r="A808">
            <v>808</v>
          </cell>
        </row>
        <row r="809">
          <cell r="A809">
            <v>809</v>
          </cell>
        </row>
        <row r="810">
          <cell r="A810">
            <v>810</v>
          </cell>
        </row>
        <row r="811">
          <cell r="A811">
            <v>811</v>
          </cell>
        </row>
        <row r="812">
          <cell r="A812">
            <v>812</v>
          </cell>
        </row>
        <row r="813">
          <cell r="A813">
            <v>813</v>
          </cell>
        </row>
        <row r="814">
          <cell r="A814">
            <v>814</v>
          </cell>
        </row>
        <row r="815">
          <cell r="A815">
            <v>815</v>
          </cell>
        </row>
        <row r="816">
          <cell r="A816">
            <v>816</v>
          </cell>
        </row>
        <row r="817">
          <cell r="A817">
            <v>817</v>
          </cell>
        </row>
        <row r="818">
          <cell r="A818">
            <v>818</v>
          </cell>
        </row>
        <row r="819">
          <cell r="A819">
            <v>819</v>
          </cell>
        </row>
        <row r="820">
          <cell r="A820">
            <v>820</v>
          </cell>
        </row>
        <row r="821">
          <cell r="A821">
            <v>821</v>
          </cell>
        </row>
        <row r="822">
          <cell r="A822">
            <v>822</v>
          </cell>
        </row>
        <row r="823">
          <cell r="A823">
            <v>823</v>
          </cell>
        </row>
        <row r="824">
          <cell r="A824">
            <v>824</v>
          </cell>
        </row>
        <row r="825">
          <cell r="A825">
            <v>825</v>
          </cell>
        </row>
        <row r="826">
          <cell r="A826">
            <v>826</v>
          </cell>
        </row>
        <row r="827">
          <cell r="A827">
            <v>827</v>
          </cell>
        </row>
        <row r="828">
          <cell r="A828">
            <v>828</v>
          </cell>
        </row>
        <row r="829">
          <cell r="A829">
            <v>829</v>
          </cell>
        </row>
        <row r="830">
          <cell r="A830">
            <v>830</v>
          </cell>
        </row>
        <row r="831">
          <cell r="A831">
            <v>831</v>
          </cell>
        </row>
        <row r="832">
          <cell r="A832">
            <v>832</v>
          </cell>
        </row>
        <row r="833">
          <cell r="A833">
            <v>833</v>
          </cell>
        </row>
        <row r="834">
          <cell r="A834">
            <v>834</v>
          </cell>
        </row>
        <row r="835">
          <cell r="A835">
            <v>835</v>
          </cell>
        </row>
        <row r="836">
          <cell r="A836">
            <v>836</v>
          </cell>
        </row>
        <row r="837">
          <cell r="A837">
            <v>837</v>
          </cell>
        </row>
        <row r="838">
          <cell r="A838">
            <v>838</v>
          </cell>
        </row>
        <row r="839">
          <cell r="A839">
            <v>839</v>
          </cell>
        </row>
        <row r="840">
          <cell r="A840">
            <v>840</v>
          </cell>
        </row>
        <row r="841">
          <cell r="A841">
            <v>841</v>
          </cell>
        </row>
        <row r="842">
          <cell r="A842">
            <v>842</v>
          </cell>
        </row>
        <row r="843">
          <cell r="A843">
            <v>843</v>
          </cell>
        </row>
        <row r="844">
          <cell r="A844">
            <v>844</v>
          </cell>
        </row>
        <row r="845">
          <cell r="A845">
            <v>845</v>
          </cell>
        </row>
        <row r="846">
          <cell r="A846">
            <v>846</v>
          </cell>
        </row>
        <row r="847">
          <cell r="A847">
            <v>847</v>
          </cell>
        </row>
        <row r="848">
          <cell r="A848">
            <v>848</v>
          </cell>
        </row>
        <row r="849">
          <cell r="A849">
            <v>849</v>
          </cell>
        </row>
        <row r="850">
          <cell r="A850">
            <v>850</v>
          </cell>
        </row>
        <row r="851">
          <cell r="A851">
            <v>851</v>
          </cell>
        </row>
        <row r="852">
          <cell r="A852">
            <v>852</v>
          </cell>
        </row>
        <row r="853">
          <cell r="A853">
            <v>853</v>
          </cell>
        </row>
        <row r="854">
          <cell r="A854">
            <v>854</v>
          </cell>
        </row>
        <row r="855">
          <cell r="A855">
            <v>855</v>
          </cell>
        </row>
        <row r="856">
          <cell r="A856">
            <v>856</v>
          </cell>
        </row>
        <row r="857">
          <cell r="A857">
            <v>857</v>
          </cell>
        </row>
        <row r="858">
          <cell r="A858">
            <v>858</v>
          </cell>
        </row>
        <row r="859">
          <cell r="A859">
            <v>859</v>
          </cell>
        </row>
        <row r="860">
          <cell r="A860">
            <v>860</v>
          </cell>
        </row>
        <row r="861">
          <cell r="A861">
            <v>861</v>
          </cell>
        </row>
        <row r="862">
          <cell r="A862">
            <v>862</v>
          </cell>
        </row>
        <row r="863">
          <cell r="A863">
            <v>863</v>
          </cell>
        </row>
        <row r="864">
          <cell r="A864">
            <v>864</v>
          </cell>
        </row>
        <row r="865">
          <cell r="A865">
            <v>865</v>
          </cell>
        </row>
        <row r="866">
          <cell r="A866">
            <v>866</v>
          </cell>
        </row>
        <row r="867">
          <cell r="A867">
            <v>867</v>
          </cell>
        </row>
        <row r="868">
          <cell r="A868">
            <v>868</v>
          </cell>
        </row>
        <row r="869">
          <cell r="A869">
            <v>869</v>
          </cell>
        </row>
        <row r="870">
          <cell r="A870">
            <v>870</v>
          </cell>
        </row>
        <row r="871">
          <cell r="A871">
            <v>871</v>
          </cell>
        </row>
        <row r="872">
          <cell r="A872">
            <v>872</v>
          </cell>
        </row>
        <row r="873">
          <cell r="A873">
            <v>873</v>
          </cell>
        </row>
        <row r="874">
          <cell r="A874">
            <v>874</v>
          </cell>
        </row>
        <row r="875">
          <cell r="A875">
            <v>875</v>
          </cell>
        </row>
        <row r="876">
          <cell r="A876">
            <v>876</v>
          </cell>
        </row>
        <row r="877">
          <cell r="A877">
            <v>877</v>
          </cell>
        </row>
        <row r="878">
          <cell r="A878">
            <v>878</v>
          </cell>
        </row>
        <row r="879">
          <cell r="A879">
            <v>879</v>
          </cell>
        </row>
        <row r="880">
          <cell r="A880">
            <v>880</v>
          </cell>
        </row>
        <row r="881">
          <cell r="A881">
            <v>881</v>
          </cell>
        </row>
        <row r="882">
          <cell r="A882">
            <v>882</v>
          </cell>
        </row>
        <row r="883">
          <cell r="A883">
            <v>883</v>
          </cell>
        </row>
        <row r="884">
          <cell r="A884">
            <v>884</v>
          </cell>
        </row>
        <row r="885">
          <cell r="A885">
            <v>885</v>
          </cell>
        </row>
        <row r="886">
          <cell r="A886">
            <v>886</v>
          </cell>
        </row>
        <row r="887">
          <cell r="A887">
            <v>887</v>
          </cell>
        </row>
        <row r="888">
          <cell r="A888">
            <v>888</v>
          </cell>
        </row>
        <row r="889">
          <cell r="A889">
            <v>889</v>
          </cell>
        </row>
        <row r="890">
          <cell r="A890">
            <v>890</v>
          </cell>
        </row>
        <row r="891">
          <cell r="A891">
            <v>891</v>
          </cell>
        </row>
        <row r="892">
          <cell r="A892">
            <v>892</v>
          </cell>
        </row>
        <row r="893">
          <cell r="A893">
            <v>893</v>
          </cell>
        </row>
        <row r="894">
          <cell r="A894">
            <v>894</v>
          </cell>
        </row>
        <row r="895">
          <cell r="A895">
            <v>895</v>
          </cell>
        </row>
        <row r="896">
          <cell r="A896">
            <v>896</v>
          </cell>
        </row>
        <row r="897">
          <cell r="A897">
            <v>897</v>
          </cell>
        </row>
        <row r="898">
          <cell r="A898">
            <v>898</v>
          </cell>
        </row>
        <row r="899">
          <cell r="A899">
            <v>899</v>
          </cell>
        </row>
        <row r="900">
          <cell r="A900">
            <v>900</v>
          </cell>
        </row>
        <row r="901">
          <cell r="A901">
            <v>901</v>
          </cell>
        </row>
        <row r="902">
          <cell r="A902">
            <v>902</v>
          </cell>
        </row>
        <row r="903">
          <cell r="A903">
            <v>903</v>
          </cell>
        </row>
        <row r="904">
          <cell r="A904">
            <v>904</v>
          </cell>
        </row>
        <row r="905">
          <cell r="A905">
            <v>905</v>
          </cell>
        </row>
        <row r="906">
          <cell r="A906">
            <v>906</v>
          </cell>
        </row>
        <row r="907">
          <cell r="A907">
            <v>907</v>
          </cell>
        </row>
        <row r="908">
          <cell r="A908">
            <v>908</v>
          </cell>
        </row>
        <row r="909">
          <cell r="A909">
            <v>909</v>
          </cell>
        </row>
        <row r="910">
          <cell r="A910">
            <v>910</v>
          </cell>
        </row>
        <row r="911">
          <cell r="A911">
            <v>911</v>
          </cell>
        </row>
        <row r="912">
          <cell r="A912">
            <v>912</v>
          </cell>
        </row>
        <row r="913">
          <cell r="A913">
            <v>913</v>
          </cell>
        </row>
        <row r="914">
          <cell r="A914">
            <v>914</v>
          </cell>
        </row>
        <row r="915">
          <cell r="A915">
            <v>915</v>
          </cell>
        </row>
        <row r="916">
          <cell r="A916">
            <v>916</v>
          </cell>
        </row>
        <row r="917">
          <cell r="A917">
            <v>917</v>
          </cell>
        </row>
        <row r="918">
          <cell r="A918">
            <v>918</v>
          </cell>
        </row>
        <row r="919">
          <cell r="A919">
            <v>919</v>
          </cell>
        </row>
        <row r="920">
          <cell r="A920">
            <v>920</v>
          </cell>
        </row>
        <row r="921">
          <cell r="A921">
            <v>921</v>
          </cell>
        </row>
        <row r="922">
          <cell r="A922">
            <v>922</v>
          </cell>
        </row>
        <row r="923">
          <cell r="A923">
            <v>923</v>
          </cell>
        </row>
        <row r="924">
          <cell r="A924">
            <v>924</v>
          </cell>
        </row>
        <row r="925">
          <cell r="A925">
            <v>925</v>
          </cell>
        </row>
        <row r="926">
          <cell r="A926">
            <v>926</v>
          </cell>
        </row>
        <row r="927">
          <cell r="A927">
            <v>927</v>
          </cell>
        </row>
        <row r="928">
          <cell r="A928">
            <v>928</v>
          </cell>
        </row>
        <row r="929">
          <cell r="A929">
            <v>929</v>
          </cell>
        </row>
        <row r="930">
          <cell r="A930">
            <v>930</v>
          </cell>
        </row>
        <row r="931">
          <cell r="A931">
            <v>931</v>
          </cell>
        </row>
        <row r="932">
          <cell r="A932">
            <v>932</v>
          </cell>
        </row>
        <row r="933">
          <cell r="A933">
            <v>933</v>
          </cell>
        </row>
        <row r="934">
          <cell r="A934">
            <v>934</v>
          </cell>
        </row>
        <row r="935">
          <cell r="A935">
            <v>935</v>
          </cell>
        </row>
        <row r="936">
          <cell r="A936">
            <v>936</v>
          </cell>
        </row>
        <row r="937">
          <cell r="A937">
            <v>937</v>
          </cell>
        </row>
        <row r="938">
          <cell r="A938">
            <v>938</v>
          </cell>
        </row>
        <row r="939">
          <cell r="A939">
            <v>939</v>
          </cell>
        </row>
        <row r="940">
          <cell r="A940">
            <v>940</v>
          </cell>
        </row>
        <row r="941">
          <cell r="A941">
            <v>941</v>
          </cell>
        </row>
        <row r="942">
          <cell r="A942">
            <v>942</v>
          </cell>
        </row>
        <row r="943">
          <cell r="A943">
            <v>943</v>
          </cell>
        </row>
        <row r="944">
          <cell r="A944">
            <v>944</v>
          </cell>
        </row>
        <row r="945">
          <cell r="A945">
            <v>945</v>
          </cell>
        </row>
        <row r="946">
          <cell r="A946">
            <v>946</v>
          </cell>
        </row>
        <row r="947">
          <cell r="A947">
            <v>947</v>
          </cell>
        </row>
        <row r="948">
          <cell r="A948">
            <v>948</v>
          </cell>
        </row>
        <row r="949">
          <cell r="A949">
            <v>949</v>
          </cell>
        </row>
        <row r="950">
          <cell r="A950">
            <v>950</v>
          </cell>
        </row>
        <row r="951">
          <cell r="A951">
            <v>951</v>
          </cell>
        </row>
        <row r="952">
          <cell r="A952">
            <v>952</v>
          </cell>
        </row>
        <row r="953">
          <cell r="A953">
            <v>953</v>
          </cell>
        </row>
        <row r="954">
          <cell r="A954">
            <v>954</v>
          </cell>
        </row>
        <row r="955">
          <cell r="A955">
            <v>955</v>
          </cell>
        </row>
        <row r="956">
          <cell r="A956">
            <v>956</v>
          </cell>
        </row>
        <row r="957">
          <cell r="A957">
            <v>957</v>
          </cell>
        </row>
        <row r="958">
          <cell r="A958">
            <v>958</v>
          </cell>
        </row>
        <row r="959">
          <cell r="A959">
            <v>959</v>
          </cell>
        </row>
        <row r="960">
          <cell r="A960">
            <v>960</v>
          </cell>
        </row>
        <row r="961">
          <cell r="A961">
            <v>961</v>
          </cell>
        </row>
        <row r="962">
          <cell r="A962">
            <v>962</v>
          </cell>
        </row>
        <row r="963">
          <cell r="A963">
            <v>963</v>
          </cell>
        </row>
        <row r="964">
          <cell r="A964">
            <v>964</v>
          </cell>
        </row>
        <row r="965">
          <cell r="A965">
            <v>965</v>
          </cell>
        </row>
        <row r="966">
          <cell r="A966">
            <v>966</v>
          </cell>
        </row>
        <row r="967">
          <cell r="A967">
            <v>967</v>
          </cell>
        </row>
        <row r="968">
          <cell r="A968">
            <v>968</v>
          </cell>
        </row>
        <row r="969">
          <cell r="A969">
            <v>969</v>
          </cell>
        </row>
        <row r="970">
          <cell r="A970">
            <v>970</v>
          </cell>
        </row>
        <row r="971">
          <cell r="A971">
            <v>971</v>
          </cell>
        </row>
        <row r="972">
          <cell r="A972">
            <v>972</v>
          </cell>
        </row>
        <row r="973">
          <cell r="A973">
            <v>973</v>
          </cell>
        </row>
        <row r="974">
          <cell r="A974">
            <v>974</v>
          </cell>
        </row>
        <row r="975">
          <cell r="A975">
            <v>975</v>
          </cell>
        </row>
        <row r="976">
          <cell r="A976">
            <v>976</v>
          </cell>
        </row>
        <row r="977">
          <cell r="A977">
            <v>977</v>
          </cell>
        </row>
        <row r="978">
          <cell r="A978">
            <v>978</v>
          </cell>
        </row>
        <row r="979">
          <cell r="A979">
            <v>979</v>
          </cell>
        </row>
        <row r="980">
          <cell r="A980">
            <v>980</v>
          </cell>
        </row>
        <row r="981">
          <cell r="A981">
            <v>981</v>
          </cell>
        </row>
        <row r="982">
          <cell r="A982">
            <v>982</v>
          </cell>
        </row>
        <row r="983">
          <cell r="A983">
            <v>983</v>
          </cell>
        </row>
        <row r="984">
          <cell r="A984">
            <v>984</v>
          </cell>
        </row>
        <row r="985">
          <cell r="A985">
            <v>985</v>
          </cell>
        </row>
        <row r="986">
          <cell r="A986">
            <v>986</v>
          </cell>
        </row>
        <row r="987">
          <cell r="A987">
            <v>987</v>
          </cell>
        </row>
        <row r="988">
          <cell r="A988">
            <v>988</v>
          </cell>
        </row>
        <row r="989">
          <cell r="A989">
            <v>989</v>
          </cell>
        </row>
        <row r="990">
          <cell r="A990">
            <v>990</v>
          </cell>
        </row>
        <row r="991">
          <cell r="A991">
            <v>991</v>
          </cell>
        </row>
        <row r="992">
          <cell r="A992">
            <v>992</v>
          </cell>
        </row>
        <row r="993">
          <cell r="A993">
            <v>993</v>
          </cell>
        </row>
        <row r="994">
          <cell r="A994">
            <v>994</v>
          </cell>
        </row>
        <row r="995">
          <cell r="A995">
            <v>995</v>
          </cell>
        </row>
        <row r="996">
          <cell r="A996">
            <v>996</v>
          </cell>
        </row>
        <row r="997">
          <cell r="A997">
            <v>997</v>
          </cell>
        </row>
        <row r="998">
          <cell r="A998">
            <v>998</v>
          </cell>
        </row>
        <row r="999">
          <cell r="A999">
            <v>999</v>
          </cell>
        </row>
        <row r="1000">
          <cell r="A1000">
            <v>1000</v>
          </cell>
        </row>
        <row r="1001">
          <cell r="A1001">
            <v>1001</v>
          </cell>
        </row>
        <row r="1002">
          <cell r="A1002">
            <v>1002</v>
          </cell>
        </row>
        <row r="1003">
          <cell r="A1003">
            <v>1003</v>
          </cell>
        </row>
        <row r="1004">
          <cell r="A1004">
            <v>1004</v>
          </cell>
        </row>
        <row r="1005">
          <cell r="A1005">
            <v>1005</v>
          </cell>
        </row>
        <row r="1006">
          <cell r="A1006">
            <v>1006</v>
          </cell>
        </row>
        <row r="1007">
          <cell r="A1007">
            <v>1007</v>
          </cell>
        </row>
        <row r="1008">
          <cell r="A1008">
            <v>1008</v>
          </cell>
        </row>
        <row r="1009">
          <cell r="A1009">
            <v>1009</v>
          </cell>
        </row>
        <row r="1010">
          <cell r="A1010">
            <v>1010</v>
          </cell>
        </row>
        <row r="1011">
          <cell r="A1011">
            <v>1011</v>
          </cell>
        </row>
        <row r="1012">
          <cell r="A1012">
            <v>1012</v>
          </cell>
        </row>
        <row r="1013">
          <cell r="A1013">
            <v>1013</v>
          </cell>
        </row>
        <row r="1014">
          <cell r="A1014">
            <v>1014</v>
          </cell>
        </row>
        <row r="1015">
          <cell r="A1015">
            <v>1015</v>
          </cell>
        </row>
        <row r="1016">
          <cell r="A1016">
            <v>1016</v>
          </cell>
        </row>
        <row r="1017">
          <cell r="A1017">
            <v>1017</v>
          </cell>
        </row>
        <row r="1018">
          <cell r="A1018">
            <v>1018</v>
          </cell>
        </row>
        <row r="1019">
          <cell r="A1019">
            <v>1019</v>
          </cell>
        </row>
        <row r="1020">
          <cell r="A1020">
            <v>1020</v>
          </cell>
        </row>
        <row r="1021">
          <cell r="A1021">
            <v>1021</v>
          </cell>
        </row>
        <row r="1022">
          <cell r="A1022">
            <v>1022</v>
          </cell>
        </row>
        <row r="1023">
          <cell r="A1023">
            <v>1023</v>
          </cell>
        </row>
        <row r="1024">
          <cell r="A1024">
            <v>1024</v>
          </cell>
        </row>
        <row r="1025">
          <cell r="A1025">
            <v>1025</v>
          </cell>
        </row>
        <row r="1026">
          <cell r="A1026">
            <v>1026</v>
          </cell>
        </row>
        <row r="1027">
          <cell r="A1027">
            <v>1027</v>
          </cell>
        </row>
        <row r="1028">
          <cell r="A1028">
            <v>1028</v>
          </cell>
        </row>
        <row r="1029">
          <cell r="A1029">
            <v>1029</v>
          </cell>
        </row>
        <row r="1030">
          <cell r="A1030">
            <v>1030</v>
          </cell>
        </row>
        <row r="1031">
          <cell r="A1031">
            <v>1031</v>
          </cell>
        </row>
        <row r="1032">
          <cell r="A1032">
            <v>1032</v>
          </cell>
        </row>
        <row r="1033">
          <cell r="A1033">
            <v>1033</v>
          </cell>
        </row>
        <row r="1034">
          <cell r="A1034">
            <v>1034</v>
          </cell>
        </row>
        <row r="1035">
          <cell r="A1035">
            <v>1035</v>
          </cell>
        </row>
        <row r="1036">
          <cell r="A1036">
            <v>1036</v>
          </cell>
        </row>
        <row r="1037">
          <cell r="A1037">
            <v>1037</v>
          </cell>
        </row>
        <row r="1038">
          <cell r="A1038">
            <v>1038</v>
          </cell>
        </row>
        <row r="1039">
          <cell r="A1039">
            <v>1039</v>
          </cell>
        </row>
        <row r="1040">
          <cell r="A1040">
            <v>1040</v>
          </cell>
        </row>
        <row r="1041">
          <cell r="A1041">
            <v>1041</v>
          </cell>
        </row>
        <row r="1042">
          <cell r="A1042">
            <v>1042</v>
          </cell>
        </row>
        <row r="1043">
          <cell r="A1043">
            <v>1043</v>
          </cell>
        </row>
        <row r="1044">
          <cell r="A1044">
            <v>1044</v>
          </cell>
        </row>
        <row r="1045">
          <cell r="A1045">
            <v>1045</v>
          </cell>
        </row>
        <row r="1046">
          <cell r="A1046">
            <v>1046</v>
          </cell>
        </row>
        <row r="1047">
          <cell r="A1047">
            <v>1047</v>
          </cell>
        </row>
        <row r="1048">
          <cell r="A1048">
            <v>1048</v>
          </cell>
        </row>
        <row r="1049">
          <cell r="A1049">
            <v>1049</v>
          </cell>
        </row>
        <row r="1050">
          <cell r="A1050">
            <v>1050</v>
          </cell>
        </row>
        <row r="1051">
          <cell r="A1051">
            <v>1051</v>
          </cell>
        </row>
        <row r="1052">
          <cell r="A1052">
            <v>1052</v>
          </cell>
        </row>
        <row r="1053">
          <cell r="A1053">
            <v>1053</v>
          </cell>
        </row>
        <row r="1054">
          <cell r="A1054">
            <v>1054</v>
          </cell>
        </row>
        <row r="1055">
          <cell r="A1055">
            <v>1055</v>
          </cell>
        </row>
        <row r="1056">
          <cell r="A1056">
            <v>1056</v>
          </cell>
        </row>
        <row r="1057">
          <cell r="A1057">
            <v>1057</v>
          </cell>
        </row>
        <row r="1058">
          <cell r="A1058">
            <v>1058</v>
          </cell>
        </row>
        <row r="1059">
          <cell r="A1059">
            <v>1059</v>
          </cell>
        </row>
        <row r="1060">
          <cell r="A1060">
            <v>1060</v>
          </cell>
        </row>
        <row r="1061">
          <cell r="A1061">
            <v>1061</v>
          </cell>
        </row>
        <row r="1062">
          <cell r="A1062">
            <v>1062</v>
          </cell>
        </row>
        <row r="1063">
          <cell r="A1063">
            <v>1063</v>
          </cell>
        </row>
        <row r="1064">
          <cell r="A1064">
            <v>1064</v>
          </cell>
        </row>
        <row r="1065">
          <cell r="A1065">
            <v>1065</v>
          </cell>
        </row>
        <row r="1066">
          <cell r="A1066">
            <v>1066</v>
          </cell>
        </row>
        <row r="1067">
          <cell r="A1067">
            <v>1067</v>
          </cell>
        </row>
        <row r="1068">
          <cell r="A1068">
            <v>1068</v>
          </cell>
        </row>
        <row r="1069">
          <cell r="A1069">
            <v>1069</v>
          </cell>
        </row>
        <row r="1070">
          <cell r="A1070">
            <v>1070</v>
          </cell>
        </row>
        <row r="1071">
          <cell r="A1071">
            <v>1071</v>
          </cell>
        </row>
        <row r="1072">
          <cell r="A1072">
            <v>1072</v>
          </cell>
        </row>
        <row r="1073">
          <cell r="A1073">
            <v>1073</v>
          </cell>
        </row>
        <row r="1074">
          <cell r="A1074">
            <v>1074</v>
          </cell>
        </row>
        <row r="1075">
          <cell r="A1075">
            <v>1075</v>
          </cell>
        </row>
        <row r="1076">
          <cell r="A1076">
            <v>1076</v>
          </cell>
        </row>
        <row r="1077">
          <cell r="A1077">
            <v>1077</v>
          </cell>
        </row>
        <row r="1078">
          <cell r="A1078">
            <v>1078</v>
          </cell>
        </row>
        <row r="1079">
          <cell r="A1079">
            <v>1079</v>
          </cell>
        </row>
        <row r="1080">
          <cell r="A1080">
            <v>1080</v>
          </cell>
        </row>
        <row r="1081">
          <cell r="A1081">
            <v>1081</v>
          </cell>
        </row>
        <row r="1082">
          <cell r="A1082">
            <v>1082</v>
          </cell>
        </row>
        <row r="1083">
          <cell r="A1083">
            <v>1083</v>
          </cell>
        </row>
        <row r="1084">
          <cell r="A1084">
            <v>1084</v>
          </cell>
        </row>
        <row r="1085">
          <cell r="A1085">
            <v>1085</v>
          </cell>
        </row>
        <row r="1086">
          <cell r="A1086">
            <v>1086</v>
          </cell>
        </row>
        <row r="1087">
          <cell r="A1087">
            <v>1087</v>
          </cell>
        </row>
        <row r="1088">
          <cell r="A1088">
            <v>1088</v>
          </cell>
        </row>
        <row r="1089">
          <cell r="A1089">
            <v>1089</v>
          </cell>
        </row>
        <row r="1090">
          <cell r="A1090">
            <v>1090</v>
          </cell>
        </row>
        <row r="1091">
          <cell r="A1091">
            <v>1091</v>
          </cell>
        </row>
        <row r="1092">
          <cell r="A1092">
            <v>1092</v>
          </cell>
        </row>
        <row r="1093">
          <cell r="A1093">
            <v>1093</v>
          </cell>
        </row>
        <row r="1094">
          <cell r="A1094">
            <v>1094</v>
          </cell>
        </row>
        <row r="1095">
          <cell r="A1095">
            <v>1095</v>
          </cell>
        </row>
        <row r="1096">
          <cell r="A1096">
            <v>1096</v>
          </cell>
        </row>
        <row r="1097">
          <cell r="A1097">
            <v>1097</v>
          </cell>
        </row>
        <row r="1098">
          <cell r="A1098">
            <v>1098</v>
          </cell>
        </row>
        <row r="1099">
          <cell r="A1099">
            <v>1099</v>
          </cell>
        </row>
        <row r="1100">
          <cell r="A1100">
            <v>1100</v>
          </cell>
        </row>
        <row r="1101">
          <cell r="A1101">
            <v>1101</v>
          </cell>
        </row>
        <row r="1102">
          <cell r="A1102">
            <v>1102</v>
          </cell>
        </row>
        <row r="1103">
          <cell r="A1103">
            <v>1103</v>
          </cell>
        </row>
        <row r="1104">
          <cell r="A1104">
            <v>1104</v>
          </cell>
        </row>
        <row r="1105">
          <cell r="A1105">
            <v>1105</v>
          </cell>
        </row>
        <row r="1106">
          <cell r="A1106">
            <v>1106</v>
          </cell>
        </row>
        <row r="1107">
          <cell r="A1107">
            <v>1107</v>
          </cell>
        </row>
        <row r="1108">
          <cell r="A1108">
            <v>1108</v>
          </cell>
        </row>
        <row r="1109">
          <cell r="A1109">
            <v>1109</v>
          </cell>
        </row>
        <row r="1110">
          <cell r="A1110">
            <v>1110</v>
          </cell>
        </row>
        <row r="1111">
          <cell r="A1111">
            <v>1111</v>
          </cell>
        </row>
        <row r="1112">
          <cell r="A1112">
            <v>1112</v>
          </cell>
        </row>
        <row r="1113">
          <cell r="A1113">
            <v>1113</v>
          </cell>
        </row>
        <row r="1114">
          <cell r="A1114">
            <v>1114</v>
          </cell>
        </row>
        <row r="1115">
          <cell r="A1115">
            <v>1115</v>
          </cell>
        </row>
        <row r="1116">
          <cell r="A1116">
            <v>1116</v>
          </cell>
        </row>
        <row r="1117">
          <cell r="A1117">
            <v>1117</v>
          </cell>
        </row>
        <row r="1118">
          <cell r="A1118">
            <v>1118</v>
          </cell>
        </row>
        <row r="1119">
          <cell r="A1119">
            <v>1119</v>
          </cell>
        </row>
        <row r="1120">
          <cell r="A1120">
            <v>1120</v>
          </cell>
        </row>
        <row r="1121">
          <cell r="A1121">
            <v>1121</v>
          </cell>
        </row>
        <row r="1122">
          <cell r="A1122">
            <v>1122</v>
          </cell>
        </row>
        <row r="1123">
          <cell r="A1123">
            <v>1123</v>
          </cell>
        </row>
        <row r="1124">
          <cell r="A1124">
            <v>1124</v>
          </cell>
        </row>
        <row r="1125">
          <cell r="A1125">
            <v>1125</v>
          </cell>
        </row>
        <row r="1126">
          <cell r="A1126">
            <v>1126</v>
          </cell>
        </row>
        <row r="1127">
          <cell r="A1127">
            <v>1127</v>
          </cell>
        </row>
        <row r="1128">
          <cell r="A1128">
            <v>1128</v>
          </cell>
        </row>
        <row r="1129">
          <cell r="A1129">
            <v>1129</v>
          </cell>
        </row>
        <row r="1130">
          <cell r="A1130">
            <v>1130</v>
          </cell>
        </row>
        <row r="1131">
          <cell r="A1131">
            <v>1131</v>
          </cell>
        </row>
        <row r="1132">
          <cell r="A1132">
            <v>1132</v>
          </cell>
        </row>
        <row r="1133">
          <cell r="A1133">
            <v>1133</v>
          </cell>
        </row>
        <row r="1134">
          <cell r="A1134">
            <v>1134</v>
          </cell>
        </row>
        <row r="1135">
          <cell r="A1135">
            <v>1135</v>
          </cell>
        </row>
        <row r="1136">
          <cell r="A1136">
            <v>1136</v>
          </cell>
        </row>
        <row r="1137">
          <cell r="A1137">
            <v>1137</v>
          </cell>
        </row>
        <row r="1138">
          <cell r="A1138">
            <v>1138</v>
          </cell>
        </row>
        <row r="1139">
          <cell r="A1139">
            <v>1139</v>
          </cell>
        </row>
        <row r="1140">
          <cell r="A1140">
            <v>1140</v>
          </cell>
        </row>
        <row r="1141">
          <cell r="A1141">
            <v>1141</v>
          </cell>
        </row>
        <row r="1142">
          <cell r="A1142">
            <v>1142</v>
          </cell>
        </row>
        <row r="1143">
          <cell r="A1143">
            <v>1143</v>
          </cell>
        </row>
        <row r="1144">
          <cell r="A1144">
            <v>1144</v>
          </cell>
        </row>
        <row r="1145">
          <cell r="A1145">
            <v>1145</v>
          </cell>
        </row>
        <row r="1146">
          <cell r="A1146">
            <v>1146</v>
          </cell>
        </row>
        <row r="1147">
          <cell r="A1147">
            <v>1147</v>
          </cell>
        </row>
        <row r="1148">
          <cell r="A1148">
            <v>1148</v>
          </cell>
        </row>
        <row r="1149">
          <cell r="A1149">
            <v>1149</v>
          </cell>
        </row>
        <row r="1150">
          <cell r="A1150">
            <v>1150</v>
          </cell>
        </row>
        <row r="1151">
          <cell r="A1151">
            <v>1151</v>
          </cell>
        </row>
        <row r="1152">
          <cell r="A1152">
            <v>1152</v>
          </cell>
        </row>
        <row r="1153">
          <cell r="A1153">
            <v>1153</v>
          </cell>
        </row>
        <row r="1154">
          <cell r="A1154">
            <v>1154</v>
          </cell>
        </row>
        <row r="1155">
          <cell r="A1155">
            <v>1155</v>
          </cell>
        </row>
        <row r="1156">
          <cell r="A1156">
            <v>1156</v>
          </cell>
        </row>
        <row r="1157">
          <cell r="A1157">
            <v>1157</v>
          </cell>
        </row>
        <row r="1158">
          <cell r="A1158">
            <v>1158</v>
          </cell>
        </row>
        <row r="1159">
          <cell r="A1159">
            <v>1159</v>
          </cell>
        </row>
        <row r="1160">
          <cell r="A1160">
            <v>1160</v>
          </cell>
        </row>
        <row r="1161">
          <cell r="A1161">
            <v>1161</v>
          </cell>
        </row>
        <row r="1162">
          <cell r="A1162">
            <v>1162</v>
          </cell>
        </row>
        <row r="1163">
          <cell r="A1163">
            <v>1163</v>
          </cell>
        </row>
        <row r="1164">
          <cell r="A1164">
            <v>1164</v>
          </cell>
        </row>
        <row r="1165">
          <cell r="A1165">
            <v>1165</v>
          </cell>
        </row>
        <row r="1166">
          <cell r="A1166">
            <v>1166</v>
          </cell>
        </row>
        <row r="1167">
          <cell r="A1167">
            <v>1167</v>
          </cell>
        </row>
        <row r="1168">
          <cell r="A1168">
            <v>1168</v>
          </cell>
        </row>
        <row r="1169">
          <cell r="A1169">
            <v>1169</v>
          </cell>
        </row>
        <row r="1170">
          <cell r="A1170">
            <v>1170</v>
          </cell>
        </row>
        <row r="1171">
          <cell r="A1171">
            <v>1171</v>
          </cell>
        </row>
        <row r="1172">
          <cell r="A1172">
            <v>1172</v>
          </cell>
        </row>
        <row r="1173">
          <cell r="A1173">
            <v>1173</v>
          </cell>
        </row>
        <row r="1174">
          <cell r="A1174">
            <v>1174</v>
          </cell>
        </row>
        <row r="1175">
          <cell r="A1175">
            <v>1175</v>
          </cell>
        </row>
        <row r="1176">
          <cell r="A1176">
            <v>1176</v>
          </cell>
        </row>
        <row r="1177">
          <cell r="A1177">
            <v>1177</v>
          </cell>
        </row>
        <row r="1178">
          <cell r="A1178">
            <v>1178</v>
          </cell>
        </row>
        <row r="1179">
          <cell r="A1179">
            <v>1179</v>
          </cell>
        </row>
        <row r="1180">
          <cell r="A1180">
            <v>1180</v>
          </cell>
        </row>
        <row r="1181">
          <cell r="A1181">
            <v>1181</v>
          </cell>
        </row>
        <row r="1182">
          <cell r="A1182">
            <v>1182</v>
          </cell>
        </row>
        <row r="1183">
          <cell r="A1183">
            <v>1183</v>
          </cell>
        </row>
        <row r="1184">
          <cell r="A1184">
            <v>1184</v>
          </cell>
        </row>
        <row r="1185">
          <cell r="A1185">
            <v>1185</v>
          </cell>
        </row>
        <row r="1186">
          <cell r="A1186">
            <v>1186</v>
          </cell>
        </row>
        <row r="1187">
          <cell r="A1187">
            <v>1187</v>
          </cell>
        </row>
        <row r="1188">
          <cell r="A1188">
            <v>1188</v>
          </cell>
        </row>
        <row r="1189">
          <cell r="A1189">
            <v>1189</v>
          </cell>
        </row>
        <row r="1190">
          <cell r="A1190">
            <v>1190</v>
          </cell>
        </row>
        <row r="1191">
          <cell r="A1191">
            <v>1191</v>
          </cell>
        </row>
        <row r="1192">
          <cell r="A1192">
            <v>1192</v>
          </cell>
        </row>
        <row r="1193">
          <cell r="A1193">
            <v>1193</v>
          </cell>
        </row>
        <row r="1194">
          <cell r="A1194">
            <v>1194</v>
          </cell>
        </row>
        <row r="1195">
          <cell r="A1195">
            <v>1195</v>
          </cell>
        </row>
        <row r="1196">
          <cell r="A1196">
            <v>1196</v>
          </cell>
        </row>
        <row r="1197">
          <cell r="A1197">
            <v>1197</v>
          </cell>
        </row>
        <row r="1198">
          <cell r="A1198">
            <v>1198</v>
          </cell>
        </row>
        <row r="1199">
          <cell r="A1199">
            <v>1199</v>
          </cell>
        </row>
        <row r="1200">
          <cell r="A1200">
            <v>1200</v>
          </cell>
        </row>
        <row r="1201">
          <cell r="A1201">
            <v>1201</v>
          </cell>
        </row>
        <row r="1202">
          <cell r="A1202">
            <v>1202</v>
          </cell>
        </row>
        <row r="1203">
          <cell r="A1203">
            <v>1203</v>
          </cell>
        </row>
        <row r="1204">
          <cell r="A1204">
            <v>1204</v>
          </cell>
        </row>
        <row r="1205">
          <cell r="A1205">
            <v>1205</v>
          </cell>
        </row>
        <row r="1206">
          <cell r="A1206">
            <v>1206</v>
          </cell>
        </row>
        <row r="1207">
          <cell r="A1207">
            <v>1207</v>
          </cell>
        </row>
        <row r="1208">
          <cell r="A1208">
            <v>1208</v>
          </cell>
        </row>
        <row r="1209">
          <cell r="A1209">
            <v>1209</v>
          </cell>
        </row>
        <row r="1210">
          <cell r="A1210">
            <v>1210</v>
          </cell>
        </row>
        <row r="1211">
          <cell r="A1211">
            <v>1211</v>
          </cell>
        </row>
        <row r="1212">
          <cell r="A1212">
            <v>1212</v>
          </cell>
        </row>
        <row r="1213">
          <cell r="A1213">
            <v>1213</v>
          </cell>
        </row>
        <row r="1214">
          <cell r="A1214">
            <v>1214</v>
          </cell>
        </row>
        <row r="1215">
          <cell r="A1215">
            <v>1215</v>
          </cell>
        </row>
        <row r="1216">
          <cell r="A1216">
            <v>1216</v>
          </cell>
        </row>
        <row r="1217">
          <cell r="A1217">
            <v>1217</v>
          </cell>
        </row>
        <row r="1218">
          <cell r="A1218">
            <v>1218</v>
          </cell>
        </row>
        <row r="1219">
          <cell r="A1219">
            <v>1219</v>
          </cell>
        </row>
        <row r="1220">
          <cell r="A1220">
            <v>1220</v>
          </cell>
        </row>
        <row r="1221">
          <cell r="A1221">
            <v>1221</v>
          </cell>
        </row>
        <row r="1222">
          <cell r="A1222">
            <v>1222</v>
          </cell>
        </row>
        <row r="1223">
          <cell r="A1223">
            <v>1223</v>
          </cell>
        </row>
        <row r="1224">
          <cell r="A1224">
            <v>1224</v>
          </cell>
        </row>
        <row r="1225">
          <cell r="A1225">
            <v>1225</v>
          </cell>
        </row>
        <row r="1226">
          <cell r="A1226">
            <v>1226</v>
          </cell>
        </row>
        <row r="1227">
          <cell r="A1227">
            <v>1227</v>
          </cell>
        </row>
        <row r="1228">
          <cell r="A1228">
            <v>1228</v>
          </cell>
        </row>
        <row r="1229">
          <cell r="A1229">
            <v>1229</v>
          </cell>
        </row>
        <row r="1230">
          <cell r="A1230">
            <v>1230</v>
          </cell>
        </row>
        <row r="1231">
          <cell r="A1231">
            <v>1231</v>
          </cell>
        </row>
        <row r="1232">
          <cell r="A1232">
            <v>1232</v>
          </cell>
        </row>
        <row r="1233">
          <cell r="A1233">
            <v>1233</v>
          </cell>
        </row>
        <row r="1234">
          <cell r="A1234">
            <v>1234</v>
          </cell>
        </row>
        <row r="1235">
          <cell r="A1235">
            <v>1235</v>
          </cell>
        </row>
        <row r="1236">
          <cell r="A1236">
            <v>1236</v>
          </cell>
        </row>
        <row r="1237">
          <cell r="A1237">
            <v>1237</v>
          </cell>
        </row>
        <row r="1238">
          <cell r="A1238">
            <v>1238</v>
          </cell>
        </row>
        <row r="1239">
          <cell r="A1239">
            <v>1239</v>
          </cell>
        </row>
        <row r="1240">
          <cell r="A1240">
            <v>1240</v>
          </cell>
        </row>
        <row r="1241">
          <cell r="A1241">
            <v>1241</v>
          </cell>
        </row>
        <row r="1242">
          <cell r="A1242">
            <v>1242</v>
          </cell>
        </row>
        <row r="1243">
          <cell r="A1243">
            <v>1243</v>
          </cell>
        </row>
        <row r="1244">
          <cell r="A1244">
            <v>1244</v>
          </cell>
        </row>
        <row r="1245">
          <cell r="A1245">
            <v>1245</v>
          </cell>
        </row>
        <row r="1246">
          <cell r="A1246">
            <v>1246</v>
          </cell>
        </row>
        <row r="1247">
          <cell r="A1247">
            <v>1247</v>
          </cell>
        </row>
        <row r="1248">
          <cell r="A1248">
            <v>1248</v>
          </cell>
        </row>
        <row r="1249">
          <cell r="A1249">
            <v>1249</v>
          </cell>
        </row>
        <row r="1250">
          <cell r="A1250">
            <v>1250</v>
          </cell>
        </row>
        <row r="1251">
          <cell r="A1251">
            <v>1251</v>
          </cell>
        </row>
        <row r="1252">
          <cell r="A1252">
            <v>1252</v>
          </cell>
        </row>
        <row r="1253">
          <cell r="A1253">
            <v>1253</v>
          </cell>
        </row>
        <row r="1254">
          <cell r="A1254">
            <v>1254</v>
          </cell>
        </row>
        <row r="1255">
          <cell r="A1255">
            <v>1255</v>
          </cell>
        </row>
        <row r="1256">
          <cell r="A1256">
            <v>1256</v>
          </cell>
        </row>
        <row r="1257">
          <cell r="A1257">
            <v>1257</v>
          </cell>
        </row>
        <row r="1258">
          <cell r="A1258">
            <v>1258</v>
          </cell>
        </row>
        <row r="1259">
          <cell r="A1259">
            <v>1259</v>
          </cell>
        </row>
        <row r="1260">
          <cell r="A1260">
            <v>1260</v>
          </cell>
        </row>
        <row r="1261">
          <cell r="A1261">
            <v>1261</v>
          </cell>
        </row>
        <row r="1262">
          <cell r="A1262">
            <v>1262</v>
          </cell>
        </row>
        <row r="1263">
          <cell r="A1263">
            <v>1263</v>
          </cell>
        </row>
        <row r="1264">
          <cell r="A1264">
            <v>1264</v>
          </cell>
        </row>
        <row r="1265">
          <cell r="A1265">
            <v>1265</v>
          </cell>
        </row>
        <row r="1266">
          <cell r="A1266">
            <v>1266</v>
          </cell>
        </row>
        <row r="1267">
          <cell r="A1267">
            <v>1267</v>
          </cell>
        </row>
        <row r="1268">
          <cell r="A1268">
            <v>1268</v>
          </cell>
        </row>
        <row r="1269">
          <cell r="A1269">
            <v>1269</v>
          </cell>
        </row>
        <row r="1270">
          <cell r="A1270">
            <v>1270</v>
          </cell>
        </row>
        <row r="1271">
          <cell r="A1271">
            <v>1271</v>
          </cell>
        </row>
        <row r="1272">
          <cell r="A1272">
            <v>1272</v>
          </cell>
        </row>
        <row r="1273">
          <cell r="A1273">
            <v>1273</v>
          </cell>
        </row>
        <row r="1274">
          <cell r="A1274">
            <v>1274</v>
          </cell>
        </row>
        <row r="1275">
          <cell r="A1275">
            <v>1275</v>
          </cell>
        </row>
        <row r="1276">
          <cell r="A1276">
            <v>1276</v>
          </cell>
        </row>
        <row r="1277">
          <cell r="A1277">
            <v>1277</v>
          </cell>
        </row>
        <row r="1278">
          <cell r="A1278">
            <v>1278</v>
          </cell>
        </row>
        <row r="1279">
          <cell r="A1279">
            <v>1279</v>
          </cell>
        </row>
        <row r="1280">
          <cell r="A1280">
            <v>1280</v>
          </cell>
        </row>
        <row r="1281">
          <cell r="A1281">
            <v>1281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 refreshError="1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표"/>
      <sheetName val="단가업체대비표"/>
      <sheetName val="물가대비"/>
      <sheetName val="Sheet1"/>
      <sheetName val="내역서"/>
      <sheetName val="수량산출"/>
      <sheetName val="3BL공동구 수량"/>
      <sheetName val="개요"/>
      <sheetName val="건축내역"/>
      <sheetName val="신우"/>
      <sheetName val="ㅋㅋㅋ"/>
      <sheetName val="N賃率-職"/>
      <sheetName val="20관리비율"/>
      <sheetName val="직재"/>
      <sheetName val="견적990322"/>
      <sheetName val="#REF"/>
      <sheetName val="데이타"/>
      <sheetName val="식재인부"/>
      <sheetName val="정부노임단가"/>
      <sheetName val="변화치수"/>
      <sheetName val="2F 회의실견적(5_14 일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대비표"/>
      <sheetName val="견적대비표"/>
      <sheetName val="내역서"/>
      <sheetName val="PANEL 중량산출"/>
      <sheetName val="중량산출"/>
      <sheetName val="수량산출"/>
      <sheetName val="내역서1999.8최종"/>
      <sheetName val="대치판정"/>
      <sheetName val="일위대가"/>
      <sheetName val="연습"/>
      <sheetName val="신우"/>
      <sheetName val="Sheet2"/>
      <sheetName val="Sheet3"/>
      <sheetName val="직노"/>
      <sheetName val="자재단가표"/>
      <sheetName val="원가계산 (2)"/>
      <sheetName val="일위_파일"/>
      <sheetName val="내역서1"/>
      <sheetName val="과천MAIN"/>
      <sheetName val="화산경계"/>
      <sheetName val="견적서"/>
      <sheetName val="Sheet14"/>
      <sheetName val="Sheet13"/>
      <sheetName val="N賃率-職"/>
      <sheetName val="한일양산"/>
      <sheetName val="인건-측정"/>
      <sheetName val="K-SET1"/>
      <sheetName val="일위"/>
      <sheetName val="환율"/>
      <sheetName val="Sheet1"/>
      <sheetName val="단가산출"/>
      <sheetName val="시화점실행"/>
      <sheetName val="을지"/>
      <sheetName val="일보_생산"/>
      <sheetName val="강교(Sub)"/>
      <sheetName val="제출내역 (2)"/>
      <sheetName val="sw1"/>
      <sheetName val="합천내역"/>
      <sheetName val="내역"/>
      <sheetName val="맨홀"/>
      <sheetName val="공사원가계산서"/>
      <sheetName val="NOMUBI"/>
      <sheetName val="1.수인터널"/>
      <sheetName val="원가계산서"/>
      <sheetName val="약품공급2"/>
      <sheetName val="현장관리비 산출내역"/>
      <sheetName val="01"/>
      <sheetName val="갑지(추정)"/>
      <sheetName val="원본"/>
      <sheetName val="I一般比"/>
      <sheetName val="세부내역서"/>
      <sheetName val="DATA"/>
      <sheetName val="계수시트"/>
      <sheetName val="EL90"/>
      <sheetName val="G.R300경비"/>
      <sheetName val="EQT-ESTN"/>
      <sheetName val="98수문일위"/>
      <sheetName val="몰탈재료산출"/>
      <sheetName val="우수공"/>
      <sheetName val="집계표"/>
      <sheetName val="원본(갑지)"/>
      <sheetName val="수량집계"/>
      <sheetName val="총괄집계표"/>
      <sheetName val="직재"/>
      <sheetName val="노임"/>
      <sheetName val="요율"/>
      <sheetName val="노무"/>
      <sheetName val="__"/>
      <sheetName val="JUCKEYK"/>
      <sheetName val="각형맨홀"/>
      <sheetName val="설비"/>
      <sheetName val="구천"/>
      <sheetName val="일위대가목차"/>
      <sheetName val="도체종-상수표"/>
      <sheetName val="FAX"/>
      <sheetName val="EP0618"/>
      <sheetName val="설계조건"/>
      <sheetName val="내역전기"/>
      <sheetName val="일위목록"/>
      <sheetName val="wall"/>
      <sheetName val="자재단가비교표"/>
      <sheetName val="SP-B1"/>
      <sheetName val="금호"/>
      <sheetName val="T13(P68~72,78)"/>
      <sheetName val="C3"/>
      <sheetName val="양식"/>
      <sheetName val="입고장부 (4)"/>
      <sheetName val="집수정(600-700)"/>
      <sheetName val="J直材4"/>
      <sheetName val="유동표"/>
      <sheetName val="낙찰표"/>
      <sheetName val="교각계산"/>
      <sheetName val="노임단가"/>
      <sheetName val="구조물터파기수량집계"/>
      <sheetName val="측구터파기공수량집계"/>
      <sheetName val="배수공 시멘트 및 골재량 산출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</row>
        <row r="26">
          <cell r="A26">
            <v>26</v>
          </cell>
        </row>
        <row r="27">
          <cell r="A27">
            <v>27</v>
          </cell>
        </row>
        <row r="28">
          <cell r="A28">
            <v>28</v>
          </cell>
        </row>
        <row r="29">
          <cell r="A29">
            <v>29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</row>
        <row r="36">
          <cell r="A36">
            <v>36</v>
          </cell>
        </row>
        <row r="37">
          <cell r="A37">
            <v>37</v>
          </cell>
        </row>
        <row r="38">
          <cell r="A38">
            <v>38</v>
          </cell>
        </row>
        <row r="39">
          <cell r="A39">
            <v>39</v>
          </cell>
        </row>
        <row r="40">
          <cell r="A40">
            <v>40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</row>
        <row r="44">
          <cell r="A44">
            <v>44</v>
          </cell>
        </row>
        <row r="45">
          <cell r="A45">
            <v>45</v>
          </cell>
        </row>
        <row r="46">
          <cell r="A46">
            <v>46</v>
          </cell>
        </row>
        <row r="47">
          <cell r="A47">
            <v>47</v>
          </cell>
        </row>
        <row r="48">
          <cell r="A48">
            <v>48</v>
          </cell>
        </row>
        <row r="49">
          <cell r="A49">
            <v>49</v>
          </cell>
        </row>
        <row r="50">
          <cell r="A50">
            <v>50</v>
          </cell>
        </row>
        <row r="51">
          <cell r="A51">
            <v>51</v>
          </cell>
        </row>
        <row r="52">
          <cell r="A52">
            <v>52</v>
          </cell>
        </row>
        <row r="53">
          <cell r="A53">
            <v>53</v>
          </cell>
        </row>
        <row r="54">
          <cell r="A54">
            <v>54</v>
          </cell>
        </row>
        <row r="55">
          <cell r="A55">
            <v>55</v>
          </cell>
        </row>
        <row r="56">
          <cell r="A56">
            <v>56</v>
          </cell>
        </row>
        <row r="57">
          <cell r="A57">
            <v>57</v>
          </cell>
        </row>
        <row r="58">
          <cell r="A58">
            <v>58</v>
          </cell>
        </row>
        <row r="59">
          <cell r="A59">
            <v>59</v>
          </cell>
        </row>
        <row r="60">
          <cell r="A60">
            <v>60</v>
          </cell>
        </row>
        <row r="61">
          <cell r="A61">
            <v>61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</row>
        <row r="68">
          <cell r="A68">
            <v>68</v>
          </cell>
        </row>
        <row r="69">
          <cell r="A69">
            <v>69</v>
          </cell>
        </row>
        <row r="70">
          <cell r="A70">
            <v>70</v>
          </cell>
        </row>
        <row r="71">
          <cell r="A71">
            <v>71</v>
          </cell>
        </row>
        <row r="72">
          <cell r="A72">
            <v>72</v>
          </cell>
        </row>
        <row r="73">
          <cell r="A73">
            <v>73</v>
          </cell>
        </row>
        <row r="74">
          <cell r="A74">
            <v>74</v>
          </cell>
        </row>
        <row r="75">
          <cell r="A75">
            <v>75</v>
          </cell>
        </row>
        <row r="76">
          <cell r="A76">
            <v>76</v>
          </cell>
        </row>
        <row r="77">
          <cell r="A77">
            <v>77</v>
          </cell>
        </row>
        <row r="78">
          <cell r="A78">
            <v>78</v>
          </cell>
        </row>
        <row r="79">
          <cell r="A79">
            <v>79</v>
          </cell>
        </row>
        <row r="80">
          <cell r="A80">
            <v>80</v>
          </cell>
        </row>
        <row r="81">
          <cell r="A81">
            <v>81</v>
          </cell>
        </row>
        <row r="82">
          <cell r="A82">
            <v>82</v>
          </cell>
        </row>
        <row r="83">
          <cell r="A83">
            <v>83</v>
          </cell>
        </row>
        <row r="84">
          <cell r="A84">
            <v>84</v>
          </cell>
        </row>
        <row r="85">
          <cell r="A85">
            <v>85</v>
          </cell>
        </row>
        <row r="86">
          <cell r="A86">
            <v>86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</row>
        <row r="90">
          <cell r="A90">
            <v>90</v>
          </cell>
        </row>
        <row r="91">
          <cell r="A91">
            <v>91</v>
          </cell>
        </row>
        <row r="92">
          <cell r="A92">
            <v>92</v>
          </cell>
        </row>
        <row r="93">
          <cell r="A93">
            <v>93</v>
          </cell>
        </row>
        <row r="94">
          <cell r="A94">
            <v>94</v>
          </cell>
        </row>
        <row r="95">
          <cell r="A95">
            <v>95</v>
          </cell>
        </row>
        <row r="96">
          <cell r="A96">
            <v>96</v>
          </cell>
        </row>
        <row r="97">
          <cell r="A97">
            <v>97</v>
          </cell>
        </row>
        <row r="98">
          <cell r="A98">
            <v>98</v>
          </cell>
        </row>
        <row r="99">
          <cell r="A99">
            <v>99</v>
          </cell>
        </row>
        <row r="100">
          <cell r="A100">
            <v>100</v>
          </cell>
        </row>
        <row r="101">
          <cell r="A101">
            <v>101</v>
          </cell>
        </row>
        <row r="102">
          <cell r="A102">
            <v>102</v>
          </cell>
        </row>
        <row r="103">
          <cell r="A103">
            <v>103</v>
          </cell>
        </row>
        <row r="104">
          <cell r="A104">
            <v>104</v>
          </cell>
        </row>
        <row r="105">
          <cell r="A105">
            <v>105</v>
          </cell>
        </row>
        <row r="106">
          <cell r="A106">
            <v>106</v>
          </cell>
        </row>
        <row r="107">
          <cell r="A107">
            <v>107</v>
          </cell>
        </row>
        <row r="108">
          <cell r="A108">
            <v>108</v>
          </cell>
        </row>
        <row r="109">
          <cell r="A109">
            <v>109</v>
          </cell>
        </row>
        <row r="110">
          <cell r="A110">
            <v>110</v>
          </cell>
        </row>
        <row r="111">
          <cell r="A111">
            <v>111</v>
          </cell>
        </row>
        <row r="112">
          <cell r="A112">
            <v>112</v>
          </cell>
        </row>
        <row r="113">
          <cell r="A113">
            <v>113</v>
          </cell>
        </row>
        <row r="114">
          <cell r="A114">
            <v>114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  <row r="127">
          <cell r="A127">
            <v>127</v>
          </cell>
        </row>
        <row r="128">
          <cell r="A128">
            <v>128</v>
          </cell>
        </row>
        <row r="129">
          <cell r="A129">
            <v>129</v>
          </cell>
        </row>
        <row r="130">
          <cell r="A130">
            <v>130</v>
          </cell>
        </row>
        <row r="131">
          <cell r="A131">
            <v>131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</row>
        <row r="135">
          <cell r="A135">
            <v>135</v>
          </cell>
        </row>
        <row r="136">
          <cell r="A136">
            <v>136</v>
          </cell>
        </row>
        <row r="137">
          <cell r="A137">
            <v>137</v>
          </cell>
        </row>
        <row r="138">
          <cell r="A138">
            <v>138</v>
          </cell>
        </row>
        <row r="139">
          <cell r="A139">
            <v>139</v>
          </cell>
        </row>
        <row r="140">
          <cell r="A140">
            <v>140</v>
          </cell>
        </row>
        <row r="141">
          <cell r="A141">
            <v>141</v>
          </cell>
        </row>
        <row r="142">
          <cell r="A142">
            <v>142</v>
          </cell>
        </row>
        <row r="143">
          <cell r="A143">
            <v>143</v>
          </cell>
        </row>
        <row r="144">
          <cell r="A144">
            <v>144</v>
          </cell>
        </row>
        <row r="145">
          <cell r="A145">
            <v>145</v>
          </cell>
        </row>
        <row r="146">
          <cell r="A146">
            <v>146</v>
          </cell>
        </row>
        <row r="147">
          <cell r="A147">
            <v>147</v>
          </cell>
        </row>
        <row r="148">
          <cell r="A148">
            <v>148</v>
          </cell>
        </row>
        <row r="149">
          <cell r="A149">
            <v>149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</row>
        <row r="153">
          <cell r="A153">
            <v>153</v>
          </cell>
        </row>
        <row r="154">
          <cell r="A154">
            <v>154</v>
          </cell>
        </row>
        <row r="155">
          <cell r="A155">
            <v>155</v>
          </cell>
        </row>
        <row r="156">
          <cell r="A156">
            <v>156</v>
          </cell>
        </row>
        <row r="157">
          <cell r="A157">
            <v>157</v>
          </cell>
        </row>
        <row r="158">
          <cell r="A158">
            <v>158</v>
          </cell>
        </row>
        <row r="159">
          <cell r="A159">
            <v>159</v>
          </cell>
        </row>
        <row r="160">
          <cell r="A160">
            <v>160</v>
          </cell>
        </row>
        <row r="161">
          <cell r="A161">
            <v>161</v>
          </cell>
        </row>
        <row r="162">
          <cell r="A162">
            <v>162</v>
          </cell>
        </row>
        <row r="163">
          <cell r="A163">
            <v>163</v>
          </cell>
        </row>
        <row r="164">
          <cell r="A164">
            <v>164</v>
          </cell>
        </row>
        <row r="165">
          <cell r="A165">
            <v>165</v>
          </cell>
        </row>
        <row r="166">
          <cell r="A166">
            <v>166</v>
          </cell>
        </row>
        <row r="167">
          <cell r="A167">
            <v>167</v>
          </cell>
        </row>
        <row r="168">
          <cell r="A168">
            <v>168</v>
          </cell>
        </row>
        <row r="169">
          <cell r="A169">
            <v>169</v>
          </cell>
        </row>
        <row r="170">
          <cell r="A170">
            <v>170</v>
          </cell>
        </row>
        <row r="171">
          <cell r="A171">
            <v>171</v>
          </cell>
        </row>
        <row r="172">
          <cell r="A172">
            <v>172</v>
          </cell>
        </row>
        <row r="173">
          <cell r="A173">
            <v>173</v>
          </cell>
        </row>
        <row r="174">
          <cell r="A174">
            <v>174</v>
          </cell>
        </row>
        <row r="175">
          <cell r="A175">
            <v>175</v>
          </cell>
        </row>
        <row r="176">
          <cell r="A176">
            <v>176</v>
          </cell>
        </row>
        <row r="177">
          <cell r="A177">
            <v>177</v>
          </cell>
        </row>
        <row r="178">
          <cell r="A178">
            <v>178</v>
          </cell>
        </row>
        <row r="179">
          <cell r="A179">
            <v>179</v>
          </cell>
        </row>
        <row r="180">
          <cell r="A180">
            <v>180</v>
          </cell>
        </row>
        <row r="181">
          <cell r="A181">
            <v>181</v>
          </cell>
        </row>
        <row r="182">
          <cell r="A182">
            <v>182</v>
          </cell>
        </row>
        <row r="183">
          <cell r="A183">
            <v>183</v>
          </cell>
        </row>
        <row r="184">
          <cell r="A184">
            <v>184</v>
          </cell>
        </row>
        <row r="185">
          <cell r="A185">
            <v>185</v>
          </cell>
        </row>
        <row r="186">
          <cell r="A186">
            <v>186</v>
          </cell>
        </row>
        <row r="187">
          <cell r="A187">
            <v>187</v>
          </cell>
        </row>
        <row r="188">
          <cell r="A188">
            <v>188</v>
          </cell>
        </row>
        <row r="189">
          <cell r="A189">
            <v>189</v>
          </cell>
        </row>
        <row r="190">
          <cell r="A190">
            <v>190</v>
          </cell>
        </row>
        <row r="191">
          <cell r="A191">
            <v>191</v>
          </cell>
        </row>
        <row r="192">
          <cell r="A192">
            <v>192</v>
          </cell>
        </row>
        <row r="193">
          <cell r="A193">
            <v>193</v>
          </cell>
        </row>
        <row r="194">
          <cell r="A194">
            <v>194</v>
          </cell>
        </row>
        <row r="195">
          <cell r="A195">
            <v>195</v>
          </cell>
        </row>
        <row r="196">
          <cell r="A196">
            <v>196</v>
          </cell>
        </row>
        <row r="197">
          <cell r="A197">
            <v>197</v>
          </cell>
        </row>
        <row r="198">
          <cell r="A198">
            <v>198</v>
          </cell>
        </row>
        <row r="199">
          <cell r="A199">
            <v>199</v>
          </cell>
        </row>
        <row r="200">
          <cell r="A200">
            <v>200</v>
          </cell>
        </row>
        <row r="201">
          <cell r="A201">
            <v>201</v>
          </cell>
        </row>
        <row r="202">
          <cell r="A202">
            <v>202</v>
          </cell>
        </row>
        <row r="203">
          <cell r="A203">
            <v>203</v>
          </cell>
        </row>
        <row r="204">
          <cell r="A204">
            <v>204</v>
          </cell>
        </row>
        <row r="205">
          <cell r="A205">
            <v>205</v>
          </cell>
        </row>
        <row r="206">
          <cell r="A206">
            <v>206</v>
          </cell>
        </row>
        <row r="207">
          <cell r="A207">
            <v>207</v>
          </cell>
        </row>
        <row r="208">
          <cell r="A208">
            <v>208</v>
          </cell>
        </row>
        <row r="209">
          <cell r="A209">
            <v>209</v>
          </cell>
        </row>
        <row r="210">
          <cell r="A210">
            <v>210</v>
          </cell>
        </row>
        <row r="211">
          <cell r="A211">
            <v>211</v>
          </cell>
        </row>
        <row r="212">
          <cell r="A212">
            <v>212</v>
          </cell>
        </row>
        <row r="213">
          <cell r="A213">
            <v>213</v>
          </cell>
        </row>
        <row r="214">
          <cell r="A214">
            <v>214</v>
          </cell>
        </row>
        <row r="215">
          <cell r="A215">
            <v>215</v>
          </cell>
        </row>
        <row r="216">
          <cell r="A216">
            <v>216</v>
          </cell>
        </row>
        <row r="217">
          <cell r="A217">
            <v>217</v>
          </cell>
        </row>
        <row r="218">
          <cell r="A218">
            <v>218</v>
          </cell>
        </row>
        <row r="219">
          <cell r="A219">
            <v>219</v>
          </cell>
        </row>
        <row r="220">
          <cell r="A220">
            <v>220</v>
          </cell>
        </row>
        <row r="221">
          <cell r="A221">
            <v>221</v>
          </cell>
        </row>
        <row r="222">
          <cell r="A222">
            <v>222</v>
          </cell>
        </row>
        <row r="223">
          <cell r="A223">
            <v>223</v>
          </cell>
        </row>
        <row r="224">
          <cell r="A224">
            <v>224</v>
          </cell>
        </row>
        <row r="225">
          <cell r="A225">
            <v>225</v>
          </cell>
        </row>
        <row r="226">
          <cell r="A226">
            <v>226</v>
          </cell>
        </row>
        <row r="227">
          <cell r="A227">
            <v>227</v>
          </cell>
        </row>
        <row r="228">
          <cell r="A228">
            <v>228</v>
          </cell>
        </row>
        <row r="229">
          <cell r="A229">
            <v>229</v>
          </cell>
        </row>
        <row r="230">
          <cell r="A230">
            <v>230</v>
          </cell>
        </row>
        <row r="231">
          <cell r="A231">
            <v>231</v>
          </cell>
        </row>
        <row r="232">
          <cell r="A232">
            <v>232</v>
          </cell>
        </row>
        <row r="233">
          <cell r="A233">
            <v>233</v>
          </cell>
        </row>
        <row r="234">
          <cell r="A234">
            <v>234</v>
          </cell>
        </row>
        <row r="235">
          <cell r="A235">
            <v>235</v>
          </cell>
        </row>
        <row r="236">
          <cell r="A236">
            <v>236</v>
          </cell>
        </row>
        <row r="237">
          <cell r="A237">
            <v>237</v>
          </cell>
        </row>
        <row r="238">
          <cell r="A238">
            <v>238</v>
          </cell>
        </row>
        <row r="239">
          <cell r="A239">
            <v>239</v>
          </cell>
        </row>
        <row r="240">
          <cell r="A240">
            <v>240</v>
          </cell>
        </row>
        <row r="241">
          <cell r="A241">
            <v>241</v>
          </cell>
        </row>
        <row r="242">
          <cell r="A242">
            <v>242</v>
          </cell>
        </row>
        <row r="243">
          <cell r="A243">
            <v>243</v>
          </cell>
        </row>
        <row r="244">
          <cell r="A244">
            <v>244</v>
          </cell>
        </row>
        <row r="245">
          <cell r="A245">
            <v>245</v>
          </cell>
        </row>
        <row r="246">
          <cell r="A246">
            <v>246</v>
          </cell>
        </row>
        <row r="247">
          <cell r="A247">
            <v>247</v>
          </cell>
        </row>
        <row r="248">
          <cell r="A248">
            <v>248</v>
          </cell>
        </row>
        <row r="249">
          <cell r="A249">
            <v>249</v>
          </cell>
        </row>
        <row r="250">
          <cell r="A250">
            <v>250</v>
          </cell>
        </row>
        <row r="251">
          <cell r="A251">
            <v>251</v>
          </cell>
        </row>
        <row r="252">
          <cell r="A252">
            <v>252</v>
          </cell>
        </row>
        <row r="253">
          <cell r="A253">
            <v>253</v>
          </cell>
        </row>
        <row r="254">
          <cell r="A254">
            <v>254</v>
          </cell>
        </row>
        <row r="255">
          <cell r="A255">
            <v>255</v>
          </cell>
        </row>
        <row r="256">
          <cell r="A256">
            <v>256</v>
          </cell>
        </row>
        <row r="257">
          <cell r="A257">
            <v>257</v>
          </cell>
        </row>
        <row r="258">
          <cell r="A258">
            <v>258</v>
          </cell>
        </row>
        <row r="259">
          <cell r="A259">
            <v>259</v>
          </cell>
        </row>
        <row r="260">
          <cell r="A260">
            <v>260</v>
          </cell>
        </row>
        <row r="261">
          <cell r="A261">
            <v>261</v>
          </cell>
        </row>
        <row r="262">
          <cell r="A262">
            <v>262</v>
          </cell>
        </row>
        <row r="263">
          <cell r="A263">
            <v>263</v>
          </cell>
        </row>
        <row r="264">
          <cell r="A264">
            <v>264</v>
          </cell>
        </row>
        <row r="265">
          <cell r="A265">
            <v>265</v>
          </cell>
        </row>
        <row r="266">
          <cell r="A266">
            <v>266</v>
          </cell>
        </row>
        <row r="267">
          <cell r="A267">
            <v>267</v>
          </cell>
        </row>
        <row r="268">
          <cell r="A268">
            <v>268</v>
          </cell>
        </row>
        <row r="269">
          <cell r="A269">
            <v>269</v>
          </cell>
        </row>
        <row r="270">
          <cell r="A270">
            <v>270</v>
          </cell>
        </row>
        <row r="271">
          <cell r="A271">
            <v>271</v>
          </cell>
        </row>
        <row r="272">
          <cell r="A272">
            <v>272</v>
          </cell>
        </row>
        <row r="273">
          <cell r="A273">
            <v>273</v>
          </cell>
        </row>
        <row r="274">
          <cell r="A274">
            <v>274</v>
          </cell>
        </row>
        <row r="275">
          <cell r="A275">
            <v>275</v>
          </cell>
        </row>
        <row r="276">
          <cell r="A276">
            <v>276</v>
          </cell>
        </row>
        <row r="277">
          <cell r="A277">
            <v>277</v>
          </cell>
        </row>
        <row r="278">
          <cell r="A278">
            <v>278</v>
          </cell>
        </row>
        <row r="279">
          <cell r="A279">
            <v>279</v>
          </cell>
        </row>
        <row r="280">
          <cell r="A280">
            <v>280</v>
          </cell>
        </row>
        <row r="281">
          <cell r="A281">
            <v>281</v>
          </cell>
        </row>
        <row r="282">
          <cell r="A282">
            <v>282</v>
          </cell>
        </row>
        <row r="283">
          <cell r="A283">
            <v>283</v>
          </cell>
        </row>
        <row r="284">
          <cell r="A284">
            <v>284</v>
          </cell>
        </row>
        <row r="285">
          <cell r="A285">
            <v>285</v>
          </cell>
        </row>
        <row r="286">
          <cell r="A286">
            <v>286</v>
          </cell>
        </row>
        <row r="287">
          <cell r="A287">
            <v>287</v>
          </cell>
        </row>
        <row r="288">
          <cell r="A288">
            <v>288</v>
          </cell>
        </row>
        <row r="289">
          <cell r="A289">
            <v>289</v>
          </cell>
        </row>
        <row r="290">
          <cell r="A290">
            <v>290</v>
          </cell>
        </row>
        <row r="291">
          <cell r="A291">
            <v>291</v>
          </cell>
        </row>
        <row r="292">
          <cell r="A292">
            <v>292</v>
          </cell>
        </row>
        <row r="293">
          <cell r="A293">
            <v>293</v>
          </cell>
        </row>
        <row r="294">
          <cell r="A294">
            <v>294</v>
          </cell>
        </row>
        <row r="295">
          <cell r="A295">
            <v>295</v>
          </cell>
        </row>
        <row r="296">
          <cell r="A296">
            <v>296</v>
          </cell>
        </row>
        <row r="297">
          <cell r="A297">
            <v>297</v>
          </cell>
        </row>
        <row r="298">
          <cell r="A298">
            <v>298</v>
          </cell>
        </row>
        <row r="299">
          <cell r="A299">
            <v>299</v>
          </cell>
        </row>
        <row r="300">
          <cell r="A300">
            <v>300</v>
          </cell>
        </row>
        <row r="301">
          <cell r="A301">
            <v>301</v>
          </cell>
        </row>
        <row r="302">
          <cell r="A302">
            <v>302</v>
          </cell>
        </row>
        <row r="303">
          <cell r="A303">
            <v>303</v>
          </cell>
        </row>
        <row r="304">
          <cell r="A304">
            <v>304</v>
          </cell>
        </row>
        <row r="305">
          <cell r="A305">
            <v>305</v>
          </cell>
        </row>
        <row r="306">
          <cell r="A306">
            <v>306</v>
          </cell>
        </row>
        <row r="307">
          <cell r="A307">
            <v>307</v>
          </cell>
        </row>
        <row r="308">
          <cell r="A308">
            <v>308</v>
          </cell>
        </row>
        <row r="309">
          <cell r="A309">
            <v>309</v>
          </cell>
        </row>
        <row r="310">
          <cell r="A310">
            <v>310</v>
          </cell>
        </row>
        <row r="311">
          <cell r="A311">
            <v>311</v>
          </cell>
        </row>
        <row r="312">
          <cell r="A312">
            <v>312</v>
          </cell>
        </row>
        <row r="313">
          <cell r="A313">
            <v>313</v>
          </cell>
        </row>
        <row r="314">
          <cell r="A314">
            <v>314</v>
          </cell>
        </row>
        <row r="315">
          <cell r="A315">
            <v>315</v>
          </cell>
        </row>
        <row r="316">
          <cell r="A316">
            <v>316</v>
          </cell>
        </row>
        <row r="317">
          <cell r="A317">
            <v>317</v>
          </cell>
        </row>
        <row r="318">
          <cell r="A318">
            <v>318</v>
          </cell>
        </row>
        <row r="319">
          <cell r="A319">
            <v>319</v>
          </cell>
        </row>
        <row r="320">
          <cell r="A320">
            <v>320</v>
          </cell>
        </row>
        <row r="321">
          <cell r="A321">
            <v>321</v>
          </cell>
        </row>
        <row r="322">
          <cell r="A322">
            <v>322</v>
          </cell>
        </row>
        <row r="323">
          <cell r="A323">
            <v>323</v>
          </cell>
        </row>
        <row r="324">
          <cell r="A324">
            <v>324</v>
          </cell>
        </row>
        <row r="325">
          <cell r="A325">
            <v>325</v>
          </cell>
        </row>
        <row r="326">
          <cell r="A326">
            <v>326</v>
          </cell>
        </row>
        <row r="327">
          <cell r="A327">
            <v>327</v>
          </cell>
        </row>
        <row r="328">
          <cell r="A328">
            <v>328</v>
          </cell>
        </row>
        <row r="329">
          <cell r="A329">
            <v>329</v>
          </cell>
        </row>
        <row r="330">
          <cell r="A330">
            <v>330</v>
          </cell>
        </row>
        <row r="331">
          <cell r="A331">
            <v>331</v>
          </cell>
        </row>
        <row r="332">
          <cell r="A332">
            <v>332</v>
          </cell>
        </row>
        <row r="333">
          <cell r="A333">
            <v>333</v>
          </cell>
        </row>
        <row r="334">
          <cell r="A334">
            <v>334</v>
          </cell>
        </row>
        <row r="335">
          <cell r="A335">
            <v>335</v>
          </cell>
        </row>
        <row r="336">
          <cell r="A336">
            <v>336</v>
          </cell>
        </row>
        <row r="337">
          <cell r="A337">
            <v>337</v>
          </cell>
        </row>
        <row r="338">
          <cell r="A338">
            <v>338</v>
          </cell>
        </row>
        <row r="339">
          <cell r="A339">
            <v>339</v>
          </cell>
        </row>
        <row r="340">
          <cell r="A340">
            <v>340</v>
          </cell>
        </row>
        <row r="341">
          <cell r="A341">
            <v>341</v>
          </cell>
        </row>
        <row r="342">
          <cell r="A342">
            <v>342</v>
          </cell>
        </row>
        <row r="343">
          <cell r="A343">
            <v>343</v>
          </cell>
        </row>
        <row r="344">
          <cell r="A344">
            <v>344</v>
          </cell>
        </row>
        <row r="345">
          <cell r="A345">
            <v>345</v>
          </cell>
        </row>
        <row r="346">
          <cell r="A346">
            <v>346</v>
          </cell>
        </row>
        <row r="347">
          <cell r="A347">
            <v>347</v>
          </cell>
        </row>
        <row r="348">
          <cell r="A348">
            <v>348</v>
          </cell>
        </row>
        <row r="349">
          <cell r="A349">
            <v>349</v>
          </cell>
        </row>
        <row r="350">
          <cell r="A350">
            <v>350</v>
          </cell>
        </row>
        <row r="351">
          <cell r="A351">
            <v>351</v>
          </cell>
        </row>
        <row r="352">
          <cell r="A352">
            <v>352</v>
          </cell>
        </row>
        <row r="353">
          <cell r="A353">
            <v>353</v>
          </cell>
        </row>
        <row r="354">
          <cell r="A354">
            <v>354</v>
          </cell>
        </row>
        <row r="355">
          <cell r="A355">
            <v>355</v>
          </cell>
        </row>
        <row r="356">
          <cell r="A356">
            <v>356</v>
          </cell>
        </row>
        <row r="357">
          <cell r="A357">
            <v>357</v>
          </cell>
        </row>
        <row r="358">
          <cell r="A358">
            <v>358</v>
          </cell>
        </row>
        <row r="359">
          <cell r="A359">
            <v>359</v>
          </cell>
        </row>
        <row r="360">
          <cell r="A360">
            <v>360</v>
          </cell>
        </row>
        <row r="361">
          <cell r="A361">
            <v>361</v>
          </cell>
        </row>
        <row r="362">
          <cell r="A362">
            <v>362</v>
          </cell>
        </row>
        <row r="363">
          <cell r="A363">
            <v>363</v>
          </cell>
        </row>
        <row r="364">
          <cell r="A364">
            <v>364</v>
          </cell>
        </row>
        <row r="365">
          <cell r="A365">
            <v>365</v>
          </cell>
        </row>
        <row r="366">
          <cell r="A366">
            <v>366</v>
          </cell>
        </row>
        <row r="367">
          <cell r="A367">
            <v>367</v>
          </cell>
        </row>
        <row r="368">
          <cell r="A368">
            <v>368</v>
          </cell>
        </row>
        <row r="369">
          <cell r="A369">
            <v>369</v>
          </cell>
        </row>
        <row r="370">
          <cell r="A370">
            <v>370</v>
          </cell>
        </row>
        <row r="371">
          <cell r="A371">
            <v>371</v>
          </cell>
        </row>
        <row r="372">
          <cell r="A372">
            <v>372</v>
          </cell>
        </row>
        <row r="373">
          <cell r="A373">
            <v>373</v>
          </cell>
        </row>
        <row r="374">
          <cell r="A374">
            <v>374</v>
          </cell>
        </row>
        <row r="375">
          <cell r="A375">
            <v>375</v>
          </cell>
        </row>
        <row r="376">
          <cell r="A376">
            <v>376</v>
          </cell>
        </row>
        <row r="377">
          <cell r="A377">
            <v>377</v>
          </cell>
        </row>
        <row r="378">
          <cell r="A378">
            <v>378</v>
          </cell>
        </row>
        <row r="379">
          <cell r="A379">
            <v>379</v>
          </cell>
        </row>
        <row r="380">
          <cell r="A380">
            <v>380</v>
          </cell>
        </row>
        <row r="381">
          <cell r="A381">
            <v>381</v>
          </cell>
        </row>
        <row r="382">
          <cell r="A382">
            <v>382</v>
          </cell>
        </row>
        <row r="383">
          <cell r="A383">
            <v>383</v>
          </cell>
        </row>
        <row r="384">
          <cell r="A384">
            <v>384</v>
          </cell>
        </row>
        <row r="385">
          <cell r="A385">
            <v>385</v>
          </cell>
        </row>
        <row r="386">
          <cell r="A386">
            <v>386</v>
          </cell>
        </row>
        <row r="387">
          <cell r="A387">
            <v>387</v>
          </cell>
        </row>
        <row r="388">
          <cell r="A388">
            <v>388</v>
          </cell>
        </row>
        <row r="389">
          <cell r="A389">
            <v>389</v>
          </cell>
        </row>
        <row r="390">
          <cell r="A390">
            <v>390</v>
          </cell>
        </row>
        <row r="391">
          <cell r="A391">
            <v>391</v>
          </cell>
        </row>
        <row r="392">
          <cell r="A392">
            <v>392</v>
          </cell>
        </row>
        <row r="393">
          <cell r="A393">
            <v>393</v>
          </cell>
        </row>
        <row r="394">
          <cell r="A394">
            <v>394</v>
          </cell>
        </row>
        <row r="395">
          <cell r="A395">
            <v>395</v>
          </cell>
        </row>
        <row r="396">
          <cell r="A396">
            <v>396</v>
          </cell>
        </row>
        <row r="397">
          <cell r="A397">
            <v>397</v>
          </cell>
        </row>
        <row r="398">
          <cell r="A398">
            <v>398</v>
          </cell>
        </row>
        <row r="399">
          <cell r="A399">
            <v>399</v>
          </cell>
        </row>
        <row r="400">
          <cell r="A400">
            <v>400</v>
          </cell>
        </row>
        <row r="401">
          <cell r="A401">
            <v>401</v>
          </cell>
        </row>
        <row r="402">
          <cell r="A402">
            <v>402</v>
          </cell>
        </row>
        <row r="403">
          <cell r="A403">
            <v>403</v>
          </cell>
        </row>
        <row r="404">
          <cell r="A404">
            <v>404</v>
          </cell>
        </row>
        <row r="405">
          <cell r="A405">
            <v>405</v>
          </cell>
        </row>
        <row r="406">
          <cell r="A406">
            <v>406</v>
          </cell>
        </row>
        <row r="407">
          <cell r="A407">
            <v>407</v>
          </cell>
        </row>
        <row r="408">
          <cell r="A408">
            <v>408</v>
          </cell>
        </row>
        <row r="409">
          <cell r="A409">
            <v>409</v>
          </cell>
        </row>
        <row r="410">
          <cell r="A410">
            <v>410</v>
          </cell>
        </row>
        <row r="411">
          <cell r="A411">
            <v>411</v>
          </cell>
        </row>
        <row r="412">
          <cell r="A412">
            <v>412</v>
          </cell>
        </row>
        <row r="413">
          <cell r="A413">
            <v>413</v>
          </cell>
        </row>
        <row r="414">
          <cell r="A414">
            <v>414</v>
          </cell>
        </row>
        <row r="415">
          <cell r="A415">
            <v>415</v>
          </cell>
        </row>
        <row r="416">
          <cell r="A416">
            <v>416</v>
          </cell>
        </row>
        <row r="417">
          <cell r="A417">
            <v>417</v>
          </cell>
        </row>
        <row r="418">
          <cell r="A418">
            <v>418</v>
          </cell>
        </row>
        <row r="419">
          <cell r="A419">
            <v>419</v>
          </cell>
        </row>
        <row r="420">
          <cell r="A420">
            <v>420</v>
          </cell>
        </row>
        <row r="421">
          <cell r="A421">
            <v>421</v>
          </cell>
        </row>
        <row r="422">
          <cell r="A422">
            <v>422</v>
          </cell>
        </row>
        <row r="423">
          <cell r="A423">
            <v>423</v>
          </cell>
        </row>
        <row r="424">
          <cell r="A424">
            <v>424</v>
          </cell>
        </row>
        <row r="425">
          <cell r="A425">
            <v>425</v>
          </cell>
        </row>
        <row r="426">
          <cell r="A426">
            <v>426</v>
          </cell>
        </row>
        <row r="427">
          <cell r="A427">
            <v>427</v>
          </cell>
        </row>
        <row r="428">
          <cell r="A428">
            <v>428</v>
          </cell>
        </row>
        <row r="429">
          <cell r="A429">
            <v>429</v>
          </cell>
        </row>
        <row r="430">
          <cell r="A430">
            <v>430</v>
          </cell>
        </row>
        <row r="431">
          <cell r="A431">
            <v>431</v>
          </cell>
        </row>
        <row r="432">
          <cell r="A432">
            <v>432</v>
          </cell>
        </row>
        <row r="433">
          <cell r="A433">
            <v>433</v>
          </cell>
        </row>
        <row r="434">
          <cell r="A434">
            <v>434</v>
          </cell>
        </row>
        <row r="435">
          <cell r="A435">
            <v>435</v>
          </cell>
        </row>
        <row r="436">
          <cell r="A436">
            <v>436</v>
          </cell>
        </row>
        <row r="437">
          <cell r="A437">
            <v>437</v>
          </cell>
        </row>
        <row r="438">
          <cell r="A438">
            <v>438</v>
          </cell>
        </row>
        <row r="439">
          <cell r="A439">
            <v>439</v>
          </cell>
        </row>
        <row r="440">
          <cell r="A440">
            <v>440</v>
          </cell>
        </row>
        <row r="441">
          <cell r="A441">
            <v>441</v>
          </cell>
        </row>
        <row r="442">
          <cell r="A442">
            <v>442</v>
          </cell>
        </row>
        <row r="443">
          <cell r="A443">
            <v>443</v>
          </cell>
        </row>
        <row r="444">
          <cell r="A444">
            <v>444</v>
          </cell>
        </row>
        <row r="445">
          <cell r="A445">
            <v>445</v>
          </cell>
        </row>
        <row r="446">
          <cell r="A446">
            <v>446</v>
          </cell>
        </row>
        <row r="447">
          <cell r="A447">
            <v>447</v>
          </cell>
        </row>
        <row r="448">
          <cell r="A448">
            <v>448</v>
          </cell>
        </row>
        <row r="449">
          <cell r="A449">
            <v>449</v>
          </cell>
        </row>
        <row r="450">
          <cell r="A450">
            <v>450</v>
          </cell>
        </row>
        <row r="451">
          <cell r="A451">
            <v>451</v>
          </cell>
        </row>
        <row r="452">
          <cell r="A452">
            <v>452</v>
          </cell>
        </row>
        <row r="453">
          <cell r="A453">
            <v>453</v>
          </cell>
        </row>
        <row r="454">
          <cell r="A454">
            <v>454</v>
          </cell>
        </row>
        <row r="455">
          <cell r="A455">
            <v>455</v>
          </cell>
        </row>
        <row r="456">
          <cell r="A456">
            <v>456</v>
          </cell>
        </row>
        <row r="457">
          <cell r="A457">
            <v>457</v>
          </cell>
        </row>
        <row r="458">
          <cell r="A458">
            <v>458</v>
          </cell>
        </row>
        <row r="459">
          <cell r="A459">
            <v>459</v>
          </cell>
        </row>
        <row r="460">
          <cell r="A460">
            <v>460</v>
          </cell>
        </row>
        <row r="461">
          <cell r="A461">
            <v>461</v>
          </cell>
        </row>
        <row r="462">
          <cell r="A462">
            <v>462</v>
          </cell>
        </row>
        <row r="463">
          <cell r="A463">
            <v>463</v>
          </cell>
        </row>
        <row r="464">
          <cell r="A464">
            <v>464</v>
          </cell>
        </row>
        <row r="465">
          <cell r="A465">
            <v>465</v>
          </cell>
        </row>
        <row r="466">
          <cell r="A466">
            <v>466</v>
          </cell>
        </row>
        <row r="467">
          <cell r="A467">
            <v>467</v>
          </cell>
        </row>
        <row r="468">
          <cell r="A468">
            <v>468</v>
          </cell>
        </row>
        <row r="469">
          <cell r="A469">
            <v>469</v>
          </cell>
        </row>
        <row r="470">
          <cell r="A470">
            <v>470</v>
          </cell>
        </row>
        <row r="471">
          <cell r="A471">
            <v>471</v>
          </cell>
        </row>
        <row r="472">
          <cell r="A472">
            <v>472</v>
          </cell>
        </row>
        <row r="473">
          <cell r="A473">
            <v>473</v>
          </cell>
        </row>
        <row r="474">
          <cell r="A474">
            <v>474</v>
          </cell>
        </row>
        <row r="475">
          <cell r="A475">
            <v>475</v>
          </cell>
        </row>
        <row r="476">
          <cell r="A476">
            <v>476</v>
          </cell>
        </row>
        <row r="477">
          <cell r="A477">
            <v>477</v>
          </cell>
        </row>
        <row r="478">
          <cell r="A478">
            <v>478</v>
          </cell>
        </row>
        <row r="479">
          <cell r="A479">
            <v>479</v>
          </cell>
        </row>
        <row r="480">
          <cell r="A480">
            <v>480</v>
          </cell>
        </row>
        <row r="481">
          <cell r="A481">
            <v>481</v>
          </cell>
        </row>
        <row r="482">
          <cell r="A482">
            <v>482</v>
          </cell>
        </row>
        <row r="483">
          <cell r="A483">
            <v>483</v>
          </cell>
        </row>
        <row r="484">
          <cell r="A484">
            <v>484</v>
          </cell>
        </row>
        <row r="485">
          <cell r="A485">
            <v>485</v>
          </cell>
        </row>
        <row r="486">
          <cell r="A486">
            <v>486</v>
          </cell>
        </row>
        <row r="487">
          <cell r="A487">
            <v>487</v>
          </cell>
        </row>
        <row r="488">
          <cell r="A488">
            <v>488</v>
          </cell>
        </row>
        <row r="489">
          <cell r="A489">
            <v>489</v>
          </cell>
        </row>
        <row r="490">
          <cell r="A490">
            <v>490</v>
          </cell>
        </row>
        <row r="491">
          <cell r="A491">
            <v>491</v>
          </cell>
        </row>
        <row r="492">
          <cell r="A492">
            <v>492</v>
          </cell>
        </row>
        <row r="493">
          <cell r="A493">
            <v>493</v>
          </cell>
        </row>
        <row r="494">
          <cell r="A494">
            <v>494</v>
          </cell>
        </row>
        <row r="495">
          <cell r="A495">
            <v>495</v>
          </cell>
        </row>
        <row r="496">
          <cell r="A496">
            <v>496</v>
          </cell>
        </row>
        <row r="497">
          <cell r="A497">
            <v>497</v>
          </cell>
        </row>
        <row r="498">
          <cell r="A498">
            <v>498</v>
          </cell>
        </row>
        <row r="499">
          <cell r="A499">
            <v>499</v>
          </cell>
        </row>
        <row r="500">
          <cell r="A500">
            <v>500</v>
          </cell>
        </row>
        <row r="501">
          <cell r="A501">
            <v>501</v>
          </cell>
        </row>
        <row r="502">
          <cell r="A502">
            <v>502</v>
          </cell>
        </row>
        <row r="503">
          <cell r="A503">
            <v>503</v>
          </cell>
        </row>
        <row r="504">
          <cell r="A504">
            <v>504</v>
          </cell>
        </row>
        <row r="505">
          <cell r="A505">
            <v>505</v>
          </cell>
        </row>
        <row r="506">
          <cell r="A506">
            <v>506</v>
          </cell>
        </row>
        <row r="507">
          <cell r="A507">
            <v>507</v>
          </cell>
        </row>
        <row r="508">
          <cell r="A508">
            <v>508</v>
          </cell>
        </row>
        <row r="509">
          <cell r="A509">
            <v>509</v>
          </cell>
        </row>
        <row r="510">
          <cell r="A510">
            <v>510</v>
          </cell>
        </row>
        <row r="511">
          <cell r="A511">
            <v>511</v>
          </cell>
        </row>
        <row r="512">
          <cell r="A512">
            <v>512</v>
          </cell>
        </row>
        <row r="513">
          <cell r="A513">
            <v>513</v>
          </cell>
        </row>
        <row r="514">
          <cell r="A514">
            <v>514</v>
          </cell>
        </row>
        <row r="515">
          <cell r="A515">
            <v>515</v>
          </cell>
        </row>
        <row r="516">
          <cell r="A516">
            <v>516</v>
          </cell>
        </row>
        <row r="517">
          <cell r="A517">
            <v>517</v>
          </cell>
        </row>
        <row r="518">
          <cell r="A518">
            <v>518</v>
          </cell>
        </row>
        <row r="519">
          <cell r="A519">
            <v>519</v>
          </cell>
        </row>
        <row r="520">
          <cell r="A520">
            <v>520</v>
          </cell>
        </row>
        <row r="521">
          <cell r="A521">
            <v>521</v>
          </cell>
        </row>
        <row r="522">
          <cell r="A522">
            <v>522</v>
          </cell>
        </row>
        <row r="523">
          <cell r="A523">
            <v>523</v>
          </cell>
        </row>
        <row r="524">
          <cell r="A524">
            <v>524</v>
          </cell>
        </row>
        <row r="525">
          <cell r="A525">
            <v>525</v>
          </cell>
        </row>
        <row r="526">
          <cell r="A526">
            <v>526</v>
          </cell>
        </row>
        <row r="527">
          <cell r="A527">
            <v>527</v>
          </cell>
        </row>
        <row r="528">
          <cell r="A528">
            <v>528</v>
          </cell>
        </row>
        <row r="529">
          <cell r="A529">
            <v>529</v>
          </cell>
        </row>
        <row r="530">
          <cell r="A530">
            <v>530</v>
          </cell>
        </row>
        <row r="531">
          <cell r="A531">
            <v>531</v>
          </cell>
        </row>
        <row r="532">
          <cell r="A532">
            <v>532</v>
          </cell>
        </row>
        <row r="533">
          <cell r="A533">
            <v>533</v>
          </cell>
        </row>
        <row r="534">
          <cell r="A534">
            <v>534</v>
          </cell>
        </row>
        <row r="535">
          <cell r="A535">
            <v>535</v>
          </cell>
        </row>
        <row r="536">
          <cell r="A536">
            <v>536</v>
          </cell>
        </row>
        <row r="537">
          <cell r="A537">
            <v>537</v>
          </cell>
        </row>
        <row r="538">
          <cell r="A538">
            <v>538</v>
          </cell>
        </row>
        <row r="539">
          <cell r="A539">
            <v>539</v>
          </cell>
        </row>
        <row r="540">
          <cell r="A540">
            <v>540</v>
          </cell>
        </row>
        <row r="541">
          <cell r="A541">
            <v>541</v>
          </cell>
        </row>
        <row r="542">
          <cell r="A542">
            <v>542</v>
          </cell>
        </row>
        <row r="543">
          <cell r="A543">
            <v>543</v>
          </cell>
        </row>
        <row r="544">
          <cell r="A544">
            <v>544</v>
          </cell>
        </row>
        <row r="545">
          <cell r="A545">
            <v>545</v>
          </cell>
        </row>
        <row r="546">
          <cell r="A546">
            <v>546</v>
          </cell>
        </row>
        <row r="547">
          <cell r="A547">
            <v>547</v>
          </cell>
        </row>
        <row r="548">
          <cell r="A548">
            <v>548</v>
          </cell>
        </row>
        <row r="549">
          <cell r="A549">
            <v>549</v>
          </cell>
        </row>
        <row r="550">
          <cell r="A550">
            <v>550</v>
          </cell>
        </row>
        <row r="551">
          <cell r="A551">
            <v>551</v>
          </cell>
        </row>
        <row r="552">
          <cell r="A552">
            <v>552</v>
          </cell>
        </row>
        <row r="553">
          <cell r="A553">
            <v>553</v>
          </cell>
        </row>
        <row r="554">
          <cell r="A554">
            <v>554</v>
          </cell>
        </row>
        <row r="555">
          <cell r="A555">
            <v>555</v>
          </cell>
        </row>
        <row r="556">
          <cell r="A556">
            <v>556</v>
          </cell>
        </row>
        <row r="557">
          <cell r="A557">
            <v>557</v>
          </cell>
        </row>
        <row r="558">
          <cell r="A558">
            <v>558</v>
          </cell>
        </row>
        <row r="559">
          <cell r="A559">
            <v>559</v>
          </cell>
        </row>
        <row r="560">
          <cell r="A560">
            <v>560</v>
          </cell>
        </row>
        <row r="561">
          <cell r="A561">
            <v>561</v>
          </cell>
        </row>
        <row r="562">
          <cell r="A562">
            <v>562</v>
          </cell>
        </row>
        <row r="563">
          <cell r="A563">
            <v>563</v>
          </cell>
        </row>
        <row r="564">
          <cell r="A564">
            <v>564</v>
          </cell>
        </row>
        <row r="565">
          <cell r="A565">
            <v>565</v>
          </cell>
        </row>
        <row r="566">
          <cell r="A566">
            <v>566</v>
          </cell>
        </row>
        <row r="567">
          <cell r="A567">
            <v>567</v>
          </cell>
        </row>
        <row r="568">
          <cell r="A568">
            <v>568</v>
          </cell>
        </row>
        <row r="569">
          <cell r="A569">
            <v>569</v>
          </cell>
        </row>
        <row r="570">
          <cell r="A570">
            <v>570</v>
          </cell>
        </row>
        <row r="571">
          <cell r="A571">
            <v>571</v>
          </cell>
        </row>
        <row r="572">
          <cell r="A572">
            <v>572</v>
          </cell>
        </row>
        <row r="573">
          <cell r="A573">
            <v>573</v>
          </cell>
        </row>
        <row r="574">
          <cell r="A574">
            <v>574</v>
          </cell>
        </row>
        <row r="575">
          <cell r="A575">
            <v>575</v>
          </cell>
        </row>
        <row r="576">
          <cell r="A576">
            <v>576</v>
          </cell>
        </row>
        <row r="577">
          <cell r="A577">
            <v>577</v>
          </cell>
        </row>
        <row r="578">
          <cell r="A578">
            <v>578</v>
          </cell>
        </row>
        <row r="579">
          <cell r="A579">
            <v>579</v>
          </cell>
        </row>
        <row r="580">
          <cell r="A580">
            <v>580</v>
          </cell>
        </row>
        <row r="581">
          <cell r="A581">
            <v>581</v>
          </cell>
        </row>
        <row r="582">
          <cell r="A582">
            <v>582</v>
          </cell>
        </row>
        <row r="583">
          <cell r="A583">
            <v>583</v>
          </cell>
        </row>
        <row r="584">
          <cell r="A584">
            <v>584</v>
          </cell>
        </row>
        <row r="585">
          <cell r="A585">
            <v>585</v>
          </cell>
        </row>
        <row r="586">
          <cell r="A586">
            <v>586</v>
          </cell>
        </row>
        <row r="587">
          <cell r="A587">
            <v>587</v>
          </cell>
        </row>
        <row r="588">
          <cell r="A588">
            <v>588</v>
          </cell>
        </row>
        <row r="589">
          <cell r="A589">
            <v>589</v>
          </cell>
        </row>
        <row r="590">
          <cell r="A590">
            <v>590</v>
          </cell>
        </row>
        <row r="591">
          <cell r="A591">
            <v>591</v>
          </cell>
        </row>
        <row r="592">
          <cell r="A592">
            <v>592</v>
          </cell>
        </row>
        <row r="593">
          <cell r="A593">
            <v>593</v>
          </cell>
        </row>
        <row r="594">
          <cell r="A594">
            <v>594</v>
          </cell>
        </row>
        <row r="595">
          <cell r="A595">
            <v>595</v>
          </cell>
        </row>
        <row r="596">
          <cell r="A596">
            <v>596</v>
          </cell>
        </row>
        <row r="597">
          <cell r="A597">
            <v>597</v>
          </cell>
        </row>
        <row r="598">
          <cell r="A598">
            <v>598</v>
          </cell>
        </row>
        <row r="599">
          <cell r="A599">
            <v>599</v>
          </cell>
        </row>
        <row r="600">
          <cell r="A600">
            <v>600</v>
          </cell>
        </row>
        <row r="601">
          <cell r="A601">
            <v>601</v>
          </cell>
        </row>
        <row r="602">
          <cell r="A602">
            <v>602</v>
          </cell>
        </row>
        <row r="603">
          <cell r="A603">
            <v>603</v>
          </cell>
        </row>
        <row r="604">
          <cell r="A604">
            <v>604</v>
          </cell>
        </row>
        <row r="605">
          <cell r="A605">
            <v>605</v>
          </cell>
        </row>
        <row r="606">
          <cell r="A606">
            <v>606</v>
          </cell>
        </row>
        <row r="607">
          <cell r="A607">
            <v>607</v>
          </cell>
        </row>
        <row r="608">
          <cell r="A608">
            <v>608</v>
          </cell>
        </row>
        <row r="609">
          <cell r="A609">
            <v>609</v>
          </cell>
        </row>
        <row r="610">
          <cell r="A610">
            <v>610</v>
          </cell>
        </row>
        <row r="611">
          <cell r="A611">
            <v>611</v>
          </cell>
        </row>
        <row r="612">
          <cell r="A612">
            <v>612</v>
          </cell>
        </row>
        <row r="613">
          <cell r="A613">
            <v>613</v>
          </cell>
        </row>
        <row r="614">
          <cell r="A614">
            <v>614</v>
          </cell>
        </row>
        <row r="615">
          <cell r="A615">
            <v>615</v>
          </cell>
        </row>
        <row r="616">
          <cell r="A616">
            <v>616</v>
          </cell>
        </row>
        <row r="617">
          <cell r="A617">
            <v>617</v>
          </cell>
        </row>
        <row r="618">
          <cell r="A618">
            <v>618</v>
          </cell>
        </row>
        <row r="619">
          <cell r="A619">
            <v>619</v>
          </cell>
        </row>
        <row r="620">
          <cell r="A620">
            <v>620</v>
          </cell>
        </row>
        <row r="621">
          <cell r="A621">
            <v>621</v>
          </cell>
        </row>
        <row r="622">
          <cell r="A622">
            <v>622</v>
          </cell>
        </row>
        <row r="623">
          <cell r="A623">
            <v>623</v>
          </cell>
        </row>
        <row r="624">
          <cell r="A624">
            <v>624</v>
          </cell>
        </row>
        <row r="625">
          <cell r="A625">
            <v>625</v>
          </cell>
        </row>
        <row r="626">
          <cell r="A626">
            <v>626</v>
          </cell>
        </row>
        <row r="627">
          <cell r="A627">
            <v>627</v>
          </cell>
        </row>
        <row r="628">
          <cell r="A628">
            <v>628</v>
          </cell>
        </row>
        <row r="629">
          <cell r="A629">
            <v>629</v>
          </cell>
        </row>
        <row r="630">
          <cell r="A630">
            <v>630</v>
          </cell>
        </row>
        <row r="631">
          <cell r="A631">
            <v>631</v>
          </cell>
        </row>
        <row r="632">
          <cell r="A632">
            <v>632</v>
          </cell>
        </row>
        <row r="633">
          <cell r="A633">
            <v>633</v>
          </cell>
        </row>
        <row r="634">
          <cell r="A634">
            <v>634</v>
          </cell>
        </row>
        <row r="635">
          <cell r="A635">
            <v>635</v>
          </cell>
        </row>
        <row r="636">
          <cell r="A636">
            <v>636</v>
          </cell>
        </row>
        <row r="637">
          <cell r="A637">
            <v>637</v>
          </cell>
        </row>
        <row r="638">
          <cell r="A638">
            <v>638</v>
          </cell>
        </row>
        <row r="639">
          <cell r="A639">
            <v>639</v>
          </cell>
        </row>
        <row r="640">
          <cell r="A640">
            <v>640</v>
          </cell>
        </row>
        <row r="641">
          <cell r="A641">
            <v>641</v>
          </cell>
        </row>
        <row r="642">
          <cell r="A642">
            <v>642</v>
          </cell>
        </row>
        <row r="643">
          <cell r="A643">
            <v>643</v>
          </cell>
        </row>
        <row r="644">
          <cell r="A644">
            <v>644</v>
          </cell>
        </row>
        <row r="645">
          <cell r="A645">
            <v>645</v>
          </cell>
        </row>
        <row r="646">
          <cell r="A646">
            <v>646</v>
          </cell>
        </row>
        <row r="647">
          <cell r="A647">
            <v>647</v>
          </cell>
        </row>
        <row r="648">
          <cell r="A648">
            <v>648</v>
          </cell>
        </row>
        <row r="649">
          <cell r="A649">
            <v>649</v>
          </cell>
        </row>
        <row r="650">
          <cell r="A650">
            <v>650</v>
          </cell>
        </row>
        <row r="651">
          <cell r="A651">
            <v>651</v>
          </cell>
        </row>
        <row r="652">
          <cell r="A652">
            <v>652</v>
          </cell>
        </row>
        <row r="653">
          <cell r="A653">
            <v>653</v>
          </cell>
        </row>
        <row r="654">
          <cell r="A654">
            <v>654</v>
          </cell>
        </row>
        <row r="655">
          <cell r="A655">
            <v>655</v>
          </cell>
        </row>
        <row r="656">
          <cell r="A656">
            <v>656</v>
          </cell>
        </row>
        <row r="657">
          <cell r="A657">
            <v>657</v>
          </cell>
        </row>
        <row r="658">
          <cell r="A658">
            <v>658</v>
          </cell>
        </row>
        <row r="659">
          <cell r="A659">
            <v>659</v>
          </cell>
        </row>
        <row r="660">
          <cell r="A660">
            <v>660</v>
          </cell>
        </row>
        <row r="661">
          <cell r="A661">
            <v>661</v>
          </cell>
        </row>
        <row r="662">
          <cell r="A662">
            <v>662</v>
          </cell>
        </row>
        <row r="663">
          <cell r="A663">
            <v>663</v>
          </cell>
        </row>
        <row r="664">
          <cell r="A664">
            <v>664</v>
          </cell>
        </row>
        <row r="665">
          <cell r="A665">
            <v>665</v>
          </cell>
        </row>
        <row r="666">
          <cell r="A666">
            <v>666</v>
          </cell>
        </row>
        <row r="667">
          <cell r="A667">
            <v>667</v>
          </cell>
        </row>
        <row r="668">
          <cell r="A668">
            <v>668</v>
          </cell>
        </row>
        <row r="669">
          <cell r="A669">
            <v>669</v>
          </cell>
        </row>
        <row r="670">
          <cell r="A670">
            <v>670</v>
          </cell>
        </row>
        <row r="671">
          <cell r="A671">
            <v>671</v>
          </cell>
        </row>
        <row r="672">
          <cell r="A672">
            <v>672</v>
          </cell>
        </row>
        <row r="673">
          <cell r="A673">
            <v>673</v>
          </cell>
        </row>
        <row r="674">
          <cell r="A674">
            <v>674</v>
          </cell>
        </row>
        <row r="675">
          <cell r="A675">
            <v>675</v>
          </cell>
        </row>
        <row r="676">
          <cell r="A676">
            <v>676</v>
          </cell>
        </row>
        <row r="677">
          <cell r="A677">
            <v>677</v>
          </cell>
        </row>
        <row r="678">
          <cell r="A678">
            <v>678</v>
          </cell>
        </row>
        <row r="679">
          <cell r="A679">
            <v>679</v>
          </cell>
        </row>
        <row r="680">
          <cell r="A680">
            <v>680</v>
          </cell>
        </row>
        <row r="681">
          <cell r="A681">
            <v>681</v>
          </cell>
        </row>
        <row r="682">
          <cell r="A682">
            <v>682</v>
          </cell>
        </row>
        <row r="683">
          <cell r="A683">
            <v>683</v>
          </cell>
        </row>
        <row r="684">
          <cell r="A684">
            <v>684</v>
          </cell>
        </row>
        <row r="685">
          <cell r="A685">
            <v>685</v>
          </cell>
        </row>
        <row r="686">
          <cell r="A686">
            <v>686</v>
          </cell>
        </row>
        <row r="687">
          <cell r="A687">
            <v>687</v>
          </cell>
        </row>
        <row r="688">
          <cell r="A688">
            <v>688</v>
          </cell>
        </row>
        <row r="689">
          <cell r="A689">
            <v>689</v>
          </cell>
        </row>
        <row r="690">
          <cell r="A690">
            <v>690</v>
          </cell>
        </row>
        <row r="691">
          <cell r="A691">
            <v>691</v>
          </cell>
        </row>
        <row r="692">
          <cell r="A692">
            <v>692</v>
          </cell>
        </row>
        <row r="693">
          <cell r="A693">
            <v>693</v>
          </cell>
        </row>
        <row r="694">
          <cell r="A694">
            <v>694</v>
          </cell>
        </row>
        <row r="695">
          <cell r="A695">
            <v>695</v>
          </cell>
        </row>
        <row r="696">
          <cell r="A696">
            <v>696</v>
          </cell>
        </row>
        <row r="697">
          <cell r="A697">
            <v>697</v>
          </cell>
        </row>
        <row r="698">
          <cell r="A698">
            <v>698</v>
          </cell>
        </row>
        <row r="699">
          <cell r="A699">
            <v>699</v>
          </cell>
        </row>
        <row r="700">
          <cell r="A700">
            <v>700</v>
          </cell>
        </row>
        <row r="701">
          <cell r="A701">
            <v>701</v>
          </cell>
        </row>
        <row r="702">
          <cell r="A702">
            <v>702</v>
          </cell>
        </row>
        <row r="703">
          <cell r="A703">
            <v>703</v>
          </cell>
        </row>
        <row r="704">
          <cell r="A704">
            <v>704</v>
          </cell>
        </row>
        <row r="705">
          <cell r="A705">
            <v>705</v>
          </cell>
        </row>
        <row r="706">
          <cell r="A706">
            <v>706</v>
          </cell>
        </row>
        <row r="707">
          <cell r="A707">
            <v>707</v>
          </cell>
        </row>
        <row r="708">
          <cell r="A708">
            <v>708</v>
          </cell>
        </row>
        <row r="709">
          <cell r="A709">
            <v>709</v>
          </cell>
        </row>
        <row r="710">
          <cell r="A710">
            <v>710</v>
          </cell>
        </row>
        <row r="711">
          <cell r="A711">
            <v>711</v>
          </cell>
        </row>
        <row r="712">
          <cell r="A712">
            <v>712</v>
          </cell>
        </row>
        <row r="713">
          <cell r="A713">
            <v>713</v>
          </cell>
        </row>
        <row r="714">
          <cell r="A714">
            <v>714</v>
          </cell>
        </row>
        <row r="715">
          <cell r="A715">
            <v>715</v>
          </cell>
        </row>
        <row r="716">
          <cell r="A716">
            <v>716</v>
          </cell>
        </row>
        <row r="717">
          <cell r="A717">
            <v>717</v>
          </cell>
        </row>
        <row r="718">
          <cell r="A718">
            <v>718</v>
          </cell>
        </row>
        <row r="719">
          <cell r="A719">
            <v>719</v>
          </cell>
        </row>
        <row r="720">
          <cell r="A720">
            <v>720</v>
          </cell>
        </row>
        <row r="721">
          <cell r="A721">
            <v>721</v>
          </cell>
        </row>
        <row r="722">
          <cell r="A722">
            <v>722</v>
          </cell>
        </row>
        <row r="723">
          <cell r="A723">
            <v>723</v>
          </cell>
        </row>
        <row r="724">
          <cell r="A724">
            <v>724</v>
          </cell>
        </row>
        <row r="725">
          <cell r="A725">
            <v>725</v>
          </cell>
        </row>
        <row r="726">
          <cell r="A726">
            <v>726</v>
          </cell>
        </row>
        <row r="727">
          <cell r="A727">
            <v>727</v>
          </cell>
        </row>
        <row r="728">
          <cell r="A728">
            <v>728</v>
          </cell>
        </row>
        <row r="729">
          <cell r="A729">
            <v>729</v>
          </cell>
        </row>
        <row r="730">
          <cell r="A730">
            <v>730</v>
          </cell>
        </row>
        <row r="731">
          <cell r="A731">
            <v>731</v>
          </cell>
        </row>
        <row r="732">
          <cell r="A732">
            <v>732</v>
          </cell>
        </row>
        <row r="733">
          <cell r="A733">
            <v>733</v>
          </cell>
        </row>
        <row r="734">
          <cell r="A734">
            <v>734</v>
          </cell>
        </row>
        <row r="735">
          <cell r="A735">
            <v>735</v>
          </cell>
        </row>
        <row r="736">
          <cell r="A736">
            <v>736</v>
          </cell>
        </row>
        <row r="737">
          <cell r="A737">
            <v>737</v>
          </cell>
        </row>
        <row r="738">
          <cell r="A738">
            <v>738</v>
          </cell>
        </row>
        <row r="739">
          <cell r="A739">
            <v>739</v>
          </cell>
        </row>
        <row r="740">
          <cell r="A740">
            <v>740</v>
          </cell>
        </row>
        <row r="741">
          <cell r="A741">
            <v>741</v>
          </cell>
        </row>
        <row r="742">
          <cell r="A742">
            <v>742</v>
          </cell>
        </row>
        <row r="743">
          <cell r="A743">
            <v>743</v>
          </cell>
        </row>
        <row r="744">
          <cell r="A744">
            <v>744</v>
          </cell>
        </row>
        <row r="745">
          <cell r="A745">
            <v>745</v>
          </cell>
        </row>
        <row r="746">
          <cell r="A746">
            <v>746</v>
          </cell>
        </row>
        <row r="747">
          <cell r="A747">
            <v>747</v>
          </cell>
        </row>
        <row r="748">
          <cell r="A748">
            <v>748</v>
          </cell>
        </row>
        <row r="749">
          <cell r="A749">
            <v>749</v>
          </cell>
        </row>
        <row r="750">
          <cell r="A750">
            <v>750</v>
          </cell>
        </row>
        <row r="751">
          <cell r="A751">
            <v>751</v>
          </cell>
        </row>
        <row r="752">
          <cell r="A752">
            <v>752</v>
          </cell>
        </row>
        <row r="753">
          <cell r="A753">
            <v>753</v>
          </cell>
        </row>
        <row r="754">
          <cell r="A754">
            <v>754</v>
          </cell>
        </row>
        <row r="755">
          <cell r="A755">
            <v>755</v>
          </cell>
        </row>
        <row r="756">
          <cell r="A756">
            <v>756</v>
          </cell>
        </row>
        <row r="757">
          <cell r="A757">
            <v>757</v>
          </cell>
        </row>
        <row r="758">
          <cell r="A758">
            <v>758</v>
          </cell>
        </row>
        <row r="759">
          <cell r="A759">
            <v>759</v>
          </cell>
        </row>
        <row r="760">
          <cell r="A760">
            <v>760</v>
          </cell>
        </row>
        <row r="761">
          <cell r="A761">
            <v>761</v>
          </cell>
        </row>
        <row r="762">
          <cell r="A762">
            <v>762</v>
          </cell>
        </row>
        <row r="763">
          <cell r="A763">
            <v>763</v>
          </cell>
        </row>
        <row r="764">
          <cell r="A764">
            <v>764</v>
          </cell>
        </row>
        <row r="765">
          <cell r="A765">
            <v>765</v>
          </cell>
        </row>
        <row r="766">
          <cell r="A766">
            <v>766</v>
          </cell>
        </row>
        <row r="767">
          <cell r="A767">
            <v>767</v>
          </cell>
        </row>
        <row r="768">
          <cell r="A768">
            <v>768</v>
          </cell>
        </row>
        <row r="769">
          <cell r="A769">
            <v>769</v>
          </cell>
        </row>
        <row r="770">
          <cell r="A770">
            <v>770</v>
          </cell>
        </row>
        <row r="771">
          <cell r="A771">
            <v>771</v>
          </cell>
        </row>
        <row r="772">
          <cell r="A772">
            <v>772</v>
          </cell>
        </row>
        <row r="773">
          <cell r="A773">
            <v>773</v>
          </cell>
        </row>
        <row r="774">
          <cell r="A774">
            <v>774</v>
          </cell>
        </row>
        <row r="775">
          <cell r="A775">
            <v>775</v>
          </cell>
        </row>
        <row r="776">
          <cell r="A776">
            <v>776</v>
          </cell>
        </row>
        <row r="777">
          <cell r="A777">
            <v>777</v>
          </cell>
        </row>
        <row r="778">
          <cell r="A778">
            <v>778</v>
          </cell>
        </row>
        <row r="779">
          <cell r="A779">
            <v>779</v>
          </cell>
        </row>
        <row r="780">
          <cell r="A780">
            <v>780</v>
          </cell>
        </row>
        <row r="781">
          <cell r="A781">
            <v>781</v>
          </cell>
        </row>
        <row r="782">
          <cell r="A782">
            <v>782</v>
          </cell>
        </row>
        <row r="783">
          <cell r="A783">
            <v>783</v>
          </cell>
        </row>
        <row r="784">
          <cell r="A784">
            <v>784</v>
          </cell>
        </row>
        <row r="785">
          <cell r="A785">
            <v>785</v>
          </cell>
        </row>
        <row r="786">
          <cell r="A786">
            <v>786</v>
          </cell>
        </row>
        <row r="787">
          <cell r="A787">
            <v>787</v>
          </cell>
        </row>
        <row r="788">
          <cell r="A788">
            <v>788</v>
          </cell>
        </row>
        <row r="789">
          <cell r="A789">
            <v>789</v>
          </cell>
        </row>
        <row r="790">
          <cell r="A790">
            <v>790</v>
          </cell>
        </row>
        <row r="791">
          <cell r="A791">
            <v>791</v>
          </cell>
        </row>
        <row r="792">
          <cell r="A792">
            <v>792</v>
          </cell>
        </row>
        <row r="793">
          <cell r="A793">
            <v>793</v>
          </cell>
        </row>
        <row r="794">
          <cell r="A794">
            <v>794</v>
          </cell>
        </row>
        <row r="795">
          <cell r="A795">
            <v>795</v>
          </cell>
        </row>
        <row r="796">
          <cell r="A796">
            <v>796</v>
          </cell>
        </row>
        <row r="797">
          <cell r="A797">
            <v>797</v>
          </cell>
        </row>
        <row r="798">
          <cell r="A798">
            <v>798</v>
          </cell>
        </row>
        <row r="799">
          <cell r="A799">
            <v>799</v>
          </cell>
        </row>
        <row r="800">
          <cell r="A800">
            <v>800</v>
          </cell>
        </row>
        <row r="801">
          <cell r="A801">
            <v>801</v>
          </cell>
        </row>
        <row r="802">
          <cell r="A802">
            <v>802</v>
          </cell>
        </row>
        <row r="803">
          <cell r="A803">
            <v>803</v>
          </cell>
        </row>
        <row r="804">
          <cell r="A804">
            <v>804</v>
          </cell>
        </row>
        <row r="805">
          <cell r="A805">
            <v>805</v>
          </cell>
        </row>
        <row r="806">
          <cell r="A806">
            <v>806</v>
          </cell>
        </row>
        <row r="807">
          <cell r="A807">
            <v>807</v>
          </cell>
        </row>
        <row r="808">
          <cell r="A808">
            <v>808</v>
          </cell>
        </row>
        <row r="809">
          <cell r="A809">
            <v>809</v>
          </cell>
        </row>
        <row r="810">
          <cell r="A810">
            <v>810</v>
          </cell>
        </row>
        <row r="811">
          <cell r="A811">
            <v>811</v>
          </cell>
        </row>
        <row r="812">
          <cell r="A812">
            <v>812</v>
          </cell>
        </row>
        <row r="813">
          <cell r="A813">
            <v>813</v>
          </cell>
        </row>
        <row r="814">
          <cell r="A814">
            <v>814</v>
          </cell>
        </row>
        <row r="815">
          <cell r="A815">
            <v>815</v>
          </cell>
        </row>
        <row r="816">
          <cell r="A816">
            <v>816</v>
          </cell>
        </row>
        <row r="817">
          <cell r="A817">
            <v>817</v>
          </cell>
        </row>
        <row r="818">
          <cell r="A818">
            <v>818</v>
          </cell>
        </row>
        <row r="819">
          <cell r="A819">
            <v>819</v>
          </cell>
        </row>
        <row r="820">
          <cell r="A820">
            <v>820</v>
          </cell>
        </row>
        <row r="821">
          <cell r="A821">
            <v>821</v>
          </cell>
        </row>
        <row r="822">
          <cell r="A822">
            <v>822</v>
          </cell>
        </row>
        <row r="823">
          <cell r="A823">
            <v>823</v>
          </cell>
        </row>
        <row r="824">
          <cell r="A824">
            <v>824</v>
          </cell>
        </row>
        <row r="825">
          <cell r="A825">
            <v>825</v>
          </cell>
        </row>
        <row r="826">
          <cell r="A826">
            <v>826</v>
          </cell>
        </row>
        <row r="827">
          <cell r="A827">
            <v>827</v>
          </cell>
        </row>
        <row r="828">
          <cell r="A828">
            <v>828</v>
          </cell>
        </row>
        <row r="829">
          <cell r="A829">
            <v>829</v>
          </cell>
        </row>
        <row r="830">
          <cell r="A830">
            <v>830</v>
          </cell>
        </row>
        <row r="831">
          <cell r="A831">
            <v>831</v>
          </cell>
        </row>
        <row r="832">
          <cell r="A832">
            <v>832</v>
          </cell>
        </row>
        <row r="833">
          <cell r="A833">
            <v>833</v>
          </cell>
        </row>
        <row r="834">
          <cell r="A834">
            <v>834</v>
          </cell>
        </row>
        <row r="835">
          <cell r="A835">
            <v>835</v>
          </cell>
        </row>
        <row r="836">
          <cell r="A836">
            <v>836</v>
          </cell>
        </row>
        <row r="837">
          <cell r="A837">
            <v>837</v>
          </cell>
        </row>
        <row r="838">
          <cell r="A838">
            <v>838</v>
          </cell>
        </row>
        <row r="839">
          <cell r="A839">
            <v>839</v>
          </cell>
        </row>
        <row r="840">
          <cell r="A840">
            <v>840</v>
          </cell>
        </row>
        <row r="841">
          <cell r="A841">
            <v>841</v>
          </cell>
        </row>
        <row r="842">
          <cell r="A842">
            <v>842</v>
          </cell>
        </row>
        <row r="843">
          <cell r="A843">
            <v>843</v>
          </cell>
        </row>
        <row r="844">
          <cell r="A844">
            <v>844</v>
          </cell>
        </row>
        <row r="845">
          <cell r="A845">
            <v>845</v>
          </cell>
        </row>
        <row r="846">
          <cell r="A846">
            <v>846</v>
          </cell>
        </row>
        <row r="847">
          <cell r="A847">
            <v>847</v>
          </cell>
        </row>
        <row r="848">
          <cell r="A848">
            <v>848</v>
          </cell>
        </row>
        <row r="849">
          <cell r="A849">
            <v>849</v>
          </cell>
        </row>
        <row r="850">
          <cell r="A850">
            <v>850</v>
          </cell>
        </row>
        <row r="851">
          <cell r="A851">
            <v>851</v>
          </cell>
        </row>
        <row r="852">
          <cell r="A852">
            <v>852</v>
          </cell>
        </row>
        <row r="853">
          <cell r="A853">
            <v>853</v>
          </cell>
        </row>
        <row r="854">
          <cell r="A854">
            <v>854</v>
          </cell>
        </row>
        <row r="855">
          <cell r="A855">
            <v>855</v>
          </cell>
        </row>
        <row r="856">
          <cell r="A856">
            <v>856</v>
          </cell>
        </row>
        <row r="857">
          <cell r="A857">
            <v>857</v>
          </cell>
        </row>
        <row r="858">
          <cell r="A858">
            <v>858</v>
          </cell>
        </row>
        <row r="859">
          <cell r="A859">
            <v>859</v>
          </cell>
        </row>
        <row r="860">
          <cell r="A860">
            <v>860</v>
          </cell>
        </row>
        <row r="861">
          <cell r="A861">
            <v>861</v>
          </cell>
        </row>
        <row r="862">
          <cell r="A862">
            <v>862</v>
          </cell>
        </row>
        <row r="863">
          <cell r="A863">
            <v>863</v>
          </cell>
        </row>
        <row r="864">
          <cell r="A864">
            <v>864</v>
          </cell>
        </row>
        <row r="865">
          <cell r="A865">
            <v>865</v>
          </cell>
        </row>
        <row r="866">
          <cell r="A866">
            <v>866</v>
          </cell>
        </row>
        <row r="867">
          <cell r="A867">
            <v>867</v>
          </cell>
        </row>
        <row r="868">
          <cell r="A868">
            <v>868</v>
          </cell>
        </row>
        <row r="869">
          <cell r="A869">
            <v>869</v>
          </cell>
        </row>
        <row r="870">
          <cell r="A870">
            <v>870</v>
          </cell>
        </row>
        <row r="871">
          <cell r="A871">
            <v>871</v>
          </cell>
        </row>
        <row r="872">
          <cell r="A872">
            <v>872</v>
          </cell>
        </row>
        <row r="873">
          <cell r="A873">
            <v>873</v>
          </cell>
        </row>
        <row r="874">
          <cell r="A874">
            <v>874</v>
          </cell>
        </row>
        <row r="875">
          <cell r="A875">
            <v>875</v>
          </cell>
        </row>
        <row r="876">
          <cell r="A876">
            <v>876</v>
          </cell>
        </row>
        <row r="877">
          <cell r="A877">
            <v>877</v>
          </cell>
        </row>
        <row r="878">
          <cell r="A878">
            <v>878</v>
          </cell>
        </row>
        <row r="879">
          <cell r="A879">
            <v>879</v>
          </cell>
        </row>
        <row r="880">
          <cell r="A880">
            <v>880</v>
          </cell>
        </row>
        <row r="881">
          <cell r="A881">
            <v>881</v>
          </cell>
        </row>
        <row r="882">
          <cell r="A882">
            <v>882</v>
          </cell>
        </row>
        <row r="883">
          <cell r="A883">
            <v>883</v>
          </cell>
        </row>
        <row r="884">
          <cell r="A884">
            <v>884</v>
          </cell>
        </row>
        <row r="885">
          <cell r="A885">
            <v>885</v>
          </cell>
        </row>
        <row r="886">
          <cell r="A886">
            <v>886</v>
          </cell>
        </row>
        <row r="887">
          <cell r="A887">
            <v>887</v>
          </cell>
        </row>
        <row r="888">
          <cell r="A888">
            <v>888</v>
          </cell>
        </row>
        <row r="889">
          <cell r="A889">
            <v>889</v>
          </cell>
        </row>
        <row r="890">
          <cell r="A890">
            <v>890</v>
          </cell>
        </row>
        <row r="891">
          <cell r="A891">
            <v>891</v>
          </cell>
        </row>
        <row r="892">
          <cell r="A892">
            <v>892</v>
          </cell>
        </row>
        <row r="893">
          <cell r="A893">
            <v>893</v>
          </cell>
        </row>
        <row r="894">
          <cell r="A894">
            <v>894</v>
          </cell>
        </row>
        <row r="895">
          <cell r="A895">
            <v>895</v>
          </cell>
        </row>
        <row r="896">
          <cell r="A896">
            <v>896</v>
          </cell>
        </row>
        <row r="897">
          <cell r="A897">
            <v>897</v>
          </cell>
        </row>
        <row r="898">
          <cell r="A898">
            <v>898</v>
          </cell>
        </row>
        <row r="899">
          <cell r="A899">
            <v>899</v>
          </cell>
        </row>
        <row r="900">
          <cell r="A900">
            <v>900</v>
          </cell>
        </row>
        <row r="901">
          <cell r="A901">
            <v>901</v>
          </cell>
        </row>
        <row r="902">
          <cell r="A902">
            <v>902</v>
          </cell>
        </row>
        <row r="903">
          <cell r="A903">
            <v>903</v>
          </cell>
        </row>
        <row r="904">
          <cell r="A904">
            <v>904</v>
          </cell>
        </row>
        <row r="905">
          <cell r="A905">
            <v>905</v>
          </cell>
        </row>
        <row r="906">
          <cell r="A906">
            <v>906</v>
          </cell>
        </row>
        <row r="907">
          <cell r="A907">
            <v>907</v>
          </cell>
        </row>
        <row r="908">
          <cell r="A908">
            <v>908</v>
          </cell>
        </row>
        <row r="909">
          <cell r="A909">
            <v>909</v>
          </cell>
        </row>
        <row r="910">
          <cell r="A910">
            <v>910</v>
          </cell>
        </row>
        <row r="911">
          <cell r="A911">
            <v>911</v>
          </cell>
        </row>
        <row r="912">
          <cell r="A912">
            <v>912</v>
          </cell>
        </row>
        <row r="913">
          <cell r="A913">
            <v>913</v>
          </cell>
        </row>
        <row r="914">
          <cell r="A914">
            <v>914</v>
          </cell>
        </row>
        <row r="915">
          <cell r="A915">
            <v>915</v>
          </cell>
        </row>
        <row r="916">
          <cell r="A916">
            <v>916</v>
          </cell>
        </row>
        <row r="917">
          <cell r="A917">
            <v>917</v>
          </cell>
        </row>
        <row r="918">
          <cell r="A918">
            <v>918</v>
          </cell>
        </row>
        <row r="919">
          <cell r="A919">
            <v>919</v>
          </cell>
        </row>
        <row r="920">
          <cell r="A920">
            <v>920</v>
          </cell>
        </row>
        <row r="921">
          <cell r="A921">
            <v>921</v>
          </cell>
        </row>
        <row r="922">
          <cell r="A922">
            <v>922</v>
          </cell>
        </row>
        <row r="923">
          <cell r="A923">
            <v>923</v>
          </cell>
        </row>
        <row r="924">
          <cell r="A924">
            <v>924</v>
          </cell>
        </row>
        <row r="925">
          <cell r="A925">
            <v>925</v>
          </cell>
        </row>
        <row r="926">
          <cell r="A926">
            <v>926</v>
          </cell>
        </row>
        <row r="927">
          <cell r="A927">
            <v>927</v>
          </cell>
        </row>
        <row r="928">
          <cell r="A928">
            <v>928</v>
          </cell>
        </row>
        <row r="929">
          <cell r="A929">
            <v>929</v>
          </cell>
        </row>
        <row r="930">
          <cell r="A930">
            <v>930</v>
          </cell>
        </row>
        <row r="931">
          <cell r="A931">
            <v>931</v>
          </cell>
        </row>
        <row r="932">
          <cell r="A932">
            <v>932</v>
          </cell>
        </row>
        <row r="933">
          <cell r="A933">
            <v>933</v>
          </cell>
        </row>
        <row r="934">
          <cell r="A934">
            <v>934</v>
          </cell>
        </row>
        <row r="935">
          <cell r="A935">
            <v>935</v>
          </cell>
        </row>
        <row r="936">
          <cell r="A936">
            <v>936</v>
          </cell>
        </row>
        <row r="937">
          <cell r="A937">
            <v>937</v>
          </cell>
        </row>
        <row r="938">
          <cell r="A938">
            <v>938</v>
          </cell>
        </row>
        <row r="939">
          <cell r="A939">
            <v>939</v>
          </cell>
        </row>
        <row r="940">
          <cell r="A940">
            <v>940</v>
          </cell>
        </row>
        <row r="941">
          <cell r="A941">
            <v>941</v>
          </cell>
        </row>
        <row r="942">
          <cell r="A942">
            <v>942</v>
          </cell>
        </row>
        <row r="943">
          <cell r="A943">
            <v>943</v>
          </cell>
        </row>
        <row r="944">
          <cell r="A944">
            <v>944</v>
          </cell>
        </row>
        <row r="945">
          <cell r="A945">
            <v>945</v>
          </cell>
        </row>
        <row r="946">
          <cell r="A946">
            <v>946</v>
          </cell>
        </row>
        <row r="947">
          <cell r="A947">
            <v>947</v>
          </cell>
        </row>
        <row r="948">
          <cell r="A948">
            <v>948</v>
          </cell>
        </row>
        <row r="949">
          <cell r="A949">
            <v>949</v>
          </cell>
        </row>
        <row r="950">
          <cell r="A950">
            <v>950</v>
          </cell>
        </row>
        <row r="951">
          <cell r="A951">
            <v>951</v>
          </cell>
        </row>
        <row r="952">
          <cell r="A952">
            <v>952</v>
          </cell>
        </row>
        <row r="953">
          <cell r="A953">
            <v>953</v>
          </cell>
        </row>
        <row r="954">
          <cell r="A954">
            <v>954</v>
          </cell>
        </row>
        <row r="955">
          <cell r="A955">
            <v>955</v>
          </cell>
        </row>
        <row r="956">
          <cell r="A956">
            <v>956</v>
          </cell>
        </row>
        <row r="957">
          <cell r="A957">
            <v>957</v>
          </cell>
        </row>
        <row r="958">
          <cell r="A958">
            <v>958</v>
          </cell>
        </row>
        <row r="959">
          <cell r="A959">
            <v>959</v>
          </cell>
        </row>
        <row r="960">
          <cell r="A960">
            <v>960</v>
          </cell>
        </row>
        <row r="961">
          <cell r="A961">
            <v>961</v>
          </cell>
        </row>
        <row r="962">
          <cell r="A962">
            <v>962</v>
          </cell>
        </row>
        <row r="963">
          <cell r="A963">
            <v>963</v>
          </cell>
        </row>
        <row r="964">
          <cell r="A964">
            <v>964</v>
          </cell>
        </row>
        <row r="965">
          <cell r="A965">
            <v>965</v>
          </cell>
        </row>
        <row r="966">
          <cell r="A966">
            <v>966</v>
          </cell>
        </row>
        <row r="967">
          <cell r="A967">
            <v>967</v>
          </cell>
        </row>
        <row r="968">
          <cell r="A968">
            <v>968</v>
          </cell>
        </row>
        <row r="969">
          <cell r="A969">
            <v>969</v>
          </cell>
        </row>
        <row r="970">
          <cell r="A970">
            <v>970</v>
          </cell>
        </row>
        <row r="971">
          <cell r="A971">
            <v>971</v>
          </cell>
        </row>
        <row r="972">
          <cell r="A972">
            <v>972</v>
          </cell>
        </row>
        <row r="973">
          <cell r="A973">
            <v>973</v>
          </cell>
        </row>
        <row r="974">
          <cell r="A974">
            <v>974</v>
          </cell>
        </row>
        <row r="975">
          <cell r="A975">
            <v>975</v>
          </cell>
        </row>
        <row r="976">
          <cell r="A976">
            <v>976</v>
          </cell>
        </row>
        <row r="977">
          <cell r="A977">
            <v>977</v>
          </cell>
        </row>
        <row r="978">
          <cell r="A978">
            <v>978</v>
          </cell>
        </row>
        <row r="979">
          <cell r="A979">
            <v>979</v>
          </cell>
        </row>
        <row r="980">
          <cell r="A980">
            <v>980</v>
          </cell>
        </row>
        <row r="981">
          <cell r="A981">
            <v>981</v>
          </cell>
        </row>
        <row r="982">
          <cell r="A982">
            <v>982</v>
          </cell>
        </row>
        <row r="983">
          <cell r="A983">
            <v>983</v>
          </cell>
        </row>
        <row r="984">
          <cell r="A984">
            <v>984</v>
          </cell>
        </row>
        <row r="985">
          <cell r="A985">
            <v>985</v>
          </cell>
        </row>
        <row r="986">
          <cell r="A986">
            <v>986</v>
          </cell>
        </row>
        <row r="987">
          <cell r="A987">
            <v>987</v>
          </cell>
        </row>
        <row r="988">
          <cell r="A988">
            <v>988</v>
          </cell>
        </row>
        <row r="989">
          <cell r="A989">
            <v>989</v>
          </cell>
        </row>
        <row r="990">
          <cell r="A990">
            <v>990</v>
          </cell>
        </row>
        <row r="991">
          <cell r="A991">
            <v>991</v>
          </cell>
        </row>
        <row r="992">
          <cell r="A992">
            <v>992</v>
          </cell>
        </row>
        <row r="993">
          <cell r="A993">
            <v>993</v>
          </cell>
        </row>
        <row r="994">
          <cell r="A994">
            <v>994</v>
          </cell>
        </row>
        <row r="995">
          <cell r="A995">
            <v>995</v>
          </cell>
        </row>
        <row r="996">
          <cell r="A996">
            <v>996</v>
          </cell>
        </row>
        <row r="997">
          <cell r="A997">
            <v>997</v>
          </cell>
        </row>
        <row r="998">
          <cell r="A998">
            <v>998</v>
          </cell>
        </row>
        <row r="999">
          <cell r="A999">
            <v>999</v>
          </cell>
        </row>
        <row r="1000">
          <cell r="A1000">
            <v>1000</v>
          </cell>
        </row>
        <row r="1001">
          <cell r="A1001">
            <v>1001</v>
          </cell>
        </row>
        <row r="1002">
          <cell r="A1002">
            <v>1002</v>
          </cell>
        </row>
        <row r="1003">
          <cell r="A1003">
            <v>1003</v>
          </cell>
        </row>
        <row r="1004">
          <cell r="A1004">
            <v>1004</v>
          </cell>
        </row>
        <row r="1005">
          <cell r="A1005">
            <v>1005</v>
          </cell>
        </row>
        <row r="1006">
          <cell r="A1006">
            <v>1006</v>
          </cell>
        </row>
        <row r="1007">
          <cell r="A1007">
            <v>1007</v>
          </cell>
        </row>
        <row r="1008">
          <cell r="A1008">
            <v>1008</v>
          </cell>
        </row>
        <row r="1009">
          <cell r="A1009">
            <v>1009</v>
          </cell>
        </row>
        <row r="1010">
          <cell r="A1010">
            <v>1010</v>
          </cell>
        </row>
        <row r="1011">
          <cell r="A1011">
            <v>1011</v>
          </cell>
        </row>
        <row r="1012">
          <cell r="A1012">
            <v>1012</v>
          </cell>
        </row>
        <row r="1013">
          <cell r="A1013">
            <v>1013</v>
          </cell>
        </row>
        <row r="1014">
          <cell r="A1014">
            <v>1014</v>
          </cell>
        </row>
        <row r="1015">
          <cell r="A1015">
            <v>1015</v>
          </cell>
        </row>
        <row r="1016">
          <cell r="A1016">
            <v>1016</v>
          </cell>
        </row>
        <row r="1017">
          <cell r="A1017">
            <v>1017</v>
          </cell>
        </row>
        <row r="1018">
          <cell r="A1018">
            <v>1018</v>
          </cell>
        </row>
        <row r="1019">
          <cell r="A1019">
            <v>1019</v>
          </cell>
        </row>
        <row r="1020">
          <cell r="A1020">
            <v>1020</v>
          </cell>
        </row>
        <row r="1021">
          <cell r="A1021">
            <v>1021</v>
          </cell>
        </row>
        <row r="1022">
          <cell r="A1022">
            <v>1022</v>
          </cell>
        </row>
        <row r="1023">
          <cell r="A1023">
            <v>1023</v>
          </cell>
        </row>
        <row r="1024">
          <cell r="A1024">
            <v>1024</v>
          </cell>
        </row>
        <row r="1025">
          <cell r="A1025">
            <v>1025</v>
          </cell>
        </row>
        <row r="1026">
          <cell r="A1026">
            <v>1026</v>
          </cell>
        </row>
        <row r="1027">
          <cell r="A1027">
            <v>1027</v>
          </cell>
        </row>
        <row r="1028">
          <cell r="A1028">
            <v>1028</v>
          </cell>
        </row>
        <row r="1029">
          <cell r="A1029">
            <v>1029</v>
          </cell>
        </row>
        <row r="1030">
          <cell r="A1030">
            <v>1030</v>
          </cell>
        </row>
        <row r="1031">
          <cell r="A1031">
            <v>1031</v>
          </cell>
        </row>
        <row r="1032">
          <cell r="A1032">
            <v>1032</v>
          </cell>
        </row>
        <row r="1033">
          <cell r="A1033">
            <v>1033</v>
          </cell>
        </row>
        <row r="1034">
          <cell r="A1034">
            <v>1034</v>
          </cell>
        </row>
        <row r="1035">
          <cell r="A1035">
            <v>1035</v>
          </cell>
        </row>
        <row r="1036">
          <cell r="A1036">
            <v>1036</v>
          </cell>
        </row>
        <row r="1037">
          <cell r="A1037">
            <v>1037</v>
          </cell>
        </row>
        <row r="1038">
          <cell r="A1038">
            <v>1038</v>
          </cell>
        </row>
        <row r="1039">
          <cell r="A1039">
            <v>1039</v>
          </cell>
        </row>
        <row r="1040">
          <cell r="A1040">
            <v>1040</v>
          </cell>
        </row>
        <row r="1041">
          <cell r="A1041">
            <v>1041</v>
          </cell>
        </row>
        <row r="1042">
          <cell r="A1042">
            <v>1042</v>
          </cell>
        </row>
        <row r="1043">
          <cell r="A1043">
            <v>1043</v>
          </cell>
        </row>
        <row r="1044">
          <cell r="A1044">
            <v>1044</v>
          </cell>
        </row>
        <row r="1045">
          <cell r="A1045">
            <v>1045</v>
          </cell>
        </row>
        <row r="1046">
          <cell r="A1046">
            <v>1046</v>
          </cell>
        </row>
        <row r="1047">
          <cell r="A1047">
            <v>1047</v>
          </cell>
        </row>
        <row r="1048">
          <cell r="A1048">
            <v>1048</v>
          </cell>
        </row>
        <row r="1049">
          <cell r="A1049">
            <v>1049</v>
          </cell>
        </row>
        <row r="1050">
          <cell r="A1050">
            <v>1050</v>
          </cell>
        </row>
        <row r="1051">
          <cell r="A1051">
            <v>1051</v>
          </cell>
        </row>
        <row r="1052">
          <cell r="A1052">
            <v>1052</v>
          </cell>
        </row>
        <row r="1053">
          <cell r="A1053">
            <v>1053</v>
          </cell>
        </row>
        <row r="1054">
          <cell r="A1054">
            <v>1054</v>
          </cell>
        </row>
        <row r="1055">
          <cell r="A1055">
            <v>1055</v>
          </cell>
        </row>
        <row r="1056">
          <cell r="A1056">
            <v>1056</v>
          </cell>
        </row>
        <row r="1057">
          <cell r="A1057">
            <v>1057</v>
          </cell>
        </row>
        <row r="1058">
          <cell r="A1058">
            <v>1058</v>
          </cell>
        </row>
        <row r="1059">
          <cell r="A1059">
            <v>1059</v>
          </cell>
        </row>
        <row r="1060">
          <cell r="A1060">
            <v>1060</v>
          </cell>
        </row>
        <row r="1061">
          <cell r="A1061">
            <v>1061</v>
          </cell>
        </row>
        <row r="1062">
          <cell r="A1062">
            <v>1062</v>
          </cell>
        </row>
        <row r="1063">
          <cell r="A1063">
            <v>1063</v>
          </cell>
        </row>
        <row r="1064">
          <cell r="A1064">
            <v>1064</v>
          </cell>
        </row>
        <row r="1065">
          <cell r="A1065">
            <v>1065</v>
          </cell>
        </row>
        <row r="1066">
          <cell r="A1066">
            <v>1066</v>
          </cell>
        </row>
        <row r="1067">
          <cell r="A1067">
            <v>1067</v>
          </cell>
        </row>
        <row r="1068">
          <cell r="A1068">
            <v>1068</v>
          </cell>
        </row>
        <row r="1069">
          <cell r="A1069">
            <v>1069</v>
          </cell>
        </row>
        <row r="1070">
          <cell r="A1070">
            <v>1070</v>
          </cell>
        </row>
        <row r="1071">
          <cell r="A1071">
            <v>1071</v>
          </cell>
        </row>
        <row r="1072">
          <cell r="A1072">
            <v>1072</v>
          </cell>
        </row>
        <row r="1073">
          <cell r="A1073">
            <v>1073</v>
          </cell>
        </row>
        <row r="1074">
          <cell r="A1074">
            <v>1074</v>
          </cell>
        </row>
        <row r="1075">
          <cell r="A1075">
            <v>1075</v>
          </cell>
        </row>
        <row r="1076">
          <cell r="A1076">
            <v>1076</v>
          </cell>
        </row>
        <row r="1077">
          <cell r="A1077">
            <v>1077</v>
          </cell>
        </row>
        <row r="1078">
          <cell r="A1078">
            <v>1078</v>
          </cell>
        </row>
        <row r="1079">
          <cell r="A1079">
            <v>1079</v>
          </cell>
        </row>
        <row r="1080">
          <cell r="A1080">
            <v>1080</v>
          </cell>
        </row>
        <row r="1081">
          <cell r="A1081">
            <v>1081</v>
          </cell>
        </row>
        <row r="1082">
          <cell r="A1082">
            <v>1082</v>
          </cell>
        </row>
        <row r="1083">
          <cell r="A1083">
            <v>1083</v>
          </cell>
        </row>
        <row r="1084">
          <cell r="A1084">
            <v>1084</v>
          </cell>
        </row>
        <row r="1085">
          <cell r="A1085">
            <v>1085</v>
          </cell>
        </row>
        <row r="1086">
          <cell r="A1086">
            <v>1086</v>
          </cell>
        </row>
        <row r="1087">
          <cell r="A1087">
            <v>1087</v>
          </cell>
        </row>
        <row r="1088">
          <cell r="A1088">
            <v>1088</v>
          </cell>
        </row>
        <row r="1089">
          <cell r="A1089">
            <v>1089</v>
          </cell>
        </row>
        <row r="1090">
          <cell r="A1090">
            <v>1090</v>
          </cell>
        </row>
        <row r="1091">
          <cell r="A1091">
            <v>1091</v>
          </cell>
        </row>
        <row r="1092">
          <cell r="A1092">
            <v>1092</v>
          </cell>
        </row>
        <row r="1093">
          <cell r="A1093">
            <v>1093</v>
          </cell>
        </row>
        <row r="1094">
          <cell r="A1094">
            <v>1094</v>
          </cell>
        </row>
        <row r="1095">
          <cell r="A1095">
            <v>1095</v>
          </cell>
        </row>
        <row r="1096">
          <cell r="A1096">
            <v>1096</v>
          </cell>
        </row>
        <row r="1097">
          <cell r="A1097">
            <v>1097</v>
          </cell>
        </row>
        <row r="1098">
          <cell r="A1098">
            <v>1098</v>
          </cell>
        </row>
        <row r="1099">
          <cell r="A1099">
            <v>1099</v>
          </cell>
        </row>
        <row r="1100">
          <cell r="A1100">
            <v>1100</v>
          </cell>
        </row>
        <row r="1101">
          <cell r="A1101">
            <v>1101</v>
          </cell>
        </row>
        <row r="1102">
          <cell r="A1102">
            <v>1102</v>
          </cell>
        </row>
        <row r="1103">
          <cell r="A1103">
            <v>1103</v>
          </cell>
        </row>
        <row r="1104">
          <cell r="A1104">
            <v>1104</v>
          </cell>
        </row>
        <row r="1105">
          <cell r="A1105">
            <v>1105</v>
          </cell>
        </row>
        <row r="1106">
          <cell r="A1106">
            <v>1106</v>
          </cell>
        </row>
        <row r="1107">
          <cell r="A1107">
            <v>1107</v>
          </cell>
        </row>
        <row r="1108">
          <cell r="A1108">
            <v>1108</v>
          </cell>
        </row>
        <row r="1109">
          <cell r="A1109">
            <v>1109</v>
          </cell>
        </row>
        <row r="1110">
          <cell r="A1110">
            <v>1110</v>
          </cell>
        </row>
        <row r="1111">
          <cell r="A1111">
            <v>1111</v>
          </cell>
        </row>
        <row r="1112">
          <cell r="A1112">
            <v>1112</v>
          </cell>
        </row>
        <row r="1113">
          <cell r="A1113">
            <v>1113</v>
          </cell>
        </row>
        <row r="1114">
          <cell r="A1114">
            <v>1114</v>
          </cell>
        </row>
        <row r="1115">
          <cell r="A1115">
            <v>1115</v>
          </cell>
        </row>
        <row r="1116">
          <cell r="A1116">
            <v>1116</v>
          </cell>
        </row>
        <row r="1117">
          <cell r="A1117">
            <v>1117</v>
          </cell>
        </row>
        <row r="1118">
          <cell r="A1118">
            <v>1118</v>
          </cell>
        </row>
        <row r="1119">
          <cell r="A1119">
            <v>1119</v>
          </cell>
        </row>
        <row r="1120">
          <cell r="A1120">
            <v>1120</v>
          </cell>
        </row>
        <row r="1121">
          <cell r="A1121">
            <v>1121</v>
          </cell>
        </row>
        <row r="1122">
          <cell r="A1122">
            <v>1122</v>
          </cell>
        </row>
        <row r="1123">
          <cell r="A1123">
            <v>1123</v>
          </cell>
        </row>
        <row r="1124">
          <cell r="A1124">
            <v>1124</v>
          </cell>
        </row>
        <row r="1125">
          <cell r="A1125">
            <v>1125</v>
          </cell>
        </row>
        <row r="1126">
          <cell r="A1126">
            <v>1126</v>
          </cell>
        </row>
        <row r="1127">
          <cell r="A1127">
            <v>1127</v>
          </cell>
        </row>
        <row r="1128">
          <cell r="A1128">
            <v>1128</v>
          </cell>
        </row>
        <row r="1129">
          <cell r="A1129">
            <v>1129</v>
          </cell>
        </row>
        <row r="1130">
          <cell r="A1130">
            <v>1130</v>
          </cell>
        </row>
        <row r="1131">
          <cell r="A1131">
            <v>1131</v>
          </cell>
        </row>
        <row r="1132">
          <cell r="A1132">
            <v>1132</v>
          </cell>
        </row>
        <row r="1133">
          <cell r="A1133">
            <v>1133</v>
          </cell>
        </row>
        <row r="1134">
          <cell r="A1134">
            <v>1134</v>
          </cell>
        </row>
        <row r="1135">
          <cell r="A1135">
            <v>1135</v>
          </cell>
        </row>
        <row r="1136">
          <cell r="A1136">
            <v>1136</v>
          </cell>
        </row>
        <row r="1137">
          <cell r="A1137">
            <v>1137</v>
          </cell>
        </row>
        <row r="1138">
          <cell r="A1138">
            <v>1138</v>
          </cell>
        </row>
        <row r="1139">
          <cell r="A1139">
            <v>1139</v>
          </cell>
        </row>
        <row r="1140">
          <cell r="A1140">
            <v>1140</v>
          </cell>
        </row>
        <row r="1141">
          <cell r="A1141">
            <v>1141</v>
          </cell>
        </row>
        <row r="1142">
          <cell r="A1142">
            <v>1142</v>
          </cell>
        </row>
        <row r="1143">
          <cell r="A1143">
            <v>1143</v>
          </cell>
        </row>
        <row r="1144">
          <cell r="A1144">
            <v>1144</v>
          </cell>
        </row>
        <row r="1145">
          <cell r="A1145">
            <v>1145</v>
          </cell>
        </row>
        <row r="1146">
          <cell r="A1146">
            <v>1146</v>
          </cell>
        </row>
        <row r="1147">
          <cell r="A1147">
            <v>1147</v>
          </cell>
        </row>
        <row r="1148">
          <cell r="A1148">
            <v>1148</v>
          </cell>
        </row>
        <row r="1149">
          <cell r="A1149">
            <v>1149</v>
          </cell>
        </row>
        <row r="1150">
          <cell r="A1150">
            <v>1150</v>
          </cell>
        </row>
        <row r="1151">
          <cell r="A1151">
            <v>1151</v>
          </cell>
        </row>
        <row r="1152">
          <cell r="A1152">
            <v>1152</v>
          </cell>
        </row>
        <row r="1153">
          <cell r="A1153">
            <v>1153</v>
          </cell>
        </row>
        <row r="1154">
          <cell r="A1154">
            <v>1154</v>
          </cell>
        </row>
        <row r="1155">
          <cell r="A1155">
            <v>1155</v>
          </cell>
        </row>
        <row r="1156">
          <cell r="A1156">
            <v>1156</v>
          </cell>
        </row>
        <row r="1157">
          <cell r="A1157">
            <v>1157</v>
          </cell>
        </row>
        <row r="1158">
          <cell r="A1158">
            <v>1158</v>
          </cell>
        </row>
        <row r="1159">
          <cell r="A1159">
            <v>1159</v>
          </cell>
        </row>
        <row r="1160">
          <cell r="A1160">
            <v>1160</v>
          </cell>
        </row>
        <row r="1161">
          <cell r="A1161">
            <v>1161</v>
          </cell>
        </row>
        <row r="1162">
          <cell r="A1162">
            <v>1162</v>
          </cell>
        </row>
        <row r="1163">
          <cell r="A1163">
            <v>1163</v>
          </cell>
        </row>
        <row r="1164">
          <cell r="A1164">
            <v>1164</v>
          </cell>
        </row>
        <row r="1165">
          <cell r="A1165">
            <v>1165</v>
          </cell>
        </row>
        <row r="1166">
          <cell r="A1166">
            <v>1166</v>
          </cell>
        </row>
        <row r="1167">
          <cell r="A1167">
            <v>1167</v>
          </cell>
        </row>
        <row r="1168">
          <cell r="A1168">
            <v>1168</v>
          </cell>
        </row>
        <row r="1169">
          <cell r="A1169">
            <v>1169</v>
          </cell>
        </row>
        <row r="1170">
          <cell r="A1170">
            <v>1170</v>
          </cell>
        </row>
        <row r="1171">
          <cell r="A1171">
            <v>1171</v>
          </cell>
        </row>
        <row r="1172">
          <cell r="A1172">
            <v>1172</v>
          </cell>
        </row>
        <row r="1173">
          <cell r="A1173">
            <v>1173</v>
          </cell>
        </row>
        <row r="1174">
          <cell r="A1174">
            <v>1174</v>
          </cell>
        </row>
        <row r="1175">
          <cell r="A1175">
            <v>1175</v>
          </cell>
        </row>
        <row r="1176">
          <cell r="A1176">
            <v>1176</v>
          </cell>
        </row>
        <row r="1177">
          <cell r="A1177">
            <v>1177</v>
          </cell>
        </row>
        <row r="1178">
          <cell r="A1178">
            <v>1178</v>
          </cell>
        </row>
        <row r="1179">
          <cell r="A1179">
            <v>1179</v>
          </cell>
        </row>
        <row r="1180">
          <cell r="A1180">
            <v>1180</v>
          </cell>
        </row>
        <row r="1181">
          <cell r="A1181">
            <v>1181</v>
          </cell>
        </row>
        <row r="1182">
          <cell r="A1182">
            <v>1182</v>
          </cell>
        </row>
        <row r="1183">
          <cell r="A1183">
            <v>1183</v>
          </cell>
        </row>
        <row r="1184">
          <cell r="A1184">
            <v>1184</v>
          </cell>
        </row>
        <row r="1185">
          <cell r="A1185">
            <v>1185</v>
          </cell>
        </row>
        <row r="1186">
          <cell r="A1186">
            <v>1186</v>
          </cell>
        </row>
        <row r="1187">
          <cell r="A1187">
            <v>1187</v>
          </cell>
        </row>
        <row r="1188">
          <cell r="A1188">
            <v>1188</v>
          </cell>
        </row>
        <row r="1189">
          <cell r="A1189">
            <v>1189</v>
          </cell>
        </row>
        <row r="1190">
          <cell r="A1190">
            <v>1190</v>
          </cell>
        </row>
        <row r="1191">
          <cell r="A1191">
            <v>1191</v>
          </cell>
        </row>
        <row r="1192">
          <cell r="A1192">
            <v>1192</v>
          </cell>
        </row>
        <row r="1193">
          <cell r="A1193">
            <v>1193</v>
          </cell>
        </row>
        <row r="1194">
          <cell r="A1194">
            <v>1194</v>
          </cell>
        </row>
        <row r="1195">
          <cell r="A1195">
            <v>1195</v>
          </cell>
        </row>
        <row r="1196">
          <cell r="A1196">
            <v>1196</v>
          </cell>
        </row>
        <row r="1197">
          <cell r="A1197">
            <v>1197</v>
          </cell>
        </row>
        <row r="1198">
          <cell r="A1198">
            <v>1198</v>
          </cell>
        </row>
        <row r="1199">
          <cell r="A1199">
            <v>1199</v>
          </cell>
        </row>
        <row r="1200">
          <cell r="A1200">
            <v>1200</v>
          </cell>
        </row>
        <row r="1201">
          <cell r="A1201">
            <v>1201</v>
          </cell>
        </row>
        <row r="1202">
          <cell r="A1202">
            <v>1202</v>
          </cell>
        </row>
        <row r="1203">
          <cell r="A1203">
            <v>1203</v>
          </cell>
        </row>
        <row r="1204">
          <cell r="A1204">
            <v>1204</v>
          </cell>
        </row>
        <row r="1205">
          <cell r="A1205">
            <v>1205</v>
          </cell>
        </row>
        <row r="1206">
          <cell r="A1206">
            <v>1206</v>
          </cell>
        </row>
        <row r="1207">
          <cell r="A1207">
            <v>1207</v>
          </cell>
        </row>
        <row r="1208">
          <cell r="A1208">
            <v>1208</v>
          </cell>
        </row>
        <row r="1209">
          <cell r="A1209">
            <v>1209</v>
          </cell>
        </row>
        <row r="1210">
          <cell r="A1210">
            <v>1210</v>
          </cell>
        </row>
        <row r="1211">
          <cell r="A1211">
            <v>1211</v>
          </cell>
        </row>
        <row r="1212">
          <cell r="A1212">
            <v>1212</v>
          </cell>
        </row>
        <row r="1213">
          <cell r="A1213">
            <v>1213</v>
          </cell>
        </row>
        <row r="1214">
          <cell r="A1214">
            <v>1214</v>
          </cell>
        </row>
        <row r="1215">
          <cell r="A1215">
            <v>1215</v>
          </cell>
        </row>
        <row r="1216">
          <cell r="A1216">
            <v>1216</v>
          </cell>
        </row>
        <row r="1217">
          <cell r="A1217">
            <v>1217</v>
          </cell>
        </row>
        <row r="1218">
          <cell r="A1218">
            <v>1218</v>
          </cell>
        </row>
        <row r="1219">
          <cell r="A1219">
            <v>1219</v>
          </cell>
        </row>
        <row r="1220">
          <cell r="A1220">
            <v>1220</v>
          </cell>
        </row>
        <row r="1221">
          <cell r="A1221">
            <v>1221</v>
          </cell>
        </row>
        <row r="1222">
          <cell r="A1222">
            <v>1222</v>
          </cell>
        </row>
        <row r="1223">
          <cell r="A1223">
            <v>1223</v>
          </cell>
        </row>
        <row r="1224">
          <cell r="A1224">
            <v>1224</v>
          </cell>
        </row>
        <row r="1225">
          <cell r="A1225">
            <v>1225</v>
          </cell>
        </row>
        <row r="1226">
          <cell r="A1226">
            <v>1226</v>
          </cell>
        </row>
        <row r="1227">
          <cell r="A1227">
            <v>1227</v>
          </cell>
        </row>
        <row r="1228">
          <cell r="A1228">
            <v>1228</v>
          </cell>
        </row>
        <row r="1229">
          <cell r="A1229">
            <v>1229</v>
          </cell>
        </row>
        <row r="1230">
          <cell r="A1230">
            <v>1230</v>
          </cell>
        </row>
        <row r="1231">
          <cell r="A1231">
            <v>1231</v>
          </cell>
        </row>
        <row r="1232">
          <cell r="A1232">
            <v>1232</v>
          </cell>
        </row>
        <row r="1233">
          <cell r="A1233">
            <v>1233</v>
          </cell>
        </row>
        <row r="1234">
          <cell r="A1234">
            <v>1234</v>
          </cell>
        </row>
        <row r="1235">
          <cell r="A1235">
            <v>1235</v>
          </cell>
        </row>
        <row r="1236">
          <cell r="A1236">
            <v>1236</v>
          </cell>
        </row>
        <row r="1237">
          <cell r="A1237">
            <v>1237</v>
          </cell>
        </row>
        <row r="1238">
          <cell r="A1238">
            <v>1238</v>
          </cell>
        </row>
        <row r="1239">
          <cell r="A1239">
            <v>1239</v>
          </cell>
        </row>
        <row r="1240">
          <cell r="A1240">
            <v>1240</v>
          </cell>
        </row>
        <row r="1241">
          <cell r="A1241">
            <v>1241</v>
          </cell>
        </row>
        <row r="1242">
          <cell r="A1242">
            <v>1242</v>
          </cell>
        </row>
        <row r="1243">
          <cell r="A1243">
            <v>1243</v>
          </cell>
        </row>
        <row r="1244">
          <cell r="A1244">
            <v>1244</v>
          </cell>
        </row>
        <row r="1245">
          <cell r="A1245">
            <v>1245</v>
          </cell>
        </row>
        <row r="1246">
          <cell r="A1246">
            <v>1246</v>
          </cell>
        </row>
        <row r="1247">
          <cell r="A1247">
            <v>1247</v>
          </cell>
        </row>
        <row r="1248">
          <cell r="A1248">
            <v>1248</v>
          </cell>
        </row>
        <row r="1249">
          <cell r="A1249">
            <v>1249</v>
          </cell>
        </row>
        <row r="1250">
          <cell r="A1250">
            <v>1250</v>
          </cell>
        </row>
        <row r="1251">
          <cell r="A1251">
            <v>1251</v>
          </cell>
        </row>
        <row r="1252">
          <cell r="A1252">
            <v>1252</v>
          </cell>
        </row>
        <row r="1253">
          <cell r="A1253">
            <v>1253</v>
          </cell>
        </row>
        <row r="1254">
          <cell r="A1254">
            <v>1254</v>
          </cell>
        </row>
        <row r="1255">
          <cell r="A1255">
            <v>1255</v>
          </cell>
        </row>
        <row r="1256">
          <cell r="A1256">
            <v>1256</v>
          </cell>
        </row>
        <row r="1257">
          <cell r="A1257">
            <v>1257</v>
          </cell>
        </row>
        <row r="1258">
          <cell r="A1258">
            <v>1258</v>
          </cell>
        </row>
        <row r="1259">
          <cell r="A1259">
            <v>1259</v>
          </cell>
        </row>
        <row r="1260">
          <cell r="A1260">
            <v>1260</v>
          </cell>
        </row>
        <row r="1261">
          <cell r="A1261">
            <v>1261</v>
          </cell>
        </row>
        <row r="1262">
          <cell r="A1262">
            <v>1262</v>
          </cell>
        </row>
        <row r="1263">
          <cell r="A1263">
            <v>1263</v>
          </cell>
        </row>
        <row r="1264">
          <cell r="A1264">
            <v>1264</v>
          </cell>
        </row>
        <row r="1265">
          <cell r="A1265">
            <v>1265</v>
          </cell>
        </row>
        <row r="1266">
          <cell r="A1266">
            <v>1266</v>
          </cell>
        </row>
        <row r="1267">
          <cell r="A1267">
            <v>1267</v>
          </cell>
        </row>
        <row r="1268">
          <cell r="A1268">
            <v>1268</v>
          </cell>
        </row>
        <row r="1269">
          <cell r="A1269">
            <v>1269</v>
          </cell>
        </row>
        <row r="1270">
          <cell r="A1270">
            <v>1270</v>
          </cell>
        </row>
        <row r="1271">
          <cell r="A1271">
            <v>1271</v>
          </cell>
        </row>
        <row r="1272">
          <cell r="A1272">
            <v>1272</v>
          </cell>
        </row>
        <row r="1273">
          <cell r="A1273">
            <v>1273</v>
          </cell>
        </row>
        <row r="1274">
          <cell r="A1274">
            <v>1274</v>
          </cell>
        </row>
        <row r="1275">
          <cell r="A1275">
            <v>1275</v>
          </cell>
        </row>
        <row r="1276">
          <cell r="A1276">
            <v>1276</v>
          </cell>
        </row>
        <row r="1277">
          <cell r="A1277">
            <v>1277</v>
          </cell>
        </row>
        <row r="1278">
          <cell r="A1278">
            <v>1278</v>
          </cell>
        </row>
        <row r="1279">
          <cell r="A1279">
            <v>1279</v>
          </cell>
        </row>
        <row r="1280">
          <cell r="A1280">
            <v>1280</v>
          </cell>
        </row>
        <row r="1281">
          <cell r="A1281">
            <v>1281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신우"/>
      <sheetName val="일위"/>
      <sheetName val="합천내역"/>
      <sheetName val="9GNG운반"/>
      <sheetName val="데이타"/>
      <sheetName val="식재인부"/>
      <sheetName val="정공공사"/>
      <sheetName val="대치판정"/>
      <sheetName val="수량산출(음암)"/>
      <sheetName val="CTEMCOST"/>
      <sheetName val="工완성공사율"/>
      <sheetName val="을"/>
      <sheetName val="일위총괄표"/>
      <sheetName val="약품설비"/>
      <sheetName val="송라초중학교(final)"/>
      <sheetName val="일위대가표"/>
      <sheetName val="철집"/>
      <sheetName val="2.대외공문"/>
      <sheetName val="H-PILE수량집계"/>
      <sheetName val="H PILE수량"/>
      <sheetName val="예총"/>
      <sheetName val="제출내역 (2)"/>
      <sheetName val="매립"/>
      <sheetName val="N賃率-職"/>
      <sheetName val="공사원가계산서"/>
      <sheetName val="한일양산"/>
      <sheetName val="여과지동"/>
      <sheetName val="기초자료"/>
      <sheetName val="일위대가"/>
      <sheetName val="일위대가목차"/>
      <sheetName val="01"/>
      <sheetName val="약품공급2"/>
      <sheetName val="내역"/>
      <sheetName val="부하계산서"/>
      <sheetName val="설계명세서"/>
      <sheetName val="내역서1"/>
      <sheetName val="99노임기준"/>
      <sheetName val="갑지"/>
      <sheetName val="집계표"/>
      <sheetName val="단가 및 재료비"/>
      <sheetName val="중기사용료산출근거"/>
      <sheetName val="106C0300"/>
      <sheetName val="입찰안"/>
      <sheetName val="1검토보고서"/>
      <sheetName val="안전장치"/>
      <sheetName val="1단계"/>
      <sheetName val="사통"/>
      <sheetName val="#REF"/>
      <sheetName val="일위목록"/>
      <sheetName val="MOTOR"/>
      <sheetName val="견"/>
      <sheetName val="합의경상"/>
      <sheetName val="1안"/>
      <sheetName val="T13(P68~72,78)"/>
      <sheetName val="EP0618"/>
      <sheetName val="DATA"/>
      <sheetName val="FA설치명세"/>
      <sheetName val="샘플표지"/>
      <sheetName val="총괄표"/>
      <sheetName val="중강당 내역"/>
      <sheetName val="Sheet1"/>
      <sheetName val="수지표"/>
      <sheetName val="셀명"/>
      <sheetName val="증감대비"/>
      <sheetName val="공조기"/>
      <sheetName val="AHU집계"/>
      <sheetName val="공조기휀"/>
      <sheetName val="C3"/>
      <sheetName val="수량산출서"/>
      <sheetName val="Ⅲ.설계명세서"/>
      <sheetName val="포장집계"/>
      <sheetName val="포장연장"/>
      <sheetName val="건축내역"/>
      <sheetName val="갑지(추정)"/>
      <sheetName val="J直材4"/>
      <sheetName val="구체"/>
      <sheetName val="좌측날개벽"/>
      <sheetName val="우측날개벽"/>
      <sheetName val="소방"/>
      <sheetName val="SUMMARY"/>
    </sheetNames>
    <sheetDataSet>
      <sheetData sheetId="0">
        <row r="3">
          <cell r="A3">
            <v>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3">
          <cell r="A3">
            <v>3</v>
          </cell>
          <cell r="B3" t="str">
            <v>송라 초,중학교 다목적 강당 무대기계장치</v>
          </cell>
        </row>
        <row r="4">
          <cell r="A4">
            <v>4</v>
          </cell>
          <cell r="B4" t="str">
            <v>다목적강당 무대기계장치</v>
          </cell>
          <cell r="C4" t="str">
            <v xml:space="preserve"> </v>
          </cell>
          <cell r="D4" t="str">
            <v>L/S</v>
          </cell>
          <cell r="E4">
            <v>1</v>
          </cell>
          <cell r="F4" t="str">
            <v xml:space="preserve"> </v>
          </cell>
          <cell r="H4" t="str">
            <v>NO.1-00-00</v>
          </cell>
        </row>
        <row r="5">
          <cell r="A5">
            <v>5</v>
          </cell>
          <cell r="B5" t="str">
            <v xml:space="preserve"> </v>
          </cell>
          <cell r="C5" t="str">
            <v xml:space="preserve"> </v>
          </cell>
          <cell r="D5" t="str">
            <v xml:space="preserve"> </v>
          </cell>
          <cell r="E5" t="str">
            <v xml:space="preserve"> </v>
          </cell>
          <cell r="F5" t="str">
            <v xml:space="preserve"> </v>
          </cell>
          <cell r="H5" t="str">
            <v xml:space="preserve"> </v>
          </cell>
        </row>
        <row r="6">
          <cell r="A6">
            <v>6</v>
          </cell>
          <cell r="F6" t="str">
            <v xml:space="preserve"> </v>
          </cell>
        </row>
        <row r="7">
          <cell r="A7">
            <v>7</v>
          </cell>
          <cell r="F7" t="str">
            <v xml:space="preserve"> </v>
          </cell>
        </row>
        <row r="8">
          <cell r="A8">
            <v>8</v>
          </cell>
          <cell r="F8" t="str">
            <v xml:space="preserve"> 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  <cell r="B25" t="str">
            <v>다목적강당 무대기계장치</v>
          </cell>
          <cell r="G25" t="str">
            <v xml:space="preserve"> </v>
          </cell>
          <cell r="H25" t="str">
            <v>NO.1-00-00</v>
          </cell>
        </row>
        <row r="26">
          <cell r="B26" t="str">
            <v>PLACARD BATTEN</v>
          </cell>
          <cell r="C26" t="str">
            <v>7,400L</v>
          </cell>
          <cell r="D26" t="str">
            <v>SET</v>
          </cell>
          <cell r="E26">
            <v>1</v>
          </cell>
          <cell r="H26" t="str">
            <v>NO.1-01-00</v>
          </cell>
        </row>
        <row r="27">
          <cell r="A27">
            <v>26</v>
          </cell>
          <cell r="B27" t="str">
            <v xml:space="preserve">DRAW CURTAIN </v>
          </cell>
          <cell r="C27" t="str">
            <v>8,660 x 3,300H</v>
          </cell>
          <cell r="D27" t="str">
            <v>SET</v>
          </cell>
          <cell r="E27">
            <v>1</v>
          </cell>
          <cell r="F27" t="str">
            <v xml:space="preserve"> </v>
          </cell>
          <cell r="H27" t="str">
            <v>NO.1-02-00</v>
          </cell>
        </row>
        <row r="28">
          <cell r="A28">
            <v>27</v>
          </cell>
          <cell r="B28" t="str">
            <v xml:space="preserve">ROLL SCREEN </v>
          </cell>
          <cell r="C28" t="str">
            <v>1,800L x 1,200H</v>
          </cell>
          <cell r="D28" t="str">
            <v>SET</v>
          </cell>
          <cell r="E28">
            <v>1</v>
          </cell>
          <cell r="F28" t="str">
            <v xml:space="preserve"> </v>
          </cell>
          <cell r="H28" t="str">
            <v>NO.1-03-00</v>
          </cell>
        </row>
        <row r="29">
          <cell r="A29">
            <v>28</v>
          </cell>
          <cell r="B29" t="str">
            <v>ROLL FLAG</v>
          </cell>
          <cell r="C29" t="str">
            <v>3,500L x 2,500H</v>
          </cell>
          <cell r="D29" t="str">
            <v>SET</v>
          </cell>
          <cell r="E29">
            <v>1</v>
          </cell>
          <cell r="H29" t="str">
            <v>NO.1-04-00</v>
          </cell>
        </row>
        <row r="30">
          <cell r="A30">
            <v>29</v>
          </cell>
          <cell r="B30" t="str">
            <v>COVER CURTAIN</v>
          </cell>
          <cell r="C30" t="str">
            <v>8,800 x 3,500H</v>
          </cell>
          <cell r="D30" t="str">
            <v>SET</v>
          </cell>
          <cell r="E30">
            <v>1</v>
          </cell>
          <cell r="H30" t="str">
            <v>NO.1-05-00</v>
          </cell>
        </row>
        <row r="31">
          <cell r="A31">
            <v>30</v>
          </cell>
          <cell r="B31" t="str">
            <v>WINDOW DARKEN CURTAIN</v>
          </cell>
          <cell r="C31" t="str">
            <v>4,050L x 3,500H</v>
          </cell>
          <cell r="D31" t="str">
            <v>SET</v>
          </cell>
          <cell r="E31">
            <v>6</v>
          </cell>
          <cell r="H31" t="str">
            <v>NO.1-06-00</v>
          </cell>
        </row>
        <row r="32">
          <cell r="A32">
            <v>31</v>
          </cell>
          <cell r="B32" t="str">
            <v>DOOR DARKEN CURTAIN</v>
          </cell>
          <cell r="C32" t="str">
            <v>4,050L x 3,500H</v>
          </cell>
          <cell r="D32" t="str">
            <v>SET</v>
          </cell>
          <cell r="E32">
            <v>2</v>
          </cell>
          <cell r="H32" t="str">
            <v>NO.1-06-00</v>
          </cell>
        </row>
        <row r="33">
          <cell r="A33">
            <v>32</v>
          </cell>
          <cell r="B33" t="str">
            <v>GRID IRON</v>
          </cell>
          <cell r="C33" t="str">
            <v>8600L x 900D</v>
          </cell>
          <cell r="D33" t="str">
            <v>L/S</v>
          </cell>
          <cell r="E33">
            <v>1</v>
          </cell>
          <cell r="H33" t="str">
            <v>NO.1-07-00</v>
          </cell>
        </row>
        <row r="34">
          <cell r="A34">
            <v>33</v>
          </cell>
          <cell r="B34" t="str">
            <v>CONTROL PANEL</v>
          </cell>
          <cell r="C34" t="str">
            <v>600L x 1,000H x 250W</v>
          </cell>
          <cell r="D34" t="str">
            <v>SET</v>
          </cell>
          <cell r="E34">
            <v>1</v>
          </cell>
          <cell r="H34" t="str">
            <v>NO.1-08-00</v>
          </cell>
        </row>
        <row r="35">
          <cell r="A35">
            <v>34</v>
          </cell>
          <cell r="B35" t="str">
            <v>CONTROL BOARD</v>
          </cell>
          <cell r="C35" t="str">
            <v xml:space="preserve"> </v>
          </cell>
          <cell r="D35" t="str">
            <v>SET</v>
          </cell>
          <cell r="E35">
            <v>1</v>
          </cell>
          <cell r="H35" t="str">
            <v>NO.1-09-00</v>
          </cell>
        </row>
        <row r="36">
          <cell r="A36">
            <v>35</v>
          </cell>
          <cell r="B36" t="str">
            <v>배관 및 배선</v>
          </cell>
          <cell r="C36" t="str">
            <v xml:space="preserve"> </v>
          </cell>
          <cell r="D36" t="str">
            <v>식</v>
          </cell>
          <cell r="E36">
            <v>1</v>
          </cell>
          <cell r="H36" t="str">
            <v>NO.1-10-00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  <cell r="B39" t="str">
            <v xml:space="preserve"> </v>
          </cell>
          <cell r="C39" t="str">
            <v xml:space="preserve"> </v>
          </cell>
          <cell r="D39" t="str">
            <v xml:space="preserve"> </v>
          </cell>
          <cell r="E39" t="str">
            <v xml:space="preserve"> </v>
          </cell>
          <cell r="H39" t="str">
            <v xml:space="preserve"> </v>
          </cell>
        </row>
        <row r="40">
          <cell r="A40">
            <v>39</v>
          </cell>
          <cell r="B40" t="str">
            <v xml:space="preserve"> </v>
          </cell>
          <cell r="C40" t="str">
            <v xml:space="preserve"> </v>
          </cell>
          <cell r="D40" t="str">
            <v xml:space="preserve"> </v>
          </cell>
          <cell r="E40" t="str">
            <v xml:space="preserve"> </v>
          </cell>
          <cell r="H40" t="str">
            <v xml:space="preserve"> 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 t="e">
            <v>#REF!</v>
          </cell>
        </row>
        <row r="45">
          <cell r="A45" t="e">
            <v>#REF!</v>
          </cell>
        </row>
        <row r="46">
          <cell r="A46" t="e">
            <v>#REF!</v>
          </cell>
        </row>
        <row r="47">
          <cell r="A47" t="e">
            <v>#REF!</v>
          </cell>
          <cell r="B47" t="str">
            <v>공사명: PLACARD BATTEN (7,400L)</v>
          </cell>
          <cell r="H47" t="str">
            <v>NO.1-1-00</v>
          </cell>
        </row>
        <row r="48">
          <cell r="A48" t="e">
            <v>#REF!</v>
          </cell>
          <cell r="B48" t="str">
            <v>MACHINE PART</v>
          </cell>
          <cell r="C48" t="str">
            <v>1.5KW x 4P用</v>
          </cell>
          <cell r="D48" t="str">
            <v>SET</v>
          </cell>
          <cell r="E48">
            <v>1</v>
          </cell>
          <cell r="F48" t="str">
            <v xml:space="preserve"> </v>
          </cell>
          <cell r="H48" t="str">
            <v>일위대가-1</v>
          </cell>
        </row>
        <row r="49">
          <cell r="A49" t="e">
            <v>#REF!</v>
          </cell>
          <cell r="B49" t="str">
            <v>AL - DRUM</v>
          </cell>
          <cell r="C49" t="str">
            <v>Ø300 x 4줄</v>
          </cell>
          <cell r="D49" t="str">
            <v>EA</v>
          </cell>
          <cell r="E49">
            <v>1</v>
          </cell>
          <cell r="F49" t="str">
            <v>WIRE POINT 4줄</v>
          </cell>
        </row>
        <row r="50">
          <cell r="A50" t="e">
            <v>#REF!</v>
          </cell>
          <cell r="B50" t="str">
            <v>MACHINE FRAME</v>
          </cell>
          <cell r="C50" t="str">
            <v>1.5KW x 4P用</v>
          </cell>
          <cell r="D50" t="str">
            <v>EA</v>
          </cell>
          <cell r="E50">
            <v>1</v>
          </cell>
          <cell r="F50" t="str">
            <v>MACHINE PART 고정용</v>
          </cell>
        </row>
        <row r="51">
          <cell r="A51" t="e">
            <v>#REF!</v>
          </cell>
          <cell r="B51" t="str">
            <v>BOLT, NUT, W/S, S/W</v>
          </cell>
          <cell r="C51" t="str">
            <v>M16 x 50L</v>
          </cell>
          <cell r="D51" t="str">
            <v>SET</v>
          </cell>
          <cell r="E51">
            <v>6</v>
          </cell>
          <cell r="F51" t="str">
            <v xml:space="preserve">M/C FRME 1SET당 6SET이므로 </v>
          </cell>
        </row>
        <row r="52">
          <cell r="A52" t="e">
            <v>#REF!</v>
          </cell>
          <cell r="B52" t="str">
            <v>VERTICAL ROLLER</v>
          </cell>
          <cell r="C52" t="str">
            <v>Ø200 x 22L</v>
          </cell>
          <cell r="D52" t="str">
            <v>EA</v>
          </cell>
          <cell r="E52">
            <v>3</v>
          </cell>
          <cell r="F52" t="str">
            <v xml:space="preserve">WIRE ROPE 1줄당 1SET이므로 </v>
          </cell>
        </row>
        <row r="53">
          <cell r="A53" t="e">
            <v>#REF!</v>
          </cell>
          <cell r="B53" t="str">
            <v>VERTICAL ROLLER</v>
          </cell>
          <cell r="C53" t="str">
            <v>Ø220 x 35L</v>
          </cell>
          <cell r="D53" t="str">
            <v>EA</v>
          </cell>
          <cell r="E53">
            <v>1</v>
          </cell>
          <cell r="F53" t="str">
            <v xml:space="preserve">WIRE ROPE 1줄당 1SET이므로 </v>
          </cell>
        </row>
        <row r="54">
          <cell r="A54" t="e">
            <v>#REF!</v>
          </cell>
          <cell r="B54" t="str">
            <v>BOLT, NUT, W/S, S/W</v>
          </cell>
          <cell r="C54" t="str">
            <v>M16 x 40L</v>
          </cell>
          <cell r="D54" t="str">
            <v>SET</v>
          </cell>
          <cell r="E54">
            <v>16</v>
          </cell>
          <cell r="F54" t="str">
            <v>VERTICAL ROLLER 1SET당 4SET이므로 4줄x4SET = 16SET</v>
          </cell>
        </row>
        <row r="55">
          <cell r="A55" t="e">
            <v>#REF!</v>
          </cell>
          <cell r="B55" t="str">
            <v>WIRE ROPE</v>
          </cell>
          <cell r="C55" t="str">
            <v>Ø6 x 7 x 19</v>
          </cell>
          <cell r="D55" t="str">
            <v>M</v>
          </cell>
          <cell r="E55">
            <v>62</v>
          </cell>
          <cell r="F55" t="str">
            <v>WIRE 1줄당 (7M+7M)=14M, 14x4줄= 56x1.1(할증10%)=61.6M 약 61.6M</v>
          </cell>
          <cell r="G55" t="str">
            <v>10%</v>
          </cell>
        </row>
        <row r="56">
          <cell r="A56" t="e">
            <v>#REF!</v>
          </cell>
          <cell r="B56" t="str">
            <v>WIRE CLIP</v>
          </cell>
          <cell r="C56" t="str">
            <v>Ø6용</v>
          </cell>
          <cell r="D56" t="str">
            <v>EA</v>
          </cell>
          <cell r="E56">
            <v>16</v>
          </cell>
          <cell r="F56" t="str">
            <v>WIRE 1줄당 4EA이므로, 4EAx4줄= 16EA</v>
          </cell>
          <cell r="G56" t="str">
            <v xml:space="preserve"> </v>
          </cell>
        </row>
        <row r="57">
          <cell r="A57" t="e">
            <v>#REF!</v>
          </cell>
          <cell r="B57" t="str">
            <v>THIMBLE</v>
          </cell>
          <cell r="C57" t="str">
            <v>Ø6용</v>
          </cell>
          <cell r="D57" t="str">
            <v>EA</v>
          </cell>
          <cell r="E57">
            <v>4</v>
          </cell>
          <cell r="F57" t="str">
            <v>WIRE 1줄당 1EA이므로, 1EAx4줄= 4EA</v>
          </cell>
        </row>
        <row r="58">
          <cell r="A58" t="e">
            <v>#REF!</v>
          </cell>
          <cell r="B58" t="str">
            <v>SHACKLE</v>
          </cell>
          <cell r="C58" t="str">
            <v>#10</v>
          </cell>
          <cell r="D58" t="str">
            <v>EA</v>
          </cell>
          <cell r="E58">
            <v>4</v>
          </cell>
          <cell r="F58" t="str">
            <v>WIRE 1줄당 1EA이므로, 1EAx4줄= 4EA</v>
          </cell>
        </row>
        <row r="59">
          <cell r="A59" t="e">
            <v>#REF!</v>
          </cell>
          <cell r="B59" t="str">
            <v>PIPE BAND</v>
          </cell>
          <cell r="C59" t="str">
            <v>Ø48.6 용</v>
          </cell>
          <cell r="D59" t="str">
            <v>EA</v>
          </cell>
          <cell r="E59">
            <v>4</v>
          </cell>
          <cell r="F59" t="str">
            <v>WIRE 1줄당 1EA이므로, 1EAx4줄= 4EA</v>
          </cell>
        </row>
        <row r="60">
          <cell r="A60" t="e">
            <v>#REF!</v>
          </cell>
          <cell r="B60" t="str">
            <v>BOLT,NUT,W/S,S/W</v>
          </cell>
          <cell r="C60" t="str">
            <v>M10 x 30L</v>
          </cell>
          <cell r="D60" t="str">
            <v>SET</v>
          </cell>
          <cell r="E60">
            <v>8</v>
          </cell>
          <cell r="F60" t="str">
            <v>WIRE 1줄당 2EA이므로, 2EAx4줄= 8EA</v>
          </cell>
        </row>
        <row r="61">
          <cell r="A61" t="e">
            <v>#REF!</v>
          </cell>
          <cell r="B61" t="str">
            <v>PIPE</v>
          </cell>
          <cell r="C61" t="str">
            <v>Ø48.6</v>
          </cell>
          <cell r="D61" t="str">
            <v>본</v>
          </cell>
          <cell r="E61">
            <v>2</v>
          </cell>
          <cell r="F61" t="str">
            <v>PIPE 本당 6M이므로 7.4/6= 1.23本  약 2本</v>
          </cell>
        </row>
        <row r="62">
          <cell r="A62" t="e">
            <v>#REF!</v>
          </cell>
          <cell r="B62" t="str">
            <v>PIPE CAP</v>
          </cell>
          <cell r="C62" t="str">
            <v>Ø48.6용</v>
          </cell>
          <cell r="D62" t="str">
            <v>EA</v>
          </cell>
          <cell r="E62">
            <v>2</v>
          </cell>
          <cell r="F62" t="str">
            <v>양끝단 처리</v>
          </cell>
        </row>
        <row r="63">
          <cell r="A63" t="e">
            <v>#REF!</v>
          </cell>
          <cell r="B63" t="str">
            <v>PIPE JOINT</v>
          </cell>
          <cell r="C63" t="str">
            <v>Ø48.6용</v>
          </cell>
          <cell r="D63" t="str">
            <v>EA</v>
          </cell>
          <cell r="E63">
            <v>1</v>
          </cell>
          <cell r="F63" t="str">
            <v>PIPE 2本이므로 연결부분 1SET</v>
          </cell>
          <cell r="G63" t="str">
            <v xml:space="preserve"> </v>
          </cell>
          <cell r="H63" t="str">
            <v xml:space="preserve"> </v>
          </cell>
        </row>
        <row r="64">
          <cell r="A64" t="e">
            <v>#REF!</v>
          </cell>
          <cell r="B64" t="str">
            <v>도 장 비</v>
          </cell>
          <cell r="C64" t="str">
            <v>각 2회</v>
          </cell>
          <cell r="D64" t="str">
            <v>M2</v>
          </cell>
          <cell r="E64">
            <v>8</v>
          </cell>
          <cell r="F64" t="str">
            <v>FRAME(1.4)+ROLLER.22L(1.2x3SET)+ROLLER.35L(1.4)</v>
          </cell>
        </row>
        <row r="65">
          <cell r="F65" t="str">
            <v>+P.BAND(0.2x4SET)+PIPE(1.13) = 8.33M2 약 8M2</v>
          </cell>
        </row>
        <row r="68">
          <cell r="A68" t="e">
            <v>#REF!</v>
          </cell>
        </row>
        <row r="69">
          <cell r="A69" t="e">
            <v>#REF!</v>
          </cell>
          <cell r="B69" t="str">
            <v>공사명: DRAW CURTAIN (8,660L x 3,300H)</v>
          </cell>
          <cell r="H69" t="str">
            <v>NO.1-02-00</v>
          </cell>
        </row>
        <row r="70">
          <cell r="A70" t="e">
            <v>#REF!</v>
          </cell>
          <cell r="B70" t="str">
            <v>소형MOTOR</v>
          </cell>
          <cell r="C70" t="str">
            <v>40W</v>
          </cell>
          <cell r="D70" t="str">
            <v>SET</v>
          </cell>
          <cell r="E70">
            <v>1</v>
          </cell>
          <cell r="F70" t="str">
            <v xml:space="preserve"> </v>
          </cell>
        </row>
        <row r="71">
          <cell r="B71" t="str">
            <v>MOTOR BRACKET</v>
          </cell>
          <cell r="D71" t="str">
            <v>SET</v>
          </cell>
          <cell r="E71">
            <v>1</v>
          </cell>
        </row>
        <row r="72">
          <cell r="B72" t="str">
            <v>REDUCER</v>
          </cell>
          <cell r="C72" t="str">
            <v>15:1</v>
          </cell>
          <cell r="D72" t="str">
            <v>SET</v>
          </cell>
          <cell r="E72">
            <v>1</v>
          </cell>
        </row>
        <row r="73">
          <cell r="B73" t="str">
            <v>S.Q PIPE</v>
          </cell>
          <cell r="C73" t="str">
            <v>ㅁ-50 x 50 x 2.3t</v>
          </cell>
          <cell r="D73" t="str">
            <v>本</v>
          </cell>
          <cell r="E73">
            <v>2</v>
          </cell>
          <cell r="F73" t="str">
            <v>8.66/6M=1.44 약 2本</v>
          </cell>
        </row>
        <row r="74">
          <cell r="B74" t="str">
            <v>AL RAIL</v>
          </cell>
          <cell r="C74" t="str">
            <v>주문 제작</v>
          </cell>
          <cell r="D74" t="str">
            <v>M</v>
          </cell>
          <cell r="E74">
            <v>9</v>
          </cell>
          <cell r="F74" t="str">
            <v>8.66M 약 9M</v>
          </cell>
        </row>
        <row r="75">
          <cell r="B75" t="str">
            <v>DRIVE PULLEY</v>
          </cell>
          <cell r="C75" t="str">
            <v>Ø60</v>
          </cell>
          <cell r="D75" t="str">
            <v>EA</v>
          </cell>
          <cell r="E75">
            <v>1</v>
          </cell>
        </row>
        <row r="76">
          <cell r="B76" t="str">
            <v>ADJUST BRACKET</v>
          </cell>
          <cell r="D76" t="str">
            <v>EA</v>
          </cell>
          <cell r="E76">
            <v>1</v>
          </cell>
        </row>
        <row r="77">
          <cell r="B77" t="str">
            <v>MASTER CARRIER</v>
          </cell>
          <cell r="C77" t="str">
            <v>주문 제작</v>
          </cell>
          <cell r="D77" t="str">
            <v>EA</v>
          </cell>
          <cell r="E77">
            <v>2</v>
          </cell>
          <cell r="F77" t="str">
            <v>좌,우 최선단에</v>
          </cell>
        </row>
        <row r="78">
          <cell r="B78" t="str">
            <v>SINGLE CARRIER</v>
          </cell>
          <cell r="C78" t="str">
            <v>주문 제작</v>
          </cell>
          <cell r="D78" t="str">
            <v>EA</v>
          </cell>
          <cell r="E78">
            <v>44</v>
          </cell>
          <cell r="F78" t="str">
            <v>(8.66/0.2)x2=43.43EA 약 44EA</v>
          </cell>
        </row>
        <row r="79">
          <cell r="B79" t="str">
            <v>ROPE</v>
          </cell>
          <cell r="C79" t="str">
            <v>SUSØ1.6</v>
          </cell>
          <cell r="D79" t="str">
            <v>M</v>
          </cell>
          <cell r="E79">
            <v>17</v>
          </cell>
          <cell r="F79" t="str">
            <v>8.6x2=17.2M</v>
          </cell>
        </row>
        <row r="80">
          <cell r="B80" t="str">
            <v>LIMIT SWITCH</v>
          </cell>
          <cell r="D80" t="str">
            <v>EA</v>
          </cell>
          <cell r="E80">
            <v>1</v>
          </cell>
        </row>
        <row r="81">
          <cell r="B81" t="str">
            <v>CURTAIN</v>
          </cell>
          <cell r="C81" t="str">
            <v>(VELVET선방염지)</v>
          </cell>
          <cell r="D81" t="str">
            <v>M2</v>
          </cell>
          <cell r="E81">
            <v>109</v>
          </cell>
          <cell r="F81" t="str">
            <v>(8.66x할증350%)=30.31, 3.3+가공여유(0.3)=3.6, 30.31x3.6=109.11M2 약 109M2</v>
          </cell>
          <cell r="G81">
            <v>3.5</v>
          </cell>
        </row>
        <row r="82">
          <cell r="B82" t="str">
            <v>PIPE</v>
          </cell>
          <cell r="C82" t="str">
            <v>Ø27.2</v>
          </cell>
          <cell r="D82" t="str">
            <v>本</v>
          </cell>
          <cell r="E82">
            <v>2</v>
          </cell>
          <cell r="F82" t="str">
            <v>8.66/6M=1.44 약 2本</v>
          </cell>
        </row>
        <row r="83">
          <cell r="B83" t="str">
            <v>PIPE CAP</v>
          </cell>
          <cell r="C83" t="str">
            <v>Ø27.2</v>
          </cell>
          <cell r="D83" t="str">
            <v>EA</v>
          </cell>
          <cell r="E83">
            <v>2</v>
          </cell>
          <cell r="F83" t="str">
            <v>양끝단 처리</v>
          </cell>
        </row>
        <row r="84">
          <cell r="B84" t="str">
            <v>PIPE JOINT</v>
          </cell>
          <cell r="C84" t="str">
            <v>Ø27.2</v>
          </cell>
          <cell r="D84" t="str">
            <v>EA</v>
          </cell>
          <cell r="E84">
            <v>1</v>
          </cell>
          <cell r="F84" t="str">
            <v>PIPE 2本이므로 연결부분 1SET</v>
          </cell>
          <cell r="G84" t="str">
            <v xml:space="preserve"> </v>
          </cell>
          <cell r="H84" t="str">
            <v xml:space="preserve"> </v>
          </cell>
        </row>
        <row r="85">
          <cell r="B85" t="str">
            <v>HEAD CURTAIN</v>
          </cell>
          <cell r="C85" t="str">
            <v>(VELVET선방염지)</v>
          </cell>
          <cell r="D85" t="str">
            <v>M2</v>
          </cell>
          <cell r="E85">
            <v>17</v>
          </cell>
          <cell r="F85" t="str">
            <v>(8.66x할증250%)=21.65, 0.5+가공여유(0.3)=0.8, 21.65x0.8=17.32 약 17M2</v>
          </cell>
          <cell r="G85">
            <v>2.5</v>
          </cell>
        </row>
        <row r="86">
          <cell r="B86" t="str">
            <v>도장비</v>
          </cell>
          <cell r="D86" t="str">
            <v>M2</v>
          </cell>
          <cell r="E86">
            <v>2.5</v>
          </cell>
          <cell r="F86" t="str">
            <v>ㅁ50x50 (1.73)+ Ø27.2 (0.73)=약 2.46M2</v>
          </cell>
        </row>
        <row r="88">
          <cell r="E88" t="str">
            <v xml:space="preserve"> </v>
          </cell>
        </row>
        <row r="90">
          <cell r="A90" t="e">
            <v>#REF!</v>
          </cell>
        </row>
        <row r="91">
          <cell r="A91" t="e">
            <v>#REF!</v>
          </cell>
          <cell r="B91" t="str">
            <v xml:space="preserve">공사명 : ROLL SCREEN (4,000L x 3,000H)        </v>
          </cell>
          <cell r="D91" t="str">
            <v xml:space="preserve"> </v>
          </cell>
          <cell r="E91" t="str">
            <v xml:space="preserve"> </v>
          </cell>
          <cell r="F91" t="str">
            <v xml:space="preserve"> </v>
          </cell>
          <cell r="H91" t="str">
            <v>NO.1-03-00</v>
          </cell>
        </row>
        <row r="92">
          <cell r="A92" t="e">
            <v>#REF!</v>
          </cell>
          <cell r="B92" t="str">
            <v>원추형 MOTOR</v>
          </cell>
          <cell r="C92" t="str">
            <v>190W</v>
          </cell>
          <cell r="D92" t="str">
            <v>SET</v>
          </cell>
          <cell r="E92">
            <v>1</v>
          </cell>
          <cell r="F92" t="str">
            <v xml:space="preserve"> </v>
          </cell>
        </row>
        <row r="93">
          <cell r="A93" t="e">
            <v>#REF!</v>
          </cell>
          <cell r="B93" t="str">
            <v>LIMIT SWITCH BOX</v>
          </cell>
          <cell r="C93" t="str">
            <v xml:space="preserve"> </v>
          </cell>
          <cell r="D93" t="str">
            <v>SET</v>
          </cell>
          <cell r="E93">
            <v>1</v>
          </cell>
          <cell r="F93" t="str">
            <v xml:space="preserve"> </v>
          </cell>
        </row>
        <row r="94">
          <cell r="A94" t="e">
            <v>#REF!</v>
          </cell>
          <cell r="B94" t="str">
            <v>BUSHING</v>
          </cell>
          <cell r="C94" t="str">
            <v xml:space="preserve"> </v>
          </cell>
          <cell r="D94" t="str">
            <v>EA</v>
          </cell>
          <cell r="E94">
            <v>2</v>
          </cell>
          <cell r="F94" t="str">
            <v xml:space="preserve">ROLL SCREEN 2곳 </v>
          </cell>
        </row>
        <row r="95">
          <cell r="A95" t="e">
            <v>#REF!</v>
          </cell>
          <cell r="B95" t="str">
            <v>BEARING DIE</v>
          </cell>
          <cell r="C95" t="str">
            <v xml:space="preserve"> </v>
          </cell>
          <cell r="D95" t="str">
            <v>EA</v>
          </cell>
          <cell r="E95">
            <v>2</v>
          </cell>
          <cell r="F95" t="str">
            <v xml:space="preserve"> </v>
          </cell>
        </row>
        <row r="96">
          <cell r="A96" t="e">
            <v>#REF!</v>
          </cell>
          <cell r="B96" t="str">
            <v>주물 PIPE</v>
          </cell>
          <cell r="C96" t="str">
            <v>Ø53</v>
          </cell>
          <cell r="D96" t="str">
            <v>M</v>
          </cell>
          <cell r="E96">
            <v>4</v>
          </cell>
          <cell r="F96" t="str">
            <v xml:space="preserve"> </v>
          </cell>
        </row>
        <row r="97">
          <cell r="A97" t="e">
            <v>#REF!</v>
          </cell>
          <cell r="B97" t="str">
            <v>BALANCE PIPE</v>
          </cell>
          <cell r="C97" t="str">
            <v>Ø27.2</v>
          </cell>
          <cell r="D97" t="str">
            <v>本</v>
          </cell>
          <cell r="E97">
            <v>1</v>
          </cell>
          <cell r="F97" t="str">
            <v xml:space="preserve">1本 = 6M </v>
          </cell>
        </row>
        <row r="98">
          <cell r="A98" t="e">
            <v>#REF!</v>
          </cell>
          <cell r="B98" t="str">
            <v>SCREEN</v>
          </cell>
          <cell r="C98" t="str">
            <v>ULTRA MATE</v>
          </cell>
          <cell r="D98" t="str">
            <v>M2</v>
          </cell>
          <cell r="E98">
            <v>15</v>
          </cell>
          <cell r="F98" t="str">
            <v>4M x (3M+0.8(가공여유)) = 15.2M2 약 15M2</v>
          </cell>
        </row>
        <row r="99">
          <cell r="A99" t="e">
            <v>#REF!</v>
          </cell>
          <cell r="B99" t="str">
            <v>SCREEN BOX A'SSY</v>
          </cell>
          <cell r="C99" t="str">
            <v xml:space="preserve"> </v>
          </cell>
          <cell r="D99" t="str">
            <v>SET</v>
          </cell>
          <cell r="E99">
            <v>1</v>
          </cell>
          <cell r="F99" t="str">
            <v xml:space="preserve"> </v>
          </cell>
        </row>
        <row r="100">
          <cell r="A100" t="e">
            <v>#REF!</v>
          </cell>
          <cell r="B100" t="str">
            <v>도 장 비</v>
          </cell>
          <cell r="C100" t="str">
            <v>각 2회</v>
          </cell>
          <cell r="D100" t="str">
            <v>M2</v>
          </cell>
          <cell r="E100">
            <v>5</v>
          </cell>
          <cell r="F100" t="str">
            <v>BOX(2)+BUSHING.DIE(0.8x2)+PIPE(0.66)+Ø27.2(0.34)= 4.6M2 약 5M2</v>
          </cell>
        </row>
        <row r="101">
          <cell r="A101" t="e">
            <v>#REF!</v>
          </cell>
          <cell r="B101" t="str">
            <v xml:space="preserve"> </v>
          </cell>
          <cell r="C101" t="str">
            <v xml:space="preserve"> </v>
          </cell>
          <cell r="D101" t="str">
            <v xml:space="preserve"> </v>
          </cell>
          <cell r="E101" t="str">
            <v xml:space="preserve"> </v>
          </cell>
          <cell r="F101" t="str">
            <v xml:space="preserve"> </v>
          </cell>
        </row>
        <row r="102">
          <cell r="A102" t="e">
            <v>#REF!</v>
          </cell>
          <cell r="B102" t="str">
            <v xml:space="preserve"> </v>
          </cell>
          <cell r="C102" t="str">
            <v xml:space="preserve"> </v>
          </cell>
          <cell r="D102" t="str">
            <v xml:space="preserve"> </v>
          </cell>
          <cell r="E102" t="str">
            <v xml:space="preserve"> </v>
          </cell>
          <cell r="F102" t="str">
            <v xml:space="preserve"> </v>
          </cell>
        </row>
        <row r="103">
          <cell r="A103" t="e">
            <v>#REF!</v>
          </cell>
        </row>
        <row r="104">
          <cell r="A104" t="e">
            <v>#REF!</v>
          </cell>
        </row>
        <row r="105">
          <cell r="A105" t="e">
            <v>#REF!</v>
          </cell>
        </row>
        <row r="106">
          <cell r="A106" t="e">
            <v>#REF!</v>
          </cell>
        </row>
        <row r="107">
          <cell r="A107" t="e">
            <v>#REF!</v>
          </cell>
        </row>
        <row r="108">
          <cell r="A108" t="e">
            <v>#REF!</v>
          </cell>
        </row>
        <row r="109">
          <cell r="A109" t="e">
            <v>#REF!</v>
          </cell>
        </row>
        <row r="110">
          <cell r="A110" t="e">
            <v>#REF!</v>
          </cell>
        </row>
        <row r="111">
          <cell r="A111" t="e">
            <v>#REF!</v>
          </cell>
        </row>
        <row r="112">
          <cell r="A112" t="e">
            <v>#REF!</v>
          </cell>
        </row>
        <row r="113">
          <cell r="A113" t="e">
            <v>#REF!</v>
          </cell>
          <cell r="B113" t="str">
            <v xml:space="preserve">공사명 : ROLL FLAG  (2,100L x 3,000H)   </v>
          </cell>
          <cell r="G113" t="str">
            <v xml:space="preserve"> </v>
          </cell>
          <cell r="H113" t="str">
            <v>NO.1-04-00</v>
          </cell>
        </row>
        <row r="114">
          <cell r="A114" t="e">
            <v>#REF!</v>
          </cell>
          <cell r="B114" t="str">
            <v>원추형 MOTOR</v>
          </cell>
          <cell r="C114" t="str">
            <v>100W</v>
          </cell>
          <cell r="D114" t="str">
            <v>SET</v>
          </cell>
          <cell r="E114">
            <v>1</v>
          </cell>
          <cell r="F114" t="str">
            <v xml:space="preserve"> </v>
          </cell>
        </row>
        <row r="115">
          <cell r="A115" t="e">
            <v>#REF!</v>
          </cell>
          <cell r="B115" t="str">
            <v>LIMIT SWITCH BOX</v>
          </cell>
          <cell r="C115" t="str">
            <v xml:space="preserve"> </v>
          </cell>
          <cell r="D115" t="str">
            <v>SET</v>
          </cell>
          <cell r="E115">
            <v>1</v>
          </cell>
          <cell r="F115" t="str">
            <v xml:space="preserve"> </v>
          </cell>
        </row>
        <row r="116">
          <cell r="A116" t="e">
            <v>#REF!</v>
          </cell>
          <cell r="B116" t="str">
            <v>BUSHING</v>
          </cell>
          <cell r="C116" t="str">
            <v xml:space="preserve"> </v>
          </cell>
          <cell r="D116" t="str">
            <v>EA</v>
          </cell>
          <cell r="E116">
            <v>2</v>
          </cell>
          <cell r="F116" t="str">
            <v xml:space="preserve">ROLL SCREEN 2곳 </v>
          </cell>
        </row>
        <row r="117">
          <cell r="A117" t="e">
            <v>#REF!</v>
          </cell>
          <cell r="B117" t="str">
            <v>BEARING DIE</v>
          </cell>
          <cell r="C117" t="str">
            <v xml:space="preserve"> </v>
          </cell>
          <cell r="D117" t="str">
            <v>EA</v>
          </cell>
          <cell r="E117">
            <v>2</v>
          </cell>
          <cell r="F117" t="str">
            <v xml:space="preserve"> </v>
          </cell>
        </row>
        <row r="118">
          <cell r="A118" t="e">
            <v>#REF!</v>
          </cell>
          <cell r="B118" t="str">
            <v>주물PIPE</v>
          </cell>
          <cell r="C118" t="str">
            <v>Ø53</v>
          </cell>
          <cell r="D118" t="str">
            <v>M</v>
          </cell>
          <cell r="E118">
            <v>2.1</v>
          </cell>
          <cell r="F118" t="str">
            <v xml:space="preserve"> </v>
          </cell>
        </row>
        <row r="119">
          <cell r="A119" t="e">
            <v>#REF!</v>
          </cell>
          <cell r="B119" t="str">
            <v>BALANCE PIPE</v>
          </cell>
          <cell r="C119" t="str">
            <v>Ø27.2</v>
          </cell>
          <cell r="D119" t="str">
            <v>M</v>
          </cell>
          <cell r="E119">
            <v>2.1</v>
          </cell>
          <cell r="F119" t="str">
            <v xml:space="preserve"> </v>
          </cell>
        </row>
        <row r="120">
          <cell r="A120" t="e">
            <v>#REF!</v>
          </cell>
          <cell r="B120" t="str">
            <v>FLAG</v>
          </cell>
          <cell r="C120" t="str">
            <v>ULTRA-MATE</v>
          </cell>
          <cell r="D120" t="str">
            <v>M2</v>
          </cell>
          <cell r="E120">
            <v>6</v>
          </cell>
          <cell r="F120" t="str">
            <v>2.1M x (3M+0.8(가공여유)) = 5.9M2 약 6M2</v>
          </cell>
        </row>
        <row r="121">
          <cell r="A121" t="e">
            <v>#REF!</v>
          </cell>
          <cell r="B121" t="str">
            <v>씰크 인쇄</v>
          </cell>
          <cell r="C121" t="str">
            <v xml:space="preserve"> </v>
          </cell>
          <cell r="D121" t="str">
            <v>SET</v>
          </cell>
          <cell r="E121">
            <v>1</v>
          </cell>
          <cell r="F121" t="str">
            <v xml:space="preserve"> </v>
          </cell>
        </row>
        <row r="122">
          <cell r="A122" t="e">
            <v>#REF!</v>
          </cell>
          <cell r="B122" t="str">
            <v>FLAG BOX A'SSY</v>
          </cell>
          <cell r="C122" t="str">
            <v xml:space="preserve"> </v>
          </cell>
          <cell r="D122" t="str">
            <v>SET</v>
          </cell>
          <cell r="E122">
            <v>1</v>
          </cell>
          <cell r="F122" t="str">
            <v xml:space="preserve"> </v>
          </cell>
        </row>
        <row r="123">
          <cell r="A123" t="e">
            <v>#REF!</v>
          </cell>
          <cell r="B123" t="str">
            <v>도 장 비</v>
          </cell>
          <cell r="C123" t="str">
            <v>각 2회</v>
          </cell>
          <cell r="D123" t="str">
            <v>M2</v>
          </cell>
          <cell r="E123">
            <v>4</v>
          </cell>
          <cell r="F123" t="str">
            <v>BOX(2)+BUSHING.DIE(0.8x2)+PIPE(0.34)+Ø27.2(0.17)= 4.11M2 약 4M2</v>
          </cell>
        </row>
        <row r="124">
          <cell r="A124" t="e">
            <v>#REF!</v>
          </cell>
          <cell r="F124" t="str">
            <v xml:space="preserve"> </v>
          </cell>
          <cell r="G124" t="str">
            <v xml:space="preserve"> </v>
          </cell>
        </row>
        <row r="125">
          <cell r="A125" t="e">
            <v>#REF!</v>
          </cell>
        </row>
        <row r="126">
          <cell r="A126" t="e">
            <v>#REF!</v>
          </cell>
        </row>
        <row r="127">
          <cell r="A127" t="e">
            <v>#REF!</v>
          </cell>
        </row>
        <row r="128">
          <cell r="A128" t="e">
            <v>#REF!</v>
          </cell>
          <cell r="B128" t="str">
            <v xml:space="preserve"> </v>
          </cell>
          <cell r="C128" t="str">
            <v xml:space="preserve"> </v>
          </cell>
          <cell r="D128" t="str">
            <v xml:space="preserve"> </v>
          </cell>
          <cell r="E128" t="str">
            <v xml:space="preserve"> </v>
          </cell>
        </row>
        <row r="129">
          <cell r="A129" t="e">
            <v>#REF!</v>
          </cell>
        </row>
        <row r="130">
          <cell r="A130" t="e">
            <v>#REF!</v>
          </cell>
        </row>
        <row r="131">
          <cell r="A131" t="e">
            <v>#REF!</v>
          </cell>
        </row>
        <row r="132">
          <cell r="A132" t="e">
            <v>#REF!</v>
          </cell>
          <cell r="B132" t="str">
            <v xml:space="preserve"> </v>
          </cell>
          <cell r="C132" t="str">
            <v xml:space="preserve"> </v>
          </cell>
          <cell r="D132" t="str">
            <v xml:space="preserve"> </v>
          </cell>
          <cell r="E132" t="str">
            <v xml:space="preserve"> </v>
          </cell>
        </row>
        <row r="133">
          <cell r="A133" t="e">
            <v>#REF!</v>
          </cell>
        </row>
        <row r="135">
          <cell r="B135" t="str">
            <v>공사명: COVER CURTAIN (8,800L x 3,500H)</v>
          </cell>
          <cell r="H135" t="str">
            <v>NO.1-05-00</v>
          </cell>
        </row>
        <row r="136">
          <cell r="B136" t="str">
            <v>소형MOTOR</v>
          </cell>
          <cell r="C136" t="str">
            <v>40W</v>
          </cell>
          <cell r="D136" t="str">
            <v>SET</v>
          </cell>
          <cell r="E136">
            <v>1</v>
          </cell>
          <cell r="F136" t="str">
            <v xml:space="preserve"> </v>
          </cell>
        </row>
        <row r="137">
          <cell r="A137" t="e">
            <v>#REF!</v>
          </cell>
          <cell r="B137" t="str">
            <v>MOTOR BRACKET</v>
          </cell>
          <cell r="D137" t="str">
            <v>SET</v>
          </cell>
          <cell r="E137">
            <v>1</v>
          </cell>
        </row>
        <row r="138">
          <cell r="A138" t="e">
            <v>#REF!</v>
          </cell>
          <cell r="B138" t="str">
            <v>REDUCER</v>
          </cell>
          <cell r="C138" t="str">
            <v>15:1</v>
          </cell>
          <cell r="D138" t="str">
            <v>SET</v>
          </cell>
          <cell r="E138">
            <v>1</v>
          </cell>
        </row>
        <row r="139">
          <cell r="A139" t="e">
            <v>#REF!</v>
          </cell>
          <cell r="B139" t="str">
            <v>S.Q PIPE</v>
          </cell>
          <cell r="C139" t="str">
            <v>ㅁ-50 x 50 x 2.3t</v>
          </cell>
          <cell r="D139" t="str">
            <v>本</v>
          </cell>
          <cell r="E139">
            <v>2</v>
          </cell>
          <cell r="F139" t="str">
            <v>8.8/6M=1.46 약 2本</v>
          </cell>
        </row>
        <row r="140">
          <cell r="A140" t="e">
            <v>#REF!</v>
          </cell>
          <cell r="B140" t="str">
            <v>AL RAIL</v>
          </cell>
          <cell r="C140" t="str">
            <v>주문 제작</v>
          </cell>
          <cell r="D140" t="str">
            <v>M</v>
          </cell>
          <cell r="E140">
            <v>9</v>
          </cell>
          <cell r="F140" t="str">
            <v>8.8M 약 9M</v>
          </cell>
        </row>
        <row r="141">
          <cell r="A141" t="e">
            <v>#REF!</v>
          </cell>
          <cell r="B141" t="str">
            <v>DRIVE PULLEY</v>
          </cell>
          <cell r="C141" t="str">
            <v>Ø60</v>
          </cell>
          <cell r="D141" t="str">
            <v>EA</v>
          </cell>
          <cell r="E141">
            <v>1</v>
          </cell>
        </row>
        <row r="142">
          <cell r="A142" t="e">
            <v>#REF!</v>
          </cell>
          <cell r="B142" t="str">
            <v>ADJUST BRACKET</v>
          </cell>
          <cell r="D142" t="str">
            <v>EA</v>
          </cell>
          <cell r="E142">
            <v>1</v>
          </cell>
        </row>
        <row r="143">
          <cell r="A143" t="e">
            <v>#REF!</v>
          </cell>
          <cell r="B143" t="str">
            <v>MASTER CARRIER</v>
          </cell>
          <cell r="C143" t="str">
            <v>주문 제작</v>
          </cell>
          <cell r="D143" t="str">
            <v>EA</v>
          </cell>
          <cell r="E143">
            <v>2</v>
          </cell>
          <cell r="F143" t="str">
            <v>좌,우 최선단에</v>
          </cell>
        </row>
        <row r="144">
          <cell r="A144" t="e">
            <v>#REF!</v>
          </cell>
          <cell r="B144" t="str">
            <v>SINGLE CARRIER</v>
          </cell>
          <cell r="C144" t="str">
            <v>주문 제작</v>
          </cell>
          <cell r="D144" t="str">
            <v>EA</v>
          </cell>
          <cell r="E144">
            <v>44</v>
          </cell>
          <cell r="F144" t="str">
            <v>(8.8/0.2)x2=44EA 약 44EA</v>
          </cell>
        </row>
        <row r="145">
          <cell r="A145" t="e">
            <v>#REF!</v>
          </cell>
          <cell r="B145" t="str">
            <v>ROPE</v>
          </cell>
          <cell r="C145" t="str">
            <v>SUSØ1.6</v>
          </cell>
          <cell r="D145" t="str">
            <v>M</v>
          </cell>
          <cell r="E145">
            <v>18</v>
          </cell>
          <cell r="F145" t="str">
            <v>8.8x2=17.6M 약 18M</v>
          </cell>
        </row>
        <row r="146">
          <cell r="A146" t="e">
            <v>#REF!</v>
          </cell>
          <cell r="B146" t="str">
            <v>LIMIT SWITCH</v>
          </cell>
          <cell r="D146" t="str">
            <v>EA</v>
          </cell>
          <cell r="E146">
            <v>1</v>
          </cell>
        </row>
        <row r="147">
          <cell r="A147" t="e">
            <v>#REF!</v>
          </cell>
          <cell r="B147" t="str">
            <v>LIMIT SWITCH</v>
          </cell>
          <cell r="D147" t="str">
            <v>EA</v>
          </cell>
          <cell r="E147">
            <v>1</v>
          </cell>
        </row>
        <row r="148">
          <cell r="A148" t="e">
            <v>#REF!</v>
          </cell>
          <cell r="B148" t="str">
            <v>CURTAIN</v>
          </cell>
          <cell r="C148" t="str">
            <v>(암막지 선방염)</v>
          </cell>
          <cell r="D148" t="str">
            <v>M2</v>
          </cell>
          <cell r="E148">
            <v>117</v>
          </cell>
          <cell r="F148" t="str">
            <v>(8.8x할증350%)=30.8, 3.5+가공여유(0.3)=3.8, 30.8x3.8=117.04M2 약 117M2</v>
          </cell>
          <cell r="G148">
            <v>3.5</v>
          </cell>
        </row>
        <row r="149">
          <cell r="A149" t="e">
            <v>#REF!</v>
          </cell>
          <cell r="B149" t="str">
            <v>도장비</v>
          </cell>
          <cell r="D149" t="str">
            <v>M2</v>
          </cell>
          <cell r="E149">
            <v>2</v>
          </cell>
          <cell r="F149" t="str">
            <v>PIPE(1.76)=약 2M2</v>
          </cell>
        </row>
        <row r="150">
          <cell r="A150" t="e">
            <v>#REF!</v>
          </cell>
        </row>
        <row r="151">
          <cell r="A151" t="e">
            <v>#REF!</v>
          </cell>
          <cell r="E151" t="str">
            <v xml:space="preserve"> </v>
          </cell>
        </row>
        <row r="152">
          <cell r="A152" t="e">
            <v>#REF!</v>
          </cell>
        </row>
        <row r="153">
          <cell r="F153" t="str">
            <v xml:space="preserve"> </v>
          </cell>
        </row>
        <row r="154">
          <cell r="A154" t="e">
            <v>#REF!</v>
          </cell>
        </row>
        <row r="155">
          <cell r="A155" t="e">
            <v>#REF!</v>
          </cell>
        </row>
        <row r="156">
          <cell r="A156" t="e">
            <v>#REF!</v>
          </cell>
        </row>
        <row r="157">
          <cell r="B157" t="str">
            <v>공사명:WINDOW DARKEN CURTAIN(4,050L x 3,500H)</v>
          </cell>
          <cell r="H157" t="str">
            <v>NO.1-06-00</v>
          </cell>
        </row>
        <row r="158">
          <cell r="B158" t="str">
            <v>소형 MOTOR</v>
          </cell>
          <cell r="C158" t="str">
            <v>25W</v>
          </cell>
          <cell r="D158" t="str">
            <v>SET</v>
          </cell>
          <cell r="E158">
            <v>1</v>
          </cell>
          <cell r="F158" t="str">
            <v xml:space="preserve"> </v>
          </cell>
        </row>
        <row r="159">
          <cell r="A159" t="e">
            <v>#REF!</v>
          </cell>
          <cell r="B159" t="str">
            <v>MOTOR BRACKET</v>
          </cell>
          <cell r="D159" t="str">
            <v>SET</v>
          </cell>
          <cell r="E159">
            <v>1</v>
          </cell>
        </row>
        <row r="160">
          <cell r="A160" t="e">
            <v>#REF!</v>
          </cell>
          <cell r="B160" t="str">
            <v>REDUCER</v>
          </cell>
          <cell r="C160" t="str">
            <v>15:1</v>
          </cell>
          <cell r="D160" t="str">
            <v>SET</v>
          </cell>
          <cell r="E160">
            <v>1</v>
          </cell>
        </row>
        <row r="161">
          <cell r="A161" t="e">
            <v>#REF!</v>
          </cell>
          <cell r="B161" t="str">
            <v>S.Q PIPE</v>
          </cell>
          <cell r="C161" t="str">
            <v>ㅁ-50 x 50 x 2.3t</v>
          </cell>
          <cell r="D161" t="str">
            <v>本</v>
          </cell>
          <cell r="E161">
            <v>2</v>
          </cell>
          <cell r="F161" t="str">
            <v>4.05/6M=0.675M 약 1本</v>
          </cell>
        </row>
        <row r="162">
          <cell r="A162" t="e">
            <v>#REF!</v>
          </cell>
          <cell r="B162" t="str">
            <v>AL RAIL</v>
          </cell>
          <cell r="C162" t="str">
            <v>주문 제작</v>
          </cell>
          <cell r="D162" t="str">
            <v>M</v>
          </cell>
          <cell r="E162">
            <v>4</v>
          </cell>
          <cell r="F162" t="str">
            <v>4.05M 약 4M</v>
          </cell>
        </row>
        <row r="163">
          <cell r="A163" t="e">
            <v>#REF!</v>
          </cell>
          <cell r="B163" t="str">
            <v>DRIVE PULLEY</v>
          </cell>
          <cell r="C163" t="str">
            <v>Ø60</v>
          </cell>
          <cell r="D163" t="str">
            <v>EA</v>
          </cell>
          <cell r="E163">
            <v>1</v>
          </cell>
        </row>
        <row r="164">
          <cell r="A164" t="e">
            <v>#REF!</v>
          </cell>
          <cell r="B164" t="str">
            <v>ADJUST BRACKET</v>
          </cell>
          <cell r="D164" t="str">
            <v>EA</v>
          </cell>
          <cell r="E164">
            <v>1</v>
          </cell>
        </row>
        <row r="165">
          <cell r="A165" t="e">
            <v>#REF!</v>
          </cell>
          <cell r="B165" t="str">
            <v>MASTER CARRIER</v>
          </cell>
          <cell r="C165" t="str">
            <v>주문 제작</v>
          </cell>
          <cell r="D165" t="str">
            <v>EA</v>
          </cell>
          <cell r="E165">
            <v>2</v>
          </cell>
          <cell r="F165" t="str">
            <v>좌,우 최선단에</v>
          </cell>
        </row>
        <row r="166">
          <cell r="A166" t="e">
            <v>#REF!</v>
          </cell>
          <cell r="B166" t="str">
            <v>SINGLE CARRIER</v>
          </cell>
          <cell r="C166" t="str">
            <v>주문 제작</v>
          </cell>
          <cell r="D166" t="str">
            <v>EA</v>
          </cell>
          <cell r="E166">
            <v>20</v>
          </cell>
          <cell r="F166" t="str">
            <v>(4.05/0.2)x2=20.25EA 약 20EA</v>
          </cell>
        </row>
        <row r="167">
          <cell r="A167" t="e">
            <v>#REF!</v>
          </cell>
          <cell r="B167" t="str">
            <v>ROPE</v>
          </cell>
          <cell r="C167" t="str">
            <v>SUSØ1.6</v>
          </cell>
          <cell r="D167" t="str">
            <v>M</v>
          </cell>
          <cell r="E167">
            <v>8</v>
          </cell>
          <cell r="F167" t="str">
            <v>4.05x2=8.1M 약 8M</v>
          </cell>
        </row>
        <row r="168">
          <cell r="A168" t="e">
            <v>#REF!</v>
          </cell>
          <cell r="B168" t="str">
            <v>LIMIT SWITCH</v>
          </cell>
          <cell r="D168" t="str">
            <v>EA</v>
          </cell>
          <cell r="E168">
            <v>1</v>
          </cell>
        </row>
        <row r="169">
          <cell r="A169" t="e">
            <v>#REF!</v>
          </cell>
          <cell r="B169" t="str">
            <v>CURTAIN</v>
          </cell>
          <cell r="C169" t="str">
            <v>(암막지 선방염)</v>
          </cell>
          <cell r="D169" t="str">
            <v>M2</v>
          </cell>
          <cell r="E169">
            <v>54</v>
          </cell>
          <cell r="F169" t="str">
            <v>(4.05x할증350%)=14.175, 3.5+가공여유(0.3)=3.8, 14.175x3.8=53.865 약 54M2</v>
          </cell>
          <cell r="G169">
            <v>3.5</v>
          </cell>
        </row>
        <row r="170">
          <cell r="A170" t="e">
            <v>#REF!</v>
          </cell>
          <cell r="B170" t="str">
            <v>도장비</v>
          </cell>
          <cell r="D170" t="str">
            <v>M2</v>
          </cell>
          <cell r="E170">
            <v>1</v>
          </cell>
          <cell r="F170" t="str">
            <v>PIPE(0.8)=약 1M2</v>
          </cell>
        </row>
        <row r="171">
          <cell r="A171" t="e">
            <v>#REF!</v>
          </cell>
        </row>
        <row r="172">
          <cell r="A172" t="e">
            <v>#REF!</v>
          </cell>
          <cell r="E172" t="str">
            <v xml:space="preserve"> </v>
          </cell>
        </row>
        <row r="173">
          <cell r="A173" t="e">
            <v>#REF!</v>
          </cell>
        </row>
        <row r="174">
          <cell r="A174" t="e">
            <v>#REF!</v>
          </cell>
        </row>
        <row r="175">
          <cell r="A175" t="e">
            <v>#REF!</v>
          </cell>
        </row>
        <row r="176">
          <cell r="A176" t="e">
            <v>#REF!</v>
          </cell>
          <cell r="F176" t="str">
            <v xml:space="preserve"> </v>
          </cell>
        </row>
        <row r="177">
          <cell r="A177" t="e">
            <v>#REF!</v>
          </cell>
        </row>
        <row r="178">
          <cell r="A178" t="e">
            <v>#REF!</v>
          </cell>
        </row>
        <row r="179">
          <cell r="A179" t="e">
            <v>#REF!</v>
          </cell>
          <cell r="B179" t="str">
            <v>공사명:DOOR DARKEN CURTAIN(4,050L x 3,500H)</v>
          </cell>
          <cell r="H179" t="str">
            <v>NO.1-07-00</v>
          </cell>
        </row>
        <row r="180">
          <cell r="A180" t="e">
            <v>#REF!</v>
          </cell>
          <cell r="B180" t="str">
            <v>S.Q PIPE</v>
          </cell>
          <cell r="C180" t="str">
            <v>ㅁ-50 x 50 x 2.3t</v>
          </cell>
          <cell r="D180" t="str">
            <v>本</v>
          </cell>
          <cell r="E180">
            <v>1</v>
          </cell>
          <cell r="F180" t="str">
            <v>4.05/6M=0.675M 약 1本</v>
          </cell>
        </row>
        <row r="181">
          <cell r="A181" t="e">
            <v>#REF!</v>
          </cell>
          <cell r="B181" t="str">
            <v>AL RAIL</v>
          </cell>
          <cell r="C181" t="str">
            <v>주문 제작</v>
          </cell>
          <cell r="D181" t="str">
            <v>M</v>
          </cell>
          <cell r="E181">
            <v>4</v>
          </cell>
          <cell r="F181" t="str">
            <v>4.05M 약 4M</v>
          </cell>
        </row>
        <row r="182">
          <cell r="A182" t="e">
            <v>#REF!</v>
          </cell>
          <cell r="B182" t="str">
            <v>MASTER CARRIER</v>
          </cell>
          <cell r="C182" t="str">
            <v>주문 제작</v>
          </cell>
          <cell r="D182" t="str">
            <v>EA</v>
          </cell>
          <cell r="E182">
            <v>2</v>
          </cell>
          <cell r="F182" t="str">
            <v>좌,우 최선단에</v>
          </cell>
        </row>
        <row r="183">
          <cell r="A183" t="e">
            <v>#REF!</v>
          </cell>
          <cell r="B183" t="str">
            <v>SINGLE CARRIER</v>
          </cell>
          <cell r="C183" t="str">
            <v>주문 제작</v>
          </cell>
          <cell r="D183" t="str">
            <v>EA</v>
          </cell>
          <cell r="E183">
            <v>20</v>
          </cell>
          <cell r="F183" t="str">
            <v>(4.05/0.2)x2=20.25EA 약 20EA</v>
          </cell>
        </row>
        <row r="184">
          <cell r="A184" t="e">
            <v>#REF!</v>
          </cell>
          <cell r="B184" t="str">
            <v>CURTAIN</v>
          </cell>
          <cell r="C184" t="str">
            <v>(암막지 선방염)</v>
          </cell>
          <cell r="D184" t="str">
            <v>M2</v>
          </cell>
          <cell r="E184">
            <v>54</v>
          </cell>
          <cell r="F184" t="str">
            <v>(4.05x할증350%)=14.175, 3.5+가공여유(0.3)=3.8, 14.175x3.8=53.865 약 54M2</v>
          </cell>
          <cell r="G184">
            <v>3.5</v>
          </cell>
        </row>
        <row r="185">
          <cell r="A185" t="e">
            <v>#REF!</v>
          </cell>
          <cell r="B185" t="str">
            <v>도장비</v>
          </cell>
          <cell r="D185" t="str">
            <v>M2</v>
          </cell>
          <cell r="E185">
            <v>1</v>
          </cell>
          <cell r="F185" t="str">
            <v>PIPE(0.8)=약 1M2</v>
          </cell>
        </row>
        <row r="186">
          <cell r="A186" t="e">
            <v>#REF!</v>
          </cell>
        </row>
        <row r="187">
          <cell r="A187" t="e">
            <v>#REF!</v>
          </cell>
          <cell r="E187" t="str">
            <v xml:space="preserve"> </v>
          </cell>
        </row>
        <row r="191">
          <cell r="F191" t="str">
            <v xml:space="preserve"> </v>
          </cell>
        </row>
        <row r="193">
          <cell r="A193" t="e">
            <v>#REF!</v>
          </cell>
        </row>
        <row r="194">
          <cell r="A194" t="e">
            <v>#REF!</v>
          </cell>
        </row>
        <row r="195">
          <cell r="A195" t="e">
            <v>#REF!</v>
          </cell>
        </row>
        <row r="196">
          <cell r="A196" t="e">
            <v>#REF!</v>
          </cell>
        </row>
        <row r="198">
          <cell r="A198" t="e">
            <v>#REF!</v>
          </cell>
        </row>
        <row r="199">
          <cell r="A199" t="e">
            <v>#REF!</v>
          </cell>
        </row>
        <row r="200">
          <cell r="A200" t="e">
            <v>#REF!</v>
          </cell>
          <cell r="F200" t="str">
            <v>293KG=0.293TON</v>
          </cell>
        </row>
        <row r="201">
          <cell r="A201" t="e">
            <v>#REF!</v>
          </cell>
          <cell r="B201" t="str">
            <v>공사명:GRID IRON(8,600L x 900D)</v>
          </cell>
          <cell r="H201" t="str">
            <v>NO.1-08-00</v>
          </cell>
        </row>
        <row r="202">
          <cell r="A202" t="e">
            <v>#REF!</v>
          </cell>
          <cell r="B202" t="str">
            <v>CHANNEL</v>
          </cell>
          <cell r="C202" t="str">
            <v xml:space="preserve">[-100 x 50 x 5t </v>
          </cell>
          <cell r="D202" t="str">
            <v>KG</v>
          </cell>
          <cell r="E202">
            <v>275</v>
          </cell>
          <cell r="F202" t="str">
            <v>(8.6x2)+(0.9x12)=28M+(할증5%)=29.4M</v>
          </cell>
          <cell r="G202">
            <v>0.05</v>
          </cell>
        </row>
        <row r="203">
          <cell r="A203" t="e">
            <v>#REF!</v>
          </cell>
          <cell r="B203" t="str">
            <v xml:space="preserve"> </v>
          </cell>
          <cell r="C203" t="str">
            <v xml:space="preserve"> </v>
          </cell>
          <cell r="D203" t="str">
            <v xml:space="preserve"> </v>
          </cell>
          <cell r="E203" t="str">
            <v xml:space="preserve"> </v>
          </cell>
          <cell r="F203" t="str">
            <v>=29.4x9.36KG/M= 275.18KG 약 275KG</v>
          </cell>
        </row>
        <row r="204">
          <cell r="A204" t="e">
            <v>#REF!</v>
          </cell>
          <cell r="B204" t="str">
            <v>ROUND BAR</v>
          </cell>
          <cell r="C204" t="str">
            <v>Ø19</v>
          </cell>
          <cell r="D204" t="str">
            <v>KG</v>
          </cell>
          <cell r="E204">
            <v>18</v>
          </cell>
          <cell r="F204" t="str">
            <v xml:space="preserve">HANGER POINT 8곳,8x1M=8x2.23KG = 17.84KG </v>
          </cell>
        </row>
        <row r="205">
          <cell r="A205" t="e">
            <v>#REF!</v>
          </cell>
          <cell r="B205" t="str">
            <v>TURNBUCKLE</v>
          </cell>
          <cell r="C205" t="str">
            <v>W5/8" x 300</v>
          </cell>
          <cell r="D205" t="str">
            <v>EA</v>
          </cell>
          <cell r="E205">
            <v>8</v>
          </cell>
          <cell r="F205" t="str">
            <v>HANGER POINT</v>
          </cell>
        </row>
        <row r="206">
          <cell r="A206" t="e">
            <v>#REF!</v>
          </cell>
          <cell r="B206" t="str">
            <v>SHACKLE</v>
          </cell>
          <cell r="C206" t="str">
            <v xml:space="preserve">W5/8" </v>
          </cell>
          <cell r="D206" t="str">
            <v>EA</v>
          </cell>
          <cell r="E206">
            <v>16</v>
          </cell>
          <cell r="F206" t="str">
            <v>1PONT당 2EA씩이므로 8x2 = 16EA</v>
          </cell>
        </row>
        <row r="207">
          <cell r="A207" t="e">
            <v>#REF!</v>
          </cell>
          <cell r="B207" t="str">
            <v>HANGER BRACKET</v>
          </cell>
          <cell r="D207" t="str">
            <v>EA</v>
          </cell>
          <cell r="E207">
            <v>8</v>
          </cell>
          <cell r="F207" t="str">
            <v>천정부분 HANGER POINT</v>
          </cell>
        </row>
        <row r="208">
          <cell r="A208" t="e">
            <v>#REF!</v>
          </cell>
          <cell r="B208" t="str">
            <v>HANGER PLATE</v>
          </cell>
          <cell r="C208" t="str">
            <v>PL 9tx200x75</v>
          </cell>
          <cell r="D208" t="str">
            <v>EA</v>
          </cell>
          <cell r="E208">
            <v>8</v>
          </cell>
          <cell r="F208" t="str">
            <v>GRID 부분 HANGER POINT</v>
          </cell>
        </row>
        <row r="209">
          <cell r="A209" t="e">
            <v>#REF!</v>
          </cell>
          <cell r="B209" t="str">
            <v>도 장 비</v>
          </cell>
          <cell r="C209" t="str">
            <v>각 2회</v>
          </cell>
          <cell r="D209" t="str">
            <v>M2</v>
          </cell>
          <cell r="E209">
            <v>21</v>
          </cell>
          <cell r="F209" t="str">
            <v>CH-100(29x0.6)+ROUND BAR(8x0.1)++T'ASSY(8x0.3)=20.6 약 21M2</v>
          </cell>
        </row>
        <row r="210">
          <cell r="A210" t="e">
            <v>#REF!</v>
          </cell>
          <cell r="B210" t="str">
            <v xml:space="preserve"> </v>
          </cell>
          <cell r="C210" t="str">
            <v xml:space="preserve"> </v>
          </cell>
          <cell r="D210" t="str">
            <v xml:space="preserve"> </v>
          </cell>
          <cell r="E210" t="str">
            <v xml:space="preserve"> </v>
          </cell>
        </row>
        <row r="211">
          <cell r="B211" t="str">
            <v xml:space="preserve"> </v>
          </cell>
          <cell r="C211" t="str">
            <v xml:space="preserve"> </v>
          </cell>
          <cell r="D211" t="str">
            <v xml:space="preserve"> </v>
          </cell>
          <cell r="E211" t="str">
            <v xml:space="preserve"> </v>
          </cell>
        </row>
        <row r="218">
          <cell r="A218" t="e">
            <v>#REF!</v>
          </cell>
        </row>
        <row r="219">
          <cell r="A219" t="e">
            <v>#REF!</v>
          </cell>
        </row>
        <row r="220">
          <cell r="A220" t="e">
            <v>#REF!</v>
          </cell>
        </row>
        <row r="221">
          <cell r="A221" t="e">
            <v>#REF!</v>
          </cell>
        </row>
        <row r="222">
          <cell r="A222" t="e">
            <v>#REF!</v>
          </cell>
        </row>
        <row r="223">
          <cell r="B223" t="str">
            <v>공사명 : CONTROL PANEL</v>
          </cell>
          <cell r="D223" t="str">
            <v xml:space="preserve"> </v>
          </cell>
          <cell r="E223" t="str">
            <v xml:space="preserve"> </v>
          </cell>
          <cell r="F223" t="str">
            <v xml:space="preserve"> </v>
          </cell>
          <cell r="H223" t="str">
            <v>NO.1-09-00</v>
          </cell>
        </row>
        <row r="224">
          <cell r="A224" t="e">
            <v>#REF!</v>
          </cell>
          <cell r="B224" t="str">
            <v>PANEL</v>
          </cell>
          <cell r="C224" t="str">
            <v>800Lx1200Hx250D</v>
          </cell>
          <cell r="D224" t="str">
            <v>SET</v>
          </cell>
          <cell r="E224">
            <v>1</v>
          </cell>
          <cell r="F224" t="str">
            <v xml:space="preserve"> </v>
          </cell>
        </row>
        <row r="225">
          <cell r="B225" t="str">
            <v>MAIN N.F.B</v>
          </cell>
          <cell r="C225" t="str">
            <v>3P 20A</v>
          </cell>
          <cell r="D225" t="str">
            <v>EA</v>
          </cell>
          <cell r="E225">
            <v>1</v>
          </cell>
          <cell r="F225" t="str">
            <v xml:space="preserve"> </v>
          </cell>
        </row>
        <row r="226">
          <cell r="A226" t="e">
            <v>#REF!</v>
          </cell>
          <cell r="B226" t="str">
            <v>N.F.B</v>
          </cell>
          <cell r="C226" t="str">
            <v>3P 30AF/10AT</v>
          </cell>
          <cell r="D226" t="str">
            <v>EA</v>
          </cell>
          <cell r="E226">
            <v>1</v>
          </cell>
          <cell r="F226" t="str">
            <v>1.5KW 1회로 이므로</v>
          </cell>
        </row>
        <row r="227">
          <cell r="A227" t="e">
            <v>#REF!</v>
          </cell>
          <cell r="B227" t="str">
            <v>N.F.B</v>
          </cell>
          <cell r="C227" t="str">
            <v>2P 5A</v>
          </cell>
          <cell r="D227" t="str">
            <v>EA</v>
          </cell>
          <cell r="E227">
            <v>10</v>
          </cell>
          <cell r="F227" t="str">
            <v>25W x 6회로, 40W x 2회로, 100W x 1회로, 190W x 1회로= 10회로이므로</v>
          </cell>
        </row>
        <row r="228">
          <cell r="A228" t="e">
            <v>#REF!</v>
          </cell>
          <cell r="B228" t="str">
            <v xml:space="preserve">N.F.B(MACHINE OP') </v>
          </cell>
          <cell r="C228" t="str">
            <v>2P 5A</v>
          </cell>
          <cell r="D228" t="str">
            <v>EA</v>
          </cell>
          <cell r="E228">
            <v>1</v>
          </cell>
          <cell r="F228" t="str">
            <v xml:space="preserve"> </v>
          </cell>
        </row>
        <row r="229">
          <cell r="B229" t="str">
            <v>MAGNETIC S/W</v>
          </cell>
          <cell r="C229" t="str">
            <v>SMO - 15</v>
          </cell>
          <cell r="D229" t="str">
            <v>EA</v>
          </cell>
          <cell r="E229">
            <v>2</v>
          </cell>
          <cell r="F229" t="str">
            <v>1회로 (1.5KW이하) x 2EA씩 (정.역회전)</v>
          </cell>
        </row>
        <row r="230">
          <cell r="A230" t="e">
            <v>#REF!</v>
          </cell>
          <cell r="B230" t="str">
            <v>전  선</v>
          </cell>
          <cell r="C230" t="str">
            <v>UL #24</v>
          </cell>
          <cell r="D230" t="str">
            <v>M</v>
          </cell>
          <cell r="E230">
            <v>10</v>
          </cell>
          <cell r="F230" t="str">
            <v xml:space="preserve"> </v>
          </cell>
        </row>
        <row r="231">
          <cell r="A231" t="e">
            <v>#REF!</v>
          </cell>
          <cell r="B231" t="str">
            <v>PILOT LAMP</v>
          </cell>
          <cell r="C231" t="str">
            <v xml:space="preserve"> </v>
          </cell>
          <cell r="D231" t="str">
            <v>EA</v>
          </cell>
          <cell r="E231">
            <v>2</v>
          </cell>
          <cell r="F231" t="str">
            <v>POWER용 1EA, OPERATION용 1EA</v>
          </cell>
        </row>
        <row r="232">
          <cell r="B232" t="str">
            <v>T.H</v>
          </cell>
          <cell r="D232" t="str">
            <v>EA</v>
          </cell>
          <cell r="E232">
            <v>1</v>
          </cell>
          <cell r="F232" t="str">
            <v>회로당 1EA씩 x 1회로</v>
          </cell>
        </row>
        <row r="233">
          <cell r="A233" t="e">
            <v>#REF!</v>
          </cell>
          <cell r="B233" t="str">
            <v>POWER RELAY</v>
          </cell>
          <cell r="C233" t="str">
            <v>4a4b</v>
          </cell>
          <cell r="D233" t="str">
            <v>EA</v>
          </cell>
          <cell r="E233">
            <v>20</v>
          </cell>
          <cell r="F233" t="str">
            <v>회로당 2EA씩 x 10회로</v>
          </cell>
        </row>
        <row r="234">
          <cell r="A234" t="e">
            <v>#REF!</v>
          </cell>
          <cell r="B234" t="str">
            <v>RELAY</v>
          </cell>
          <cell r="C234" t="str">
            <v>DC 24V 14PIN</v>
          </cell>
          <cell r="D234" t="str">
            <v>EA</v>
          </cell>
          <cell r="E234">
            <v>2</v>
          </cell>
          <cell r="F234" t="str">
            <v>회로당 2EA씩 x 1회로</v>
          </cell>
        </row>
        <row r="235">
          <cell r="A235" t="e">
            <v>#REF!</v>
          </cell>
          <cell r="B235" t="str">
            <v>RELAY SOCKET</v>
          </cell>
          <cell r="C235" t="str">
            <v>DC 24V 14PIN</v>
          </cell>
          <cell r="D235" t="str">
            <v>EA</v>
          </cell>
          <cell r="E235">
            <v>2</v>
          </cell>
          <cell r="F235" t="str">
            <v>회로당 2EA씩 x 1회로</v>
          </cell>
          <cell r="G235" t="str">
            <v xml:space="preserve"> </v>
          </cell>
        </row>
        <row r="236">
          <cell r="A236" t="e">
            <v>#REF!</v>
          </cell>
          <cell r="B236" t="str">
            <v>FUSE/SOCKET</v>
          </cell>
          <cell r="C236" t="str">
            <v xml:space="preserve"> </v>
          </cell>
          <cell r="D236" t="str">
            <v>EA</v>
          </cell>
          <cell r="E236">
            <v>3</v>
          </cell>
          <cell r="F236" t="str">
            <v>3상 이므로</v>
          </cell>
        </row>
        <row r="237">
          <cell r="A237" t="e">
            <v>#REF!</v>
          </cell>
          <cell r="B237" t="str">
            <v>TRANS</v>
          </cell>
          <cell r="C237" t="str">
            <v>250W 380/220,110,24V</v>
          </cell>
          <cell r="D237" t="str">
            <v>SET</v>
          </cell>
          <cell r="E237">
            <v>1</v>
          </cell>
        </row>
        <row r="238">
          <cell r="A238" t="e">
            <v>#REF!</v>
          </cell>
          <cell r="B238" t="str">
            <v>TERMINAL &amp; BLOCK</v>
          </cell>
          <cell r="C238" t="str">
            <v>20A</v>
          </cell>
          <cell r="D238" t="str">
            <v>EA</v>
          </cell>
          <cell r="E238">
            <v>44</v>
          </cell>
          <cell r="F238" t="str">
            <v>11CIR'x4EA=44EA (POWER)</v>
          </cell>
        </row>
        <row r="239">
          <cell r="A239" t="e">
            <v>#REF!</v>
          </cell>
          <cell r="B239" t="str">
            <v>TERMINAL &amp; BLOCK</v>
          </cell>
          <cell r="C239" t="str">
            <v>10A</v>
          </cell>
          <cell r="D239" t="str">
            <v>EA</v>
          </cell>
          <cell r="E239">
            <v>66</v>
          </cell>
          <cell r="F239" t="str">
            <v>11CIR'x6EA=66EA (OPERATION)</v>
          </cell>
        </row>
        <row r="240">
          <cell r="B240" t="str">
            <v>TERMINAL &amp; TUBE</v>
          </cell>
          <cell r="C240" t="str">
            <v>3.5sq</v>
          </cell>
          <cell r="D240" t="str">
            <v>SET</v>
          </cell>
          <cell r="E240">
            <v>88</v>
          </cell>
          <cell r="F240" t="str">
            <v xml:space="preserve"> </v>
          </cell>
        </row>
        <row r="241">
          <cell r="A241" t="e">
            <v>#REF!</v>
          </cell>
          <cell r="B241" t="str">
            <v>TERMINAL &amp; TUBE</v>
          </cell>
          <cell r="C241" t="str">
            <v>1.25sq</v>
          </cell>
          <cell r="D241" t="str">
            <v>SET</v>
          </cell>
          <cell r="E241">
            <v>132</v>
          </cell>
          <cell r="F241" t="str">
            <v xml:space="preserve"> </v>
          </cell>
        </row>
        <row r="242">
          <cell r="A242" t="e">
            <v>#REF!</v>
          </cell>
          <cell r="B242" t="str">
            <v>전   선</v>
          </cell>
          <cell r="C242" t="str">
            <v>IV 3.5sq</v>
          </cell>
          <cell r="D242" t="str">
            <v>M</v>
          </cell>
          <cell r="E242">
            <v>88</v>
          </cell>
          <cell r="F242" t="str">
            <v>회로당2M x (4가닥 x11회로)=88M</v>
          </cell>
        </row>
        <row r="243">
          <cell r="A243" t="e">
            <v>#REF!</v>
          </cell>
          <cell r="B243" t="str">
            <v>전   선</v>
          </cell>
          <cell r="C243" t="str">
            <v>IV 1.25sq</v>
          </cell>
          <cell r="D243" t="str">
            <v>M</v>
          </cell>
          <cell r="E243">
            <v>88</v>
          </cell>
          <cell r="F243" t="str">
            <v>회로당2M x (4가닥 x11회로)=88M</v>
          </cell>
          <cell r="H243" t="str">
            <v xml:space="preserve"> </v>
          </cell>
        </row>
        <row r="245">
          <cell r="A245" t="e">
            <v>#REF!</v>
          </cell>
          <cell r="B245" t="str">
            <v>공사명: CONTROL BOARD</v>
          </cell>
          <cell r="H245" t="str">
            <v>NO.1-10-00</v>
          </cell>
        </row>
        <row r="246">
          <cell r="A246" t="e">
            <v>#REF!</v>
          </cell>
          <cell r="B246" t="str">
            <v>CONTROL BOARD</v>
          </cell>
          <cell r="C246" t="str">
            <v>325x350x80</v>
          </cell>
          <cell r="D246" t="str">
            <v>SET</v>
          </cell>
          <cell r="E246">
            <v>1</v>
          </cell>
          <cell r="F246" t="str">
            <v>도면 참조</v>
          </cell>
        </row>
        <row r="247">
          <cell r="A247" t="e">
            <v>#REF!</v>
          </cell>
          <cell r="B247" t="str">
            <v>PILOT LAMP</v>
          </cell>
          <cell r="C247" t="str">
            <v>Ø16</v>
          </cell>
          <cell r="D247" t="str">
            <v>EA</v>
          </cell>
          <cell r="E247">
            <v>1</v>
          </cell>
          <cell r="F247" t="str">
            <v>도면 참조</v>
          </cell>
        </row>
        <row r="248">
          <cell r="A248" t="e">
            <v>#REF!</v>
          </cell>
          <cell r="B248" t="str">
            <v>KEY S/W</v>
          </cell>
          <cell r="C248" t="str">
            <v xml:space="preserve"> </v>
          </cell>
          <cell r="D248" t="str">
            <v>EA</v>
          </cell>
          <cell r="E248">
            <v>1</v>
          </cell>
          <cell r="F248" t="str">
            <v>도면 참조</v>
          </cell>
          <cell r="G248" t="str">
            <v xml:space="preserve"> </v>
          </cell>
        </row>
        <row r="249">
          <cell r="A249" t="e">
            <v>#REF!</v>
          </cell>
          <cell r="B249" t="str">
            <v>EMERGENCY S/W</v>
          </cell>
          <cell r="C249" t="str">
            <v>Ø25</v>
          </cell>
          <cell r="D249" t="str">
            <v>EA</v>
          </cell>
          <cell r="E249">
            <v>1</v>
          </cell>
          <cell r="F249" t="str">
            <v>도면 참조</v>
          </cell>
        </row>
        <row r="250">
          <cell r="A250" t="e">
            <v>#REF!</v>
          </cell>
          <cell r="B250" t="str">
            <v>선 택 S/W</v>
          </cell>
          <cell r="C250" t="str">
            <v xml:space="preserve">Ø16 </v>
          </cell>
          <cell r="D250" t="str">
            <v>EA</v>
          </cell>
          <cell r="E250">
            <v>11</v>
          </cell>
          <cell r="F250" t="str">
            <v>도면 참조</v>
          </cell>
        </row>
        <row r="251">
          <cell r="A251" t="e">
            <v>#REF!</v>
          </cell>
          <cell r="B251" t="str">
            <v>PUSH BUTTON S/W</v>
          </cell>
          <cell r="C251" t="str">
            <v xml:space="preserve">Ø16 </v>
          </cell>
          <cell r="D251" t="str">
            <v>EA</v>
          </cell>
          <cell r="E251">
            <v>33</v>
          </cell>
          <cell r="F251" t="str">
            <v>11회로 x 3EA = 33EA</v>
          </cell>
        </row>
        <row r="252">
          <cell r="A252" t="e">
            <v>#REF!</v>
          </cell>
          <cell r="B252" t="str">
            <v>TERMINAL BLOCK</v>
          </cell>
          <cell r="C252" t="str">
            <v>20A</v>
          </cell>
          <cell r="D252" t="str">
            <v>EA</v>
          </cell>
          <cell r="E252">
            <v>33</v>
          </cell>
          <cell r="F252" t="str">
            <v>11회로 x3EA = 33EA</v>
          </cell>
        </row>
        <row r="253">
          <cell r="A253" t="e">
            <v>#REF!</v>
          </cell>
          <cell r="B253" t="str">
            <v xml:space="preserve"> </v>
          </cell>
          <cell r="D253" t="str">
            <v xml:space="preserve"> </v>
          </cell>
          <cell r="E253" t="str">
            <v xml:space="preserve"> </v>
          </cell>
          <cell r="F253" t="str">
            <v xml:space="preserve"> </v>
          </cell>
        </row>
        <row r="254">
          <cell r="A254" t="e">
            <v>#REF!</v>
          </cell>
          <cell r="B254" t="str">
            <v xml:space="preserve"> </v>
          </cell>
          <cell r="D254" t="str">
            <v xml:space="preserve"> </v>
          </cell>
          <cell r="E254" t="str">
            <v xml:space="preserve"> </v>
          </cell>
          <cell r="F254" t="str">
            <v xml:space="preserve"> </v>
          </cell>
        </row>
        <row r="255">
          <cell r="A255" t="e">
            <v>#REF!</v>
          </cell>
        </row>
        <row r="256">
          <cell r="A256" t="e">
            <v>#REF!</v>
          </cell>
        </row>
        <row r="258">
          <cell r="A258" t="e">
            <v>#REF!</v>
          </cell>
        </row>
        <row r="259">
          <cell r="A259" t="e">
            <v>#REF!</v>
          </cell>
        </row>
        <row r="260">
          <cell r="A260" t="e">
            <v>#REF!</v>
          </cell>
        </row>
        <row r="262">
          <cell r="A262" t="e">
            <v>#REF!</v>
          </cell>
          <cell r="G262" t="str">
            <v xml:space="preserve"> </v>
          </cell>
          <cell r="H262" t="str">
            <v xml:space="preserve"> </v>
          </cell>
        </row>
        <row r="263">
          <cell r="A263" t="e">
            <v>#REF!</v>
          </cell>
          <cell r="B263" t="str">
            <v xml:space="preserve"> </v>
          </cell>
          <cell r="C263" t="str">
            <v xml:space="preserve"> </v>
          </cell>
          <cell r="D263" t="str">
            <v xml:space="preserve"> </v>
          </cell>
          <cell r="E263" t="str">
            <v xml:space="preserve"> </v>
          </cell>
          <cell r="F263" t="str">
            <v xml:space="preserve"> </v>
          </cell>
        </row>
        <row r="264">
          <cell r="A264" t="e">
            <v>#REF!</v>
          </cell>
        </row>
        <row r="265">
          <cell r="A265" t="e">
            <v>#REF!</v>
          </cell>
        </row>
        <row r="266">
          <cell r="A266" t="e">
            <v>#REF!</v>
          </cell>
        </row>
        <row r="267">
          <cell r="A267" t="e">
            <v>#REF!</v>
          </cell>
          <cell r="B267" t="str">
            <v>공사명 : MACHINE PART (1.5KW x 4P用: WINCH TYPE)</v>
          </cell>
          <cell r="H267" t="str">
            <v>일위대가-1</v>
          </cell>
        </row>
        <row r="268">
          <cell r="A268" t="e">
            <v>#REF!</v>
          </cell>
          <cell r="B268" t="str">
            <v>MOTOR</v>
          </cell>
          <cell r="C268" t="str">
            <v>1.5KW x 4P</v>
          </cell>
          <cell r="D268" t="str">
            <v>대</v>
          </cell>
          <cell r="E268">
            <v>1</v>
          </cell>
          <cell r="F268" t="str">
            <v xml:space="preserve"> </v>
          </cell>
        </row>
        <row r="269">
          <cell r="A269" t="e">
            <v>#REF!</v>
          </cell>
          <cell r="B269" t="str">
            <v>DISK BRAKE</v>
          </cell>
          <cell r="C269" t="str">
            <v>1.5KW x 4P用</v>
          </cell>
          <cell r="D269" t="str">
            <v>대</v>
          </cell>
          <cell r="E269">
            <v>1</v>
          </cell>
          <cell r="F269" t="str">
            <v xml:space="preserve"> </v>
          </cell>
        </row>
        <row r="270">
          <cell r="A270" t="e">
            <v>#REF!</v>
          </cell>
          <cell r="B270" t="str">
            <v>BOLT,NUT,W/S,S/W</v>
          </cell>
          <cell r="C270" t="str">
            <v>M12 x 40L</v>
          </cell>
          <cell r="D270" t="str">
            <v>SET</v>
          </cell>
          <cell r="E270">
            <v>4</v>
          </cell>
          <cell r="F270" t="str">
            <v>MOTOR 고정용</v>
          </cell>
        </row>
        <row r="271">
          <cell r="A271" t="e">
            <v>#REF!</v>
          </cell>
          <cell r="B271" t="str">
            <v>MOTOR DIE</v>
          </cell>
          <cell r="C271" t="str">
            <v>1.5KW x 4P用</v>
          </cell>
          <cell r="D271" t="str">
            <v>SET</v>
          </cell>
          <cell r="E271">
            <v>1</v>
          </cell>
          <cell r="F271" t="str">
            <v>MOTOR 고정용</v>
          </cell>
        </row>
        <row r="272">
          <cell r="A272" t="e">
            <v>#REF!</v>
          </cell>
          <cell r="B272" t="str">
            <v>STUD BOLT</v>
          </cell>
          <cell r="C272" t="str">
            <v>M16 x 200L</v>
          </cell>
          <cell r="D272" t="str">
            <v>SET</v>
          </cell>
          <cell r="E272">
            <v>4</v>
          </cell>
          <cell r="F272" t="str">
            <v>MOTOR 출력축과 WORM REDUCER 입력축과의 거리조절용</v>
          </cell>
        </row>
        <row r="273">
          <cell r="A273" t="e">
            <v>#REF!</v>
          </cell>
          <cell r="B273" t="str">
            <v>NUT</v>
          </cell>
          <cell r="C273" t="str">
            <v>M16</v>
          </cell>
          <cell r="D273" t="str">
            <v>EA</v>
          </cell>
          <cell r="E273">
            <v>16</v>
          </cell>
          <cell r="F273" t="str">
            <v>STUD BOLT 1EA당 4EA씩으므로 4EAx4EA= 16EA</v>
          </cell>
        </row>
        <row r="274">
          <cell r="A274" t="e">
            <v>#REF!</v>
          </cell>
          <cell r="B274" t="str">
            <v xml:space="preserve">V-PULLEY </v>
          </cell>
          <cell r="C274" t="str">
            <v>B형 x 2열 x 3"</v>
          </cell>
          <cell r="D274" t="str">
            <v>EA</v>
          </cell>
          <cell r="E274">
            <v>1</v>
          </cell>
          <cell r="F274" t="str">
            <v>MOTOR 출력용</v>
          </cell>
        </row>
        <row r="275">
          <cell r="A275" t="e">
            <v>#REF!</v>
          </cell>
          <cell r="B275" t="str">
            <v xml:space="preserve">V-PULLEY </v>
          </cell>
          <cell r="C275" t="str">
            <v>B형 x 2열 x 8"</v>
          </cell>
          <cell r="D275" t="str">
            <v>EA</v>
          </cell>
          <cell r="E275">
            <v>1</v>
          </cell>
          <cell r="F275" t="str">
            <v>WORM REDUCER 입력축용</v>
          </cell>
        </row>
        <row r="276">
          <cell r="A276" t="e">
            <v>#REF!</v>
          </cell>
          <cell r="B276" t="str">
            <v>V-BELT</v>
          </cell>
          <cell r="C276" t="str">
            <v>B형 x 42"</v>
          </cell>
          <cell r="D276" t="str">
            <v>EA</v>
          </cell>
          <cell r="E276">
            <v>2</v>
          </cell>
          <cell r="F276" t="str">
            <v>V-PULLEY가 2열</v>
          </cell>
        </row>
        <row r="277">
          <cell r="A277" t="e">
            <v>#REF!</v>
          </cell>
          <cell r="B277" t="str">
            <v>WORM REDUCER</v>
          </cell>
          <cell r="C277" t="str">
            <v>1.5KW x 4P用</v>
          </cell>
          <cell r="D277" t="str">
            <v>대</v>
          </cell>
          <cell r="E277">
            <v>1</v>
          </cell>
          <cell r="F277" t="str">
            <v xml:space="preserve"> </v>
          </cell>
        </row>
        <row r="278">
          <cell r="A278" t="e">
            <v>#REF!</v>
          </cell>
          <cell r="B278" t="str">
            <v>BOLT,NUT,W/S,S/W</v>
          </cell>
          <cell r="C278" t="str">
            <v>M16 x 60L</v>
          </cell>
          <cell r="D278" t="str">
            <v>SET</v>
          </cell>
          <cell r="E278">
            <v>2</v>
          </cell>
          <cell r="F278" t="str">
            <v>WORM REDUCER 고정용</v>
          </cell>
        </row>
        <row r="279">
          <cell r="A279" t="e">
            <v>#REF!</v>
          </cell>
          <cell r="B279" t="str">
            <v>BEARING</v>
          </cell>
          <cell r="C279" t="str">
            <v>UCP #207</v>
          </cell>
          <cell r="D279" t="str">
            <v>EA</v>
          </cell>
          <cell r="E279">
            <v>1</v>
          </cell>
          <cell r="F279" t="str">
            <v xml:space="preserve"> </v>
          </cell>
        </row>
        <row r="280">
          <cell r="A280" t="e">
            <v>#REF!</v>
          </cell>
          <cell r="B280" t="str">
            <v>BEARING DIE</v>
          </cell>
          <cell r="C280" t="str">
            <v>UCP #207用</v>
          </cell>
          <cell r="D280" t="str">
            <v>EA</v>
          </cell>
          <cell r="E280">
            <v>1</v>
          </cell>
          <cell r="F280" t="str">
            <v xml:space="preserve"> </v>
          </cell>
        </row>
        <row r="281">
          <cell r="A281" t="e">
            <v>#REF!</v>
          </cell>
          <cell r="B281" t="str">
            <v>BOLT,NUT,W/S,S/W</v>
          </cell>
          <cell r="C281" t="str">
            <v>M16 x 60L</v>
          </cell>
          <cell r="D281" t="str">
            <v>SET</v>
          </cell>
          <cell r="E281">
            <v>2</v>
          </cell>
          <cell r="F281" t="str">
            <v>BEARING DIE 고정용</v>
          </cell>
        </row>
        <row r="282">
          <cell r="A282" t="e">
            <v>#REF!</v>
          </cell>
          <cell r="B282" t="str">
            <v>CHAIN SPROCKET</v>
          </cell>
          <cell r="C282" t="str">
            <v>DS #35 x 12t</v>
          </cell>
          <cell r="D282" t="str">
            <v>SET</v>
          </cell>
          <cell r="E282">
            <v>1</v>
          </cell>
          <cell r="F282" t="str">
            <v>LIMIT 제어동력 전달용 (CAM LINIT S/W 입력축)</v>
          </cell>
        </row>
        <row r="283">
          <cell r="A283" t="e">
            <v>#REF!</v>
          </cell>
          <cell r="B283" t="str">
            <v>CHAIN SPROCKET</v>
          </cell>
          <cell r="C283" t="str">
            <v>DS #35 x 27t</v>
          </cell>
          <cell r="D283" t="str">
            <v>SET</v>
          </cell>
          <cell r="E283">
            <v>1</v>
          </cell>
          <cell r="F283" t="str">
            <v>LIMIT 제어동력 전달용 (WORM REDUCER 출력축 끝단)</v>
          </cell>
        </row>
        <row r="284">
          <cell r="A284" t="e">
            <v>#REF!</v>
          </cell>
          <cell r="B284" t="str">
            <v xml:space="preserve">CHAIN </v>
          </cell>
          <cell r="C284" t="str">
            <v xml:space="preserve">DS #35 </v>
          </cell>
          <cell r="D284" t="str">
            <v>SET</v>
          </cell>
          <cell r="E284">
            <v>1</v>
          </cell>
          <cell r="F284" t="str">
            <v>LIMIT 제어동력</v>
          </cell>
        </row>
        <row r="285">
          <cell r="A285" t="e">
            <v>#REF!</v>
          </cell>
          <cell r="B285" t="str">
            <v>CHAIN OFFSET LINK</v>
          </cell>
          <cell r="C285" t="str">
            <v xml:space="preserve">DS #35用 </v>
          </cell>
          <cell r="D285" t="str">
            <v>EA</v>
          </cell>
          <cell r="E285">
            <v>1</v>
          </cell>
          <cell r="F285" t="str">
            <v>CHAIN 연결용</v>
          </cell>
        </row>
        <row r="286">
          <cell r="A286" t="e">
            <v>#REF!</v>
          </cell>
          <cell r="B286" t="str">
            <v>CAM LIMIT S/W</v>
          </cell>
          <cell r="C286" t="str">
            <v>SCREW TYPE</v>
          </cell>
          <cell r="D286" t="str">
            <v>SET</v>
          </cell>
          <cell r="E286">
            <v>1</v>
          </cell>
          <cell r="F286" t="str">
            <v>LIMIT 제어동력</v>
          </cell>
        </row>
        <row r="287">
          <cell r="A287" t="e">
            <v>#REF!</v>
          </cell>
          <cell r="B287" t="str">
            <v>LIMIT S/W DIE</v>
          </cell>
          <cell r="C287" t="str">
            <v xml:space="preserve"> </v>
          </cell>
          <cell r="D287" t="str">
            <v>SET</v>
          </cell>
          <cell r="E287">
            <v>1</v>
          </cell>
          <cell r="F287" t="str">
            <v xml:space="preserve"> </v>
          </cell>
        </row>
        <row r="288">
          <cell r="A288" t="e">
            <v>#REF!</v>
          </cell>
          <cell r="B288" t="str">
            <v>BOLT,NUT,W/S,S/W</v>
          </cell>
          <cell r="C288" t="str">
            <v>M6 x 30L</v>
          </cell>
          <cell r="D288" t="str">
            <v>SET</v>
          </cell>
          <cell r="E288">
            <v>2</v>
          </cell>
          <cell r="F288" t="str">
            <v>CAM LIMITS S/W 고정용</v>
          </cell>
        </row>
        <row r="289">
          <cell r="A289" t="e">
            <v>#REF!</v>
          </cell>
        </row>
        <row r="290">
          <cell r="A290" t="e">
            <v>#REF!</v>
          </cell>
        </row>
        <row r="291">
          <cell r="A291" t="e">
            <v>#REF!</v>
          </cell>
        </row>
        <row r="292">
          <cell r="A292" t="e">
            <v>#REF!</v>
          </cell>
        </row>
        <row r="293">
          <cell r="A293" t="e">
            <v>#REF!</v>
          </cell>
        </row>
        <row r="294">
          <cell r="A294" t="e">
            <v>#REF!</v>
          </cell>
        </row>
        <row r="295">
          <cell r="A295" t="e">
            <v>#REF!</v>
          </cell>
        </row>
        <row r="296">
          <cell r="A296" t="e">
            <v>#REF!</v>
          </cell>
        </row>
        <row r="297">
          <cell r="A297" t="e">
            <v>#REF!</v>
          </cell>
        </row>
        <row r="298">
          <cell r="A298" t="e">
            <v>#REF!</v>
          </cell>
        </row>
        <row r="299">
          <cell r="A299" t="e">
            <v>#REF!</v>
          </cell>
        </row>
        <row r="300">
          <cell r="A300" t="e">
            <v>#REF!</v>
          </cell>
        </row>
        <row r="301">
          <cell r="A301" t="e">
            <v>#REF!</v>
          </cell>
        </row>
        <row r="302">
          <cell r="A302" t="e">
            <v>#REF!</v>
          </cell>
        </row>
        <row r="303">
          <cell r="A303" t="e">
            <v>#REF!</v>
          </cell>
        </row>
        <row r="304">
          <cell r="A304" t="e">
            <v>#REF!</v>
          </cell>
        </row>
        <row r="305">
          <cell r="A305" t="e">
            <v>#REF!</v>
          </cell>
        </row>
        <row r="306">
          <cell r="A306" t="e">
            <v>#REF!</v>
          </cell>
        </row>
        <row r="307">
          <cell r="A307" t="e">
            <v>#REF!</v>
          </cell>
        </row>
        <row r="308">
          <cell r="A308" t="e">
            <v>#REF!</v>
          </cell>
        </row>
        <row r="309">
          <cell r="A309" t="e">
            <v>#REF!</v>
          </cell>
        </row>
        <row r="310">
          <cell r="A310" t="e">
            <v>#REF!</v>
          </cell>
        </row>
        <row r="311">
          <cell r="A311" t="e">
            <v>#REF!</v>
          </cell>
        </row>
        <row r="312">
          <cell r="A312" t="e">
            <v>#REF!</v>
          </cell>
        </row>
        <row r="313">
          <cell r="A313" t="e">
            <v>#REF!</v>
          </cell>
        </row>
        <row r="314">
          <cell r="A314" t="e">
            <v>#REF!</v>
          </cell>
        </row>
        <row r="315">
          <cell r="A315" t="e">
            <v>#REF!</v>
          </cell>
        </row>
        <row r="316">
          <cell r="A316" t="e">
            <v>#REF!</v>
          </cell>
        </row>
        <row r="317">
          <cell r="A317" t="e">
            <v>#REF!</v>
          </cell>
        </row>
        <row r="318">
          <cell r="A318" t="e">
            <v>#REF!</v>
          </cell>
        </row>
        <row r="319">
          <cell r="A319" t="e">
            <v>#REF!</v>
          </cell>
        </row>
        <row r="320">
          <cell r="A320" t="e">
            <v>#REF!</v>
          </cell>
        </row>
        <row r="321">
          <cell r="A321" t="e">
            <v>#REF!</v>
          </cell>
        </row>
        <row r="322">
          <cell r="A322" t="e">
            <v>#REF!</v>
          </cell>
        </row>
        <row r="323">
          <cell r="A323" t="e">
            <v>#REF!</v>
          </cell>
        </row>
        <row r="324">
          <cell r="A324" t="e">
            <v>#REF!</v>
          </cell>
        </row>
        <row r="325">
          <cell r="A325" t="e">
            <v>#REF!</v>
          </cell>
        </row>
        <row r="326">
          <cell r="A326" t="e">
            <v>#REF!</v>
          </cell>
        </row>
        <row r="327">
          <cell r="A327" t="e">
            <v>#REF!</v>
          </cell>
        </row>
        <row r="328">
          <cell r="A328" t="e">
            <v>#REF!</v>
          </cell>
        </row>
        <row r="329">
          <cell r="A329" t="e">
            <v>#REF!</v>
          </cell>
        </row>
        <row r="330">
          <cell r="A330" t="e">
            <v>#REF!</v>
          </cell>
        </row>
        <row r="331">
          <cell r="A331" t="e">
            <v>#REF!</v>
          </cell>
        </row>
        <row r="332">
          <cell r="A332" t="e">
            <v>#REF!</v>
          </cell>
        </row>
        <row r="333">
          <cell r="A333" t="e">
            <v>#REF!</v>
          </cell>
        </row>
        <row r="334">
          <cell r="A334" t="e">
            <v>#REF!</v>
          </cell>
        </row>
        <row r="335">
          <cell r="A335" t="e">
            <v>#REF!</v>
          </cell>
        </row>
        <row r="336">
          <cell r="A336" t="e">
            <v>#REF!</v>
          </cell>
        </row>
        <row r="337">
          <cell r="A337" t="e">
            <v>#REF!</v>
          </cell>
        </row>
        <row r="338">
          <cell r="A338" t="e">
            <v>#REF!</v>
          </cell>
        </row>
        <row r="339">
          <cell r="A339" t="e">
            <v>#REF!</v>
          </cell>
        </row>
        <row r="340">
          <cell r="A340" t="e">
            <v>#REF!</v>
          </cell>
        </row>
        <row r="341">
          <cell r="A341" t="e">
            <v>#REF!</v>
          </cell>
        </row>
        <row r="342">
          <cell r="A342" t="e">
            <v>#REF!</v>
          </cell>
        </row>
        <row r="343">
          <cell r="A343" t="e">
            <v>#REF!</v>
          </cell>
        </row>
        <row r="344">
          <cell r="A344" t="e">
            <v>#REF!</v>
          </cell>
        </row>
        <row r="345">
          <cell r="A345" t="e">
            <v>#REF!</v>
          </cell>
        </row>
        <row r="346">
          <cell r="A346" t="e">
            <v>#REF!</v>
          </cell>
        </row>
        <row r="347">
          <cell r="A347" t="e">
            <v>#REF!</v>
          </cell>
        </row>
        <row r="348">
          <cell r="A348" t="e">
            <v>#REF!</v>
          </cell>
        </row>
        <row r="349">
          <cell r="A349" t="e">
            <v>#REF!</v>
          </cell>
        </row>
        <row r="350">
          <cell r="A350" t="e">
            <v>#REF!</v>
          </cell>
        </row>
        <row r="351">
          <cell r="A351" t="e">
            <v>#REF!</v>
          </cell>
        </row>
        <row r="352">
          <cell r="A352" t="e">
            <v>#REF!</v>
          </cell>
        </row>
        <row r="353">
          <cell r="A353" t="e">
            <v>#REF!</v>
          </cell>
        </row>
        <row r="354">
          <cell r="A354" t="e">
            <v>#REF!</v>
          </cell>
        </row>
        <row r="355">
          <cell r="A355" t="e">
            <v>#REF!</v>
          </cell>
        </row>
        <row r="356">
          <cell r="A356" t="e">
            <v>#REF!</v>
          </cell>
        </row>
        <row r="357">
          <cell r="A357" t="e">
            <v>#REF!</v>
          </cell>
        </row>
        <row r="358">
          <cell r="A358" t="e">
            <v>#REF!</v>
          </cell>
        </row>
        <row r="359">
          <cell r="A359" t="e">
            <v>#REF!</v>
          </cell>
        </row>
        <row r="360">
          <cell r="A360" t="e">
            <v>#REF!</v>
          </cell>
        </row>
        <row r="361">
          <cell r="A361" t="e">
            <v>#REF!</v>
          </cell>
        </row>
        <row r="362">
          <cell r="A362" t="e">
            <v>#REF!</v>
          </cell>
        </row>
        <row r="363">
          <cell r="A363" t="e">
            <v>#REF!</v>
          </cell>
        </row>
        <row r="364">
          <cell r="A364" t="e">
            <v>#REF!</v>
          </cell>
        </row>
        <row r="365">
          <cell r="A365" t="e">
            <v>#REF!</v>
          </cell>
        </row>
        <row r="366">
          <cell r="A366" t="e">
            <v>#REF!</v>
          </cell>
        </row>
        <row r="367">
          <cell r="A367" t="e">
            <v>#REF!</v>
          </cell>
        </row>
        <row r="368">
          <cell r="A368" t="e">
            <v>#REF!</v>
          </cell>
        </row>
        <row r="369">
          <cell r="A369" t="e">
            <v>#REF!</v>
          </cell>
        </row>
        <row r="370">
          <cell r="A370" t="e">
            <v>#REF!</v>
          </cell>
        </row>
        <row r="371">
          <cell r="A371" t="e">
            <v>#REF!</v>
          </cell>
        </row>
        <row r="372">
          <cell r="A372" t="e">
            <v>#REF!</v>
          </cell>
        </row>
        <row r="373">
          <cell r="A373" t="e">
            <v>#REF!</v>
          </cell>
        </row>
        <row r="374">
          <cell r="A374" t="e">
            <v>#REF!</v>
          </cell>
        </row>
        <row r="375">
          <cell r="A375" t="e">
            <v>#REF!</v>
          </cell>
        </row>
        <row r="376">
          <cell r="A376" t="e">
            <v>#REF!</v>
          </cell>
        </row>
        <row r="377">
          <cell r="A377" t="e">
            <v>#REF!</v>
          </cell>
        </row>
        <row r="378">
          <cell r="A378" t="e">
            <v>#REF!</v>
          </cell>
        </row>
        <row r="379">
          <cell r="A379" t="e">
            <v>#REF!</v>
          </cell>
        </row>
        <row r="380">
          <cell r="A380" t="e">
            <v>#REF!</v>
          </cell>
        </row>
        <row r="381">
          <cell r="A381" t="e">
            <v>#REF!</v>
          </cell>
        </row>
        <row r="382">
          <cell r="A382" t="e">
            <v>#REF!</v>
          </cell>
        </row>
        <row r="383">
          <cell r="A383" t="e">
            <v>#REF!</v>
          </cell>
        </row>
        <row r="384">
          <cell r="A384" t="e">
            <v>#REF!</v>
          </cell>
        </row>
        <row r="385">
          <cell r="A385" t="e">
            <v>#REF!</v>
          </cell>
        </row>
        <row r="386">
          <cell r="A386" t="e">
            <v>#REF!</v>
          </cell>
        </row>
        <row r="387">
          <cell r="A387" t="e">
            <v>#REF!</v>
          </cell>
        </row>
        <row r="388">
          <cell r="A388" t="e">
            <v>#REF!</v>
          </cell>
        </row>
        <row r="389">
          <cell r="A389" t="e">
            <v>#REF!</v>
          </cell>
        </row>
        <row r="390">
          <cell r="A390" t="e">
            <v>#REF!</v>
          </cell>
        </row>
        <row r="391">
          <cell r="A391" t="e">
            <v>#REF!</v>
          </cell>
        </row>
        <row r="392">
          <cell r="A392" t="e">
            <v>#REF!</v>
          </cell>
        </row>
        <row r="393">
          <cell r="A393" t="e">
            <v>#REF!</v>
          </cell>
        </row>
        <row r="394">
          <cell r="A394" t="e">
            <v>#REF!</v>
          </cell>
        </row>
        <row r="395">
          <cell r="A395" t="e">
            <v>#REF!</v>
          </cell>
        </row>
        <row r="396">
          <cell r="A396" t="e">
            <v>#REF!</v>
          </cell>
        </row>
        <row r="397">
          <cell r="A397" t="e">
            <v>#REF!</v>
          </cell>
        </row>
        <row r="398">
          <cell r="A398" t="e">
            <v>#REF!</v>
          </cell>
        </row>
        <row r="399">
          <cell r="A399" t="e">
            <v>#REF!</v>
          </cell>
        </row>
        <row r="400">
          <cell r="A400" t="e">
            <v>#REF!</v>
          </cell>
        </row>
        <row r="401">
          <cell r="A401" t="e">
            <v>#REF!</v>
          </cell>
        </row>
        <row r="402">
          <cell r="A402" t="e">
            <v>#REF!</v>
          </cell>
        </row>
        <row r="403">
          <cell r="A403" t="e">
            <v>#REF!</v>
          </cell>
        </row>
        <row r="404">
          <cell r="A404" t="e">
            <v>#REF!</v>
          </cell>
        </row>
        <row r="405">
          <cell r="A405" t="e">
            <v>#REF!</v>
          </cell>
        </row>
        <row r="406">
          <cell r="A406" t="e">
            <v>#REF!</v>
          </cell>
        </row>
        <row r="407">
          <cell r="A407" t="e">
            <v>#REF!</v>
          </cell>
        </row>
        <row r="408">
          <cell r="A408" t="e">
            <v>#REF!</v>
          </cell>
        </row>
        <row r="409">
          <cell r="A409" t="e">
            <v>#REF!</v>
          </cell>
        </row>
        <row r="410">
          <cell r="A410" t="e">
            <v>#REF!</v>
          </cell>
        </row>
        <row r="411">
          <cell r="A411" t="e">
            <v>#REF!</v>
          </cell>
        </row>
        <row r="412">
          <cell r="A412" t="e">
            <v>#REF!</v>
          </cell>
        </row>
        <row r="413">
          <cell r="A413" t="e">
            <v>#REF!</v>
          </cell>
        </row>
        <row r="414">
          <cell r="A414" t="e">
            <v>#REF!</v>
          </cell>
        </row>
        <row r="415">
          <cell r="A415" t="e">
            <v>#REF!</v>
          </cell>
        </row>
        <row r="416">
          <cell r="A416" t="e">
            <v>#REF!</v>
          </cell>
        </row>
        <row r="417">
          <cell r="A417" t="e">
            <v>#REF!</v>
          </cell>
        </row>
        <row r="418">
          <cell r="A418" t="e">
            <v>#REF!</v>
          </cell>
        </row>
        <row r="419">
          <cell r="A419" t="e">
            <v>#REF!</v>
          </cell>
        </row>
        <row r="420">
          <cell r="A420" t="e">
            <v>#REF!</v>
          </cell>
        </row>
        <row r="421">
          <cell r="A421" t="e">
            <v>#REF!</v>
          </cell>
        </row>
        <row r="422">
          <cell r="A422" t="e">
            <v>#REF!</v>
          </cell>
        </row>
        <row r="423">
          <cell r="A423" t="e">
            <v>#REF!</v>
          </cell>
        </row>
        <row r="424">
          <cell r="A424" t="e">
            <v>#REF!</v>
          </cell>
        </row>
        <row r="425">
          <cell r="A425" t="e">
            <v>#REF!</v>
          </cell>
        </row>
        <row r="426">
          <cell r="A426" t="e">
            <v>#REF!</v>
          </cell>
        </row>
        <row r="427">
          <cell r="A427" t="e">
            <v>#REF!</v>
          </cell>
        </row>
        <row r="428">
          <cell r="A428" t="e">
            <v>#REF!</v>
          </cell>
        </row>
        <row r="429">
          <cell r="A429" t="e">
            <v>#REF!</v>
          </cell>
        </row>
        <row r="430">
          <cell r="A430" t="e">
            <v>#REF!</v>
          </cell>
        </row>
        <row r="431">
          <cell r="A431" t="e">
            <v>#REF!</v>
          </cell>
        </row>
        <row r="432">
          <cell r="A432" t="e">
            <v>#REF!</v>
          </cell>
        </row>
        <row r="433">
          <cell r="A433" t="e">
            <v>#REF!</v>
          </cell>
        </row>
        <row r="434">
          <cell r="A434" t="e">
            <v>#REF!</v>
          </cell>
        </row>
        <row r="435">
          <cell r="A435" t="e">
            <v>#REF!</v>
          </cell>
        </row>
        <row r="436">
          <cell r="A436" t="e">
            <v>#REF!</v>
          </cell>
        </row>
        <row r="437">
          <cell r="A437" t="e">
            <v>#REF!</v>
          </cell>
        </row>
        <row r="438">
          <cell r="A438" t="e">
            <v>#REF!</v>
          </cell>
        </row>
        <row r="439">
          <cell r="A439" t="e">
            <v>#REF!</v>
          </cell>
        </row>
        <row r="440">
          <cell r="A440" t="e">
            <v>#REF!</v>
          </cell>
        </row>
        <row r="441">
          <cell r="A441" t="e">
            <v>#REF!</v>
          </cell>
        </row>
        <row r="442">
          <cell r="A442" t="e">
            <v>#REF!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3">
          <cell r="A3">
            <v>3</v>
          </cell>
          <cell r="B3" t="str">
            <v>송라 초,중학교 다목적 강당 무대기계장치</v>
          </cell>
        </row>
        <row r="4">
          <cell r="A4">
            <v>4</v>
          </cell>
          <cell r="B4" t="str">
            <v>다목적강당 무대기계장치</v>
          </cell>
          <cell r="C4" t="str">
            <v xml:space="preserve"> </v>
          </cell>
          <cell r="D4" t="str">
            <v>L/S</v>
          </cell>
          <cell r="E4">
            <v>1</v>
          </cell>
          <cell r="F4" t="str">
            <v xml:space="preserve"> </v>
          </cell>
          <cell r="H4" t="str">
            <v>NO.1-00-00</v>
          </cell>
        </row>
        <row r="5">
          <cell r="A5">
            <v>5</v>
          </cell>
          <cell r="B5" t="str">
            <v xml:space="preserve"> </v>
          </cell>
          <cell r="C5" t="str">
            <v xml:space="preserve"> </v>
          </cell>
          <cell r="D5" t="str">
            <v xml:space="preserve"> </v>
          </cell>
          <cell r="E5" t="str">
            <v xml:space="preserve"> </v>
          </cell>
          <cell r="F5" t="str">
            <v xml:space="preserve"> </v>
          </cell>
          <cell r="H5" t="str">
            <v xml:space="preserve"> </v>
          </cell>
        </row>
        <row r="6">
          <cell r="A6">
            <v>6</v>
          </cell>
          <cell r="F6" t="str">
            <v xml:space="preserve"> </v>
          </cell>
        </row>
        <row r="7">
          <cell r="A7">
            <v>7</v>
          </cell>
          <cell r="F7" t="str">
            <v xml:space="preserve"> </v>
          </cell>
        </row>
        <row r="8">
          <cell r="A8">
            <v>8</v>
          </cell>
          <cell r="F8" t="str">
            <v xml:space="preserve"> 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  <cell r="B25" t="str">
            <v>다목적강당 무대기계장치</v>
          </cell>
          <cell r="G25" t="str">
            <v xml:space="preserve"> </v>
          </cell>
          <cell r="H25" t="str">
            <v>NO.1-00-00</v>
          </cell>
        </row>
        <row r="26">
          <cell r="B26" t="str">
            <v>PLACARD BATTEN</v>
          </cell>
          <cell r="C26" t="str">
            <v>7,400L</v>
          </cell>
          <cell r="D26" t="str">
            <v>SET</v>
          </cell>
          <cell r="E26">
            <v>1</v>
          </cell>
          <cell r="H26" t="str">
            <v>NO.1-01-00</v>
          </cell>
        </row>
        <row r="27">
          <cell r="A27">
            <v>26</v>
          </cell>
          <cell r="B27" t="str">
            <v xml:space="preserve">DRAW CURTAIN </v>
          </cell>
          <cell r="C27" t="str">
            <v>8,660 x 3,300H</v>
          </cell>
          <cell r="D27" t="str">
            <v>SET</v>
          </cell>
          <cell r="E27">
            <v>1</v>
          </cell>
          <cell r="F27" t="str">
            <v xml:space="preserve"> </v>
          </cell>
          <cell r="H27" t="str">
            <v>NO.1-02-00</v>
          </cell>
        </row>
        <row r="28">
          <cell r="A28">
            <v>27</v>
          </cell>
          <cell r="B28" t="str">
            <v xml:space="preserve">ROLL SCREEN </v>
          </cell>
          <cell r="C28" t="str">
            <v>1,800L x 1,200H</v>
          </cell>
          <cell r="D28" t="str">
            <v>SET</v>
          </cell>
          <cell r="E28">
            <v>1</v>
          </cell>
          <cell r="F28" t="str">
            <v xml:space="preserve"> </v>
          </cell>
          <cell r="H28" t="str">
            <v>NO.1-03-00</v>
          </cell>
        </row>
        <row r="29">
          <cell r="A29">
            <v>28</v>
          </cell>
          <cell r="B29" t="str">
            <v>ROLL FLAG</v>
          </cell>
          <cell r="C29" t="str">
            <v>3,500L x 2,500H</v>
          </cell>
          <cell r="D29" t="str">
            <v>SET</v>
          </cell>
          <cell r="E29">
            <v>1</v>
          </cell>
          <cell r="H29" t="str">
            <v>NO.1-04-00</v>
          </cell>
        </row>
        <row r="30">
          <cell r="A30">
            <v>29</v>
          </cell>
          <cell r="B30" t="str">
            <v>COVER CURTAIN</v>
          </cell>
          <cell r="C30" t="str">
            <v>8,800 x 3,500H</v>
          </cell>
          <cell r="D30" t="str">
            <v>SET</v>
          </cell>
          <cell r="E30">
            <v>1</v>
          </cell>
          <cell r="H30" t="str">
            <v>NO.1-05-00</v>
          </cell>
        </row>
        <row r="31">
          <cell r="A31">
            <v>30</v>
          </cell>
          <cell r="B31" t="str">
            <v>WINDOW DARKEN CURTAIN</v>
          </cell>
          <cell r="C31" t="str">
            <v>4,050L x 3,500H</v>
          </cell>
          <cell r="D31" t="str">
            <v>SET</v>
          </cell>
          <cell r="E31">
            <v>6</v>
          </cell>
          <cell r="H31" t="str">
            <v>NO.1-06-00</v>
          </cell>
        </row>
        <row r="32">
          <cell r="A32">
            <v>31</v>
          </cell>
          <cell r="B32" t="str">
            <v>DOOR DARKEN CURTAIN</v>
          </cell>
          <cell r="C32" t="str">
            <v>4,050L x 3,500H</v>
          </cell>
          <cell r="D32" t="str">
            <v>SET</v>
          </cell>
          <cell r="E32">
            <v>2</v>
          </cell>
          <cell r="H32" t="str">
            <v>NO.1-06-00</v>
          </cell>
        </row>
        <row r="33">
          <cell r="A33">
            <v>32</v>
          </cell>
          <cell r="B33" t="str">
            <v>GRID IRON</v>
          </cell>
          <cell r="C33" t="str">
            <v>8600L x 900D</v>
          </cell>
          <cell r="D33" t="str">
            <v>L/S</v>
          </cell>
          <cell r="E33">
            <v>1</v>
          </cell>
          <cell r="H33" t="str">
            <v>NO.1-07-00</v>
          </cell>
        </row>
        <row r="34">
          <cell r="A34">
            <v>33</v>
          </cell>
          <cell r="B34" t="str">
            <v>CONTROL PANEL</v>
          </cell>
          <cell r="C34" t="str">
            <v>600L x 1,000H x 250W</v>
          </cell>
          <cell r="D34" t="str">
            <v>SET</v>
          </cell>
          <cell r="E34">
            <v>1</v>
          </cell>
          <cell r="H34" t="str">
            <v>NO.1-08-00</v>
          </cell>
        </row>
        <row r="35">
          <cell r="A35">
            <v>34</v>
          </cell>
          <cell r="B35" t="str">
            <v>CONTROL BOARD</v>
          </cell>
          <cell r="C35" t="str">
            <v xml:space="preserve"> </v>
          </cell>
          <cell r="D35" t="str">
            <v>SET</v>
          </cell>
          <cell r="E35">
            <v>1</v>
          </cell>
          <cell r="H35" t="str">
            <v>NO.1-09-00</v>
          </cell>
        </row>
        <row r="36">
          <cell r="A36">
            <v>35</v>
          </cell>
          <cell r="B36" t="str">
            <v>배관 및 배선</v>
          </cell>
          <cell r="C36" t="str">
            <v xml:space="preserve"> </v>
          </cell>
          <cell r="D36" t="str">
            <v>식</v>
          </cell>
          <cell r="E36">
            <v>1</v>
          </cell>
          <cell r="H36" t="str">
            <v>NO.1-10-00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  <cell r="B39" t="str">
            <v xml:space="preserve"> </v>
          </cell>
          <cell r="C39" t="str">
            <v xml:space="preserve"> </v>
          </cell>
          <cell r="D39" t="str">
            <v xml:space="preserve"> </v>
          </cell>
          <cell r="E39" t="str">
            <v xml:space="preserve"> </v>
          </cell>
          <cell r="H39" t="str">
            <v xml:space="preserve"> </v>
          </cell>
        </row>
        <row r="40">
          <cell r="A40">
            <v>39</v>
          </cell>
          <cell r="B40" t="str">
            <v xml:space="preserve"> </v>
          </cell>
          <cell r="C40" t="str">
            <v xml:space="preserve"> </v>
          </cell>
          <cell r="D40" t="str">
            <v xml:space="preserve"> </v>
          </cell>
          <cell r="E40" t="str">
            <v xml:space="preserve"> </v>
          </cell>
          <cell r="H40" t="str">
            <v xml:space="preserve"> 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 t="e">
            <v>#REF!</v>
          </cell>
        </row>
        <row r="45">
          <cell r="A45" t="e">
            <v>#REF!</v>
          </cell>
        </row>
        <row r="46">
          <cell r="A46" t="e">
            <v>#REF!</v>
          </cell>
        </row>
        <row r="47">
          <cell r="A47" t="e">
            <v>#REF!</v>
          </cell>
          <cell r="B47" t="str">
            <v>공사명: PLACARD BATTEN (7,400L)</v>
          </cell>
          <cell r="H47" t="str">
            <v>NO.1-1-00</v>
          </cell>
        </row>
        <row r="48">
          <cell r="A48" t="e">
            <v>#REF!</v>
          </cell>
          <cell r="B48" t="str">
            <v>MACHINE PART</v>
          </cell>
          <cell r="C48" t="str">
            <v>1.5KW x 4P用</v>
          </cell>
          <cell r="D48" t="str">
            <v>SET</v>
          </cell>
          <cell r="E48">
            <v>1</v>
          </cell>
          <cell r="F48" t="str">
            <v xml:space="preserve"> </v>
          </cell>
          <cell r="H48" t="str">
            <v>일위대가-1</v>
          </cell>
        </row>
        <row r="49">
          <cell r="A49" t="e">
            <v>#REF!</v>
          </cell>
          <cell r="B49" t="str">
            <v>AL - DRUM</v>
          </cell>
          <cell r="C49" t="str">
            <v>Ø300 x 4줄</v>
          </cell>
          <cell r="D49" t="str">
            <v>EA</v>
          </cell>
          <cell r="E49">
            <v>1</v>
          </cell>
          <cell r="F49" t="str">
            <v>WIRE POINT 4줄</v>
          </cell>
        </row>
        <row r="50">
          <cell r="A50" t="e">
            <v>#REF!</v>
          </cell>
          <cell r="B50" t="str">
            <v>MACHINE FRAME</v>
          </cell>
          <cell r="C50" t="str">
            <v>1.5KW x 4P用</v>
          </cell>
          <cell r="D50" t="str">
            <v>EA</v>
          </cell>
          <cell r="E50">
            <v>1</v>
          </cell>
          <cell r="F50" t="str">
            <v>MACHINE PART 고정용</v>
          </cell>
        </row>
        <row r="51">
          <cell r="A51" t="e">
            <v>#REF!</v>
          </cell>
          <cell r="B51" t="str">
            <v>BOLT, NUT, W/S, S/W</v>
          </cell>
          <cell r="C51" t="str">
            <v>M16 x 50L</v>
          </cell>
          <cell r="D51" t="str">
            <v>SET</v>
          </cell>
          <cell r="E51">
            <v>6</v>
          </cell>
          <cell r="F51" t="str">
            <v xml:space="preserve">M/C FRME 1SET당 6SET이므로 </v>
          </cell>
        </row>
        <row r="52">
          <cell r="A52" t="e">
            <v>#REF!</v>
          </cell>
          <cell r="B52" t="str">
            <v>VERTICAL ROLLER</v>
          </cell>
          <cell r="C52" t="str">
            <v>Ø200 x 22L</v>
          </cell>
          <cell r="D52" t="str">
            <v>EA</v>
          </cell>
          <cell r="E52">
            <v>3</v>
          </cell>
          <cell r="F52" t="str">
            <v xml:space="preserve">WIRE ROPE 1줄당 1SET이므로 </v>
          </cell>
        </row>
        <row r="53">
          <cell r="A53" t="e">
            <v>#REF!</v>
          </cell>
          <cell r="B53" t="str">
            <v>VERTICAL ROLLER</v>
          </cell>
          <cell r="C53" t="str">
            <v>Ø220 x 35L</v>
          </cell>
          <cell r="D53" t="str">
            <v>EA</v>
          </cell>
          <cell r="E53">
            <v>1</v>
          </cell>
          <cell r="F53" t="str">
            <v xml:space="preserve">WIRE ROPE 1줄당 1SET이므로 </v>
          </cell>
        </row>
        <row r="54">
          <cell r="A54" t="e">
            <v>#REF!</v>
          </cell>
          <cell r="B54" t="str">
            <v>BOLT, NUT, W/S, S/W</v>
          </cell>
          <cell r="C54" t="str">
            <v>M16 x 40L</v>
          </cell>
          <cell r="D54" t="str">
            <v>SET</v>
          </cell>
          <cell r="E54">
            <v>16</v>
          </cell>
          <cell r="F54" t="str">
            <v>VERTICAL ROLLER 1SET당 4SET이므로 4줄x4SET = 16SET</v>
          </cell>
        </row>
        <row r="55">
          <cell r="A55" t="e">
            <v>#REF!</v>
          </cell>
          <cell r="B55" t="str">
            <v>WIRE ROPE</v>
          </cell>
          <cell r="C55" t="str">
            <v>Ø6 x 7 x 19</v>
          </cell>
          <cell r="D55" t="str">
            <v>M</v>
          </cell>
          <cell r="E55">
            <v>62</v>
          </cell>
          <cell r="F55" t="str">
            <v>WIRE 1줄당 (7M+7M)=14M, 14x4줄= 56x1.1(할증10%)=61.6M 약 61.6M</v>
          </cell>
          <cell r="G55" t="str">
            <v>10%</v>
          </cell>
        </row>
        <row r="56">
          <cell r="A56" t="e">
            <v>#REF!</v>
          </cell>
          <cell r="B56" t="str">
            <v>WIRE CLIP</v>
          </cell>
          <cell r="C56" t="str">
            <v>Ø6용</v>
          </cell>
          <cell r="D56" t="str">
            <v>EA</v>
          </cell>
          <cell r="E56">
            <v>16</v>
          </cell>
          <cell r="F56" t="str">
            <v>WIRE 1줄당 4EA이므로, 4EAx4줄= 16EA</v>
          </cell>
          <cell r="G56" t="str">
            <v xml:space="preserve"> </v>
          </cell>
        </row>
        <row r="57">
          <cell r="A57" t="e">
            <v>#REF!</v>
          </cell>
          <cell r="B57" t="str">
            <v>THIMBLE</v>
          </cell>
          <cell r="C57" t="str">
            <v>Ø6용</v>
          </cell>
          <cell r="D57" t="str">
            <v>EA</v>
          </cell>
          <cell r="E57">
            <v>4</v>
          </cell>
          <cell r="F57" t="str">
            <v>WIRE 1줄당 1EA이므로, 1EAx4줄= 4EA</v>
          </cell>
        </row>
        <row r="58">
          <cell r="A58" t="e">
            <v>#REF!</v>
          </cell>
          <cell r="B58" t="str">
            <v>SHACKLE</v>
          </cell>
          <cell r="C58" t="str">
            <v>#10</v>
          </cell>
          <cell r="D58" t="str">
            <v>EA</v>
          </cell>
          <cell r="E58">
            <v>4</v>
          </cell>
          <cell r="F58" t="str">
            <v>WIRE 1줄당 1EA이므로, 1EAx4줄= 4EA</v>
          </cell>
        </row>
        <row r="59">
          <cell r="A59" t="e">
            <v>#REF!</v>
          </cell>
          <cell r="B59" t="str">
            <v>PIPE BAND</v>
          </cell>
          <cell r="C59" t="str">
            <v>Ø48.6 용</v>
          </cell>
          <cell r="D59" t="str">
            <v>EA</v>
          </cell>
          <cell r="E59">
            <v>4</v>
          </cell>
          <cell r="F59" t="str">
            <v>WIRE 1줄당 1EA이므로, 1EAx4줄= 4EA</v>
          </cell>
        </row>
        <row r="60">
          <cell r="A60" t="e">
            <v>#REF!</v>
          </cell>
          <cell r="B60" t="str">
            <v>BOLT,NUT,W/S,S/W</v>
          </cell>
          <cell r="C60" t="str">
            <v>M10 x 30L</v>
          </cell>
          <cell r="D60" t="str">
            <v>SET</v>
          </cell>
          <cell r="E60">
            <v>8</v>
          </cell>
          <cell r="F60" t="str">
            <v>WIRE 1줄당 2EA이므로, 2EAx4줄= 8EA</v>
          </cell>
        </row>
        <row r="61">
          <cell r="A61" t="e">
            <v>#REF!</v>
          </cell>
          <cell r="B61" t="str">
            <v>PIPE</v>
          </cell>
          <cell r="C61" t="str">
            <v>Ø48.6</v>
          </cell>
          <cell r="D61" t="str">
            <v>본</v>
          </cell>
          <cell r="E61">
            <v>2</v>
          </cell>
          <cell r="F61" t="str">
            <v>PIPE 本당 6M이므로 7.4/6= 1.23本  약 2本</v>
          </cell>
        </row>
        <row r="62">
          <cell r="A62" t="e">
            <v>#REF!</v>
          </cell>
          <cell r="B62" t="str">
            <v>PIPE CAP</v>
          </cell>
          <cell r="C62" t="str">
            <v>Ø48.6용</v>
          </cell>
          <cell r="D62" t="str">
            <v>EA</v>
          </cell>
          <cell r="E62">
            <v>2</v>
          </cell>
          <cell r="F62" t="str">
            <v>양끝단 처리</v>
          </cell>
        </row>
        <row r="63">
          <cell r="A63" t="e">
            <v>#REF!</v>
          </cell>
          <cell r="B63" t="str">
            <v>PIPE JOINT</v>
          </cell>
          <cell r="C63" t="str">
            <v>Ø48.6용</v>
          </cell>
          <cell r="D63" t="str">
            <v>EA</v>
          </cell>
          <cell r="E63">
            <v>1</v>
          </cell>
          <cell r="F63" t="str">
            <v>PIPE 2本이므로 연결부분 1SET</v>
          </cell>
          <cell r="G63" t="str">
            <v xml:space="preserve"> </v>
          </cell>
          <cell r="H63" t="str">
            <v xml:space="preserve"> </v>
          </cell>
        </row>
        <row r="64">
          <cell r="A64" t="e">
            <v>#REF!</v>
          </cell>
          <cell r="B64" t="str">
            <v>도 장 비</v>
          </cell>
          <cell r="C64" t="str">
            <v>각 2회</v>
          </cell>
          <cell r="D64" t="str">
            <v>M2</v>
          </cell>
          <cell r="E64">
            <v>8</v>
          </cell>
          <cell r="F64" t="str">
            <v>FRAME(1.4)+ROLLER.22L(1.2x3SET)+ROLLER.35L(1.4)</v>
          </cell>
        </row>
        <row r="65">
          <cell r="F65" t="str">
            <v>+P.BAND(0.2x4SET)+PIPE(1.13) = 8.33M2 약 8M2</v>
          </cell>
        </row>
        <row r="68">
          <cell r="A68" t="e">
            <v>#REF!</v>
          </cell>
        </row>
        <row r="69">
          <cell r="A69" t="e">
            <v>#REF!</v>
          </cell>
          <cell r="B69" t="str">
            <v>공사명: DRAW CURTAIN (8,660L x 3,300H)</v>
          </cell>
          <cell r="H69" t="str">
            <v>NO.1-02-00</v>
          </cell>
        </row>
        <row r="70">
          <cell r="A70" t="e">
            <v>#REF!</v>
          </cell>
          <cell r="B70" t="str">
            <v>소형MOTOR</v>
          </cell>
          <cell r="C70" t="str">
            <v>40W</v>
          </cell>
          <cell r="D70" t="str">
            <v>SET</v>
          </cell>
          <cell r="E70">
            <v>1</v>
          </cell>
          <cell r="F70" t="str">
            <v xml:space="preserve"> </v>
          </cell>
        </row>
        <row r="71">
          <cell r="B71" t="str">
            <v>MOTOR BRACKET</v>
          </cell>
          <cell r="D71" t="str">
            <v>SET</v>
          </cell>
          <cell r="E71">
            <v>1</v>
          </cell>
        </row>
        <row r="72">
          <cell r="B72" t="str">
            <v>REDUCER</v>
          </cell>
          <cell r="C72" t="str">
            <v>15:1</v>
          </cell>
          <cell r="D72" t="str">
            <v>SET</v>
          </cell>
          <cell r="E72">
            <v>1</v>
          </cell>
        </row>
        <row r="73">
          <cell r="B73" t="str">
            <v>S.Q PIPE</v>
          </cell>
          <cell r="C73" t="str">
            <v>ㅁ-50 x 50 x 2.3t</v>
          </cell>
          <cell r="D73" t="str">
            <v>本</v>
          </cell>
          <cell r="E73">
            <v>2</v>
          </cell>
          <cell r="F73" t="str">
            <v>8.66/6M=1.44 약 2本</v>
          </cell>
        </row>
        <row r="74">
          <cell r="B74" t="str">
            <v>AL RAIL</v>
          </cell>
          <cell r="C74" t="str">
            <v>주문 제작</v>
          </cell>
          <cell r="D74" t="str">
            <v>M</v>
          </cell>
          <cell r="E74">
            <v>9</v>
          </cell>
          <cell r="F74" t="str">
            <v>8.66M 약 9M</v>
          </cell>
        </row>
        <row r="75">
          <cell r="B75" t="str">
            <v>DRIVE PULLEY</v>
          </cell>
          <cell r="C75" t="str">
            <v>Ø60</v>
          </cell>
          <cell r="D75" t="str">
            <v>EA</v>
          </cell>
          <cell r="E75">
            <v>1</v>
          </cell>
        </row>
        <row r="76">
          <cell r="B76" t="str">
            <v>ADJUST BRACKET</v>
          </cell>
          <cell r="D76" t="str">
            <v>EA</v>
          </cell>
          <cell r="E76">
            <v>1</v>
          </cell>
        </row>
        <row r="77">
          <cell r="B77" t="str">
            <v>MASTER CARRIER</v>
          </cell>
          <cell r="C77" t="str">
            <v>주문 제작</v>
          </cell>
          <cell r="D77" t="str">
            <v>EA</v>
          </cell>
          <cell r="E77">
            <v>2</v>
          </cell>
          <cell r="F77" t="str">
            <v>좌,우 최선단에</v>
          </cell>
        </row>
        <row r="78">
          <cell r="B78" t="str">
            <v>SINGLE CARRIER</v>
          </cell>
          <cell r="C78" t="str">
            <v>주문 제작</v>
          </cell>
          <cell r="D78" t="str">
            <v>EA</v>
          </cell>
          <cell r="E78">
            <v>44</v>
          </cell>
          <cell r="F78" t="str">
            <v>(8.66/0.2)x2=43.43EA 약 44EA</v>
          </cell>
        </row>
        <row r="79">
          <cell r="B79" t="str">
            <v>ROPE</v>
          </cell>
          <cell r="C79" t="str">
            <v>SUSØ1.6</v>
          </cell>
          <cell r="D79" t="str">
            <v>M</v>
          </cell>
          <cell r="E79">
            <v>17</v>
          </cell>
          <cell r="F79" t="str">
            <v>8.6x2=17.2M</v>
          </cell>
        </row>
        <row r="80">
          <cell r="B80" t="str">
            <v>LIMIT SWITCH</v>
          </cell>
          <cell r="D80" t="str">
            <v>EA</v>
          </cell>
          <cell r="E80">
            <v>1</v>
          </cell>
        </row>
        <row r="81">
          <cell r="B81" t="str">
            <v>CURTAIN</v>
          </cell>
          <cell r="C81" t="str">
            <v>(VELVET선방염지)</v>
          </cell>
          <cell r="D81" t="str">
            <v>M2</v>
          </cell>
          <cell r="E81">
            <v>109</v>
          </cell>
          <cell r="F81" t="str">
            <v>(8.66x할증350%)=30.31, 3.3+가공여유(0.3)=3.6, 30.31x3.6=109.11M2 약 109M2</v>
          </cell>
          <cell r="G81">
            <v>3.5</v>
          </cell>
        </row>
        <row r="82">
          <cell r="B82" t="str">
            <v>PIPE</v>
          </cell>
          <cell r="C82" t="str">
            <v>Ø27.2</v>
          </cell>
          <cell r="D82" t="str">
            <v>本</v>
          </cell>
          <cell r="E82">
            <v>2</v>
          </cell>
          <cell r="F82" t="str">
            <v>8.66/6M=1.44 약 2本</v>
          </cell>
        </row>
        <row r="83">
          <cell r="B83" t="str">
            <v>PIPE CAP</v>
          </cell>
          <cell r="C83" t="str">
            <v>Ø27.2</v>
          </cell>
          <cell r="D83" t="str">
            <v>EA</v>
          </cell>
          <cell r="E83">
            <v>2</v>
          </cell>
          <cell r="F83" t="str">
            <v>양끝단 처리</v>
          </cell>
        </row>
        <row r="84">
          <cell r="B84" t="str">
            <v>PIPE JOINT</v>
          </cell>
          <cell r="C84" t="str">
            <v>Ø27.2</v>
          </cell>
          <cell r="D84" t="str">
            <v>EA</v>
          </cell>
          <cell r="E84">
            <v>1</v>
          </cell>
          <cell r="F84" t="str">
            <v>PIPE 2本이므로 연결부분 1SET</v>
          </cell>
          <cell r="G84" t="str">
            <v xml:space="preserve"> </v>
          </cell>
          <cell r="H84" t="str">
            <v xml:space="preserve"> </v>
          </cell>
        </row>
        <row r="85">
          <cell r="B85" t="str">
            <v>HEAD CURTAIN</v>
          </cell>
          <cell r="C85" t="str">
            <v>(VELVET선방염지)</v>
          </cell>
          <cell r="D85" t="str">
            <v>M2</v>
          </cell>
          <cell r="E85">
            <v>17</v>
          </cell>
          <cell r="F85" t="str">
            <v>(8.66x할증250%)=21.65, 0.5+가공여유(0.3)=0.8, 21.65x0.8=17.32 약 17M2</v>
          </cell>
          <cell r="G85">
            <v>2.5</v>
          </cell>
        </row>
        <row r="86">
          <cell r="B86" t="str">
            <v>도장비</v>
          </cell>
          <cell r="D86" t="str">
            <v>M2</v>
          </cell>
          <cell r="E86">
            <v>2.5</v>
          </cell>
          <cell r="F86" t="str">
            <v>ㅁ50x50 (1.73)+ Ø27.2 (0.73)=약 2.46M2</v>
          </cell>
        </row>
        <row r="88">
          <cell r="E88" t="str">
            <v xml:space="preserve"> </v>
          </cell>
        </row>
        <row r="90">
          <cell r="A90" t="e">
            <v>#REF!</v>
          </cell>
        </row>
        <row r="91">
          <cell r="A91" t="e">
            <v>#REF!</v>
          </cell>
          <cell r="B91" t="str">
            <v xml:space="preserve">공사명 : ROLL SCREEN (4,000L x 3,000H)        </v>
          </cell>
          <cell r="D91" t="str">
            <v xml:space="preserve"> </v>
          </cell>
          <cell r="E91" t="str">
            <v xml:space="preserve"> </v>
          </cell>
          <cell r="F91" t="str">
            <v xml:space="preserve"> </v>
          </cell>
          <cell r="H91" t="str">
            <v>NO.1-03-00</v>
          </cell>
        </row>
        <row r="92">
          <cell r="A92" t="e">
            <v>#REF!</v>
          </cell>
          <cell r="B92" t="str">
            <v>원추형 MOTOR</v>
          </cell>
          <cell r="C92" t="str">
            <v>190W</v>
          </cell>
          <cell r="D92" t="str">
            <v>SET</v>
          </cell>
          <cell r="E92">
            <v>1</v>
          </cell>
          <cell r="F92" t="str">
            <v xml:space="preserve"> </v>
          </cell>
        </row>
        <row r="93">
          <cell r="A93" t="e">
            <v>#REF!</v>
          </cell>
          <cell r="B93" t="str">
            <v>LIMIT SWITCH BOX</v>
          </cell>
          <cell r="C93" t="str">
            <v xml:space="preserve"> </v>
          </cell>
          <cell r="D93" t="str">
            <v>SET</v>
          </cell>
          <cell r="E93">
            <v>1</v>
          </cell>
          <cell r="F93" t="str">
            <v xml:space="preserve"> </v>
          </cell>
        </row>
        <row r="94">
          <cell r="A94" t="e">
            <v>#REF!</v>
          </cell>
          <cell r="B94" t="str">
            <v>BUSHING</v>
          </cell>
          <cell r="C94" t="str">
            <v xml:space="preserve"> </v>
          </cell>
          <cell r="D94" t="str">
            <v>EA</v>
          </cell>
          <cell r="E94">
            <v>2</v>
          </cell>
          <cell r="F94" t="str">
            <v xml:space="preserve">ROLL SCREEN 2곳 </v>
          </cell>
        </row>
        <row r="95">
          <cell r="A95" t="e">
            <v>#REF!</v>
          </cell>
          <cell r="B95" t="str">
            <v>BEARING DIE</v>
          </cell>
          <cell r="C95" t="str">
            <v xml:space="preserve"> </v>
          </cell>
          <cell r="D95" t="str">
            <v>EA</v>
          </cell>
          <cell r="E95">
            <v>2</v>
          </cell>
          <cell r="F95" t="str">
            <v xml:space="preserve"> </v>
          </cell>
        </row>
        <row r="96">
          <cell r="A96" t="e">
            <v>#REF!</v>
          </cell>
          <cell r="B96" t="str">
            <v>주물 PIPE</v>
          </cell>
          <cell r="C96" t="str">
            <v>Ø53</v>
          </cell>
          <cell r="D96" t="str">
            <v>M</v>
          </cell>
          <cell r="E96">
            <v>4</v>
          </cell>
          <cell r="F96" t="str">
            <v xml:space="preserve"> </v>
          </cell>
        </row>
        <row r="97">
          <cell r="A97" t="e">
            <v>#REF!</v>
          </cell>
          <cell r="B97" t="str">
            <v>BALANCE PIPE</v>
          </cell>
          <cell r="C97" t="str">
            <v>Ø27.2</v>
          </cell>
          <cell r="D97" t="str">
            <v>本</v>
          </cell>
          <cell r="E97">
            <v>1</v>
          </cell>
          <cell r="F97" t="str">
            <v xml:space="preserve">1本 = 6M </v>
          </cell>
        </row>
        <row r="98">
          <cell r="A98" t="e">
            <v>#REF!</v>
          </cell>
          <cell r="B98" t="str">
            <v>SCREEN</v>
          </cell>
          <cell r="C98" t="str">
            <v>ULTRA MATE</v>
          </cell>
          <cell r="D98" t="str">
            <v>M2</v>
          </cell>
          <cell r="E98">
            <v>15</v>
          </cell>
          <cell r="F98" t="str">
            <v>4M x (3M+0.8(가공여유)) = 15.2M2 약 15M2</v>
          </cell>
        </row>
        <row r="99">
          <cell r="A99" t="e">
            <v>#REF!</v>
          </cell>
          <cell r="B99" t="str">
            <v>SCREEN BOX A'SSY</v>
          </cell>
          <cell r="C99" t="str">
            <v xml:space="preserve"> </v>
          </cell>
          <cell r="D99" t="str">
            <v>SET</v>
          </cell>
          <cell r="E99">
            <v>1</v>
          </cell>
          <cell r="F99" t="str">
            <v xml:space="preserve"> </v>
          </cell>
        </row>
        <row r="100">
          <cell r="A100" t="e">
            <v>#REF!</v>
          </cell>
          <cell r="B100" t="str">
            <v>도 장 비</v>
          </cell>
          <cell r="C100" t="str">
            <v>각 2회</v>
          </cell>
          <cell r="D100" t="str">
            <v>M2</v>
          </cell>
          <cell r="E100">
            <v>5</v>
          </cell>
          <cell r="F100" t="str">
            <v>BOX(2)+BUSHING.DIE(0.8x2)+PIPE(0.66)+Ø27.2(0.34)= 4.6M2 약 5M2</v>
          </cell>
        </row>
        <row r="101">
          <cell r="A101" t="e">
            <v>#REF!</v>
          </cell>
          <cell r="B101" t="str">
            <v xml:space="preserve"> </v>
          </cell>
          <cell r="C101" t="str">
            <v xml:space="preserve"> </v>
          </cell>
          <cell r="D101" t="str">
            <v xml:space="preserve"> </v>
          </cell>
          <cell r="E101" t="str">
            <v xml:space="preserve"> </v>
          </cell>
          <cell r="F101" t="str">
            <v xml:space="preserve"> </v>
          </cell>
        </row>
        <row r="102">
          <cell r="A102" t="e">
            <v>#REF!</v>
          </cell>
          <cell r="B102" t="str">
            <v xml:space="preserve"> </v>
          </cell>
          <cell r="C102" t="str">
            <v xml:space="preserve"> </v>
          </cell>
          <cell r="D102" t="str">
            <v xml:space="preserve"> </v>
          </cell>
          <cell r="E102" t="str">
            <v xml:space="preserve"> </v>
          </cell>
          <cell r="F102" t="str">
            <v xml:space="preserve"> </v>
          </cell>
        </row>
        <row r="103">
          <cell r="A103" t="e">
            <v>#REF!</v>
          </cell>
        </row>
        <row r="104">
          <cell r="A104" t="e">
            <v>#REF!</v>
          </cell>
        </row>
        <row r="105">
          <cell r="A105" t="e">
            <v>#REF!</v>
          </cell>
        </row>
        <row r="106">
          <cell r="A106" t="e">
            <v>#REF!</v>
          </cell>
        </row>
        <row r="107">
          <cell r="A107" t="e">
            <v>#REF!</v>
          </cell>
        </row>
        <row r="108">
          <cell r="A108" t="e">
            <v>#REF!</v>
          </cell>
        </row>
        <row r="109">
          <cell r="A109" t="e">
            <v>#REF!</v>
          </cell>
        </row>
        <row r="110">
          <cell r="A110" t="e">
            <v>#REF!</v>
          </cell>
        </row>
        <row r="111">
          <cell r="A111" t="e">
            <v>#REF!</v>
          </cell>
        </row>
        <row r="112">
          <cell r="A112" t="e">
            <v>#REF!</v>
          </cell>
        </row>
        <row r="113">
          <cell r="A113" t="e">
            <v>#REF!</v>
          </cell>
          <cell r="B113" t="str">
            <v xml:space="preserve">공사명 : ROLL FLAG  (2,100L x 3,000H)   </v>
          </cell>
          <cell r="G113" t="str">
            <v xml:space="preserve"> </v>
          </cell>
          <cell r="H113" t="str">
            <v>NO.1-04-00</v>
          </cell>
        </row>
        <row r="114">
          <cell r="A114" t="e">
            <v>#REF!</v>
          </cell>
          <cell r="B114" t="str">
            <v>원추형 MOTOR</v>
          </cell>
          <cell r="C114" t="str">
            <v>100W</v>
          </cell>
          <cell r="D114" t="str">
            <v>SET</v>
          </cell>
          <cell r="E114">
            <v>1</v>
          </cell>
          <cell r="F114" t="str">
            <v xml:space="preserve"> </v>
          </cell>
        </row>
        <row r="115">
          <cell r="A115" t="e">
            <v>#REF!</v>
          </cell>
          <cell r="B115" t="str">
            <v>LIMIT SWITCH BOX</v>
          </cell>
          <cell r="C115" t="str">
            <v xml:space="preserve"> </v>
          </cell>
          <cell r="D115" t="str">
            <v>SET</v>
          </cell>
          <cell r="E115">
            <v>1</v>
          </cell>
          <cell r="F115" t="str">
            <v xml:space="preserve"> </v>
          </cell>
        </row>
        <row r="116">
          <cell r="A116" t="e">
            <v>#REF!</v>
          </cell>
          <cell r="B116" t="str">
            <v>BUSHING</v>
          </cell>
          <cell r="C116" t="str">
            <v xml:space="preserve"> </v>
          </cell>
          <cell r="D116" t="str">
            <v>EA</v>
          </cell>
          <cell r="E116">
            <v>2</v>
          </cell>
          <cell r="F116" t="str">
            <v xml:space="preserve">ROLL SCREEN 2곳 </v>
          </cell>
        </row>
        <row r="117">
          <cell r="A117" t="e">
            <v>#REF!</v>
          </cell>
          <cell r="B117" t="str">
            <v>BEARING DIE</v>
          </cell>
          <cell r="C117" t="str">
            <v xml:space="preserve"> </v>
          </cell>
          <cell r="D117" t="str">
            <v>EA</v>
          </cell>
          <cell r="E117">
            <v>2</v>
          </cell>
          <cell r="F117" t="str">
            <v xml:space="preserve"> </v>
          </cell>
        </row>
        <row r="118">
          <cell r="A118" t="e">
            <v>#REF!</v>
          </cell>
          <cell r="B118" t="str">
            <v>주물PIPE</v>
          </cell>
          <cell r="C118" t="str">
            <v>Ø53</v>
          </cell>
          <cell r="D118" t="str">
            <v>M</v>
          </cell>
          <cell r="E118">
            <v>2.1</v>
          </cell>
          <cell r="F118" t="str">
            <v xml:space="preserve"> </v>
          </cell>
        </row>
        <row r="119">
          <cell r="A119" t="e">
            <v>#REF!</v>
          </cell>
          <cell r="B119" t="str">
            <v>BALANCE PIPE</v>
          </cell>
          <cell r="C119" t="str">
            <v>Ø27.2</v>
          </cell>
          <cell r="D119" t="str">
            <v>M</v>
          </cell>
          <cell r="E119">
            <v>2.1</v>
          </cell>
          <cell r="F119" t="str">
            <v xml:space="preserve"> </v>
          </cell>
        </row>
        <row r="120">
          <cell r="A120" t="e">
            <v>#REF!</v>
          </cell>
          <cell r="B120" t="str">
            <v>FLAG</v>
          </cell>
          <cell r="C120" t="str">
            <v>ULTRA-MATE</v>
          </cell>
          <cell r="D120" t="str">
            <v>M2</v>
          </cell>
          <cell r="E120">
            <v>6</v>
          </cell>
          <cell r="F120" t="str">
            <v>2.1M x (3M+0.8(가공여유)) = 5.9M2 약 6M2</v>
          </cell>
        </row>
        <row r="121">
          <cell r="A121" t="e">
            <v>#REF!</v>
          </cell>
          <cell r="B121" t="str">
            <v>씰크 인쇄</v>
          </cell>
          <cell r="C121" t="str">
            <v xml:space="preserve"> </v>
          </cell>
          <cell r="D121" t="str">
            <v>SET</v>
          </cell>
          <cell r="E121">
            <v>1</v>
          </cell>
          <cell r="F121" t="str">
            <v xml:space="preserve"> </v>
          </cell>
        </row>
        <row r="122">
          <cell r="A122" t="e">
            <v>#REF!</v>
          </cell>
          <cell r="B122" t="str">
            <v>FLAG BOX A'SSY</v>
          </cell>
          <cell r="C122" t="str">
            <v xml:space="preserve"> </v>
          </cell>
          <cell r="D122" t="str">
            <v>SET</v>
          </cell>
          <cell r="E122">
            <v>1</v>
          </cell>
          <cell r="F122" t="str">
            <v xml:space="preserve"> </v>
          </cell>
        </row>
        <row r="123">
          <cell r="A123" t="e">
            <v>#REF!</v>
          </cell>
          <cell r="B123" t="str">
            <v>도 장 비</v>
          </cell>
          <cell r="C123" t="str">
            <v>각 2회</v>
          </cell>
          <cell r="D123" t="str">
            <v>M2</v>
          </cell>
          <cell r="E123">
            <v>4</v>
          </cell>
          <cell r="F123" t="str">
            <v>BOX(2)+BUSHING.DIE(0.8x2)+PIPE(0.34)+Ø27.2(0.17)= 4.11M2 약 4M2</v>
          </cell>
        </row>
        <row r="124">
          <cell r="A124" t="e">
            <v>#REF!</v>
          </cell>
          <cell r="F124" t="str">
            <v xml:space="preserve"> </v>
          </cell>
          <cell r="G124" t="str">
            <v xml:space="preserve"> </v>
          </cell>
        </row>
        <row r="125">
          <cell r="A125" t="e">
            <v>#REF!</v>
          </cell>
        </row>
        <row r="126">
          <cell r="A126" t="e">
            <v>#REF!</v>
          </cell>
        </row>
        <row r="127">
          <cell r="A127" t="e">
            <v>#REF!</v>
          </cell>
        </row>
        <row r="128">
          <cell r="A128" t="e">
            <v>#REF!</v>
          </cell>
          <cell r="B128" t="str">
            <v xml:space="preserve"> </v>
          </cell>
          <cell r="C128" t="str">
            <v xml:space="preserve"> </v>
          </cell>
          <cell r="D128" t="str">
            <v xml:space="preserve"> </v>
          </cell>
          <cell r="E128" t="str">
            <v xml:space="preserve"> </v>
          </cell>
        </row>
        <row r="129">
          <cell r="A129" t="e">
            <v>#REF!</v>
          </cell>
        </row>
        <row r="130">
          <cell r="A130" t="e">
            <v>#REF!</v>
          </cell>
        </row>
        <row r="131">
          <cell r="A131" t="e">
            <v>#REF!</v>
          </cell>
        </row>
        <row r="132">
          <cell r="A132" t="e">
            <v>#REF!</v>
          </cell>
          <cell r="B132" t="str">
            <v xml:space="preserve"> </v>
          </cell>
          <cell r="C132" t="str">
            <v xml:space="preserve"> </v>
          </cell>
          <cell r="D132" t="str">
            <v xml:space="preserve"> </v>
          </cell>
          <cell r="E132" t="str">
            <v xml:space="preserve"> </v>
          </cell>
        </row>
        <row r="133">
          <cell r="A133" t="e">
            <v>#REF!</v>
          </cell>
        </row>
        <row r="135">
          <cell r="B135" t="str">
            <v>공사명: COVER CURTAIN (8,800L x 3,500H)</v>
          </cell>
          <cell r="H135" t="str">
            <v>NO.1-05-00</v>
          </cell>
        </row>
        <row r="136">
          <cell r="B136" t="str">
            <v>소형MOTOR</v>
          </cell>
          <cell r="C136" t="str">
            <v>40W</v>
          </cell>
          <cell r="D136" t="str">
            <v>SET</v>
          </cell>
          <cell r="E136">
            <v>1</v>
          </cell>
          <cell r="F136" t="str">
            <v xml:space="preserve"> </v>
          </cell>
        </row>
        <row r="137">
          <cell r="A137" t="e">
            <v>#REF!</v>
          </cell>
          <cell r="B137" t="str">
            <v>MOTOR BRACKET</v>
          </cell>
          <cell r="D137" t="str">
            <v>SET</v>
          </cell>
          <cell r="E137">
            <v>1</v>
          </cell>
        </row>
        <row r="138">
          <cell r="A138" t="e">
            <v>#REF!</v>
          </cell>
          <cell r="B138" t="str">
            <v>REDUCER</v>
          </cell>
          <cell r="C138" t="str">
            <v>15:1</v>
          </cell>
          <cell r="D138" t="str">
            <v>SET</v>
          </cell>
          <cell r="E138">
            <v>1</v>
          </cell>
        </row>
        <row r="139">
          <cell r="A139" t="e">
            <v>#REF!</v>
          </cell>
          <cell r="B139" t="str">
            <v>S.Q PIPE</v>
          </cell>
          <cell r="C139" t="str">
            <v>ㅁ-50 x 50 x 2.3t</v>
          </cell>
          <cell r="D139" t="str">
            <v>本</v>
          </cell>
          <cell r="E139">
            <v>2</v>
          </cell>
          <cell r="F139" t="str">
            <v>8.8/6M=1.46 약 2本</v>
          </cell>
        </row>
        <row r="140">
          <cell r="A140" t="e">
            <v>#REF!</v>
          </cell>
          <cell r="B140" t="str">
            <v>AL RAIL</v>
          </cell>
          <cell r="C140" t="str">
            <v>주문 제작</v>
          </cell>
          <cell r="D140" t="str">
            <v>M</v>
          </cell>
          <cell r="E140">
            <v>9</v>
          </cell>
          <cell r="F140" t="str">
            <v>8.8M 약 9M</v>
          </cell>
        </row>
        <row r="141">
          <cell r="A141" t="e">
            <v>#REF!</v>
          </cell>
          <cell r="B141" t="str">
            <v>DRIVE PULLEY</v>
          </cell>
          <cell r="C141" t="str">
            <v>Ø60</v>
          </cell>
          <cell r="D141" t="str">
            <v>EA</v>
          </cell>
          <cell r="E141">
            <v>1</v>
          </cell>
        </row>
        <row r="142">
          <cell r="A142" t="e">
            <v>#REF!</v>
          </cell>
          <cell r="B142" t="str">
            <v>ADJUST BRACKET</v>
          </cell>
          <cell r="D142" t="str">
            <v>EA</v>
          </cell>
          <cell r="E142">
            <v>1</v>
          </cell>
        </row>
        <row r="143">
          <cell r="A143" t="e">
            <v>#REF!</v>
          </cell>
          <cell r="B143" t="str">
            <v>MASTER CARRIER</v>
          </cell>
          <cell r="C143" t="str">
            <v>주문 제작</v>
          </cell>
          <cell r="D143" t="str">
            <v>EA</v>
          </cell>
          <cell r="E143">
            <v>2</v>
          </cell>
          <cell r="F143" t="str">
            <v>좌,우 최선단에</v>
          </cell>
        </row>
        <row r="144">
          <cell r="A144" t="e">
            <v>#REF!</v>
          </cell>
          <cell r="B144" t="str">
            <v>SINGLE CARRIER</v>
          </cell>
          <cell r="C144" t="str">
            <v>주문 제작</v>
          </cell>
          <cell r="D144" t="str">
            <v>EA</v>
          </cell>
          <cell r="E144">
            <v>44</v>
          </cell>
          <cell r="F144" t="str">
            <v>(8.8/0.2)x2=44EA 약 44EA</v>
          </cell>
        </row>
        <row r="145">
          <cell r="A145" t="e">
            <v>#REF!</v>
          </cell>
          <cell r="B145" t="str">
            <v>ROPE</v>
          </cell>
          <cell r="C145" t="str">
            <v>SUSØ1.6</v>
          </cell>
          <cell r="D145" t="str">
            <v>M</v>
          </cell>
          <cell r="E145">
            <v>18</v>
          </cell>
          <cell r="F145" t="str">
            <v>8.8x2=17.6M 약 18M</v>
          </cell>
        </row>
        <row r="146">
          <cell r="A146" t="e">
            <v>#REF!</v>
          </cell>
          <cell r="B146" t="str">
            <v>LIMIT SWITCH</v>
          </cell>
          <cell r="D146" t="str">
            <v>EA</v>
          </cell>
          <cell r="E146">
            <v>1</v>
          </cell>
        </row>
        <row r="147">
          <cell r="A147" t="e">
            <v>#REF!</v>
          </cell>
          <cell r="B147" t="str">
            <v>LIMIT SWITCH</v>
          </cell>
          <cell r="D147" t="str">
            <v>EA</v>
          </cell>
          <cell r="E147">
            <v>1</v>
          </cell>
        </row>
        <row r="148">
          <cell r="A148" t="e">
            <v>#REF!</v>
          </cell>
          <cell r="B148" t="str">
            <v>CURTAIN</v>
          </cell>
          <cell r="C148" t="str">
            <v>(암막지 선방염)</v>
          </cell>
          <cell r="D148" t="str">
            <v>M2</v>
          </cell>
          <cell r="E148">
            <v>117</v>
          </cell>
          <cell r="F148" t="str">
            <v>(8.8x할증350%)=30.8, 3.5+가공여유(0.3)=3.8, 30.8x3.8=117.04M2 약 117M2</v>
          </cell>
          <cell r="G148">
            <v>3.5</v>
          </cell>
        </row>
        <row r="149">
          <cell r="A149" t="e">
            <v>#REF!</v>
          </cell>
          <cell r="B149" t="str">
            <v>도장비</v>
          </cell>
          <cell r="D149" t="str">
            <v>M2</v>
          </cell>
          <cell r="E149">
            <v>2</v>
          </cell>
          <cell r="F149" t="str">
            <v>PIPE(1.76)=약 2M2</v>
          </cell>
        </row>
        <row r="150">
          <cell r="A150" t="e">
            <v>#REF!</v>
          </cell>
        </row>
        <row r="151">
          <cell r="A151" t="e">
            <v>#REF!</v>
          </cell>
          <cell r="E151" t="str">
            <v xml:space="preserve"> </v>
          </cell>
        </row>
        <row r="152">
          <cell r="A152" t="e">
            <v>#REF!</v>
          </cell>
        </row>
        <row r="153">
          <cell r="F153" t="str">
            <v xml:space="preserve"> </v>
          </cell>
        </row>
        <row r="154">
          <cell r="A154" t="e">
            <v>#REF!</v>
          </cell>
        </row>
        <row r="155">
          <cell r="A155" t="e">
            <v>#REF!</v>
          </cell>
        </row>
        <row r="156">
          <cell r="A156" t="e">
            <v>#REF!</v>
          </cell>
        </row>
        <row r="157">
          <cell r="B157" t="str">
            <v>공사명:WINDOW DARKEN CURTAIN(4,050L x 3,500H)</v>
          </cell>
          <cell r="H157" t="str">
            <v>NO.1-06-00</v>
          </cell>
        </row>
        <row r="158">
          <cell r="B158" t="str">
            <v>소형 MOTOR</v>
          </cell>
          <cell r="C158" t="str">
            <v>25W</v>
          </cell>
          <cell r="D158" t="str">
            <v>SET</v>
          </cell>
          <cell r="E158">
            <v>1</v>
          </cell>
          <cell r="F158" t="str">
            <v xml:space="preserve"> </v>
          </cell>
        </row>
        <row r="159">
          <cell r="A159" t="e">
            <v>#REF!</v>
          </cell>
          <cell r="B159" t="str">
            <v>MOTOR BRACKET</v>
          </cell>
          <cell r="D159" t="str">
            <v>SET</v>
          </cell>
          <cell r="E159">
            <v>1</v>
          </cell>
        </row>
        <row r="160">
          <cell r="A160" t="e">
            <v>#REF!</v>
          </cell>
          <cell r="B160" t="str">
            <v>REDUCER</v>
          </cell>
          <cell r="C160" t="str">
            <v>15:1</v>
          </cell>
          <cell r="D160" t="str">
            <v>SET</v>
          </cell>
          <cell r="E160">
            <v>1</v>
          </cell>
        </row>
        <row r="161">
          <cell r="A161" t="e">
            <v>#REF!</v>
          </cell>
          <cell r="B161" t="str">
            <v>S.Q PIPE</v>
          </cell>
          <cell r="C161" t="str">
            <v>ㅁ-50 x 50 x 2.3t</v>
          </cell>
          <cell r="D161" t="str">
            <v>本</v>
          </cell>
          <cell r="E161">
            <v>2</v>
          </cell>
          <cell r="F161" t="str">
            <v>4.05/6M=0.675M 약 1本</v>
          </cell>
        </row>
        <row r="162">
          <cell r="A162" t="e">
            <v>#REF!</v>
          </cell>
          <cell r="B162" t="str">
            <v>AL RAIL</v>
          </cell>
          <cell r="C162" t="str">
            <v>주문 제작</v>
          </cell>
          <cell r="D162" t="str">
            <v>M</v>
          </cell>
          <cell r="E162">
            <v>4</v>
          </cell>
          <cell r="F162" t="str">
            <v>4.05M 약 4M</v>
          </cell>
        </row>
        <row r="163">
          <cell r="A163" t="e">
            <v>#REF!</v>
          </cell>
          <cell r="B163" t="str">
            <v>DRIVE PULLEY</v>
          </cell>
          <cell r="C163" t="str">
            <v>Ø60</v>
          </cell>
          <cell r="D163" t="str">
            <v>EA</v>
          </cell>
          <cell r="E163">
            <v>1</v>
          </cell>
        </row>
        <row r="164">
          <cell r="A164" t="e">
            <v>#REF!</v>
          </cell>
          <cell r="B164" t="str">
            <v>ADJUST BRACKET</v>
          </cell>
          <cell r="D164" t="str">
            <v>EA</v>
          </cell>
          <cell r="E164">
            <v>1</v>
          </cell>
        </row>
        <row r="165">
          <cell r="A165" t="e">
            <v>#REF!</v>
          </cell>
          <cell r="B165" t="str">
            <v>MASTER CARRIER</v>
          </cell>
          <cell r="C165" t="str">
            <v>주문 제작</v>
          </cell>
          <cell r="D165" t="str">
            <v>EA</v>
          </cell>
          <cell r="E165">
            <v>2</v>
          </cell>
          <cell r="F165" t="str">
            <v>좌,우 최선단에</v>
          </cell>
        </row>
        <row r="166">
          <cell r="A166" t="e">
            <v>#REF!</v>
          </cell>
          <cell r="B166" t="str">
            <v>SINGLE CARRIER</v>
          </cell>
          <cell r="C166" t="str">
            <v>주문 제작</v>
          </cell>
          <cell r="D166" t="str">
            <v>EA</v>
          </cell>
          <cell r="E166">
            <v>20</v>
          </cell>
          <cell r="F166" t="str">
            <v>(4.05/0.2)x2=20.25EA 약 20EA</v>
          </cell>
        </row>
        <row r="167">
          <cell r="A167" t="e">
            <v>#REF!</v>
          </cell>
          <cell r="B167" t="str">
            <v>ROPE</v>
          </cell>
          <cell r="C167" t="str">
            <v>SUSØ1.6</v>
          </cell>
          <cell r="D167" t="str">
            <v>M</v>
          </cell>
          <cell r="E167">
            <v>8</v>
          </cell>
          <cell r="F167" t="str">
            <v>4.05x2=8.1M 약 8M</v>
          </cell>
        </row>
        <row r="168">
          <cell r="A168" t="e">
            <v>#REF!</v>
          </cell>
          <cell r="B168" t="str">
            <v>LIMIT SWITCH</v>
          </cell>
          <cell r="D168" t="str">
            <v>EA</v>
          </cell>
          <cell r="E168">
            <v>1</v>
          </cell>
        </row>
        <row r="169">
          <cell r="A169" t="e">
            <v>#REF!</v>
          </cell>
          <cell r="B169" t="str">
            <v>CURTAIN</v>
          </cell>
          <cell r="C169" t="str">
            <v>(암막지 선방염)</v>
          </cell>
          <cell r="D169" t="str">
            <v>M2</v>
          </cell>
          <cell r="E169">
            <v>54</v>
          </cell>
          <cell r="F169" t="str">
            <v>(4.05x할증350%)=14.175, 3.5+가공여유(0.3)=3.8, 14.175x3.8=53.865 약 54M2</v>
          </cell>
          <cell r="G169">
            <v>3.5</v>
          </cell>
        </row>
        <row r="170">
          <cell r="A170" t="e">
            <v>#REF!</v>
          </cell>
          <cell r="B170" t="str">
            <v>도장비</v>
          </cell>
          <cell r="D170" t="str">
            <v>M2</v>
          </cell>
          <cell r="E170">
            <v>1</v>
          </cell>
          <cell r="F170" t="str">
            <v>PIPE(0.8)=약 1M2</v>
          </cell>
        </row>
        <row r="171">
          <cell r="A171" t="e">
            <v>#REF!</v>
          </cell>
        </row>
        <row r="172">
          <cell r="A172" t="e">
            <v>#REF!</v>
          </cell>
          <cell r="E172" t="str">
            <v xml:space="preserve"> </v>
          </cell>
        </row>
        <row r="173">
          <cell r="A173" t="e">
            <v>#REF!</v>
          </cell>
        </row>
        <row r="174">
          <cell r="A174" t="e">
            <v>#REF!</v>
          </cell>
        </row>
        <row r="175">
          <cell r="A175" t="e">
            <v>#REF!</v>
          </cell>
        </row>
        <row r="176">
          <cell r="A176" t="e">
            <v>#REF!</v>
          </cell>
          <cell r="F176" t="str">
            <v xml:space="preserve"> </v>
          </cell>
        </row>
        <row r="177">
          <cell r="A177" t="e">
            <v>#REF!</v>
          </cell>
        </row>
        <row r="178">
          <cell r="A178" t="e">
            <v>#REF!</v>
          </cell>
        </row>
        <row r="179">
          <cell r="A179" t="e">
            <v>#REF!</v>
          </cell>
          <cell r="B179" t="str">
            <v>공사명:DOOR DARKEN CURTAIN(4,050L x 3,500H)</v>
          </cell>
          <cell r="H179" t="str">
            <v>NO.1-07-00</v>
          </cell>
        </row>
        <row r="180">
          <cell r="A180" t="e">
            <v>#REF!</v>
          </cell>
          <cell r="B180" t="str">
            <v>S.Q PIPE</v>
          </cell>
          <cell r="C180" t="str">
            <v>ㅁ-50 x 50 x 2.3t</v>
          </cell>
          <cell r="D180" t="str">
            <v>本</v>
          </cell>
          <cell r="E180">
            <v>1</v>
          </cell>
          <cell r="F180" t="str">
            <v>4.05/6M=0.675M 약 1本</v>
          </cell>
        </row>
        <row r="181">
          <cell r="A181" t="e">
            <v>#REF!</v>
          </cell>
          <cell r="B181" t="str">
            <v>AL RAIL</v>
          </cell>
          <cell r="C181" t="str">
            <v>주문 제작</v>
          </cell>
          <cell r="D181" t="str">
            <v>M</v>
          </cell>
          <cell r="E181">
            <v>4</v>
          </cell>
          <cell r="F181" t="str">
            <v>4.05M 약 4M</v>
          </cell>
        </row>
        <row r="182">
          <cell r="A182" t="e">
            <v>#REF!</v>
          </cell>
          <cell r="B182" t="str">
            <v>MASTER CARRIER</v>
          </cell>
          <cell r="C182" t="str">
            <v>주문 제작</v>
          </cell>
          <cell r="D182" t="str">
            <v>EA</v>
          </cell>
          <cell r="E182">
            <v>2</v>
          </cell>
          <cell r="F182" t="str">
            <v>좌,우 최선단에</v>
          </cell>
        </row>
        <row r="183">
          <cell r="A183" t="e">
            <v>#REF!</v>
          </cell>
          <cell r="B183" t="str">
            <v>SINGLE CARRIER</v>
          </cell>
          <cell r="C183" t="str">
            <v>주문 제작</v>
          </cell>
          <cell r="D183" t="str">
            <v>EA</v>
          </cell>
          <cell r="E183">
            <v>20</v>
          </cell>
          <cell r="F183" t="str">
            <v>(4.05/0.2)x2=20.25EA 약 20EA</v>
          </cell>
        </row>
        <row r="184">
          <cell r="A184" t="e">
            <v>#REF!</v>
          </cell>
          <cell r="B184" t="str">
            <v>CURTAIN</v>
          </cell>
          <cell r="C184" t="str">
            <v>(암막지 선방염)</v>
          </cell>
          <cell r="D184" t="str">
            <v>M2</v>
          </cell>
          <cell r="E184">
            <v>54</v>
          </cell>
          <cell r="F184" t="str">
            <v>(4.05x할증350%)=14.175, 3.5+가공여유(0.3)=3.8, 14.175x3.8=53.865 약 54M2</v>
          </cell>
          <cell r="G184">
            <v>3.5</v>
          </cell>
        </row>
        <row r="185">
          <cell r="A185" t="e">
            <v>#REF!</v>
          </cell>
          <cell r="B185" t="str">
            <v>도장비</v>
          </cell>
          <cell r="D185" t="str">
            <v>M2</v>
          </cell>
          <cell r="E185">
            <v>1</v>
          </cell>
          <cell r="F185" t="str">
            <v>PIPE(0.8)=약 1M2</v>
          </cell>
        </row>
        <row r="186">
          <cell r="A186" t="e">
            <v>#REF!</v>
          </cell>
        </row>
        <row r="187">
          <cell r="A187" t="e">
            <v>#REF!</v>
          </cell>
          <cell r="E187" t="str">
            <v xml:space="preserve"> </v>
          </cell>
        </row>
        <row r="191">
          <cell r="F191" t="str">
            <v xml:space="preserve"> </v>
          </cell>
        </row>
        <row r="193">
          <cell r="A193" t="e">
            <v>#REF!</v>
          </cell>
        </row>
        <row r="194">
          <cell r="A194" t="e">
            <v>#REF!</v>
          </cell>
        </row>
        <row r="195">
          <cell r="A195" t="e">
            <v>#REF!</v>
          </cell>
        </row>
        <row r="196">
          <cell r="A196" t="e">
            <v>#REF!</v>
          </cell>
        </row>
        <row r="198">
          <cell r="A198" t="e">
            <v>#REF!</v>
          </cell>
        </row>
        <row r="199">
          <cell r="A199" t="e">
            <v>#REF!</v>
          </cell>
        </row>
        <row r="200">
          <cell r="A200" t="e">
            <v>#REF!</v>
          </cell>
          <cell r="F200" t="str">
            <v>293KG=0.293TON</v>
          </cell>
        </row>
        <row r="201">
          <cell r="A201" t="e">
            <v>#REF!</v>
          </cell>
          <cell r="B201" t="str">
            <v>공사명:GRID IRON(8,600L x 900D)</v>
          </cell>
          <cell r="H201" t="str">
            <v>NO.1-08-00</v>
          </cell>
        </row>
        <row r="202">
          <cell r="A202" t="e">
            <v>#REF!</v>
          </cell>
          <cell r="B202" t="str">
            <v>CHANNEL</v>
          </cell>
          <cell r="C202" t="str">
            <v xml:space="preserve">[-100 x 50 x 5t </v>
          </cell>
          <cell r="D202" t="str">
            <v>KG</v>
          </cell>
          <cell r="E202">
            <v>275</v>
          </cell>
          <cell r="F202" t="str">
            <v>(8.6x2)+(0.9x12)=28M+(할증5%)=29.4M</v>
          </cell>
          <cell r="G202">
            <v>0.05</v>
          </cell>
        </row>
        <row r="203">
          <cell r="A203" t="e">
            <v>#REF!</v>
          </cell>
          <cell r="B203" t="str">
            <v xml:space="preserve"> </v>
          </cell>
          <cell r="C203" t="str">
            <v xml:space="preserve"> </v>
          </cell>
          <cell r="D203" t="str">
            <v xml:space="preserve"> </v>
          </cell>
          <cell r="E203" t="str">
            <v xml:space="preserve"> </v>
          </cell>
          <cell r="F203" t="str">
            <v>=29.4x9.36KG/M= 275.18KG 약 275KG</v>
          </cell>
        </row>
        <row r="204">
          <cell r="A204" t="e">
            <v>#REF!</v>
          </cell>
          <cell r="B204" t="str">
            <v>ROUND BAR</v>
          </cell>
          <cell r="C204" t="str">
            <v>Ø19</v>
          </cell>
          <cell r="D204" t="str">
            <v>KG</v>
          </cell>
          <cell r="E204">
            <v>18</v>
          </cell>
          <cell r="F204" t="str">
            <v xml:space="preserve">HANGER POINT 8곳,8x1M=8x2.23KG = 17.84KG </v>
          </cell>
        </row>
        <row r="205">
          <cell r="A205" t="e">
            <v>#REF!</v>
          </cell>
          <cell r="B205" t="str">
            <v>TURNBUCKLE</v>
          </cell>
          <cell r="C205" t="str">
            <v>W5/8" x 300</v>
          </cell>
          <cell r="D205" t="str">
            <v>EA</v>
          </cell>
          <cell r="E205">
            <v>8</v>
          </cell>
          <cell r="F205" t="str">
            <v>HANGER POINT</v>
          </cell>
        </row>
        <row r="206">
          <cell r="A206" t="e">
            <v>#REF!</v>
          </cell>
          <cell r="B206" t="str">
            <v>SHACKLE</v>
          </cell>
          <cell r="C206" t="str">
            <v xml:space="preserve">W5/8" </v>
          </cell>
          <cell r="D206" t="str">
            <v>EA</v>
          </cell>
          <cell r="E206">
            <v>16</v>
          </cell>
          <cell r="F206" t="str">
            <v>1PONT당 2EA씩이므로 8x2 = 16EA</v>
          </cell>
        </row>
        <row r="207">
          <cell r="A207" t="e">
            <v>#REF!</v>
          </cell>
          <cell r="B207" t="str">
            <v>HANGER BRACKET</v>
          </cell>
          <cell r="D207" t="str">
            <v>EA</v>
          </cell>
          <cell r="E207">
            <v>8</v>
          </cell>
          <cell r="F207" t="str">
            <v>천정부분 HANGER POINT</v>
          </cell>
        </row>
        <row r="208">
          <cell r="A208" t="e">
            <v>#REF!</v>
          </cell>
          <cell r="B208" t="str">
            <v>HANGER PLATE</v>
          </cell>
          <cell r="C208" t="str">
            <v>PL 9tx200x75</v>
          </cell>
          <cell r="D208" t="str">
            <v>EA</v>
          </cell>
          <cell r="E208">
            <v>8</v>
          </cell>
          <cell r="F208" t="str">
            <v>GRID 부분 HANGER POINT</v>
          </cell>
        </row>
        <row r="209">
          <cell r="A209" t="e">
            <v>#REF!</v>
          </cell>
          <cell r="B209" t="str">
            <v>도 장 비</v>
          </cell>
          <cell r="C209" t="str">
            <v>각 2회</v>
          </cell>
          <cell r="D209" t="str">
            <v>M2</v>
          </cell>
          <cell r="E209">
            <v>21</v>
          </cell>
          <cell r="F209" t="str">
            <v>CH-100(29x0.6)+ROUND BAR(8x0.1)++T'ASSY(8x0.3)=20.6 약 21M2</v>
          </cell>
        </row>
        <row r="210">
          <cell r="A210" t="e">
            <v>#REF!</v>
          </cell>
          <cell r="B210" t="str">
            <v xml:space="preserve"> </v>
          </cell>
          <cell r="C210" t="str">
            <v xml:space="preserve"> </v>
          </cell>
          <cell r="D210" t="str">
            <v xml:space="preserve"> </v>
          </cell>
          <cell r="E210" t="str">
            <v xml:space="preserve"> </v>
          </cell>
        </row>
        <row r="211">
          <cell r="B211" t="str">
            <v xml:space="preserve"> </v>
          </cell>
          <cell r="C211" t="str">
            <v xml:space="preserve"> </v>
          </cell>
          <cell r="D211" t="str">
            <v xml:space="preserve"> </v>
          </cell>
          <cell r="E211" t="str">
            <v xml:space="preserve"> </v>
          </cell>
        </row>
        <row r="218">
          <cell r="A218" t="e">
            <v>#REF!</v>
          </cell>
        </row>
        <row r="219">
          <cell r="A219" t="e">
            <v>#REF!</v>
          </cell>
        </row>
        <row r="220">
          <cell r="A220" t="e">
            <v>#REF!</v>
          </cell>
        </row>
        <row r="221">
          <cell r="A221" t="e">
            <v>#REF!</v>
          </cell>
        </row>
        <row r="222">
          <cell r="A222" t="e">
            <v>#REF!</v>
          </cell>
        </row>
        <row r="223">
          <cell r="B223" t="str">
            <v>공사명 : CONTROL PANEL</v>
          </cell>
          <cell r="D223" t="str">
            <v xml:space="preserve"> </v>
          </cell>
          <cell r="E223" t="str">
            <v xml:space="preserve"> </v>
          </cell>
          <cell r="F223" t="str">
            <v xml:space="preserve"> </v>
          </cell>
          <cell r="H223" t="str">
            <v>NO.1-09-00</v>
          </cell>
        </row>
        <row r="224">
          <cell r="A224" t="e">
            <v>#REF!</v>
          </cell>
          <cell r="B224" t="str">
            <v>PANEL</v>
          </cell>
          <cell r="C224" t="str">
            <v>800Lx1200Hx250D</v>
          </cell>
          <cell r="D224" t="str">
            <v>SET</v>
          </cell>
          <cell r="E224">
            <v>1</v>
          </cell>
          <cell r="F224" t="str">
            <v xml:space="preserve"> </v>
          </cell>
        </row>
        <row r="225">
          <cell r="B225" t="str">
            <v>MAIN N.F.B</v>
          </cell>
          <cell r="C225" t="str">
            <v>3P 20A</v>
          </cell>
          <cell r="D225" t="str">
            <v>EA</v>
          </cell>
          <cell r="E225">
            <v>1</v>
          </cell>
          <cell r="F225" t="str">
            <v xml:space="preserve"> </v>
          </cell>
        </row>
        <row r="226">
          <cell r="A226" t="e">
            <v>#REF!</v>
          </cell>
          <cell r="B226" t="str">
            <v>N.F.B</v>
          </cell>
          <cell r="C226" t="str">
            <v>3P 30AF/10AT</v>
          </cell>
          <cell r="D226" t="str">
            <v>EA</v>
          </cell>
          <cell r="E226">
            <v>1</v>
          </cell>
          <cell r="F226" t="str">
            <v>1.5KW 1회로 이므로</v>
          </cell>
        </row>
        <row r="227">
          <cell r="A227" t="e">
            <v>#REF!</v>
          </cell>
          <cell r="B227" t="str">
            <v>N.F.B</v>
          </cell>
          <cell r="C227" t="str">
            <v>2P 5A</v>
          </cell>
          <cell r="D227" t="str">
            <v>EA</v>
          </cell>
          <cell r="E227">
            <v>10</v>
          </cell>
          <cell r="F227" t="str">
            <v>25W x 6회로, 40W x 2회로, 100W x 1회로, 190W x 1회로= 10회로이므로</v>
          </cell>
        </row>
        <row r="228">
          <cell r="A228" t="e">
            <v>#REF!</v>
          </cell>
          <cell r="B228" t="str">
            <v xml:space="preserve">N.F.B(MACHINE OP') </v>
          </cell>
          <cell r="C228" t="str">
            <v>2P 5A</v>
          </cell>
          <cell r="D228" t="str">
            <v>EA</v>
          </cell>
          <cell r="E228">
            <v>1</v>
          </cell>
          <cell r="F228" t="str">
            <v xml:space="preserve"> </v>
          </cell>
        </row>
        <row r="229">
          <cell r="B229" t="str">
            <v>MAGNETIC S/W</v>
          </cell>
          <cell r="C229" t="str">
            <v>SMO - 15</v>
          </cell>
          <cell r="D229" t="str">
            <v>EA</v>
          </cell>
          <cell r="E229">
            <v>2</v>
          </cell>
          <cell r="F229" t="str">
            <v>1회로 (1.5KW이하) x 2EA씩 (정.역회전)</v>
          </cell>
        </row>
        <row r="230">
          <cell r="A230" t="e">
            <v>#REF!</v>
          </cell>
          <cell r="B230" t="str">
            <v>전  선</v>
          </cell>
          <cell r="C230" t="str">
            <v>UL #24</v>
          </cell>
          <cell r="D230" t="str">
            <v>M</v>
          </cell>
          <cell r="E230">
            <v>10</v>
          </cell>
          <cell r="F230" t="str">
            <v xml:space="preserve"> </v>
          </cell>
        </row>
        <row r="231">
          <cell r="A231" t="e">
            <v>#REF!</v>
          </cell>
          <cell r="B231" t="str">
            <v>PILOT LAMP</v>
          </cell>
          <cell r="C231" t="str">
            <v xml:space="preserve"> </v>
          </cell>
          <cell r="D231" t="str">
            <v>EA</v>
          </cell>
          <cell r="E231">
            <v>2</v>
          </cell>
          <cell r="F231" t="str">
            <v>POWER용 1EA, OPERATION용 1EA</v>
          </cell>
        </row>
        <row r="232">
          <cell r="B232" t="str">
            <v>T.H</v>
          </cell>
          <cell r="D232" t="str">
            <v>EA</v>
          </cell>
          <cell r="E232">
            <v>1</v>
          </cell>
          <cell r="F232" t="str">
            <v>회로당 1EA씩 x 1회로</v>
          </cell>
        </row>
        <row r="233">
          <cell r="A233" t="e">
            <v>#REF!</v>
          </cell>
          <cell r="B233" t="str">
            <v>POWER RELAY</v>
          </cell>
          <cell r="C233" t="str">
            <v>4a4b</v>
          </cell>
          <cell r="D233" t="str">
            <v>EA</v>
          </cell>
          <cell r="E233">
            <v>20</v>
          </cell>
          <cell r="F233" t="str">
            <v>회로당 2EA씩 x 10회로</v>
          </cell>
        </row>
        <row r="234">
          <cell r="A234" t="e">
            <v>#REF!</v>
          </cell>
          <cell r="B234" t="str">
            <v>RELAY</v>
          </cell>
          <cell r="C234" t="str">
            <v>DC 24V 14PIN</v>
          </cell>
          <cell r="D234" t="str">
            <v>EA</v>
          </cell>
          <cell r="E234">
            <v>2</v>
          </cell>
          <cell r="F234" t="str">
            <v>회로당 2EA씩 x 1회로</v>
          </cell>
        </row>
        <row r="235">
          <cell r="A235" t="e">
            <v>#REF!</v>
          </cell>
          <cell r="B235" t="str">
            <v>RELAY SOCKET</v>
          </cell>
          <cell r="C235" t="str">
            <v>DC 24V 14PIN</v>
          </cell>
          <cell r="D235" t="str">
            <v>EA</v>
          </cell>
          <cell r="E235">
            <v>2</v>
          </cell>
          <cell r="F235" t="str">
            <v>회로당 2EA씩 x 1회로</v>
          </cell>
          <cell r="G235" t="str">
            <v xml:space="preserve"> </v>
          </cell>
        </row>
        <row r="236">
          <cell r="A236" t="e">
            <v>#REF!</v>
          </cell>
          <cell r="B236" t="str">
            <v>FUSE/SOCKET</v>
          </cell>
          <cell r="C236" t="str">
            <v xml:space="preserve"> </v>
          </cell>
          <cell r="D236" t="str">
            <v>EA</v>
          </cell>
          <cell r="E236">
            <v>3</v>
          </cell>
          <cell r="F236" t="str">
            <v>3상 이므로</v>
          </cell>
        </row>
        <row r="237">
          <cell r="A237" t="e">
            <v>#REF!</v>
          </cell>
          <cell r="B237" t="str">
            <v>TRANS</v>
          </cell>
          <cell r="C237" t="str">
            <v>250W 380/220,110,24V</v>
          </cell>
          <cell r="D237" t="str">
            <v>SET</v>
          </cell>
          <cell r="E237">
            <v>1</v>
          </cell>
        </row>
        <row r="238">
          <cell r="A238" t="e">
            <v>#REF!</v>
          </cell>
          <cell r="B238" t="str">
            <v>TERMINAL &amp; BLOCK</v>
          </cell>
          <cell r="C238" t="str">
            <v>20A</v>
          </cell>
          <cell r="D238" t="str">
            <v>EA</v>
          </cell>
          <cell r="E238">
            <v>44</v>
          </cell>
          <cell r="F238" t="str">
            <v>11CIR'x4EA=44EA (POWER)</v>
          </cell>
        </row>
        <row r="239">
          <cell r="A239" t="e">
            <v>#REF!</v>
          </cell>
          <cell r="B239" t="str">
            <v>TERMINAL &amp; BLOCK</v>
          </cell>
          <cell r="C239" t="str">
            <v>10A</v>
          </cell>
          <cell r="D239" t="str">
            <v>EA</v>
          </cell>
          <cell r="E239">
            <v>66</v>
          </cell>
          <cell r="F239" t="str">
            <v>11CIR'x6EA=66EA (OPERATION)</v>
          </cell>
        </row>
        <row r="240">
          <cell r="B240" t="str">
            <v>TERMINAL &amp; TUBE</v>
          </cell>
          <cell r="C240" t="str">
            <v>3.5sq</v>
          </cell>
          <cell r="D240" t="str">
            <v>SET</v>
          </cell>
          <cell r="E240">
            <v>88</v>
          </cell>
          <cell r="F240" t="str">
            <v xml:space="preserve"> </v>
          </cell>
        </row>
        <row r="241">
          <cell r="A241" t="e">
            <v>#REF!</v>
          </cell>
          <cell r="B241" t="str">
            <v>TERMINAL &amp; TUBE</v>
          </cell>
          <cell r="C241" t="str">
            <v>1.25sq</v>
          </cell>
          <cell r="D241" t="str">
            <v>SET</v>
          </cell>
          <cell r="E241">
            <v>132</v>
          </cell>
          <cell r="F241" t="str">
            <v xml:space="preserve"> </v>
          </cell>
        </row>
        <row r="242">
          <cell r="A242" t="e">
            <v>#REF!</v>
          </cell>
          <cell r="B242" t="str">
            <v>전   선</v>
          </cell>
          <cell r="C242" t="str">
            <v>IV 3.5sq</v>
          </cell>
          <cell r="D242" t="str">
            <v>M</v>
          </cell>
          <cell r="E242">
            <v>88</v>
          </cell>
          <cell r="F242" t="str">
            <v>회로당2M x (4가닥 x11회로)=88M</v>
          </cell>
        </row>
        <row r="243">
          <cell r="A243" t="e">
            <v>#REF!</v>
          </cell>
          <cell r="B243" t="str">
            <v>전   선</v>
          </cell>
          <cell r="C243" t="str">
            <v>IV 1.25sq</v>
          </cell>
          <cell r="D243" t="str">
            <v>M</v>
          </cell>
          <cell r="E243">
            <v>88</v>
          </cell>
          <cell r="F243" t="str">
            <v>회로당2M x (4가닥 x11회로)=88M</v>
          </cell>
          <cell r="H243" t="str">
            <v xml:space="preserve"> </v>
          </cell>
        </row>
        <row r="245">
          <cell r="A245" t="e">
            <v>#REF!</v>
          </cell>
          <cell r="B245" t="str">
            <v>공사명: CONTROL BOARD</v>
          </cell>
          <cell r="H245" t="str">
            <v>NO.1-10-00</v>
          </cell>
        </row>
        <row r="246">
          <cell r="A246" t="e">
            <v>#REF!</v>
          </cell>
          <cell r="B246" t="str">
            <v>CONTROL BOARD</v>
          </cell>
          <cell r="C246" t="str">
            <v>325x350x80</v>
          </cell>
          <cell r="D246" t="str">
            <v>SET</v>
          </cell>
          <cell r="E246">
            <v>1</v>
          </cell>
          <cell r="F246" t="str">
            <v>도면 참조</v>
          </cell>
        </row>
        <row r="247">
          <cell r="A247" t="e">
            <v>#REF!</v>
          </cell>
          <cell r="B247" t="str">
            <v>PILOT LAMP</v>
          </cell>
          <cell r="C247" t="str">
            <v>Ø16</v>
          </cell>
          <cell r="D247" t="str">
            <v>EA</v>
          </cell>
          <cell r="E247">
            <v>1</v>
          </cell>
          <cell r="F247" t="str">
            <v>도면 참조</v>
          </cell>
        </row>
        <row r="248">
          <cell r="A248" t="e">
            <v>#REF!</v>
          </cell>
          <cell r="B248" t="str">
            <v>KEY S/W</v>
          </cell>
          <cell r="C248" t="str">
            <v xml:space="preserve"> </v>
          </cell>
          <cell r="D248" t="str">
            <v>EA</v>
          </cell>
          <cell r="E248">
            <v>1</v>
          </cell>
          <cell r="F248" t="str">
            <v>도면 참조</v>
          </cell>
          <cell r="G248" t="str">
            <v xml:space="preserve"> </v>
          </cell>
        </row>
        <row r="249">
          <cell r="A249" t="e">
            <v>#REF!</v>
          </cell>
          <cell r="B249" t="str">
            <v>EMERGENCY S/W</v>
          </cell>
          <cell r="C249" t="str">
            <v>Ø25</v>
          </cell>
          <cell r="D249" t="str">
            <v>EA</v>
          </cell>
          <cell r="E249">
            <v>1</v>
          </cell>
          <cell r="F249" t="str">
            <v>도면 참조</v>
          </cell>
        </row>
        <row r="250">
          <cell r="A250" t="e">
            <v>#REF!</v>
          </cell>
          <cell r="B250" t="str">
            <v>선 택 S/W</v>
          </cell>
          <cell r="C250" t="str">
            <v xml:space="preserve">Ø16 </v>
          </cell>
          <cell r="D250" t="str">
            <v>EA</v>
          </cell>
          <cell r="E250">
            <v>11</v>
          </cell>
          <cell r="F250" t="str">
            <v>도면 참조</v>
          </cell>
        </row>
        <row r="251">
          <cell r="A251" t="e">
            <v>#REF!</v>
          </cell>
          <cell r="B251" t="str">
            <v>PUSH BUTTON S/W</v>
          </cell>
          <cell r="C251" t="str">
            <v xml:space="preserve">Ø16 </v>
          </cell>
          <cell r="D251" t="str">
            <v>EA</v>
          </cell>
          <cell r="E251">
            <v>33</v>
          </cell>
          <cell r="F251" t="str">
            <v>11회로 x 3EA = 33EA</v>
          </cell>
        </row>
        <row r="252">
          <cell r="A252" t="e">
            <v>#REF!</v>
          </cell>
          <cell r="B252" t="str">
            <v>TERMINAL BLOCK</v>
          </cell>
          <cell r="C252" t="str">
            <v>20A</v>
          </cell>
          <cell r="D252" t="str">
            <v>EA</v>
          </cell>
          <cell r="E252">
            <v>33</v>
          </cell>
          <cell r="F252" t="str">
            <v>11회로 x3EA = 33EA</v>
          </cell>
        </row>
        <row r="253">
          <cell r="A253" t="e">
            <v>#REF!</v>
          </cell>
          <cell r="B253" t="str">
            <v xml:space="preserve"> </v>
          </cell>
          <cell r="D253" t="str">
            <v xml:space="preserve"> </v>
          </cell>
          <cell r="E253" t="str">
            <v xml:space="preserve"> </v>
          </cell>
          <cell r="F253" t="str">
            <v xml:space="preserve"> </v>
          </cell>
        </row>
        <row r="254">
          <cell r="A254" t="e">
            <v>#REF!</v>
          </cell>
          <cell r="B254" t="str">
            <v xml:space="preserve"> </v>
          </cell>
          <cell r="D254" t="str">
            <v xml:space="preserve"> </v>
          </cell>
          <cell r="E254" t="str">
            <v xml:space="preserve"> </v>
          </cell>
          <cell r="F254" t="str">
            <v xml:space="preserve"> </v>
          </cell>
        </row>
        <row r="255">
          <cell r="A255" t="e">
            <v>#REF!</v>
          </cell>
        </row>
        <row r="256">
          <cell r="A256" t="e">
            <v>#REF!</v>
          </cell>
        </row>
        <row r="258">
          <cell r="A258" t="e">
            <v>#REF!</v>
          </cell>
        </row>
        <row r="259">
          <cell r="A259" t="e">
            <v>#REF!</v>
          </cell>
        </row>
        <row r="260">
          <cell r="A260" t="e">
            <v>#REF!</v>
          </cell>
        </row>
        <row r="262">
          <cell r="A262" t="e">
            <v>#REF!</v>
          </cell>
          <cell r="G262" t="str">
            <v xml:space="preserve"> </v>
          </cell>
          <cell r="H262" t="str">
            <v xml:space="preserve"> </v>
          </cell>
        </row>
        <row r="263">
          <cell r="A263" t="e">
            <v>#REF!</v>
          </cell>
          <cell r="B263" t="str">
            <v xml:space="preserve"> </v>
          </cell>
          <cell r="C263" t="str">
            <v xml:space="preserve"> </v>
          </cell>
          <cell r="D263" t="str">
            <v xml:space="preserve"> </v>
          </cell>
          <cell r="E263" t="str">
            <v xml:space="preserve"> </v>
          </cell>
          <cell r="F263" t="str">
            <v xml:space="preserve"> </v>
          </cell>
        </row>
        <row r="264">
          <cell r="A264" t="e">
            <v>#REF!</v>
          </cell>
        </row>
        <row r="265">
          <cell r="A265" t="e">
            <v>#REF!</v>
          </cell>
        </row>
        <row r="266">
          <cell r="A266" t="e">
            <v>#REF!</v>
          </cell>
        </row>
        <row r="267">
          <cell r="A267" t="e">
            <v>#REF!</v>
          </cell>
          <cell r="B267" t="str">
            <v>공사명 : MACHINE PART (1.5KW x 4P用: WINCH TYPE)</v>
          </cell>
          <cell r="H267" t="str">
            <v>일위대가-1</v>
          </cell>
        </row>
        <row r="268">
          <cell r="A268" t="e">
            <v>#REF!</v>
          </cell>
          <cell r="B268" t="str">
            <v>MOTOR</v>
          </cell>
          <cell r="C268" t="str">
            <v>1.5KW x 4P</v>
          </cell>
          <cell r="D268" t="str">
            <v>대</v>
          </cell>
          <cell r="E268">
            <v>1</v>
          </cell>
          <cell r="F268" t="str">
            <v xml:space="preserve"> </v>
          </cell>
        </row>
        <row r="269">
          <cell r="A269" t="e">
            <v>#REF!</v>
          </cell>
          <cell r="B269" t="str">
            <v>DISK BRAKE</v>
          </cell>
          <cell r="C269" t="str">
            <v>1.5KW x 4P用</v>
          </cell>
          <cell r="D269" t="str">
            <v>대</v>
          </cell>
          <cell r="E269">
            <v>1</v>
          </cell>
          <cell r="F269" t="str">
            <v xml:space="preserve"> </v>
          </cell>
        </row>
        <row r="270">
          <cell r="A270" t="e">
            <v>#REF!</v>
          </cell>
          <cell r="B270" t="str">
            <v>BOLT,NUT,W/S,S/W</v>
          </cell>
          <cell r="C270" t="str">
            <v>M12 x 40L</v>
          </cell>
          <cell r="D270" t="str">
            <v>SET</v>
          </cell>
          <cell r="E270">
            <v>4</v>
          </cell>
          <cell r="F270" t="str">
            <v>MOTOR 고정용</v>
          </cell>
        </row>
        <row r="271">
          <cell r="A271" t="e">
            <v>#REF!</v>
          </cell>
          <cell r="B271" t="str">
            <v>MOTOR DIE</v>
          </cell>
          <cell r="C271" t="str">
            <v>1.5KW x 4P用</v>
          </cell>
          <cell r="D271" t="str">
            <v>SET</v>
          </cell>
          <cell r="E271">
            <v>1</v>
          </cell>
          <cell r="F271" t="str">
            <v>MOTOR 고정용</v>
          </cell>
        </row>
        <row r="272">
          <cell r="A272" t="e">
            <v>#REF!</v>
          </cell>
          <cell r="B272" t="str">
            <v>STUD BOLT</v>
          </cell>
          <cell r="C272" t="str">
            <v>M16 x 200L</v>
          </cell>
          <cell r="D272" t="str">
            <v>SET</v>
          </cell>
          <cell r="E272">
            <v>4</v>
          </cell>
          <cell r="F272" t="str">
            <v>MOTOR 출력축과 WORM REDUCER 입력축과의 거리조절용</v>
          </cell>
        </row>
        <row r="273">
          <cell r="A273" t="e">
            <v>#REF!</v>
          </cell>
          <cell r="B273" t="str">
            <v>NUT</v>
          </cell>
          <cell r="C273" t="str">
            <v>M16</v>
          </cell>
          <cell r="D273" t="str">
            <v>EA</v>
          </cell>
          <cell r="E273">
            <v>16</v>
          </cell>
          <cell r="F273" t="str">
            <v>STUD BOLT 1EA당 4EA씩으므로 4EAx4EA= 16EA</v>
          </cell>
        </row>
        <row r="274">
          <cell r="A274" t="e">
            <v>#REF!</v>
          </cell>
          <cell r="B274" t="str">
            <v xml:space="preserve">V-PULLEY </v>
          </cell>
          <cell r="C274" t="str">
            <v>B형 x 2열 x 3"</v>
          </cell>
          <cell r="D274" t="str">
            <v>EA</v>
          </cell>
          <cell r="E274">
            <v>1</v>
          </cell>
          <cell r="F274" t="str">
            <v>MOTOR 출력용</v>
          </cell>
        </row>
        <row r="275">
          <cell r="A275" t="e">
            <v>#REF!</v>
          </cell>
          <cell r="B275" t="str">
            <v xml:space="preserve">V-PULLEY </v>
          </cell>
          <cell r="C275" t="str">
            <v>B형 x 2열 x 8"</v>
          </cell>
          <cell r="D275" t="str">
            <v>EA</v>
          </cell>
          <cell r="E275">
            <v>1</v>
          </cell>
          <cell r="F275" t="str">
            <v>WORM REDUCER 입력축용</v>
          </cell>
        </row>
        <row r="276">
          <cell r="A276" t="e">
            <v>#REF!</v>
          </cell>
          <cell r="B276" t="str">
            <v>V-BELT</v>
          </cell>
          <cell r="C276" t="str">
            <v>B형 x 42"</v>
          </cell>
          <cell r="D276" t="str">
            <v>EA</v>
          </cell>
          <cell r="E276">
            <v>2</v>
          </cell>
          <cell r="F276" t="str">
            <v>V-PULLEY가 2열</v>
          </cell>
        </row>
        <row r="277">
          <cell r="A277" t="e">
            <v>#REF!</v>
          </cell>
          <cell r="B277" t="str">
            <v>WORM REDUCER</v>
          </cell>
          <cell r="C277" t="str">
            <v>1.5KW x 4P用</v>
          </cell>
          <cell r="D277" t="str">
            <v>대</v>
          </cell>
          <cell r="E277">
            <v>1</v>
          </cell>
          <cell r="F277" t="str">
            <v xml:space="preserve"> </v>
          </cell>
        </row>
        <row r="278">
          <cell r="A278" t="e">
            <v>#REF!</v>
          </cell>
          <cell r="B278" t="str">
            <v>BOLT,NUT,W/S,S/W</v>
          </cell>
          <cell r="C278" t="str">
            <v>M16 x 60L</v>
          </cell>
          <cell r="D278" t="str">
            <v>SET</v>
          </cell>
          <cell r="E278">
            <v>2</v>
          </cell>
          <cell r="F278" t="str">
            <v>WORM REDUCER 고정용</v>
          </cell>
        </row>
        <row r="279">
          <cell r="A279" t="e">
            <v>#REF!</v>
          </cell>
          <cell r="B279" t="str">
            <v>BEARING</v>
          </cell>
          <cell r="C279" t="str">
            <v>UCP #207</v>
          </cell>
          <cell r="D279" t="str">
            <v>EA</v>
          </cell>
          <cell r="E279">
            <v>1</v>
          </cell>
          <cell r="F279" t="str">
            <v xml:space="preserve"> </v>
          </cell>
        </row>
        <row r="280">
          <cell r="A280" t="e">
            <v>#REF!</v>
          </cell>
          <cell r="B280" t="str">
            <v>BEARING DIE</v>
          </cell>
          <cell r="C280" t="str">
            <v>UCP #207用</v>
          </cell>
          <cell r="D280" t="str">
            <v>EA</v>
          </cell>
          <cell r="E280">
            <v>1</v>
          </cell>
          <cell r="F280" t="str">
            <v xml:space="preserve"> </v>
          </cell>
        </row>
        <row r="281">
          <cell r="A281" t="e">
            <v>#REF!</v>
          </cell>
          <cell r="B281" t="str">
            <v>BOLT,NUT,W/S,S/W</v>
          </cell>
          <cell r="C281" t="str">
            <v>M16 x 60L</v>
          </cell>
          <cell r="D281" t="str">
            <v>SET</v>
          </cell>
          <cell r="E281">
            <v>2</v>
          </cell>
          <cell r="F281" t="str">
            <v>BEARING DIE 고정용</v>
          </cell>
        </row>
        <row r="282">
          <cell r="A282" t="e">
            <v>#REF!</v>
          </cell>
          <cell r="B282" t="str">
            <v>CHAIN SPROCKET</v>
          </cell>
          <cell r="C282" t="str">
            <v>DS #35 x 12t</v>
          </cell>
          <cell r="D282" t="str">
            <v>SET</v>
          </cell>
          <cell r="E282">
            <v>1</v>
          </cell>
          <cell r="F282" t="str">
            <v>LIMIT 제어동력 전달용 (CAM LINIT S/W 입력축)</v>
          </cell>
        </row>
        <row r="283">
          <cell r="A283" t="e">
            <v>#REF!</v>
          </cell>
          <cell r="B283" t="str">
            <v>CHAIN SPROCKET</v>
          </cell>
          <cell r="C283" t="str">
            <v>DS #35 x 27t</v>
          </cell>
          <cell r="D283" t="str">
            <v>SET</v>
          </cell>
          <cell r="E283">
            <v>1</v>
          </cell>
          <cell r="F283" t="str">
            <v>LIMIT 제어동력 전달용 (WORM REDUCER 출력축 끝단)</v>
          </cell>
        </row>
        <row r="284">
          <cell r="A284" t="e">
            <v>#REF!</v>
          </cell>
          <cell r="B284" t="str">
            <v xml:space="preserve">CHAIN </v>
          </cell>
          <cell r="C284" t="str">
            <v xml:space="preserve">DS #35 </v>
          </cell>
          <cell r="D284" t="str">
            <v>SET</v>
          </cell>
          <cell r="E284">
            <v>1</v>
          </cell>
          <cell r="F284" t="str">
            <v>LIMIT 제어동력</v>
          </cell>
        </row>
        <row r="285">
          <cell r="A285" t="e">
            <v>#REF!</v>
          </cell>
          <cell r="B285" t="str">
            <v>CHAIN OFFSET LINK</v>
          </cell>
          <cell r="C285" t="str">
            <v xml:space="preserve">DS #35用 </v>
          </cell>
          <cell r="D285" t="str">
            <v>EA</v>
          </cell>
          <cell r="E285">
            <v>1</v>
          </cell>
          <cell r="F285" t="str">
            <v>CHAIN 연결용</v>
          </cell>
        </row>
        <row r="286">
          <cell r="A286" t="e">
            <v>#REF!</v>
          </cell>
          <cell r="B286" t="str">
            <v>CAM LIMIT S/W</v>
          </cell>
          <cell r="C286" t="str">
            <v>SCREW TYPE</v>
          </cell>
          <cell r="D286" t="str">
            <v>SET</v>
          </cell>
          <cell r="E286">
            <v>1</v>
          </cell>
          <cell r="F286" t="str">
            <v>LIMIT 제어동력</v>
          </cell>
        </row>
        <row r="287">
          <cell r="A287" t="e">
            <v>#REF!</v>
          </cell>
          <cell r="B287" t="str">
            <v>LIMIT S/W DIE</v>
          </cell>
          <cell r="C287" t="str">
            <v xml:space="preserve"> </v>
          </cell>
          <cell r="D287" t="str">
            <v>SET</v>
          </cell>
          <cell r="E287">
            <v>1</v>
          </cell>
          <cell r="F287" t="str">
            <v xml:space="preserve"> </v>
          </cell>
        </row>
        <row r="288">
          <cell r="A288" t="e">
            <v>#REF!</v>
          </cell>
          <cell r="B288" t="str">
            <v>BOLT,NUT,W/S,S/W</v>
          </cell>
          <cell r="C288" t="str">
            <v>M6 x 30L</v>
          </cell>
          <cell r="D288" t="str">
            <v>SET</v>
          </cell>
          <cell r="E288">
            <v>2</v>
          </cell>
          <cell r="F288" t="str">
            <v>CAM LIMITS S/W 고정용</v>
          </cell>
        </row>
        <row r="289">
          <cell r="A289" t="e">
            <v>#REF!</v>
          </cell>
        </row>
        <row r="290">
          <cell r="A290" t="e">
            <v>#REF!</v>
          </cell>
        </row>
        <row r="291">
          <cell r="A291" t="e">
            <v>#REF!</v>
          </cell>
        </row>
        <row r="292">
          <cell r="A292" t="e">
            <v>#REF!</v>
          </cell>
        </row>
        <row r="293">
          <cell r="A293" t="e">
            <v>#REF!</v>
          </cell>
        </row>
        <row r="294">
          <cell r="A294" t="e">
            <v>#REF!</v>
          </cell>
        </row>
        <row r="295">
          <cell r="A295" t="e">
            <v>#REF!</v>
          </cell>
        </row>
        <row r="296">
          <cell r="A296" t="e">
            <v>#REF!</v>
          </cell>
        </row>
        <row r="297">
          <cell r="A297" t="e">
            <v>#REF!</v>
          </cell>
        </row>
        <row r="298">
          <cell r="A298" t="e">
            <v>#REF!</v>
          </cell>
        </row>
        <row r="299">
          <cell r="A299" t="e">
            <v>#REF!</v>
          </cell>
        </row>
        <row r="300">
          <cell r="A300" t="e">
            <v>#REF!</v>
          </cell>
        </row>
        <row r="301">
          <cell r="A301" t="e">
            <v>#REF!</v>
          </cell>
        </row>
        <row r="302">
          <cell r="A302" t="e">
            <v>#REF!</v>
          </cell>
        </row>
        <row r="303">
          <cell r="A303" t="e">
            <v>#REF!</v>
          </cell>
        </row>
        <row r="304">
          <cell r="A304" t="e">
            <v>#REF!</v>
          </cell>
        </row>
        <row r="305">
          <cell r="A305" t="e">
            <v>#REF!</v>
          </cell>
        </row>
        <row r="306">
          <cell r="A306" t="e">
            <v>#REF!</v>
          </cell>
        </row>
        <row r="307">
          <cell r="A307" t="e">
            <v>#REF!</v>
          </cell>
        </row>
        <row r="308">
          <cell r="A308" t="e">
            <v>#REF!</v>
          </cell>
        </row>
        <row r="309">
          <cell r="A309" t="e">
            <v>#REF!</v>
          </cell>
        </row>
        <row r="310">
          <cell r="A310" t="e">
            <v>#REF!</v>
          </cell>
        </row>
        <row r="311">
          <cell r="A311" t="e">
            <v>#REF!</v>
          </cell>
        </row>
        <row r="312">
          <cell r="A312" t="e">
            <v>#REF!</v>
          </cell>
        </row>
        <row r="313">
          <cell r="A313" t="e">
            <v>#REF!</v>
          </cell>
        </row>
        <row r="314">
          <cell r="A314" t="e">
            <v>#REF!</v>
          </cell>
        </row>
        <row r="315">
          <cell r="A315" t="e">
            <v>#REF!</v>
          </cell>
        </row>
        <row r="316">
          <cell r="A316" t="e">
            <v>#REF!</v>
          </cell>
        </row>
        <row r="317">
          <cell r="A317" t="e">
            <v>#REF!</v>
          </cell>
        </row>
        <row r="318">
          <cell r="A318" t="e">
            <v>#REF!</v>
          </cell>
        </row>
        <row r="319">
          <cell r="A319" t="e">
            <v>#REF!</v>
          </cell>
        </row>
        <row r="320">
          <cell r="A320" t="e">
            <v>#REF!</v>
          </cell>
        </row>
        <row r="321">
          <cell r="A321" t="e">
            <v>#REF!</v>
          </cell>
        </row>
        <row r="322">
          <cell r="A322" t="e">
            <v>#REF!</v>
          </cell>
        </row>
        <row r="323">
          <cell r="A323" t="e">
            <v>#REF!</v>
          </cell>
        </row>
        <row r="324">
          <cell r="A324" t="e">
            <v>#REF!</v>
          </cell>
        </row>
        <row r="325">
          <cell r="A325" t="e">
            <v>#REF!</v>
          </cell>
        </row>
        <row r="326">
          <cell r="A326" t="e">
            <v>#REF!</v>
          </cell>
        </row>
        <row r="327">
          <cell r="A327" t="e">
            <v>#REF!</v>
          </cell>
        </row>
        <row r="328">
          <cell r="A328" t="e">
            <v>#REF!</v>
          </cell>
        </row>
        <row r="329">
          <cell r="A329" t="e">
            <v>#REF!</v>
          </cell>
        </row>
        <row r="330">
          <cell r="A330" t="e">
            <v>#REF!</v>
          </cell>
        </row>
        <row r="331">
          <cell r="A331" t="e">
            <v>#REF!</v>
          </cell>
        </row>
        <row r="332">
          <cell r="A332" t="e">
            <v>#REF!</v>
          </cell>
        </row>
        <row r="333">
          <cell r="A333" t="e">
            <v>#REF!</v>
          </cell>
        </row>
        <row r="334">
          <cell r="A334" t="e">
            <v>#REF!</v>
          </cell>
        </row>
        <row r="335">
          <cell r="A335" t="e">
            <v>#REF!</v>
          </cell>
        </row>
        <row r="336">
          <cell r="A336" t="e">
            <v>#REF!</v>
          </cell>
        </row>
        <row r="337">
          <cell r="A337" t="e">
            <v>#REF!</v>
          </cell>
        </row>
        <row r="338">
          <cell r="A338" t="e">
            <v>#REF!</v>
          </cell>
        </row>
        <row r="339">
          <cell r="A339" t="e">
            <v>#REF!</v>
          </cell>
        </row>
        <row r="340">
          <cell r="A340" t="e">
            <v>#REF!</v>
          </cell>
        </row>
        <row r="341">
          <cell r="A341" t="e">
            <v>#REF!</v>
          </cell>
        </row>
        <row r="342">
          <cell r="A342" t="e">
            <v>#REF!</v>
          </cell>
        </row>
        <row r="343">
          <cell r="A343" t="e">
            <v>#REF!</v>
          </cell>
        </row>
        <row r="344">
          <cell r="A344" t="e">
            <v>#REF!</v>
          </cell>
        </row>
        <row r="345">
          <cell r="A345" t="e">
            <v>#REF!</v>
          </cell>
        </row>
        <row r="346">
          <cell r="A346" t="e">
            <v>#REF!</v>
          </cell>
        </row>
        <row r="347">
          <cell r="A347" t="e">
            <v>#REF!</v>
          </cell>
        </row>
        <row r="348">
          <cell r="A348" t="e">
            <v>#REF!</v>
          </cell>
        </row>
        <row r="349">
          <cell r="A349" t="e">
            <v>#REF!</v>
          </cell>
        </row>
        <row r="350">
          <cell r="A350" t="e">
            <v>#REF!</v>
          </cell>
        </row>
        <row r="351">
          <cell r="A351" t="e">
            <v>#REF!</v>
          </cell>
        </row>
        <row r="352">
          <cell r="A352" t="e">
            <v>#REF!</v>
          </cell>
        </row>
        <row r="353">
          <cell r="A353" t="e">
            <v>#REF!</v>
          </cell>
        </row>
        <row r="354">
          <cell r="A354" t="e">
            <v>#REF!</v>
          </cell>
        </row>
        <row r="355">
          <cell r="A355" t="e">
            <v>#REF!</v>
          </cell>
        </row>
        <row r="356">
          <cell r="A356" t="e">
            <v>#REF!</v>
          </cell>
        </row>
        <row r="357">
          <cell r="A357" t="e">
            <v>#REF!</v>
          </cell>
        </row>
        <row r="358">
          <cell r="A358" t="e">
            <v>#REF!</v>
          </cell>
        </row>
        <row r="359">
          <cell r="A359" t="e">
            <v>#REF!</v>
          </cell>
        </row>
        <row r="360">
          <cell r="A360" t="e">
            <v>#REF!</v>
          </cell>
        </row>
        <row r="361">
          <cell r="A361" t="e">
            <v>#REF!</v>
          </cell>
        </row>
        <row r="362">
          <cell r="A362" t="e">
            <v>#REF!</v>
          </cell>
        </row>
        <row r="363">
          <cell r="A363" t="e">
            <v>#REF!</v>
          </cell>
        </row>
        <row r="364">
          <cell r="A364" t="e">
            <v>#REF!</v>
          </cell>
        </row>
        <row r="365">
          <cell r="A365" t="e">
            <v>#REF!</v>
          </cell>
        </row>
        <row r="366">
          <cell r="A366" t="e">
            <v>#REF!</v>
          </cell>
        </row>
        <row r="367">
          <cell r="A367" t="e">
            <v>#REF!</v>
          </cell>
        </row>
        <row r="368">
          <cell r="A368" t="e">
            <v>#REF!</v>
          </cell>
        </row>
        <row r="369">
          <cell r="A369" t="e">
            <v>#REF!</v>
          </cell>
        </row>
        <row r="370">
          <cell r="A370" t="e">
            <v>#REF!</v>
          </cell>
        </row>
        <row r="371">
          <cell r="A371" t="e">
            <v>#REF!</v>
          </cell>
        </row>
        <row r="372">
          <cell r="A372" t="e">
            <v>#REF!</v>
          </cell>
        </row>
        <row r="373">
          <cell r="A373" t="e">
            <v>#REF!</v>
          </cell>
        </row>
        <row r="374">
          <cell r="A374" t="e">
            <v>#REF!</v>
          </cell>
        </row>
        <row r="375">
          <cell r="A375" t="e">
            <v>#REF!</v>
          </cell>
        </row>
        <row r="376">
          <cell r="A376" t="e">
            <v>#REF!</v>
          </cell>
        </row>
        <row r="377">
          <cell r="A377" t="e">
            <v>#REF!</v>
          </cell>
        </row>
        <row r="378">
          <cell r="A378" t="e">
            <v>#REF!</v>
          </cell>
        </row>
        <row r="379">
          <cell r="A379" t="e">
            <v>#REF!</v>
          </cell>
        </row>
        <row r="380">
          <cell r="A380" t="e">
            <v>#REF!</v>
          </cell>
        </row>
        <row r="381">
          <cell r="A381" t="e">
            <v>#REF!</v>
          </cell>
        </row>
        <row r="382">
          <cell r="A382" t="e">
            <v>#REF!</v>
          </cell>
        </row>
        <row r="383">
          <cell r="A383" t="e">
            <v>#REF!</v>
          </cell>
        </row>
        <row r="384">
          <cell r="A384" t="e">
            <v>#REF!</v>
          </cell>
        </row>
        <row r="385">
          <cell r="A385" t="e">
            <v>#REF!</v>
          </cell>
        </row>
        <row r="386">
          <cell r="A386" t="e">
            <v>#REF!</v>
          </cell>
        </row>
        <row r="387">
          <cell r="A387" t="e">
            <v>#REF!</v>
          </cell>
        </row>
        <row r="388">
          <cell r="A388" t="e">
            <v>#REF!</v>
          </cell>
        </row>
        <row r="389">
          <cell r="A389" t="e">
            <v>#REF!</v>
          </cell>
        </row>
        <row r="390">
          <cell r="A390" t="e">
            <v>#REF!</v>
          </cell>
        </row>
        <row r="391">
          <cell r="A391" t="e">
            <v>#REF!</v>
          </cell>
        </row>
        <row r="392">
          <cell r="A392" t="e">
            <v>#REF!</v>
          </cell>
        </row>
        <row r="393">
          <cell r="A393" t="e">
            <v>#REF!</v>
          </cell>
        </row>
        <row r="394">
          <cell r="A394" t="e">
            <v>#REF!</v>
          </cell>
        </row>
        <row r="395">
          <cell r="A395" t="e">
            <v>#REF!</v>
          </cell>
        </row>
        <row r="396">
          <cell r="A396" t="e">
            <v>#REF!</v>
          </cell>
        </row>
        <row r="397">
          <cell r="A397" t="e">
            <v>#REF!</v>
          </cell>
        </row>
        <row r="398">
          <cell r="A398" t="e">
            <v>#REF!</v>
          </cell>
        </row>
        <row r="399">
          <cell r="A399" t="e">
            <v>#REF!</v>
          </cell>
        </row>
        <row r="400">
          <cell r="A400" t="e">
            <v>#REF!</v>
          </cell>
        </row>
        <row r="401">
          <cell r="A401" t="e">
            <v>#REF!</v>
          </cell>
        </row>
        <row r="402">
          <cell r="A402" t="e">
            <v>#REF!</v>
          </cell>
        </row>
        <row r="403">
          <cell r="A403" t="e">
            <v>#REF!</v>
          </cell>
        </row>
        <row r="404">
          <cell r="A404" t="e">
            <v>#REF!</v>
          </cell>
        </row>
        <row r="405">
          <cell r="A405" t="e">
            <v>#REF!</v>
          </cell>
        </row>
        <row r="406">
          <cell r="A406" t="e">
            <v>#REF!</v>
          </cell>
        </row>
        <row r="407">
          <cell r="A407" t="e">
            <v>#REF!</v>
          </cell>
        </row>
        <row r="408">
          <cell r="A408" t="e">
            <v>#REF!</v>
          </cell>
        </row>
        <row r="409">
          <cell r="A409" t="e">
            <v>#REF!</v>
          </cell>
        </row>
        <row r="410">
          <cell r="A410" t="e">
            <v>#REF!</v>
          </cell>
        </row>
        <row r="411">
          <cell r="A411" t="e">
            <v>#REF!</v>
          </cell>
        </row>
        <row r="412">
          <cell r="A412" t="e">
            <v>#REF!</v>
          </cell>
        </row>
        <row r="413">
          <cell r="A413" t="e">
            <v>#REF!</v>
          </cell>
        </row>
        <row r="414">
          <cell r="A414" t="e">
            <v>#REF!</v>
          </cell>
        </row>
        <row r="415">
          <cell r="A415" t="e">
            <v>#REF!</v>
          </cell>
        </row>
        <row r="416">
          <cell r="A416" t="e">
            <v>#REF!</v>
          </cell>
        </row>
        <row r="417">
          <cell r="A417" t="e">
            <v>#REF!</v>
          </cell>
        </row>
        <row r="418">
          <cell r="A418" t="e">
            <v>#REF!</v>
          </cell>
        </row>
        <row r="419">
          <cell r="A419" t="e">
            <v>#REF!</v>
          </cell>
        </row>
        <row r="420">
          <cell r="A420" t="e">
            <v>#REF!</v>
          </cell>
        </row>
        <row r="421">
          <cell r="A421" t="e">
            <v>#REF!</v>
          </cell>
        </row>
        <row r="422">
          <cell r="A422" t="e">
            <v>#REF!</v>
          </cell>
        </row>
        <row r="423">
          <cell r="A423" t="e">
            <v>#REF!</v>
          </cell>
        </row>
        <row r="424">
          <cell r="A424" t="e">
            <v>#REF!</v>
          </cell>
        </row>
        <row r="425">
          <cell r="A425" t="e">
            <v>#REF!</v>
          </cell>
        </row>
        <row r="426">
          <cell r="A426" t="e">
            <v>#REF!</v>
          </cell>
        </row>
        <row r="427">
          <cell r="A427" t="e">
            <v>#REF!</v>
          </cell>
        </row>
        <row r="428">
          <cell r="A428" t="e">
            <v>#REF!</v>
          </cell>
        </row>
        <row r="429">
          <cell r="A429" t="e">
            <v>#REF!</v>
          </cell>
        </row>
        <row r="430">
          <cell r="A430" t="e">
            <v>#REF!</v>
          </cell>
        </row>
        <row r="431">
          <cell r="A431" t="e">
            <v>#REF!</v>
          </cell>
        </row>
        <row r="432">
          <cell r="A432" t="e">
            <v>#REF!</v>
          </cell>
        </row>
        <row r="433">
          <cell r="A433" t="e">
            <v>#REF!</v>
          </cell>
        </row>
        <row r="434">
          <cell r="A434" t="e">
            <v>#REF!</v>
          </cell>
        </row>
        <row r="435">
          <cell r="A435" t="e">
            <v>#REF!</v>
          </cell>
        </row>
        <row r="436">
          <cell r="A436" t="e">
            <v>#REF!</v>
          </cell>
        </row>
        <row r="437">
          <cell r="A437" t="e">
            <v>#REF!</v>
          </cell>
        </row>
        <row r="438">
          <cell r="A438" t="e">
            <v>#REF!</v>
          </cell>
        </row>
        <row r="439">
          <cell r="A439" t="e">
            <v>#REF!</v>
          </cell>
        </row>
        <row r="440">
          <cell r="A440" t="e">
            <v>#REF!</v>
          </cell>
        </row>
        <row r="441">
          <cell r="A441" t="e">
            <v>#REF!</v>
          </cell>
        </row>
        <row r="442">
          <cell r="A442" t="e">
            <v>#REF!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수량산출"/>
      <sheetName val="중량산출"/>
      <sheetName val="PANEL 중량산출"/>
      <sheetName val="견적대비표"/>
      <sheetName val="배관배선"/>
      <sheetName val="단가대비표"/>
      <sheetName val="성스테이지"/>
      <sheetName val="타견적서 영시스템"/>
      <sheetName val="진명견적"/>
      <sheetName val="원가계산서"/>
      <sheetName val="공종별집계표"/>
      <sheetName val="신우"/>
      <sheetName val="데이타"/>
      <sheetName val="식재인부"/>
      <sheetName val="갑지"/>
      <sheetName val="내역집계표"/>
      <sheetName val="노무비단가내역"/>
      <sheetName val="공량산출서"/>
      <sheetName val="산출집계표"/>
      <sheetName val="산출기초"/>
      <sheetName val="견적서(주차관제)"/>
      <sheetName val="견적"/>
      <sheetName val="빌딩 안내"/>
      <sheetName val="노무비"/>
      <sheetName val="내역"/>
      <sheetName val="Sheet1"/>
      <sheetName val="설계서"/>
      <sheetName val="합천내역"/>
      <sheetName val="가감수량"/>
      <sheetName val="맨홀수량산출"/>
      <sheetName val="건축-물가변동"/>
      <sheetName val="1안"/>
      <sheetName val="노임단가"/>
      <sheetName val="_x0000_"/>
      <sheetName val="준공정산"/>
      <sheetName val="#REF"/>
      <sheetName val="증감대비"/>
      <sheetName val="코드"/>
      <sheetName val="내역갑지"/>
      <sheetName val="_x0000_k_x0000_y_x0000__x0000__x0000_£_x0000_±_x0000_¿_x0000_"/>
      <sheetName val="AS포장복구 "/>
      <sheetName val="공사개요"/>
      <sheetName val="노무,재료"/>
      <sheetName val="자료"/>
      <sheetName val="간선"/>
      <sheetName val="전압"/>
      <sheetName val="조도"/>
      <sheetName val="동력"/>
      <sheetName val="맨홀수량산출_x0000__x0000__x0000__x0000__x0010_[내역서.xls]건축-물"/>
      <sheetName val="가설공사"/>
      <sheetName val="산출근거(복구)"/>
      <sheetName val="단가표"/>
      <sheetName val="연습"/>
      <sheetName val="01.가로등"/>
      <sheetName val="02.펌프장"/>
      <sheetName val="Sheet13"/>
      <sheetName val="Sheet14"/>
      <sheetName val="Sheet9"/>
      <sheetName val="입고장부 (4)"/>
      <sheetName val="가스내역"/>
      <sheetName val="_x0000__x0006_Ā嗰"/>
      <sheetName val="sal"/>
      <sheetName val="환율"/>
      <sheetName val="Total"/>
      <sheetName val="b_balju_cho"/>
      <sheetName val="세부내역서"/>
      <sheetName val="건축"/>
      <sheetName val="DATA"/>
      <sheetName val="Detail"/>
      <sheetName val="본댐설계"/>
      <sheetName val="기구조직"/>
      <sheetName val="N賃率-職"/>
      <sheetName val="집계표"/>
      <sheetName val="정공공사"/>
      <sheetName val="설계명세서"/>
      <sheetName val="sw1"/>
      <sheetName val="수량산출(출력물)"/>
      <sheetName val="단가대비"/>
      <sheetName val="일위대가"/>
      <sheetName val="_x0000__x0004_"/>
      <sheetName val="노임,재료비"/>
      <sheetName val="CTEMCOST"/>
      <sheetName val="__"/>
      <sheetName val="실행간접비용"/>
      <sheetName val="9GNG운반"/>
      <sheetName val="F-CV1.5SQ-2C"/>
      <sheetName val="가설공사비"/>
      <sheetName val="도로구조공사비"/>
      <sheetName val="도로토공공사비"/>
      <sheetName val="여수토공사비"/>
      <sheetName val="내역서집계(도급)"/>
      <sheetName val="토목단가산출 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기본단가표"/>
      <sheetName val="수량산출"/>
      <sheetName val="안전장치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1999.8최종"/>
      <sheetName val="수량"/>
      <sheetName val="중량"/>
      <sheetName val="인건비"/>
      <sheetName val="단가대비표"/>
      <sheetName val="공내역서"/>
      <sheetName val="견적대비표"/>
      <sheetName val="타동명"/>
      <sheetName val="타진명-갑지"/>
      <sheetName val="타진명-2"/>
      <sheetName val="타영시스템"/>
      <sheetName val="수량산출"/>
      <sheetName val="전기"/>
      <sheetName val="철거산출근거"/>
      <sheetName val="일위대가"/>
      <sheetName val="갑지"/>
      <sheetName val="집계표"/>
      <sheetName val="부대내역"/>
      <sheetName val="수량산출(음암)"/>
      <sheetName val="건축일위"/>
      <sheetName val="그라우팅일위"/>
      <sheetName val="노임단가"/>
      <sheetName val="수목단가"/>
      <sheetName val="시설수량표"/>
      <sheetName val="식재수량표"/>
      <sheetName val="일위목록"/>
      <sheetName val="안전장치"/>
      <sheetName val="내역서"/>
      <sheetName val="건축내역"/>
      <sheetName val="개산공사비"/>
      <sheetName val="N賃率-職"/>
      <sheetName val="정공공사"/>
      <sheetName val="자료"/>
      <sheetName val="간선"/>
      <sheetName val="전압"/>
      <sheetName val="조도"/>
      <sheetName val="동력"/>
      <sheetName val="TEL"/>
      <sheetName val="Sheet14"/>
      <sheetName val="간이(갑)"/>
      <sheetName val="공사개요"/>
      <sheetName val="현장관리비"/>
      <sheetName val="단가 및 재료비"/>
      <sheetName val="단가산출2"/>
      <sheetName val="00노임기준"/>
      <sheetName val="I一般比"/>
      <sheetName val="기본일위"/>
      <sheetName val="자재단가"/>
      <sheetName val="94"/>
      <sheetName val="Sheet1"/>
      <sheetName val="#REF"/>
      <sheetName val="신우"/>
      <sheetName val="소비자가"/>
      <sheetName val="건축"/>
      <sheetName val="제잡비"/>
      <sheetName val="데이타"/>
      <sheetName val="토사(PE)"/>
      <sheetName val="기계경비산출기준"/>
      <sheetName val="원가계산서"/>
      <sheetName val="총 원가계산"/>
      <sheetName val="건축명"/>
      <sheetName val="기계명"/>
      <sheetName val="전기명"/>
      <sheetName val="토목명"/>
      <sheetName val="1안"/>
      <sheetName val="Sheet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표"/>
      <sheetName val="일위대가표 (2)"/>
      <sheetName val="총괄내역"/>
      <sheetName val="내역서"/>
      <sheetName val="공종별 집계표"/>
      <sheetName val="사급,관급자재대"/>
      <sheetName val="원가계산서"/>
      <sheetName val="도급내역서 표지"/>
      <sheetName val="공사구성비"/>
      <sheetName val="목차"/>
      <sheetName val="간지"/>
      <sheetName val="VXXXXX"/>
      <sheetName val="총괄표"/>
      <sheetName val="PMS"/>
      <sheetName val="조경식재"/>
      <sheetName val="조경시설공"/>
      <sheetName val="자재수량산출"/>
      <sheetName val="수량산출서"/>
      <sheetName val="일위대가"/>
      <sheetName val=""/>
      <sheetName val="단가"/>
      <sheetName val="내역표지"/>
      <sheetName val="원가계산서(총괄)"/>
      <sheetName val="산출내역집계"/>
      <sheetName val="건축집계"/>
      <sheetName val="건축내역"/>
      <sheetName val="토목집계"/>
      <sheetName val="토목내역"/>
      <sheetName val="설비집계"/>
      <sheetName val="설비내역"/>
      <sheetName val="보할"/>
      <sheetName val="기성총괄"/>
      <sheetName val="기성(단지내)"/>
      <sheetName val="기성(도시기반)"/>
      <sheetName val="기성내역"/>
      <sheetName val="골조시행"/>
      <sheetName val="품셈TABLE"/>
      <sheetName val="내역(~2"/>
      <sheetName val="12공구"/>
      <sheetName val="증감대비"/>
      <sheetName val="토공사"/>
      <sheetName val="단가산출"/>
      <sheetName val="일위_파일"/>
      <sheetName val="보증수수료산출"/>
      <sheetName val="공사비총괄표"/>
      <sheetName val="데이타"/>
      <sheetName val="실행대비"/>
      <sheetName val="재료"/>
      <sheetName val="소비자가"/>
      <sheetName val="Sheet1"/>
      <sheetName val="RING WALL"/>
      <sheetName val="99년하반기"/>
      <sheetName val="CON'C"/>
      <sheetName val="지질조사"/>
      <sheetName val="내역"/>
      <sheetName val="실행"/>
      <sheetName val="기성"/>
      <sheetName val="북제주원가"/>
      <sheetName val="BID"/>
      <sheetName val="집계표"/>
      <sheetName val="1,2공구원가계산서"/>
      <sheetName val="2공구산출내역"/>
      <sheetName val="1공구산출내역서"/>
      <sheetName val="설변공종별"/>
      <sheetName val="설변조정내역"/>
      <sheetName val="건기토원가"/>
      <sheetName val="건축원가"/>
      <sheetName val="토목원가"/>
      <sheetName val="기계원가"/>
      <sheetName val="기계내역"/>
      <sheetName val="표지"/>
      <sheetName val="우수받이"/>
      <sheetName val="단가표"/>
      <sheetName val="기결의"/>
      <sheetName val="표준건축비"/>
      <sheetName val="Sheet5"/>
      <sheetName val="실행(ALT1)"/>
      <sheetName val="경비"/>
      <sheetName val="건축일위"/>
      <sheetName val="그라우팅일위"/>
      <sheetName val="단"/>
      <sheetName val="자료"/>
      <sheetName val="2002하반기노임기준"/>
      <sheetName val="조명시설"/>
      <sheetName val="건축2"/>
      <sheetName val="식재인부"/>
      <sheetName val="청주(철골발주의뢰서)"/>
      <sheetName val="정부노임단가"/>
      <sheetName val="노임단가"/>
      <sheetName val="식재수량표"/>
      <sheetName val="일위목록"/>
      <sheetName val="자재단가"/>
      <sheetName val="토목주소"/>
      <sheetName val="납부서"/>
      <sheetName val="식재가격"/>
      <sheetName val="식재총괄"/>
      <sheetName val="Y-WORK"/>
      <sheetName val="노무비단가"/>
      <sheetName val="일위대가(건축)"/>
      <sheetName val="세부내역"/>
      <sheetName val="토사(PE)"/>
      <sheetName val="계약내역(2)"/>
      <sheetName val="단가비교표"/>
      <sheetName val="예산서"/>
      <sheetName val="상반기손익차2총괄"/>
      <sheetName val="원가"/>
      <sheetName val="#REF"/>
      <sheetName val="예산명세서"/>
      <sheetName val="설계명세서"/>
      <sheetName val="자료입력"/>
      <sheetName val="䴝괄내역"/>
      <sheetName val="입력자료"/>
      <sheetName val="원가계산"/>
      <sheetName val="단가(자재)"/>
      <sheetName val="단가(노임)"/>
      <sheetName val="기초목록"/>
      <sheetName val="COVER"/>
      <sheetName val="#3_일위대가목록"/>
      <sheetName val="목록"/>
      <sheetName val="Sheet6"/>
      <sheetName val="노임"/>
      <sheetName val="설명서 "/>
      <sheetName val="토목"/>
      <sheetName val="단가비교표_공통1"/>
      <sheetName val="부대내역"/>
      <sheetName val="45,46"/>
      <sheetName val="상계견적"/>
      <sheetName val="기본단가표"/>
      <sheetName val="구체"/>
      <sheetName val="좌측날개벽"/>
      <sheetName val="우측날개벽"/>
      <sheetName val="산출내역서집계표"/>
      <sheetName val="01AC"/>
      <sheetName val="Sheet1 (2)"/>
      <sheetName val="수단"/>
      <sheetName val="조명일위"/>
      <sheetName val="내역서1999.8최종"/>
      <sheetName val="공문"/>
      <sheetName val="갑지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수목단가"/>
      <sheetName val="시설수량표"/>
      <sheetName val="4차원가계산서"/>
      <sheetName val="기자재수량"/>
      <sheetName val="공사개요"/>
      <sheetName val="일위대가목차"/>
      <sheetName val="수량집계"/>
      <sheetName val="DATE"/>
      <sheetName val="DATA"/>
      <sheetName val="전기"/>
      <sheetName val="대창(함평)"/>
      <sheetName val="대창(장성)"/>
      <sheetName val="대창(함평)-창열"/>
      <sheetName val="확약서"/>
      <sheetName val="터파기및재료"/>
      <sheetName val="수목표준대가"/>
      <sheetName val="JUCKEYK"/>
      <sheetName val="중기"/>
      <sheetName val="mcc일위대가"/>
      <sheetName val="MOTOR"/>
      <sheetName val="철거산출근거"/>
      <sheetName val="공량산출서"/>
      <sheetName val="실행예산"/>
      <sheetName val="산출근거#2-3"/>
      <sheetName val="총공사내역서"/>
      <sheetName val="공조기"/>
      <sheetName val="발주내역"/>
      <sheetName val="마감LIST-1"/>
      <sheetName val="공사"/>
      <sheetName val="Sheet2"/>
      <sheetName val="의왕내역"/>
      <sheetName val="정산내역서"/>
      <sheetName val="명세서"/>
      <sheetName val="해평견적"/>
      <sheetName val="unit 4"/>
      <sheetName val="견적공통"/>
      <sheetName val="시설물일위"/>
      <sheetName val="실행기고및 투입현황(총괄)"/>
      <sheetName val="2000,9월 일위"/>
      <sheetName val="6호기"/>
      <sheetName val="2000년1차"/>
      <sheetName val="내역서(전기)"/>
      <sheetName val="2000전체분"/>
      <sheetName val="COST"/>
      <sheetName val="유리"/>
      <sheetName val="단가일람"/>
      <sheetName val="단가일람 (2)"/>
      <sheetName val="ES조서출력하기"/>
      <sheetName val="#2_일위대가목록"/>
      <sheetName val="입찰안"/>
      <sheetName val="판매시설"/>
      <sheetName val="신공항A-9(원가수정)"/>
      <sheetName val="수량산출"/>
      <sheetName val="건축내역서"/>
      <sheetName val="설비내역서"/>
      <sheetName val="전기내역서"/>
      <sheetName val="인제내역"/>
      <sheetName val="일위대가(가설)"/>
      <sheetName val="분전반계산서(석관)"/>
      <sheetName val="맨홀수량"/>
      <sheetName val="기초일위"/>
      <sheetName val="시설일위"/>
      <sheetName val="식재일위"/>
      <sheetName val="단가조사"/>
      <sheetName val="연결임시"/>
      <sheetName val="간접비계산"/>
      <sheetName val="소일위대가코드표"/>
      <sheetName val="을지"/>
      <sheetName val="이토변실(A3-LINE)"/>
      <sheetName val="역T형교대(말뚝기초)"/>
      <sheetName val="총 원가계산"/>
      <sheetName val="공정표"/>
      <sheetName val="해외(원화)"/>
      <sheetName val="건축"/>
      <sheetName val="입찰보고"/>
      <sheetName val="건축공사"/>
      <sheetName val="횡배수관집현황(2공구)"/>
      <sheetName val="바닥판"/>
      <sheetName val="입력DATA"/>
      <sheetName val="교통대책내역"/>
      <sheetName val="연동내역"/>
      <sheetName val="노임,재료비"/>
      <sheetName val="구리토평1전기"/>
      <sheetName val="수량산출(음암)"/>
      <sheetName val="원가집계"/>
      <sheetName val="70%"/>
      <sheetName val="조명율표"/>
      <sheetName val="단위단가"/>
      <sheetName val="시운전연료비"/>
      <sheetName val="원가계산서 "/>
      <sheetName val="파일의이용"/>
      <sheetName val="2.토목공사"/>
      <sheetName val="H-PILE수량집계"/>
      <sheetName val="오동"/>
      <sheetName val="대조"/>
      <sheetName val="나한"/>
      <sheetName val="주beam"/>
      <sheetName val="아파트"/>
      <sheetName val="물가시세"/>
      <sheetName val="재료비"/>
      <sheetName val="일반부표"/>
      <sheetName val="일위대가 "/>
      <sheetName val="소방"/>
      <sheetName val="거래처등록"/>
      <sheetName val="00000"/>
      <sheetName val="영창26"/>
      <sheetName val="기초자료"/>
      <sheetName val="정공공사"/>
      <sheetName val="Sheet4"/>
      <sheetName val="대비2"/>
      <sheetName val="남대문빌딩"/>
      <sheetName val="주소록"/>
      <sheetName val="결재갑지"/>
      <sheetName val="제경비"/>
      <sheetName val="22단가"/>
      <sheetName val="22산출"/>
      <sheetName val="별표 "/>
      <sheetName val="수간보호"/>
      <sheetName val="기안"/>
      <sheetName val="설계내역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Total"/>
      <sheetName val="남양주댠가표"/>
      <sheetName val="D"/>
      <sheetName val="금액"/>
      <sheetName val="유림총괄"/>
      <sheetName val="차수"/>
      <sheetName val="교각1"/>
      <sheetName val="말뚝지지력산정"/>
      <sheetName val="실행,원가 최종예상"/>
      <sheetName val="합의경상"/>
      <sheetName val="2단지내역서"/>
      <sheetName val="A2"/>
      <sheetName val="요율"/>
      <sheetName val="1단계"/>
      <sheetName val="방수"/>
      <sheetName val="내역서 제출"/>
      <sheetName val="101동"/>
      <sheetName val="101동 "/>
      <sheetName val="구조"/>
      <sheetName val="총괄내역서(설계)"/>
      <sheetName val="DAN"/>
      <sheetName val="백호우계수"/>
      <sheetName val="49단가"/>
      <sheetName val="HVAC"/>
      <sheetName val="시중노임"/>
      <sheetName val="Customer Databas"/>
      <sheetName val="인건비"/>
      <sheetName val="철근량"/>
      <sheetName val="덕전리"/>
      <sheetName val="단가대비표"/>
      <sheetName val="시설물기초"/>
      <sheetName val="산근"/>
      <sheetName val="APT"/>
      <sheetName val="주공 갑지"/>
      <sheetName val="제경비율"/>
      <sheetName val="단가조사서"/>
      <sheetName val="설계명세"/>
      <sheetName val="자재"/>
      <sheetName val="EACT10"/>
      <sheetName val="복지관 풍화암-평면"/>
      <sheetName val="변수값"/>
      <sheetName val="중기상차"/>
      <sheetName val="AS복구"/>
      <sheetName val="중기터파기"/>
      <sheetName val="경상직원"/>
      <sheetName val="일위대가표_(2)"/>
      <sheetName val="공종별_집계표"/>
      <sheetName val="도급내역서_표지"/>
      <sheetName val="RING_WALL"/>
      <sheetName val="s.v"/>
      <sheetName val="기계경비(시간당)"/>
      <sheetName val="램머"/>
      <sheetName val="건축공사 집계표"/>
      <sheetName val="골조"/>
      <sheetName val="archi(본사)"/>
      <sheetName val="대목"/>
      <sheetName val="견적서"/>
      <sheetName val="재료값"/>
      <sheetName val="산출내역서"/>
      <sheetName val="기흥하도용"/>
      <sheetName val="데리네이타현황"/>
      <sheetName val="중기 부표"/>
      <sheetName val="토목변경"/>
      <sheetName val="단중표"/>
      <sheetName val="설계예산서"/>
      <sheetName val="예산내역서"/>
      <sheetName val="총계"/>
      <sheetName val="WORK"/>
      <sheetName val="48산출"/>
      <sheetName val="산출2-기기동력"/>
      <sheetName val="9-1차이내역"/>
      <sheetName val="설계기준"/>
      <sheetName val="내역1"/>
      <sheetName val="도급"/>
      <sheetName val="AS포장복구 "/>
      <sheetName val="원가계산서(남측)"/>
      <sheetName val="직노"/>
      <sheetName val="조건입력"/>
      <sheetName val="조건입력(2)"/>
      <sheetName val="장비선정"/>
      <sheetName val="8.수량산출 (2)"/>
      <sheetName val="c_balju"/>
      <sheetName val="변압기 및 발전기 용량"/>
      <sheetName val="대공종"/>
      <sheetName val="프랜트면허"/>
      <sheetName val="노무비"/>
      <sheetName val="간접"/>
      <sheetName val="AV시스템"/>
      <sheetName val="평가데이터"/>
      <sheetName val="단가(1)"/>
      <sheetName val="원가서"/>
      <sheetName val="일반수량총괄집계"/>
      <sheetName val="개소별수량산출"/>
      <sheetName val="을"/>
      <sheetName val="FORM-0"/>
      <sheetName val="기본일위"/>
      <sheetName val="대치판정"/>
      <sheetName val="밸브설치"/>
      <sheetName val="용수량(생활용수)"/>
      <sheetName val="조건"/>
      <sheetName val="안전시설"/>
      <sheetName val="수주현황2월"/>
      <sheetName val="Sheet1_(2)"/>
      <sheetName val="설명서_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내역서1999_8최종"/>
      <sheetName val="실행기고및_투입현황(총괄)"/>
      <sheetName val="2000,9월_일위"/>
      <sheetName val="unit_4"/>
      <sheetName val="단가일람_(2)"/>
      <sheetName val="총_원가계산"/>
      <sheetName val="원가계산서_"/>
      <sheetName val="2_토목공사"/>
      <sheetName val="일위대가_"/>
      <sheetName val="별표_"/>
      <sheetName val="현장관리비"/>
      <sheetName val="단가대비표 (2)"/>
      <sheetName val="송전재료비"/>
      <sheetName val="견적단가"/>
      <sheetName val="2.대외공문"/>
      <sheetName val="집계"/>
      <sheetName val="매입세율"/>
      <sheetName val="대비"/>
      <sheetName val="약품공급2"/>
      <sheetName val="옥외부분합"/>
      <sheetName val="b_babun (2)"/>
      <sheetName val="직공비"/>
      <sheetName val="1차 내역서"/>
      <sheetName val="건축설비"/>
      <sheetName val="토공(우물통,기타) "/>
      <sheetName val="변경내역서간지"/>
      <sheetName val="단가대비표 (3)"/>
      <sheetName val="공사착공계"/>
      <sheetName val="견적1"/>
      <sheetName val="적용기준"/>
      <sheetName val="입력"/>
      <sheetName val="공통단가"/>
      <sheetName val="운반비"/>
      <sheetName val="2000양배"/>
      <sheetName val="기본입력"/>
      <sheetName val="인수공규격"/>
      <sheetName val="1.설계조건"/>
      <sheetName val="잡비계산"/>
      <sheetName val="FB25JN"/>
      <sheetName val="공사비산출내역"/>
      <sheetName val="수량산출서-2"/>
      <sheetName val="내역(원안-대안)"/>
      <sheetName val="사급자재"/>
      <sheetName val="견적대비표"/>
      <sheetName val="가정조건"/>
      <sheetName val="4.전기"/>
      <sheetName val="단가집"/>
      <sheetName val="전체내역"/>
      <sheetName val="2000노임기준"/>
      <sheetName val="코드"/>
      <sheetName val="I一般比"/>
      <sheetName val="시중노임단가"/>
      <sheetName val="BSD (2)"/>
      <sheetName val="석축산출서"/>
      <sheetName val="배수내역"/>
      <sheetName val="일위"/>
      <sheetName val="차액보증"/>
      <sheetName val="단양 00 아파트-세부내역"/>
      <sheetName val="토목수량(공정)"/>
      <sheetName val="AL공사(원)"/>
      <sheetName val="설계가"/>
      <sheetName val="본실행경비"/>
      <sheetName val="노임이"/>
      <sheetName val="표지 (2)"/>
      <sheetName val="주배관TYPE현황"/>
      <sheetName val="냉천부속동"/>
      <sheetName val="9GNG운반"/>
      <sheetName val="예정(3)"/>
      <sheetName val="코드표"/>
      <sheetName val="소화배관"/>
      <sheetName val="공조배관"/>
      <sheetName val="갑  지"/>
      <sheetName val="PIPE(UG)내역"/>
      <sheetName val="단가기준"/>
      <sheetName val="상하차비용(기계상차)"/>
      <sheetName val="N賃率-職"/>
      <sheetName val="총 괄 표"/>
      <sheetName val="NEYOK"/>
      <sheetName val="36단가"/>
      <sheetName val="토목내역서"/>
      <sheetName val="견"/>
      <sheetName val="보할공정"/>
      <sheetName val="삭제금지단가"/>
      <sheetName val="21301동"/>
      <sheetName val="내역서적용수량"/>
      <sheetName val="값"/>
      <sheetName val="시험장S자로가로등공사"/>
      <sheetName val="식재일위대가"/>
      <sheetName val="갑지(추정)"/>
      <sheetName val="설계서(동안동)"/>
      <sheetName val="Baby일위대가"/>
      <sheetName val="운반공사"/>
      <sheetName val="48단가"/>
      <sheetName val="금액내역서"/>
      <sheetName val="공사비"/>
      <sheetName val="견적(100%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제목 (3)"/>
      <sheetName val="제목 (2)"/>
      <sheetName val="제목"/>
      <sheetName val="내역서"/>
      <sheetName val="내역서 (2)"/>
      <sheetName val="내역서 (3)"/>
      <sheetName val="총괄내역단가"/>
      <sheetName val="수목데이타 "/>
      <sheetName val="갑지"/>
      <sheetName val="집계표"/>
      <sheetName val="내역단가"/>
      <sheetName val="일위단가"/>
      <sheetName val="을"/>
      <sheetName val="남대문빌딩"/>
      <sheetName val="전기"/>
      <sheetName val="내역서1999.8최종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무비 산출근거"/>
      <sheetName val="노무비 산출근거-조명"/>
      <sheetName val="일위대가목록"/>
      <sheetName val="Y-WORK"/>
      <sheetName val="직재"/>
      <sheetName val="정부노임단가"/>
      <sheetName val="변압기 및 발전기 용량"/>
      <sheetName val="노임단가"/>
      <sheetName val="단가조사"/>
      <sheetName val="DATA"/>
      <sheetName val="데이타"/>
      <sheetName val="견적서"/>
      <sheetName val="N賃率-職"/>
      <sheetName val="전기일위목록"/>
      <sheetName val="단가산출"/>
      <sheetName val="요율"/>
      <sheetName val="내역서"/>
      <sheetName val="I一般比"/>
      <sheetName val="설직재-1"/>
      <sheetName val="예산명세서"/>
      <sheetName val="설계명세서"/>
      <sheetName val="자료입력"/>
      <sheetName val="인건비"/>
      <sheetName val="성빈센트-산출"/>
      <sheetName val="수량산출"/>
      <sheetName val="내역단가"/>
      <sheetName val="일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 "/>
      <sheetName val="00-원가계산서(전기공사)"/>
      <sheetName val="01-원가계산서"/>
      <sheetName val="설계예산서"/>
      <sheetName val="공사원가계산서"/>
      <sheetName val="(관급)내역서집계"/>
      <sheetName val="내역서집계"/>
      <sheetName val="내역서"/>
      <sheetName val="일위목록"/>
      <sheetName val="일위대가표"/>
      <sheetName val="산출근거1.2"/>
      <sheetName val="가로등 산출기초"/>
      <sheetName val="건설장비기초"/>
      <sheetName val="건설장비기초단가"/>
      <sheetName val="대관수수료"/>
      <sheetName val="인원산출서"/>
      <sheetName val="산출집계표"/>
      <sheetName val="1.전력인입"/>
      <sheetName val="2.수변전"/>
      <sheetName val="3.TRAY&amp;DUCT"/>
      <sheetName val="4.외등"/>
      <sheetName val="5.건물접지"/>
      <sheetName val="6.간선"/>
      <sheetName val="7.냉난방"/>
      <sheetName val="8.전열"/>
      <sheetName val="9.전등"/>
      <sheetName val="9.피뢰접지"/>
      <sheetName val="단가대비표"/>
      <sheetName val="노임단가"/>
    </sheetNames>
    <sheetDataSet>
      <sheetData sheetId="0"/>
      <sheetData sheetId="1"/>
      <sheetData sheetId="2"/>
      <sheetData sheetId="3"/>
      <sheetData sheetId="4"/>
      <sheetData sheetId="5"/>
      <sheetData sheetId="6">
        <row r="16">
          <cell r="F16">
            <v>535171121</v>
          </cell>
          <cell r="G16">
            <v>453059122</v>
          </cell>
          <cell r="H16">
            <v>176854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62">
          <cell r="G62">
            <v>19120000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원가계산서- x"/>
      <sheetName val="설계예산서"/>
      <sheetName val="공사원가계산서"/>
      <sheetName val="집계표-x"/>
      <sheetName val="내역서집계(전기+기계)"/>
      <sheetName val="내역서집계"/>
      <sheetName val="내역서"/>
      <sheetName val="인원산출서"/>
      <sheetName val="산출집계표"/>
      <sheetName val="1.소방"/>
      <sheetName val="2.자탐"/>
      <sheetName val="3.유도등"/>
      <sheetName val="4.비상방송"/>
      <sheetName val="5.비상조명"/>
      <sheetName val="단가대비표"/>
      <sheetName val="노임단가"/>
    </sheetNames>
    <sheetDataSet>
      <sheetData sheetId="0"/>
      <sheetData sheetId="1"/>
      <sheetData sheetId="2"/>
      <sheetData sheetId="3"/>
      <sheetData sheetId="4"/>
      <sheetData sheetId="5">
        <row r="16">
          <cell r="H16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3"/>
  <sheetViews>
    <sheetView view="pageBreakPreview" zoomScaleSheetLayoutView="100" workbookViewId="0">
      <selection activeCell="A3" sqref="A3:C3"/>
    </sheetView>
  </sheetViews>
  <sheetFormatPr defaultRowHeight="18.95" customHeight="1"/>
  <cols>
    <col min="1" max="2" width="4.44140625" style="309" customWidth="1"/>
    <col min="3" max="3" width="23" style="309" customWidth="1"/>
    <col min="4" max="4" width="22" style="309" customWidth="1"/>
    <col min="5" max="5" width="26.5546875" style="309" customWidth="1"/>
    <col min="6" max="6" width="38.5546875" style="309" customWidth="1"/>
    <col min="7" max="7" width="16.5546875" style="309" customWidth="1"/>
    <col min="8" max="8" width="8.88671875" style="276"/>
    <col min="9" max="9" width="11.5546875" style="276" bestFit="1" customWidth="1"/>
    <col min="10" max="16384" width="8.88671875" style="309"/>
  </cols>
  <sheetData>
    <row r="1" spans="1:7" s="276" customFormat="1" ht="35.1" customHeight="1">
      <c r="A1" s="427" t="s">
        <v>262</v>
      </c>
      <c r="B1" s="427"/>
      <c r="C1" s="427"/>
      <c r="D1" s="427"/>
      <c r="E1" s="427"/>
      <c r="F1" s="427"/>
      <c r="G1" s="427"/>
    </row>
    <row r="2" spans="1:7" s="276" customFormat="1" ht="18.95" customHeight="1" thickBot="1">
      <c r="A2" s="428" t="s">
        <v>308</v>
      </c>
      <c r="B2" s="428"/>
      <c r="C2" s="428"/>
      <c r="D2" s="428"/>
      <c r="E2" s="428"/>
      <c r="F2" s="277" t="str">
        <f>"일금 "&amp;NUMBERSTRING(G2,1)&amp;" 원정"</f>
        <v>일금 일십오억일천이백사십이만육천육십일 원정</v>
      </c>
      <c r="G2" s="278">
        <f>D33</f>
        <v>1512426061</v>
      </c>
    </row>
    <row r="3" spans="1:7" s="276" customFormat="1" ht="18.95" customHeight="1" thickTop="1">
      <c r="A3" s="429" t="s">
        <v>263</v>
      </c>
      <c r="B3" s="430"/>
      <c r="C3" s="430"/>
      <c r="D3" s="279" t="s">
        <v>264</v>
      </c>
      <c r="E3" s="431" t="s">
        <v>265</v>
      </c>
      <c r="F3" s="430"/>
      <c r="G3" s="280" t="s">
        <v>266</v>
      </c>
    </row>
    <row r="4" spans="1:7" s="276" customFormat="1" ht="18.95" customHeight="1">
      <c r="A4" s="432" t="s">
        <v>267</v>
      </c>
      <c r="B4" s="435" t="s">
        <v>268</v>
      </c>
      <c r="C4" s="281" t="s">
        <v>269</v>
      </c>
      <c r="D4" s="282">
        <f>[14]내역서집계!F16</f>
        <v>535171121</v>
      </c>
      <c r="E4" s="283"/>
      <c r="F4" s="284"/>
      <c r="G4" s="285"/>
    </row>
    <row r="5" spans="1:7" s="276" customFormat="1" ht="18.95" customHeight="1">
      <c r="A5" s="433"/>
      <c r="B5" s="436"/>
      <c r="C5" s="286" t="s">
        <v>270</v>
      </c>
      <c r="D5" s="287"/>
      <c r="E5" s="288"/>
      <c r="F5" s="289"/>
      <c r="G5" s="290"/>
    </row>
    <row r="6" spans="1:7" s="276" customFormat="1" ht="18.95" customHeight="1">
      <c r="A6" s="433"/>
      <c r="B6" s="436"/>
      <c r="C6" s="286" t="s">
        <v>271</v>
      </c>
      <c r="D6" s="287"/>
      <c r="E6" s="288"/>
      <c r="F6" s="289"/>
      <c r="G6" s="290"/>
    </row>
    <row r="7" spans="1:7" s="276" customFormat="1" ht="18.95" customHeight="1">
      <c r="A7" s="433"/>
      <c r="B7" s="437"/>
      <c r="C7" s="291" t="s">
        <v>272</v>
      </c>
      <c r="D7" s="292">
        <f>SUM(D4:D6)</f>
        <v>535171121</v>
      </c>
      <c r="E7" s="293"/>
      <c r="F7" s="294"/>
      <c r="G7" s="295"/>
    </row>
    <row r="8" spans="1:7" s="276" customFormat="1" ht="18.95" customHeight="1">
      <c r="A8" s="433"/>
      <c r="B8" s="435" t="s">
        <v>273</v>
      </c>
      <c r="C8" s="281" t="s">
        <v>274</v>
      </c>
      <c r="D8" s="282">
        <f>[14]내역서집계!G16</f>
        <v>453059122</v>
      </c>
      <c r="E8" s="283"/>
      <c r="F8" s="284"/>
      <c r="G8" s="285"/>
    </row>
    <row r="9" spans="1:7" s="276" customFormat="1" ht="18.95" customHeight="1">
      <c r="A9" s="433"/>
      <c r="B9" s="436"/>
      <c r="C9" s="296" t="s">
        <v>275</v>
      </c>
      <c r="D9" s="297">
        <f>ROUNDDOWN(D8*F9,0)</f>
        <v>35791670</v>
      </c>
      <c r="E9" s="298" t="s">
        <v>276</v>
      </c>
      <c r="F9" s="299">
        <v>7.9000000000000001E-2</v>
      </c>
      <c r="G9" s="300"/>
    </row>
    <row r="10" spans="1:7" s="276" customFormat="1" ht="18.95" customHeight="1">
      <c r="A10" s="433"/>
      <c r="B10" s="437"/>
      <c r="C10" s="301" t="s">
        <v>277</v>
      </c>
      <c r="D10" s="302">
        <f>SUM(D8:D9)</f>
        <v>488850792</v>
      </c>
      <c r="E10" s="303"/>
      <c r="F10" s="304"/>
      <c r="G10" s="305"/>
    </row>
    <row r="11" spans="1:7" s="276" customFormat="1" ht="18.95" customHeight="1">
      <c r="A11" s="433"/>
      <c r="B11" s="435" t="s">
        <v>278</v>
      </c>
      <c r="C11" s="281" t="s">
        <v>279</v>
      </c>
      <c r="D11" s="306">
        <v>0</v>
      </c>
      <c r="E11" s="283"/>
      <c r="F11" s="284"/>
      <c r="G11" s="285"/>
    </row>
    <row r="12" spans="1:7" s="276" customFormat="1" ht="18.95" customHeight="1">
      <c r="A12" s="433"/>
      <c r="B12" s="438"/>
      <c r="C12" s="286" t="s">
        <v>280</v>
      </c>
      <c r="D12" s="307">
        <f>[14]내역서집계!H16</f>
        <v>176854</v>
      </c>
      <c r="E12" s="288"/>
      <c r="F12" s="289"/>
      <c r="G12" s="290"/>
    </row>
    <row r="13" spans="1:7" s="276" customFormat="1" ht="18.95" customHeight="1">
      <c r="A13" s="433"/>
      <c r="B13" s="438"/>
      <c r="C13" s="286" t="s">
        <v>281</v>
      </c>
      <c r="D13" s="287">
        <v>0</v>
      </c>
      <c r="E13" s="288"/>
      <c r="F13" s="289"/>
      <c r="G13" s="290"/>
    </row>
    <row r="14" spans="1:7" s="276" customFormat="1" ht="18.95" customHeight="1">
      <c r="A14" s="433"/>
      <c r="B14" s="438"/>
      <c r="C14" s="286" t="s">
        <v>282</v>
      </c>
      <c r="D14" s="287">
        <f>ROUNDDOWN(D10*F14,0)</f>
        <v>19798457</v>
      </c>
      <c r="E14" s="288" t="s">
        <v>283</v>
      </c>
      <c r="F14" s="289">
        <v>4.0500000000000001E-2</v>
      </c>
      <c r="G14" s="290"/>
    </row>
    <row r="15" spans="1:7" s="276" customFormat="1" ht="18.95" customHeight="1">
      <c r="A15" s="433"/>
      <c r="B15" s="438"/>
      <c r="C15" s="286" t="s">
        <v>284</v>
      </c>
      <c r="D15" s="287">
        <f>ROUNDDOWN(D10*F15,0)</f>
        <v>4253001</v>
      </c>
      <c r="E15" s="288" t="s">
        <v>283</v>
      </c>
      <c r="F15" s="289">
        <v>8.6999999999999994E-3</v>
      </c>
      <c r="G15" s="290"/>
    </row>
    <row r="16" spans="1:7" s="276" customFormat="1" ht="18.95" customHeight="1">
      <c r="A16" s="433"/>
      <c r="B16" s="438"/>
      <c r="C16" s="286" t="s">
        <v>285</v>
      </c>
      <c r="D16" s="287">
        <f>ROUNDDOWN(D8*F16,0)</f>
        <v>14135444</v>
      </c>
      <c r="E16" s="288" t="s">
        <v>276</v>
      </c>
      <c r="F16" s="308">
        <v>3.1199999999999999E-2</v>
      </c>
      <c r="G16" s="290"/>
    </row>
    <row r="17" spans="1:9" ht="18.95" customHeight="1">
      <c r="A17" s="433"/>
      <c r="B17" s="438"/>
      <c r="C17" s="286" t="s">
        <v>286</v>
      </c>
      <c r="D17" s="287">
        <f>ROUNDDOWN(D8*F17,0)</f>
        <v>20387660</v>
      </c>
      <c r="E17" s="288" t="s">
        <v>276</v>
      </c>
      <c r="F17" s="308">
        <v>4.4999999999999998E-2</v>
      </c>
      <c r="G17" s="290"/>
    </row>
    <row r="18" spans="1:9" ht="18.95" customHeight="1">
      <c r="A18" s="433"/>
      <c r="B18" s="438"/>
      <c r="C18" s="286" t="s">
        <v>287</v>
      </c>
      <c r="D18" s="287">
        <f>ROUNDDOWN(D16*F18,0)</f>
        <v>1043195</v>
      </c>
      <c r="E18" s="288" t="s">
        <v>288</v>
      </c>
      <c r="F18" s="308">
        <v>7.3800000000000004E-2</v>
      </c>
      <c r="G18" s="290"/>
    </row>
    <row r="19" spans="1:9" ht="18.95" customHeight="1">
      <c r="A19" s="433"/>
      <c r="B19" s="438"/>
      <c r="C19" s="286" t="s">
        <v>289</v>
      </c>
      <c r="D19" s="287">
        <f>ROUNDDOWN(D8*F19,0)</f>
        <v>10420359</v>
      </c>
      <c r="E19" s="288" t="s">
        <v>276</v>
      </c>
      <c r="F19" s="308">
        <v>2.3E-2</v>
      </c>
      <c r="G19" s="290"/>
    </row>
    <row r="20" spans="1:9" ht="18.95" customHeight="1">
      <c r="A20" s="433"/>
      <c r="B20" s="438"/>
      <c r="C20" s="286" t="s">
        <v>290</v>
      </c>
      <c r="D20" s="287">
        <f>TRUNC((D7+D8)*F20, 0)</f>
        <v>28955146</v>
      </c>
      <c r="E20" s="288" t="s">
        <v>291</v>
      </c>
      <c r="F20" s="310">
        <v>2.93E-2</v>
      </c>
      <c r="G20" s="290"/>
    </row>
    <row r="21" spans="1:9" ht="18.95" customHeight="1">
      <c r="A21" s="433"/>
      <c r="B21" s="438"/>
      <c r="C21" s="286" t="s">
        <v>292</v>
      </c>
      <c r="D21" s="287">
        <f>ROUNDDOWN((D7+D10)*F21,0)</f>
        <v>56321205</v>
      </c>
      <c r="E21" s="288" t="s">
        <v>293</v>
      </c>
      <c r="F21" s="311">
        <v>5.5E-2</v>
      </c>
      <c r="G21" s="290"/>
    </row>
    <row r="22" spans="1:9" ht="18.95" customHeight="1">
      <c r="A22" s="433"/>
      <c r="B22" s="438"/>
      <c r="C22" s="286"/>
      <c r="D22" s="287"/>
      <c r="E22" s="288"/>
      <c r="F22" s="312"/>
      <c r="G22" s="290"/>
    </row>
    <row r="23" spans="1:9" ht="18.95" customHeight="1">
      <c r="A23" s="433"/>
      <c r="B23" s="438"/>
      <c r="C23" s="286"/>
      <c r="D23" s="287"/>
      <c r="E23" s="288"/>
      <c r="F23" s="312"/>
      <c r="G23" s="290"/>
    </row>
    <row r="24" spans="1:9" ht="18.95" customHeight="1">
      <c r="A24" s="433"/>
      <c r="B24" s="438"/>
      <c r="C24" s="313"/>
      <c r="D24" s="287"/>
      <c r="E24" s="288"/>
      <c r="F24" s="312"/>
      <c r="G24" s="290"/>
    </row>
    <row r="25" spans="1:9" ht="18.95" customHeight="1">
      <c r="A25" s="434"/>
      <c r="B25" s="439"/>
      <c r="C25" s="291" t="s">
        <v>294</v>
      </c>
      <c r="D25" s="292">
        <f>SUM(D11:D24)</f>
        <v>155491321</v>
      </c>
      <c r="E25" s="293"/>
      <c r="F25" s="314"/>
      <c r="G25" s="295"/>
    </row>
    <row r="26" spans="1:9" ht="18.95" customHeight="1">
      <c r="A26" s="440" t="s">
        <v>195</v>
      </c>
      <c r="B26" s="441"/>
      <c r="C26" s="442"/>
      <c r="D26" s="315">
        <f>ROUNDDOWN((D7+D10+D25),0)+1</f>
        <v>1179513235</v>
      </c>
      <c r="E26" s="316"/>
      <c r="F26" s="317"/>
      <c r="G26" s="318"/>
    </row>
    <row r="27" spans="1:9" ht="18.95" customHeight="1">
      <c r="A27" s="446" t="s">
        <v>295</v>
      </c>
      <c r="B27" s="447"/>
      <c r="C27" s="448"/>
      <c r="D27" s="319">
        <f>ROUNDDOWN(D26*F27,0)</f>
        <v>70770794</v>
      </c>
      <c r="E27" s="283" t="s">
        <v>296</v>
      </c>
      <c r="F27" s="320">
        <v>0.06</v>
      </c>
      <c r="G27" s="285"/>
      <c r="I27" s="321"/>
    </row>
    <row r="28" spans="1:9" ht="18.95" customHeight="1">
      <c r="A28" s="449" t="s">
        <v>297</v>
      </c>
      <c r="B28" s="450"/>
      <c r="C28" s="451"/>
      <c r="D28" s="322">
        <f>ROUNDDOWN((D10+D25+D27)*F28,0)</f>
        <v>107266936</v>
      </c>
      <c r="E28" s="288" t="s">
        <v>298</v>
      </c>
      <c r="F28" s="323">
        <v>0.15</v>
      </c>
      <c r="G28" s="290"/>
      <c r="I28" s="321"/>
    </row>
    <row r="29" spans="1:9" ht="18.95" customHeight="1">
      <c r="A29" s="440" t="s">
        <v>299</v>
      </c>
      <c r="B29" s="441"/>
      <c r="C29" s="442"/>
      <c r="D29" s="315">
        <f>SUM(D26:D28)+F29</f>
        <v>1357550965</v>
      </c>
      <c r="E29" s="324" t="s">
        <v>300</v>
      </c>
      <c r="F29" s="325"/>
      <c r="G29" s="326"/>
    </row>
    <row r="30" spans="1:9" ht="18.95" customHeight="1">
      <c r="A30" s="440" t="s">
        <v>301</v>
      </c>
      <c r="B30" s="441"/>
      <c r="C30" s="442"/>
      <c r="D30" s="327">
        <f>ROUNDDOWN(D29*F30,0)</f>
        <v>135755096</v>
      </c>
      <c r="E30" s="328" t="s">
        <v>302</v>
      </c>
      <c r="F30" s="329">
        <v>0.1</v>
      </c>
      <c r="G30" s="330"/>
    </row>
    <row r="31" spans="1:9" ht="18.95" customHeight="1">
      <c r="A31" s="440" t="s">
        <v>303</v>
      </c>
      <c r="B31" s="441"/>
      <c r="C31" s="442"/>
      <c r="D31" s="331">
        <f>ROUNDDOWN((D29+D30),0)</f>
        <v>1493306061</v>
      </c>
      <c r="E31" s="328"/>
      <c r="F31" s="332" t="s">
        <v>304</v>
      </c>
      <c r="G31" s="330"/>
    </row>
    <row r="32" spans="1:9" ht="18.95" customHeight="1">
      <c r="A32" s="440" t="s">
        <v>305</v>
      </c>
      <c r="B32" s="441"/>
      <c r="C32" s="442"/>
      <c r="D32" s="333">
        <f>[14]대관수수료!G62</f>
        <v>19120000</v>
      </c>
      <c r="E32" s="334" t="s">
        <v>306</v>
      </c>
      <c r="F32" s="335"/>
      <c r="G32" s="336"/>
    </row>
    <row r="33" spans="1:7" s="276" customFormat="1" ht="18.95" customHeight="1" thickBot="1">
      <c r="A33" s="443" t="s">
        <v>307</v>
      </c>
      <c r="B33" s="444"/>
      <c r="C33" s="445"/>
      <c r="D33" s="337">
        <f>SUM(D31:D32)</f>
        <v>1512426061</v>
      </c>
      <c r="E33" s="338"/>
      <c r="F33" s="339"/>
      <c r="G33" s="340"/>
    </row>
  </sheetData>
  <mergeCells count="16">
    <mergeCell ref="A32:C32"/>
    <mergeCell ref="A33:C33"/>
    <mergeCell ref="A26:C26"/>
    <mergeCell ref="A27:C27"/>
    <mergeCell ref="A28:C28"/>
    <mergeCell ref="A29:C29"/>
    <mergeCell ref="A30:C30"/>
    <mergeCell ref="A31:C31"/>
    <mergeCell ref="A1:G1"/>
    <mergeCell ref="A2:E2"/>
    <mergeCell ref="A3:C3"/>
    <mergeCell ref="E3:F3"/>
    <mergeCell ref="A4:A25"/>
    <mergeCell ref="B4:B7"/>
    <mergeCell ref="B8:B10"/>
    <mergeCell ref="B11:B25"/>
  </mergeCells>
  <phoneticPr fontId="18" type="noConversion"/>
  <printOptions horizontalCentered="1"/>
  <pageMargins left="0.47244094488188981" right="0.39370078740157483" top="0.39370078740157483" bottom="0.39370078740157483" header="0.19685039370078741" footer="0.19685039370078741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Y27"/>
  <sheetViews>
    <sheetView showGridLines="0" showZeros="0" view="pageBreakPreview" zoomScaleNormal="75" zoomScaleSheetLayoutView="100" workbookViewId="0">
      <selection activeCell="X14" sqref="X14:X15"/>
    </sheetView>
  </sheetViews>
  <sheetFormatPr defaultColWidth="4.77734375" defaultRowHeight="20.100000000000001" customHeight="1"/>
  <cols>
    <col min="1" max="1" width="4.77734375" style="43" customWidth="1"/>
    <col min="2" max="2" width="4.77734375" style="45" customWidth="1"/>
    <col min="3" max="3" width="4.5546875" style="45" customWidth="1"/>
    <col min="4" max="5" width="4.5546875" style="43" customWidth="1"/>
    <col min="6" max="14" width="5.77734375" style="43" customWidth="1"/>
    <col min="15" max="15" width="5.77734375" style="49" customWidth="1"/>
    <col min="16" max="18" width="5.77734375" style="43" customWidth="1"/>
    <col min="19" max="19" width="5.77734375" style="47" customWidth="1"/>
    <col min="20" max="21" width="5.77734375" style="43" customWidth="1"/>
    <col min="22" max="22" width="4.77734375" style="43"/>
    <col min="23" max="24" width="11.33203125" style="43" customWidth="1"/>
    <col min="25" max="25" width="5.77734375" style="43" customWidth="1"/>
    <col min="26" max="16384" width="4.77734375" style="43"/>
  </cols>
  <sheetData>
    <row r="1" spans="1:25" s="21" customFormat="1" ht="20.100000000000001" customHeight="1">
      <c r="A1" s="458" t="s">
        <v>171</v>
      </c>
      <c r="B1" s="459"/>
      <c r="C1" s="472" t="s">
        <v>256</v>
      </c>
      <c r="D1" s="473"/>
      <c r="E1" s="452" t="s">
        <v>212</v>
      </c>
      <c r="F1" s="473"/>
      <c r="G1" s="452"/>
      <c r="H1" s="473"/>
      <c r="I1" s="476" t="s">
        <v>213</v>
      </c>
      <c r="J1" s="452"/>
      <c r="K1" s="473"/>
      <c r="L1" s="479" t="s">
        <v>214</v>
      </c>
      <c r="M1" s="482"/>
      <c r="N1" s="483"/>
      <c r="O1" s="482" t="s">
        <v>215</v>
      </c>
      <c r="P1" s="483"/>
      <c r="Q1" s="482"/>
      <c r="R1" s="483"/>
      <c r="S1" s="479" t="s">
        <v>211</v>
      </c>
      <c r="T1" s="452"/>
      <c r="U1" s="453"/>
    </row>
    <row r="2" spans="1:25" s="21" customFormat="1" ht="20.100000000000001" customHeight="1">
      <c r="A2" s="460"/>
      <c r="B2" s="461"/>
      <c r="C2" s="454"/>
      <c r="D2" s="474"/>
      <c r="E2" s="454"/>
      <c r="F2" s="474"/>
      <c r="G2" s="454"/>
      <c r="H2" s="474"/>
      <c r="I2" s="477"/>
      <c r="J2" s="454"/>
      <c r="K2" s="474"/>
      <c r="L2" s="480"/>
      <c r="M2" s="484"/>
      <c r="N2" s="485"/>
      <c r="O2" s="484"/>
      <c r="P2" s="485"/>
      <c r="Q2" s="484"/>
      <c r="R2" s="485"/>
      <c r="S2" s="480"/>
      <c r="T2" s="454"/>
      <c r="U2" s="455"/>
    </row>
    <row r="3" spans="1:25" s="21" customFormat="1" ht="20.100000000000001" customHeight="1">
      <c r="A3" s="460"/>
      <c r="B3" s="461"/>
      <c r="C3" s="454"/>
      <c r="D3" s="474"/>
      <c r="E3" s="454"/>
      <c r="F3" s="474"/>
      <c r="G3" s="454"/>
      <c r="H3" s="474"/>
      <c r="I3" s="477"/>
      <c r="J3" s="454"/>
      <c r="K3" s="474"/>
      <c r="L3" s="480"/>
      <c r="M3" s="484"/>
      <c r="N3" s="485"/>
      <c r="O3" s="484"/>
      <c r="P3" s="485"/>
      <c r="Q3" s="484"/>
      <c r="R3" s="485"/>
      <c r="S3" s="480"/>
      <c r="T3" s="454"/>
      <c r="U3" s="455"/>
    </row>
    <row r="4" spans="1:25" s="21" customFormat="1" ht="20.100000000000001" customHeight="1">
      <c r="A4" s="462"/>
      <c r="B4" s="463"/>
      <c r="C4" s="456"/>
      <c r="D4" s="475"/>
      <c r="E4" s="456"/>
      <c r="F4" s="475"/>
      <c r="G4" s="456"/>
      <c r="H4" s="475"/>
      <c r="I4" s="478"/>
      <c r="J4" s="456"/>
      <c r="K4" s="475"/>
      <c r="L4" s="481"/>
      <c r="M4" s="486"/>
      <c r="N4" s="487"/>
      <c r="O4" s="486"/>
      <c r="P4" s="487"/>
      <c r="Q4" s="486"/>
      <c r="R4" s="487"/>
      <c r="S4" s="481"/>
      <c r="T4" s="456"/>
      <c r="U4" s="457"/>
    </row>
    <row r="5" spans="1:25" s="22" customFormat="1" ht="39.950000000000003" customHeight="1">
      <c r="A5" s="108" t="s">
        <v>255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10"/>
      <c r="P5" s="109"/>
      <c r="Q5" s="109"/>
      <c r="R5" s="111"/>
      <c r="S5" s="112"/>
      <c r="T5" s="111"/>
      <c r="U5" s="124"/>
    </row>
    <row r="6" spans="1:25" s="22" customFormat="1" ht="39.950000000000003" customHeight="1">
      <c r="A6" s="464" t="s">
        <v>309</v>
      </c>
      <c r="B6" s="465"/>
      <c r="C6" s="465"/>
      <c r="D6" s="465"/>
      <c r="E6" s="465"/>
      <c r="F6" s="465"/>
      <c r="G6" s="465"/>
      <c r="H6" s="465"/>
      <c r="I6" s="465"/>
      <c r="J6" s="465"/>
      <c r="K6" s="465"/>
      <c r="L6" s="465"/>
      <c r="M6" s="465"/>
      <c r="N6" s="465"/>
      <c r="O6" s="465"/>
      <c r="P6" s="465"/>
      <c r="Q6" s="465"/>
      <c r="R6" s="465"/>
      <c r="S6" s="465"/>
      <c r="T6" s="465"/>
      <c r="U6" s="466"/>
    </row>
    <row r="7" spans="1:25" s="22" customFormat="1" ht="39.950000000000003" customHeight="1">
      <c r="A7" s="467" t="s">
        <v>118</v>
      </c>
      <c r="B7" s="468"/>
      <c r="C7" s="468"/>
      <c r="D7" s="468"/>
      <c r="E7" s="468"/>
      <c r="F7" s="468"/>
      <c r="G7" s="468"/>
      <c r="H7" s="468"/>
      <c r="I7" s="468"/>
      <c r="J7" s="468"/>
      <c r="K7" s="468"/>
      <c r="L7" s="468"/>
      <c r="M7" s="468"/>
      <c r="N7" s="468"/>
      <c r="O7" s="468"/>
      <c r="P7" s="468"/>
      <c r="Q7" s="468"/>
      <c r="R7" s="468"/>
      <c r="S7" s="468"/>
      <c r="T7" s="468"/>
      <c r="U7" s="469"/>
    </row>
    <row r="8" spans="1:25" s="22" customFormat="1" ht="20.100000000000001" customHeight="1">
      <c r="A8" s="57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9"/>
    </row>
    <row r="9" spans="1:25" s="34" customFormat="1" ht="20.100000000000001" customHeight="1">
      <c r="A9" s="25"/>
      <c r="B9" s="72"/>
      <c r="C9" s="73"/>
      <c r="F9" s="32"/>
      <c r="G9" s="32"/>
      <c r="H9" s="103" t="s">
        <v>116</v>
      </c>
      <c r="I9" s="72"/>
      <c r="J9" s="32"/>
      <c r="K9" s="32"/>
      <c r="L9" s="32"/>
      <c r="M9" s="32"/>
      <c r="N9" s="32"/>
      <c r="O9" s="32"/>
      <c r="P9" s="32"/>
      <c r="Q9" s="33"/>
      <c r="U9" s="35"/>
    </row>
    <row r="10" spans="1:25" s="69" customFormat="1" ht="20.100000000000001" customHeight="1">
      <c r="A10" s="60"/>
      <c r="B10" s="61"/>
      <c r="C10" s="62"/>
      <c r="F10" s="64"/>
      <c r="G10" s="64"/>
      <c r="H10" s="136"/>
      <c r="I10" s="62" t="e">
        <f>'내역 집계(전기)'!B3</f>
        <v>#REF!</v>
      </c>
      <c r="K10" s="122"/>
      <c r="L10" s="123"/>
      <c r="M10" s="123" t="s">
        <v>147</v>
      </c>
      <c r="Q10" s="68"/>
      <c r="S10" s="70"/>
      <c r="U10" s="71"/>
    </row>
    <row r="11" spans="1:25" s="69" customFormat="1" ht="20.100000000000001" customHeight="1">
      <c r="A11" s="60"/>
      <c r="B11" s="61"/>
      <c r="C11" s="62"/>
      <c r="F11" s="64"/>
      <c r="G11" s="64"/>
      <c r="H11" s="62"/>
      <c r="I11" s="62" t="str">
        <f>'내역 집계(전기)'!B4</f>
        <v>2. 자동화재탐지 설비공사</v>
      </c>
      <c r="K11" s="122"/>
      <c r="L11" s="123"/>
      <c r="M11" s="123" t="s">
        <v>147</v>
      </c>
      <c r="N11" s="123"/>
      <c r="O11" s="123"/>
      <c r="P11" s="123"/>
      <c r="Q11" s="68"/>
      <c r="S11" s="70"/>
      <c r="U11" s="71"/>
    </row>
    <row r="12" spans="1:25" s="69" customFormat="1" ht="20.100000000000001" customHeight="1">
      <c r="A12" s="60"/>
      <c r="B12" s="61"/>
      <c r="C12" s="62"/>
      <c r="F12" s="64"/>
      <c r="G12" s="64"/>
      <c r="H12" s="62"/>
      <c r="I12" s="62" t="str">
        <f>'내역 집계(전기)'!B5</f>
        <v>3. 유도등 설비공사</v>
      </c>
      <c r="K12" s="122"/>
      <c r="L12" s="123"/>
      <c r="M12" s="123" t="s">
        <v>147</v>
      </c>
      <c r="N12" s="123"/>
      <c r="O12" s="123"/>
      <c r="P12" s="123"/>
      <c r="Q12" s="68"/>
      <c r="S12" s="70"/>
      <c r="U12" s="71"/>
    </row>
    <row r="13" spans="1:25" s="69" customFormat="1" ht="19.5" customHeight="1">
      <c r="A13" s="60"/>
      <c r="B13" s="61"/>
      <c r="C13" s="62"/>
      <c r="F13" s="64"/>
      <c r="G13" s="64"/>
      <c r="H13" s="62"/>
      <c r="I13" s="62" t="str">
        <f>'내역 집계(전기)'!B6</f>
        <v>4. 비상방송 설비공사</v>
      </c>
      <c r="K13" s="122"/>
      <c r="L13" s="123"/>
      <c r="M13" s="123" t="s">
        <v>147</v>
      </c>
      <c r="N13" s="123"/>
      <c r="O13" s="123"/>
      <c r="P13" s="123"/>
      <c r="Q13" s="68"/>
      <c r="S13" s="70"/>
      <c r="U13" s="71"/>
    </row>
    <row r="14" spans="1:25" s="69" customFormat="1" ht="20.100000000000001" customHeight="1">
      <c r="A14" s="60"/>
      <c r="B14" s="61"/>
      <c r="C14" s="62"/>
      <c r="D14" s="63"/>
      <c r="E14" s="62"/>
      <c r="F14" s="64"/>
      <c r="G14" s="64"/>
      <c r="H14" s="65"/>
      <c r="I14" s="62" t="str">
        <f>'내역 집계(전기)'!B7</f>
        <v>5. 비상조명 설비공사</v>
      </c>
      <c r="J14" s="66"/>
      <c r="K14" s="66"/>
      <c r="L14" s="66"/>
      <c r="M14" s="123" t="s">
        <v>147</v>
      </c>
      <c r="N14" s="66"/>
      <c r="O14" s="67"/>
      <c r="P14" s="67"/>
      <c r="Q14" s="68"/>
      <c r="S14" s="70"/>
      <c r="U14" s="71"/>
    </row>
    <row r="15" spans="1:25" s="69" customFormat="1" ht="20.100000000000001" customHeight="1">
      <c r="A15" s="60"/>
      <c r="B15" s="61"/>
      <c r="C15" s="62"/>
      <c r="D15" s="63"/>
      <c r="E15" s="62"/>
      <c r="F15" s="64"/>
      <c r="G15" s="64"/>
      <c r="H15" s="65"/>
      <c r="I15" s="65"/>
      <c r="J15" s="66"/>
      <c r="K15" s="66"/>
      <c r="L15" s="66"/>
      <c r="M15" s="66"/>
      <c r="N15" s="66"/>
      <c r="O15" s="67"/>
      <c r="P15" s="67"/>
      <c r="Q15" s="68"/>
      <c r="S15" s="471">
        <f>공사원가계산서!H24</f>
        <v>0</v>
      </c>
      <c r="T15" s="471"/>
      <c r="U15" s="71"/>
    </row>
    <row r="16" spans="1:25" s="34" customFormat="1" ht="20.100000000000001" customHeight="1">
      <c r="A16" s="25"/>
      <c r="B16" s="26"/>
      <c r="C16" s="27"/>
      <c r="D16" s="28"/>
      <c r="E16" s="27"/>
      <c r="F16" s="29"/>
      <c r="G16" s="29"/>
      <c r="H16" s="30"/>
      <c r="I16" s="30"/>
      <c r="J16" s="31"/>
      <c r="K16" s="31"/>
      <c r="L16" s="31"/>
      <c r="M16" s="31"/>
      <c r="N16" s="31"/>
      <c r="O16" s="32"/>
      <c r="P16" s="32"/>
      <c r="Q16" s="33"/>
      <c r="S16" s="470"/>
      <c r="T16" s="470"/>
      <c r="U16" s="35"/>
      <c r="W16" s="36"/>
      <c r="X16" s="36"/>
      <c r="Y16" s="36"/>
    </row>
    <row r="17" spans="1:25" s="23" customFormat="1" ht="20.100000000000001" customHeight="1">
      <c r="A17" s="75"/>
      <c r="G17" s="125" t="s">
        <v>219</v>
      </c>
      <c r="H17" s="125"/>
      <c r="I17" s="488">
        <f>P17</f>
        <v>0</v>
      </c>
      <c r="J17" s="488"/>
      <c r="K17" s="488"/>
      <c r="L17" s="488"/>
      <c r="M17" s="488"/>
      <c r="N17" s="488"/>
      <c r="O17" s="76" t="s">
        <v>208</v>
      </c>
      <c r="P17" s="489">
        <f>공사원가계산서!D23</f>
        <v>0</v>
      </c>
      <c r="Q17" s="489"/>
      <c r="R17" s="489"/>
      <c r="S17" s="77" t="s">
        <v>209</v>
      </c>
      <c r="U17" s="24"/>
      <c r="W17" s="192"/>
      <c r="X17" s="193"/>
      <c r="Y17" s="192"/>
    </row>
    <row r="18" spans="1:25" s="34" customFormat="1" ht="20.100000000000001" customHeight="1">
      <c r="A18" s="74"/>
      <c r="G18" s="125" t="s">
        <v>310</v>
      </c>
      <c r="H18" s="125"/>
      <c r="I18" s="488">
        <f>P18</f>
        <v>0</v>
      </c>
      <c r="J18" s="488"/>
      <c r="K18" s="488"/>
      <c r="L18" s="488"/>
      <c r="M18" s="488"/>
      <c r="N18" s="488"/>
      <c r="O18" s="76" t="s">
        <v>208</v>
      </c>
      <c r="P18" s="489">
        <f>공사원가계산서!D24</f>
        <v>0</v>
      </c>
      <c r="Q18" s="489"/>
      <c r="R18" s="489"/>
      <c r="S18" s="77" t="s">
        <v>209</v>
      </c>
      <c r="U18" s="35"/>
      <c r="W18" s="192"/>
      <c r="X18" s="192"/>
      <c r="Y18" s="192"/>
    </row>
    <row r="19" spans="1:25" s="117" customFormat="1" ht="20.100000000000001" customHeight="1">
      <c r="A19" s="116"/>
      <c r="C19" s="490"/>
      <c r="D19" s="490"/>
      <c r="E19" s="490"/>
      <c r="F19" s="185"/>
      <c r="G19" s="125" t="s">
        <v>218</v>
      </c>
      <c r="H19" s="125"/>
      <c r="I19" s="488">
        <f>P19</f>
        <v>0</v>
      </c>
      <c r="J19" s="488"/>
      <c r="K19" s="488"/>
      <c r="L19" s="488"/>
      <c r="M19" s="488"/>
      <c r="N19" s="488"/>
      <c r="O19" s="76" t="s">
        <v>208</v>
      </c>
      <c r="P19" s="489">
        <f>공사원가계산서!D25</f>
        <v>0</v>
      </c>
      <c r="Q19" s="489"/>
      <c r="R19" s="489"/>
      <c r="S19" s="77" t="s">
        <v>209</v>
      </c>
      <c r="U19" s="120"/>
      <c r="W19" s="121"/>
      <c r="X19" s="121"/>
      <c r="Y19" s="121"/>
    </row>
    <row r="20" spans="1:25" s="117" customFormat="1" ht="20.100000000000001" customHeight="1">
      <c r="A20" s="116"/>
      <c r="C20" s="490"/>
      <c r="D20" s="490"/>
      <c r="E20" s="490"/>
      <c r="F20" s="491"/>
      <c r="G20" s="491"/>
      <c r="H20" s="491"/>
      <c r="I20" s="491"/>
      <c r="J20" s="491"/>
      <c r="K20" s="491"/>
      <c r="L20" s="491"/>
      <c r="M20" s="491"/>
      <c r="N20" s="118"/>
      <c r="O20" s="492"/>
      <c r="P20" s="492"/>
      <c r="Q20" s="492"/>
      <c r="R20" s="119"/>
      <c r="S20" s="119"/>
      <c r="U20" s="120"/>
      <c r="W20" s="121"/>
      <c r="X20" s="121"/>
    </row>
    <row r="21" spans="1:25" ht="20.100000000000001" customHeight="1" thickBot="1">
      <c r="A21" s="37"/>
      <c r="B21" s="38"/>
      <c r="C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40"/>
      <c r="P21" s="39"/>
      <c r="Q21" s="39"/>
      <c r="R21" s="39"/>
      <c r="S21" s="41"/>
      <c r="T21" s="39"/>
      <c r="U21" s="42"/>
      <c r="W21" s="44"/>
      <c r="X21" s="44"/>
    </row>
    <row r="22" spans="1:25" ht="20.100000000000001" customHeight="1">
      <c r="O22" s="46"/>
      <c r="W22" s="44"/>
      <c r="X22" s="44"/>
    </row>
    <row r="23" spans="1:25" ht="20.100000000000001" customHeight="1">
      <c r="O23" s="46"/>
      <c r="W23" s="44"/>
      <c r="X23" s="44"/>
    </row>
    <row r="25" spans="1:25" ht="20.100000000000001" customHeight="1">
      <c r="H25" s="48"/>
      <c r="I25" s="48"/>
    </row>
    <row r="26" spans="1:25" ht="20.100000000000001" customHeight="1">
      <c r="H26" s="48"/>
      <c r="I26" s="48"/>
    </row>
    <row r="27" spans="1:25" ht="20.100000000000001" customHeight="1">
      <c r="H27" s="48"/>
      <c r="I27" s="48"/>
    </row>
  </sheetData>
  <mergeCells count="26">
    <mergeCell ref="C20:E20"/>
    <mergeCell ref="F20:M20"/>
    <mergeCell ref="O20:Q20"/>
    <mergeCell ref="C19:E19"/>
    <mergeCell ref="I18:N18"/>
    <mergeCell ref="I17:N17"/>
    <mergeCell ref="P17:R17"/>
    <mergeCell ref="P18:R18"/>
    <mergeCell ref="I19:N19"/>
    <mergeCell ref="P19:R19"/>
    <mergeCell ref="T1:U4"/>
    <mergeCell ref="A1:B4"/>
    <mergeCell ref="A6:U6"/>
    <mergeCell ref="A7:U7"/>
    <mergeCell ref="S16:T16"/>
    <mergeCell ref="S15:T15"/>
    <mergeCell ref="C1:D4"/>
    <mergeCell ref="E1:F4"/>
    <mergeCell ref="I1:I4"/>
    <mergeCell ref="L1:L4"/>
    <mergeCell ref="O1:P4"/>
    <mergeCell ref="S1:S4"/>
    <mergeCell ref="G1:H4"/>
    <mergeCell ref="J1:K4"/>
    <mergeCell ref="M1:N4"/>
    <mergeCell ref="Q1:R4"/>
  </mergeCells>
  <phoneticPr fontId="17" type="noConversion"/>
  <printOptions horizontalCentered="1" verticalCentered="1"/>
  <pageMargins left="0.78740157480314965" right="0.39370078740157483" top="0.78740157480314965" bottom="0.39370078740157483" header="0.39370078740157483" footer="0.19685039370078741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K33"/>
  <sheetViews>
    <sheetView view="pageBreakPreview" zoomScaleSheetLayoutView="115" workbookViewId="0">
      <selection activeCell="X14" sqref="X14:X15"/>
    </sheetView>
  </sheetViews>
  <sheetFormatPr defaultColWidth="12.6640625" defaultRowHeight="17.45" customHeight="1"/>
  <cols>
    <col min="1" max="2" width="5.77734375" style="134" customWidth="1"/>
    <col min="3" max="3" width="24.21875" style="134" customWidth="1"/>
    <col min="4" max="4" width="20.77734375" style="134" customWidth="1"/>
    <col min="5" max="5" width="15.109375" style="134" bestFit="1" customWidth="1"/>
    <col min="6" max="6" width="2.21875" style="134" bestFit="1" customWidth="1"/>
    <col min="7" max="7" width="6.6640625" style="134" bestFit="1" customWidth="1"/>
    <col min="8" max="8" width="26.77734375" style="134" customWidth="1"/>
    <col min="9" max="9" width="13.6640625" style="134" customWidth="1"/>
    <col min="10" max="10" width="13.5546875" style="134" customWidth="1"/>
    <col min="11" max="16384" width="12.6640625" style="134"/>
  </cols>
  <sheetData>
    <row r="1" spans="1:10" s="152" customFormat="1" ht="17.45" customHeight="1">
      <c r="A1" s="493" t="s">
        <v>117</v>
      </c>
      <c r="B1" s="493"/>
      <c r="C1" s="150" t="str">
        <f>설계예산서!A6</f>
        <v>부산역 3층 전문식당가 소방 설비공사</v>
      </c>
      <c r="D1" s="151"/>
      <c r="E1" s="151"/>
      <c r="F1" s="151"/>
    </row>
    <row r="2" spans="1:10" s="79" customFormat="1" ht="17.45" customHeight="1">
      <c r="A2" s="494" t="s">
        <v>119</v>
      </c>
      <c r="B2" s="495"/>
      <c r="C2" s="496"/>
      <c r="D2" s="78" t="s">
        <v>120</v>
      </c>
      <c r="E2" s="497" t="s">
        <v>204</v>
      </c>
      <c r="F2" s="498"/>
      <c r="G2" s="496"/>
      <c r="H2" s="130" t="s">
        <v>205</v>
      </c>
    </row>
    <row r="3" spans="1:10" s="79" customFormat="1" ht="17.45" customHeight="1">
      <c r="A3" s="499" t="s">
        <v>121</v>
      </c>
      <c r="B3" s="502" t="s">
        <v>122</v>
      </c>
      <c r="C3" s="80" t="s">
        <v>123</v>
      </c>
      <c r="D3" s="81">
        <f>'내역 집계(전기)'!F16</f>
        <v>0</v>
      </c>
      <c r="E3" s="505"/>
      <c r="F3" s="506"/>
      <c r="G3" s="507"/>
      <c r="H3" s="126"/>
    </row>
    <row r="4" spans="1:10" s="79" customFormat="1" ht="17.45" customHeight="1">
      <c r="A4" s="500"/>
      <c r="B4" s="503"/>
      <c r="C4" s="82" t="s">
        <v>124</v>
      </c>
      <c r="D4" s="83"/>
      <c r="E4" s="508"/>
      <c r="F4" s="509"/>
      <c r="G4" s="510"/>
      <c r="H4" s="127"/>
    </row>
    <row r="5" spans="1:10" s="79" customFormat="1" ht="17.45" customHeight="1">
      <c r="A5" s="500"/>
      <c r="B5" s="503"/>
      <c r="C5" s="82" t="s">
        <v>125</v>
      </c>
      <c r="D5" s="84"/>
      <c r="E5" s="508"/>
      <c r="F5" s="509"/>
      <c r="G5" s="510"/>
      <c r="H5" s="127"/>
    </row>
    <row r="6" spans="1:10" s="79" customFormat="1" ht="17.45" customHeight="1">
      <c r="A6" s="500"/>
      <c r="B6" s="504"/>
      <c r="C6" s="85" t="s">
        <v>126</v>
      </c>
      <c r="D6" s="86">
        <f>SUM(D3:D5)</f>
        <v>0</v>
      </c>
      <c r="E6" s="511"/>
      <c r="F6" s="512"/>
      <c r="G6" s="513"/>
      <c r="H6" s="128"/>
    </row>
    <row r="7" spans="1:10" s="79" customFormat="1" ht="17.45" customHeight="1">
      <c r="A7" s="500"/>
      <c r="B7" s="514" t="s">
        <v>127</v>
      </c>
      <c r="C7" s="87" t="s">
        <v>128</v>
      </c>
      <c r="D7" s="81">
        <f>'내역 집계(전기)'!G16</f>
        <v>0</v>
      </c>
      <c r="E7" s="505"/>
      <c r="F7" s="506"/>
      <c r="G7" s="507"/>
      <c r="H7" s="129"/>
    </row>
    <row r="8" spans="1:10" s="79" customFormat="1" ht="17.45" customHeight="1">
      <c r="A8" s="500"/>
      <c r="B8" s="515"/>
      <c r="C8" s="88" t="s">
        <v>129</v>
      </c>
      <c r="D8" s="89">
        <f>TRUNC(+E8*G8)</f>
        <v>0</v>
      </c>
      <c r="E8" s="90">
        <f>D7</f>
        <v>0</v>
      </c>
      <c r="F8" s="91" t="s">
        <v>206</v>
      </c>
      <c r="G8" s="107">
        <v>7.9000000000000001E-2</v>
      </c>
      <c r="H8" s="191" t="s">
        <v>221</v>
      </c>
    </row>
    <row r="9" spans="1:10" s="79" customFormat="1" ht="17.45" customHeight="1">
      <c r="A9" s="500"/>
      <c r="B9" s="516"/>
      <c r="C9" s="93" t="s">
        <v>130</v>
      </c>
      <c r="D9" s="94">
        <f>SUM(D7:D8)</f>
        <v>0</v>
      </c>
      <c r="E9" s="511"/>
      <c r="F9" s="512"/>
      <c r="G9" s="513"/>
      <c r="H9" s="190"/>
    </row>
    <row r="10" spans="1:10" s="79" customFormat="1" ht="17.45" customHeight="1">
      <c r="A10" s="500"/>
      <c r="B10" s="499" t="s">
        <v>131</v>
      </c>
      <c r="C10" s="88" t="s">
        <v>133</v>
      </c>
      <c r="D10" s="95">
        <f>'내역 집계(전기)'!H16</f>
        <v>0</v>
      </c>
      <c r="E10" s="90"/>
      <c r="F10" s="91"/>
      <c r="G10" s="92"/>
      <c r="H10" s="189"/>
    </row>
    <row r="11" spans="1:10" s="79" customFormat="1" ht="17.45" customHeight="1">
      <c r="A11" s="500"/>
      <c r="B11" s="500"/>
      <c r="C11" s="88" t="s">
        <v>132</v>
      </c>
      <c r="D11" s="89">
        <f t="shared" ref="D11:D17" si="0">TRUNC(+E11*G11)</f>
        <v>0</v>
      </c>
      <c r="E11" s="90">
        <f>D9</f>
        <v>0</v>
      </c>
      <c r="F11" s="91" t="s">
        <v>206</v>
      </c>
      <c r="G11" s="92">
        <v>4.0500000000000001E-2</v>
      </c>
      <c r="H11" s="191" t="s">
        <v>222</v>
      </c>
    </row>
    <row r="12" spans="1:10" s="79" customFormat="1" ht="17.45" customHeight="1">
      <c r="A12" s="500"/>
      <c r="B12" s="500"/>
      <c r="C12" s="88" t="s">
        <v>134</v>
      </c>
      <c r="D12" s="89">
        <f t="shared" si="0"/>
        <v>0</v>
      </c>
      <c r="E12" s="90">
        <f>D9</f>
        <v>0</v>
      </c>
      <c r="F12" s="91" t="s">
        <v>206</v>
      </c>
      <c r="G12" s="92">
        <v>8.6999999999999994E-3</v>
      </c>
      <c r="H12" s="191" t="s">
        <v>222</v>
      </c>
    </row>
    <row r="13" spans="1:10" s="79" customFormat="1" ht="17.45" customHeight="1">
      <c r="A13" s="500"/>
      <c r="B13" s="500"/>
      <c r="C13" s="88" t="s">
        <v>135</v>
      </c>
      <c r="D13" s="89">
        <f t="shared" si="0"/>
        <v>0</v>
      </c>
      <c r="E13" s="90">
        <f>D7</f>
        <v>0</v>
      </c>
      <c r="F13" s="91" t="s">
        <v>206</v>
      </c>
      <c r="G13" s="92">
        <v>3.1199999999999999E-2</v>
      </c>
      <c r="H13" s="191" t="s">
        <v>221</v>
      </c>
    </row>
    <row r="14" spans="1:10" s="79" customFormat="1" ht="17.45" customHeight="1">
      <c r="A14" s="500"/>
      <c r="B14" s="500"/>
      <c r="C14" s="88" t="s">
        <v>136</v>
      </c>
      <c r="D14" s="89">
        <f t="shared" si="0"/>
        <v>0</v>
      </c>
      <c r="E14" s="90">
        <f>D7</f>
        <v>0</v>
      </c>
      <c r="F14" s="91" t="s">
        <v>206</v>
      </c>
      <c r="G14" s="92">
        <v>4.4999999999999998E-2</v>
      </c>
      <c r="H14" s="191" t="s">
        <v>221</v>
      </c>
    </row>
    <row r="15" spans="1:10" s="131" customFormat="1" ht="17.45" customHeight="1">
      <c r="A15" s="500"/>
      <c r="B15" s="500"/>
      <c r="C15" s="88" t="s">
        <v>137</v>
      </c>
      <c r="D15" s="89"/>
      <c r="E15" s="90">
        <f>D13</f>
        <v>0</v>
      </c>
      <c r="F15" s="91" t="s">
        <v>206</v>
      </c>
      <c r="G15" s="92">
        <v>7.3800000000000004E-2</v>
      </c>
      <c r="H15" s="189" t="s">
        <v>223</v>
      </c>
    </row>
    <row r="16" spans="1:10" s="131" customFormat="1" ht="17.45" customHeight="1">
      <c r="A16" s="500"/>
      <c r="B16" s="517"/>
      <c r="C16" s="88" t="s">
        <v>146</v>
      </c>
      <c r="D16" s="89">
        <f t="shared" si="0"/>
        <v>0</v>
      </c>
      <c r="E16" s="90">
        <f>D6+D7</f>
        <v>0</v>
      </c>
      <c r="F16" s="91" t="s">
        <v>206</v>
      </c>
      <c r="G16" s="92">
        <v>2.93E-2</v>
      </c>
      <c r="H16" s="188" t="s">
        <v>224</v>
      </c>
      <c r="I16" s="132"/>
      <c r="J16" s="132"/>
    </row>
    <row r="17" spans="1:11" s="79" customFormat="1" ht="17.45" customHeight="1">
      <c r="A17" s="500"/>
      <c r="B17" s="500"/>
      <c r="C17" s="88" t="s">
        <v>138</v>
      </c>
      <c r="D17" s="89">
        <f t="shared" si="0"/>
        <v>0</v>
      </c>
      <c r="E17" s="90">
        <f>D6+D9</f>
        <v>0</v>
      </c>
      <c r="F17" s="91" t="s">
        <v>206</v>
      </c>
      <c r="G17" s="92">
        <v>5.5E-2</v>
      </c>
      <c r="H17" s="188" t="s">
        <v>225</v>
      </c>
      <c r="I17" s="132"/>
      <c r="J17" s="132"/>
    </row>
    <row r="18" spans="1:11" s="79" customFormat="1" ht="17.45" customHeight="1">
      <c r="A18" s="500"/>
      <c r="B18" s="500"/>
      <c r="C18" s="180" t="s">
        <v>217</v>
      </c>
      <c r="D18" s="181"/>
      <c r="E18" s="182">
        <f>D7</f>
        <v>0</v>
      </c>
      <c r="F18" s="183" t="s">
        <v>206</v>
      </c>
      <c r="G18" s="184">
        <v>2.3E-2</v>
      </c>
      <c r="H18" s="187" t="s">
        <v>221</v>
      </c>
      <c r="I18" s="132"/>
      <c r="J18" s="132"/>
    </row>
    <row r="19" spans="1:11" s="79" customFormat="1" ht="17.45" customHeight="1">
      <c r="A19" s="501"/>
      <c r="B19" s="501"/>
      <c r="C19" s="93" t="s">
        <v>126</v>
      </c>
      <c r="D19" s="94">
        <f>SUM(D10:D18)</f>
        <v>0</v>
      </c>
      <c r="E19" s="511"/>
      <c r="F19" s="512"/>
      <c r="G19" s="513"/>
      <c r="H19" s="190"/>
    </row>
    <row r="20" spans="1:11" s="97" customFormat="1" ht="17.45" customHeight="1">
      <c r="A20" s="521" t="s">
        <v>139</v>
      </c>
      <c r="B20" s="522"/>
      <c r="C20" s="522"/>
      <c r="D20" s="96">
        <f>TRUNC(+E20*G20)</f>
        <v>0</v>
      </c>
      <c r="E20" s="90">
        <f>D6+D9+D19</f>
        <v>0</v>
      </c>
      <c r="F20" s="91" t="s">
        <v>206</v>
      </c>
      <c r="G20" s="92">
        <v>0.06</v>
      </c>
      <c r="H20" s="186" t="s">
        <v>144</v>
      </c>
    </row>
    <row r="21" spans="1:11" s="97" customFormat="1" ht="17.45" customHeight="1">
      <c r="A21" s="518" t="s">
        <v>140</v>
      </c>
      <c r="B21" s="519"/>
      <c r="C21" s="519"/>
      <c r="D21" s="98">
        <f>SUM(D6,D9,D19,D20)</f>
        <v>0</v>
      </c>
      <c r="E21" s="520"/>
      <c r="F21" s="520"/>
      <c r="G21" s="520"/>
      <c r="H21" s="188"/>
    </row>
    <row r="22" spans="1:11" s="97" customFormat="1" ht="17.45" customHeight="1">
      <c r="A22" s="518" t="s">
        <v>141</v>
      </c>
      <c r="B22" s="519"/>
      <c r="C22" s="519"/>
      <c r="D22" s="89">
        <f>TRUNC(+E22*G22)</f>
        <v>0</v>
      </c>
      <c r="E22" s="90">
        <f>SUM(D9,D19,D20)</f>
        <v>0</v>
      </c>
      <c r="F22" s="91" t="s">
        <v>206</v>
      </c>
      <c r="G22" s="92">
        <v>0.15</v>
      </c>
      <c r="H22" s="188" t="s">
        <v>145</v>
      </c>
      <c r="J22" s="99"/>
      <c r="K22" s="100"/>
    </row>
    <row r="23" spans="1:11" s="97" customFormat="1" ht="17.45" customHeight="1">
      <c r="A23" s="518" t="s">
        <v>142</v>
      </c>
      <c r="B23" s="519"/>
      <c r="C23" s="519"/>
      <c r="D23" s="101">
        <f>ROUNDDOWN(SUM(D21:D22),-4)</f>
        <v>0</v>
      </c>
      <c r="E23" s="520"/>
      <c r="F23" s="520"/>
      <c r="G23" s="520"/>
      <c r="H23" s="195" t="s">
        <v>226</v>
      </c>
    </row>
    <row r="24" spans="1:11" s="97" customFormat="1" ht="17.45" customHeight="1">
      <c r="A24" s="518" t="s">
        <v>143</v>
      </c>
      <c r="B24" s="519"/>
      <c r="C24" s="519"/>
      <c r="D24" s="101">
        <f>TRUNC(+E24*G24)</f>
        <v>0</v>
      </c>
      <c r="E24" s="90">
        <f>D23</f>
        <v>0</v>
      </c>
      <c r="F24" s="91" t="s">
        <v>206</v>
      </c>
      <c r="G24" s="92">
        <v>0.1</v>
      </c>
      <c r="H24" s="188"/>
    </row>
    <row r="25" spans="1:11" s="102" customFormat="1" ht="17.45" customHeight="1">
      <c r="A25" s="526" t="s">
        <v>148</v>
      </c>
      <c r="B25" s="527"/>
      <c r="C25" s="527"/>
      <c r="D25" s="148">
        <f>SUM(D23:D24)</f>
        <v>0</v>
      </c>
      <c r="E25" s="520"/>
      <c r="F25" s="520"/>
      <c r="G25" s="520"/>
      <c r="H25" s="188"/>
    </row>
    <row r="26" spans="1:11" s="102" customFormat="1" ht="17.45" customHeight="1">
      <c r="A26" s="526"/>
      <c r="B26" s="527"/>
      <c r="C26" s="527"/>
      <c r="D26" s="170"/>
      <c r="E26" s="90"/>
      <c r="F26" s="91"/>
      <c r="G26" s="171"/>
      <c r="H26" s="104"/>
    </row>
    <row r="27" spans="1:11" s="102" customFormat="1" ht="17.45" customHeight="1">
      <c r="A27" s="528"/>
      <c r="B27" s="529"/>
      <c r="C27" s="530"/>
      <c r="D27" s="170"/>
      <c r="E27" s="90"/>
      <c r="F27" s="91"/>
      <c r="G27" s="171"/>
      <c r="H27" s="104"/>
    </row>
    <row r="28" spans="1:11" s="133" customFormat="1" ht="17.45" customHeight="1">
      <c r="A28" s="523" t="s">
        <v>149</v>
      </c>
      <c r="B28" s="524"/>
      <c r="C28" s="524"/>
      <c r="D28" s="249">
        <f>SUM(D25:D27)</f>
        <v>0</v>
      </c>
      <c r="E28" s="525"/>
      <c r="F28" s="525"/>
      <c r="G28" s="525"/>
      <c r="H28" s="250" t="s">
        <v>166</v>
      </c>
    </row>
    <row r="30" spans="1:11" ht="17.45" customHeight="1">
      <c r="D30" s="135"/>
    </row>
    <row r="31" spans="1:11" ht="17.45" customHeight="1">
      <c r="D31" s="196"/>
    </row>
    <row r="33" spans="4:4" ht="17.45" customHeight="1">
      <c r="D33" s="135"/>
    </row>
  </sheetData>
  <mergeCells count="27">
    <mergeCell ref="A21:C21"/>
    <mergeCell ref="E21:G21"/>
    <mergeCell ref="A20:C20"/>
    <mergeCell ref="A28:C28"/>
    <mergeCell ref="E28:G28"/>
    <mergeCell ref="A22:C22"/>
    <mergeCell ref="A23:C23"/>
    <mergeCell ref="E23:G23"/>
    <mergeCell ref="A24:C24"/>
    <mergeCell ref="A25:C25"/>
    <mergeCell ref="E25:G25"/>
    <mergeCell ref="A26:C26"/>
    <mergeCell ref="A27:C27"/>
    <mergeCell ref="A1:B1"/>
    <mergeCell ref="A2:C2"/>
    <mergeCell ref="E2:G2"/>
    <mergeCell ref="A3:A19"/>
    <mergeCell ref="B3:B6"/>
    <mergeCell ref="E3:G3"/>
    <mergeCell ref="E4:G4"/>
    <mergeCell ref="E7:G7"/>
    <mergeCell ref="E5:G5"/>
    <mergeCell ref="E6:G6"/>
    <mergeCell ref="B7:B9"/>
    <mergeCell ref="E9:G9"/>
    <mergeCell ref="B10:B19"/>
    <mergeCell ref="E19:G19"/>
  </mergeCells>
  <phoneticPr fontId="18" type="noConversion"/>
  <printOptions horizontalCentered="1" verticalCentered="1"/>
  <pageMargins left="0.78740157480314965" right="0.39370078740157483" top="0.78740157480314965" bottom="0.39370078740157483" header="0.39370078740157483" footer="0.19685039370078741"/>
  <pageSetup paperSize="9" orientation="landscape" r:id="rId1"/>
  <headerFooter alignWithMargins="0">
    <oddHeader>&amp;C&amp;"맑은 고딕,굵게"&amp;16공  사  원  가  계  산  서</oddHeader>
  </headerFooter>
  <ignoredErrors>
    <ignoredError sqref="D8 D11:D14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21"/>
  <sheetViews>
    <sheetView view="pageBreakPreview" zoomScale="85" zoomScaleSheetLayoutView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3" sqref="B3:D3"/>
    </sheetView>
  </sheetViews>
  <sheetFormatPr defaultRowHeight="13.5"/>
  <cols>
    <col min="1" max="1" width="10.109375" style="246" customWidth="1"/>
    <col min="2" max="2" width="21.88671875" style="246" customWidth="1"/>
    <col min="3" max="3" width="5.77734375" style="246" customWidth="1"/>
    <col min="4" max="4" width="7.77734375" style="246" customWidth="1"/>
    <col min="5" max="9" width="17.77734375" style="246" customWidth="1"/>
    <col min="10" max="256" width="8.88671875" style="247"/>
    <col min="257" max="257" width="10.109375" style="247" customWidth="1"/>
    <col min="258" max="258" width="21.88671875" style="247" customWidth="1"/>
    <col min="259" max="259" width="5.77734375" style="247" customWidth="1"/>
    <col min="260" max="260" width="7.77734375" style="247" customWidth="1"/>
    <col min="261" max="265" width="17.77734375" style="247" customWidth="1"/>
    <col min="266" max="512" width="8.88671875" style="247"/>
    <col min="513" max="513" width="10.109375" style="247" customWidth="1"/>
    <col min="514" max="514" width="21.88671875" style="247" customWidth="1"/>
    <col min="515" max="515" width="5.77734375" style="247" customWidth="1"/>
    <col min="516" max="516" width="7.77734375" style="247" customWidth="1"/>
    <col min="517" max="521" width="17.77734375" style="247" customWidth="1"/>
    <col min="522" max="768" width="8.88671875" style="247"/>
    <col min="769" max="769" width="10.109375" style="247" customWidth="1"/>
    <col min="770" max="770" width="21.88671875" style="247" customWidth="1"/>
    <col min="771" max="771" width="5.77734375" style="247" customWidth="1"/>
    <col min="772" max="772" width="7.77734375" style="247" customWidth="1"/>
    <col min="773" max="777" width="17.77734375" style="247" customWidth="1"/>
    <col min="778" max="1024" width="8.88671875" style="247"/>
    <col min="1025" max="1025" width="10.109375" style="247" customWidth="1"/>
    <col min="1026" max="1026" width="21.88671875" style="247" customWidth="1"/>
    <col min="1027" max="1027" width="5.77734375" style="247" customWidth="1"/>
    <col min="1028" max="1028" width="7.77734375" style="247" customWidth="1"/>
    <col min="1029" max="1033" width="17.77734375" style="247" customWidth="1"/>
    <col min="1034" max="1280" width="8.88671875" style="247"/>
    <col min="1281" max="1281" width="10.109375" style="247" customWidth="1"/>
    <col min="1282" max="1282" width="21.88671875" style="247" customWidth="1"/>
    <col min="1283" max="1283" width="5.77734375" style="247" customWidth="1"/>
    <col min="1284" max="1284" width="7.77734375" style="247" customWidth="1"/>
    <col min="1285" max="1289" width="17.77734375" style="247" customWidth="1"/>
    <col min="1290" max="1536" width="8.88671875" style="247"/>
    <col min="1537" max="1537" width="10.109375" style="247" customWidth="1"/>
    <col min="1538" max="1538" width="21.88671875" style="247" customWidth="1"/>
    <col min="1539" max="1539" width="5.77734375" style="247" customWidth="1"/>
    <col min="1540" max="1540" width="7.77734375" style="247" customWidth="1"/>
    <col min="1541" max="1545" width="17.77734375" style="247" customWidth="1"/>
    <col min="1546" max="1792" width="8.88671875" style="247"/>
    <col min="1793" max="1793" width="10.109375" style="247" customWidth="1"/>
    <col min="1794" max="1794" width="21.88671875" style="247" customWidth="1"/>
    <col min="1795" max="1795" width="5.77734375" style="247" customWidth="1"/>
    <col min="1796" max="1796" width="7.77734375" style="247" customWidth="1"/>
    <col min="1797" max="1801" width="17.77734375" style="247" customWidth="1"/>
    <col min="1802" max="2048" width="8.88671875" style="247"/>
    <col min="2049" max="2049" width="10.109375" style="247" customWidth="1"/>
    <col min="2050" max="2050" width="21.88671875" style="247" customWidth="1"/>
    <col min="2051" max="2051" width="5.77734375" style="247" customWidth="1"/>
    <col min="2052" max="2052" width="7.77734375" style="247" customWidth="1"/>
    <col min="2053" max="2057" width="17.77734375" style="247" customWidth="1"/>
    <col min="2058" max="2304" width="8.88671875" style="247"/>
    <col min="2305" max="2305" width="10.109375" style="247" customWidth="1"/>
    <col min="2306" max="2306" width="21.88671875" style="247" customWidth="1"/>
    <col min="2307" max="2307" width="5.77734375" style="247" customWidth="1"/>
    <col min="2308" max="2308" width="7.77734375" style="247" customWidth="1"/>
    <col min="2309" max="2313" width="17.77734375" style="247" customWidth="1"/>
    <col min="2314" max="2560" width="8.88671875" style="247"/>
    <col min="2561" max="2561" width="10.109375" style="247" customWidth="1"/>
    <col min="2562" max="2562" width="21.88671875" style="247" customWidth="1"/>
    <col min="2563" max="2563" width="5.77734375" style="247" customWidth="1"/>
    <col min="2564" max="2564" width="7.77734375" style="247" customWidth="1"/>
    <col min="2565" max="2569" width="17.77734375" style="247" customWidth="1"/>
    <col min="2570" max="2816" width="8.88671875" style="247"/>
    <col min="2817" max="2817" width="10.109375" style="247" customWidth="1"/>
    <col min="2818" max="2818" width="21.88671875" style="247" customWidth="1"/>
    <col min="2819" max="2819" width="5.77734375" style="247" customWidth="1"/>
    <col min="2820" max="2820" width="7.77734375" style="247" customWidth="1"/>
    <col min="2821" max="2825" width="17.77734375" style="247" customWidth="1"/>
    <col min="2826" max="3072" width="8.88671875" style="247"/>
    <col min="3073" max="3073" width="10.109375" style="247" customWidth="1"/>
    <col min="3074" max="3074" width="21.88671875" style="247" customWidth="1"/>
    <col min="3075" max="3075" width="5.77734375" style="247" customWidth="1"/>
    <col min="3076" max="3076" width="7.77734375" style="247" customWidth="1"/>
    <col min="3077" max="3081" width="17.77734375" style="247" customWidth="1"/>
    <col min="3082" max="3328" width="8.88671875" style="247"/>
    <col min="3329" max="3329" width="10.109375" style="247" customWidth="1"/>
    <col min="3330" max="3330" width="21.88671875" style="247" customWidth="1"/>
    <col min="3331" max="3331" width="5.77734375" style="247" customWidth="1"/>
    <col min="3332" max="3332" width="7.77734375" style="247" customWidth="1"/>
    <col min="3333" max="3337" width="17.77734375" style="247" customWidth="1"/>
    <col min="3338" max="3584" width="8.88671875" style="247"/>
    <col min="3585" max="3585" width="10.109375" style="247" customWidth="1"/>
    <col min="3586" max="3586" width="21.88671875" style="247" customWidth="1"/>
    <col min="3587" max="3587" width="5.77734375" style="247" customWidth="1"/>
    <col min="3588" max="3588" width="7.77734375" style="247" customWidth="1"/>
    <col min="3589" max="3593" width="17.77734375" style="247" customWidth="1"/>
    <col min="3594" max="3840" width="8.88671875" style="247"/>
    <col min="3841" max="3841" width="10.109375" style="247" customWidth="1"/>
    <col min="3842" max="3842" width="21.88671875" style="247" customWidth="1"/>
    <col min="3843" max="3843" width="5.77734375" style="247" customWidth="1"/>
    <col min="3844" max="3844" width="7.77734375" style="247" customWidth="1"/>
    <col min="3845" max="3849" width="17.77734375" style="247" customWidth="1"/>
    <col min="3850" max="4096" width="8.88671875" style="247"/>
    <col min="4097" max="4097" width="10.109375" style="247" customWidth="1"/>
    <col min="4098" max="4098" width="21.88671875" style="247" customWidth="1"/>
    <col min="4099" max="4099" width="5.77734375" style="247" customWidth="1"/>
    <col min="4100" max="4100" width="7.77734375" style="247" customWidth="1"/>
    <col min="4101" max="4105" width="17.77734375" style="247" customWidth="1"/>
    <col min="4106" max="4352" width="8.88671875" style="247"/>
    <col min="4353" max="4353" width="10.109375" style="247" customWidth="1"/>
    <col min="4354" max="4354" width="21.88671875" style="247" customWidth="1"/>
    <col min="4355" max="4355" width="5.77734375" style="247" customWidth="1"/>
    <col min="4356" max="4356" width="7.77734375" style="247" customWidth="1"/>
    <col min="4357" max="4361" width="17.77734375" style="247" customWidth="1"/>
    <col min="4362" max="4608" width="8.88671875" style="247"/>
    <col min="4609" max="4609" width="10.109375" style="247" customWidth="1"/>
    <col min="4610" max="4610" width="21.88671875" style="247" customWidth="1"/>
    <col min="4611" max="4611" width="5.77734375" style="247" customWidth="1"/>
    <col min="4612" max="4612" width="7.77734375" style="247" customWidth="1"/>
    <col min="4613" max="4617" width="17.77734375" style="247" customWidth="1"/>
    <col min="4618" max="4864" width="8.88671875" style="247"/>
    <col min="4865" max="4865" width="10.109375" style="247" customWidth="1"/>
    <col min="4866" max="4866" width="21.88671875" style="247" customWidth="1"/>
    <col min="4867" max="4867" width="5.77734375" style="247" customWidth="1"/>
    <col min="4868" max="4868" width="7.77734375" style="247" customWidth="1"/>
    <col min="4869" max="4873" width="17.77734375" style="247" customWidth="1"/>
    <col min="4874" max="5120" width="8.88671875" style="247"/>
    <col min="5121" max="5121" width="10.109375" style="247" customWidth="1"/>
    <col min="5122" max="5122" width="21.88671875" style="247" customWidth="1"/>
    <col min="5123" max="5123" width="5.77734375" style="247" customWidth="1"/>
    <col min="5124" max="5124" width="7.77734375" style="247" customWidth="1"/>
    <col min="5125" max="5129" width="17.77734375" style="247" customWidth="1"/>
    <col min="5130" max="5376" width="8.88671875" style="247"/>
    <col min="5377" max="5377" width="10.109375" style="247" customWidth="1"/>
    <col min="5378" max="5378" width="21.88671875" style="247" customWidth="1"/>
    <col min="5379" max="5379" width="5.77734375" style="247" customWidth="1"/>
    <col min="5380" max="5380" width="7.77734375" style="247" customWidth="1"/>
    <col min="5381" max="5385" width="17.77734375" style="247" customWidth="1"/>
    <col min="5386" max="5632" width="8.88671875" style="247"/>
    <col min="5633" max="5633" width="10.109375" style="247" customWidth="1"/>
    <col min="5634" max="5634" width="21.88671875" style="247" customWidth="1"/>
    <col min="5635" max="5635" width="5.77734375" style="247" customWidth="1"/>
    <col min="5636" max="5636" width="7.77734375" style="247" customWidth="1"/>
    <col min="5637" max="5641" width="17.77734375" style="247" customWidth="1"/>
    <col min="5642" max="5888" width="8.88671875" style="247"/>
    <col min="5889" max="5889" width="10.109375" style="247" customWidth="1"/>
    <col min="5890" max="5890" width="21.88671875" style="247" customWidth="1"/>
    <col min="5891" max="5891" width="5.77734375" style="247" customWidth="1"/>
    <col min="5892" max="5892" width="7.77734375" style="247" customWidth="1"/>
    <col min="5893" max="5897" width="17.77734375" style="247" customWidth="1"/>
    <col min="5898" max="6144" width="8.88671875" style="247"/>
    <col min="6145" max="6145" width="10.109375" style="247" customWidth="1"/>
    <col min="6146" max="6146" width="21.88671875" style="247" customWidth="1"/>
    <col min="6147" max="6147" width="5.77734375" style="247" customWidth="1"/>
    <col min="6148" max="6148" width="7.77734375" style="247" customWidth="1"/>
    <col min="6149" max="6153" width="17.77734375" style="247" customWidth="1"/>
    <col min="6154" max="6400" width="8.88671875" style="247"/>
    <col min="6401" max="6401" width="10.109375" style="247" customWidth="1"/>
    <col min="6402" max="6402" width="21.88671875" style="247" customWidth="1"/>
    <col min="6403" max="6403" width="5.77734375" style="247" customWidth="1"/>
    <col min="6404" max="6404" width="7.77734375" style="247" customWidth="1"/>
    <col min="6405" max="6409" width="17.77734375" style="247" customWidth="1"/>
    <col min="6410" max="6656" width="8.88671875" style="247"/>
    <col min="6657" max="6657" width="10.109375" style="247" customWidth="1"/>
    <col min="6658" max="6658" width="21.88671875" style="247" customWidth="1"/>
    <col min="6659" max="6659" width="5.77734375" style="247" customWidth="1"/>
    <col min="6660" max="6660" width="7.77734375" style="247" customWidth="1"/>
    <col min="6661" max="6665" width="17.77734375" style="247" customWidth="1"/>
    <col min="6666" max="6912" width="8.88671875" style="247"/>
    <col min="6913" max="6913" width="10.109375" style="247" customWidth="1"/>
    <col min="6914" max="6914" width="21.88671875" style="247" customWidth="1"/>
    <col min="6915" max="6915" width="5.77734375" style="247" customWidth="1"/>
    <col min="6916" max="6916" width="7.77734375" style="247" customWidth="1"/>
    <col min="6917" max="6921" width="17.77734375" style="247" customWidth="1"/>
    <col min="6922" max="7168" width="8.88671875" style="247"/>
    <col min="7169" max="7169" width="10.109375" style="247" customWidth="1"/>
    <col min="7170" max="7170" width="21.88671875" style="247" customWidth="1"/>
    <col min="7171" max="7171" width="5.77734375" style="247" customWidth="1"/>
    <col min="7172" max="7172" width="7.77734375" style="247" customWidth="1"/>
    <col min="7173" max="7177" width="17.77734375" style="247" customWidth="1"/>
    <col min="7178" max="7424" width="8.88671875" style="247"/>
    <col min="7425" max="7425" width="10.109375" style="247" customWidth="1"/>
    <col min="7426" max="7426" width="21.88671875" style="247" customWidth="1"/>
    <col min="7427" max="7427" width="5.77734375" style="247" customWidth="1"/>
    <col min="7428" max="7428" width="7.77734375" style="247" customWidth="1"/>
    <col min="7429" max="7433" width="17.77734375" style="247" customWidth="1"/>
    <col min="7434" max="7680" width="8.88671875" style="247"/>
    <col min="7681" max="7681" width="10.109375" style="247" customWidth="1"/>
    <col min="7682" max="7682" width="21.88671875" style="247" customWidth="1"/>
    <col min="7683" max="7683" width="5.77734375" style="247" customWidth="1"/>
    <col min="7684" max="7684" width="7.77734375" style="247" customWidth="1"/>
    <col min="7685" max="7689" width="17.77734375" style="247" customWidth="1"/>
    <col min="7690" max="7936" width="8.88671875" style="247"/>
    <col min="7937" max="7937" width="10.109375" style="247" customWidth="1"/>
    <col min="7938" max="7938" width="21.88671875" style="247" customWidth="1"/>
    <col min="7939" max="7939" width="5.77734375" style="247" customWidth="1"/>
    <col min="7940" max="7940" width="7.77734375" style="247" customWidth="1"/>
    <col min="7941" max="7945" width="17.77734375" style="247" customWidth="1"/>
    <col min="7946" max="8192" width="8.88671875" style="247"/>
    <col min="8193" max="8193" width="10.109375" style="247" customWidth="1"/>
    <col min="8194" max="8194" width="21.88671875" style="247" customWidth="1"/>
    <col min="8195" max="8195" width="5.77734375" style="247" customWidth="1"/>
    <col min="8196" max="8196" width="7.77734375" style="247" customWidth="1"/>
    <col min="8197" max="8201" width="17.77734375" style="247" customWidth="1"/>
    <col min="8202" max="8448" width="8.88671875" style="247"/>
    <col min="8449" max="8449" width="10.109375" style="247" customWidth="1"/>
    <col min="8450" max="8450" width="21.88671875" style="247" customWidth="1"/>
    <col min="8451" max="8451" width="5.77734375" style="247" customWidth="1"/>
    <col min="8452" max="8452" width="7.77734375" style="247" customWidth="1"/>
    <col min="8453" max="8457" width="17.77734375" style="247" customWidth="1"/>
    <col min="8458" max="8704" width="8.88671875" style="247"/>
    <col min="8705" max="8705" width="10.109375" style="247" customWidth="1"/>
    <col min="8706" max="8706" width="21.88671875" style="247" customWidth="1"/>
    <col min="8707" max="8707" width="5.77734375" style="247" customWidth="1"/>
    <col min="8708" max="8708" width="7.77734375" style="247" customWidth="1"/>
    <col min="8709" max="8713" width="17.77734375" style="247" customWidth="1"/>
    <col min="8714" max="8960" width="8.88671875" style="247"/>
    <col min="8961" max="8961" width="10.109375" style="247" customWidth="1"/>
    <col min="8962" max="8962" width="21.88671875" style="247" customWidth="1"/>
    <col min="8963" max="8963" width="5.77734375" style="247" customWidth="1"/>
    <col min="8964" max="8964" width="7.77734375" style="247" customWidth="1"/>
    <col min="8965" max="8969" width="17.77734375" style="247" customWidth="1"/>
    <col min="8970" max="9216" width="8.88671875" style="247"/>
    <col min="9217" max="9217" width="10.109375" style="247" customWidth="1"/>
    <col min="9218" max="9218" width="21.88671875" style="247" customWidth="1"/>
    <col min="9219" max="9219" width="5.77734375" style="247" customWidth="1"/>
    <col min="9220" max="9220" width="7.77734375" style="247" customWidth="1"/>
    <col min="9221" max="9225" width="17.77734375" style="247" customWidth="1"/>
    <col min="9226" max="9472" width="8.88671875" style="247"/>
    <col min="9473" max="9473" width="10.109375" style="247" customWidth="1"/>
    <col min="9474" max="9474" width="21.88671875" style="247" customWidth="1"/>
    <col min="9475" max="9475" width="5.77734375" style="247" customWidth="1"/>
    <col min="9476" max="9476" width="7.77734375" style="247" customWidth="1"/>
    <col min="9477" max="9481" width="17.77734375" style="247" customWidth="1"/>
    <col min="9482" max="9728" width="8.88671875" style="247"/>
    <col min="9729" max="9729" width="10.109375" style="247" customWidth="1"/>
    <col min="9730" max="9730" width="21.88671875" style="247" customWidth="1"/>
    <col min="9731" max="9731" width="5.77734375" style="247" customWidth="1"/>
    <col min="9732" max="9732" width="7.77734375" style="247" customWidth="1"/>
    <col min="9733" max="9737" width="17.77734375" style="247" customWidth="1"/>
    <col min="9738" max="9984" width="8.88671875" style="247"/>
    <col min="9985" max="9985" width="10.109375" style="247" customWidth="1"/>
    <col min="9986" max="9986" width="21.88671875" style="247" customWidth="1"/>
    <col min="9987" max="9987" width="5.77734375" style="247" customWidth="1"/>
    <col min="9988" max="9988" width="7.77734375" style="247" customWidth="1"/>
    <col min="9989" max="9993" width="17.77734375" style="247" customWidth="1"/>
    <col min="9994" max="10240" width="8.88671875" style="247"/>
    <col min="10241" max="10241" width="10.109375" style="247" customWidth="1"/>
    <col min="10242" max="10242" width="21.88671875" style="247" customWidth="1"/>
    <col min="10243" max="10243" width="5.77734375" style="247" customWidth="1"/>
    <col min="10244" max="10244" width="7.77734375" style="247" customWidth="1"/>
    <col min="10245" max="10249" width="17.77734375" style="247" customWidth="1"/>
    <col min="10250" max="10496" width="8.88671875" style="247"/>
    <col min="10497" max="10497" width="10.109375" style="247" customWidth="1"/>
    <col min="10498" max="10498" width="21.88671875" style="247" customWidth="1"/>
    <col min="10499" max="10499" width="5.77734375" style="247" customWidth="1"/>
    <col min="10500" max="10500" width="7.77734375" style="247" customWidth="1"/>
    <col min="10501" max="10505" width="17.77734375" style="247" customWidth="1"/>
    <col min="10506" max="10752" width="8.88671875" style="247"/>
    <col min="10753" max="10753" width="10.109375" style="247" customWidth="1"/>
    <col min="10754" max="10754" width="21.88671875" style="247" customWidth="1"/>
    <col min="10755" max="10755" width="5.77734375" style="247" customWidth="1"/>
    <col min="10756" max="10756" width="7.77734375" style="247" customWidth="1"/>
    <col min="10757" max="10761" width="17.77734375" style="247" customWidth="1"/>
    <col min="10762" max="11008" width="8.88671875" style="247"/>
    <col min="11009" max="11009" width="10.109375" style="247" customWidth="1"/>
    <col min="11010" max="11010" width="21.88671875" style="247" customWidth="1"/>
    <col min="11011" max="11011" width="5.77734375" style="247" customWidth="1"/>
    <col min="11012" max="11012" width="7.77734375" style="247" customWidth="1"/>
    <col min="11013" max="11017" width="17.77734375" style="247" customWidth="1"/>
    <col min="11018" max="11264" width="8.88671875" style="247"/>
    <col min="11265" max="11265" width="10.109375" style="247" customWidth="1"/>
    <col min="11266" max="11266" width="21.88671875" style="247" customWidth="1"/>
    <col min="11267" max="11267" width="5.77734375" style="247" customWidth="1"/>
    <col min="11268" max="11268" width="7.77734375" style="247" customWidth="1"/>
    <col min="11269" max="11273" width="17.77734375" style="247" customWidth="1"/>
    <col min="11274" max="11520" width="8.88671875" style="247"/>
    <col min="11521" max="11521" width="10.109375" style="247" customWidth="1"/>
    <col min="11522" max="11522" width="21.88671875" style="247" customWidth="1"/>
    <col min="11523" max="11523" width="5.77734375" style="247" customWidth="1"/>
    <col min="11524" max="11524" width="7.77734375" style="247" customWidth="1"/>
    <col min="11525" max="11529" width="17.77734375" style="247" customWidth="1"/>
    <col min="11530" max="11776" width="8.88671875" style="247"/>
    <col min="11777" max="11777" width="10.109375" style="247" customWidth="1"/>
    <col min="11778" max="11778" width="21.88671875" style="247" customWidth="1"/>
    <col min="11779" max="11779" width="5.77734375" style="247" customWidth="1"/>
    <col min="11780" max="11780" width="7.77734375" style="247" customWidth="1"/>
    <col min="11781" max="11785" width="17.77734375" style="247" customWidth="1"/>
    <col min="11786" max="12032" width="8.88671875" style="247"/>
    <col min="12033" max="12033" width="10.109375" style="247" customWidth="1"/>
    <col min="12034" max="12034" width="21.88671875" style="247" customWidth="1"/>
    <col min="12035" max="12035" width="5.77734375" style="247" customWidth="1"/>
    <col min="12036" max="12036" width="7.77734375" style="247" customWidth="1"/>
    <col min="12037" max="12041" width="17.77734375" style="247" customWidth="1"/>
    <col min="12042" max="12288" width="8.88671875" style="247"/>
    <col min="12289" max="12289" width="10.109375" style="247" customWidth="1"/>
    <col min="12290" max="12290" width="21.88671875" style="247" customWidth="1"/>
    <col min="12291" max="12291" width="5.77734375" style="247" customWidth="1"/>
    <col min="12292" max="12292" width="7.77734375" style="247" customWidth="1"/>
    <col min="12293" max="12297" width="17.77734375" style="247" customWidth="1"/>
    <col min="12298" max="12544" width="8.88671875" style="247"/>
    <col min="12545" max="12545" width="10.109375" style="247" customWidth="1"/>
    <col min="12546" max="12546" width="21.88671875" style="247" customWidth="1"/>
    <col min="12547" max="12547" width="5.77734375" style="247" customWidth="1"/>
    <col min="12548" max="12548" width="7.77734375" style="247" customWidth="1"/>
    <col min="12549" max="12553" width="17.77734375" style="247" customWidth="1"/>
    <col min="12554" max="12800" width="8.88671875" style="247"/>
    <col min="12801" max="12801" width="10.109375" style="247" customWidth="1"/>
    <col min="12802" max="12802" width="21.88671875" style="247" customWidth="1"/>
    <col min="12803" max="12803" width="5.77734375" style="247" customWidth="1"/>
    <col min="12804" max="12804" width="7.77734375" style="247" customWidth="1"/>
    <col min="12805" max="12809" width="17.77734375" style="247" customWidth="1"/>
    <col min="12810" max="13056" width="8.88671875" style="247"/>
    <col min="13057" max="13057" width="10.109375" style="247" customWidth="1"/>
    <col min="13058" max="13058" width="21.88671875" style="247" customWidth="1"/>
    <col min="13059" max="13059" width="5.77734375" style="247" customWidth="1"/>
    <col min="13060" max="13060" width="7.77734375" style="247" customWidth="1"/>
    <col min="13061" max="13065" width="17.77734375" style="247" customWidth="1"/>
    <col min="13066" max="13312" width="8.88671875" style="247"/>
    <col min="13313" max="13313" width="10.109375" style="247" customWidth="1"/>
    <col min="13314" max="13314" width="21.88671875" style="247" customWidth="1"/>
    <col min="13315" max="13315" width="5.77734375" style="247" customWidth="1"/>
    <col min="13316" max="13316" width="7.77734375" style="247" customWidth="1"/>
    <col min="13317" max="13321" width="17.77734375" style="247" customWidth="1"/>
    <col min="13322" max="13568" width="8.88671875" style="247"/>
    <col min="13569" max="13569" width="10.109375" style="247" customWidth="1"/>
    <col min="13570" max="13570" width="21.88671875" style="247" customWidth="1"/>
    <col min="13571" max="13571" width="5.77734375" style="247" customWidth="1"/>
    <col min="13572" max="13572" width="7.77734375" style="247" customWidth="1"/>
    <col min="13573" max="13577" width="17.77734375" style="247" customWidth="1"/>
    <col min="13578" max="13824" width="8.88671875" style="247"/>
    <col min="13825" max="13825" width="10.109375" style="247" customWidth="1"/>
    <col min="13826" max="13826" width="21.88671875" style="247" customWidth="1"/>
    <col min="13827" max="13827" width="5.77734375" style="247" customWidth="1"/>
    <col min="13828" max="13828" width="7.77734375" style="247" customWidth="1"/>
    <col min="13829" max="13833" width="17.77734375" style="247" customWidth="1"/>
    <col min="13834" max="14080" width="8.88671875" style="247"/>
    <col min="14081" max="14081" width="10.109375" style="247" customWidth="1"/>
    <col min="14082" max="14082" width="21.88671875" style="247" customWidth="1"/>
    <col min="14083" max="14083" width="5.77734375" style="247" customWidth="1"/>
    <col min="14084" max="14084" width="7.77734375" style="247" customWidth="1"/>
    <col min="14085" max="14089" width="17.77734375" style="247" customWidth="1"/>
    <col min="14090" max="14336" width="8.88671875" style="247"/>
    <col min="14337" max="14337" width="10.109375" style="247" customWidth="1"/>
    <col min="14338" max="14338" width="21.88671875" style="247" customWidth="1"/>
    <col min="14339" max="14339" width="5.77734375" style="247" customWidth="1"/>
    <col min="14340" max="14340" width="7.77734375" style="247" customWidth="1"/>
    <col min="14341" max="14345" width="17.77734375" style="247" customWidth="1"/>
    <col min="14346" max="14592" width="8.88671875" style="247"/>
    <col min="14593" max="14593" width="10.109375" style="247" customWidth="1"/>
    <col min="14594" max="14594" width="21.88671875" style="247" customWidth="1"/>
    <col min="14595" max="14595" width="5.77734375" style="247" customWidth="1"/>
    <col min="14596" max="14596" width="7.77734375" style="247" customWidth="1"/>
    <col min="14597" max="14601" width="17.77734375" style="247" customWidth="1"/>
    <col min="14602" max="14848" width="8.88671875" style="247"/>
    <col min="14849" max="14849" width="10.109375" style="247" customWidth="1"/>
    <col min="14850" max="14850" width="21.88671875" style="247" customWidth="1"/>
    <col min="14851" max="14851" width="5.77734375" style="247" customWidth="1"/>
    <col min="14852" max="14852" width="7.77734375" style="247" customWidth="1"/>
    <col min="14853" max="14857" width="17.77734375" style="247" customWidth="1"/>
    <col min="14858" max="15104" width="8.88671875" style="247"/>
    <col min="15105" max="15105" width="10.109375" style="247" customWidth="1"/>
    <col min="15106" max="15106" width="21.88671875" style="247" customWidth="1"/>
    <col min="15107" max="15107" width="5.77734375" style="247" customWidth="1"/>
    <col min="15108" max="15108" width="7.77734375" style="247" customWidth="1"/>
    <col min="15109" max="15113" width="17.77734375" style="247" customWidth="1"/>
    <col min="15114" max="15360" width="8.88671875" style="247"/>
    <col min="15361" max="15361" width="10.109375" style="247" customWidth="1"/>
    <col min="15362" max="15362" width="21.88671875" style="247" customWidth="1"/>
    <col min="15363" max="15363" width="5.77734375" style="247" customWidth="1"/>
    <col min="15364" max="15364" width="7.77734375" style="247" customWidth="1"/>
    <col min="15365" max="15369" width="17.77734375" style="247" customWidth="1"/>
    <col min="15370" max="15616" width="8.88671875" style="247"/>
    <col min="15617" max="15617" width="10.109375" style="247" customWidth="1"/>
    <col min="15618" max="15618" width="21.88671875" style="247" customWidth="1"/>
    <col min="15619" max="15619" width="5.77734375" style="247" customWidth="1"/>
    <col min="15620" max="15620" width="7.77734375" style="247" customWidth="1"/>
    <col min="15621" max="15625" width="17.77734375" style="247" customWidth="1"/>
    <col min="15626" max="15872" width="8.88671875" style="247"/>
    <col min="15873" max="15873" width="10.109375" style="247" customWidth="1"/>
    <col min="15874" max="15874" width="21.88671875" style="247" customWidth="1"/>
    <col min="15875" max="15875" width="5.77734375" style="247" customWidth="1"/>
    <col min="15876" max="15876" width="7.77734375" style="247" customWidth="1"/>
    <col min="15877" max="15881" width="17.77734375" style="247" customWidth="1"/>
    <col min="15882" max="16128" width="8.88671875" style="247"/>
    <col min="16129" max="16129" width="10.109375" style="247" customWidth="1"/>
    <col min="16130" max="16130" width="21.88671875" style="247" customWidth="1"/>
    <col min="16131" max="16131" width="5.77734375" style="247" customWidth="1"/>
    <col min="16132" max="16132" width="7.77734375" style="247" customWidth="1"/>
    <col min="16133" max="16137" width="17.77734375" style="247" customWidth="1"/>
    <col min="16138" max="16384" width="8.88671875" style="247"/>
  </cols>
  <sheetData>
    <row r="1" spans="1:9" s="227" customFormat="1" ht="30" customHeight="1" thickBot="1">
      <c r="A1" s="533" t="s">
        <v>232</v>
      </c>
      <c r="B1" s="533"/>
      <c r="C1" s="533"/>
      <c r="D1" s="533"/>
      <c r="E1" s="533"/>
      <c r="F1" s="533"/>
      <c r="G1" s="533"/>
      <c r="H1" s="533"/>
      <c r="I1" s="533"/>
    </row>
    <row r="2" spans="1:9" s="227" customFormat="1" ht="30" customHeight="1">
      <c r="A2" s="228" t="s">
        <v>233</v>
      </c>
      <c r="B2" s="534" t="s">
        <v>252</v>
      </c>
      <c r="C2" s="535"/>
      <c r="D2" s="535"/>
      <c r="E2" s="535"/>
      <c r="F2" s="535"/>
      <c r="G2" s="535"/>
      <c r="H2" s="535"/>
      <c r="I2" s="536"/>
    </row>
    <row r="3" spans="1:9" s="227" customFormat="1" ht="30" customHeight="1">
      <c r="A3" s="229" t="s">
        <v>234</v>
      </c>
      <c r="B3" s="537" t="str">
        <f>TEXT(H21,"[DBNUM4]")&amp;"원정"</f>
        <v>영원정</v>
      </c>
      <c r="C3" s="538"/>
      <c r="D3" s="539"/>
      <c r="E3" s="230">
        <f>H21</f>
        <v>0</v>
      </c>
      <c r="F3" s="231"/>
      <c r="G3" s="231"/>
      <c r="H3" s="232"/>
      <c r="I3" s="233"/>
    </row>
    <row r="4" spans="1:9" s="227" customFormat="1" ht="30" customHeight="1">
      <c r="A4" s="540" t="s">
        <v>235</v>
      </c>
      <c r="B4" s="541"/>
      <c r="C4" s="234" t="s">
        <v>236</v>
      </c>
      <c r="D4" s="234" t="s">
        <v>237</v>
      </c>
      <c r="E4" s="234" t="s">
        <v>238</v>
      </c>
      <c r="F4" s="234" t="s">
        <v>239</v>
      </c>
      <c r="G4" s="234" t="s">
        <v>240</v>
      </c>
      <c r="H4" s="234" t="s">
        <v>241</v>
      </c>
      <c r="I4" s="235" t="s">
        <v>242</v>
      </c>
    </row>
    <row r="5" spans="1:9" s="227" customFormat="1" ht="30" customHeight="1">
      <c r="A5" s="531" t="e">
        <f>내역서!B3</f>
        <v>#REF!</v>
      </c>
      <c r="B5" s="532" t="s">
        <v>191</v>
      </c>
      <c r="C5" s="236">
        <v>1</v>
      </c>
      <c r="D5" s="237">
        <v>1</v>
      </c>
      <c r="E5" s="238">
        <f>내역서!G3</f>
        <v>0</v>
      </c>
      <c r="F5" s="238">
        <f>내역서!I3</f>
        <v>0</v>
      </c>
      <c r="G5" s="238">
        <f>내역서!K3</f>
        <v>0</v>
      </c>
      <c r="H5" s="239">
        <f t="shared" ref="H5:H7" si="0">SUM(E5:G5)</f>
        <v>0</v>
      </c>
      <c r="I5" s="240"/>
    </row>
    <row r="6" spans="1:9" s="227" customFormat="1" ht="30" customHeight="1">
      <c r="A6" s="531" t="str">
        <f>내역서!B59</f>
        <v>2. 자동화재탐지 설비공사</v>
      </c>
      <c r="B6" s="532" t="s">
        <v>191</v>
      </c>
      <c r="C6" s="236">
        <v>1</v>
      </c>
      <c r="D6" s="237">
        <v>1</v>
      </c>
      <c r="E6" s="238">
        <f>내역서!G59</f>
        <v>0</v>
      </c>
      <c r="F6" s="238">
        <f>내역서!I59</f>
        <v>0</v>
      </c>
      <c r="G6" s="238">
        <f>내역서!K59</f>
        <v>0</v>
      </c>
      <c r="H6" s="239">
        <f t="shared" si="0"/>
        <v>0</v>
      </c>
      <c r="I6" s="240"/>
    </row>
    <row r="7" spans="1:9" s="227" customFormat="1" ht="30" customHeight="1">
      <c r="A7" s="531" t="str">
        <f>내역서!B87</f>
        <v>3. 유도등 설비공사</v>
      </c>
      <c r="B7" s="532" t="s">
        <v>191</v>
      </c>
      <c r="C7" s="236">
        <v>1</v>
      </c>
      <c r="D7" s="237">
        <v>1</v>
      </c>
      <c r="E7" s="238">
        <f>내역서!G87</f>
        <v>0</v>
      </c>
      <c r="F7" s="238">
        <f>내역서!I87</f>
        <v>0</v>
      </c>
      <c r="G7" s="238">
        <f>내역서!K87</f>
        <v>0</v>
      </c>
      <c r="H7" s="239">
        <f t="shared" si="0"/>
        <v>0</v>
      </c>
      <c r="I7" s="240"/>
    </row>
    <row r="8" spans="1:9" s="227" customFormat="1" ht="30" customHeight="1">
      <c r="A8" s="531"/>
      <c r="B8" s="532"/>
      <c r="C8" s="236"/>
      <c r="D8" s="237"/>
      <c r="E8" s="238"/>
      <c r="F8" s="238"/>
      <c r="G8" s="238"/>
      <c r="H8" s="239"/>
      <c r="I8" s="240"/>
    </row>
    <row r="9" spans="1:9" s="227" customFormat="1" ht="30" customHeight="1">
      <c r="A9" s="531"/>
      <c r="B9" s="532"/>
      <c r="C9" s="236"/>
      <c r="D9" s="237"/>
      <c r="E9" s="238"/>
      <c r="F9" s="238"/>
      <c r="G9" s="238"/>
      <c r="H9" s="239"/>
      <c r="I9" s="240"/>
    </row>
    <row r="10" spans="1:9" s="227" customFormat="1" ht="30" customHeight="1">
      <c r="A10" s="531"/>
      <c r="B10" s="532"/>
      <c r="C10" s="236"/>
      <c r="D10" s="237"/>
      <c r="E10" s="238"/>
      <c r="F10" s="238"/>
      <c r="G10" s="238"/>
      <c r="H10" s="239"/>
      <c r="I10" s="240"/>
    </row>
    <row r="11" spans="1:9" s="227" customFormat="1" ht="30" customHeight="1">
      <c r="A11" s="531"/>
      <c r="B11" s="532"/>
      <c r="C11" s="236"/>
      <c r="D11" s="237"/>
      <c r="E11" s="238"/>
      <c r="F11" s="238"/>
      <c r="G11" s="238"/>
      <c r="H11" s="239"/>
      <c r="I11" s="240"/>
    </row>
    <row r="12" spans="1:9" s="227" customFormat="1" ht="30" customHeight="1">
      <c r="A12" s="531"/>
      <c r="B12" s="532"/>
      <c r="C12" s="236"/>
      <c r="D12" s="237"/>
      <c r="E12" s="238"/>
      <c r="F12" s="238"/>
      <c r="G12" s="238"/>
      <c r="H12" s="239"/>
      <c r="I12" s="240"/>
    </row>
    <row r="13" spans="1:9" s="227" customFormat="1" ht="30" customHeight="1">
      <c r="A13" s="531"/>
      <c r="B13" s="532"/>
      <c r="C13" s="236"/>
      <c r="D13" s="237"/>
      <c r="E13" s="238"/>
      <c r="F13" s="238"/>
      <c r="G13" s="238"/>
      <c r="H13" s="239"/>
      <c r="I13" s="240"/>
    </row>
    <row r="14" spans="1:9" s="227" customFormat="1" ht="30" customHeight="1">
      <c r="A14" s="531"/>
      <c r="B14" s="532"/>
      <c r="C14" s="236"/>
      <c r="D14" s="237"/>
      <c r="E14" s="238"/>
      <c r="F14" s="238"/>
      <c r="G14" s="238"/>
      <c r="H14" s="239"/>
      <c r="I14" s="240"/>
    </row>
    <row r="15" spans="1:9" s="227" customFormat="1" ht="30" customHeight="1">
      <c r="A15" s="531"/>
      <c r="B15" s="532"/>
      <c r="C15" s="236"/>
      <c r="D15" s="237"/>
      <c r="E15" s="238"/>
      <c r="F15" s="238"/>
      <c r="G15" s="238"/>
      <c r="H15" s="239"/>
      <c r="I15" s="240"/>
    </row>
    <row r="16" spans="1:9" s="227" customFormat="1" ht="30" customHeight="1">
      <c r="A16" s="531"/>
      <c r="B16" s="532"/>
      <c r="C16" s="236"/>
      <c r="D16" s="237"/>
      <c r="E16" s="238"/>
      <c r="F16" s="238"/>
      <c r="G16" s="238"/>
      <c r="H16" s="239"/>
      <c r="I16" s="240"/>
    </row>
    <row r="17" spans="1:10" s="227" customFormat="1" ht="30" customHeight="1">
      <c r="A17" s="531"/>
      <c r="B17" s="532"/>
      <c r="C17" s="236"/>
      <c r="D17" s="237"/>
      <c r="E17" s="238"/>
      <c r="F17" s="238"/>
      <c r="G17" s="238"/>
      <c r="H17" s="239"/>
      <c r="I17" s="240"/>
    </row>
    <row r="18" spans="1:10" s="227" customFormat="1" ht="30" customHeight="1">
      <c r="A18" s="531"/>
      <c r="B18" s="532"/>
      <c r="C18" s="236"/>
      <c r="D18" s="237"/>
      <c r="E18" s="238"/>
      <c r="F18" s="238"/>
      <c r="G18" s="238"/>
      <c r="H18" s="239"/>
      <c r="I18" s="240"/>
    </row>
    <row r="19" spans="1:10" s="227" customFormat="1" ht="30" customHeight="1">
      <c r="A19" s="531"/>
      <c r="B19" s="532"/>
      <c r="C19" s="236"/>
      <c r="D19" s="237"/>
      <c r="E19" s="238"/>
      <c r="F19" s="238"/>
      <c r="G19" s="238"/>
      <c r="H19" s="239"/>
      <c r="I19" s="240"/>
    </row>
    <row r="20" spans="1:10" s="227" customFormat="1" ht="30" customHeight="1">
      <c r="A20" s="531"/>
      <c r="B20" s="532"/>
      <c r="C20" s="236"/>
      <c r="D20" s="237"/>
      <c r="E20" s="238"/>
      <c r="F20" s="238"/>
      <c r="G20" s="238"/>
      <c r="H20" s="239"/>
      <c r="I20" s="240"/>
    </row>
    <row r="21" spans="1:10" s="227" customFormat="1" ht="30" customHeight="1" thickBot="1">
      <c r="A21" s="542" t="s">
        <v>243</v>
      </c>
      <c r="B21" s="543"/>
      <c r="C21" s="241"/>
      <c r="D21" s="242"/>
      <c r="E21" s="243">
        <f>SUM(E5:E20)</f>
        <v>0</v>
      </c>
      <c r="F21" s="243">
        <f>SUM(F5:F20)</f>
        <v>0</v>
      </c>
      <c r="G21" s="243">
        <f>SUM(G5:G20)</f>
        <v>0</v>
      </c>
      <c r="H21" s="243">
        <f>SUM(E21:G21)</f>
        <v>0</v>
      </c>
      <c r="I21" s="244"/>
      <c r="J21" s="245"/>
    </row>
  </sheetData>
  <mergeCells count="2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12:B12"/>
    <mergeCell ref="A1:I1"/>
    <mergeCell ref="B2:I2"/>
    <mergeCell ref="B3:D3"/>
    <mergeCell ref="A4:B4"/>
    <mergeCell ref="A5:B5"/>
    <mergeCell ref="A6:B6"/>
    <mergeCell ref="A7:B7"/>
    <mergeCell ref="A8:B8"/>
    <mergeCell ref="A9:B9"/>
    <mergeCell ref="A10:B10"/>
    <mergeCell ref="A11:B11"/>
  </mergeCells>
  <phoneticPr fontId="18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Y27"/>
  <sheetViews>
    <sheetView showGridLines="0" showZeros="0" view="pageBreakPreview" zoomScaleNormal="75" zoomScaleSheetLayoutView="100" workbookViewId="0">
      <selection activeCell="X14" sqref="X14"/>
    </sheetView>
  </sheetViews>
  <sheetFormatPr defaultColWidth="4.77734375" defaultRowHeight="20.100000000000001" customHeight="1"/>
  <cols>
    <col min="1" max="1" width="4.77734375" style="43" customWidth="1"/>
    <col min="2" max="2" width="4.77734375" style="45" customWidth="1"/>
    <col min="3" max="3" width="4.5546875" style="45" customWidth="1"/>
    <col min="4" max="5" width="4.5546875" style="43" customWidth="1"/>
    <col min="6" max="14" width="5.77734375" style="43" customWidth="1"/>
    <col min="15" max="15" width="5.77734375" style="49" customWidth="1"/>
    <col min="16" max="18" width="5.77734375" style="43" customWidth="1"/>
    <col min="19" max="19" width="5.77734375" style="47" customWidth="1"/>
    <col min="20" max="21" width="5.77734375" style="43" customWidth="1"/>
    <col min="22" max="22" width="4.77734375" style="43"/>
    <col min="23" max="24" width="11.33203125" style="43" customWidth="1"/>
    <col min="25" max="25" width="5.77734375" style="43" customWidth="1"/>
    <col min="26" max="16384" width="4.77734375" style="43"/>
  </cols>
  <sheetData>
    <row r="1" spans="1:25" s="21" customFormat="1" ht="20.100000000000001" customHeight="1">
      <c r="A1" s="458" t="s">
        <v>435</v>
      </c>
      <c r="B1" s="459"/>
      <c r="C1" s="472" t="s">
        <v>436</v>
      </c>
      <c r="D1" s="473"/>
      <c r="E1" s="452" t="s">
        <v>437</v>
      </c>
      <c r="F1" s="473"/>
      <c r="G1" s="452"/>
      <c r="H1" s="473"/>
      <c r="I1" s="476" t="s">
        <v>438</v>
      </c>
      <c r="J1" s="452"/>
      <c r="K1" s="473"/>
      <c r="L1" s="479" t="s">
        <v>439</v>
      </c>
      <c r="M1" s="482"/>
      <c r="N1" s="483"/>
      <c r="O1" s="482" t="s">
        <v>440</v>
      </c>
      <c r="P1" s="483"/>
      <c r="Q1" s="482"/>
      <c r="R1" s="483"/>
      <c r="S1" s="479" t="s">
        <v>441</v>
      </c>
      <c r="T1" s="452"/>
      <c r="U1" s="453"/>
    </row>
    <row r="2" spans="1:25" s="21" customFormat="1" ht="20.100000000000001" customHeight="1">
      <c r="A2" s="460"/>
      <c r="B2" s="461"/>
      <c r="C2" s="454"/>
      <c r="D2" s="474"/>
      <c r="E2" s="454"/>
      <c r="F2" s="474"/>
      <c r="G2" s="454"/>
      <c r="H2" s="474"/>
      <c r="I2" s="477"/>
      <c r="J2" s="454"/>
      <c r="K2" s="474"/>
      <c r="L2" s="480"/>
      <c r="M2" s="484"/>
      <c r="N2" s="485"/>
      <c r="O2" s="484"/>
      <c r="P2" s="485"/>
      <c r="Q2" s="484"/>
      <c r="R2" s="485"/>
      <c r="S2" s="480"/>
      <c r="T2" s="454"/>
      <c r="U2" s="455"/>
    </row>
    <row r="3" spans="1:25" s="21" customFormat="1" ht="20.100000000000001" customHeight="1">
      <c r="A3" s="460"/>
      <c r="B3" s="461"/>
      <c r="C3" s="454"/>
      <c r="D3" s="474"/>
      <c r="E3" s="454"/>
      <c r="F3" s="474"/>
      <c r="G3" s="454"/>
      <c r="H3" s="474"/>
      <c r="I3" s="477"/>
      <c r="J3" s="454"/>
      <c r="K3" s="474"/>
      <c r="L3" s="480"/>
      <c r="M3" s="484"/>
      <c r="N3" s="485"/>
      <c r="O3" s="484"/>
      <c r="P3" s="485"/>
      <c r="Q3" s="484"/>
      <c r="R3" s="485"/>
      <c r="S3" s="480"/>
      <c r="T3" s="454"/>
      <c r="U3" s="455"/>
    </row>
    <row r="4" spans="1:25" s="21" customFormat="1" ht="20.100000000000001" customHeight="1">
      <c r="A4" s="462"/>
      <c r="B4" s="463"/>
      <c r="C4" s="456"/>
      <c r="D4" s="475"/>
      <c r="E4" s="456"/>
      <c r="F4" s="475"/>
      <c r="G4" s="456"/>
      <c r="H4" s="475"/>
      <c r="I4" s="478"/>
      <c r="J4" s="456"/>
      <c r="K4" s="475"/>
      <c r="L4" s="481"/>
      <c r="M4" s="486"/>
      <c r="N4" s="487"/>
      <c r="O4" s="486"/>
      <c r="P4" s="487"/>
      <c r="Q4" s="486"/>
      <c r="R4" s="487"/>
      <c r="S4" s="481"/>
      <c r="T4" s="456"/>
      <c r="U4" s="457"/>
    </row>
    <row r="5" spans="1:25" s="22" customFormat="1" ht="39.950000000000003" customHeight="1">
      <c r="A5" s="108" t="s">
        <v>442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10"/>
      <c r="P5" s="109"/>
      <c r="Q5" s="109"/>
      <c r="R5" s="111"/>
      <c r="S5" s="112"/>
      <c r="T5" s="111"/>
      <c r="U5" s="124"/>
    </row>
    <row r="6" spans="1:25" s="22" customFormat="1" ht="39.950000000000003" customHeight="1">
      <c r="A6" s="464" t="s">
        <v>499</v>
      </c>
      <c r="B6" s="465"/>
      <c r="C6" s="465"/>
      <c r="D6" s="465"/>
      <c r="E6" s="465"/>
      <c r="F6" s="465"/>
      <c r="G6" s="465"/>
      <c r="H6" s="465"/>
      <c r="I6" s="465"/>
      <c r="J6" s="465"/>
      <c r="K6" s="465"/>
      <c r="L6" s="465"/>
      <c r="M6" s="465"/>
      <c r="N6" s="465"/>
      <c r="O6" s="465"/>
      <c r="P6" s="465"/>
      <c r="Q6" s="465"/>
      <c r="R6" s="465"/>
      <c r="S6" s="465"/>
      <c r="T6" s="465"/>
      <c r="U6" s="466"/>
    </row>
    <row r="7" spans="1:25" s="22" customFormat="1" ht="39.950000000000003" customHeight="1">
      <c r="A7" s="467" t="s">
        <v>443</v>
      </c>
      <c r="B7" s="468"/>
      <c r="C7" s="468"/>
      <c r="D7" s="468"/>
      <c r="E7" s="468"/>
      <c r="F7" s="468"/>
      <c r="G7" s="468"/>
      <c r="H7" s="468"/>
      <c r="I7" s="468"/>
      <c r="J7" s="468"/>
      <c r="K7" s="468"/>
      <c r="L7" s="468"/>
      <c r="M7" s="468"/>
      <c r="N7" s="468"/>
      <c r="O7" s="468"/>
      <c r="P7" s="468"/>
      <c r="Q7" s="468"/>
      <c r="R7" s="468"/>
      <c r="S7" s="468"/>
      <c r="T7" s="468"/>
      <c r="U7" s="469"/>
    </row>
    <row r="8" spans="1:25" s="22" customFormat="1" ht="20.100000000000001" customHeight="1">
      <c r="A8" s="57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9"/>
    </row>
    <row r="9" spans="1:25" s="34" customFormat="1" ht="20.100000000000001" customHeight="1">
      <c r="A9" s="25"/>
      <c r="B9" s="72"/>
      <c r="C9" s="73"/>
      <c r="F9" s="32"/>
      <c r="G9" s="32"/>
      <c r="H9" s="103" t="s">
        <v>444</v>
      </c>
      <c r="I9" s="72"/>
      <c r="J9" s="32"/>
      <c r="K9" s="32"/>
      <c r="L9" s="32"/>
      <c r="M9" s="32"/>
      <c r="N9" s="32"/>
      <c r="O9" s="32"/>
      <c r="P9" s="32"/>
      <c r="Q9" s="33"/>
      <c r="U9" s="35"/>
    </row>
    <row r="10" spans="1:25" s="69" customFormat="1" ht="20.100000000000001" customHeight="1">
      <c r="A10" s="60"/>
      <c r="B10" s="61"/>
      <c r="C10" s="62"/>
      <c r="F10" s="64"/>
      <c r="G10" s="64"/>
      <c r="H10" s="136"/>
      <c r="I10" s="62" t="str">
        <f>'내역서집계(전기+기계)'!B3</f>
        <v>1. 전기소방 공사</v>
      </c>
      <c r="K10" s="122"/>
      <c r="L10" s="123"/>
      <c r="M10" s="123" t="s">
        <v>445</v>
      </c>
      <c r="Q10" s="68"/>
      <c r="S10" s="70"/>
      <c r="U10" s="71"/>
    </row>
    <row r="11" spans="1:25" s="69" customFormat="1" ht="20.100000000000001" customHeight="1">
      <c r="A11" s="60"/>
      <c r="B11" s="61"/>
      <c r="C11" s="62"/>
      <c r="F11" s="64"/>
      <c r="G11" s="64"/>
      <c r="H11" s="62"/>
      <c r="I11" s="62" t="str">
        <f>'내역서집계(전기+기계)'!B4</f>
        <v>2. 기계소방 공사</v>
      </c>
      <c r="K11" s="122"/>
      <c r="L11" s="123"/>
      <c r="M11" s="123" t="s">
        <v>445</v>
      </c>
      <c r="N11" s="123"/>
      <c r="O11" s="123"/>
      <c r="P11" s="123"/>
      <c r="Q11" s="68"/>
      <c r="S11" s="70"/>
      <c r="U11" s="71"/>
    </row>
    <row r="12" spans="1:25" s="69" customFormat="1" ht="20.100000000000001" customHeight="1">
      <c r="A12" s="60"/>
      <c r="B12" s="61"/>
      <c r="C12" s="62"/>
      <c r="F12" s="64"/>
      <c r="G12" s="64"/>
      <c r="H12" s="62"/>
      <c r="I12" s="62"/>
      <c r="K12" s="122"/>
      <c r="L12" s="123"/>
      <c r="M12" s="123"/>
      <c r="N12" s="123"/>
      <c r="O12" s="123"/>
      <c r="P12" s="123"/>
      <c r="Q12" s="68"/>
      <c r="S12" s="70"/>
      <c r="U12" s="71"/>
    </row>
    <row r="13" spans="1:25" s="69" customFormat="1" ht="19.5" customHeight="1">
      <c r="A13" s="60"/>
      <c r="B13" s="61"/>
      <c r="C13" s="62"/>
      <c r="F13" s="64"/>
      <c r="G13" s="64"/>
      <c r="H13" s="62"/>
      <c r="I13" s="62"/>
      <c r="K13" s="122"/>
      <c r="L13" s="123"/>
      <c r="M13" s="123"/>
      <c r="N13" s="123"/>
      <c r="O13" s="123"/>
      <c r="P13" s="123"/>
      <c r="Q13" s="68"/>
      <c r="S13" s="70"/>
      <c r="U13" s="71"/>
    </row>
    <row r="14" spans="1:25" s="69" customFormat="1" ht="20.100000000000001" customHeight="1">
      <c r="A14" s="60"/>
      <c r="B14" s="61"/>
      <c r="C14" s="62"/>
      <c r="D14" s="63"/>
      <c r="E14" s="62"/>
      <c r="F14" s="64"/>
      <c r="G14" s="64"/>
      <c r="H14" s="65"/>
      <c r="I14" s="62"/>
      <c r="J14" s="66"/>
      <c r="K14" s="66"/>
      <c r="L14" s="66"/>
      <c r="M14" s="123"/>
      <c r="N14" s="66"/>
      <c r="O14" s="67"/>
      <c r="P14" s="67"/>
      <c r="Q14" s="68"/>
      <c r="S14" s="70"/>
      <c r="U14" s="71"/>
    </row>
    <row r="15" spans="1:25" s="69" customFormat="1" ht="20.100000000000001" customHeight="1">
      <c r="A15" s="60"/>
      <c r="B15" s="61"/>
      <c r="C15" s="62"/>
      <c r="D15" s="63"/>
      <c r="E15" s="62"/>
      <c r="F15" s="64"/>
      <c r="G15" s="64"/>
      <c r="H15" s="65"/>
      <c r="I15" s="65"/>
      <c r="J15" s="66"/>
      <c r="K15" s="66"/>
      <c r="L15" s="66"/>
      <c r="M15" s="66"/>
      <c r="N15" s="66"/>
      <c r="O15" s="67"/>
      <c r="P15" s="67"/>
      <c r="Q15" s="68"/>
      <c r="S15" s="471">
        <f>'공사 원가계산서'!H24</f>
        <v>0</v>
      </c>
      <c r="T15" s="471"/>
      <c r="U15" s="71"/>
    </row>
    <row r="16" spans="1:25" s="34" customFormat="1" ht="20.100000000000001" customHeight="1">
      <c r="A16" s="25"/>
      <c r="B16" s="26"/>
      <c r="C16" s="27"/>
      <c r="D16" s="28"/>
      <c r="E16" s="27"/>
      <c r="F16" s="29"/>
      <c r="G16" s="29"/>
      <c r="H16" s="30"/>
      <c r="I16" s="30"/>
      <c r="J16" s="387"/>
      <c r="K16" s="387"/>
      <c r="L16" s="387"/>
      <c r="M16" s="387"/>
      <c r="N16" s="387"/>
      <c r="O16" s="32"/>
      <c r="P16" s="32"/>
      <c r="Q16" s="33"/>
      <c r="S16" s="470"/>
      <c r="T16" s="470"/>
      <c r="U16" s="35"/>
      <c r="W16" s="36"/>
      <c r="X16" s="36"/>
      <c r="Y16" s="36"/>
    </row>
    <row r="17" spans="1:25" s="23" customFormat="1" ht="20.100000000000001" customHeight="1">
      <c r="A17" s="75"/>
      <c r="G17" s="125" t="s">
        <v>446</v>
      </c>
      <c r="H17" s="125"/>
      <c r="I17" s="488">
        <f>P17</f>
        <v>0</v>
      </c>
      <c r="J17" s="488"/>
      <c r="K17" s="488"/>
      <c r="L17" s="488"/>
      <c r="M17" s="488"/>
      <c r="N17" s="488"/>
      <c r="O17" s="76" t="s">
        <v>447</v>
      </c>
      <c r="P17" s="489">
        <f>'공사 원가계산서'!D23</f>
        <v>0</v>
      </c>
      <c r="Q17" s="489"/>
      <c r="R17" s="489"/>
      <c r="S17" s="77" t="s">
        <v>448</v>
      </c>
      <c r="U17" s="24"/>
      <c r="W17" s="192"/>
      <c r="X17" s="193"/>
      <c r="Y17" s="192"/>
    </row>
    <row r="18" spans="1:25" s="34" customFormat="1" ht="20.100000000000001" customHeight="1">
      <c r="A18" s="74"/>
      <c r="G18" s="125" t="s">
        <v>449</v>
      </c>
      <c r="H18" s="125"/>
      <c r="I18" s="488">
        <f>P18</f>
        <v>0</v>
      </c>
      <c r="J18" s="488"/>
      <c r="K18" s="488"/>
      <c r="L18" s="488"/>
      <c r="M18" s="488"/>
      <c r="N18" s="488"/>
      <c r="O18" s="76" t="s">
        <v>447</v>
      </c>
      <c r="P18" s="489">
        <f>'공사 원가계산서'!D24</f>
        <v>0</v>
      </c>
      <c r="Q18" s="489"/>
      <c r="R18" s="489"/>
      <c r="S18" s="77" t="s">
        <v>448</v>
      </c>
      <c r="U18" s="35"/>
      <c r="W18" s="192"/>
      <c r="X18" s="192"/>
      <c r="Y18" s="192"/>
    </row>
    <row r="19" spans="1:25" s="388" customFormat="1" ht="20.100000000000001" customHeight="1">
      <c r="A19" s="116"/>
      <c r="C19" s="544"/>
      <c r="D19" s="544"/>
      <c r="E19" s="544"/>
      <c r="F19" s="389"/>
      <c r="G19" s="125" t="s">
        <v>450</v>
      </c>
      <c r="H19" s="125"/>
      <c r="I19" s="488">
        <f>P19</f>
        <v>0</v>
      </c>
      <c r="J19" s="488"/>
      <c r="K19" s="488"/>
      <c r="L19" s="488"/>
      <c r="M19" s="488"/>
      <c r="N19" s="488"/>
      <c r="O19" s="76" t="s">
        <v>447</v>
      </c>
      <c r="P19" s="489">
        <f>'공사 원가계산서'!D25</f>
        <v>0</v>
      </c>
      <c r="Q19" s="489"/>
      <c r="R19" s="489"/>
      <c r="S19" s="77" t="s">
        <v>448</v>
      </c>
      <c r="U19" s="390"/>
      <c r="W19" s="391"/>
      <c r="X19" s="391"/>
      <c r="Y19" s="391"/>
    </row>
    <row r="20" spans="1:25" s="388" customFormat="1" ht="20.100000000000001" customHeight="1">
      <c r="A20" s="116"/>
      <c r="C20" s="544"/>
      <c r="D20" s="544"/>
      <c r="E20" s="544"/>
      <c r="F20" s="545"/>
      <c r="G20" s="545"/>
      <c r="H20" s="545"/>
      <c r="I20" s="545"/>
      <c r="J20" s="545"/>
      <c r="K20" s="545"/>
      <c r="L20" s="545"/>
      <c r="M20" s="545"/>
      <c r="N20" s="392"/>
      <c r="O20" s="546"/>
      <c r="P20" s="546"/>
      <c r="Q20" s="546"/>
      <c r="R20" s="393"/>
      <c r="S20" s="393"/>
      <c r="U20" s="390"/>
      <c r="W20" s="391"/>
      <c r="X20" s="391"/>
    </row>
    <row r="21" spans="1:25" ht="20.100000000000001" customHeight="1" thickBot="1">
      <c r="A21" s="37"/>
      <c r="B21" s="38"/>
      <c r="C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4"/>
      <c r="P21" s="39"/>
      <c r="Q21" s="39"/>
      <c r="R21" s="39"/>
      <c r="S21" s="41"/>
      <c r="T21" s="39"/>
      <c r="U21" s="42"/>
      <c r="W21" s="44"/>
      <c r="X21" s="44"/>
    </row>
    <row r="22" spans="1:25" ht="20.100000000000001" customHeight="1">
      <c r="O22" s="395"/>
      <c r="W22" s="44"/>
      <c r="X22" s="44"/>
    </row>
    <row r="23" spans="1:25" ht="20.100000000000001" customHeight="1">
      <c r="O23" s="395"/>
      <c r="W23" s="44"/>
      <c r="X23" s="44"/>
    </row>
    <row r="25" spans="1:25" ht="20.100000000000001" customHeight="1">
      <c r="H25" s="48"/>
      <c r="I25" s="48"/>
    </row>
    <row r="26" spans="1:25" ht="20.100000000000001" customHeight="1">
      <c r="H26" s="48"/>
      <c r="I26" s="48"/>
    </row>
    <row r="27" spans="1:25" ht="20.100000000000001" customHeight="1">
      <c r="H27" s="48"/>
      <c r="I27" s="48"/>
    </row>
  </sheetData>
  <mergeCells count="26">
    <mergeCell ref="T1:U4"/>
    <mergeCell ref="A1:B4"/>
    <mergeCell ref="C1:D4"/>
    <mergeCell ref="E1:F4"/>
    <mergeCell ref="G1:H4"/>
    <mergeCell ref="I1:I4"/>
    <mergeCell ref="J1:K4"/>
    <mergeCell ref="L1:L4"/>
    <mergeCell ref="M1:N4"/>
    <mergeCell ref="O1:P4"/>
    <mergeCell ref="Q1:R4"/>
    <mergeCell ref="S1:S4"/>
    <mergeCell ref="C20:E20"/>
    <mergeCell ref="F20:M20"/>
    <mergeCell ref="O20:Q20"/>
    <mergeCell ref="A6:U6"/>
    <mergeCell ref="A7:U7"/>
    <mergeCell ref="S15:T15"/>
    <mergeCell ref="S16:T16"/>
    <mergeCell ref="I17:N17"/>
    <mergeCell ref="P17:R17"/>
    <mergeCell ref="I18:N18"/>
    <mergeCell ref="P18:R18"/>
    <mergeCell ref="C19:E19"/>
    <mergeCell ref="I19:N19"/>
    <mergeCell ref="P19:R19"/>
  </mergeCells>
  <phoneticPr fontId="18" type="noConversion"/>
  <printOptions horizontalCentered="1" verticalCentered="1"/>
  <pageMargins left="0.78740157480314965" right="0.39370078740157483" top="0.78740157480314965" bottom="0.39370078740157483" header="0.39370078740157483" footer="0.1968503937007874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33"/>
  <sheetViews>
    <sheetView tabSelected="1" view="pageBreakPreview" zoomScaleSheetLayoutView="115" workbookViewId="0">
      <selection sqref="A1:B1"/>
    </sheetView>
  </sheetViews>
  <sheetFormatPr defaultColWidth="12.6640625" defaultRowHeight="17.45" customHeight="1"/>
  <cols>
    <col min="1" max="2" width="5.77734375" style="134" customWidth="1"/>
    <col min="3" max="3" width="24.21875" style="134" customWidth="1"/>
    <col min="4" max="4" width="20.77734375" style="134" customWidth="1"/>
    <col min="5" max="5" width="15.109375" style="134" bestFit="1" customWidth="1"/>
    <col min="6" max="6" width="2.21875" style="134" bestFit="1" customWidth="1"/>
    <col min="7" max="7" width="6.6640625" style="134" bestFit="1" customWidth="1"/>
    <col min="8" max="8" width="26.77734375" style="134" customWidth="1"/>
    <col min="9" max="9" width="13.6640625" style="134" customWidth="1"/>
    <col min="10" max="10" width="13.5546875" style="134" customWidth="1"/>
    <col min="11" max="16384" width="12.6640625" style="134"/>
  </cols>
  <sheetData>
    <row r="1" spans="1:10" s="152" customFormat="1" ht="29.25" customHeight="1">
      <c r="A1" s="493" t="s">
        <v>451</v>
      </c>
      <c r="B1" s="493"/>
      <c r="C1" s="150" t="str">
        <f>'설계예산서 '!A6</f>
        <v>부산역 3층 전문점 소방설비공사</v>
      </c>
      <c r="D1" s="151"/>
      <c r="E1" s="151"/>
      <c r="F1" s="151"/>
    </row>
    <row r="2" spans="1:10" s="79" customFormat="1" ht="17.45" customHeight="1">
      <c r="A2" s="494" t="s">
        <v>452</v>
      </c>
      <c r="B2" s="495"/>
      <c r="C2" s="496"/>
      <c r="D2" s="78" t="s">
        <v>453</v>
      </c>
      <c r="E2" s="497" t="s">
        <v>204</v>
      </c>
      <c r="F2" s="498"/>
      <c r="G2" s="496"/>
      <c r="H2" s="130" t="s">
        <v>205</v>
      </c>
    </row>
    <row r="3" spans="1:10" s="79" customFormat="1" ht="17.45" customHeight="1">
      <c r="A3" s="499" t="s">
        <v>454</v>
      </c>
      <c r="B3" s="502" t="s">
        <v>455</v>
      </c>
      <c r="C3" s="80" t="s">
        <v>456</v>
      </c>
      <c r="D3" s="81">
        <f>'내역서집계(전기+기계)'!F16</f>
        <v>0</v>
      </c>
      <c r="E3" s="505"/>
      <c r="F3" s="506"/>
      <c r="G3" s="507"/>
      <c r="H3" s="126"/>
    </row>
    <row r="4" spans="1:10" s="79" customFormat="1" ht="17.45" customHeight="1">
      <c r="A4" s="500"/>
      <c r="B4" s="503"/>
      <c r="C4" s="82" t="s">
        <v>457</v>
      </c>
      <c r="D4" s="83"/>
      <c r="E4" s="508"/>
      <c r="F4" s="509"/>
      <c r="G4" s="510"/>
      <c r="H4" s="127" t="s">
        <v>684</v>
      </c>
    </row>
    <row r="5" spans="1:10" s="79" customFormat="1" ht="17.45" customHeight="1">
      <c r="A5" s="500"/>
      <c r="B5" s="503"/>
      <c r="C5" s="82" t="s">
        <v>458</v>
      </c>
      <c r="D5" s="84"/>
      <c r="E5" s="508"/>
      <c r="F5" s="509"/>
      <c r="G5" s="510"/>
      <c r="H5" s="127"/>
    </row>
    <row r="6" spans="1:10" s="79" customFormat="1" ht="17.45" customHeight="1">
      <c r="A6" s="500"/>
      <c r="B6" s="504"/>
      <c r="C6" s="85" t="s">
        <v>459</v>
      </c>
      <c r="D6" s="86">
        <f>SUM(D3:D5)</f>
        <v>0</v>
      </c>
      <c r="E6" s="511"/>
      <c r="F6" s="512"/>
      <c r="G6" s="513"/>
      <c r="H6" s="128"/>
    </row>
    <row r="7" spans="1:10" s="79" customFormat="1" ht="17.45" customHeight="1">
      <c r="A7" s="500"/>
      <c r="B7" s="514" t="s">
        <v>460</v>
      </c>
      <c r="C7" s="87" t="s">
        <v>461</v>
      </c>
      <c r="D7" s="81">
        <f>'내역서집계(전기+기계)'!G16</f>
        <v>0</v>
      </c>
      <c r="E7" s="505"/>
      <c r="F7" s="506"/>
      <c r="G7" s="507"/>
      <c r="H7" s="129"/>
    </row>
    <row r="8" spans="1:10" s="79" customFormat="1" ht="17.45" customHeight="1">
      <c r="A8" s="500"/>
      <c r="B8" s="515"/>
      <c r="C8" s="88" t="s">
        <v>462</v>
      </c>
      <c r="D8" s="89">
        <f>TRUNC(+E8*G8)</f>
        <v>0</v>
      </c>
      <c r="E8" s="90">
        <f>D7</f>
        <v>0</v>
      </c>
      <c r="F8" s="91" t="s">
        <v>206</v>
      </c>
      <c r="G8" s="107">
        <v>7.9000000000000001E-2</v>
      </c>
      <c r="H8" s="191" t="s">
        <v>463</v>
      </c>
    </row>
    <row r="9" spans="1:10" s="79" customFormat="1" ht="17.45" customHeight="1">
      <c r="A9" s="500"/>
      <c r="B9" s="516"/>
      <c r="C9" s="93" t="s">
        <v>464</v>
      </c>
      <c r="D9" s="94">
        <f>SUM(D7:D8)</f>
        <v>0</v>
      </c>
      <c r="E9" s="511"/>
      <c r="F9" s="512"/>
      <c r="G9" s="513"/>
      <c r="H9" s="190"/>
    </row>
    <row r="10" spans="1:10" s="79" customFormat="1" ht="17.45" customHeight="1">
      <c r="A10" s="500"/>
      <c r="B10" s="499" t="s">
        <v>465</v>
      </c>
      <c r="C10" s="88" t="s">
        <v>466</v>
      </c>
      <c r="D10" s="95">
        <f>'내역서집계(전기+기계)'!H16</f>
        <v>0</v>
      </c>
      <c r="E10" s="90"/>
      <c r="F10" s="91"/>
      <c r="G10" s="92"/>
      <c r="H10" s="189"/>
    </row>
    <row r="11" spans="1:10" s="79" customFormat="1" ht="17.45" customHeight="1">
      <c r="A11" s="500"/>
      <c r="B11" s="500"/>
      <c r="C11" s="88" t="s">
        <v>467</v>
      </c>
      <c r="D11" s="89">
        <f t="shared" ref="D11:D17" si="0">TRUNC(+E11*G11)</f>
        <v>0</v>
      </c>
      <c r="E11" s="90">
        <f>D9</f>
        <v>0</v>
      </c>
      <c r="F11" s="91" t="s">
        <v>206</v>
      </c>
      <c r="G11" s="92">
        <v>4.0500000000000001E-2</v>
      </c>
      <c r="H11" s="191" t="s">
        <v>468</v>
      </c>
    </row>
    <row r="12" spans="1:10" s="79" customFormat="1" ht="17.45" customHeight="1">
      <c r="A12" s="500"/>
      <c r="B12" s="500"/>
      <c r="C12" s="88" t="s">
        <v>469</v>
      </c>
      <c r="D12" s="89">
        <f t="shared" si="0"/>
        <v>0</v>
      </c>
      <c r="E12" s="90">
        <f>D9</f>
        <v>0</v>
      </c>
      <c r="F12" s="91" t="s">
        <v>206</v>
      </c>
      <c r="G12" s="92">
        <v>8.6999999999999994E-3</v>
      </c>
      <c r="H12" s="191" t="s">
        <v>468</v>
      </c>
    </row>
    <row r="13" spans="1:10" s="79" customFormat="1" ht="17.45" customHeight="1">
      <c r="A13" s="500"/>
      <c r="B13" s="500"/>
      <c r="C13" s="88" t="s">
        <v>470</v>
      </c>
      <c r="D13" s="89">
        <f t="shared" si="0"/>
        <v>0</v>
      </c>
      <c r="E13" s="90"/>
      <c r="F13" s="91" t="s">
        <v>206</v>
      </c>
      <c r="G13" s="92"/>
      <c r="H13" s="191" t="s">
        <v>498</v>
      </c>
    </row>
    <row r="14" spans="1:10" s="79" customFormat="1" ht="17.45" customHeight="1">
      <c r="A14" s="500"/>
      <c r="B14" s="500"/>
      <c r="C14" s="88" t="s">
        <v>471</v>
      </c>
      <c r="D14" s="89">
        <f t="shared" si="0"/>
        <v>0</v>
      </c>
      <c r="E14" s="90"/>
      <c r="F14" s="91" t="s">
        <v>206</v>
      </c>
      <c r="G14" s="92"/>
      <c r="H14" s="191" t="s">
        <v>498</v>
      </c>
    </row>
    <row r="15" spans="1:10" s="131" customFormat="1" ht="17.45" customHeight="1">
      <c r="A15" s="500"/>
      <c r="B15" s="500"/>
      <c r="C15" s="88" t="s">
        <v>472</v>
      </c>
      <c r="D15" s="89">
        <f t="shared" si="0"/>
        <v>0</v>
      </c>
      <c r="E15" s="90">
        <f>D13</f>
        <v>0</v>
      </c>
      <c r="F15" s="91" t="s">
        <v>206</v>
      </c>
      <c r="G15" s="92"/>
      <c r="H15" s="189" t="s">
        <v>498</v>
      </c>
    </row>
    <row r="16" spans="1:10" s="131" customFormat="1" ht="17.45" customHeight="1">
      <c r="A16" s="500"/>
      <c r="B16" s="517"/>
      <c r="C16" s="88" t="s">
        <v>473</v>
      </c>
      <c r="D16" s="89">
        <f t="shared" si="0"/>
        <v>0</v>
      </c>
      <c r="E16" s="90">
        <f>D6+D7</f>
        <v>0</v>
      </c>
      <c r="F16" s="91" t="s">
        <v>206</v>
      </c>
      <c r="G16" s="92">
        <v>2.93E-2</v>
      </c>
      <c r="H16" s="188" t="s">
        <v>474</v>
      </c>
      <c r="I16" s="132"/>
      <c r="J16" s="132"/>
    </row>
    <row r="17" spans="1:11" s="79" customFormat="1" ht="17.45" customHeight="1">
      <c r="A17" s="500"/>
      <c r="B17" s="500"/>
      <c r="C17" s="88" t="s">
        <v>475</v>
      </c>
      <c r="D17" s="89">
        <f t="shared" si="0"/>
        <v>0</v>
      </c>
      <c r="E17" s="90">
        <f>D6+D9</f>
        <v>0</v>
      </c>
      <c r="F17" s="91" t="s">
        <v>206</v>
      </c>
      <c r="G17" s="92">
        <v>5.5E-2</v>
      </c>
      <c r="H17" s="188" t="s">
        <v>476</v>
      </c>
      <c r="I17" s="132"/>
      <c r="J17" s="132"/>
    </row>
    <row r="18" spans="1:11" s="79" customFormat="1" ht="17.45" customHeight="1">
      <c r="A18" s="500"/>
      <c r="B18" s="500"/>
      <c r="C18" s="396" t="s">
        <v>477</v>
      </c>
      <c r="D18" s="397"/>
      <c r="E18" s="398"/>
      <c r="F18" s="399" t="s">
        <v>206</v>
      </c>
      <c r="G18" s="92"/>
      <c r="H18" s="189" t="s">
        <v>498</v>
      </c>
      <c r="I18" s="132"/>
      <c r="J18" s="132"/>
    </row>
    <row r="19" spans="1:11" s="79" customFormat="1" ht="17.45" customHeight="1">
      <c r="A19" s="501"/>
      <c r="B19" s="501"/>
      <c r="C19" s="93" t="s">
        <v>459</v>
      </c>
      <c r="D19" s="94">
        <f>SUM(D10:D18)</f>
        <v>0</v>
      </c>
      <c r="E19" s="511"/>
      <c r="F19" s="512"/>
      <c r="G19" s="513"/>
      <c r="H19" s="190"/>
    </row>
    <row r="20" spans="1:11" s="97" customFormat="1" ht="17.45" customHeight="1">
      <c r="A20" s="521" t="s">
        <v>478</v>
      </c>
      <c r="B20" s="522"/>
      <c r="C20" s="522"/>
      <c r="D20" s="96">
        <f>TRUNC(+E20*G20)</f>
        <v>0</v>
      </c>
      <c r="E20" s="90">
        <f>D6+D9+D19</f>
        <v>0</v>
      </c>
      <c r="F20" s="91" t="s">
        <v>206</v>
      </c>
      <c r="G20" s="92">
        <v>0.06</v>
      </c>
      <c r="H20" s="186" t="s">
        <v>144</v>
      </c>
    </row>
    <row r="21" spans="1:11" s="97" customFormat="1" ht="17.45" customHeight="1">
      <c r="A21" s="518" t="s">
        <v>479</v>
      </c>
      <c r="B21" s="519"/>
      <c r="C21" s="519"/>
      <c r="D21" s="98">
        <f>SUM(D6,D9,D19,D20)</f>
        <v>0</v>
      </c>
      <c r="E21" s="520"/>
      <c r="F21" s="520"/>
      <c r="G21" s="520"/>
      <c r="H21" s="188"/>
    </row>
    <row r="22" spans="1:11" s="97" customFormat="1" ht="17.45" customHeight="1">
      <c r="A22" s="518" t="s">
        <v>480</v>
      </c>
      <c r="B22" s="519"/>
      <c r="C22" s="519"/>
      <c r="D22" s="89"/>
      <c r="E22" s="90">
        <f>SUM(D9,D19,D20)</f>
        <v>0</v>
      </c>
      <c r="F22" s="91" t="s">
        <v>206</v>
      </c>
      <c r="G22" s="92">
        <v>0.15</v>
      </c>
      <c r="H22" s="188" t="s">
        <v>145</v>
      </c>
      <c r="J22" s="99"/>
      <c r="K22" s="100"/>
    </row>
    <row r="23" spans="1:11" s="97" customFormat="1" ht="17.45" customHeight="1">
      <c r="A23" s="518" t="s">
        <v>481</v>
      </c>
      <c r="B23" s="519"/>
      <c r="C23" s="519"/>
      <c r="D23" s="101">
        <f>ROUNDDOWN(SUM(D21:D22),0)</f>
        <v>0</v>
      </c>
      <c r="E23" s="520"/>
      <c r="F23" s="520"/>
      <c r="G23" s="520"/>
      <c r="H23" s="195" t="s">
        <v>482</v>
      </c>
    </row>
    <row r="24" spans="1:11" s="97" customFormat="1" ht="17.45" customHeight="1">
      <c r="A24" s="518" t="s">
        <v>483</v>
      </c>
      <c r="B24" s="519"/>
      <c r="C24" s="519"/>
      <c r="D24" s="101">
        <f>TRUNC(+E24*G24)</f>
        <v>0</v>
      </c>
      <c r="E24" s="90">
        <f>D23</f>
        <v>0</v>
      </c>
      <c r="F24" s="91" t="s">
        <v>206</v>
      </c>
      <c r="G24" s="92">
        <v>0.1</v>
      </c>
      <c r="H24" s="188"/>
    </row>
    <row r="25" spans="1:11" s="102" customFormat="1" ht="17.45" customHeight="1">
      <c r="A25" s="526" t="s">
        <v>484</v>
      </c>
      <c r="B25" s="527"/>
      <c r="C25" s="527"/>
      <c r="D25" s="148">
        <f>SUM(D23:D24)</f>
        <v>0</v>
      </c>
      <c r="E25" s="520"/>
      <c r="F25" s="520"/>
      <c r="G25" s="520"/>
      <c r="H25" s="188"/>
    </row>
    <row r="26" spans="1:11" s="102" customFormat="1" ht="17.45" customHeight="1">
      <c r="A26" s="526"/>
      <c r="B26" s="527"/>
      <c r="C26" s="527"/>
      <c r="D26" s="170"/>
      <c r="E26" s="90"/>
      <c r="F26" s="91"/>
      <c r="G26" s="171"/>
      <c r="H26" s="104"/>
    </row>
    <row r="27" spans="1:11" s="102" customFormat="1" ht="17.45" customHeight="1">
      <c r="A27" s="528"/>
      <c r="B27" s="529"/>
      <c r="C27" s="530"/>
      <c r="D27" s="170"/>
      <c r="E27" s="90"/>
      <c r="F27" s="91"/>
      <c r="G27" s="171"/>
      <c r="H27" s="104"/>
    </row>
    <row r="28" spans="1:11" s="133" customFormat="1" ht="17.45" customHeight="1">
      <c r="A28" s="523" t="s">
        <v>485</v>
      </c>
      <c r="B28" s="524"/>
      <c r="C28" s="524"/>
      <c r="D28" s="249">
        <f>SUM(D25:D27)</f>
        <v>0</v>
      </c>
      <c r="E28" s="525"/>
      <c r="F28" s="525"/>
      <c r="G28" s="525"/>
      <c r="H28" s="250" t="s">
        <v>486</v>
      </c>
    </row>
    <row r="30" spans="1:11" ht="17.45" customHeight="1">
      <c r="D30" s="135"/>
    </row>
    <row r="31" spans="1:11" ht="17.45" customHeight="1">
      <c r="D31" s="196"/>
    </row>
    <row r="33" spans="4:4" ht="17.45" customHeight="1">
      <c r="D33" s="135"/>
    </row>
  </sheetData>
  <mergeCells count="27">
    <mergeCell ref="A1:B1"/>
    <mergeCell ref="A2:C2"/>
    <mergeCell ref="E2:G2"/>
    <mergeCell ref="A3:A19"/>
    <mergeCell ref="B3:B6"/>
    <mergeCell ref="E3:G3"/>
    <mergeCell ref="E4:G4"/>
    <mergeCell ref="E5:G5"/>
    <mergeCell ref="E6:G6"/>
    <mergeCell ref="B7:B9"/>
    <mergeCell ref="E7:G7"/>
    <mergeCell ref="E9:G9"/>
    <mergeCell ref="B10:B19"/>
    <mergeCell ref="E19:G19"/>
    <mergeCell ref="A20:C20"/>
    <mergeCell ref="A26:C26"/>
    <mergeCell ref="A27:C27"/>
    <mergeCell ref="A28:C28"/>
    <mergeCell ref="E28:G28"/>
    <mergeCell ref="A22:C22"/>
    <mergeCell ref="A23:C23"/>
    <mergeCell ref="E23:G23"/>
    <mergeCell ref="A24:C24"/>
    <mergeCell ref="A25:C25"/>
    <mergeCell ref="E25:G25"/>
    <mergeCell ref="A21:C21"/>
    <mergeCell ref="E21:G21"/>
  </mergeCells>
  <phoneticPr fontId="18" type="noConversion"/>
  <printOptions horizontalCentered="1" verticalCentered="1"/>
  <pageMargins left="0.78740157480314965" right="0.39370078740157483" top="0.78740157480314965" bottom="0.39370078740157483" header="0.39370078740157483" footer="0.19685039370078741"/>
  <pageSetup paperSize="9" orientation="landscape" r:id="rId1"/>
  <headerFooter alignWithMargins="0">
    <oddHeader>&amp;C&amp;"맑은 고딕,굵게"&amp;16공  사  원  가  계  산  서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21"/>
  <sheetViews>
    <sheetView showZeros="0" view="pageBreakPreview" topLeftCell="B1" zoomScaleSheetLayoutView="100" workbookViewId="0">
      <selection activeCell="I4" sqref="I4"/>
    </sheetView>
  </sheetViews>
  <sheetFormatPr defaultRowHeight="30" customHeight="1"/>
  <cols>
    <col min="1" max="1" width="4.6640625" style="414" hidden="1" customWidth="1"/>
    <col min="2" max="2" width="7.5546875" style="414" customWidth="1"/>
    <col min="3" max="3" width="21.77734375" style="414" customWidth="1"/>
    <col min="4" max="5" width="5.77734375" style="414" customWidth="1"/>
    <col min="6" max="9" width="15.77734375" style="414" customWidth="1"/>
    <col min="10" max="10" width="10.77734375" style="414" customWidth="1"/>
    <col min="11" max="11" width="8.88671875" style="414"/>
    <col min="12" max="12" width="9.5546875" style="414" bestFit="1" customWidth="1"/>
    <col min="13" max="13" width="9.6640625" style="414" bestFit="1" customWidth="1"/>
    <col min="14" max="16384" width="8.88671875" style="414"/>
  </cols>
  <sheetData>
    <row r="1" spans="1:11" s="406" customFormat="1" ht="30" customHeight="1">
      <c r="A1" s="400"/>
      <c r="B1" s="556" t="s">
        <v>487</v>
      </c>
      <c r="C1" s="557"/>
      <c r="D1" s="401" t="s">
        <v>488</v>
      </c>
      <c r="E1" s="402" t="s">
        <v>489</v>
      </c>
      <c r="F1" s="403" t="s">
        <v>490</v>
      </c>
      <c r="G1" s="403" t="s">
        <v>491</v>
      </c>
      <c r="H1" s="403" t="s">
        <v>492</v>
      </c>
      <c r="I1" s="404" t="s">
        <v>493</v>
      </c>
      <c r="J1" s="405" t="s">
        <v>494</v>
      </c>
    </row>
    <row r="2" spans="1:11" ht="30" customHeight="1">
      <c r="A2" s="407" t="s">
        <v>182</v>
      </c>
      <c r="B2" s="408" t="str">
        <f>'공사 원가계산서'!A1</f>
        <v xml:space="preserve"> 공 사 명 : </v>
      </c>
      <c r="C2" s="248" t="str">
        <f>'설계예산서 '!A6</f>
        <v>부산역 3층 전문점 소방설비공사</v>
      </c>
      <c r="D2" s="409"/>
      <c r="E2" s="410"/>
      <c r="F2" s="411"/>
      <c r="G2" s="412"/>
      <c r="H2" s="411"/>
      <c r="I2" s="411"/>
      <c r="J2" s="413"/>
    </row>
    <row r="3" spans="1:11" ht="30" customHeight="1">
      <c r="B3" s="547" t="s">
        <v>495</v>
      </c>
      <c r="C3" s="558"/>
      <c r="D3" s="415">
        <v>1</v>
      </c>
      <c r="E3" s="415" t="s">
        <v>191</v>
      </c>
      <c r="F3" s="416">
        <f>'내역 집계(전기)'!F16</f>
        <v>0</v>
      </c>
      <c r="G3" s="416">
        <f>'내역 집계(전기)'!G16</f>
        <v>0</v>
      </c>
      <c r="H3" s="416">
        <f>[15]내역서집계!H16</f>
        <v>0</v>
      </c>
      <c r="I3" s="416">
        <f>F3+G3+H3</f>
        <v>0</v>
      </c>
      <c r="J3" s="417"/>
    </row>
    <row r="4" spans="1:11" ht="30" customHeight="1">
      <c r="B4" s="547" t="s">
        <v>496</v>
      </c>
      <c r="C4" s="555"/>
      <c r="D4" s="415">
        <v>1</v>
      </c>
      <c r="E4" s="415" t="s">
        <v>191</v>
      </c>
      <c r="F4" s="416">
        <f>'내역 집계(기계)'!E20</f>
        <v>0</v>
      </c>
      <c r="G4" s="416">
        <f>'내역 집계(기계)'!F20</f>
        <v>0</v>
      </c>
      <c r="H4" s="416">
        <f>'내역 집계(기계)'!G20</f>
        <v>0</v>
      </c>
      <c r="I4" s="416">
        <f>F4+G4+H4</f>
        <v>0</v>
      </c>
      <c r="J4" s="417"/>
    </row>
    <row r="5" spans="1:11" ht="30" customHeight="1">
      <c r="B5" s="547"/>
      <c r="C5" s="555"/>
      <c r="D5" s="415"/>
      <c r="E5" s="415"/>
      <c r="F5" s="416"/>
      <c r="G5" s="416"/>
      <c r="H5" s="416"/>
      <c r="I5" s="416"/>
      <c r="J5" s="417"/>
    </row>
    <row r="6" spans="1:11" ht="30" customHeight="1">
      <c r="B6" s="547"/>
      <c r="C6" s="555"/>
      <c r="D6" s="415"/>
      <c r="E6" s="415"/>
      <c r="F6" s="416"/>
      <c r="G6" s="416"/>
      <c r="H6" s="416"/>
      <c r="I6" s="416"/>
      <c r="J6" s="417"/>
    </row>
    <row r="7" spans="1:11" ht="30" customHeight="1">
      <c r="B7" s="547"/>
      <c r="C7" s="555"/>
      <c r="D7" s="415"/>
      <c r="E7" s="415"/>
      <c r="F7" s="416"/>
      <c r="G7" s="416"/>
      <c r="H7" s="416"/>
      <c r="I7" s="416"/>
      <c r="J7" s="417"/>
    </row>
    <row r="8" spans="1:11" ht="30" customHeight="1">
      <c r="B8" s="547"/>
      <c r="C8" s="548"/>
      <c r="D8" s="415"/>
      <c r="E8" s="415"/>
      <c r="F8" s="416"/>
      <c r="G8" s="416"/>
      <c r="H8" s="416"/>
      <c r="I8" s="416"/>
      <c r="J8" s="417"/>
      <c r="K8" s="418"/>
    </row>
    <row r="9" spans="1:11" ht="30" customHeight="1">
      <c r="B9" s="547"/>
      <c r="C9" s="548"/>
      <c r="D9" s="415"/>
      <c r="E9" s="415"/>
      <c r="F9" s="416"/>
      <c r="G9" s="416"/>
      <c r="H9" s="416"/>
      <c r="I9" s="416"/>
      <c r="J9" s="419"/>
    </row>
    <row r="10" spans="1:11" ht="30" customHeight="1">
      <c r="B10" s="553"/>
      <c r="C10" s="554"/>
      <c r="D10" s="415"/>
      <c r="E10" s="415"/>
      <c r="F10" s="420"/>
      <c r="G10" s="420"/>
      <c r="H10" s="420"/>
      <c r="I10" s="416"/>
      <c r="J10" s="417"/>
    </row>
    <row r="11" spans="1:11" ht="30" customHeight="1">
      <c r="B11" s="547"/>
      <c r="C11" s="548"/>
      <c r="D11" s="415"/>
      <c r="E11" s="415"/>
      <c r="F11" s="416"/>
      <c r="G11" s="416"/>
      <c r="H11" s="416"/>
      <c r="I11" s="416"/>
      <c r="J11" s="417"/>
      <c r="K11" s="418"/>
    </row>
    <row r="12" spans="1:11" ht="30" customHeight="1">
      <c r="B12" s="547"/>
      <c r="C12" s="555"/>
      <c r="D12" s="415"/>
      <c r="E12" s="415"/>
      <c r="F12" s="416"/>
      <c r="G12" s="416"/>
      <c r="H12" s="416"/>
      <c r="I12" s="416"/>
      <c r="J12" s="417"/>
    </row>
    <row r="13" spans="1:11" ht="30" customHeight="1">
      <c r="B13" s="547"/>
      <c r="C13" s="548"/>
      <c r="D13" s="415"/>
      <c r="E13" s="415"/>
      <c r="F13" s="416"/>
      <c r="G13" s="416"/>
      <c r="H13" s="416"/>
      <c r="I13" s="416"/>
      <c r="J13" s="417"/>
    </row>
    <row r="14" spans="1:11" ht="30" customHeight="1">
      <c r="B14" s="547"/>
      <c r="C14" s="548"/>
      <c r="D14" s="415"/>
      <c r="E14" s="415"/>
      <c r="F14" s="416"/>
      <c r="G14" s="416"/>
      <c r="H14" s="416"/>
      <c r="I14" s="416"/>
      <c r="J14" s="417"/>
    </row>
    <row r="15" spans="1:11" ht="30" customHeight="1">
      <c r="B15" s="547"/>
      <c r="C15" s="548"/>
      <c r="D15" s="415"/>
      <c r="E15" s="415"/>
      <c r="F15" s="416"/>
      <c r="G15" s="416"/>
      <c r="H15" s="416"/>
      <c r="I15" s="416"/>
      <c r="J15" s="417"/>
    </row>
    <row r="16" spans="1:11" ht="30" customHeight="1">
      <c r="B16" s="549" t="s">
        <v>497</v>
      </c>
      <c r="C16" s="550"/>
      <c r="D16" s="421"/>
      <c r="E16" s="422"/>
      <c r="F16" s="423">
        <f>SUM(F3:F15)</f>
        <v>0</v>
      </c>
      <c r="G16" s="423">
        <f>SUM(G3:G15)</f>
        <v>0</v>
      </c>
      <c r="H16" s="423">
        <f>SUM(H3:H15)</f>
        <v>0</v>
      </c>
      <c r="I16" s="175">
        <f>F16+G16+H16</f>
        <v>0</v>
      </c>
      <c r="J16" s="424"/>
    </row>
    <row r="17" spans="2:9" ht="30" customHeight="1">
      <c r="B17" s="551"/>
      <c r="C17" s="552"/>
      <c r="D17" s="341"/>
      <c r="E17" s="341"/>
      <c r="F17" s="412"/>
      <c r="G17" s="412"/>
      <c r="H17" s="412"/>
      <c r="I17" s="412"/>
    </row>
    <row r="18" spans="2:9" ht="30" customHeight="1">
      <c r="G18" s="425">
        <v>0</v>
      </c>
    </row>
    <row r="21" spans="2:9" ht="30" customHeight="1">
      <c r="F21" s="115"/>
      <c r="G21" s="115"/>
      <c r="H21" s="115"/>
      <c r="I21" s="115"/>
    </row>
  </sheetData>
  <mergeCells count="16">
    <mergeCell ref="B7:C7"/>
    <mergeCell ref="B1:C1"/>
    <mergeCell ref="B3:C3"/>
    <mergeCell ref="B4:C4"/>
    <mergeCell ref="B5:C5"/>
    <mergeCell ref="B6:C6"/>
    <mergeCell ref="B14:C14"/>
    <mergeCell ref="B15:C15"/>
    <mergeCell ref="B16:C16"/>
    <mergeCell ref="B17:C17"/>
    <mergeCell ref="B8:C8"/>
    <mergeCell ref="B9:C9"/>
    <mergeCell ref="B10:C10"/>
    <mergeCell ref="B11:C11"/>
    <mergeCell ref="B12:C12"/>
    <mergeCell ref="B13:C13"/>
  </mergeCells>
  <phoneticPr fontId="18" type="noConversion"/>
  <printOptions horizontalCentered="1" verticalCentered="1"/>
  <pageMargins left="0.78740157480314965" right="0.39370078740157483" top="0.78740157480314965" bottom="0.39370078740157483" header="0.39370078740157483" footer="0.19685039370078741"/>
  <pageSetup paperSize="9" orientation="landscape" r:id="rId1"/>
  <headerFooter alignWithMargins="0">
    <oddHeader>&amp;C&amp;"맑은 고딕,굵게"&amp;16내   역   서   집   계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0000"/>
  </sheetPr>
  <dimension ref="A1:K21"/>
  <sheetViews>
    <sheetView showZeros="0" view="pageBreakPreview" topLeftCell="B1" zoomScaleSheetLayoutView="100" workbookViewId="0">
      <selection activeCell="F7" sqref="F7"/>
    </sheetView>
  </sheetViews>
  <sheetFormatPr defaultRowHeight="30" customHeight="1"/>
  <cols>
    <col min="1" max="1" width="4.6640625" style="52" hidden="1" customWidth="1"/>
    <col min="2" max="2" width="7.5546875" style="52" customWidth="1"/>
    <col min="3" max="3" width="21.77734375" style="52" customWidth="1"/>
    <col min="4" max="5" width="5.77734375" style="52" customWidth="1"/>
    <col min="6" max="9" width="15.77734375" style="52" customWidth="1"/>
    <col min="10" max="10" width="10.77734375" style="52" customWidth="1"/>
    <col min="11" max="11" width="8.88671875" style="52"/>
    <col min="12" max="12" width="9.5546875" style="52" bestFit="1" customWidth="1"/>
    <col min="13" max="13" width="9.6640625" style="52" bestFit="1" customWidth="1"/>
    <col min="14" max="16384" width="8.88671875" style="52"/>
  </cols>
  <sheetData>
    <row r="1" spans="1:11" s="55" customFormat="1" ht="30" customHeight="1">
      <c r="A1" s="56"/>
      <c r="B1" s="564" t="s">
        <v>156</v>
      </c>
      <c r="C1" s="565"/>
      <c r="D1" s="143" t="s">
        <v>154</v>
      </c>
      <c r="E1" s="144" t="s">
        <v>155</v>
      </c>
      <c r="F1" s="145" t="s">
        <v>151</v>
      </c>
      <c r="G1" s="145" t="s">
        <v>152</v>
      </c>
      <c r="H1" s="145" t="s">
        <v>153</v>
      </c>
      <c r="I1" s="146" t="s">
        <v>150</v>
      </c>
      <c r="J1" s="147" t="s">
        <v>157</v>
      </c>
    </row>
    <row r="2" spans="1:11" ht="30" customHeight="1">
      <c r="A2" s="50" t="s">
        <v>182</v>
      </c>
      <c r="B2" s="139" t="str">
        <f>공사원가계산서!A1</f>
        <v xml:space="preserve"> 공 사 명 : </v>
      </c>
      <c r="C2" s="248" t="s">
        <v>500</v>
      </c>
      <c r="D2" s="140"/>
      <c r="E2" s="141"/>
      <c r="F2" s="137"/>
      <c r="G2" s="51"/>
      <c r="H2" s="137"/>
      <c r="I2" s="137"/>
      <c r="J2" s="142"/>
    </row>
    <row r="3" spans="1:11" ht="30" customHeight="1">
      <c r="B3" s="547" t="e">
        <f>내역서!B3</f>
        <v>#REF!</v>
      </c>
      <c r="C3" s="566"/>
      <c r="D3" s="12">
        <v>1</v>
      </c>
      <c r="E3" s="12" t="s">
        <v>191</v>
      </c>
      <c r="F3" s="53">
        <f>내역서!G3</f>
        <v>0</v>
      </c>
      <c r="G3" s="53">
        <f>내역서!I3</f>
        <v>0</v>
      </c>
      <c r="H3" s="53">
        <f>내역서!K3</f>
        <v>0</v>
      </c>
      <c r="I3" s="53">
        <f>F3+G3+H3</f>
        <v>0</v>
      </c>
      <c r="J3" s="54"/>
    </row>
    <row r="4" spans="1:11" ht="30" customHeight="1">
      <c r="B4" s="547" t="str">
        <f>내역서!B59</f>
        <v>2. 자동화재탐지 설비공사</v>
      </c>
      <c r="C4" s="563"/>
      <c r="D4" s="12">
        <v>1</v>
      </c>
      <c r="E4" s="12" t="s">
        <v>191</v>
      </c>
      <c r="F4" s="53">
        <f>내역서!G59</f>
        <v>0</v>
      </c>
      <c r="G4" s="53">
        <f>내역서!I59</f>
        <v>0</v>
      </c>
      <c r="H4" s="53"/>
      <c r="I4" s="53">
        <f>F4+G4+H4</f>
        <v>0</v>
      </c>
      <c r="J4" s="54"/>
    </row>
    <row r="5" spans="1:11" ht="30" customHeight="1">
      <c r="B5" s="547" t="str">
        <f>내역서!B87</f>
        <v>3. 유도등 설비공사</v>
      </c>
      <c r="C5" s="563"/>
      <c r="D5" s="12">
        <v>1</v>
      </c>
      <c r="E5" s="12" t="s">
        <v>191</v>
      </c>
      <c r="F5" s="53">
        <f>내역서!G87</f>
        <v>0</v>
      </c>
      <c r="G5" s="53">
        <f>내역서!I87</f>
        <v>0</v>
      </c>
      <c r="H5" s="53"/>
      <c r="I5" s="53">
        <f>F5+G5+H5</f>
        <v>0</v>
      </c>
      <c r="J5" s="54"/>
    </row>
    <row r="6" spans="1:11" ht="30" customHeight="1">
      <c r="B6" s="547" t="str">
        <f>내역서!B115</f>
        <v>4. 비상방송 설비공사</v>
      </c>
      <c r="C6" s="563"/>
      <c r="D6" s="12">
        <v>1</v>
      </c>
      <c r="E6" s="12" t="s">
        <v>191</v>
      </c>
      <c r="F6" s="53">
        <f>내역서!G115</f>
        <v>0</v>
      </c>
      <c r="G6" s="53">
        <f>내역서!I115</f>
        <v>0</v>
      </c>
      <c r="H6" s="53"/>
      <c r="I6" s="53">
        <f>F6+G6+H6</f>
        <v>0</v>
      </c>
      <c r="J6" s="54"/>
    </row>
    <row r="7" spans="1:11" ht="30" customHeight="1">
      <c r="B7" s="547" t="str">
        <f>내역서!B143</f>
        <v>5. 비상조명 설비공사</v>
      </c>
      <c r="C7" s="563"/>
      <c r="D7" s="12">
        <v>1</v>
      </c>
      <c r="E7" s="12" t="s">
        <v>191</v>
      </c>
      <c r="F7" s="53">
        <f>내역서!G143</f>
        <v>0</v>
      </c>
      <c r="G7" s="53">
        <f>내역서!I143</f>
        <v>0</v>
      </c>
      <c r="H7" s="53">
        <f>내역서!K143</f>
        <v>0</v>
      </c>
      <c r="I7" s="53">
        <f>F7+G7+H7</f>
        <v>0</v>
      </c>
      <c r="J7" s="54"/>
    </row>
    <row r="8" spans="1:11" ht="30" customHeight="1">
      <c r="B8" s="547"/>
      <c r="C8" s="562"/>
      <c r="D8" s="12"/>
      <c r="E8" s="12"/>
      <c r="F8" s="53"/>
      <c r="G8" s="53"/>
      <c r="H8" s="53"/>
      <c r="I8" s="53"/>
      <c r="J8" s="54"/>
      <c r="K8" s="179"/>
    </row>
    <row r="9" spans="1:11" ht="30" customHeight="1">
      <c r="B9" s="547"/>
      <c r="C9" s="562"/>
      <c r="D9" s="12"/>
      <c r="E9" s="12"/>
      <c r="F9" s="53"/>
      <c r="G9" s="53"/>
      <c r="H9" s="53"/>
      <c r="I9" s="53"/>
      <c r="J9" s="138"/>
    </row>
    <row r="10" spans="1:11" ht="30" customHeight="1">
      <c r="B10" s="553"/>
      <c r="C10" s="554"/>
      <c r="D10" s="12"/>
      <c r="E10" s="12"/>
      <c r="F10" s="178"/>
      <c r="G10" s="178"/>
      <c r="H10" s="178"/>
      <c r="I10" s="53"/>
      <c r="J10" s="54"/>
    </row>
    <row r="11" spans="1:11" ht="30" customHeight="1">
      <c r="B11" s="547"/>
      <c r="C11" s="562"/>
      <c r="D11" s="12"/>
      <c r="E11" s="12"/>
      <c r="F11" s="53"/>
      <c r="G11" s="53"/>
      <c r="H11" s="53"/>
      <c r="I11" s="53"/>
      <c r="J11" s="54"/>
      <c r="K11" s="179"/>
    </row>
    <row r="12" spans="1:11" ht="30" customHeight="1">
      <c r="B12" s="547"/>
      <c r="C12" s="563"/>
      <c r="D12" s="12"/>
      <c r="E12" s="12"/>
      <c r="F12" s="53"/>
      <c r="G12" s="53"/>
      <c r="H12" s="53"/>
      <c r="I12" s="53"/>
      <c r="J12" s="54"/>
    </row>
    <row r="13" spans="1:11" ht="30" customHeight="1">
      <c r="B13" s="547"/>
      <c r="C13" s="562"/>
      <c r="D13" s="12"/>
      <c r="E13" s="12"/>
      <c r="F13" s="53"/>
      <c r="G13" s="53"/>
      <c r="H13" s="53"/>
      <c r="I13" s="53"/>
      <c r="J13" s="54"/>
    </row>
    <row r="14" spans="1:11" ht="30" customHeight="1">
      <c r="B14" s="547"/>
      <c r="C14" s="562"/>
      <c r="D14" s="12"/>
      <c r="E14" s="12"/>
      <c r="F14" s="53"/>
      <c r="G14" s="53"/>
      <c r="H14" s="53"/>
      <c r="I14" s="53"/>
      <c r="J14" s="54"/>
    </row>
    <row r="15" spans="1:11" ht="30" customHeight="1">
      <c r="B15" s="547"/>
      <c r="C15" s="562"/>
      <c r="D15" s="12"/>
      <c r="E15" s="12"/>
      <c r="F15" s="53"/>
      <c r="G15" s="53"/>
      <c r="H15" s="53"/>
      <c r="I15" s="53"/>
      <c r="J15" s="54"/>
    </row>
    <row r="16" spans="1:11" ht="30" customHeight="1">
      <c r="B16" s="549" t="s">
        <v>216</v>
      </c>
      <c r="C16" s="561"/>
      <c r="D16" s="172"/>
      <c r="E16" s="173"/>
      <c r="F16" s="174">
        <f>SUM(F3:F15)</f>
        <v>0</v>
      </c>
      <c r="G16" s="174">
        <f>SUM(G3:G15)</f>
        <v>0</v>
      </c>
      <c r="H16" s="174">
        <f>SUM(H3:H15)</f>
        <v>0</v>
      </c>
      <c r="I16" s="175">
        <f>F16+G16+H16</f>
        <v>0</v>
      </c>
      <c r="J16" s="176"/>
    </row>
    <row r="17" spans="2:9" ht="30" customHeight="1">
      <c r="B17" s="559"/>
      <c r="C17" s="560"/>
      <c r="D17" s="13"/>
      <c r="E17" s="13"/>
      <c r="F17" s="51"/>
      <c r="G17" s="51"/>
      <c r="H17" s="51"/>
      <c r="I17" s="51"/>
    </row>
    <row r="18" spans="2:9" ht="30" customHeight="1">
      <c r="G18" s="177">
        <v>0</v>
      </c>
    </row>
    <row r="21" spans="2:9" ht="30" customHeight="1">
      <c r="F21" s="115"/>
      <c r="G21" s="115"/>
      <c r="H21" s="115"/>
      <c r="I21" s="115"/>
    </row>
  </sheetData>
  <mergeCells count="16">
    <mergeCell ref="B1:C1"/>
    <mergeCell ref="B11:C11"/>
    <mergeCell ref="B3:C3"/>
    <mergeCell ref="B5:C5"/>
    <mergeCell ref="B8:C8"/>
    <mergeCell ref="B9:C9"/>
    <mergeCell ref="B7:C7"/>
    <mergeCell ref="B6:C6"/>
    <mergeCell ref="B4:C4"/>
    <mergeCell ref="B17:C17"/>
    <mergeCell ref="B16:C16"/>
    <mergeCell ref="B15:C15"/>
    <mergeCell ref="B10:C10"/>
    <mergeCell ref="B12:C12"/>
    <mergeCell ref="B14:C14"/>
    <mergeCell ref="B13:C13"/>
  </mergeCells>
  <phoneticPr fontId="8" type="noConversion"/>
  <printOptions horizontalCentered="1" verticalCentered="1"/>
  <pageMargins left="0.78740157480314965" right="0.39370078740157483" top="0.78740157480314965" bottom="0.39370078740157483" header="0.39370078740157483" footer="0.19685039370078741"/>
  <pageSetup paperSize="9" orientation="landscape" r:id="rId1"/>
  <headerFooter alignWithMargins="0">
    <oddHeader>&amp;C&amp;"맑은 고딕,굵게"&amp;16내   역   서   집   계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5"/>
  <sheetViews>
    <sheetView view="pageBreakPreview" zoomScale="90" zoomScaleNormal="100" zoomScaleSheetLayoutView="90" workbookViewId="0">
      <selection activeCell="F4" sqref="F4"/>
    </sheetView>
  </sheetViews>
  <sheetFormatPr defaultRowHeight="13.5"/>
  <cols>
    <col min="1" max="1" width="10.33203125" style="342" customWidth="1"/>
    <col min="2" max="2" width="20.109375" style="342" customWidth="1"/>
    <col min="3" max="3" width="5" style="361" customWidth="1"/>
    <col min="4" max="4" width="6.77734375" style="361" customWidth="1"/>
    <col min="5" max="9" width="17.44140625" style="362" customWidth="1"/>
    <col min="10" max="256" width="8.88671875" style="342"/>
    <col min="257" max="257" width="10.33203125" style="342" customWidth="1"/>
    <col min="258" max="258" width="20.109375" style="342" customWidth="1"/>
    <col min="259" max="259" width="5" style="342" customWidth="1"/>
    <col min="260" max="260" width="6.77734375" style="342" customWidth="1"/>
    <col min="261" max="265" width="17.44140625" style="342" customWidth="1"/>
    <col min="266" max="512" width="8.88671875" style="342"/>
    <col min="513" max="513" width="10.33203125" style="342" customWidth="1"/>
    <col min="514" max="514" width="20.109375" style="342" customWidth="1"/>
    <col min="515" max="515" width="5" style="342" customWidth="1"/>
    <col min="516" max="516" width="6.77734375" style="342" customWidth="1"/>
    <col min="517" max="521" width="17.44140625" style="342" customWidth="1"/>
    <col min="522" max="768" width="8.88671875" style="342"/>
    <col min="769" max="769" width="10.33203125" style="342" customWidth="1"/>
    <col min="770" max="770" width="20.109375" style="342" customWidth="1"/>
    <col min="771" max="771" width="5" style="342" customWidth="1"/>
    <col min="772" max="772" width="6.77734375" style="342" customWidth="1"/>
    <col min="773" max="777" width="17.44140625" style="342" customWidth="1"/>
    <col min="778" max="1024" width="8.88671875" style="342"/>
    <col min="1025" max="1025" width="10.33203125" style="342" customWidth="1"/>
    <col min="1026" max="1026" width="20.109375" style="342" customWidth="1"/>
    <col min="1027" max="1027" width="5" style="342" customWidth="1"/>
    <col min="1028" max="1028" width="6.77734375" style="342" customWidth="1"/>
    <col min="1029" max="1033" width="17.44140625" style="342" customWidth="1"/>
    <col min="1034" max="1280" width="8.88671875" style="342"/>
    <col min="1281" max="1281" width="10.33203125" style="342" customWidth="1"/>
    <col min="1282" max="1282" width="20.109375" style="342" customWidth="1"/>
    <col min="1283" max="1283" width="5" style="342" customWidth="1"/>
    <col min="1284" max="1284" width="6.77734375" style="342" customWidth="1"/>
    <col min="1285" max="1289" width="17.44140625" style="342" customWidth="1"/>
    <col min="1290" max="1536" width="8.88671875" style="342"/>
    <col min="1537" max="1537" width="10.33203125" style="342" customWidth="1"/>
    <col min="1538" max="1538" width="20.109375" style="342" customWidth="1"/>
    <col min="1539" max="1539" width="5" style="342" customWidth="1"/>
    <col min="1540" max="1540" width="6.77734375" style="342" customWidth="1"/>
    <col min="1541" max="1545" width="17.44140625" style="342" customWidth="1"/>
    <col min="1546" max="1792" width="8.88671875" style="342"/>
    <col min="1793" max="1793" width="10.33203125" style="342" customWidth="1"/>
    <col min="1794" max="1794" width="20.109375" style="342" customWidth="1"/>
    <col min="1795" max="1795" width="5" style="342" customWidth="1"/>
    <col min="1796" max="1796" width="6.77734375" style="342" customWidth="1"/>
    <col min="1797" max="1801" width="17.44140625" style="342" customWidth="1"/>
    <col min="1802" max="2048" width="8.88671875" style="342"/>
    <col min="2049" max="2049" width="10.33203125" style="342" customWidth="1"/>
    <col min="2050" max="2050" width="20.109375" style="342" customWidth="1"/>
    <col min="2051" max="2051" width="5" style="342" customWidth="1"/>
    <col min="2052" max="2052" width="6.77734375" style="342" customWidth="1"/>
    <col min="2053" max="2057" width="17.44140625" style="342" customWidth="1"/>
    <col min="2058" max="2304" width="8.88671875" style="342"/>
    <col min="2305" max="2305" width="10.33203125" style="342" customWidth="1"/>
    <col min="2306" max="2306" width="20.109375" style="342" customWidth="1"/>
    <col min="2307" max="2307" width="5" style="342" customWidth="1"/>
    <col min="2308" max="2308" width="6.77734375" style="342" customWidth="1"/>
    <col min="2309" max="2313" width="17.44140625" style="342" customWidth="1"/>
    <col min="2314" max="2560" width="8.88671875" style="342"/>
    <col min="2561" max="2561" width="10.33203125" style="342" customWidth="1"/>
    <col min="2562" max="2562" width="20.109375" style="342" customWidth="1"/>
    <col min="2563" max="2563" width="5" style="342" customWidth="1"/>
    <col min="2564" max="2564" width="6.77734375" style="342" customWidth="1"/>
    <col min="2565" max="2569" width="17.44140625" style="342" customWidth="1"/>
    <col min="2570" max="2816" width="8.88671875" style="342"/>
    <col min="2817" max="2817" width="10.33203125" style="342" customWidth="1"/>
    <col min="2818" max="2818" width="20.109375" style="342" customWidth="1"/>
    <col min="2819" max="2819" width="5" style="342" customWidth="1"/>
    <col min="2820" max="2820" width="6.77734375" style="342" customWidth="1"/>
    <col min="2821" max="2825" width="17.44140625" style="342" customWidth="1"/>
    <col min="2826" max="3072" width="8.88671875" style="342"/>
    <col min="3073" max="3073" width="10.33203125" style="342" customWidth="1"/>
    <col min="3074" max="3074" width="20.109375" style="342" customWidth="1"/>
    <col min="3075" max="3075" width="5" style="342" customWidth="1"/>
    <col min="3076" max="3076" width="6.77734375" style="342" customWidth="1"/>
    <col min="3077" max="3081" width="17.44140625" style="342" customWidth="1"/>
    <col min="3082" max="3328" width="8.88671875" style="342"/>
    <col min="3329" max="3329" width="10.33203125" style="342" customWidth="1"/>
    <col min="3330" max="3330" width="20.109375" style="342" customWidth="1"/>
    <col min="3331" max="3331" width="5" style="342" customWidth="1"/>
    <col min="3332" max="3332" width="6.77734375" style="342" customWidth="1"/>
    <col min="3333" max="3337" width="17.44140625" style="342" customWidth="1"/>
    <col min="3338" max="3584" width="8.88671875" style="342"/>
    <col min="3585" max="3585" width="10.33203125" style="342" customWidth="1"/>
    <col min="3586" max="3586" width="20.109375" style="342" customWidth="1"/>
    <col min="3587" max="3587" width="5" style="342" customWidth="1"/>
    <col min="3588" max="3588" width="6.77734375" style="342" customWidth="1"/>
    <col min="3589" max="3593" width="17.44140625" style="342" customWidth="1"/>
    <col min="3594" max="3840" width="8.88671875" style="342"/>
    <col min="3841" max="3841" width="10.33203125" style="342" customWidth="1"/>
    <col min="3842" max="3842" width="20.109375" style="342" customWidth="1"/>
    <col min="3843" max="3843" width="5" style="342" customWidth="1"/>
    <col min="3844" max="3844" width="6.77734375" style="342" customWidth="1"/>
    <col min="3845" max="3849" width="17.44140625" style="342" customWidth="1"/>
    <col min="3850" max="4096" width="8.88671875" style="342"/>
    <col min="4097" max="4097" width="10.33203125" style="342" customWidth="1"/>
    <col min="4098" max="4098" width="20.109375" style="342" customWidth="1"/>
    <col min="4099" max="4099" width="5" style="342" customWidth="1"/>
    <col min="4100" max="4100" width="6.77734375" style="342" customWidth="1"/>
    <col min="4101" max="4105" width="17.44140625" style="342" customWidth="1"/>
    <col min="4106" max="4352" width="8.88671875" style="342"/>
    <col min="4353" max="4353" width="10.33203125" style="342" customWidth="1"/>
    <col min="4354" max="4354" width="20.109375" style="342" customWidth="1"/>
    <col min="4355" max="4355" width="5" style="342" customWidth="1"/>
    <col min="4356" max="4356" width="6.77734375" style="342" customWidth="1"/>
    <col min="4357" max="4361" width="17.44140625" style="342" customWidth="1"/>
    <col min="4362" max="4608" width="8.88671875" style="342"/>
    <col min="4609" max="4609" width="10.33203125" style="342" customWidth="1"/>
    <col min="4610" max="4610" width="20.109375" style="342" customWidth="1"/>
    <col min="4611" max="4611" width="5" style="342" customWidth="1"/>
    <col min="4612" max="4612" width="6.77734375" style="342" customWidth="1"/>
    <col min="4613" max="4617" width="17.44140625" style="342" customWidth="1"/>
    <col min="4618" max="4864" width="8.88671875" style="342"/>
    <col min="4865" max="4865" width="10.33203125" style="342" customWidth="1"/>
    <col min="4866" max="4866" width="20.109375" style="342" customWidth="1"/>
    <col min="4867" max="4867" width="5" style="342" customWidth="1"/>
    <col min="4868" max="4868" width="6.77734375" style="342" customWidth="1"/>
    <col min="4869" max="4873" width="17.44140625" style="342" customWidth="1"/>
    <col min="4874" max="5120" width="8.88671875" style="342"/>
    <col min="5121" max="5121" width="10.33203125" style="342" customWidth="1"/>
    <col min="5122" max="5122" width="20.109375" style="342" customWidth="1"/>
    <col min="5123" max="5123" width="5" style="342" customWidth="1"/>
    <col min="5124" max="5124" width="6.77734375" style="342" customWidth="1"/>
    <col min="5125" max="5129" width="17.44140625" style="342" customWidth="1"/>
    <col min="5130" max="5376" width="8.88671875" style="342"/>
    <col min="5377" max="5377" width="10.33203125" style="342" customWidth="1"/>
    <col min="5378" max="5378" width="20.109375" style="342" customWidth="1"/>
    <col min="5379" max="5379" width="5" style="342" customWidth="1"/>
    <col min="5380" max="5380" width="6.77734375" style="342" customWidth="1"/>
    <col min="5381" max="5385" width="17.44140625" style="342" customWidth="1"/>
    <col min="5386" max="5632" width="8.88671875" style="342"/>
    <col min="5633" max="5633" width="10.33203125" style="342" customWidth="1"/>
    <col min="5634" max="5634" width="20.109375" style="342" customWidth="1"/>
    <col min="5635" max="5635" width="5" style="342" customWidth="1"/>
    <col min="5636" max="5636" width="6.77734375" style="342" customWidth="1"/>
    <col min="5637" max="5641" width="17.44140625" style="342" customWidth="1"/>
    <col min="5642" max="5888" width="8.88671875" style="342"/>
    <col min="5889" max="5889" width="10.33203125" style="342" customWidth="1"/>
    <col min="5890" max="5890" width="20.109375" style="342" customWidth="1"/>
    <col min="5891" max="5891" width="5" style="342" customWidth="1"/>
    <col min="5892" max="5892" width="6.77734375" style="342" customWidth="1"/>
    <col min="5893" max="5897" width="17.44140625" style="342" customWidth="1"/>
    <col min="5898" max="6144" width="8.88671875" style="342"/>
    <col min="6145" max="6145" width="10.33203125" style="342" customWidth="1"/>
    <col min="6146" max="6146" width="20.109375" style="342" customWidth="1"/>
    <col min="6147" max="6147" width="5" style="342" customWidth="1"/>
    <col min="6148" max="6148" width="6.77734375" style="342" customWidth="1"/>
    <col min="6149" max="6153" width="17.44140625" style="342" customWidth="1"/>
    <col min="6154" max="6400" width="8.88671875" style="342"/>
    <col min="6401" max="6401" width="10.33203125" style="342" customWidth="1"/>
    <col min="6402" max="6402" width="20.109375" style="342" customWidth="1"/>
    <col min="6403" max="6403" width="5" style="342" customWidth="1"/>
    <col min="6404" max="6404" width="6.77734375" style="342" customWidth="1"/>
    <col min="6405" max="6409" width="17.44140625" style="342" customWidth="1"/>
    <col min="6410" max="6656" width="8.88671875" style="342"/>
    <col min="6657" max="6657" width="10.33203125" style="342" customWidth="1"/>
    <col min="6658" max="6658" width="20.109375" style="342" customWidth="1"/>
    <col min="6659" max="6659" width="5" style="342" customWidth="1"/>
    <col min="6660" max="6660" width="6.77734375" style="342" customWidth="1"/>
    <col min="6661" max="6665" width="17.44140625" style="342" customWidth="1"/>
    <col min="6666" max="6912" width="8.88671875" style="342"/>
    <col min="6913" max="6913" width="10.33203125" style="342" customWidth="1"/>
    <col min="6914" max="6914" width="20.109375" style="342" customWidth="1"/>
    <col min="6915" max="6915" width="5" style="342" customWidth="1"/>
    <col min="6916" max="6916" width="6.77734375" style="342" customWidth="1"/>
    <col min="6917" max="6921" width="17.44140625" style="342" customWidth="1"/>
    <col min="6922" max="7168" width="8.88671875" style="342"/>
    <col min="7169" max="7169" width="10.33203125" style="342" customWidth="1"/>
    <col min="7170" max="7170" width="20.109375" style="342" customWidth="1"/>
    <col min="7171" max="7171" width="5" style="342" customWidth="1"/>
    <col min="7172" max="7172" width="6.77734375" style="342" customWidth="1"/>
    <col min="7173" max="7177" width="17.44140625" style="342" customWidth="1"/>
    <col min="7178" max="7424" width="8.88671875" style="342"/>
    <col min="7425" max="7425" width="10.33203125" style="342" customWidth="1"/>
    <col min="7426" max="7426" width="20.109375" style="342" customWidth="1"/>
    <col min="7427" max="7427" width="5" style="342" customWidth="1"/>
    <col min="7428" max="7428" width="6.77734375" style="342" customWidth="1"/>
    <col min="7429" max="7433" width="17.44140625" style="342" customWidth="1"/>
    <col min="7434" max="7680" width="8.88671875" style="342"/>
    <col min="7681" max="7681" width="10.33203125" style="342" customWidth="1"/>
    <col min="7682" max="7682" width="20.109375" style="342" customWidth="1"/>
    <col min="7683" max="7683" width="5" style="342" customWidth="1"/>
    <col min="7684" max="7684" width="6.77734375" style="342" customWidth="1"/>
    <col min="7685" max="7689" width="17.44140625" style="342" customWidth="1"/>
    <col min="7690" max="7936" width="8.88671875" style="342"/>
    <col min="7937" max="7937" width="10.33203125" style="342" customWidth="1"/>
    <col min="7938" max="7938" width="20.109375" style="342" customWidth="1"/>
    <col min="7939" max="7939" width="5" style="342" customWidth="1"/>
    <col min="7940" max="7940" width="6.77734375" style="342" customWidth="1"/>
    <col min="7941" max="7945" width="17.44140625" style="342" customWidth="1"/>
    <col min="7946" max="8192" width="8.88671875" style="342"/>
    <col min="8193" max="8193" width="10.33203125" style="342" customWidth="1"/>
    <col min="8194" max="8194" width="20.109375" style="342" customWidth="1"/>
    <col min="8195" max="8195" width="5" style="342" customWidth="1"/>
    <col min="8196" max="8196" width="6.77734375" style="342" customWidth="1"/>
    <col min="8197" max="8201" width="17.44140625" style="342" customWidth="1"/>
    <col min="8202" max="8448" width="8.88671875" style="342"/>
    <col min="8449" max="8449" width="10.33203125" style="342" customWidth="1"/>
    <col min="8450" max="8450" width="20.109375" style="342" customWidth="1"/>
    <col min="8451" max="8451" width="5" style="342" customWidth="1"/>
    <col min="8452" max="8452" width="6.77734375" style="342" customWidth="1"/>
    <col min="8453" max="8457" width="17.44140625" style="342" customWidth="1"/>
    <col min="8458" max="8704" width="8.88671875" style="342"/>
    <col min="8705" max="8705" width="10.33203125" style="342" customWidth="1"/>
    <col min="8706" max="8706" width="20.109375" style="342" customWidth="1"/>
    <col min="8707" max="8707" width="5" style="342" customWidth="1"/>
    <col min="8708" max="8708" width="6.77734375" style="342" customWidth="1"/>
    <col min="8709" max="8713" width="17.44140625" style="342" customWidth="1"/>
    <col min="8714" max="8960" width="8.88671875" style="342"/>
    <col min="8961" max="8961" width="10.33203125" style="342" customWidth="1"/>
    <col min="8962" max="8962" width="20.109375" style="342" customWidth="1"/>
    <col min="8963" max="8963" width="5" style="342" customWidth="1"/>
    <col min="8964" max="8964" width="6.77734375" style="342" customWidth="1"/>
    <col min="8965" max="8969" width="17.44140625" style="342" customWidth="1"/>
    <col min="8970" max="9216" width="8.88671875" style="342"/>
    <col min="9217" max="9217" width="10.33203125" style="342" customWidth="1"/>
    <col min="9218" max="9218" width="20.109375" style="342" customWidth="1"/>
    <col min="9219" max="9219" width="5" style="342" customWidth="1"/>
    <col min="9220" max="9220" width="6.77734375" style="342" customWidth="1"/>
    <col min="9221" max="9225" width="17.44140625" style="342" customWidth="1"/>
    <col min="9226" max="9472" width="8.88671875" style="342"/>
    <col min="9473" max="9473" width="10.33203125" style="342" customWidth="1"/>
    <col min="9474" max="9474" width="20.109375" style="342" customWidth="1"/>
    <col min="9475" max="9475" width="5" style="342" customWidth="1"/>
    <col min="9476" max="9476" width="6.77734375" style="342" customWidth="1"/>
    <col min="9477" max="9481" width="17.44140625" style="342" customWidth="1"/>
    <col min="9482" max="9728" width="8.88671875" style="342"/>
    <col min="9729" max="9729" width="10.33203125" style="342" customWidth="1"/>
    <col min="9730" max="9730" width="20.109375" style="342" customWidth="1"/>
    <col min="9731" max="9731" width="5" style="342" customWidth="1"/>
    <col min="9732" max="9732" width="6.77734375" style="342" customWidth="1"/>
    <col min="9733" max="9737" width="17.44140625" style="342" customWidth="1"/>
    <col min="9738" max="9984" width="8.88671875" style="342"/>
    <col min="9985" max="9985" width="10.33203125" style="342" customWidth="1"/>
    <col min="9986" max="9986" width="20.109375" style="342" customWidth="1"/>
    <col min="9987" max="9987" width="5" style="342" customWidth="1"/>
    <col min="9988" max="9988" width="6.77734375" style="342" customWidth="1"/>
    <col min="9989" max="9993" width="17.44140625" style="342" customWidth="1"/>
    <col min="9994" max="10240" width="8.88671875" style="342"/>
    <col min="10241" max="10241" width="10.33203125" style="342" customWidth="1"/>
    <col min="10242" max="10242" width="20.109375" style="342" customWidth="1"/>
    <col min="10243" max="10243" width="5" style="342" customWidth="1"/>
    <col min="10244" max="10244" width="6.77734375" style="342" customWidth="1"/>
    <col min="10245" max="10249" width="17.44140625" style="342" customWidth="1"/>
    <col min="10250" max="10496" width="8.88671875" style="342"/>
    <col min="10497" max="10497" width="10.33203125" style="342" customWidth="1"/>
    <col min="10498" max="10498" width="20.109375" style="342" customWidth="1"/>
    <col min="10499" max="10499" width="5" style="342" customWidth="1"/>
    <col min="10500" max="10500" width="6.77734375" style="342" customWidth="1"/>
    <col min="10501" max="10505" width="17.44140625" style="342" customWidth="1"/>
    <col min="10506" max="10752" width="8.88671875" style="342"/>
    <col min="10753" max="10753" width="10.33203125" style="342" customWidth="1"/>
    <col min="10754" max="10754" width="20.109375" style="342" customWidth="1"/>
    <col min="10755" max="10755" width="5" style="342" customWidth="1"/>
    <col min="10756" max="10756" width="6.77734375" style="342" customWidth="1"/>
    <col min="10757" max="10761" width="17.44140625" style="342" customWidth="1"/>
    <col min="10762" max="11008" width="8.88671875" style="342"/>
    <col min="11009" max="11009" width="10.33203125" style="342" customWidth="1"/>
    <col min="11010" max="11010" width="20.109375" style="342" customWidth="1"/>
    <col min="11011" max="11011" width="5" style="342" customWidth="1"/>
    <col min="11012" max="11012" width="6.77734375" style="342" customWidth="1"/>
    <col min="11013" max="11017" width="17.44140625" style="342" customWidth="1"/>
    <col min="11018" max="11264" width="8.88671875" style="342"/>
    <col min="11265" max="11265" width="10.33203125" style="342" customWidth="1"/>
    <col min="11266" max="11266" width="20.109375" style="342" customWidth="1"/>
    <col min="11267" max="11267" width="5" style="342" customWidth="1"/>
    <col min="11268" max="11268" width="6.77734375" style="342" customWidth="1"/>
    <col min="11269" max="11273" width="17.44140625" style="342" customWidth="1"/>
    <col min="11274" max="11520" width="8.88671875" style="342"/>
    <col min="11521" max="11521" width="10.33203125" style="342" customWidth="1"/>
    <col min="11522" max="11522" width="20.109375" style="342" customWidth="1"/>
    <col min="11523" max="11523" width="5" style="342" customWidth="1"/>
    <col min="11524" max="11524" width="6.77734375" style="342" customWidth="1"/>
    <col min="11525" max="11529" width="17.44140625" style="342" customWidth="1"/>
    <col min="11530" max="11776" width="8.88671875" style="342"/>
    <col min="11777" max="11777" width="10.33203125" style="342" customWidth="1"/>
    <col min="11778" max="11778" width="20.109375" style="342" customWidth="1"/>
    <col min="11779" max="11779" width="5" style="342" customWidth="1"/>
    <col min="11780" max="11780" width="6.77734375" style="342" customWidth="1"/>
    <col min="11781" max="11785" width="17.44140625" style="342" customWidth="1"/>
    <col min="11786" max="12032" width="8.88671875" style="342"/>
    <col min="12033" max="12033" width="10.33203125" style="342" customWidth="1"/>
    <col min="12034" max="12034" width="20.109375" style="342" customWidth="1"/>
    <col min="12035" max="12035" width="5" style="342" customWidth="1"/>
    <col min="12036" max="12036" width="6.77734375" style="342" customWidth="1"/>
    <col min="12037" max="12041" width="17.44140625" style="342" customWidth="1"/>
    <col min="12042" max="12288" width="8.88671875" style="342"/>
    <col min="12289" max="12289" width="10.33203125" style="342" customWidth="1"/>
    <col min="12290" max="12290" width="20.109375" style="342" customWidth="1"/>
    <col min="12291" max="12291" width="5" style="342" customWidth="1"/>
    <col min="12292" max="12292" width="6.77734375" style="342" customWidth="1"/>
    <col min="12293" max="12297" width="17.44140625" style="342" customWidth="1"/>
    <col min="12298" max="12544" width="8.88671875" style="342"/>
    <col min="12545" max="12545" width="10.33203125" style="342" customWidth="1"/>
    <col min="12546" max="12546" width="20.109375" style="342" customWidth="1"/>
    <col min="12547" max="12547" width="5" style="342" customWidth="1"/>
    <col min="12548" max="12548" width="6.77734375" style="342" customWidth="1"/>
    <col min="12549" max="12553" width="17.44140625" style="342" customWidth="1"/>
    <col min="12554" max="12800" width="8.88671875" style="342"/>
    <col min="12801" max="12801" width="10.33203125" style="342" customWidth="1"/>
    <col min="12802" max="12802" width="20.109375" style="342" customWidth="1"/>
    <col min="12803" max="12803" width="5" style="342" customWidth="1"/>
    <col min="12804" max="12804" width="6.77734375" style="342" customWidth="1"/>
    <col min="12805" max="12809" width="17.44140625" style="342" customWidth="1"/>
    <col min="12810" max="13056" width="8.88671875" style="342"/>
    <col min="13057" max="13057" width="10.33203125" style="342" customWidth="1"/>
    <col min="13058" max="13058" width="20.109375" style="342" customWidth="1"/>
    <col min="13059" max="13059" width="5" style="342" customWidth="1"/>
    <col min="13060" max="13060" width="6.77734375" style="342" customWidth="1"/>
    <col min="13061" max="13065" width="17.44140625" style="342" customWidth="1"/>
    <col min="13066" max="13312" width="8.88671875" style="342"/>
    <col min="13313" max="13313" width="10.33203125" style="342" customWidth="1"/>
    <col min="13314" max="13314" width="20.109375" style="342" customWidth="1"/>
    <col min="13315" max="13315" width="5" style="342" customWidth="1"/>
    <col min="13316" max="13316" width="6.77734375" style="342" customWidth="1"/>
    <col min="13317" max="13321" width="17.44140625" style="342" customWidth="1"/>
    <col min="13322" max="13568" width="8.88671875" style="342"/>
    <col min="13569" max="13569" width="10.33203125" style="342" customWidth="1"/>
    <col min="13570" max="13570" width="20.109375" style="342" customWidth="1"/>
    <col min="13571" max="13571" width="5" style="342" customWidth="1"/>
    <col min="13572" max="13572" width="6.77734375" style="342" customWidth="1"/>
    <col min="13573" max="13577" width="17.44140625" style="342" customWidth="1"/>
    <col min="13578" max="13824" width="8.88671875" style="342"/>
    <col min="13825" max="13825" width="10.33203125" style="342" customWidth="1"/>
    <col min="13826" max="13826" width="20.109375" style="342" customWidth="1"/>
    <col min="13827" max="13827" width="5" style="342" customWidth="1"/>
    <col min="13828" max="13828" width="6.77734375" style="342" customWidth="1"/>
    <col min="13829" max="13833" width="17.44140625" style="342" customWidth="1"/>
    <col min="13834" max="14080" width="8.88671875" style="342"/>
    <col min="14081" max="14081" width="10.33203125" style="342" customWidth="1"/>
    <col min="14082" max="14082" width="20.109375" style="342" customWidth="1"/>
    <col min="14083" max="14083" width="5" style="342" customWidth="1"/>
    <col min="14084" max="14084" width="6.77734375" style="342" customWidth="1"/>
    <col min="14085" max="14089" width="17.44140625" style="342" customWidth="1"/>
    <col min="14090" max="14336" width="8.88671875" style="342"/>
    <col min="14337" max="14337" width="10.33203125" style="342" customWidth="1"/>
    <col min="14338" max="14338" width="20.109375" style="342" customWidth="1"/>
    <col min="14339" max="14339" width="5" style="342" customWidth="1"/>
    <col min="14340" max="14340" width="6.77734375" style="342" customWidth="1"/>
    <col min="14341" max="14345" width="17.44140625" style="342" customWidth="1"/>
    <col min="14346" max="14592" width="8.88671875" style="342"/>
    <col min="14593" max="14593" width="10.33203125" style="342" customWidth="1"/>
    <col min="14594" max="14594" width="20.109375" style="342" customWidth="1"/>
    <col min="14595" max="14595" width="5" style="342" customWidth="1"/>
    <col min="14596" max="14596" width="6.77734375" style="342" customWidth="1"/>
    <col min="14597" max="14601" width="17.44140625" style="342" customWidth="1"/>
    <col min="14602" max="14848" width="8.88671875" style="342"/>
    <col min="14849" max="14849" width="10.33203125" style="342" customWidth="1"/>
    <col min="14850" max="14850" width="20.109375" style="342" customWidth="1"/>
    <col min="14851" max="14851" width="5" style="342" customWidth="1"/>
    <col min="14852" max="14852" width="6.77734375" style="342" customWidth="1"/>
    <col min="14853" max="14857" width="17.44140625" style="342" customWidth="1"/>
    <col min="14858" max="15104" width="8.88671875" style="342"/>
    <col min="15105" max="15105" width="10.33203125" style="342" customWidth="1"/>
    <col min="15106" max="15106" width="20.109375" style="342" customWidth="1"/>
    <col min="15107" max="15107" width="5" style="342" customWidth="1"/>
    <col min="15108" max="15108" width="6.77734375" style="342" customWidth="1"/>
    <col min="15109" max="15113" width="17.44140625" style="342" customWidth="1"/>
    <col min="15114" max="15360" width="8.88671875" style="342"/>
    <col min="15361" max="15361" width="10.33203125" style="342" customWidth="1"/>
    <col min="15362" max="15362" width="20.109375" style="342" customWidth="1"/>
    <col min="15363" max="15363" width="5" style="342" customWidth="1"/>
    <col min="15364" max="15364" width="6.77734375" style="342" customWidth="1"/>
    <col min="15365" max="15369" width="17.44140625" style="342" customWidth="1"/>
    <col min="15370" max="15616" width="8.88671875" style="342"/>
    <col min="15617" max="15617" width="10.33203125" style="342" customWidth="1"/>
    <col min="15618" max="15618" width="20.109375" style="342" customWidth="1"/>
    <col min="15619" max="15619" width="5" style="342" customWidth="1"/>
    <col min="15620" max="15620" width="6.77734375" style="342" customWidth="1"/>
    <col min="15621" max="15625" width="17.44140625" style="342" customWidth="1"/>
    <col min="15626" max="15872" width="8.88671875" style="342"/>
    <col min="15873" max="15873" width="10.33203125" style="342" customWidth="1"/>
    <col min="15874" max="15874" width="20.109375" style="342" customWidth="1"/>
    <col min="15875" max="15875" width="5" style="342" customWidth="1"/>
    <col min="15876" max="15876" width="6.77734375" style="342" customWidth="1"/>
    <col min="15877" max="15881" width="17.44140625" style="342" customWidth="1"/>
    <col min="15882" max="16128" width="8.88671875" style="342"/>
    <col min="16129" max="16129" width="10.33203125" style="342" customWidth="1"/>
    <col min="16130" max="16130" width="20.109375" style="342" customWidth="1"/>
    <col min="16131" max="16131" width="5" style="342" customWidth="1"/>
    <col min="16132" max="16132" width="6.77734375" style="342" customWidth="1"/>
    <col min="16133" max="16137" width="17.44140625" style="342" customWidth="1"/>
    <col min="16138" max="16384" width="8.88671875" style="342"/>
  </cols>
  <sheetData>
    <row r="1" spans="1:9" ht="30" customHeight="1" thickBot="1">
      <c r="A1" s="571" t="s">
        <v>311</v>
      </c>
      <c r="B1" s="572"/>
      <c r="C1" s="572"/>
      <c r="D1" s="572"/>
      <c r="E1" s="572"/>
      <c r="F1" s="572"/>
      <c r="G1" s="572"/>
      <c r="H1" s="572"/>
      <c r="I1" s="573"/>
    </row>
    <row r="2" spans="1:9" ht="30" customHeight="1">
      <c r="A2" s="343" t="s">
        <v>312</v>
      </c>
      <c r="B2" s="574" t="s">
        <v>501</v>
      </c>
      <c r="C2" s="575"/>
      <c r="D2" s="575"/>
      <c r="E2" s="575"/>
      <c r="F2" s="575"/>
      <c r="G2" s="575"/>
      <c r="H2" s="575"/>
      <c r="I2" s="576"/>
    </row>
    <row r="3" spans="1:9" ht="30" customHeight="1">
      <c r="A3" s="344" t="s">
        <v>313</v>
      </c>
      <c r="B3" s="577" t="str">
        <f>TEXT(H20,"[DBNUM4]")&amp;"원정"</f>
        <v>영원정</v>
      </c>
      <c r="C3" s="578"/>
      <c r="D3" s="578"/>
      <c r="E3" s="578"/>
      <c r="F3" s="578"/>
      <c r="G3" s="579"/>
      <c r="H3" s="580">
        <f>H20</f>
        <v>0</v>
      </c>
      <c r="I3" s="581"/>
    </row>
    <row r="4" spans="1:9" ht="30" customHeight="1">
      <c r="A4" s="582" t="s">
        <v>235</v>
      </c>
      <c r="B4" s="583"/>
      <c r="C4" s="345" t="s">
        <v>314</v>
      </c>
      <c r="D4" s="345" t="s">
        <v>315</v>
      </c>
      <c r="E4" s="346" t="s">
        <v>316</v>
      </c>
      <c r="F4" s="346" t="s">
        <v>317</v>
      </c>
      <c r="G4" s="346" t="s">
        <v>318</v>
      </c>
      <c r="H4" s="346" t="s">
        <v>319</v>
      </c>
      <c r="I4" s="347" t="s">
        <v>320</v>
      </c>
    </row>
    <row r="5" spans="1:9" ht="30" customHeight="1">
      <c r="A5" s="584" t="e">
        <f>'01-기계소방내역'!A5</f>
        <v>#REF!</v>
      </c>
      <c r="B5" s="579"/>
      <c r="C5" s="348" t="s">
        <v>321</v>
      </c>
      <c r="D5" s="348">
        <v>1</v>
      </c>
      <c r="E5" s="349">
        <f>'01-기계소방내역'!F185</f>
        <v>0</v>
      </c>
      <c r="F5" s="349">
        <f>'01-기계소방내역'!H185</f>
        <v>0</v>
      </c>
      <c r="G5" s="349">
        <f>'01-기계소방내역'!J185</f>
        <v>0</v>
      </c>
      <c r="H5" s="349">
        <f>SUM(E5:G5)</f>
        <v>0</v>
      </c>
      <c r="I5" s="350"/>
    </row>
    <row r="6" spans="1:9" ht="30" customHeight="1">
      <c r="A6" s="584"/>
      <c r="B6" s="579"/>
      <c r="C6" s="348"/>
      <c r="D6" s="348"/>
      <c r="E6" s="349"/>
      <c r="F6" s="349"/>
      <c r="G6" s="349"/>
      <c r="H6" s="349"/>
      <c r="I6" s="350"/>
    </row>
    <row r="7" spans="1:9" ht="30" customHeight="1">
      <c r="A7" s="585"/>
      <c r="B7" s="586"/>
      <c r="C7" s="351"/>
      <c r="D7" s="351"/>
      <c r="E7" s="349"/>
      <c r="F7" s="349"/>
      <c r="G7" s="349"/>
      <c r="H7" s="349"/>
      <c r="I7" s="350"/>
    </row>
    <row r="8" spans="1:9" ht="30" customHeight="1">
      <c r="A8" s="585"/>
      <c r="B8" s="586"/>
      <c r="C8" s="351"/>
      <c r="D8" s="351"/>
      <c r="E8" s="349"/>
      <c r="F8" s="349"/>
      <c r="G8" s="349"/>
      <c r="H8" s="349"/>
      <c r="I8" s="350"/>
    </row>
    <row r="9" spans="1:9" ht="30" customHeight="1">
      <c r="A9" s="585"/>
      <c r="B9" s="586"/>
      <c r="C9" s="351"/>
      <c r="D9" s="351"/>
      <c r="E9" s="349"/>
      <c r="F9" s="349"/>
      <c r="G9" s="349"/>
      <c r="H9" s="349"/>
      <c r="I9" s="350"/>
    </row>
    <row r="10" spans="1:9" ht="30" customHeight="1">
      <c r="A10" s="585"/>
      <c r="B10" s="586"/>
      <c r="C10" s="351"/>
      <c r="D10" s="351"/>
      <c r="E10" s="349"/>
      <c r="F10" s="349"/>
      <c r="G10" s="349"/>
      <c r="H10" s="349"/>
      <c r="I10" s="350"/>
    </row>
    <row r="11" spans="1:9" ht="30" customHeight="1">
      <c r="A11" s="567"/>
      <c r="B11" s="568"/>
      <c r="C11" s="348"/>
      <c r="D11" s="348"/>
      <c r="E11" s="352"/>
      <c r="F11" s="352"/>
      <c r="G11" s="352"/>
      <c r="H11" s="352"/>
      <c r="I11" s="350"/>
    </row>
    <row r="12" spans="1:9" ht="30" customHeight="1">
      <c r="A12" s="567"/>
      <c r="B12" s="568"/>
      <c r="C12" s="348"/>
      <c r="D12" s="348"/>
      <c r="E12" s="352"/>
      <c r="F12" s="352"/>
      <c r="G12" s="352"/>
      <c r="H12" s="352"/>
      <c r="I12" s="350"/>
    </row>
    <row r="13" spans="1:9" ht="30" customHeight="1">
      <c r="A13" s="567"/>
      <c r="B13" s="568"/>
      <c r="C13" s="348"/>
      <c r="D13" s="348"/>
      <c r="E13" s="352"/>
      <c r="F13" s="352"/>
      <c r="G13" s="352"/>
      <c r="H13" s="352"/>
      <c r="I13" s="350"/>
    </row>
    <row r="14" spans="1:9" ht="30" customHeight="1">
      <c r="A14" s="567"/>
      <c r="B14" s="568"/>
      <c r="C14" s="348"/>
      <c r="D14" s="348"/>
      <c r="E14" s="352"/>
      <c r="F14" s="352"/>
      <c r="G14" s="352"/>
      <c r="H14" s="352"/>
      <c r="I14" s="350"/>
    </row>
    <row r="15" spans="1:9" ht="30" customHeight="1">
      <c r="A15" s="567"/>
      <c r="B15" s="568"/>
      <c r="C15" s="348"/>
      <c r="D15" s="348"/>
      <c r="E15" s="352"/>
      <c r="F15" s="352"/>
      <c r="G15" s="352"/>
      <c r="H15" s="352"/>
      <c r="I15" s="350"/>
    </row>
    <row r="16" spans="1:9" ht="30" customHeight="1">
      <c r="A16" s="353"/>
      <c r="B16" s="354"/>
      <c r="C16" s="348"/>
      <c r="D16" s="348"/>
      <c r="E16" s="352"/>
      <c r="F16" s="352"/>
      <c r="G16" s="352"/>
      <c r="H16" s="352"/>
      <c r="I16" s="350"/>
    </row>
    <row r="17" spans="1:9" ht="30" customHeight="1">
      <c r="A17" s="567"/>
      <c r="B17" s="568"/>
      <c r="C17" s="348"/>
      <c r="D17" s="348"/>
      <c r="E17" s="352"/>
      <c r="F17" s="352"/>
      <c r="G17" s="352"/>
      <c r="H17" s="352"/>
      <c r="I17" s="350"/>
    </row>
    <row r="18" spans="1:9" ht="30" customHeight="1">
      <c r="A18" s="567"/>
      <c r="B18" s="568"/>
      <c r="C18" s="348"/>
      <c r="D18" s="348"/>
      <c r="E18" s="352"/>
      <c r="F18" s="352"/>
      <c r="G18" s="352"/>
      <c r="H18" s="352"/>
      <c r="I18" s="350"/>
    </row>
    <row r="19" spans="1:9" ht="30" customHeight="1">
      <c r="A19" s="567"/>
      <c r="B19" s="568"/>
      <c r="C19" s="348"/>
      <c r="D19" s="348"/>
      <c r="E19" s="352"/>
      <c r="F19" s="352"/>
      <c r="G19" s="352"/>
      <c r="H19" s="352"/>
      <c r="I19" s="350"/>
    </row>
    <row r="20" spans="1:9" ht="30" customHeight="1" thickBot="1">
      <c r="A20" s="569" t="s">
        <v>322</v>
      </c>
      <c r="B20" s="570"/>
      <c r="C20" s="355"/>
      <c r="D20" s="355"/>
      <c r="E20" s="356">
        <f>SUM(E5:E6)</f>
        <v>0</v>
      </c>
      <c r="F20" s="356">
        <f>SUM(F5:F6)</f>
        <v>0</v>
      </c>
      <c r="G20" s="356">
        <f>SUM(G5:G6)</f>
        <v>0</v>
      </c>
      <c r="H20" s="356">
        <f>SUM(E20:G20)</f>
        <v>0</v>
      </c>
      <c r="I20" s="357"/>
    </row>
    <row r="21" spans="1:9" ht="30" customHeight="1">
      <c r="A21" s="358"/>
      <c r="B21" s="358"/>
      <c r="C21" s="359"/>
      <c r="D21" s="359"/>
      <c r="E21" s="360"/>
      <c r="F21" s="360"/>
      <c r="G21" s="360"/>
      <c r="H21" s="360"/>
      <c r="I21" s="360"/>
    </row>
    <row r="22" spans="1:9" ht="30" customHeight="1"/>
    <row r="23" spans="1:9" ht="30" customHeight="1"/>
    <row r="24" spans="1:9" ht="30" customHeight="1"/>
    <row r="25" spans="1:9" ht="30" customHeight="1"/>
  </sheetData>
  <mergeCells count="20">
    <mergeCell ref="A11:B11"/>
    <mergeCell ref="A1:I1"/>
    <mergeCell ref="B2:I2"/>
    <mergeCell ref="B3:G3"/>
    <mergeCell ref="H3:I3"/>
    <mergeCell ref="A4:B4"/>
    <mergeCell ref="A5:B5"/>
    <mergeCell ref="A6:B6"/>
    <mergeCell ref="A7:B7"/>
    <mergeCell ref="A8:B8"/>
    <mergeCell ref="A9:B9"/>
    <mergeCell ref="A10:B10"/>
    <mergeCell ref="A19:B19"/>
    <mergeCell ref="A20:B20"/>
    <mergeCell ref="A12:B12"/>
    <mergeCell ref="A13:B13"/>
    <mergeCell ref="A14:B14"/>
    <mergeCell ref="A15:B15"/>
    <mergeCell ref="A17:B17"/>
    <mergeCell ref="A18:B18"/>
  </mergeCells>
  <phoneticPr fontId="18" type="noConversion"/>
  <pageMargins left="0.55118110236220474" right="0.51181102362204722" top="0.55118110236220474" bottom="0.55118110236220474" header="0.31496062992125984" footer="0.31496062992125984"/>
  <pageSetup paperSize="9" scale="8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FFFF00"/>
  </sheetPr>
  <dimension ref="A1:O170"/>
  <sheetViews>
    <sheetView showZeros="0" view="pageBreakPreview" zoomScaleSheetLayoutView="100" workbookViewId="0">
      <pane xSplit="5" ySplit="2" topLeftCell="F128" activePane="bottomRight" state="frozen"/>
      <selection activeCell="C13" sqref="C13"/>
      <selection pane="topRight" activeCell="C13" sqref="C13"/>
      <selection pane="bottomLeft" activeCell="C13" sqref="C13"/>
      <selection pane="bottomRight" activeCell="C153" sqref="C153"/>
    </sheetView>
  </sheetViews>
  <sheetFormatPr defaultRowHeight="17.100000000000001" customHeight="1"/>
  <cols>
    <col min="1" max="1" width="7" style="167" hidden="1" customWidth="1"/>
    <col min="2" max="2" width="22.109375" style="15" customWidth="1"/>
    <col min="3" max="3" width="15.77734375" style="15" customWidth="1"/>
    <col min="4" max="4" width="4" style="15" customWidth="1"/>
    <col min="5" max="5" width="6.33203125" style="15" customWidth="1"/>
    <col min="6" max="6" width="7.77734375" style="15" customWidth="1"/>
    <col min="7" max="7" width="8.77734375" style="15" customWidth="1"/>
    <col min="8" max="8" width="7.77734375" style="15" customWidth="1"/>
    <col min="9" max="9" width="8.77734375" style="15" customWidth="1"/>
    <col min="10" max="10" width="7.77734375" style="15" customWidth="1"/>
    <col min="11" max="12" width="8.77734375" style="15" customWidth="1"/>
    <col min="13" max="13" width="7.77734375" style="15" customWidth="1"/>
    <col min="14" max="14" width="8.88671875" style="15"/>
    <col min="15" max="15" width="8.88671875" style="106"/>
    <col min="16" max="16" width="23.6640625" style="15" customWidth="1"/>
    <col min="17" max="16384" width="8.88671875" style="15"/>
  </cols>
  <sheetData>
    <row r="1" spans="1:15" s="17" customFormat="1" ht="16.5" customHeight="1">
      <c r="A1" s="159" t="s">
        <v>176</v>
      </c>
      <c r="B1" s="589" t="s">
        <v>177</v>
      </c>
      <c r="C1" s="591" t="s">
        <v>178</v>
      </c>
      <c r="D1" s="591" t="s">
        <v>179</v>
      </c>
      <c r="E1" s="591" t="s">
        <v>180</v>
      </c>
      <c r="F1" s="251" t="s">
        <v>183</v>
      </c>
      <c r="G1" s="251"/>
      <c r="H1" s="251" t="s">
        <v>184</v>
      </c>
      <c r="I1" s="251"/>
      <c r="J1" s="251" t="s">
        <v>185</v>
      </c>
      <c r="K1" s="251"/>
      <c r="L1" s="251" t="s">
        <v>186</v>
      </c>
      <c r="M1" s="587" t="s">
        <v>181</v>
      </c>
      <c r="O1" s="105"/>
    </row>
    <row r="2" spans="1:15" s="17" customFormat="1" ht="16.5" customHeight="1">
      <c r="A2" s="160"/>
      <c r="B2" s="590"/>
      <c r="C2" s="592"/>
      <c r="D2" s="592"/>
      <c r="E2" s="592"/>
      <c r="F2" s="16" t="s">
        <v>189</v>
      </c>
      <c r="G2" s="16" t="s">
        <v>190</v>
      </c>
      <c r="H2" s="16" t="s">
        <v>189</v>
      </c>
      <c r="I2" s="16" t="s">
        <v>190</v>
      </c>
      <c r="J2" s="16" t="s">
        <v>189</v>
      </c>
      <c r="K2" s="16" t="s">
        <v>190</v>
      </c>
      <c r="L2" s="16" t="s">
        <v>190</v>
      </c>
      <c r="M2" s="588"/>
      <c r="O2" s="105"/>
    </row>
    <row r="3" spans="1:15" ht="16.5" customHeight="1">
      <c r="A3" s="161" t="s">
        <v>182</v>
      </c>
      <c r="B3" s="252" t="e">
        <f>#REF!</f>
        <v>#REF!</v>
      </c>
      <c r="C3" s="149"/>
      <c r="D3" s="168"/>
      <c r="E3" s="149"/>
      <c r="F3" s="149"/>
      <c r="G3" s="149">
        <f>G58</f>
        <v>0</v>
      </c>
      <c r="H3" s="149"/>
      <c r="I3" s="149">
        <f>I58</f>
        <v>0</v>
      </c>
      <c r="J3" s="149"/>
      <c r="K3" s="149">
        <f>K58</f>
        <v>0</v>
      </c>
      <c r="L3" s="149">
        <f>L58</f>
        <v>0</v>
      </c>
      <c r="M3" s="253"/>
    </row>
    <row r="4" spans="1:15" ht="16.5" customHeight="1">
      <c r="A4" s="162" t="e">
        <f>#REF!</f>
        <v>#REF!</v>
      </c>
      <c r="B4" s="254" t="s">
        <v>207</v>
      </c>
      <c r="C4" s="18" t="s">
        <v>260</v>
      </c>
      <c r="D4" s="14" t="s">
        <v>199</v>
      </c>
      <c r="E4" s="194">
        <v>57</v>
      </c>
      <c r="F4" s="19"/>
      <c r="G4" s="19"/>
      <c r="H4" s="19"/>
      <c r="I4" s="20"/>
      <c r="J4" s="19"/>
      <c r="K4" s="20"/>
      <c r="L4" s="20"/>
      <c r="M4" s="255"/>
    </row>
    <row r="5" spans="1:15" ht="16.5" customHeight="1">
      <c r="A5" s="198" t="e">
        <f>#REF!</f>
        <v>#REF!</v>
      </c>
      <c r="B5" s="254" t="s">
        <v>207</v>
      </c>
      <c r="C5" s="18" t="s">
        <v>502</v>
      </c>
      <c r="D5" s="14" t="s">
        <v>199</v>
      </c>
      <c r="E5" s="194">
        <v>71</v>
      </c>
      <c r="F5" s="19"/>
      <c r="G5" s="19"/>
      <c r="H5" s="19"/>
      <c r="I5" s="20"/>
      <c r="J5" s="19"/>
      <c r="K5" s="20"/>
      <c r="L5" s="20"/>
      <c r="M5" s="255"/>
    </row>
    <row r="6" spans="1:15" ht="16.5" customHeight="1">
      <c r="A6" s="198" t="e">
        <f>#REF!</f>
        <v>#REF!</v>
      </c>
      <c r="B6" s="254" t="s">
        <v>207</v>
      </c>
      <c r="C6" s="18" t="s">
        <v>261</v>
      </c>
      <c r="D6" s="14" t="s">
        <v>199</v>
      </c>
      <c r="E6" s="194">
        <v>11</v>
      </c>
      <c r="F6" s="19"/>
      <c r="G6" s="19"/>
      <c r="H6" s="19"/>
      <c r="I6" s="20"/>
      <c r="J6" s="19"/>
      <c r="K6" s="20"/>
      <c r="L6" s="20"/>
      <c r="M6" s="255"/>
    </row>
    <row r="7" spans="1:15" ht="16.5" customHeight="1">
      <c r="A7" s="198" t="e">
        <f>#REF!</f>
        <v>#REF!</v>
      </c>
      <c r="B7" s="254" t="s">
        <v>503</v>
      </c>
      <c r="C7" s="18" t="s">
        <v>504</v>
      </c>
      <c r="D7" s="14" t="s">
        <v>199</v>
      </c>
      <c r="E7" s="194">
        <v>115</v>
      </c>
      <c r="F7" s="19"/>
      <c r="G7" s="19"/>
      <c r="H7" s="19"/>
      <c r="I7" s="20"/>
      <c r="J7" s="19"/>
      <c r="K7" s="20"/>
      <c r="L7" s="20"/>
      <c r="M7" s="255"/>
    </row>
    <row r="8" spans="1:15" ht="16.5" customHeight="1">
      <c r="A8" s="198" t="e">
        <f>#REF!</f>
        <v>#REF!</v>
      </c>
      <c r="B8" s="254" t="s">
        <v>503</v>
      </c>
      <c r="C8" s="18" t="s">
        <v>505</v>
      </c>
      <c r="D8" s="14" t="s">
        <v>199</v>
      </c>
      <c r="E8" s="194">
        <v>84</v>
      </c>
      <c r="F8" s="19"/>
      <c r="G8" s="19"/>
      <c r="H8" s="19"/>
      <c r="I8" s="20"/>
      <c r="J8" s="19"/>
      <c r="K8" s="20"/>
      <c r="L8" s="20"/>
      <c r="M8" s="255"/>
    </row>
    <row r="9" spans="1:15" ht="16.5" customHeight="1">
      <c r="A9" s="198" t="e">
        <f>#REF!</f>
        <v>#REF!</v>
      </c>
      <c r="B9" s="254" t="s">
        <v>503</v>
      </c>
      <c r="C9" s="18" t="s">
        <v>506</v>
      </c>
      <c r="D9" s="14" t="s">
        <v>199</v>
      </c>
      <c r="E9" s="194">
        <v>18</v>
      </c>
      <c r="F9" s="19"/>
      <c r="G9" s="19"/>
      <c r="H9" s="19"/>
      <c r="I9" s="20"/>
      <c r="J9" s="19"/>
      <c r="K9" s="20"/>
      <c r="L9" s="20"/>
      <c r="M9" s="255"/>
    </row>
    <row r="10" spans="1:15" ht="16.5" customHeight="1">
      <c r="A10" s="198" t="e">
        <f>#REF!</f>
        <v>#REF!</v>
      </c>
      <c r="B10" s="254" t="s">
        <v>507</v>
      </c>
      <c r="C10" s="18" t="s">
        <v>508</v>
      </c>
      <c r="D10" s="14" t="s">
        <v>199</v>
      </c>
      <c r="E10" s="194">
        <v>1373</v>
      </c>
      <c r="F10" s="19"/>
      <c r="G10" s="19"/>
      <c r="H10" s="19"/>
      <c r="I10" s="20"/>
      <c r="J10" s="19"/>
      <c r="K10" s="20"/>
      <c r="L10" s="20"/>
      <c r="M10" s="255"/>
    </row>
    <row r="11" spans="1:15" ht="16.5" customHeight="1">
      <c r="A11" s="198" t="e">
        <f>#REF!</f>
        <v>#REF!</v>
      </c>
      <c r="B11" s="254" t="s">
        <v>509</v>
      </c>
      <c r="C11" s="18" t="s">
        <v>510</v>
      </c>
      <c r="D11" s="14" t="s">
        <v>199</v>
      </c>
      <c r="E11" s="194">
        <v>28</v>
      </c>
      <c r="F11" s="19"/>
      <c r="G11" s="19"/>
      <c r="H11" s="19"/>
      <c r="I11" s="20"/>
      <c r="J11" s="19"/>
      <c r="K11" s="20"/>
      <c r="L11" s="20"/>
      <c r="M11" s="255"/>
    </row>
    <row r="12" spans="1:15" ht="16.5" customHeight="1">
      <c r="A12" s="198" t="e">
        <f>#REF!</f>
        <v>#REF!</v>
      </c>
      <c r="B12" s="254" t="s">
        <v>158</v>
      </c>
      <c r="C12" s="18" t="s">
        <v>159</v>
      </c>
      <c r="D12" s="14" t="s">
        <v>220</v>
      </c>
      <c r="E12" s="194">
        <v>2</v>
      </c>
      <c r="F12" s="19"/>
      <c r="G12" s="19"/>
      <c r="H12" s="19"/>
      <c r="I12" s="20"/>
      <c r="J12" s="19"/>
      <c r="K12" s="20"/>
      <c r="L12" s="20"/>
      <c r="M12" s="255"/>
    </row>
    <row r="13" spans="1:15" ht="16.5" customHeight="1">
      <c r="A13" s="198" t="e">
        <f>#REF!</f>
        <v>#REF!</v>
      </c>
      <c r="B13" s="254" t="s">
        <v>160</v>
      </c>
      <c r="C13" s="18" t="s">
        <v>161</v>
      </c>
      <c r="D13" s="14" t="s">
        <v>220</v>
      </c>
      <c r="E13" s="194">
        <v>3</v>
      </c>
      <c r="F13" s="19"/>
      <c r="G13" s="19"/>
      <c r="H13" s="19"/>
      <c r="I13" s="20"/>
      <c r="J13" s="19"/>
      <c r="K13" s="20"/>
      <c r="L13" s="20"/>
      <c r="M13" s="255"/>
    </row>
    <row r="14" spans="1:15" ht="16.5" customHeight="1">
      <c r="A14" s="198" t="e">
        <f>#REF!</f>
        <v>#REF!</v>
      </c>
      <c r="B14" s="254" t="s">
        <v>160</v>
      </c>
      <c r="C14" s="18" t="s">
        <v>162</v>
      </c>
      <c r="D14" s="14" t="s">
        <v>220</v>
      </c>
      <c r="E14" s="194">
        <v>21</v>
      </c>
      <c r="F14" s="19"/>
      <c r="G14" s="19"/>
      <c r="H14" s="19"/>
      <c r="I14" s="20"/>
      <c r="J14" s="19"/>
      <c r="K14" s="20"/>
      <c r="L14" s="20"/>
      <c r="M14" s="255"/>
    </row>
    <row r="15" spans="1:15" ht="16.5" customHeight="1">
      <c r="A15" s="198" t="e">
        <f>#REF!</f>
        <v>#REF!</v>
      </c>
      <c r="B15" s="254" t="s">
        <v>160</v>
      </c>
      <c r="C15" s="18" t="s">
        <v>163</v>
      </c>
      <c r="D15" s="14" t="s">
        <v>220</v>
      </c>
      <c r="E15" s="194">
        <v>18</v>
      </c>
      <c r="F15" s="19"/>
      <c r="G15" s="19"/>
      <c r="H15" s="19"/>
      <c r="I15" s="20"/>
      <c r="J15" s="19"/>
      <c r="K15" s="20"/>
      <c r="L15" s="20"/>
      <c r="M15" s="255"/>
    </row>
    <row r="16" spans="1:15" ht="16.5" customHeight="1">
      <c r="A16" s="198" t="e">
        <f>#REF!</f>
        <v>#REF!</v>
      </c>
      <c r="B16" s="254" t="s">
        <v>511</v>
      </c>
      <c r="C16" s="18" t="s">
        <v>504</v>
      </c>
      <c r="D16" s="14" t="s">
        <v>220</v>
      </c>
      <c r="E16" s="194">
        <v>24</v>
      </c>
      <c r="F16" s="19"/>
      <c r="G16" s="19"/>
      <c r="H16" s="19"/>
      <c r="I16" s="20"/>
      <c r="J16" s="19"/>
      <c r="K16" s="20"/>
      <c r="L16" s="20"/>
      <c r="M16" s="255"/>
    </row>
    <row r="17" spans="1:13" ht="16.5" customHeight="1">
      <c r="A17" s="198" t="e">
        <f>#REF!</f>
        <v>#REF!</v>
      </c>
      <c r="B17" s="254" t="s">
        <v>511</v>
      </c>
      <c r="C17" s="18" t="s">
        <v>505</v>
      </c>
      <c r="D17" s="14" t="s">
        <v>220</v>
      </c>
      <c r="E17" s="194">
        <v>24</v>
      </c>
      <c r="F17" s="19"/>
      <c r="G17" s="19"/>
      <c r="H17" s="19"/>
      <c r="I17" s="20"/>
      <c r="J17" s="19"/>
      <c r="K17" s="20"/>
      <c r="L17" s="20"/>
      <c r="M17" s="255"/>
    </row>
    <row r="18" spans="1:13" ht="16.5" customHeight="1">
      <c r="A18" s="198" t="e">
        <f>#REF!</f>
        <v>#REF!</v>
      </c>
      <c r="B18" s="254" t="s">
        <v>511</v>
      </c>
      <c r="C18" s="18" t="s">
        <v>506</v>
      </c>
      <c r="D18" s="14" t="s">
        <v>220</v>
      </c>
      <c r="E18" s="194">
        <v>2</v>
      </c>
      <c r="F18" s="19"/>
      <c r="G18" s="19"/>
      <c r="H18" s="19"/>
      <c r="I18" s="20"/>
      <c r="J18" s="19"/>
      <c r="K18" s="20"/>
      <c r="L18" s="20"/>
      <c r="M18" s="255"/>
    </row>
    <row r="19" spans="1:13" ht="16.5" customHeight="1">
      <c r="A19" s="198" t="e">
        <f>#REF!</f>
        <v>#REF!</v>
      </c>
      <c r="B19" s="254" t="s">
        <v>512</v>
      </c>
      <c r="C19" s="18" t="s">
        <v>513</v>
      </c>
      <c r="D19" s="14" t="s">
        <v>220</v>
      </c>
      <c r="E19" s="194">
        <v>4</v>
      </c>
      <c r="F19" s="19"/>
      <c r="G19" s="19"/>
      <c r="H19" s="19"/>
      <c r="I19" s="20"/>
      <c r="J19" s="19"/>
      <c r="K19" s="20"/>
      <c r="L19" s="20"/>
      <c r="M19" s="255"/>
    </row>
    <row r="20" spans="1:13" ht="16.5" customHeight="1">
      <c r="A20" s="198" t="e">
        <f>#REF!</f>
        <v>#REF!</v>
      </c>
      <c r="B20" s="254" t="s">
        <v>201</v>
      </c>
      <c r="C20" s="18" t="s">
        <v>202</v>
      </c>
      <c r="D20" s="14" t="s">
        <v>220</v>
      </c>
      <c r="E20" s="194">
        <v>24</v>
      </c>
      <c r="F20" s="19"/>
      <c r="G20" s="19"/>
      <c r="H20" s="19"/>
      <c r="I20" s="20"/>
      <c r="J20" s="19"/>
      <c r="K20" s="20"/>
      <c r="L20" s="20"/>
      <c r="M20" s="255"/>
    </row>
    <row r="21" spans="1:13" ht="16.5" customHeight="1">
      <c r="A21" s="198" t="e">
        <f>#REF!</f>
        <v>#REF!</v>
      </c>
      <c r="B21" s="254" t="s">
        <v>203</v>
      </c>
      <c r="C21" s="18" t="s">
        <v>514</v>
      </c>
      <c r="D21" s="14" t="s">
        <v>220</v>
      </c>
      <c r="E21" s="194">
        <v>24</v>
      </c>
      <c r="F21" s="19"/>
      <c r="G21" s="19"/>
      <c r="H21" s="19"/>
      <c r="I21" s="20"/>
      <c r="J21" s="19"/>
      <c r="K21" s="20"/>
      <c r="L21" s="20"/>
      <c r="M21" s="255"/>
    </row>
    <row r="22" spans="1:13" ht="16.5" customHeight="1">
      <c r="A22" s="198" t="e">
        <f>#REF!</f>
        <v>#REF!</v>
      </c>
      <c r="B22" s="254" t="s">
        <v>515</v>
      </c>
      <c r="C22" s="18" t="s">
        <v>516</v>
      </c>
      <c r="D22" s="14" t="s">
        <v>220</v>
      </c>
      <c r="E22" s="194">
        <v>9</v>
      </c>
      <c r="F22" s="19"/>
      <c r="G22" s="19"/>
      <c r="H22" s="19"/>
      <c r="I22" s="20"/>
      <c r="J22" s="19"/>
      <c r="K22" s="20"/>
      <c r="L22" s="20"/>
      <c r="M22" s="255"/>
    </row>
    <row r="23" spans="1:13" ht="16.5" customHeight="1">
      <c r="A23" s="198" t="e">
        <f>#REF!</f>
        <v>#REF!</v>
      </c>
      <c r="B23" s="254" t="s">
        <v>517</v>
      </c>
      <c r="C23" s="18" t="s">
        <v>518</v>
      </c>
      <c r="D23" s="14" t="s">
        <v>220</v>
      </c>
      <c r="E23" s="194">
        <v>2</v>
      </c>
      <c r="F23" s="19"/>
      <c r="G23" s="19"/>
      <c r="H23" s="19"/>
      <c r="I23" s="20"/>
      <c r="J23" s="19"/>
      <c r="K23" s="20"/>
      <c r="L23" s="20"/>
      <c r="M23" s="255"/>
    </row>
    <row r="24" spans="1:13" ht="16.5" customHeight="1">
      <c r="A24" s="198" t="e">
        <f>#REF!</f>
        <v>#REF!</v>
      </c>
      <c r="B24" s="254" t="s">
        <v>519</v>
      </c>
      <c r="C24" s="18" t="s">
        <v>520</v>
      </c>
      <c r="D24" s="14" t="s">
        <v>167</v>
      </c>
      <c r="E24" s="194">
        <v>1</v>
      </c>
      <c r="F24" s="19"/>
      <c r="G24" s="19"/>
      <c r="H24" s="19"/>
      <c r="I24" s="20"/>
      <c r="J24" s="19"/>
      <c r="K24" s="20"/>
      <c r="L24" s="20"/>
      <c r="M24" s="255"/>
    </row>
    <row r="25" spans="1:13" ht="16.5" customHeight="1">
      <c r="A25" s="198" t="e">
        <f>#REF!</f>
        <v>#REF!</v>
      </c>
      <c r="B25" s="254" t="s">
        <v>521</v>
      </c>
      <c r="C25" s="18">
        <v>0</v>
      </c>
      <c r="D25" s="14" t="s">
        <v>191</v>
      </c>
      <c r="E25" s="194">
        <v>1</v>
      </c>
      <c r="F25" s="19"/>
      <c r="G25" s="19"/>
      <c r="H25" s="19"/>
      <c r="I25" s="20"/>
      <c r="J25" s="19"/>
      <c r="K25" s="20"/>
      <c r="L25" s="20"/>
      <c r="M25" s="255"/>
    </row>
    <row r="26" spans="1:13" ht="16.5" customHeight="1">
      <c r="A26" s="198" t="e">
        <f>#REF!</f>
        <v>#REF!</v>
      </c>
      <c r="B26" s="254" t="s">
        <v>522</v>
      </c>
      <c r="C26" s="18">
        <v>0</v>
      </c>
      <c r="D26" s="14" t="s">
        <v>220</v>
      </c>
      <c r="E26" s="194">
        <v>9</v>
      </c>
      <c r="F26" s="19"/>
      <c r="G26" s="19"/>
      <c r="H26" s="19"/>
      <c r="I26" s="20"/>
      <c r="J26" s="19"/>
      <c r="K26" s="20"/>
      <c r="L26" s="20"/>
      <c r="M26" s="255"/>
    </row>
    <row r="27" spans="1:13" ht="16.5" customHeight="1">
      <c r="A27" s="198" t="e">
        <f>#REF!</f>
        <v>#REF!</v>
      </c>
      <c r="B27" s="254" t="s">
        <v>523</v>
      </c>
      <c r="C27" s="18" t="s">
        <v>524</v>
      </c>
      <c r="D27" s="14" t="s">
        <v>220</v>
      </c>
      <c r="E27" s="194">
        <v>10</v>
      </c>
      <c r="F27" s="19"/>
      <c r="G27" s="19"/>
      <c r="H27" s="19"/>
      <c r="I27" s="20"/>
      <c r="J27" s="19"/>
      <c r="K27" s="20"/>
      <c r="L27" s="20"/>
      <c r="M27" s="255"/>
    </row>
    <row r="28" spans="1:13" ht="16.5" customHeight="1">
      <c r="A28" s="198" t="e">
        <f>#REF!</f>
        <v>#REF!</v>
      </c>
      <c r="B28" s="254" t="s">
        <v>525</v>
      </c>
      <c r="C28" s="18" t="s">
        <v>526</v>
      </c>
      <c r="D28" s="14" t="s">
        <v>220</v>
      </c>
      <c r="E28" s="194">
        <v>4</v>
      </c>
      <c r="F28" s="19"/>
      <c r="G28" s="19"/>
      <c r="H28" s="19"/>
      <c r="I28" s="20"/>
      <c r="J28" s="19"/>
      <c r="K28" s="20"/>
      <c r="L28" s="20"/>
      <c r="M28" s="255"/>
    </row>
    <row r="29" spans="1:13" ht="16.5" customHeight="1">
      <c r="A29" s="198" t="e">
        <f>#REF!</f>
        <v>#REF!</v>
      </c>
      <c r="B29" s="254" t="s">
        <v>420</v>
      </c>
      <c r="C29" s="18" t="s">
        <v>527</v>
      </c>
      <c r="D29" s="14" t="s">
        <v>220</v>
      </c>
      <c r="E29" s="194">
        <v>44</v>
      </c>
      <c r="F29" s="19"/>
      <c r="G29" s="19"/>
      <c r="H29" s="19"/>
      <c r="I29" s="20"/>
      <c r="J29" s="19"/>
      <c r="K29" s="20"/>
      <c r="L29" s="20"/>
      <c r="M29" s="255"/>
    </row>
    <row r="30" spans="1:13" ht="16.5" customHeight="1">
      <c r="A30" s="198" t="e">
        <f>#REF!</f>
        <v>#REF!</v>
      </c>
      <c r="B30" s="254" t="s">
        <v>172</v>
      </c>
      <c r="C30" s="18" t="s">
        <v>527</v>
      </c>
      <c r="D30" s="14" t="s">
        <v>220</v>
      </c>
      <c r="E30" s="194">
        <v>42</v>
      </c>
      <c r="F30" s="19"/>
      <c r="G30" s="19"/>
      <c r="H30" s="19"/>
      <c r="I30" s="20"/>
      <c r="J30" s="19"/>
      <c r="K30" s="20"/>
      <c r="L30" s="20"/>
      <c r="M30" s="255"/>
    </row>
    <row r="31" spans="1:13" ht="16.5" customHeight="1">
      <c r="A31" s="198" t="e">
        <f>#REF!</f>
        <v>#REF!</v>
      </c>
      <c r="B31" s="254" t="s">
        <v>528</v>
      </c>
      <c r="C31" s="18" t="s">
        <v>164</v>
      </c>
      <c r="D31" s="14" t="s">
        <v>220</v>
      </c>
      <c r="E31" s="194">
        <v>22</v>
      </c>
      <c r="F31" s="19"/>
      <c r="G31" s="19"/>
      <c r="H31" s="19"/>
      <c r="I31" s="20"/>
      <c r="J31" s="19"/>
      <c r="K31" s="20"/>
      <c r="L31" s="20"/>
      <c r="M31" s="255"/>
    </row>
    <row r="32" spans="1:13" ht="16.5" customHeight="1">
      <c r="A32" s="198"/>
      <c r="B32" s="254"/>
      <c r="C32" s="18"/>
      <c r="D32" s="14"/>
      <c r="E32" s="194"/>
      <c r="F32" s="19"/>
      <c r="G32" s="19"/>
      <c r="H32" s="19"/>
      <c r="I32" s="20"/>
      <c r="J32" s="19"/>
      <c r="K32" s="20"/>
      <c r="L32" s="20"/>
      <c r="M32" s="255"/>
    </row>
    <row r="33" spans="1:13" s="113" customFormat="1" ht="16.5" customHeight="1">
      <c r="A33" s="163"/>
      <c r="B33" s="256" t="s">
        <v>228</v>
      </c>
      <c r="C33" s="199" t="s">
        <v>229</v>
      </c>
      <c r="D33" s="200" t="s">
        <v>191</v>
      </c>
      <c r="E33" s="206">
        <v>1</v>
      </c>
      <c r="F33" s="202"/>
      <c r="G33" s="202"/>
      <c r="H33" s="202"/>
      <c r="I33" s="202"/>
      <c r="J33" s="202"/>
      <c r="K33" s="202"/>
      <c r="L33" s="202"/>
      <c r="M33" s="257"/>
    </row>
    <row r="34" spans="1:13" s="113" customFormat="1" ht="16.5" customHeight="1">
      <c r="A34" s="164"/>
      <c r="B34" s="256" t="s">
        <v>192</v>
      </c>
      <c r="C34" s="199" t="s">
        <v>210</v>
      </c>
      <c r="D34" s="200" t="s">
        <v>191</v>
      </c>
      <c r="E34" s="206">
        <v>1</v>
      </c>
      <c r="F34" s="202"/>
      <c r="G34" s="202"/>
      <c r="H34" s="202"/>
      <c r="I34" s="202"/>
      <c r="J34" s="202"/>
      <c r="K34" s="202"/>
      <c r="L34" s="202"/>
      <c r="M34" s="258"/>
    </row>
    <row r="35" spans="1:13" s="114" customFormat="1" ht="16.5" customHeight="1">
      <c r="A35" s="165"/>
      <c r="B35" s="259" t="s">
        <v>273</v>
      </c>
      <c r="C35" s="203" t="s">
        <v>193</v>
      </c>
      <c r="D35" s="204" t="s">
        <v>197</v>
      </c>
      <c r="E35" s="207">
        <v>69.62</v>
      </c>
      <c r="F35" s="201"/>
      <c r="G35" s="201"/>
      <c r="H35" s="202"/>
      <c r="I35" s="199"/>
      <c r="J35" s="201"/>
      <c r="K35" s="202"/>
      <c r="L35" s="205"/>
      <c r="M35" s="260"/>
    </row>
    <row r="36" spans="1:13" s="197" customFormat="1" ht="16.5" customHeight="1">
      <c r="A36" s="165"/>
      <c r="B36" s="259" t="s">
        <v>273</v>
      </c>
      <c r="C36" s="203" t="s">
        <v>77</v>
      </c>
      <c r="D36" s="204" t="s">
        <v>197</v>
      </c>
      <c r="E36" s="207">
        <v>0.432</v>
      </c>
      <c r="F36" s="201"/>
      <c r="G36" s="201"/>
      <c r="H36" s="202"/>
      <c r="I36" s="199"/>
      <c r="J36" s="201"/>
      <c r="K36" s="202"/>
      <c r="L36" s="205"/>
      <c r="M36" s="260"/>
    </row>
    <row r="37" spans="1:13" s="114" customFormat="1" ht="16.5" customHeight="1">
      <c r="A37" s="165"/>
      <c r="B37" s="259" t="s">
        <v>230</v>
      </c>
      <c r="C37" s="203" t="s">
        <v>231</v>
      </c>
      <c r="D37" s="204" t="s">
        <v>191</v>
      </c>
      <c r="E37" s="201">
        <v>1</v>
      </c>
      <c r="F37" s="201"/>
      <c r="G37" s="201"/>
      <c r="H37" s="169"/>
      <c r="I37" s="199"/>
      <c r="J37" s="201"/>
      <c r="K37" s="202"/>
      <c r="L37" s="205"/>
      <c r="M37" s="260"/>
    </row>
    <row r="38" spans="1:13" s="197" customFormat="1" ht="16.5" customHeight="1">
      <c r="A38" s="165"/>
      <c r="B38" s="259"/>
      <c r="C38" s="203"/>
      <c r="D38" s="204"/>
      <c r="E38" s="201"/>
      <c r="F38" s="201"/>
      <c r="G38" s="201"/>
      <c r="H38" s="169"/>
      <c r="I38" s="199"/>
      <c r="J38" s="201"/>
      <c r="K38" s="202"/>
      <c r="L38" s="205"/>
      <c r="M38" s="260"/>
    </row>
    <row r="39" spans="1:13" s="197" customFormat="1" ht="16.5" customHeight="1">
      <c r="A39" s="165"/>
      <c r="B39" s="259"/>
      <c r="C39" s="203"/>
      <c r="D39" s="204"/>
      <c r="E39" s="201"/>
      <c r="F39" s="201"/>
      <c r="G39" s="201"/>
      <c r="H39" s="169"/>
      <c r="I39" s="199"/>
      <c r="J39" s="201"/>
      <c r="K39" s="202"/>
      <c r="L39" s="205"/>
      <c r="M39" s="260"/>
    </row>
    <row r="40" spans="1:13" s="197" customFormat="1" ht="16.5" customHeight="1">
      <c r="A40" s="165"/>
      <c r="B40" s="259"/>
      <c r="C40" s="203"/>
      <c r="D40" s="204"/>
      <c r="E40" s="201"/>
      <c r="F40" s="201"/>
      <c r="G40" s="201"/>
      <c r="H40" s="169"/>
      <c r="I40" s="199"/>
      <c r="J40" s="201"/>
      <c r="K40" s="202"/>
      <c r="L40" s="205"/>
      <c r="M40" s="260"/>
    </row>
    <row r="41" spans="1:13" s="197" customFormat="1" ht="16.5" customHeight="1">
      <c r="A41" s="165"/>
      <c r="B41" s="259"/>
      <c r="C41" s="203"/>
      <c r="D41" s="204"/>
      <c r="E41" s="201"/>
      <c r="F41" s="201"/>
      <c r="G41" s="201"/>
      <c r="H41" s="169"/>
      <c r="I41" s="199"/>
      <c r="J41" s="201"/>
      <c r="K41" s="202"/>
      <c r="L41" s="205"/>
      <c r="M41" s="260"/>
    </row>
    <row r="42" spans="1:13" s="197" customFormat="1" ht="16.5" customHeight="1">
      <c r="A42" s="165"/>
      <c r="B42" s="259"/>
      <c r="C42" s="203"/>
      <c r="D42" s="204"/>
      <c r="E42" s="201"/>
      <c r="F42" s="201"/>
      <c r="G42" s="201"/>
      <c r="H42" s="169"/>
      <c r="I42" s="199"/>
      <c r="J42" s="201"/>
      <c r="K42" s="202"/>
      <c r="L42" s="205"/>
      <c r="M42" s="260"/>
    </row>
    <row r="43" spans="1:13" s="197" customFormat="1" ht="16.5" customHeight="1">
      <c r="A43" s="165"/>
      <c r="B43" s="259"/>
      <c r="C43" s="203"/>
      <c r="D43" s="204"/>
      <c r="E43" s="201"/>
      <c r="F43" s="201"/>
      <c r="G43" s="201"/>
      <c r="H43" s="169"/>
      <c r="I43" s="199"/>
      <c r="J43" s="201"/>
      <c r="K43" s="202"/>
      <c r="L43" s="205"/>
      <c r="M43" s="260"/>
    </row>
    <row r="44" spans="1:13" s="197" customFormat="1" ht="16.5" customHeight="1">
      <c r="A44" s="165"/>
      <c r="B44" s="259"/>
      <c r="C44" s="203"/>
      <c r="D44" s="204"/>
      <c r="E44" s="201"/>
      <c r="F44" s="201"/>
      <c r="G44" s="201"/>
      <c r="H44" s="169"/>
      <c r="I44" s="199"/>
      <c r="J44" s="201"/>
      <c r="K44" s="202"/>
      <c r="L44" s="205"/>
      <c r="M44" s="260"/>
    </row>
    <row r="45" spans="1:13" s="197" customFormat="1" ht="16.5" customHeight="1">
      <c r="A45" s="165"/>
      <c r="B45" s="259"/>
      <c r="C45" s="203"/>
      <c r="D45" s="204"/>
      <c r="E45" s="201"/>
      <c r="F45" s="201"/>
      <c r="G45" s="201"/>
      <c r="H45" s="169"/>
      <c r="I45" s="199"/>
      <c r="J45" s="201"/>
      <c r="K45" s="202"/>
      <c r="L45" s="205"/>
      <c r="M45" s="260"/>
    </row>
    <row r="46" spans="1:13" s="197" customFormat="1" ht="16.5" customHeight="1">
      <c r="A46" s="165"/>
      <c r="B46" s="259"/>
      <c r="C46" s="203"/>
      <c r="D46" s="204"/>
      <c r="E46" s="201"/>
      <c r="F46" s="201"/>
      <c r="G46" s="201"/>
      <c r="H46" s="169"/>
      <c r="I46" s="199"/>
      <c r="J46" s="201"/>
      <c r="K46" s="202"/>
      <c r="L46" s="205"/>
      <c r="M46" s="260"/>
    </row>
    <row r="47" spans="1:13" s="197" customFormat="1" ht="16.5" customHeight="1">
      <c r="A47" s="165"/>
      <c r="B47" s="259"/>
      <c r="C47" s="203"/>
      <c r="D47" s="204"/>
      <c r="E47" s="201"/>
      <c r="F47" s="201"/>
      <c r="G47" s="201"/>
      <c r="H47" s="169"/>
      <c r="I47" s="199"/>
      <c r="J47" s="201"/>
      <c r="K47" s="202"/>
      <c r="L47" s="205"/>
      <c r="M47" s="260"/>
    </row>
    <row r="48" spans="1:13" s="197" customFormat="1" ht="16.5" customHeight="1">
      <c r="A48" s="165"/>
      <c r="B48" s="259"/>
      <c r="C48" s="203"/>
      <c r="D48" s="204"/>
      <c r="E48" s="201"/>
      <c r="F48" s="201"/>
      <c r="G48" s="201"/>
      <c r="H48" s="169"/>
      <c r="I48" s="199"/>
      <c r="J48" s="201"/>
      <c r="K48" s="202"/>
      <c r="L48" s="205"/>
      <c r="M48" s="260"/>
    </row>
    <row r="49" spans="1:13" s="197" customFormat="1" ht="16.5" customHeight="1">
      <c r="A49" s="165"/>
      <c r="B49" s="259"/>
      <c r="C49" s="203"/>
      <c r="D49" s="204"/>
      <c r="E49" s="201"/>
      <c r="F49" s="201"/>
      <c r="G49" s="201"/>
      <c r="H49" s="169"/>
      <c r="I49" s="199"/>
      <c r="J49" s="201"/>
      <c r="K49" s="202"/>
      <c r="L49" s="205"/>
      <c r="M49" s="260"/>
    </row>
    <row r="50" spans="1:13" s="197" customFormat="1" ht="16.5" customHeight="1">
      <c r="A50" s="165"/>
      <c r="B50" s="259"/>
      <c r="C50" s="203"/>
      <c r="D50" s="204"/>
      <c r="E50" s="201"/>
      <c r="F50" s="201"/>
      <c r="G50" s="201"/>
      <c r="H50" s="169"/>
      <c r="I50" s="199"/>
      <c r="J50" s="201"/>
      <c r="K50" s="202"/>
      <c r="L50" s="205"/>
      <c r="M50" s="260"/>
    </row>
    <row r="51" spans="1:13" s="197" customFormat="1" ht="16.5" customHeight="1">
      <c r="A51" s="165"/>
      <c r="B51" s="259"/>
      <c r="C51" s="203"/>
      <c r="D51" s="204"/>
      <c r="E51" s="201"/>
      <c r="F51" s="201"/>
      <c r="G51" s="201"/>
      <c r="H51" s="169"/>
      <c r="I51" s="199"/>
      <c r="J51" s="201"/>
      <c r="K51" s="202"/>
      <c r="L51" s="205"/>
      <c r="M51" s="260"/>
    </row>
    <row r="52" spans="1:13" s="197" customFormat="1" ht="16.5" customHeight="1">
      <c r="A52" s="165"/>
      <c r="B52" s="259"/>
      <c r="C52" s="203"/>
      <c r="D52" s="204"/>
      <c r="E52" s="201"/>
      <c r="F52" s="201"/>
      <c r="G52" s="201"/>
      <c r="H52" s="169"/>
      <c r="I52" s="199"/>
      <c r="J52" s="201"/>
      <c r="K52" s="202"/>
      <c r="L52" s="205"/>
      <c r="M52" s="260"/>
    </row>
    <row r="53" spans="1:13" s="197" customFormat="1" ht="16.5" customHeight="1">
      <c r="A53" s="165"/>
      <c r="B53" s="259"/>
      <c r="C53" s="203"/>
      <c r="D53" s="204"/>
      <c r="E53" s="201"/>
      <c r="F53" s="201"/>
      <c r="G53" s="201"/>
      <c r="H53" s="169"/>
      <c r="I53" s="199"/>
      <c r="J53" s="201"/>
      <c r="K53" s="202"/>
      <c r="L53" s="205"/>
      <c r="M53" s="260"/>
    </row>
    <row r="54" spans="1:13" s="197" customFormat="1" ht="16.5" customHeight="1">
      <c r="A54" s="165"/>
      <c r="B54" s="259"/>
      <c r="C54" s="203"/>
      <c r="D54" s="204"/>
      <c r="E54" s="201"/>
      <c r="F54" s="201"/>
      <c r="G54" s="201"/>
      <c r="H54" s="169"/>
      <c r="I54" s="199"/>
      <c r="J54" s="201"/>
      <c r="K54" s="202"/>
      <c r="L54" s="205"/>
      <c r="M54" s="260"/>
    </row>
    <row r="55" spans="1:13" s="114" customFormat="1" ht="16.5" customHeight="1">
      <c r="A55" s="165"/>
      <c r="B55" s="259"/>
      <c r="C55" s="203"/>
      <c r="D55" s="204"/>
      <c r="E55" s="207"/>
      <c r="F55" s="201"/>
      <c r="G55" s="201"/>
      <c r="H55" s="202"/>
      <c r="I55" s="199"/>
      <c r="J55" s="201"/>
      <c r="K55" s="202"/>
      <c r="L55" s="205"/>
      <c r="M55" s="260"/>
    </row>
    <row r="56" spans="1:13" s="114" customFormat="1" ht="16.5" customHeight="1">
      <c r="A56" s="165"/>
      <c r="B56" s="259"/>
      <c r="C56" s="203"/>
      <c r="D56" s="204"/>
      <c r="E56" s="201"/>
      <c r="F56" s="201"/>
      <c r="G56" s="201"/>
      <c r="H56" s="169"/>
      <c r="I56" s="199"/>
      <c r="J56" s="201"/>
      <c r="K56" s="202"/>
      <c r="L56" s="205"/>
      <c r="M56" s="260"/>
    </row>
    <row r="57" spans="1:13" s="197" customFormat="1" ht="16.5" customHeight="1">
      <c r="A57" s="165"/>
      <c r="B57" s="259"/>
      <c r="C57" s="203"/>
      <c r="D57" s="204"/>
      <c r="E57" s="201"/>
      <c r="F57" s="201"/>
      <c r="G57" s="201"/>
      <c r="H57" s="169"/>
      <c r="I57" s="199"/>
      <c r="J57" s="201"/>
      <c r="K57" s="202"/>
      <c r="L57" s="205"/>
      <c r="M57" s="260"/>
    </row>
    <row r="58" spans="1:13" ht="16.5" customHeight="1">
      <c r="A58" s="166" t="s">
        <v>195</v>
      </c>
      <c r="B58" s="261" t="s">
        <v>196</v>
      </c>
      <c r="C58" s="262"/>
      <c r="D58" s="263"/>
      <c r="E58" s="264"/>
      <c r="F58" s="262"/>
      <c r="G58" s="265"/>
      <c r="H58" s="264"/>
      <c r="I58" s="265"/>
      <c r="J58" s="266"/>
      <c r="K58" s="265"/>
      <c r="L58" s="265"/>
      <c r="M58" s="267"/>
    </row>
    <row r="59" spans="1:13" ht="16.5" customHeight="1">
      <c r="A59" s="161" t="s">
        <v>182</v>
      </c>
      <c r="B59" s="268" t="s">
        <v>529</v>
      </c>
      <c r="C59" s="269"/>
      <c r="D59" s="270"/>
      <c r="E59" s="269"/>
      <c r="F59" s="269"/>
      <c r="G59" s="269"/>
      <c r="H59" s="269"/>
      <c r="I59" s="269"/>
      <c r="J59" s="269"/>
      <c r="K59" s="269"/>
      <c r="L59" s="269"/>
      <c r="M59" s="271"/>
    </row>
    <row r="60" spans="1:13" ht="16.5" customHeight="1">
      <c r="A60" s="162" t="e">
        <f>#REF!</f>
        <v>#REF!</v>
      </c>
      <c r="B60" s="254" t="s">
        <v>503</v>
      </c>
      <c r="C60" s="18" t="s">
        <v>504</v>
      </c>
      <c r="D60" s="14" t="s">
        <v>199</v>
      </c>
      <c r="E60" s="194">
        <v>177</v>
      </c>
      <c r="F60" s="19"/>
      <c r="G60" s="19"/>
      <c r="H60" s="19"/>
      <c r="I60" s="20"/>
      <c r="J60" s="19"/>
      <c r="K60" s="20"/>
      <c r="L60" s="20"/>
      <c r="M60" s="255"/>
    </row>
    <row r="61" spans="1:13" s="114" customFormat="1" ht="16.5" customHeight="1">
      <c r="A61" s="198" t="e">
        <f>#REF!</f>
        <v>#REF!</v>
      </c>
      <c r="B61" s="254" t="s">
        <v>200</v>
      </c>
      <c r="C61" s="18" t="s">
        <v>530</v>
      </c>
      <c r="D61" s="14" t="s">
        <v>199</v>
      </c>
      <c r="E61" s="194">
        <v>24</v>
      </c>
      <c r="F61" s="19"/>
      <c r="G61" s="19"/>
      <c r="H61" s="19"/>
      <c r="I61" s="20"/>
      <c r="J61" s="19"/>
      <c r="K61" s="20"/>
      <c r="L61" s="20"/>
      <c r="M61" s="255"/>
    </row>
    <row r="62" spans="1:13" s="114" customFormat="1" ht="16.5" customHeight="1">
      <c r="A62" s="198" t="e">
        <f>#REF!</f>
        <v>#REF!</v>
      </c>
      <c r="B62" s="254" t="s">
        <v>511</v>
      </c>
      <c r="C62" s="18" t="s">
        <v>504</v>
      </c>
      <c r="D62" s="14" t="s">
        <v>220</v>
      </c>
      <c r="E62" s="194">
        <v>66</v>
      </c>
      <c r="F62" s="19"/>
      <c r="G62" s="19"/>
      <c r="H62" s="19"/>
      <c r="I62" s="20"/>
      <c r="J62" s="19"/>
      <c r="K62" s="20"/>
      <c r="L62" s="20"/>
      <c r="M62" s="255"/>
    </row>
    <row r="63" spans="1:13" s="114" customFormat="1" ht="16.5" customHeight="1">
      <c r="A63" s="198" t="e">
        <f>#REF!</f>
        <v>#REF!</v>
      </c>
      <c r="B63" s="254" t="s">
        <v>511</v>
      </c>
      <c r="C63" s="18" t="s">
        <v>531</v>
      </c>
      <c r="D63" s="14" t="s">
        <v>220</v>
      </c>
      <c r="E63" s="194">
        <v>22</v>
      </c>
      <c r="F63" s="19"/>
      <c r="G63" s="19"/>
      <c r="H63" s="19"/>
      <c r="I63" s="20"/>
      <c r="J63" s="19"/>
      <c r="K63" s="20"/>
      <c r="L63" s="20"/>
      <c r="M63" s="255"/>
    </row>
    <row r="64" spans="1:13" s="114" customFormat="1" ht="16.5" customHeight="1">
      <c r="A64" s="198" t="e">
        <f>#REF!</f>
        <v>#REF!</v>
      </c>
      <c r="B64" s="254" t="s">
        <v>207</v>
      </c>
      <c r="C64" s="18" t="s">
        <v>260</v>
      </c>
      <c r="D64" s="14" t="s">
        <v>199</v>
      </c>
      <c r="E64" s="194">
        <v>3</v>
      </c>
      <c r="F64" s="19"/>
      <c r="G64" s="19"/>
      <c r="H64" s="19"/>
      <c r="I64" s="20"/>
      <c r="J64" s="19"/>
      <c r="K64" s="20"/>
      <c r="L64" s="20"/>
      <c r="M64" s="255"/>
    </row>
    <row r="65" spans="1:13" s="114" customFormat="1" ht="16.5" customHeight="1">
      <c r="A65" s="198" t="e">
        <f>#REF!</f>
        <v>#REF!</v>
      </c>
      <c r="B65" s="254" t="s">
        <v>507</v>
      </c>
      <c r="C65" s="18" t="s">
        <v>532</v>
      </c>
      <c r="D65" s="14" t="s">
        <v>199</v>
      </c>
      <c r="E65" s="194">
        <v>550</v>
      </c>
      <c r="F65" s="19"/>
      <c r="G65" s="19"/>
      <c r="H65" s="19"/>
      <c r="I65" s="20"/>
      <c r="J65" s="19"/>
      <c r="K65" s="20"/>
      <c r="L65" s="20"/>
      <c r="M65" s="255"/>
    </row>
    <row r="66" spans="1:13" s="114" customFormat="1" ht="16.5" customHeight="1">
      <c r="A66" s="198" t="e">
        <f>#REF!</f>
        <v>#REF!</v>
      </c>
      <c r="B66" s="254" t="s">
        <v>201</v>
      </c>
      <c r="C66" s="18" t="s">
        <v>202</v>
      </c>
      <c r="D66" s="14" t="s">
        <v>220</v>
      </c>
      <c r="E66" s="194">
        <v>32</v>
      </c>
      <c r="F66" s="19"/>
      <c r="G66" s="19"/>
      <c r="H66" s="19"/>
      <c r="I66" s="20"/>
      <c r="J66" s="19"/>
      <c r="K66" s="20"/>
      <c r="L66" s="20"/>
      <c r="M66" s="255"/>
    </row>
    <row r="67" spans="1:13" s="114" customFormat="1" ht="16.5" customHeight="1">
      <c r="A67" s="198" t="e">
        <f>#REF!</f>
        <v>#REF!</v>
      </c>
      <c r="B67" s="254" t="s">
        <v>203</v>
      </c>
      <c r="C67" s="18" t="s">
        <v>514</v>
      </c>
      <c r="D67" s="14" t="s">
        <v>220</v>
      </c>
      <c r="E67" s="194">
        <v>32</v>
      </c>
      <c r="F67" s="19"/>
      <c r="G67" s="19"/>
      <c r="H67" s="19"/>
      <c r="I67" s="20"/>
      <c r="J67" s="19"/>
      <c r="K67" s="20"/>
      <c r="L67" s="20"/>
      <c r="M67" s="255"/>
    </row>
    <row r="68" spans="1:13" s="114" customFormat="1" ht="16.5" customHeight="1">
      <c r="A68" s="198" t="e">
        <f>#REF!</f>
        <v>#REF!</v>
      </c>
      <c r="B68" s="254" t="s">
        <v>168</v>
      </c>
      <c r="C68" s="18" t="s">
        <v>533</v>
      </c>
      <c r="D68" s="14" t="s">
        <v>220</v>
      </c>
      <c r="E68" s="194">
        <v>24</v>
      </c>
      <c r="F68" s="19"/>
      <c r="G68" s="19"/>
      <c r="H68" s="19"/>
      <c r="I68" s="20"/>
      <c r="J68" s="19"/>
      <c r="K68" s="20"/>
      <c r="L68" s="20"/>
      <c r="M68" s="255"/>
    </row>
    <row r="69" spans="1:13" s="197" customFormat="1" ht="16.5" customHeight="1">
      <c r="A69" s="198" t="e">
        <f>#REF!</f>
        <v>#REF!</v>
      </c>
      <c r="B69" s="254" t="s">
        <v>168</v>
      </c>
      <c r="C69" s="18" t="s">
        <v>534</v>
      </c>
      <c r="D69" s="14" t="s">
        <v>220</v>
      </c>
      <c r="E69" s="194">
        <v>7</v>
      </c>
      <c r="F69" s="19"/>
      <c r="G69" s="19"/>
      <c r="H69" s="19"/>
      <c r="I69" s="20"/>
      <c r="J69" s="19"/>
      <c r="K69" s="20"/>
      <c r="L69" s="20"/>
      <c r="M69" s="255"/>
    </row>
    <row r="70" spans="1:13" s="197" customFormat="1" ht="16.5" customHeight="1">
      <c r="A70" s="198"/>
      <c r="B70" s="254"/>
      <c r="C70" s="18"/>
      <c r="D70" s="14"/>
      <c r="E70" s="194"/>
      <c r="F70" s="19"/>
      <c r="G70" s="19"/>
      <c r="H70" s="19"/>
      <c r="I70" s="20"/>
      <c r="J70" s="19"/>
      <c r="K70" s="20"/>
      <c r="L70" s="20"/>
      <c r="M70" s="255"/>
    </row>
    <row r="71" spans="1:13" s="113" customFormat="1" ht="16.5" customHeight="1">
      <c r="A71" s="163"/>
      <c r="B71" s="256" t="s">
        <v>228</v>
      </c>
      <c r="C71" s="199" t="s">
        <v>229</v>
      </c>
      <c r="D71" s="200" t="s">
        <v>191</v>
      </c>
      <c r="E71" s="206">
        <v>1</v>
      </c>
      <c r="F71" s="202"/>
      <c r="G71" s="202"/>
      <c r="H71" s="202"/>
      <c r="I71" s="202"/>
      <c r="J71" s="202"/>
      <c r="K71" s="202"/>
      <c r="L71" s="202"/>
      <c r="M71" s="257"/>
    </row>
    <row r="72" spans="1:13" s="113" customFormat="1" ht="16.5" customHeight="1">
      <c r="A72" s="164"/>
      <c r="B72" s="256" t="s">
        <v>192</v>
      </c>
      <c r="C72" s="199" t="s">
        <v>210</v>
      </c>
      <c r="D72" s="200" t="s">
        <v>191</v>
      </c>
      <c r="E72" s="206">
        <v>1</v>
      </c>
      <c r="F72" s="202"/>
      <c r="G72" s="202"/>
      <c r="H72" s="202"/>
      <c r="I72" s="202"/>
      <c r="J72" s="202"/>
      <c r="K72" s="202"/>
      <c r="L72" s="202"/>
      <c r="M72" s="258"/>
    </row>
    <row r="73" spans="1:13" s="114" customFormat="1" ht="16.5" customHeight="1">
      <c r="A73" s="165"/>
      <c r="B73" s="259" t="s">
        <v>273</v>
      </c>
      <c r="C73" s="203" t="s">
        <v>193</v>
      </c>
      <c r="D73" s="204" t="s">
        <v>197</v>
      </c>
      <c r="E73" s="207">
        <v>25.234000000000002</v>
      </c>
      <c r="F73" s="201"/>
      <c r="G73" s="201"/>
      <c r="H73" s="202"/>
      <c r="I73" s="199"/>
      <c r="J73" s="201"/>
      <c r="K73" s="202"/>
      <c r="L73" s="205"/>
      <c r="M73" s="260"/>
    </row>
    <row r="74" spans="1:13" s="197" customFormat="1" ht="16.5" customHeight="1">
      <c r="A74" s="165"/>
      <c r="B74" s="259" t="s">
        <v>230</v>
      </c>
      <c r="C74" s="203" t="s">
        <v>231</v>
      </c>
      <c r="D74" s="204" t="s">
        <v>191</v>
      </c>
      <c r="E74" s="201">
        <v>1</v>
      </c>
      <c r="F74" s="201"/>
      <c r="G74" s="201"/>
      <c r="H74" s="169"/>
      <c r="I74" s="199"/>
      <c r="J74" s="201"/>
      <c r="K74" s="202"/>
      <c r="L74" s="205"/>
      <c r="M74" s="260"/>
    </row>
    <row r="75" spans="1:13" s="197" customFormat="1" ht="16.5" customHeight="1">
      <c r="A75" s="165"/>
      <c r="B75" s="259"/>
      <c r="C75" s="203"/>
      <c r="D75" s="204"/>
      <c r="E75" s="201"/>
      <c r="F75" s="201"/>
      <c r="G75" s="201"/>
      <c r="H75" s="169"/>
      <c r="I75" s="199"/>
      <c r="J75" s="201"/>
      <c r="K75" s="202"/>
      <c r="L75" s="205"/>
      <c r="M75" s="260"/>
    </row>
    <row r="76" spans="1:13" s="197" customFormat="1" ht="16.5" customHeight="1">
      <c r="A76" s="165"/>
      <c r="B76" s="259"/>
      <c r="C76" s="203"/>
      <c r="D76" s="204"/>
      <c r="E76" s="201"/>
      <c r="F76" s="201"/>
      <c r="G76" s="201"/>
      <c r="H76" s="169"/>
      <c r="I76" s="199"/>
      <c r="J76" s="201"/>
      <c r="K76" s="202"/>
      <c r="L76" s="205"/>
      <c r="M76" s="260"/>
    </row>
    <row r="77" spans="1:13" s="197" customFormat="1" ht="16.5" customHeight="1">
      <c r="A77" s="165"/>
      <c r="B77" s="259"/>
      <c r="C77" s="203"/>
      <c r="D77" s="204"/>
      <c r="E77" s="201"/>
      <c r="F77" s="201"/>
      <c r="G77" s="201"/>
      <c r="H77" s="169"/>
      <c r="I77" s="199"/>
      <c r="J77" s="201"/>
      <c r="K77" s="202"/>
      <c r="L77" s="205"/>
      <c r="M77" s="260"/>
    </row>
    <row r="78" spans="1:13" s="197" customFormat="1" ht="16.5" customHeight="1">
      <c r="A78" s="165"/>
      <c r="B78" s="259"/>
      <c r="C78" s="203"/>
      <c r="D78" s="204"/>
      <c r="E78" s="201"/>
      <c r="F78" s="201"/>
      <c r="G78" s="201"/>
      <c r="H78" s="169"/>
      <c r="I78" s="199"/>
      <c r="J78" s="201"/>
      <c r="K78" s="202"/>
      <c r="L78" s="205"/>
      <c r="M78" s="260"/>
    </row>
    <row r="79" spans="1:13" s="197" customFormat="1" ht="16.5" customHeight="1">
      <c r="A79" s="165"/>
      <c r="B79" s="259"/>
      <c r="C79" s="203"/>
      <c r="D79" s="204"/>
      <c r="E79" s="201"/>
      <c r="F79" s="201"/>
      <c r="G79" s="201"/>
      <c r="H79" s="169"/>
      <c r="I79" s="199"/>
      <c r="J79" s="201"/>
      <c r="K79" s="202"/>
      <c r="L79" s="205"/>
      <c r="M79" s="260"/>
    </row>
    <row r="80" spans="1:13" s="197" customFormat="1" ht="16.5" customHeight="1">
      <c r="A80" s="165"/>
      <c r="B80" s="259"/>
      <c r="C80" s="203"/>
      <c r="D80" s="204"/>
      <c r="E80" s="201"/>
      <c r="F80" s="201"/>
      <c r="G80" s="201"/>
      <c r="H80" s="169"/>
      <c r="I80" s="199"/>
      <c r="J80" s="201"/>
      <c r="K80" s="202"/>
      <c r="L80" s="205"/>
      <c r="M80" s="260"/>
    </row>
    <row r="81" spans="1:13" s="197" customFormat="1" ht="16.5" customHeight="1">
      <c r="A81" s="165"/>
      <c r="B81" s="259"/>
      <c r="C81" s="203"/>
      <c r="D81" s="204"/>
      <c r="E81" s="201"/>
      <c r="F81" s="201"/>
      <c r="G81" s="201"/>
      <c r="H81" s="169"/>
      <c r="I81" s="199"/>
      <c r="J81" s="201"/>
      <c r="K81" s="202"/>
      <c r="L81" s="205"/>
      <c r="M81" s="260"/>
    </row>
    <row r="82" spans="1:13" s="197" customFormat="1" ht="16.5" customHeight="1">
      <c r="A82" s="165"/>
      <c r="B82" s="259"/>
      <c r="C82" s="203"/>
      <c r="D82" s="204"/>
      <c r="E82" s="201"/>
      <c r="F82" s="201"/>
      <c r="G82" s="201"/>
      <c r="H82" s="169"/>
      <c r="I82" s="199"/>
      <c r="J82" s="201"/>
      <c r="K82" s="202"/>
      <c r="L82" s="205"/>
      <c r="M82" s="260"/>
    </row>
    <row r="83" spans="1:13" s="114" customFormat="1" ht="16.5" customHeight="1">
      <c r="A83" s="165"/>
      <c r="B83" s="259"/>
      <c r="C83" s="203"/>
      <c r="D83" s="204"/>
      <c r="E83" s="201"/>
      <c r="F83" s="201"/>
      <c r="G83" s="201"/>
      <c r="H83" s="169"/>
      <c r="I83" s="199"/>
      <c r="J83" s="201"/>
      <c r="K83" s="202"/>
      <c r="L83" s="205"/>
      <c r="M83" s="260"/>
    </row>
    <row r="84" spans="1:13" s="114" customFormat="1" ht="16.5" customHeight="1">
      <c r="A84" s="165"/>
      <c r="B84" s="259"/>
      <c r="C84" s="203"/>
      <c r="D84" s="204"/>
      <c r="E84" s="201"/>
      <c r="F84" s="201"/>
      <c r="G84" s="201"/>
      <c r="H84" s="169"/>
      <c r="I84" s="199"/>
      <c r="J84" s="201"/>
      <c r="K84" s="202"/>
      <c r="L84" s="205"/>
      <c r="M84" s="260"/>
    </row>
    <row r="85" spans="1:13" s="114" customFormat="1" ht="16.5" customHeight="1">
      <c r="A85" s="165"/>
      <c r="B85" s="259"/>
      <c r="C85" s="203"/>
      <c r="D85" s="204"/>
      <c r="E85" s="201"/>
      <c r="F85" s="201"/>
      <c r="G85" s="201"/>
      <c r="H85" s="169"/>
      <c r="I85" s="199"/>
      <c r="J85" s="201"/>
      <c r="K85" s="202"/>
      <c r="L85" s="205"/>
      <c r="M85" s="260"/>
    </row>
    <row r="86" spans="1:13" ht="16.5" customHeight="1">
      <c r="A86" s="166" t="s">
        <v>195</v>
      </c>
      <c r="B86" s="261" t="s">
        <v>196</v>
      </c>
      <c r="C86" s="262"/>
      <c r="D86" s="263"/>
      <c r="E86" s="264"/>
      <c r="F86" s="262"/>
      <c r="G86" s="265"/>
      <c r="H86" s="264"/>
      <c r="I86" s="265"/>
      <c r="J86" s="266"/>
      <c r="K86" s="265"/>
      <c r="L86" s="265"/>
      <c r="M86" s="267"/>
    </row>
    <row r="87" spans="1:13" ht="16.5" customHeight="1">
      <c r="A87" s="161" t="s">
        <v>182</v>
      </c>
      <c r="B87" s="268" t="s">
        <v>535</v>
      </c>
      <c r="C87" s="269"/>
      <c r="D87" s="270"/>
      <c r="E87" s="269"/>
      <c r="F87" s="269"/>
      <c r="G87" s="269"/>
      <c r="H87" s="269"/>
      <c r="I87" s="269"/>
      <c r="J87" s="269"/>
      <c r="K87" s="269"/>
      <c r="L87" s="269"/>
      <c r="M87" s="271"/>
    </row>
    <row r="88" spans="1:13" ht="16.5" customHeight="1">
      <c r="A88" s="162" t="e">
        <f>#REF!</f>
        <v>#REF!</v>
      </c>
      <c r="B88" s="254" t="s">
        <v>503</v>
      </c>
      <c r="C88" s="18" t="s">
        <v>504</v>
      </c>
      <c r="D88" s="14" t="s">
        <v>199</v>
      </c>
      <c r="E88" s="194">
        <v>83</v>
      </c>
      <c r="F88" s="19"/>
      <c r="G88" s="19"/>
      <c r="H88" s="19"/>
      <c r="I88" s="20"/>
      <c r="J88" s="19"/>
      <c r="K88" s="20"/>
      <c r="L88" s="20"/>
      <c r="M88" s="255"/>
    </row>
    <row r="89" spans="1:13" s="114" customFormat="1" ht="16.5" customHeight="1">
      <c r="A89" s="198" t="e">
        <f>#REF!</f>
        <v>#REF!</v>
      </c>
      <c r="B89" s="254" t="s">
        <v>200</v>
      </c>
      <c r="C89" s="18" t="s">
        <v>530</v>
      </c>
      <c r="D89" s="14" t="s">
        <v>199</v>
      </c>
      <c r="E89" s="194">
        <v>4</v>
      </c>
      <c r="F89" s="19"/>
      <c r="G89" s="19"/>
      <c r="H89" s="19"/>
      <c r="I89" s="20"/>
      <c r="J89" s="19"/>
      <c r="K89" s="20"/>
      <c r="L89" s="20"/>
      <c r="M89" s="255"/>
    </row>
    <row r="90" spans="1:13" s="114" customFormat="1" ht="16.5" customHeight="1">
      <c r="A90" s="198" t="e">
        <f>#REF!</f>
        <v>#REF!</v>
      </c>
      <c r="B90" s="254" t="s">
        <v>511</v>
      </c>
      <c r="C90" s="18" t="s">
        <v>504</v>
      </c>
      <c r="D90" s="14" t="s">
        <v>220</v>
      </c>
      <c r="E90" s="194">
        <v>12</v>
      </c>
      <c r="F90" s="19"/>
      <c r="G90" s="19"/>
      <c r="H90" s="19"/>
      <c r="I90" s="20"/>
      <c r="J90" s="19"/>
      <c r="K90" s="20"/>
      <c r="L90" s="20"/>
      <c r="M90" s="255"/>
    </row>
    <row r="91" spans="1:13" s="114" customFormat="1" ht="16.5" customHeight="1">
      <c r="A91" s="198" t="e">
        <f>#REF!</f>
        <v>#REF!</v>
      </c>
      <c r="B91" s="254" t="s">
        <v>511</v>
      </c>
      <c r="C91" s="18" t="s">
        <v>531</v>
      </c>
      <c r="D91" s="14" t="s">
        <v>220</v>
      </c>
      <c r="E91" s="194">
        <v>4</v>
      </c>
      <c r="F91" s="19"/>
      <c r="G91" s="19"/>
      <c r="H91" s="19"/>
      <c r="I91" s="20"/>
      <c r="J91" s="19"/>
      <c r="K91" s="20"/>
      <c r="L91" s="20"/>
      <c r="M91" s="255"/>
    </row>
    <row r="92" spans="1:13" s="114" customFormat="1" ht="16.5" customHeight="1">
      <c r="A92" s="198" t="e">
        <f>#REF!</f>
        <v>#REF!</v>
      </c>
      <c r="B92" s="254" t="s">
        <v>207</v>
      </c>
      <c r="C92" s="18" t="s">
        <v>260</v>
      </c>
      <c r="D92" s="14" t="s">
        <v>199</v>
      </c>
      <c r="E92" s="194">
        <v>16</v>
      </c>
      <c r="F92" s="19"/>
      <c r="G92" s="19"/>
      <c r="H92" s="19"/>
      <c r="I92" s="20"/>
      <c r="J92" s="19"/>
      <c r="K92" s="20"/>
      <c r="L92" s="20"/>
      <c r="M92" s="255"/>
    </row>
    <row r="93" spans="1:13" s="114" customFormat="1" ht="16.5" customHeight="1">
      <c r="A93" s="198" t="e">
        <f>#REF!</f>
        <v>#REF!</v>
      </c>
      <c r="B93" s="254" t="s">
        <v>507</v>
      </c>
      <c r="C93" s="18" t="s">
        <v>508</v>
      </c>
      <c r="D93" s="14" t="s">
        <v>199</v>
      </c>
      <c r="E93" s="194">
        <v>209</v>
      </c>
      <c r="F93" s="19"/>
      <c r="G93" s="19"/>
      <c r="H93" s="19"/>
      <c r="I93" s="20"/>
      <c r="J93" s="19"/>
      <c r="K93" s="20"/>
      <c r="L93" s="20"/>
      <c r="M93" s="255"/>
    </row>
    <row r="94" spans="1:13" s="197" customFormat="1" ht="16.5" customHeight="1">
      <c r="A94" s="198" t="e">
        <f>#REF!</f>
        <v>#REF!</v>
      </c>
      <c r="B94" s="254" t="s">
        <v>201</v>
      </c>
      <c r="C94" s="18" t="s">
        <v>202</v>
      </c>
      <c r="D94" s="14" t="s">
        <v>220</v>
      </c>
      <c r="E94" s="194">
        <v>11</v>
      </c>
      <c r="F94" s="19"/>
      <c r="G94" s="19"/>
      <c r="H94" s="19"/>
      <c r="I94" s="20"/>
      <c r="J94" s="19"/>
      <c r="K94" s="20"/>
      <c r="L94" s="20"/>
      <c r="M94" s="255"/>
    </row>
    <row r="95" spans="1:13" s="197" customFormat="1" ht="16.5" customHeight="1">
      <c r="A95" s="198" t="e">
        <f>#REF!</f>
        <v>#REF!</v>
      </c>
      <c r="B95" s="254" t="s">
        <v>203</v>
      </c>
      <c r="C95" s="18" t="s">
        <v>514</v>
      </c>
      <c r="D95" s="14" t="s">
        <v>220</v>
      </c>
      <c r="E95" s="194">
        <v>11</v>
      </c>
      <c r="F95" s="19"/>
      <c r="G95" s="19"/>
      <c r="H95" s="19"/>
      <c r="I95" s="20"/>
      <c r="J95" s="19"/>
      <c r="K95" s="20"/>
      <c r="L95" s="20"/>
      <c r="M95" s="255"/>
    </row>
    <row r="96" spans="1:13" s="197" customFormat="1" ht="16.5" customHeight="1">
      <c r="A96" s="198" t="e">
        <f>#REF!</f>
        <v>#REF!</v>
      </c>
      <c r="B96" s="254" t="s">
        <v>536</v>
      </c>
      <c r="C96" s="18" t="s">
        <v>537</v>
      </c>
      <c r="D96" s="14" t="s">
        <v>220</v>
      </c>
      <c r="E96" s="194">
        <v>4</v>
      </c>
      <c r="F96" s="19"/>
      <c r="G96" s="19"/>
      <c r="H96" s="19"/>
      <c r="I96" s="20"/>
      <c r="J96" s="19"/>
      <c r="K96" s="20"/>
      <c r="L96" s="20"/>
      <c r="M96" s="255"/>
    </row>
    <row r="97" spans="1:13" s="197" customFormat="1" ht="16.5" customHeight="1">
      <c r="A97" s="198" t="e">
        <f>#REF!</f>
        <v>#REF!</v>
      </c>
      <c r="B97" s="254" t="s">
        <v>538</v>
      </c>
      <c r="C97" s="18" t="s">
        <v>539</v>
      </c>
      <c r="D97" s="14" t="s">
        <v>220</v>
      </c>
      <c r="E97" s="194">
        <v>2</v>
      </c>
      <c r="F97" s="19"/>
      <c r="G97" s="19"/>
      <c r="H97" s="19"/>
      <c r="I97" s="20"/>
      <c r="J97" s="19"/>
      <c r="K97" s="20"/>
      <c r="L97" s="20"/>
      <c r="M97" s="255"/>
    </row>
    <row r="98" spans="1:13" s="197" customFormat="1" ht="16.5" customHeight="1">
      <c r="A98" s="198"/>
      <c r="B98" s="254"/>
      <c r="C98" s="18"/>
      <c r="D98" s="14"/>
      <c r="E98" s="194"/>
      <c r="F98" s="19"/>
      <c r="G98" s="19"/>
      <c r="H98" s="19"/>
      <c r="I98" s="20"/>
      <c r="J98" s="19"/>
      <c r="K98" s="20"/>
      <c r="L98" s="20"/>
      <c r="M98" s="255"/>
    </row>
    <row r="99" spans="1:13" s="113" customFormat="1" ht="16.5" customHeight="1">
      <c r="A99" s="163"/>
      <c r="B99" s="256" t="s">
        <v>228</v>
      </c>
      <c r="C99" s="199" t="s">
        <v>229</v>
      </c>
      <c r="D99" s="200" t="s">
        <v>191</v>
      </c>
      <c r="E99" s="206">
        <v>1</v>
      </c>
      <c r="F99" s="202"/>
      <c r="G99" s="202"/>
      <c r="H99" s="202"/>
      <c r="I99" s="202"/>
      <c r="J99" s="202"/>
      <c r="K99" s="202"/>
      <c r="L99" s="202"/>
      <c r="M99" s="257"/>
    </row>
    <row r="100" spans="1:13" s="113" customFormat="1" ht="16.5" customHeight="1">
      <c r="A100" s="164"/>
      <c r="B100" s="256" t="s">
        <v>192</v>
      </c>
      <c r="C100" s="199" t="s">
        <v>210</v>
      </c>
      <c r="D100" s="200" t="s">
        <v>191</v>
      </c>
      <c r="E100" s="206">
        <v>1</v>
      </c>
      <c r="F100" s="202"/>
      <c r="G100" s="202"/>
      <c r="H100" s="202"/>
      <c r="I100" s="202"/>
      <c r="J100" s="202"/>
      <c r="K100" s="202"/>
      <c r="L100" s="202"/>
      <c r="M100" s="258"/>
    </row>
    <row r="101" spans="1:13" s="114" customFormat="1" ht="16.5" customHeight="1">
      <c r="A101" s="165"/>
      <c r="B101" s="259" t="s">
        <v>273</v>
      </c>
      <c r="C101" s="203" t="s">
        <v>193</v>
      </c>
      <c r="D101" s="204" t="s">
        <v>197</v>
      </c>
      <c r="E101" s="207">
        <v>10.9</v>
      </c>
      <c r="F101" s="201"/>
      <c r="G101" s="201"/>
      <c r="H101" s="202"/>
      <c r="I101" s="199"/>
      <c r="J101" s="201"/>
      <c r="K101" s="202"/>
      <c r="L101" s="205"/>
      <c r="M101" s="260"/>
    </row>
    <row r="102" spans="1:13" s="197" customFormat="1" ht="16.5" customHeight="1">
      <c r="A102" s="165"/>
      <c r="B102" s="259" t="s">
        <v>230</v>
      </c>
      <c r="C102" s="203" t="s">
        <v>231</v>
      </c>
      <c r="D102" s="204" t="s">
        <v>191</v>
      </c>
      <c r="E102" s="201">
        <v>1</v>
      </c>
      <c r="F102" s="201"/>
      <c r="G102" s="201"/>
      <c r="H102" s="169"/>
      <c r="I102" s="199"/>
      <c r="J102" s="201"/>
      <c r="K102" s="202"/>
      <c r="L102" s="205"/>
      <c r="M102" s="260"/>
    </row>
    <row r="103" spans="1:13" s="197" customFormat="1" ht="16.5" customHeight="1">
      <c r="A103" s="165"/>
      <c r="B103" s="259"/>
      <c r="C103" s="203"/>
      <c r="D103" s="204"/>
      <c r="E103" s="201"/>
      <c r="F103" s="201"/>
      <c r="G103" s="201"/>
      <c r="H103" s="169"/>
      <c r="I103" s="199"/>
      <c r="J103" s="201"/>
      <c r="K103" s="202"/>
      <c r="L103" s="205"/>
      <c r="M103" s="260"/>
    </row>
    <row r="104" spans="1:13" s="197" customFormat="1" ht="16.5" customHeight="1">
      <c r="A104" s="165"/>
      <c r="B104" s="259"/>
      <c r="C104" s="203"/>
      <c r="D104" s="204"/>
      <c r="E104" s="201"/>
      <c r="F104" s="201"/>
      <c r="G104" s="201"/>
      <c r="H104" s="169"/>
      <c r="I104" s="199"/>
      <c r="J104" s="201"/>
      <c r="K104" s="202"/>
      <c r="L104" s="205"/>
      <c r="M104" s="260"/>
    </row>
    <row r="105" spans="1:13" s="197" customFormat="1" ht="16.5" customHeight="1">
      <c r="A105" s="165"/>
      <c r="B105" s="259"/>
      <c r="C105" s="203"/>
      <c r="D105" s="204"/>
      <c r="E105" s="201"/>
      <c r="F105" s="201"/>
      <c r="G105" s="201"/>
      <c r="H105" s="169"/>
      <c r="I105" s="199"/>
      <c r="J105" s="201"/>
      <c r="K105" s="202"/>
      <c r="L105" s="205"/>
      <c r="M105" s="260"/>
    </row>
    <row r="106" spans="1:13" s="197" customFormat="1" ht="16.5" customHeight="1">
      <c r="A106" s="165"/>
      <c r="B106" s="259"/>
      <c r="C106" s="203"/>
      <c r="D106" s="204"/>
      <c r="E106" s="201"/>
      <c r="F106" s="201"/>
      <c r="G106" s="201"/>
      <c r="H106" s="169"/>
      <c r="I106" s="199"/>
      <c r="J106" s="201"/>
      <c r="K106" s="202"/>
      <c r="L106" s="205"/>
      <c r="M106" s="260"/>
    </row>
    <row r="107" spans="1:13" s="197" customFormat="1" ht="16.5" customHeight="1">
      <c r="A107" s="165"/>
      <c r="B107" s="259"/>
      <c r="C107" s="203"/>
      <c r="D107" s="204"/>
      <c r="E107" s="201"/>
      <c r="F107" s="201"/>
      <c r="G107" s="201"/>
      <c r="H107" s="169"/>
      <c r="I107" s="199"/>
      <c r="J107" s="201"/>
      <c r="K107" s="202"/>
      <c r="L107" s="205"/>
      <c r="M107" s="260"/>
    </row>
    <row r="108" spans="1:13" s="197" customFormat="1" ht="16.5" customHeight="1">
      <c r="A108" s="165"/>
      <c r="B108" s="259"/>
      <c r="C108" s="203"/>
      <c r="D108" s="204"/>
      <c r="E108" s="201"/>
      <c r="F108" s="201"/>
      <c r="G108" s="201"/>
      <c r="H108" s="169"/>
      <c r="I108" s="199"/>
      <c r="J108" s="201"/>
      <c r="K108" s="202"/>
      <c r="L108" s="205"/>
      <c r="M108" s="260"/>
    </row>
    <row r="109" spans="1:13" s="197" customFormat="1" ht="16.5" customHeight="1">
      <c r="A109" s="165"/>
      <c r="B109" s="259"/>
      <c r="C109" s="203"/>
      <c r="D109" s="204"/>
      <c r="E109" s="201"/>
      <c r="F109" s="201"/>
      <c r="G109" s="201"/>
      <c r="H109" s="169"/>
      <c r="I109" s="199"/>
      <c r="J109" s="201"/>
      <c r="K109" s="202"/>
      <c r="L109" s="205"/>
      <c r="M109" s="260"/>
    </row>
    <row r="110" spans="1:13" s="114" customFormat="1" ht="16.5" customHeight="1">
      <c r="A110" s="165"/>
      <c r="B110" s="259"/>
      <c r="C110" s="203"/>
      <c r="D110" s="204"/>
      <c r="E110" s="207"/>
      <c r="F110" s="201"/>
      <c r="G110" s="201"/>
      <c r="H110" s="202"/>
      <c r="I110" s="199"/>
      <c r="J110" s="201"/>
      <c r="K110" s="202"/>
      <c r="L110" s="205"/>
      <c r="M110" s="260"/>
    </row>
    <row r="111" spans="1:13" s="197" customFormat="1" ht="16.5" customHeight="1">
      <c r="A111" s="165"/>
      <c r="B111" s="259"/>
      <c r="C111" s="203"/>
      <c r="D111" s="204"/>
      <c r="E111" s="207"/>
      <c r="F111" s="201"/>
      <c r="G111" s="201"/>
      <c r="H111" s="202"/>
      <c r="I111" s="199"/>
      <c r="J111" s="201"/>
      <c r="K111" s="202"/>
      <c r="L111" s="205"/>
      <c r="M111" s="260"/>
    </row>
    <row r="112" spans="1:13" s="114" customFormat="1" ht="16.5" customHeight="1">
      <c r="A112" s="165"/>
      <c r="B112" s="259"/>
      <c r="C112" s="203"/>
      <c r="D112" s="204"/>
      <c r="E112" s="201"/>
      <c r="F112" s="201"/>
      <c r="G112" s="201"/>
      <c r="H112" s="169"/>
      <c r="I112" s="199"/>
      <c r="J112" s="201"/>
      <c r="K112" s="202"/>
      <c r="L112" s="205"/>
      <c r="M112" s="260"/>
    </row>
    <row r="113" spans="1:13" s="114" customFormat="1" ht="16.5" customHeight="1">
      <c r="A113" s="165"/>
      <c r="B113" s="259"/>
      <c r="C113" s="203"/>
      <c r="D113" s="204"/>
      <c r="E113" s="201"/>
      <c r="F113" s="201"/>
      <c r="G113" s="201"/>
      <c r="H113" s="169"/>
      <c r="I113" s="199"/>
      <c r="J113" s="201"/>
      <c r="K113" s="202"/>
      <c r="L113" s="205"/>
      <c r="M113" s="260"/>
    </row>
    <row r="114" spans="1:13" ht="16.5" customHeight="1">
      <c r="A114" s="166" t="s">
        <v>195</v>
      </c>
      <c r="B114" s="261" t="s">
        <v>196</v>
      </c>
      <c r="C114" s="262"/>
      <c r="D114" s="263"/>
      <c r="E114" s="264"/>
      <c r="F114" s="262"/>
      <c r="G114" s="265"/>
      <c r="H114" s="264"/>
      <c r="I114" s="265"/>
      <c r="J114" s="266"/>
      <c r="K114" s="265"/>
      <c r="L114" s="265"/>
      <c r="M114" s="267"/>
    </row>
    <row r="115" spans="1:13" ht="16.5" customHeight="1">
      <c r="A115" s="161" t="s">
        <v>182</v>
      </c>
      <c r="B115" s="268" t="s">
        <v>540</v>
      </c>
      <c r="C115" s="269"/>
      <c r="D115" s="270"/>
      <c r="E115" s="269"/>
      <c r="F115" s="269"/>
      <c r="G115" s="269"/>
      <c r="H115" s="269"/>
      <c r="I115" s="269"/>
      <c r="J115" s="269"/>
      <c r="K115" s="269"/>
      <c r="L115" s="269"/>
      <c r="M115" s="271"/>
    </row>
    <row r="116" spans="1:13" ht="16.5" customHeight="1">
      <c r="A116" s="198" t="e">
        <f>#REF!</f>
        <v>#REF!</v>
      </c>
      <c r="B116" s="254" t="s">
        <v>503</v>
      </c>
      <c r="C116" s="18" t="s">
        <v>504</v>
      </c>
      <c r="D116" s="14" t="s">
        <v>199</v>
      </c>
      <c r="E116" s="194">
        <v>77</v>
      </c>
      <c r="F116" s="19"/>
      <c r="G116" s="19"/>
      <c r="H116" s="19"/>
      <c r="I116" s="20"/>
      <c r="J116" s="19"/>
      <c r="K116" s="20"/>
      <c r="L116" s="20"/>
      <c r="M116" s="255"/>
    </row>
    <row r="117" spans="1:13" s="197" customFormat="1" ht="16.5" customHeight="1">
      <c r="A117" s="198" t="e">
        <f>#REF!</f>
        <v>#REF!</v>
      </c>
      <c r="B117" s="254" t="s">
        <v>511</v>
      </c>
      <c r="C117" s="18" t="s">
        <v>504</v>
      </c>
      <c r="D117" s="14" t="s">
        <v>220</v>
      </c>
      <c r="E117" s="194">
        <v>12</v>
      </c>
      <c r="F117" s="19"/>
      <c r="G117" s="19"/>
      <c r="H117" s="19"/>
      <c r="I117" s="20"/>
      <c r="J117" s="19"/>
      <c r="K117" s="20"/>
      <c r="L117" s="20"/>
      <c r="M117" s="255"/>
    </row>
    <row r="118" spans="1:13" s="197" customFormat="1" ht="16.5" customHeight="1">
      <c r="A118" s="198" t="e">
        <f>#REF!</f>
        <v>#REF!</v>
      </c>
      <c r="B118" s="254" t="s">
        <v>507</v>
      </c>
      <c r="C118" s="18" t="s">
        <v>532</v>
      </c>
      <c r="D118" s="14" t="s">
        <v>199</v>
      </c>
      <c r="E118" s="194">
        <v>154</v>
      </c>
      <c r="F118" s="19"/>
      <c r="G118" s="19"/>
      <c r="H118" s="19"/>
      <c r="I118" s="20"/>
      <c r="J118" s="19"/>
      <c r="K118" s="20"/>
      <c r="L118" s="20"/>
      <c r="M118" s="255"/>
    </row>
    <row r="119" spans="1:13" s="197" customFormat="1" ht="16.5" customHeight="1">
      <c r="A119" s="198" t="e">
        <f>#REF!</f>
        <v>#REF!</v>
      </c>
      <c r="B119" s="254" t="s">
        <v>201</v>
      </c>
      <c r="C119" s="18" t="s">
        <v>202</v>
      </c>
      <c r="D119" s="14" t="s">
        <v>220</v>
      </c>
      <c r="E119" s="194">
        <v>6</v>
      </c>
      <c r="F119" s="19"/>
      <c r="G119" s="19"/>
      <c r="H119" s="19"/>
      <c r="I119" s="20"/>
      <c r="J119" s="19"/>
      <c r="K119" s="20"/>
      <c r="L119" s="20"/>
      <c r="M119" s="255"/>
    </row>
    <row r="120" spans="1:13" s="197" customFormat="1" ht="16.5" customHeight="1">
      <c r="A120" s="198" t="e">
        <f>#REF!</f>
        <v>#REF!</v>
      </c>
      <c r="B120" s="254" t="s">
        <v>203</v>
      </c>
      <c r="C120" s="18" t="s">
        <v>514</v>
      </c>
      <c r="D120" s="14" t="s">
        <v>220</v>
      </c>
      <c r="E120" s="194">
        <v>6</v>
      </c>
      <c r="F120" s="19"/>
      <c r="G120" s="19"/>
      <c r="H120" s="19"/>
      <c r="I120" s="20"/>
      <c r="J120" s="19"/>
      <c r="K120" s="20"/>
      <c r="L120" s="20"/>
      <c r="M120" s="255"/>
    </row>
    <row r="121" spans="1:13" s="197" customFormat="1" ht="16.5" customHeight="1">
      <c r="A121" s="198" t="e">
        <f>#REF!</f>
        <v>#REF!</v>
      </c>
      <c r="B121" s="254" t="s">
        <v>541</v>
      </c>
      <c r="C121" s="18" t="s">
        <v>542</v>
      </c>
      <c r="D121" s="14" t="s">
        <v>220</v>
      </c>
      <c r="E121" s="194">
        <v>6</v>
      </c>
      <c r="F121" s="19"/>
      <c r="G121" s="19"/>
      <c r="H121" s="19"/>
      <c r="I121" s="20"/>
      <c r="J121" s="19"/>
      <c r="K121" s="20"/>
      <c r="L121" s="20"/>
      <c r="M121" s="255"/>
    </row>
    <row r="122" spans="1:13" s="197" customFormat="1" ht="16.5" customHeight="1">
      <c r="A122" s="198"/>
      <c r="B122" s="254"/>
      <c r="C122" s="18"/>
      <c r="D122" s="14"/>
      <c r="E122" s="194"/>
      <c r="F122" s="19"/>
      <c r="G122" s="19"/>
      <c r="H122" s="19"/>
      <c r="I122" s="20"/>
      <c r="J122" s="19"/>
      <c r="K122" s="20"/>
      <c r="L122" s="20"/>
      <c r="M122" s="255"/>
    </row>
    <row r="123" spans="1:13" s="113" customFormat="1" ht="16.5" customHeight="1">
      <c r="A123" s="163"/>
      <c r="B123" s="256" t="s">
        <v>228</v>
      </c>
      <c r="C123" s="199" t="s">
        <v>229</v>
      </c>
      <c r="D123" s="200" t="s">
        <v>191</v>
      </c>
      <c r="E123" s="206">
        <v>1</v>
      </c>
      <c r="F123" s="202"/>
      <c r="G123" s="202"/>
      <c r="H123" s="202"/>
      <c r="I123" s="202"/>
      <c r="J123" s="202"/>
      <c r="K123" s="202"/>
      <c r="L123" s="202"/>
      <c r="M123" s="257"/>
    </row>
    <row r="124" spans="1:13" s="113" customFormat="1" ht="16.5" customHeight="1">
      <c r="A124" s="164"/>
      <c r="B124" s="256" t="s">
        <v>192</v>
      </c>
      <c r="C124" s="199" t="s">
        <v>210</v>
      </c>
      <c r="D124" s="200" t="s">
        <v>191</v>
      </c>
      <c r="E124" s="206">
        <v>1</v>
      </c>
      <c r="F124" s="202"/>
      <c r="G124" s="202"/>
      <c r="H124" s="202"/>
      <c r="I124" s="202"/>
      <c r="J124" s="202"/>
      <c r="K124" s="202"/>
      <c r="L124" s="202"/>
      <c r="M124" s="258"/>
    </row>
    <row r="125" spans="1:13" s="197" customFormat="1" ht="16.5" customHeight="1">
      <c r="A125" s="165"/>
      <c r="B125" s="259" t="s">
        <v>273</v>
      </c>
      <c r="C125" s="203" t="s">
        <v>193</v>
      </c>
      <c r="D125" s="204" t="s">
        <v>197</v>
      </c>
      <c r="E125" s="207">
        <v>8.2200000000000006</v>
      </c>
      <c r="F125" s="201"/>
      <c r="G125" s="201"/>
      <c r="H125" s="202"/>
      <c r="I125" s="199"/>
      <c r="J125" s="201"/>
      <c r="K125" s="202"/>
      <c r="L125" s="205"/>
      <c r="M125" s="260"/>
    </row>
    <row r="126" spans="1:13" s="197" customFormat="1" ht="16.5" customHeight="1">
      <c r="A126" s="165"/>
      <c r="B126" s="259" t="s">
        <v>230</v>
      </c>
      <c r="C126" s="203" t="s">
        <v>231</v>
      </c>
      <c r="D126" s="204" t="s">
        <v>191</v>
      </c>
      <c r="E126" s="201">
        <v>1</v>
      </c>
      <c r="F126" s="201"/>
      <c r="G126" s="201"/>
      <c r="H126" s="169"/>
      <c r="I126" s="199"/>
      <c r="J126" s="201"/>
      <c r="K126" s="202"/>
      <c r="L126" s="205"/>
      <c r="M126" s="260"/>
    </row>
    <row r="127" spans="1:13" s="197" customFormat="1" ht="16.5" customHeight="1">
      <c r="A127" s="165"/>
      <c r="B127" s="259"/>
      <c r="C127" s="203"/>
      <c r="D127" s="204"/>
      <c r="E127" s="201"/>
      <c r="F127" s="201"/>
      <c r="G127" s="201"/>
      <c r="H127" s="169"/>
      <c r="I127" s="199"/>
      <c r="J127" s="201"/>
      <c r="K127" s="202"/>
      <c r="L127" s="205"/>
      <c r="M127" s="260"/>
    </row>
    <row r="128" spans="1:13" s="197" customFormat="1" ht="16.5" customHeight="1">
      <c r="A128" s="165"/>
      <c r="B128" s="259"/>
      <c r="C128" s="203"/>
      <c r="D128" s="204"/>
      <c r="E128" s="201"/>
      <c r="F128" s="201"/>
      <c r="G128" s="201"/>
      <c r="H128" s="169"/>
      <c r="I128" s="199"/>
      <c r="J128" s="201"/>
      <c r="K128" s="202"/>
      <c r="L128" s="205"/>
      <c r="M128" s="260"/>
    </row>
    <row r="129" spans="1:13" s="197" customFormat="1" ht="16.5" customHeight="1">
      <c r="A129" s="165"/>
      <c r="B129" s="259"/>
      <c r="C129" s="203"/>
      <c r="D129" s="204"/>
      <c r="E129" s="201"/>
      <c r="F129" s="201"/>
      <c r="G129" s="201"/>
      <c r="H129" s="169"/>
      <c r="I129" s="199"/>
      <c r="J129" s="201"/>
      <c r="K129" s="202"/>
      <c r="L129" s="205"/>
      <c r="M129" s="260"/>
    </row>
    <row r="130" spans="1:13" s="197" customFormat="1" ht="16.5" customHeight="1">
      <c r="A130" s="165"/>
      <c r="B130" s="259"/>
      <c r="C130" s="203"/>
      <c r="D130" s="204"/>
      <c r="E130" s="201"/>
      <c r="F130" s="201"/>
      <c r="G130" s="201"/>
      <c r="H130" s="169"/>
      <c r="I130" s="199"/>
      <c r="J130" s="201"/>
      <c r="K130" s="202"/>
      <c r="L130" s="205"/>
      <c r="M130" s="260"/>
    </row>
    <row r="131" spans="1:13" s="197" customFormat="1" ht="16.5" customHeight="1">
      <c r="A131" s="165"/>
      <c r="B131" s="259"/>
      <c r="C131" s="203"/>
      <c r="D131" s="204"/>
      <c r="E131" s="201"/>
      <c r="F131" s="201"/>
      <c r="G131" s="201"/>
      <c r="H131" s="169"/>
      <c r="I131" s="199"/>
      <c r="J131" s="201"/>
      <c r="K131" s="202"/>
      <c r="L131" s="205"/>
      <c r="M131" s="260"/>
    </row>
    <row r="132" spans="1:13" s="197" customFormat="1" ht="16.5" customHeight="1">
      <c r="A132" s="165"/>
      <c r="B132" s="259"/>
      <c r="C132" s="203"/>
      <c r="D132" s="204"/>
      <c r="E132" s="201"/>
      <c r="F132" s="201"/>
      <c r="G132" s="201"/>
      <c r="H132" s="169"/>
      <c r="I132" s="199"/>
      <c r="J132" s="201"/>
      <c r="K132" s="202"/>
      <c r="L132" s="205"/>
      <c r="M132" s="260"/>
    </row>
    <row r="133" spans="1:13" s="197" customFormat="1" ht="16.5" customHeight="1">
      <c r="A133" s="165"/>
      <c r="B133" s="259"/>
      <c r="C133" s="203"/>
      <c r="D133" s="204"/>
      <c r="E133" s="201"/>
      <c r="F133" s="201"/>
      <c r="G133" s="201"/>
      <c r="H133" s="169"/>
      <c r="I133" s="199"/>
      <c r="J133" s="201"/>
      <c r="K133" s="202"/>
      <c r="L133" s="205"/>
      <c r="M133" s="260"/>
    </row>
    <row r="134" spans="1:13" s="197" customFormat="1" ht="16.5" customHeight="1">
      <c r="A134" s="165"/>
      <c r="B134" s="259"/>
      <c r="C134" s="203"/>
      <c r="D134" s="204"/>
      <c r="E134" s="201"/>
      <c r="F134" s="201"/>
      <c r="G134" s="201"/>
      <c r="H134" s="169"/>
      <c r="I134" s="199"/>
      <c r="J134" s="201"/>
      <c r="K134" s="202"/>
      <c r="L134" s="205"/>
      <c r="M134" s="260"/>
    </row>
    <row r="135" spans="1:13" s="197" customFormat="1" ht="16.5" customHeight="1">
      <c r="A135" s="165"/>
      <c r="B135" s="259"/>
      <c r="C135" s="203"/>
      <c r="D135" s="204"/>
      <c r="E135" s="201"/>
      <c r="F135" s="201"/>
      <c r="G135" s="201"/>
      <c r="H135" s="169"/>
      <c r="I135" s="199"/>
      <c r="J135" s="201"/>
      <c r="K135" s="202"/>
      <c r="L135" s="205"/>
      <c r="M135" s="260"/>
    </row>
    <row r="136" spans="1:13" s="197" customFormat="1" ht="16.5" customHeight="1">
      <c r="A136" s="165"/>
      <c r="B136" s="259"/>
      <c r="C136" s="203"/>
      <c r="D136" s="204"/>
      <c r="E136" s="201"/>
      <c r="F136" s="201"/>
      <c r="G136" s="201"/>
      <c r="H136" s="169"/>
      <c r="I136" s="199"/>
      <c r="J136" s="201"/>
      <c r="K136" s="202"/>
      <c r="L136" s="205"/>
      <c r="M136" s="260"/>
    </row>
    <row r="137" spans="1:13" s="197" customFormat="1" ht="16.5" customHeight="1">
      <c r="A137" s="165"/>
      <c r="B137" s="259"/>
      <c r="C137" s="203"/>
      <c r="D137" s="204"/>
      <c r="E137" s="201"/>
      <c r="F137" s="201"/>
      <c r="G137" s="201"/>
      <c r="H137" s="169"/>
      <c r="I137" s="199"/>
      <c r="J137" s="201"/>
      <c r="K137" s="202"/>
      <c r="L137" s="205"/>
      <c r="M137" s="260"/>
    </row>
    <row r="138" spans="1:13" s="197" customFormat="1" ht="16.5" customHeight="1">
      <c r="A138" s="165"/>
      <c r="B138" s="259"/>
      <c r="C138" s="203"/>
      <c r="D138" s="204"/>
      <c r="E138" s="201"/>
      <c r="F138" s="201"/>
      <c r="G138" s="201"/>
      <c r="H138" s="169"/>
      <c r="I138" s="199"/>
      <c r="J138" s="201"/>
      <c r="K138" s="202"/>
      <c r="L138" s="205"/>
      <c r="M138" s="260"/>
    </row>
    <row r="139" spans="1:13" s="197" customFormat="1" ht="16.5" customHeight="1">
      <c r="A139" s="165"/>
      <c r="B139" s="259"/>
      <c r="C139" s="203"/>
      <c r="D139" s="204"/>
      <c r="E139" s="201"/>
      <c r="F139" s="201"/>
      <c r="G139" s="201"/>
      <c r="H139" s="169"/>
      <c r="I139" s="199"/>
      <c r="J139" s="201"/>
      <c r="K139" s="202"/>
      <c r="L139" s="205"/>
      <c r="M139" s="260"/>
    </row>
    <row r="140" spans="1:13" s="197" customFormat="1" ht="16.5" customHeight="1">
      <c r="A140" s="165"/>
      <c r="B140" s="259"/>
      <c r="C140" s="203"/>
      <c r="D140" s="204"/>
      <c r="E140" s="201"/>
      <c r="F140" s="201"/>
      <c r="G140" s="201"/>
      <c r="H140" s="169"/>
      <c r="I140" s="199"/>
      <c r="J140" s="201"/>
      <c r="K140" s="202"/>
      <c r="L140" s="205"/>
      <c r="M140" s="260"/>
    </row>
    <row r="141" spans="1:13" s="197" customFormat="1" ht="16.5" customHeight="1">
      <c r="A141" s="165"/>
      <c r="B141" s="259"/>
      <c r="C141" s="203"/>
      <c r="D141" s="204"/>
      <c r="E141" s="201"/>
      <c r="F141" s="201"/>
      <c r="G141" s="201"/>
      <c r="H141" s="169"/>
      <c r="I141" s="199"/>
      <c r="J141" s="201"/>
      <c r="K141" s="202"/>
      <c r="L141" s="205"/>
      <c r="M141" s="260"/>
    </row>
    <row r="142" spans="1:13" ht="16.5" customHeight="1">
      <c r="A142" s="166" t="s">
        <v>195</v>
      </c>
      <c r="B142" s="261" t="s">
        <v>196</v>
      </c>
      <c r="C142" s="262"/>
      <c r="D142" s="263"/>
      <c r="E142" s="264"/>
      <c r="F142" s="262"/>
      <c r="G142" s="265"/>
      <c r="H142" s="264"/>
      <c r="I142" s="265"/>
      <c r="J142" s="266"/>
      <c r="K142" s="265"/>
      <c r="L142" s="265"/>
      <c r="M142" s="267"/>
    </row>
    <row r="143" spans="1:13" ht="16.5" customHeight="1">
      <c r="A143" s="161" t="s">
        <v>182</v>
      </c>
      <c r="B143" s="268" t="s">
        <v>543</v>
      </c>
      <c r="C143" s="269"/>
      <c r="D143" s="270"/>
      <c r="E143" s="269"/>
      <c r="F143" s="269"/>
      <c r="G143" s="269"/>
      <c r="H143" s="269"/>
      <c r="I143" s="269"/>
      <c r="J143" s="269"/>
      <c r="K143" s="269"/>
      <c r="L143" s="269"/>
      <c r="M143" s="271"/>
    </row>
    <row r="144" spans="1:13" ht="16.5" customHeight="1">
      <c r="A144" s="198" t="e">
        <f>#REF!</f>
        <v>#REF!</v>
      </c>
      <c r="B144" s="254" t="s">
        <v>503</v>
      </c>
      <c r="C144" s="18" t="s">
        <v>504</v>
      </c>
      <c r="D144" s="14" t="s">
        <v>199</v>
      </c>
      <c r="E144" s="194">
        <v>99</v>
      </c>
      <c r="F144" s="19"/>
      <c r="G144" s="19"/>
      <c r="H144" s="19"/>
      <c r="I144" s="20"/>
      <c r="J144" s="19"/>
      <c r="K144" s="20"/>
      <c r="L144" s="20"/>
      <c r="M144" s="255"/>
    </row>
    <row r="145" spans="1:13" s="197" customFormat="1" ht="16.5" customHeight="1">
      <c r="A145" s="198" t="e">
        <f>#REF!</f>
        <v>#REF!</v>
      </c>
      <c r="B145" s="254" t="s">
        <v>511</v>
      </c>
      <c r="C145" s="18" t="s">
        <v>504</v>
      </c>
      <c r="D145" s="14" t="s">
        <v>220</v>
      </c>
      <c r="E145" s="194">
        <v>12</v>
      </c>
      <c r="F145" s="19"/>
      <c r="G145" s="19"/>
      <c r="H145" s="19"/>
      <c r="I145" s="20"/>
      <c r="J145" s="19"/>
      <c r="K145" s="20"/>
      <c r="L145" s="20"/>
      <c r="M145" s="255"/>
    </row>
    <row r="146" spans="1:13" s="197" customFormat="1" ht="16.5" customHeight="1">
      <c r="A146" s="198" t="e">
        <f>#REF!</f>
        <v>#REF!</v>
      </c>
      <c r="B146" s="254" t="s">
        <v>207</v>
      </c>
      <c r="C146" s="18" t="s">
        <v>260</v>
      </c>
      <c r="D146" s="14" t="s">
        <v>199</v>
      </c>
      <c r="E146" s="194">
        <v>23</v>
      </c>
      <c r="F146" s="19"/>
      <c r="G146" s="19"/>
      <c r="H146" s="19"/>
      <c r="I146" s="20"/>
      <c r="J146" s="19"/>
      <c r="K146" s="20"/>
      <c r="L146" s="20"/>
      <c r="M146" s="255"/>
    </row>
    <row r="147" spans="1:13" s="197" customFormat="1" ht="16.5" customHeight="1">
      <c r="A147" s="198" t="e">
        <f>#REF!</f>
        <v>#REF!</v>
      </c>
      <c r="B147" s="254" t="s">
        <v>507</v>
      </c>
      <c r="C147" s="18" t="s">
        <v>508</v>
      </c>
      <c r="D147" s="14" t="s">
        <v>199</v>
      </c>
      <c r="E147" s="194">
        <v>366</v>
      </c>
      <c r="F147" s="19"/>
      <c r="G147" s="19"/>
      <c r="H147" s="19"/>
      <c r="I147" s="20"/>
      <c r="J147" s="19"/>
      <c r="K147" s="20"/>
      <c r="L147" s="20"/>
      <c r="M147" s="255"/>
    </row>
    <row r="148" spans="1:13" s="197" customFormat="1" ht="16.5" customHeight="1">
      <c r="A148" s="198" t="e">
        <f>#REF!</f>
        <v>#REF!</v>
      </c>
      <c r="B148" s="254" t="s">
        <v>201</v>
      </c>
      <c r="C148" s="18" t="s">
        <v>202</v>
      </c>
      <c r="D148" s="14" t="s">
        <v>220</v>
      </c>
      <c r="E148" s="194">
        <v>11</v>
      </c>
      <c r="F148" s="19"/>
      <c r="G148" s="19"/>
      <c r="H148" s="19"/>
      <c r="I148" s="20"/>
      <c r="J148" s="19"/>
      <c r="K148" s="20"/>
      <c r="L148" s="20"/>
      <c r="M148" s="255"/>
    </row>
    <row r="149" spans="1:13" s="197" customFormat="1" ht="16.5" customHeight="1">
      <c r="A149" s="198" t="e">
        <f>#REF!</f>
        <v>#REF!</v>
      </c>
      <c r="B149" s="254" t="s">
        <v>203</v>
      </c>
      <c r="C149" s="18" t="s">
        <v>514</v>
      </c>
      <c r="D149" s="14" t="s">
        <v>220</v>
      </c>
      <c r="E149" s="194">
        <v>11</v>
      </c>
      <c r="F149" s="19"/>
      <c r="G149" s="19"/>
      <c r="H149" s="19"/>
      <c r="I149" s="20"/>
      <c r="J149" s="19"/>
      <c r="K149" s="20"/>
      <c r="L149" s="20"/>
      <c r="M149" s="255"/>
    </row>
    <row r="150" spans="1:13" s="197" customFormat="1" ht="16.5" customHeight="1">
      <c r="A150" s="198" t="e">
        <f>#REF!</f>
        <v>#REF!</v>
      </c>
      <c r="B150" s="254" t="s">
        <v>544</v>
      </c>
      <c r="C150" s="18" t="s">
        <v>545</v>
      </c>
      <c r="D150" s="14" t="s">
        <v>220</v>
      </c>
      <c r="E150" s="194">
        <v>6</v>
      </c>
      <c r="F150" s="19"/>
      <c r="G150" s="19"/>
      <c r="H150" s="19"/>
      <c r="I150" s="20"/>
      <c r="J150" s="19"/>
      <c r="K150" s="20"/>
      <c r="L150" s="20"/>
      <c r="M150" s="255"/>
    </row>
    <row r="151" spans="1:13" s="197" customFormat="1" ht="16.5" customHeight="1">
      <c r="A151" s="198"/>
      <c r="B151" s="254"/>
      <c r="C151" s="18"/>
      <c r="D151" s="14"/>
      <c r="E151" s="194"/>
      <c r="F151" s="19"/>
      <c r="G151" s="19"/>
      <c r="H151" s="19"/>
      <c r="I151" s="20"/>
      <c r="J151" s="19"/>
      <c r="K151" s="20"/>
      <c r="L151" s="20"/>
      <c r="M151" s="255"/>
    </row>
    <row r="152" spans="1:13" s="113" customFormat="1" ht="16.5" customHeight="1">
      <c r="A152" s="163"/>
      <c r="B152" s="256" t="s">
        <v>228</v>
      </c>
      <c r="C152" s="199" t="s">
        <v>229</v>
      </c>
      <c r="D152" s="200" t="s">
        <v>191</v>
      </c>
      <c r="E152" s="206">
        <v>1</v>
      </c>
      <c r="F152" s="202"/>
      <c r="G152" s="202"/>
      <c r="H152" s="202"/>
      <c r="I152" s="202"/>
      <c r="J152" s="202"/>
      <c r="K152" s="202"/>
      <c r="L152" s="202"/>
      <c r="M152" s="257"/>
    </row>
    <row r="153" spans="1:13" s="113" customFormat="1" ht="16.5" customHeight="1">
      <c r="A153" s="164"/>
      <c r="B153" s="256" t="s">
        <v>192</v>
      </c>
      <c r="C153" s="199" t="s">
        <v>210</v>
      </c>
      <c r="D153" s="200" t="s">
        <v>191</v>
      </c>
      <c r="E153" s="206">
        <v>1</v>
      </c>
      <c r="F153" s="202"/>
      <c r="G153" s="202"/>
      <c r="H153" s="202"/>
      <c r="I153" s="202"/>
      <c r="J153" s="202"/>
      <c r="K153" s="202"/>
      <c r="L153" s="202"/>
      <c r="M153" s="258"/>
    </row>
    <row r="154" spans="1:13" s="197" customFormat="1" ht="16.5" customHeight="1">
      <c r="A154" s="165"/>
      <c r="B154" s="259" t="s">
        <v>273</v>
      </c>
      <c r="C154" s="203" t="s">
        <v>193</v>
      </c>
      <c r="D154" s="204" t="s">
        <v>197</v>
      </c>
      <c r="E154" s="207">
        <v>13.125999999999999</v>
      </c>
      <c r="F154" s="201"/>
      <c r="G154" s="201"/>
      <c r="H154" s="202"/>
      <c r="I154" s="199"/>
      <c r="J154" s="201"/>
      <c r="K154" s="202"/>
      <c r="L154" s="205"/>
      <c r="M154" s="260"/>
    </row>
    <row r="155" spans="1:13" s="197" customFormat="1" ht="16.5" customHeight="1">
      <c r="A155" s="165"/>
      <c r="B155" s="259" t="s">
        <v>230</v>
      </c>
      <c r="C155" s="203" t="s">
        <v>231</v>
      </c>
      <c r="D155" s="204" t="s">
        <v>191</v>
      </c>
      <c r="E155" s="201">
        <v>1</v>
      </c>
      <c r="F155" s="201"/>
      <c r="G155" s="201"/>
      <c r="H155" s="169"/>
      <c r="I155" s="199"/>
      <c r="J155" s="201"/>
      <c r="K155" s="202"/>
      <c r="L155" s="205"/>
      <c r="M155" s="260"/>
    </row>
    <row r="156" spans="1:13" s="197" customFormat="1" ht="16.5" customHeight="1">
      <c r="A156" s="165"/>
      <c r="B156" s="259"/>
      <c r="C156" s="203"/>
      <c r="D156" s="204"/>
      <c r="E156" s="201"/>
      <c r="F156" s="201"/>
      <c r="G156" s="201"/>
      <c r="H156" s="169"/>
      <c r="I156" s="199"/>
      <c r="J156" s="201"/>
      <c r="K156" s="202"/>
      <c r="L156" s="205"/>
      <c r="M156" s="260"/>
    </row>
    <row r="157" spans="1:13" s="197" customFormat="1" ht="16.5" customHeight="1">
      <c r="A157" s="165"/>
      <c r="B157" s="259"/>
      <c r="C157" s="203"/>
      <c r="D157" s="204"/>
      <c r="E157" s="201"/>
      <c r="F157" s="201"/>
      <c r="G157" s="201"/>
      <c r="H157" s="169"/>
      <c r="I157" s="199"/>
      <c r="J157" s="201"/>
      <c r="K157" s="202"/>
      <c r="L157" s="205"/>
      <c r="M157" s="260"/>
    </row>
    <row r="158" spans="1:13" s="197" customFormat="1" ht="16.5" customHeight="1">
      <c r="A158" s="165"/>
      <c r="B158" s="259"/>
      <c r="C158" s="203"/>
      <c r="D158" s="204"/>
      <c r="E158" s="201"/>
      <c r="F158" s="201"/>
      <c r="G158" s="201"/>
      <c r="H158" s="169"/>
      <c r="I158" s="199"/>
      <c r="J158" s="201"/>
      <c r="K158" s="202"/>
      <c r="L158" s="205"/>
      <c r="M158" s="260"/>
    </row>
    <row r="159" spans="1:13" s="197" customFormat="1" ht="16.5" customHeight="1">
      <c r="A159" s="165"/>
      <c r="B159" s="259"/>
      <c r="C159" s="203"/>
      <c r="D159" s="204"/>
      <c r="E159" s="201"/>
      <c r="F159" s="201"/>
      <c r="G159" s="201"/>
      <c r="H159" s="169"/>
      <c r="I159" s="199"/>
      <c r="J159" s="201"/>
      <c r="K159" s="202"/>
      <c r="L159" s="205"/>
      <c r="M159" s="260"/>
    </row>
    <row r="160" spans="1:13" s="197" customFormat="1" ht="16.5" customHeight="1">
      <c r="A160" s="165"/>
      <c r="B160" s="259"/>
      <c r="C160" s="203"/>
      <c r="D160" s="204"/>
      <c r="E160" s="201"/>
      <c r="F160" s="201"/>
      <c r="G160" s="201"/>
      <c r="H160" s="169"/>
      <c r="I160" s="199"/>
      <c r="J160" s="201"/>
      <c r="K160" s="202"/>
      <c r="L160" s="205"/>
      <c r="M160" s="260"/>
    </row>
    <row r="161" spans="1:13" s="197" customFormat="1" ht="16.5" customHeight="1">
      <c r="A161" s="165"/>
      <c r="B161" s="259"/>
      <c r="C161" s="203"/>
      <c r="D161" s="204"/>
      <c r="E161" s="201"/>
      <c r="F161" s="201"/>
      <c r="G161" s="201"/>
      <c r="H161" s="169"/>
      <c r="I161" s="199"/>
      <c r="J161" s="201"/>
      <c r="K161" s="202"/>
      <c r="L161" s="205"/>
      <c r="M161" s="260"/>
    </row>
    <row r="162" spans="1:13" s="197" customFormat="1" ht="16.5" customHeight="1">
      <c r="A162" s="165"/>
      <c r="B162" s="259"/>
      <c r="C162" s="203"/>
      <c r="D162" s="204"/>
      <c r="E162" s="201"/>
      <c r="F162" s="201"/>
      <c r="G162" s="201"/>
      <c r="H162" s="169"/>
      <c r="I162" s="199"/>
      <c r="J162" s="201"/>
      <c r="K162" s="202"/>
      <c r="L162" s="205"/>
      <c r="M162" s="260"/>
    </row>
    <row r="163" spans="1:13" s="197" customFormat="1" ht="16.5" customHeight="1">
      <c r="A163" s="165"/>
      <c r="B163" s="259"/>
      <c r="C163" s="203"/>
      <c r="D163" s="204"/>
      <c r="E163" s="201"/>
      <c r="F163" s="201"/>
      <c r="G163" s="201"/>
      <c r="H163" s="169"/>
      <c r="I163" s="199"/>
      <c r="J163" s="201"/>
      <c r="K163" s="202"/>
      <c r="L163" s="205"/>
      <c r="M163" s="260"/>
    </row>
    <row r="164" spans="1:13" s="197" customFormat="1" ht="16.5" customHeight="1">
      <c r="A164" s="165"/>
      <c r="B164" s="259"/>
      <c r="C164" s="203"/>
      <c r="D164" s="204"/>
      <c r="E164" s="201"/>
      <c r="F164" s="201"/>
      <c r="G164" s="201"/>
      <c r="H164" s="169"/>
      <c r="I164" s="199"/>
      <c r="J164" s="201"/>
      <c r="K164" s="202"/>
      <c r="L164" s="205"/>
      <c r="M164" s="260"/>
    </row>
    <row r="165" spans="1:13" s="197" customFormat="1" ht="16.5" customHeight="1">
      <c r="A165" s="165"/>
      <c r="B165" s="259"/>
      <c r="C165" s="203"/>
      <c r="D165" s="204"/>
      <c r="E165" s="201"/>
      <c r="F165" s="201"/>
      <c r="G165" s="201"/>
      <c r="H165" s="169"/>
      <c r="I165" s="199"/>
      <c r="J165" s="201"/>
      <c r="K165" s="202"/>
      <c r="L165" s="205"/>
      <c r="M165" s="260"/>
    </row>
    <row r="166" spans="1:13" s="197" customFormat="1" ht="16.5" customHeight="1">
      <c r="A166" s="165"/>
      <c r="B166" s="259"/>
      <c r="C166" s="203"/>
      <c r="D166" s="204"/>
      <c r="E166" s="201"/>
      <c r="F166" s="201"/>
      <c r="G166" s="201"/>
      <c r="H166" s="169"/>
      <c r="I166" s="199"/>
      <c r="J166" s="201"/>
      <c r="K166" s="202"/>
      <c r="L166" s="205"/>
      <c r="M166" s="260"/>
    </row>
    <row r="167" spans="1:13" s="197" customFormat="1" ht="16.5" customHeight="1">
      <c r="A167" s="165"/>
      <c r="B167" s="259"/>
      <c r="C167" s="203"/>
      <c r="D167" s="204"/>
      <c r="E167" s="201"/>
      <c r="F167" s="201"/>
      <c r="G167" s="201"/>
      <c r="H167" s="169"/>
      <c r="I167" s="199"/>
      <c r="J167" s="201"/>
      <c r="K167" s="202"/>
      <c r="L167" s="205"/>
      <c r="M167" s="260"/>
    </row>
    <row r="168" spans="1:13" s="197" customFormat="1" ht="16.5" customHeight="1">
      <c r="A168" s="165"/>
      <c r="B168" s="259"/>
      <c r="C168" s="203"/>
      <c r="D168" s="204"/>
      <c r="E168" s="201"/>
      <c r="F168" s="201"/>
      <c r="G168" s="201"/>
      <c r="H168" s="169"/>
      <c r="I168" s="199"/>
      <c r="J168" s="201"/>
      <c r="K168" s="202"/>
      <c r="L168" s="205"/>
      <c r="M168" s="260"/>
    </row>
    <row r="169" spans="1:13" s="197" customFormat="1" ht="16.5" customHeight="1">
      <c r="A169" s="165"/>
      <c r="B169" s="259"/>
      <c r="C169" s="203"/>
      <c r="D169" s="204"/>
      <c r="E169" s="201"/>
      <c r="F169" s="201"/>
      <c r="G169" s="201"/>
      <c r="H169" s="169"/>
      <c r="I169" s="199"/>
      <c r="J169" s="201"/>
      <c r="K169" s="202"/>
      <c r="L169" s="205"/>
      <c r="M169" s="260"/>
    </row>
    <row r="170" spans="1:13" ht="16.5" customHeight="1">
      <c r="A170" s="166" t="s">
        <v>195</v>
      </c>
      <c r="B170" s="261" t="s">
        <v>196</v>
      </c>
      <c r="C170" s="262"/>
      <c r="D170" s="263"/>
      <c r="E170" s="264"/>
      <c r="F170" s="262"/>
      <c r="G170" s="265"/>
      <c r="H170" s="264"/>
      <c r="I170" s="265"/>
      <c r="J170" s="266"/>
      <c r="K170" s="265"/>
      <c r="L170" s="265"/>
      <c r="M170" s="267"/>
    </row>
  </sheetData>
  <mergeCells count="5">
    <mergeCell ref="M1:M2"/>
    <mergeCell ref="B1:B2"/>
    <mergeCell ref="C1:C2"/>
    <mergeCell ref="E1:E2"/>
    <mergeCell ref="D1:D2"/>
  </mergeCells>
  <phoneticPr fontId="8" type="noConversion"/>
  <printOptions horizontalCentered="1" verticalCentered="1"/>
  <pageMargins left="0.78740157480314965" right="0.39370078740157483" top="0.78740157480314965" bottom="0.39370078740157483" header="0.39370078740157483" footer="0.19685039370078741"/>
  <pageSetup paperSize="9" orientation="landscape" r:id="rId1"/>
  <headerFooter alignWithMargins="0">
    <oddHeader>&amp;C&amp;"맑은 고딕,굵게"&amp;16내     역     서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5"/>
  <sheetViews>
    <sheetView view="pageBreakPreview" zoomScale="80" zoomScaleNormal="100" zoomScaleSheetLayoutView="80" workbookViewId="0">
      <pane ySplit="4" topLeftCell="A5" activePane="bottomLeft" state="frozen"/>
      <selection sqref="A1:A1048576"/>
      <selection pane="bottomLeft" activeCell="A88" sqref="A88"/>
    </sheetView>
  </sheetViews>
  <sheetFormatPr defaultRowHeight="30" customHeight="1"/>
  <cols>
    <col min="1" max="1" width="27.21875" style="378" customWidth="1"/>
    <col min="2" max="2" width="29.5546875" style="378" customWidth="1"/>
    <col min="3" max="4" width="6.77734375" style="385" customWidth="1"/>
    <col min="5" max="6" width="13.88671875" style="386" customWidth="1"/>
    <col min="7" max="7" width="12" style="386" customWidth="1"/>
    <col min="8" max="8" width="13.109375" style="386" customWidth="1"/>
    <col min="9" max="9" width="12.5546875" style="386" customWidth="1"/>
    <col min="10" max="10" width="11.77734375" style="386" customWidth="1"/>
    <col min="11" max="13" width="13.88671875" style="386" customWidth="1"/>
    <col min="14" max="256" width="8.88671875" style="378"/>
    <col min="257" max="257" width="27.21875" style="378" customWidth="1"/>
    <col min="258" max="258" width="29.5546875" style="378" customWidth="1"/>
    <col min="259" max="260" width="6.77734375" style="378" customWidth="1"/>
    <col min="261" max="262" width="13.88671875" style="378" customWidth="1"/>
    <col min="263" max="263" width="12" style="378" customWidth="1"/>
    <col min="264" max="264" width="13.109375" style="378" customWidth="1"/>
    <col min="265" max="265" width="12.5546875" style="378" customWidth="1"/>
    <col min="266" max="266" width="11.77734375" style="378" customWidth="1"/>
    <col min="267" max="269" width="13.88671875" style="378" customWidth="1"/>
    <col min="270" max="512" width="8.88671875" style="378"/>
    <col min="513" max="513" width="27.21875" style="378" customWidth="1"/>
    <col min="514" max="514" width="29.5546875" style="378" customWidth="1"/>
    <col min="515" max="516" width="6.77734375" style="378" customWidth="1"/>
    <col min="517" max="518" width="13.88671875" style="378" customWidth="1"/>
    <col min="519" max="519" width="12" style="378" customWidth="1"/>
    <col min="520" max="520" width="13.109375" style="378" customWidth="1"/>
    <col min="521" max="521" width="12.5546875" style="378" customWidth="1"/>
    <col min="522" max="522" width="11.77734375" style="378" customWidth="1"/>
    <col min="523" max="525" width="13.88671875" style="378" customWidth="1"/>
    <col min="526" max="768" width="8.88671875" style="378"/>
    <col min="769" max="769" width="27.21875" style="378" customWidth="1"/>
    <col min="770" max="770" width="29.5546875" style="378" customWidth="1"/>
    <col min="771" max="772" width="6.77734375" style="378" customWidth="1"/>
    <col min="773" max="774" width="13.88671875" style="378" customWidth="1"/>
    <col min="775" max="775" width="12" style="378" customWidth="1"/>
    <col min="776" max="776" width="13.109375" style="378" customWidth="1"/>
    <col min="777" max="777" width="12.5546875" style="378" customWidth="1"/>
    <col min="778" max="778" width="11.77734375" style="378" customWidth="1"/>
    <col min="779" max="781" width="13.88671875" style="378" customWidth="1"/>
    <col min="782" max="1024" width="8.88671875" style="378"/>
    <col min="1025" max="1025" width="27.21875" style="378" customWidth="1"/>
    <col min="1026" max="1026" width="29.5546875" style="378" customWidth="1"/>
    <col min="1027" max="1028" width="6.77734375" style="378" customWidth="1"/>
    <col min="1029" max="1030" width="13.88671875" style="378" customWidth="1"/>
    <col min="1031" max="1031" width="12" style="378" customWidth="1"/>
    <col min="1032" max="1032" width="13.109375" style="378" customWidth="1"/>
    <col min="1033" max="1033" width="12.5546875" style="378" customWidth="1"/>
    <col min="1034" max="1034" width="11.77734375" style="378" customWidth="1"/>
    <col min="1035" max="1037" width="13.88671875" style="378" customWidth="1"/>
    <col min="1038" max="1280" width="8.88671875" style="378"/>
    <col min="1281" max="1281" width="27.21875" style="378" customWidth="1"/>
    <col min="1282" max="1282" width="29.5546875" style="378" customWidth="1"/>
    <col min="1283" max="1284" width="6.77734375" style="378" customWidth="1"/>
    <col min="1285" max="1286" width="13.88671875" style="378" customWidth="1"/>
    <col min="1287" max="1287" width="12" style="378" customWidth="1"/>
    <col min="1288" max="1288" width="13.109375" style="378" customWidth="1"/>
    <col min="1289" max="1289" width="12.5546875" style="378" customWidth="1"/>
    <col min="1290" max="1290" width="11.77734375" style="378" customWidth="1"/>
    <col min="1291" max="1293" width="13.88671875" style="378" customWidth="1"/>
    <col min="1294" max="1536" width="8.88671875" style="378"/>
    <col min="1537" max="1537" width="27.21875" style="378" customWidth="1"/>
    <col min="1538" max="1538" width="29.5546875" style="378" customWidth="1"/>
    <col min="1539" max="1540" width="6.77734375" style="378" customWidth="1"/>
    <col min="1541" max="1542" width="13.88671875" style="378" customWidth="1"/>
    <col min="1543" max="1543" width="12" style="378" customWidth="1"/>
    <col min="1544" max="1544" width="13.109375" style="378" customWidth="1"/>
    <col min="1545" max="1545" width="12.5546875" style="378" customWidth="1"/>
    <col min="1546" max="1546" width="11.77734375" style="378" customWidth="1"/>
    <col min="1547" max="1549" width="13.88671875" style="378" customWidth="1"/>
    <col min="1550" max="1792" width="8.88671875" style="378"/>
    <col min="1793" max="1793" width="27.21875" style="378" customWidth="1"/>
    <col min="1794" max="1794" width="29.5546875" style="378" customWidth="1"/>
    <col min="1795" max="1796" width="6.77734375" style="378" customWidth="1"/>
    <col min="1797" max="1798" width="13.88671875" style="378" customWidth="1"/>
    <col min="1799" max="1799" width="12" style="378" customWidth="1"/>
    <col min="1800" max="1800" width="13.109375" style="378" customWidth="1"/>
    <col min="1801" max="1801" width="12.5546875" style="378" customWidth="1"/>
    <col min="1802" max="1802" width="11.77734375" style="378" customWidth="1"/>
    <col min="1803" max="1805" width="13.88671875" style="378" customWidth="1"/>
    <col min="1806" max="2048" width="8.88671875" style="378"/>
    <col min="2049" max="2049" width="27.21875" style="378" customWidth="1"/>
    <col min="2050" max="2050" width="29.5546875" style="378" customWidth="1"/>
    <col min="2051" max="2052" width="6.77734375" style="378" customWidth="1"/>
    <col min="2053" max="2054" width="13.88671875" style="378" customWidth="1"/>
    <col min="2055" max="2055" width="12" style="378" customWidth="1"/>
    <col min="2056" max="2056" width="13.109375" style="378" customWidth="1"/>
    <col min="2057" max="2057" width="12.5546875" style="378" customWidth="1"/>
    <col min="2058" max="2058" width="11.77734375" style="378" customWidth="1"/>
    <col min="2059" max="2061" width="13.88671875" style="378" customWidth="1"/>
    <col min="2062" max="2304" width="8.88671875" style="378"/>
    <col min="2305" max="2305" width="27.21875" style="378" customWidth="1"/>
    <col min="2306" max="2306" width="29.5546875" style="378" customWidth="1"/>
    <col min="2307" max="2308" width="6.77734375" style="378" customWidth="1"/>
    <col min="2309" max="2310" width="13.88671875" style="378" customWidth="1"/>
    <col min="2311" max="2311" width="12" style="378" customWidth="1"/>
    <col min="2312" max="2312" width="13.109375" style="378" customWidth="1"/>
    <col min="2313" max="2313" width="12.5546875" style="378" customWidth="1"/>
    <col min="2314" max="2314" width="11.77734375" style="378" customWidth="1"/>
    <col min="2315" max="2317" width="13.88671875" style="378" customWidth="1"/>
    <col min="2318" max="2560" width="8.88671875" style="378"/>
    <col min="2561" max="2561" width="27.21875" style="378" customWidth="1"/>
    <col min="2562" max="2562" width="29.5546875" style="378" customWidth="1"/>
    <col min="2563" max="2564" width="6.77734375" style="378" customWidth="1"/>
    <col min="2565" max="2566" width="13.88671875" style="378" customWidth="1"/>
    <col min="2567" max="2567" width="12" style="378" customWidth="1"/>
    <col min="2568" max="2568" width="13.109375" style="378" customWidth="1"/>
    <col min="2569" max="2569" width="12.5546875" style="378" customWidth="1"/>
    <col min="2570" max="2570" width="11.77734375" style="378" customWidth="1"/>
    <col min="2571" max="2573" width="13.88671875" style="378" customWidth="1"/>
    <col min="2574" max="2816" width="8.88671875" style="378"/>
    <col min="2817" max="2817" width="27.21875" style="378" customWidth="1"/>
    <col min="2818" max="2818" width="29.5546875" style="378" customWidth="1"/>
    <col min="2819" max="2820" width="6.77734375" style="378" customWidth="1"/>
    <col min="2821" max="2822" width="13.88671875" style="378" customWidth="1"/>
    <col min="2823" max="2823" width="12" style="378" customWidth="1"/>
    <col min="2824" max="2824" width="13.109375" style="378" customWidth="1"/>
    <col min="2825" max="2825" width="12.5546875" style="378" customWidth="1"/>
    <col min="2826" max="2826" width="11.77734375" style="378" customWidth="1"/>
    <col min="2827" max="2829" width="13.88671875" style="378" customWidth="1"/>
    <col min="2830" max="3072" width="8.88671875" style="378"/>
    <col min="3073" max="3073" width="27.21875" style="378" customWidth="1"/>
    <col min="3074" max="3074" width="29.5546875" style="378" customWidth="1"/>
    <col min="3075" max="3076" width="6.77734375" style="378" customWidth="1"/>
    <col min="3077" max="3078" width="13.88671875" style="378" customWidth="1"/>
    <col min="3079" max="3079" width="12" style="378" customWidth="1"/>
    <col min="3080" max="3080" width="13.109375" style="378" customWidth="1"/>
    <col min="3081" max="3081" width="12.5546875" style="378" customWidth="1"/>
    <col min="3082" max="3082" width="11.77734375" style="378" customWidth="1"/>
    <col min="3083" max="3085" width="13.88671875" style="378" customWidth="1"/>
    <col min="3086" max="3328" width="8.88671875" style="378"/>
    <col min="3329" max="3329" width="27.21875" style="378" customWidth="1"/>
    <col min="3330" max="3330" width="29.5546875" style="378" customWidth="1"/>
    <col min="3331" max="3332" width="6.77734375" style="378" customWidth="1"/>
    <col min="3333" max="3334" width="13.88671875" style="378" customWidth="1"/>
    <col min="3335" max="3335" width="12" style="378" customWidth="1"/>
    <col min="3336" max="3336" width="13.109375" style="378" customWidth="1"/>
    <col min="3337" max="3337" width="12.5546875" style="378" customWidth="1"/>
    <col min="3338" max="3338" width="11.77734375" style="378" customWidth="1"/>
    <col min="3339" max="3341" width="13.88671875" style="378" customWidth="1"/>
    <col min="3342" max="3584" width="8.88671875" style="378"/>
    <col min="3585" max="3585" width="27.21875" style="378" customWidth="1"/>
    <col min="3586" max="3586" width="29.5546875" style="378" customWidth="1"/>
    <col min="3587" max="3588" width="6.77734375" style="378" customWidth="1"/>
    <col min="3589" max="3590" width="13.88671875" style="378" customWidth="1"/>
    <col min="3591" max="3591" width="12" style="378" customWidth="1"/>
    <col min="3592" max="3592" width="13.109375" style="378" customWidth="1"/>
    <col min="3593" max="3593" width="12.5546875" style="378" customWidth="1"/>
    <col min="3594" max="3594" width="11.77734375" style="378" customWidth="1"/>
    <col min="3595" max="3597" width="13.88671875" style="378" customWidth="1"/>
    <col min="3598" max="3840" width="8.88671875" style="378"/>
    <col min="3841" max="3841" width="27.21875" style="378" customWidth="1"/>
    <col min="3842" max="3842" width="29.5546875" style="378" customWidth="1"/>
    <col min="3843" max="3844" width="6.77734375" style="378" customWidth="1"/>
    <col min="3845" max="3846" width="13.88671875" style="378" customWidth="1"/>
    <col min="3847" max="3847" width="12" style="378" customWidth="1"/>
    <col min="3848" max="3848" width="13.109375" style="378" customWidth="1"/>
    <col min="3849" max="3849" width="12.5546875" style="378" customWidth="1"/>
    <col min="3850" max="3850" width="11.77734375" style="378" customWidth="1"/>
    <col min="3851" max="3853" width="13.88671875" style="378" customWidth="1"/>
    <col min="3854" max="4096" width="8.88671875" style="378"/>
    <col min="4097" max="4097" width="27.21875" style="378" customWidth="1"/>
    <col min="4098" max="4098" width="29.5546875" style="378" customWidth="1"/>
    <col min="4099" max="4100" width="6.77734375" style="378" customWidth="1"/>
    <col min="4101" max="4102" width="13.88671875" style="378" customWidth="1"/>
    <col min="4103" max="4103" width="12" style="378" customWidth="1"/>
    <col min="4104" max="4104" width="13.109375" style="378" customWidth="1"/>
    <col min="4105" max="4105" width="12.5546875" style="378" customWidth="1"/>
    <col min="4106" max="4106" width="11.77734375" style="378" customWidth="1"/>
    <col min="4107" max="4109" width="13.88671875" style="378" customWidth="1"/>
    <col min="4110" max="4352" width="8.88671875" style="378"/>
    <col min="4353" max="4353" width="27.21875" style="378" customWidth="1"/>
    <col min="4354" max="4354" width="29.5546875" style="378" customWidth="1"/>
    <col min="4355" max="4356" width="6.77734375" style="378" customWidth="1"/>
    <col min="4357" max="4358" width="13.88671875" style="378" customWidth="1"/>
    <col min="4359" max="4359" width="12" style="378" customWidth="1"/>
    <col min="4360" max="4360" width="13.109375" style="378" customWidth="1"/>
    <col min="4361" max="4361" width="12.5546875" style="378" customWidth="1"/>
    <col min="4362" max="4362" width="11.77734375" style="378" customWidth="1"/>
    <col min="4363" max="4365" width="13.88671875" style="378" customWidth="1"/>
    <col min="4366" max="4608" width="8.88671875" style="378"/>
    <col min="4609" max="4609" width="27.21875" style="378" customWidth="1"/>
    <col min="4610" max="4610" width="29.5546875" style="378" customWidth="1"/>
    <col min="4611" max="4612" width="6.77734375" style="378" customWidth="1"/>
    <col min="4613" max="4614" width="13.88671875" style="378" customWidth="1"/>
    <col min="4615" max="4615" width="12" style="378" customWidth="1"/>
    <col min="4616" max="4616" width="13.109375" style="378" customWidth="1"/>
    <col min="4617" max="4617" width="12.5546875" style="378" customWidth="1"/>
    <col min="4618" max="4618" width="11.77734375" style="378" customWidth="1"/>
    <col min="4619" max="4621" width="13.88671875" style="378" customWidth="1"/>
    <col min="4622" max="4864" width="8.88671875" style="378"/>
    <col min="4865" max="4865" width="27.21875" style="378" customWidth="1"/>
    <col min="4866" max="4866" width="29.5546875" style="378" customWidth="1"/>
    <col min="4867" max="4868" width="6.77734375" style="378" customWidth="1"/>
    <col min="4869" max="4870" width="13.88671875" style="378" customWidth="1"/>
    <col min="4871" max="4871" width="12" style="378" customWidth="1"/>
    <col min="4872" max="4872" width="13.109375" style="378" customWidth="1"/>
    <col min="4873" max="4873" width="12.5546875" style="378" customWidth="1"/>
    <col min="4874" max="4874" width="11.77734375" style="378" customWidth="1"/>
    <col min="4875" max="4877" width="13.88671875" style="378" customWidth="1"/>
    <col min="4878" max="5120" width="8.88671875" style="378"/>
    <col min="5121" max="5121" width="27.21875" style="378" customWidth="1"/>
    <col min="5122" max="5122" width="29.5546875" style="378" customWidth="1"/>
    <col min="5123" max="5124" width="6.77734375" style="378" customWidth="1"/>
    <col min="5125" max="5126" width="13.88671875" style="378" customWidth="1"/>
    <col min="5127" max="5127" width="12" style="378" customWidth="1"/>
    <col min="5128" max="5128" width="13.109375" style="378" customWidth="1"/>
    <col min="5129" max="5129" width="12.5546875" style="378" customWidth="1"/>
    <col min="5130" max="5130" width="11.77734375" style="378" customWidth="1"/>
    <col min="5131" max="5133" width="13.88671875" style="378" customWidth="1"/>
    <col min="5134" max="5376" width="8.88671875" style="378"/>
    <col min="5377" max="5377" width="27.21875" style="378" customWidth="1"/>
    <col min="5378" max="5378" width="29.5546875" style="378" customWidth="1"/>
    <col min="5379" max="5380" width="6.77734375" style="378" customWidth="1"/>
    <col min="5381" max="5382" width="13.88671875" style="378" customWidth="1"/>
    <col min="5383" max="5383" width="12" style="378" customWidth="1"/>
    <col min="5384" max="5384" width="13.109375" style="378" customWidth="1"/>
    <col min="5385" max="5385" width="12.5546875" style="378" customWidth="1"/>
    <col min="5386" max="5386" width="11.77734375" style="378" customWidth="1"/>
    <col min="5387" max="5389" width="13.88671875" style="378" customWidth="1"/>
    <col min="5390" max="5632" width="8.88671875" style="378"/>
    <col min="5633" max="5633" width="27.21875" style="378" customWidth="1"/>
    <col min="5634" max="5634" width="29.5546875" style="378" customWidth="1"/>
    <col min="5635" max="5636" width="6.77734375" style="378" customWidth="1"/>
    <col min="5637" max="5638" width="13.88671875" style="378" customWidth="1"/>
    <col min="5639" max="5639" width="12" style="378" customWidth="1"/>
    <col min="5640" max="5640" width="13.109375" style="378" customWidth="1"/>
    <col min="5641" max="5641" width="12.5546875" style="378" customWidth="1"/>
    <col min="5642" max="5642" width="11.77734375" style="378" customWidth="1"/>
    <col min="5643" max="5645" width="13.88671875" style="378" customWidth="1"/>
    <col min="5646" max="5888" width="8.88671875" style="378"/>
    <col min="5889" max="5889" width="27.21875" style="378" customWidth="1"/>
    <col min="5890" max="5890" width="29.5546875" style="378" customWidth="1"/>
    <col min="5891" max="5892" width="6.77734375" style="378" customWidth="1"/>
    <col min="5893" max="5894" width="13.88671875" style="378" customWidth="1"/>
    <col min="5895" max="5895" width="12" style="378" customWidth="1"/>
    <col min="5896" max="5896" width="13.109375" style="378" customWidth="1"/>
    <col min="5897" max="5897" width="12.5546875" style="378" customWidth="1"/>
    <col min="5898" max="5898" width="11.77734375" style="378" customWidth="1"/>
    <col min="5899" max="5901" width="13.88671875" style="378" customWidth="1"/>
    <col min="5902" max="6144" width="8.88671875" style="378"/>
    <col min="6145" max="6145" width="27.21875" style="378" customWidth="1"/>
    <col min="6146" max="6146" width="29.5546875" style="378" customWidth="1"/>
    <col min="6147" max="6148" width="6.77734375" style="378" customWidth="1"/>
    <col min="6149" max="6150" width="13.88671875" style="378" customWidth="1"/>
    <col min="6151" max="6151" width="12" style="378" customWidth="1"/>
    <col min="6152" max="6152" width="13.109375" style="378" customWidth="1"/>
    <col min="6153" max="6153" width="12.5546875" style="378" customWidth="1"/>
    <col min="6154" max="6154" width="11.77734375" style="378" customWidth="1"/>
    <col min="6155" max="6157" width="13.88671875" style="378" customWidth="1"/>
    <col min="6158" max="6400" width="8.88671875" style="378"/>
    <col min="6401" max="6401" width="27.21875" style="378" customWidth="1"/>
    <col min="6402" max="6402" width="29.5546875" style="378" customWidth="1"/>
    <col min="6403" max="6404" width="6.77734375" style="378" customWidth="1"/>
    <col min="6405" max="6406" width="13.88671875" style="378" customWidth="1"/>
    <col min="6407" max="6407" width="12" style="378" customWidth="1"/>
    <col min="6408" max="6408" width="13.109375" style="378" customWidth="1"/>
    <col min="6409" max="6409" width="12.5546875" style="378" customWidth="1"/>
    <col min="6410" max="6410" width="11.77734375" style="378" customWidth="1"/>
    <col min="6411" max="6413" width="13.88671875" style="378" customWidth="1"/>
    <col min="6414" max="6656" width="8.88671875" style="378"/>
    <col min="6657" max="6657" width="27.21875" style="378" customWidth="1"/>
    <col min="6658" max="6658" width="29.5546875" style="378" customWidth="1"/>
    <col min="6659" max="6660" width="6.77734375" style="378" customWidth="1"/>
    <col min="6661" max="6662" width="13.88671875" style="378" customWidth="1"/>
    <col min="6663" max="6663" width="12" style="378" customWidth="1"/>
    <col min="6664" max="6664" width="13.109375" style="378" customWidth="1"/>
    <col min="6665" max="6665" width="12.5546875" style="378" customWidth="1"/>
    <col min="6666" max="6666" width="11.77734375" style="378" customWidth="1"/>
    <col min="6667" max="6669" width="13.88671875" style="378" customWidth="1"/>
    <col min="6670" max="6912" width="8.88671875" style="378"/>
    <col min="6913" max="6913" width="27.21875" style="378" customWidth="1"/>
    <col min="6914" max="6914" width="29.5546875" style="378" customWidth="1"/>
    <col min="6915" max="6916" width="6.77734375" style="378" customWidth="1"/>
    <col min="6917" max="6918" width="13.88671875" style="378" customWidth="1"/>
    <col min="6919" max="6919" width="12" style="378" customWidth="1"/>
    <col min="6920" max="6920" width="13.109375" style="378" customWidth="1"/>
    <col min="6921" max="6921" width="12.5546875" style="378" customWidth="1"/>
    <col min="6922" max="6922" width="11.77734375" style="378" customWidth="1"/>
    <col min="6923" max="6925" width="13.88671875" style="378" customWidth="1"/>
    <col min="6926" max="7168" width="8.88671875" style="378"/>
    <col min="7169" max="7169" width="27.21875" style="378" customWidth="1"/>
    <col min="7170" max="7170" width="29.5546875" style="378" customWidth="1"/>
    <col min="7171" max="7172" width="6.77734375" style="378" customWidth="1"/>
    <col min="7173" max="7174" width="13.88671875" style="378" customWidth="1"/>
    <col min="7175" max="7175" width="12" style="378" customWidth="1"/>
    <col min="7176" max="7176" width="13.109375" style="378" customWidth="1"/>
    <col min="7177" max="7177" width="12.5546875" style="378" customWidth="1"/>
    <col min="7178" max="7178" width="11.77734375" style="378" customWidth="1"/>
    <col min="7179" max="7181" width="13.88671875" style="378" customWidth="1"/>
    <col min="7182" max="7424" width="8.88671875" style="378"/>
    <col min="7425" max="7425" width="27.21875" style="378" customWidth="1"/>
    <col min="7426" max="7426" width="29.5546875" style="378" customWidth="1"/>
    <col min="7427" max="7428" width="6.77734375" style="378" customWidth="1"/>
    <col min="7429" max="7430" width="13.88671875" style="378" customWidth="1"/>
    <col min="7431" max="7431" width="12" style="378" customWidth="1"/>
    <col min="7432" max="7432" width="13.109375" style="378" customWidth="1"/>
    <col min="7433" max="7433" width="12.5546875" style="378" customWidth="1"/>
    <col min="7434" max="7434" width="11.77734375" style="378" customWidth="1"/>
    <col min="7435" max="7437" width="13.88671875" style="378" customWidth="1"/>
    <col min="7438" max="7680" width="8.88671875" style="378"/>
    <col min="7681" max="7681" width="27.21875" style="378" customWidth="1"/>
    <col min="7682" max="7682" width="29.5546875" style="378" customWidth="1"/>
    <col min="7683" max="7684" width="6.77734375" style="378" customWidth="1"/>
    <col min="7685" max="7686" width="13.88671875" style="378" customWidth="1"/>
    <col min="7687" max="7687" width="12" style="378" customWidth="1"/>
    <col min="7688" max="7688" width="13.109375" style="378" customWidth="1"/>
    <col min="7689" max="7689" width="12.5546875" style="378" customWidth="1"/>
    <col min="7690" max="7690" width="11.77734375" style="378" customWidth="1"/>
    <col min="7691" max="7693" width="13.88671875" style="378" customWidth="1"/>
    <col min="7694" max="7936" width="8.88671875" style="378"/>
    <col min="7937" max="7937" width="27.21875" style="378" customWidth="1"/>
    <col min="7938" max="7938" width="29.5546875" style="378" customWidth="1"/>
    <col min="7939" max="7940" width="6.77734375" style="378" customWidth="1"/>
    <col min="7941" max="7942" width="13.88671875" style="378" customWidth="1"/>
    <col min="7943" max="7943" width="12" style="378" customWidth="1"/>
    <col min="7944" max="7944" width="13.109375" style="378" customWidth="1"/>
    <col min="7945" max="7945" width="12.5546875" style="378" customWidth="1"/>
    <col min="7946" max="7946" width="11.77734375" style="378" customWidth="1"/>
    <col min="7947" max="7949" width="13.88671875" style="378" customWidth="1"/>
    <col min="7950" max="8192" width="8.88671875" style="378"/>
    <col min="8193" max="8193" width="27.21875" style="378" customWidth="1"/>
    <col min="8194" max="8194" width="29.5546875" style="378" customWidth="1"/>
    <col min="8195" max="8196" width="6.77734375" style="378" customWidth="1"/>
    <col min="8197" max="8198" width="13.88671875" style="378" customWidth="1"/>
    <col min="8199" max="8199" width="12" style="378" customWidth="1"/>
    <col min="8200" max="8200" width="13.109375" style="378" customWidth="1"/>
    <col min="8201" max="8201" width="12.5546875" style="378" customWidth="1"/>
    <col min="8202" max="8202" width="11.77734375" style="378" customWidth="1"/>
    <col min="8203" max="8205" width="13.88671875" style="378" customWidth="1"/>
    <col min="8206" max="8448" width="8.88671875" style="378"/>
    <col min="8449" max="8449" width="27.21875" style="378" customWidth="1"/>
    <col min="8450" max="8450" width="29.5546875" style="378" customWidth="1"/>
    <col min="8451" max="8452" width="6.77734375" style="378" customWidth="1"/>
    <col min="8453" max="8454" width="13.88671875" style="378" customWidth="1"/>
    <col min="8455" max="8455" width="12" style="378" customWidth="1"/>
    <col min="8456" max="8456" width="13.109375" style="378" customWidth="1"/>
    <col min="8457" max="8457" width="12.5546875" style="378" customWidth="1"/>
    <col min="8458" max="8458" width="11.77734375" style="378" customWidth="1"/>
    <col min="8459" max="8461" width="13.88671875" style="378" customWidth="1"/>
    <col min="8462" max="8704" width="8.88671875" style="378"/>
    <col min="8705" max="8705" width="27.21875" style="378" customWidth="1"/>
    <col min="8706" max="8706" width="29.5546875" style="378" customWidth="1"/>
    <col min="8707" max="8708" width="6.77734375" style="378" customWidth="1"/>
    <col min="8709" max="8710" width="13.88671875" style="378" customWidth="1"/>
    <col min="8711" max="8711" width="12" style="378" customWidth="1"/>
    <col min="8712" max="8712" width="13.109375" style="378" customWidth="1"/>
    <col min="8713" max="8713" width="12.5546875" style="378" customWidth="1"/>
    <col min="8714" max="8714" width="11.77734375" style="378" customWidth="1"/>
    <col min="8715" max="8717" width="13.88671875" style="378" customWidth="1"/>
    <col min="8718" max="8960" width="8.88671875" style="378"/>
    <col min="8961" max="8961" width="27.21875" style="378" customWidth="1"/>
    <col min="8962" max="8962" width="29.5546875" style="378" customWidth="1"/>
    <col min="8963" max="8964" width="6.77734375" style="378" customWidth="1"/>
    <col min="8965" max="8966" width="13.88671875" style="378" customWidth="1"/>
    <col min="8967" max="8967" width="12" style="378" customWidth="1"/>
    <col min="8968" max="8968" width="13.109375" style="378" customWidth="1"/>
    <col min="8969" max="8969" width="12.5546875" style="378" customWidth="1"/>
    <col min="8970" max="8970" width="11.77734375" style="378" customWidth="1"/>
    <col min="8971" max="8973" width="13.88671875" style="378" customWidth="1"/>
    <col min="8974" max="9216" width="8.88671875" style="378"/>
    <col min="9217" max="9217" width="27.21875" style="378" customWidth="1"/>
    <col min="9218" max="9218" width="29.5546875" style="378" customWidth="1"/>
    <col min="9219" max="9220" width="6.77734375" style="378" customWidth="1"/>
    <col min="9221" max="9222" width="13.88671875" style="378" customWidth="1"/>
    <col min="9223" max="9223" width="12" style="378" customWidth="1"/>
    <col min="9224" max="9224" width="13.109375" style="378" customWidth="1"/>
    <col min="9225" max="9225" width="12.5546875" style="378" customWidth="1"/>
    <col min="9226" max="9226" width="11.77734375" style="378" customWidth="1"/>
    <col min="9227" max="9229" width="13.88671875" style="378" customWidth="1"/>
    <col min="9230" max="9472" width="8.88671875" style="378"/>
    <col min="9473" max="9473" width="27.21875" style="378" customWidth="1"/>
    <col min="9474" max="9474" width="29.5546875" style="378" customWidth="1"/>
    <col min="9475" max="9476" width="6.77734375" style="378" customWidth="1"/>
    <col min="9477" max="9478" width="13.88671875" style="378" customWidth="1"/>
    <col min="9479" max="9479" width="12" style="378" customWidth="1"/>
    <col min="9480" max="9480" width="13.109375" style="378" customWidth="1"/>
    <col min="9481" max="9481" width="12.5546875" style="378" customWidth="1"/>
    <col min="9482" max="9482" width="11.77734375" style="378" customWidth="1"/>
    <col min="9483" max="9485" width="13.88671875" style="378" customWidth="1"/>
    <col min="9486" max="9728" width="8.88671875" style="378"/>
    <col min="9729" max="9729" width="27.21875" style="378" customWidth="1"/>
    <col min="9730" max="9730" width="29.5546875" style="378" customWidth="1"/>
    <col min="9731" max="9732" width="6.77734375" style="378" customWidth="1"/>
    <col min="9733" max="9734" width="13.88671875" style="378" customWidth="1"/>
    <col min="9735" max="9735" width="12" style="378" customWidth="1"/>
    <col min="9736" max="9736" width="13.109375" style="378" customWidth="1"/>
    <col min="9737" max="9737" width="12.5546875" style="378" customWidth="1"/>
    <col min="9738" max="9738" width="11.77734375" style="378" customWidth="1"/>
    <col min="9739" max="9741" width="13.88671875" style="378" customWidth="1"/>
    <col min="9742" max="9984" width="8.88671875" style="378"/>
    <col min="9985" max="9985" width="27.21875" style="378" customWidth="1"/>
    <col min="9986" max="9986" width="29.5546875" style="378" customWidth="1"/>
    <col min="9987" max="9988" width="6.77734375" style="378" customWidth="1"/>
    <col min="9989" max="9990" width="13.88671875" style="378" customWidth="1"/>
    <col min="9991" max="9991" width="12" style="378" customWidth="1"/>
    <col min="9992" max="9992" width="13.109375" style="378" customWidth="1"/>
    <col min="9993" max="9993" width="12.5546875" style="378" customWidth="1"/>
    <col min="9994" max="9994" width="11.77734375" style="378" customWidth="1"/>
    <col min="9995" max="9997" width="13.88671875" style="378" customWidth="1"/>
    <col min="9998" max="10240" width="8.88671875" style="378"/>
    <col min="10241" max="10241" width="27.21875" style="378" customWidth="1"/>
    <col min="10242" max="10242" width="29.5546875" style="378" customWidth="1"/>
    <col min="10243" max="10244" width="6.77734375" style="378" customWidth="1"/>
    <col min="10245" max="10246" width="13.88671875" style="378" customWidth="1"/>
    <col min="10247" max="10247" width="12" style="378" customWidth="1"/>
    <col min="10248" max="10248" width="13.109375" style="378" customWidth="1"/>
    <col min="10249" max="10249" width="12.5546875" style="378" customWidth="1"/>
    <col min="10250" max="10250" width="11.77734375" style="378" customWidth="1"/>
    <col min="10251" max="10253" width="13.88671875" style="378" customWidth="1"/>
    <col min="10254" max="10496" width="8.88671875" style="378"/>
    <col min="10497" max="10497" width="27.21875" style="378" customWidth="1"/>
    <col min="10498" max="10498" width="29.5546875" style="378" customWidth="1"/>
    <col min="10499" max="10500" width="6.77734375" style="378" customWidth="1"/>
    <col min="10501" max="10502" width="13.88671875" style="378" customWidth="1"/>
    <col min="10503" max="10503" width="12" style="378" customWidth="1"/>
    <col min="10504" max="10504" width="13.109375" style="378" customWidth="1"/>
    <col min="10505" max="10505" width="12.5546875" style="378" customWidth="1"/>
    <col min="10506" max="10506" width="11.77734375" style="378" customWidth="1"/>
    <col min="10507" max="10509" width="13.88671875" style="378" customWidth="1"/>
    <col min="10510" max="10752" width="8.88671875" style="378"/>
    <col min="10753" max="10753" width="27.21875" style="378" customWidth="1"/>
    <col min="10754" max="10754" width="29.5546875" style="378" customWidth="1"/>
    <col min="10755" max="10756" width="6.77734375" style="378" customWidth="1"/>
    <col min="10757" max="10758" width="13.88671875" style="378" customWidth="1"/>
    <col min="10759" max="10759" width="12" style="378" customWidth="1"/>
    <col min="10760" max="10760" width="13.109375" style="378" customWidth="1"/>
    <col min="10761" max="10761" width="12.5546875" style="378" customWidth="1"/>
    <col min="10762" max="10762" width="11.77734375" style="378" customWidth="1"/>
    <col min="10763" max="10765" width="13.88671875" style="378" customWidth="1"/>
    <col min="10766" max="11008" width="8.88671875" style="378"/>
    <col min="11009" max="11009" width="27.21875" style="378" customWidth="1"/>
    <col min="11010" max="11010" width="29.5546875" style="378" customWidth="1"/>
    <col min="11011" max="11012" width="6.77734375" style="378" customWidth="1"/>
    <col min="11013" max="11014" width="13.88671875" style="378" customWidth="1"/>
    <col min="11015" max="11015" width="12" style="378" customWidth="1"/>
    <col min="11016" max="11016" width="13.109375" style="378" customWidth="1"/>
    <col min="11017" max="11017" width="12.5546875" style="378" customWidth="1"/>
    <col min="11018" max="11018" width="11.77734375" style="378" customWidth="1"/>
    <col min="11019" max="11021" width="13.88671875" style="378" customWidth="1"/>
    <col min="11022" max="11264" width="8.88671875" style="378"/>
    <col min="11265" max="11265" width="27.21875" style="378" customWidth="1"/>
    <col min="11266" max="11266" width="29.5546875" style="378" customWidth="1"/>
    <col min="11267" max="11268" width="6.77734375" style="378" customWidth="1"/>
    <col min="11269" max="11270" width="13.88671875" style="378" customWidth="1"/>
    <col min="11271" max="11271" width="12" style="378" customWidth="1"/>
    <col min="11272" max="11272" width="13.109375" style="378" customWidth="1"/>
    <col min="11273" max="11273" width="12.5546875" style="378" customWidth="1"/>
    <col min="11274" max="11274" width="11.77734375" style="378" customWidth="1"/>
    <col min="11275" max="11277" width="13.88671875" style="378" customWidth="1"/>
    <col min="11278" max="11520" width="8.88671875" style="378"/>
    <col min="11521" max="11521" width="27.21875" style="378" customWidth="1"/>
    <col min="11522" max="11522" width="29.5546875" style="378" customWidth="1"/>
    <col min="11523" max="11524" width="6.77734375" style="378" customWidth="1"/>
    <col min="11525" max="11526" width="13.88671875" style="378" customWidth="1"/>
    <col min="11527" max="11527" width="12" style="378" customWidth="1"/>
    <col min="11528" max="11528" width="13.109375" style="378" customWidth="1"/>
    <col min="11529" max="11529" width="12.5546875" style="378" customWidth="1"/>
    <col min="11530" max="11530" width="11.77734375" style="378" customWidth="1"/>
    <col min="11531" max="11533" width="13.88671875" style="378" customWidth="1"/>
    <col min="11534" max="11776" width="8.88671875" style="378"/>
    <col min="11777" max="11777" width="27.21875" style="378" customWidth="1"/>
    <col min="11778" max="11778" width="29.5546875" style="378" customWidth="1"/>
    <col min="11779" max="11780" width="6.77734375" style="378" customWidth="1"/>
    <col min="11781" max="11782" width="13.88671875" style="378" customWidth="1"/>
    <col min="11783" max="11783" width="12" style="378" customWidth="1"/>
    <col min="11784" max="11784" width="13.109375" style="378" customWidth="1"/>
    <col min="11785" max="11785" width="12.5546875" style="378" customWidth="1"/>
    <col min="11786" max="11786" width="11.77734375" style="378" customWidth="1"/>
    <col min="11787" max="11789" width="13.88671875" style="378" customWidth="1"/>
    <col min="11790" max="12032" width="8.88671875" style="378"/>
    <col min="12033" max="12033" width="27.21875" style="378" customWidth="1"/>
    <col min="12034" max="12034" width="29.5546875" style="378" customWidth="1"/>
    <col min="12035" max="12036" width="6.77734375" style="378" customWidth="1"/>
    <col min="12037" max="12038" width="13.88671875" style="378" customWidth="1"/>
    <col min="12039" max="12039" width="12" style="378" customWidth="1"/>
    <col min="12040" max="12040" width="13.109375" style="378" customWidth="1"/>
    <col min="12041" max="12041" width="12.5546875" style="378" customWidth="1"/>
    <col min="12042" max="12042" width="11.77734375" style="378" customWidth="1"/>
    <col min="12043" max="12045" width="13.88671875" style="378" customWidth="1"/>
    <col min="12046" max="12288" width="8.88671875" style="378"/>
    <col min="12289" max="12289" width="27.21875" style="378" customWidth="1"/>
    <col min="12290" max="12290" width="29.5546875" style="378" customWidth="1"/>
    <col min="12291" max="12292" width="6.77734375" style="378" customWidth="1"/>
    <col min="12293" max="12294" width="13.88671875" style="378" customWidth="1"/>
    <col min="12295" max="12295" width="12" style="378" customWidth="1"/>
    <col min="12296" max="12296" width="13.109375" style="378" customWidth="1"/>
    <col min="12297" max="12297" width="12.5546875" style="378" customWidth="1"/>
    <col min="12298" max="12298" width="11.77734375" style="378" customWidth="1"/>
    <col min="12299" max="12301" width="13.88671875" style="378" customWidth="1"/>
    <col min="12302" max="12544" width="8.88671875" style="378"/>
    <col min="12545" max="12545" width="27.21875" style="378" customWidth="1"/>
    <col min="12546" max="12546" width="29.5546875" style="378" customWidth="1"/>
    <col min="12547" max="12548" width="6.77734375" style="378" customWidth="1"/>
    <col min="12549" max="12550" width="13.88671875" style="378" customWidth="1"/>
    <col min="12551" max="12551" width="12" style="378" customWidth="1"/>
    <col min="12552" max="12552" width="13.109375" style="378" customWidth="1"/>
    <col min="12553" max="12553" width="12.5546875" style="378" customWidth="1"/>
    <col min="12554" max="12554" width="11.77734375" style="378" customWidth="1"/>
    <col min="12555" max="12557" width="13.88671875" style="378" customWidth="1"/>
    <col min="12558" max="12800" width="8.88671875" style="378"/>
    <col min="12801" max="12801" width="27.21875" style="378" customWidth="1"/>
    <col min="12802" max="12802" width="29.5546875" style="378" customWidth="1"/>
    <col min="12803" max="12804" width="6.77734375" style="378" customWidth="1"/>
    <col min="12805" max="12806" width="13.88671875" style="378" customWidth="1"/>
    <col min="12807" max="12807" width="12" style="378" customWidth="1"/>
    <col min="12808" max="12808" width="13.109375" style="378" customWidth="1"/>
    <col min="12809" max="12809" width="12.5546875" style="378" customWidth="1"/>
    <col min="12810" max="12810" width="11.77734375" style="378" customWidth="1"/>
    <col min="12811" max="12813" width="13.88671875" style="378" customWidth="1"/>
    <col min="12814" max="13056" width="8.88671875" style="378"/>
    <col min="13057" max="13057" width="27.21875" style="378" customWidth="1"/>
    <col min="13058" max="13058" width="29.5546875" style="378" customWidth="1"/>
    <col min="13059" max="13060" width="6.77734375" style="378" customWidth="1"/>
    <col min="13061" max="13062" width="13.88671875" style="378" customWidth="1"/>
    <col min="13063" max="13063" width="12" style="378" customWidth="1"/>
    <col min="13064" max="13064" width="13.109375" style="378" customWidth="1"/>
    <col min="13065" max="13065" width="12.5546875" style="378" customWidth="1"/>
    <col min="13066" max="13066" width="11.77734375" style="378" customWidth="1"/>
    <col min="13067" max="13069" width="13.88671875" style="378" customWidth="1"/>
    <col min="13070" max="13312" width="8.88671875" style="378"/>
    <col min="13313" max="13313" width="27.21875" style="378" customWidth="1"/>
    <col min="13314" max="13314" width="29.5546875" style="378" customWidth="1"/>
    <col min="13315" max="13316" width="6.77734375" style="378" customWidth="1"/>
    <col min="13317" max="13318" width="13.88671875" style="378" customWidth="1"/>
    <col min="13319" max="13319" width="12" style="378" customWidth="1"/>
    <col min="13320" max="13320" width="13.109375" style="378" customWidth="1"/>
    <col min="13321" max="13321" width="12.5546875" style="378" customWidth="1"/>
    <col min="13322" max="13322" width="11.77734375" style="378" customWidth="1"/>
    <col min="13323" max="13325" width="13.88671875" style="378" customWidth="1"/>
    <col min="13326" max="13568" width="8.88671875" style="378"/>
    <col min="13569" max="13569" width="27.21875" style="378" customWidth="1"/>
    <col min="13570" max="13570" width="29.5546875" style="378" customWidth="1"/>
    <col min="13571" max="13572" width="6.77734375" style="378" customWidth="1"/>
    <col min="13573" max="13574" width="13.88671875" style="378" customWidth="1"/>
    <col min="13575" max="13575" width="12" style="378" customWidth="1"/>
    <col min="13576" max="13576" width="13.109375" style="378" customWidth="1"/>
    <col min="13577" max="13577" width="12.5546875" style="378" customWidth="1"/>
    <col min="13578" max="13578" width="11.77734375" style="378" customWidth="1"/>
    <col min="13579" max="13581" width="13.88671875" style="378" customWidth="1"/>
    <col min="13582" max="13824" width="8.88671875" style="378"/>
    <col min="13825" max="13825" width="27.21875" style="378" customWidth="1"/>
    <col min="13826" max="13826" width="29.5546875" style="378" customWidth="1"/>
    <col min="13827" max="13828" width="6.77734375" style="378" customWidth="1"/>
    <col min="13829" max="13830" width="13.88671875" style="378" customWidth="1"/>
    <col min="13831" max="13831" width="12" style="378" customWidth="1"/>
    <col min="13832" max="13832" width="13.109375" style="378" customWidth="1"/>
    <col min="13833" max="13833" width="12.5546875" style="378" customWidth="1"/>
    <col min="13834" max="13834" width="11.77734375" style="378" customWidth="1"/>
    <col min="13835" max="13837" width="13.88671875" style="378" customWidth="1"/>
    <col min="13838" max="14080" width="8.88671875" style="378"/>
    <col min="14081" max="14081" width="27.21875" style="378" customWidth="1"/>
    <col min="14082" max="14082" width="29.5546875" style="378" customWidth="1"/>
    <col min="14083" max="14084" width="6.77734375" style="378" customWidth="1"/>
    <col min="14085" max="14086" width="13.88671875" style="378" customWidth="1"/>
    <col min="14087" max="14087" width="12" style="378" customWidth="1"/>
    <col min="14088" max="14088" width="13.109375" style="378" customWidth="1"/>
    <col min="14089" max="14089" width="12.5546875" style="378" customWidth="1"/>
    <col min="14090" max="14090" width="11.77734375" style="378" customWidth="1"/>
    <col min="14091" max="14093" width="13.88671875" style="378" customWidth="1"/>
    <col min="14094" max="14336" width="8.88671875" style="378"/>
    <col min="14337" max="14337" width="27.21875" style="378" customWidth="1"/>
    <col min="14338" max="14338" width="29.5546875" style="378" customWidth="1"/>
    <col min="14339" max="14340" width="6.77734375" style="378" customWidth="1"/>
    <col min="14341" max="14342" width="13.88671875" style="378" customWidth="1"/>
    <col min="14343" max="14343" width="12" style="378" customWidth="1"/>
    <col min="14344" max="14344" width="13.109375" style="378" customWidth="1"/>
    <col min="14345" max="14345" width="12.5546875" style="378" customWidth="1"/>
    <col min="14346" max="14346" width="11.77734375" style="378" customWidth="1"/>
    <col min="14347" max="14349" width="13.88671875" style="378" customWidth="1"/>
    <col min="14350" max="14592" width="8.88671875" style="378"/>
    <col min="14593" max="14593" width="27.21875" style="378" customWidth="1"/>
    <col min="14594" max="14594" width="29.5546875" style="378" customWidth="1"/>
    <col min="14595" max="14596" width="6.77734375" style="378" customWidth="1"/>
    <col min="14597" max="14598" width="13.88671875" style="378" customWidth="1"/>
    <col min="14599" max="14599" width="12" style="378" customWidth="1"/>
    <col min="14600" max="14600" width="13.109375" style="378" customWidth="1"/>
    <col min="14601" max="14601" width="12.5546875" style="378" customWidth="1"/>
    <col min="14602" max="14602" width="11.77734375" style="378" customWidth="1"/>
    <col min="14603" max="14605" width="13.88671875" style="378" customWidth="1"/>
    <col min="14606" max="14848" width="8.88671875" style="378"/>
    <col min="14849" max="14849" width="27.21875" style="378" customWidth="1"/>
    <col min="14850" max="14850" width="29.5546875" style="378" customWidth="1"/>
    <col min="14851" max="14852" width="6.77734375" style="378" customWidth="1"/>
    <col min="14853" max="14854" width="13.88671875" style="378" customWidth="1"/>
    <col min="14855" max="14855" width="12" style="378" customWidth="1"/>
    <col min="14856" max="14856" width="13.109375" style="378" customWidth="1"/>
    <col min="14857" max="14857" width="12.5546875" style="378" customWidth="1"/>
    <col min="14858" max="14858" width="11.77734375" style="378" customWidth="1"/>
    <col min="14859" max="14861" width="13.88671875" style="378" customWidth="1"/>
    <col min="14862" max="15104" width="8.88671875" style="378"/>
    <col min="15105" max="15105" width="27.21875" style="378" customWidth="1"/>
    <col min="15106" max="15106" width="29.5546875" style="378" customWidth="1"/>
    <col min="15107" max="15108" width="6.77734375" style="378" customWidth="1"/>
    <col min="15109" max="15110" width="13.88671875" style="378" customWidth="1"/>
    <col min="15111" max="15111" width="12" style="378" customWidth="1"/>
    <col min="15112" max="15112" width="13.109375" style="378" customWidth="1"/>
    <col min="15113" max="15113" width="12.5546875" style="378" customWidth="1"/>
    <col min="15114" max="15114" width="11.77734375" style="378" customWidth="1"/>
    <col min="15115" max="15117" width="13.88671875" style="378" customWidth="1"/>
    <col min="15118" max="15360" width="8.88671875" style="378"/>
    <col min="15361" max="15361" width="27.21875" style="378" customWidth="1"/>
    <col min="15362" max="15362" width="29.5546875" style="378" customWidth="1"/>
    <col min="15363" max="15364" width="6.77734375" style="378" customWidth="1"/>
    <col min="15365" max="15366" width="13.88671875" style="378" customWidth="1"/>
    <col min="15367" max="15367" width="12" style="378" customWidth="1"/>
    <col min="15368" max="15368" width="13.109375" style="378" customWidth="1"/>
    <col min="15369" max="15369" width="12.5546875" style="378" customWidth="1"/>
    <col min="15370" max="15370" width="11.77734375" style="378" customWidth="1"/>
    <col min="15371" max="15373" width="13.88671875" style="378" customWidth="1"/>
    <col min="15374" max="15616" width="8.88671875" style="378"/>
    <col min="15617" max="15617" width="27.21875" style="378" customWidth="1"/>
    <col min="15618" max="15618" width="29.5546875" style="378" customWidth="1"/>
    <col min="15619" max="15620" width="6.77734375" style="378" customWidth="1"/>
    <col min="15621" max="15622" width="13.88671875" style="378" customWidth="1"/>
    <col min="15623" max="15623" width="12" style="378" customWidth="1"/>
    <col min="15624" max="15624" width="13.109375" style="378" customWidth="1"/>
    <col min="15625" max="15625" width="12.5546875" style="378" customWidth="1"/>
    <col min="15626" max="15626" width="11.77734375" style="378" customWidth="1"/>
    <col min="15627" max="15629" width="13.88671875" style="378" customWidth="1"/>
    <col min="15630" max="15872" width="8.88671875" style="378"/>
    <col min="15873" max="15873" width="27.21875" style="378" customWidth="1"/>
    <col min="15874" max="15874" width="29.5546875" style="378" customWidth="1"/>
    <col min="15875" max="15876" width="6.77734375" style="378" customWidth="1"/>
    <col min="15877" max="15878" width="13.88671875" style="378" customWidth="1"/>
    <col min="15879" max="15879" width="12" style="378" customWidth="1"/>
    <col min="15880" max="15880" width="13.109375" style="378" customWidth="1"/>
    <col min="15881" max="15881" width="12.5546875" style="378" customWidth="1"/>
    <col min="15882" max="15882" width="11.77734375" style="378" customWidth="1"/>
    <col min="15883" max="15885" width="13.88671875" style="378" customWidth="1"/>
    <col min="15886" max="16128" width="8.88671875" style="378"/>
    <col min="16129" max="16129" width="27.21875" style="378" customWidth="1"/>
    <col min="16130" max="16130" width="29.5546875" style="378" customWidth="1"/>
    <col min="16131" max="16132" width="6.77734375" style="378" customWidth="1"/>
    <col min="16133" max="16134" width="13.88671875" style="378" customWidth="1"/>
    <col min="16135" max="16135" width="12" style="378" customWidth="1"/>
    <col min="16136" max="16136" width="13.109375" style="378" customWidth="1"/>
    <col min="16137" max="16137" width="12.5546875" style="378" customWidth="1"/>
    <col min="16138" max="16138" width="11.77734375" style="378" customWidth="1"/>
    <col min="16139" max="16141" width="13.88671875" style="378" customWidth="1"/>
    <col min="16142" max="16384" width="8.88671875" style="378"/>
  </cols>
  <sheetData>
    <row r="1" spans="1:13" s="363" customFormat="1" ht="30" customHeight="1">
      <c r="A1" s="593" t="s">
        <v>323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</row>
    <row r="2" spans="1:13" s="363" customFormat="1" ht="30" customHeight="1">
      <c r="A2" s="364" t="s">
        <v>324</v>
      </c>
      <c r="B2" s="365"/>
      <c r="C2" s="366"/>
      <c r="D2" s="366"/>
      <c r="E2" s="367"/>
      <c r="F2" s="367"/>
      <c r="G2" s="367"/>
      <c r="H2" s="367"/>
      <c r="I2" s="367"/>
      <c r="J2" s="367"/>
      <c r="K2" s="367"/>
      <c r="L2" s="367"/>
      <c r="M2" s="367"/>
    </row>
    <row r="3" spans="1:13" s="369" customFormat="1" ht="30" customHeight="1">
      <c r="A3" s="595" t="s">
        <v>325</v>
      </c>
      <c r="B3" s="595" t="s">
        <v>326</v>
      </c>
      <c r="C3" s="595" t="s">
        <v>179</v>
      </c>
      <c r="D3" s="595" t="s">
        <v>327</v>
      </c>
      <c r="E3" s="596" t="s">
        <v>328</v>
      </c>
      <c r="F3" s="596"/>
      <c r="G3" s="596" t="s">
        <v>329</v>
      </c>
      <c r="H3" s="596"/>
      <c r="I3" s="596" t="s">
        <v>330</v>
      </c>
      <c r="J3" s="596"/>
      <c r="K3" s="597" t="s">
        <v>331</v>
      </c>
      <c r="L3" s="598"/>
      <c r="M3" s="368" t="s">
        <v>332</v>
      </c>
    </row>
    <row r="4" spans="1:13" s="369" customFormat="1" ht="30" customHeight="1">
      <c r="A4" s="595"/>
      <c r="B4" s="595"/>
      <c r="C4" s="595"/>
      <c r="D4" s="595"/>
      <c r="E4" s="368" t="s">
        <v>333</v>
      </c>
      <c r="F4" s="368" t="s">
        <v>334</v>
      </c>
      <c r="G4" s="368" t="s">
        <v>335</v>
      </c>
      <c r="H4" s="368" t="s">
        <v>336</v>
      </c>
      <c r="I4" s="368" t="s">
        <v>335</v>
      </c>
      <c r="J4" s="368" t="s">
        <v>334</v>
      </c>
      <c r="K4" s="368" t="s">
        <v>335</v>
      </c>
      <c r="L4" s="368" t="s">
        <v>334</v>
      </c>
      <c r="M4" s="368"/>
    </row>
    <row r="5" spans="1:13" s="374" customFormat="1" ht="30" customHeight="1">
      <c r="A5" s="370" t="e">
        <f>#REF!</f>
        <v>#REF!</v>
      </c>
      <c r="B5" s="370"/>
      <c r="C5" s="371"/>
      <c r="D5" s="371"/>
      <c r="E5" s="372"/>
      <c r="F5" s="372"/>
      <c r="G5" s="372"/>
      <c r="H5" s="372"/>
      <c r="I5" s="372"/>
      <c r="J5" s="372"/>
      <c r="K5" s="372"/>
      <c r="L5" s="373"/>
      <c r="M5" s="372"/>
    </row>
    <row r="6" spans="1:13" s="374" customFormat="1" ht="30" hidden="1" customHeight="1">
      <c r="A6" s="375" t="e">
        <f>#REF!</f>
        <v>#REF!</v>
      </c>
      <c r="B6" s="375" t="e">
        <f>#REF!</f>
        <v>#REF!</v>
      </c>
      <c r="C6" s="376" t="e">
        <f>#REF!</f>
        <v>#REF!</v>
      </c>
      <c r="D6" s="376" t="e">
        <f>#REF!</f>
        <v>#REF!</v>
      </c>
      <c r="E6" s="377" t="e">
        <f>#REF!</f>
        <v>#REF!</v>
      </c>
      <c r="F6" s="377" t="e">
        <f>TRUNC(D6*E6)</f>
        <v>#REF!</v>
      </c>
      <c r="G6" s="377"/>
      <c r="H6" s="377"/>
      <c r="I6" s="377"/>
      <c r="J6" s="377"/>
      <c r="K6" s="377" t="e">
        <f>E6+G6+I6</f>
        <v>#REF!</v>
      </c>
      <c r="L6" s="377" t="e">
        <f t="shared" ref="L6:L45" si="0">F6+H6+J6</f>
        <v>#REF!</v>
      </c>
      <c r="M6" s="377"/>
    </row>
    <row r="7" spans="1:13" ht="30" hidden="1" customHeight="1">
      <c r="A7" s="375" t="e">
        <f>#REF!</f>
        <v>#REF!</v>
      </c>
      <c r="B7" s="375" t="e">
        <f>#REF!</f>
        <v>#REF!</v>
      </c>
      <c r="C7" s="376" t="e">
        <f>#REF!</f>
        <v>#REF!</v>
      </c>
      <c r="D7" s="376" t="e">
        <f>#REF!</f>
        <v>#REF!</v>
      </c>
      <c r="E7" s="377" t="e">
        <f>#REF!</f>
        <v>#REF!</v>
      </c>
      <c r="F7" s="377" t="e">
        <f>TRUNC(D7*E7)</f>
        <v>#REF!</v>
      </c>
      <c r="G7" s="377"/>
      <c r="H7" s="377"/>
      <c r="I7" s="377"/>
      <c r="J7" s="377"/>
      <c r="K7" s="377" t="e">
        <f t="shared" ref="K7:K34" si="1">E7+G7+I7</f>
        <v>#REF!</v>
      </c>
      <c r="L7" s="377" t="e">
        <f t="shared" si="0"/>
        <v>#REF!</v>
      </c>
      <c r="M7" s="377"/>
    </row>
    <row r="8" spans="1:13" ht="30" hidden="1" customHeight="1">
      <c r="A8" s="375" t="e">
        <f>#REF!</f>
        <v>#REF!</v>
      </c>
      <c r="B8" s="375" t="e">
        <f>#REF!</f>
        <v>#REF!</v>
      </c>
      <c r="C8" s="376" t="e">
        <f>#REF!</f>
        <v>#REF!</v>
      </c>
      <c r="D8" s="376" t="e">
        <f>#REF!</f>
        <v>#REF!</v>
      </c>
      <c r="E8" s="377" t="e">
        <f>#REF!</f>
        <v>#REF!</v>
      </c>
      <c r="F8" s="377" t="e">
        <f>TRUNC(D8*E8)</f>
        <v>#REF!</v>
      </c>
      <c r="G8" s="377"/>
      <c r="H8" s="377"/>
      <c r="I8" s="377"/>
      <c r="J8" s="377"/>
      <c r="K8" s="377" t="e">
        <f t="shared" si="1"/>
        <v>#REF!</v>
      </c>
      <c r="L8" s="377" t="e">
        <f t="shared" si="0"/>
        <v>#REF!</v>
      </c>
      <c r="M8" s="377"/>
    </row>
    <row r="9" spans="1:13" ht="30" hidden="1" customHeight="1">
      <c r="A9" s="375" t="e">
        <f>#REF!</f>
        <v>#REF!</v>
      </c>
      <c r="B9" s="375" t="e">
        <f>#REF!</f>
        <v>#REF!</v>
      </c>
      <c r="C9" s="376" t="e">
        <f>#REF!</f>
        <v>#REF!</v>
      </c>
      <c r="D9" s="376" t="e">
        <f>#REF!</f>
        <v>#REF!</v>
      </c>
      <c r="E9" s="377" t="e">
        <f>#REF!</f>
        <v>#REF!</v>
      </c>
      <c r="F9" s="377" t="e">
        <f>TRUNC(D9*E9)</f>
        <v>#REF!</v>
      </c>
      <c r="G9" s="377"/>
      <c r="H9" s="377"/>
      <c r="I9" s="377"/>
      <c r="J9" s="377"/>
      <c r="K9" s="377" t="e">
        <f>E9+G9+I9</f>
        <v>#REF!</v>
      </c>
      <c r="L9" s="377" t="e">
        <f t="shared" si="0"/>
        <v>#REF!</v>
      </c>
      <c r="M9" s="377"/>
    </row>
    <row r="10" spans="1:13" ht="30" hidden="1" customHeight="1">
      <c r="A10" s="375" t="e">
        <f>#REF!</f>
        <v>#REF!</v>
      </c>
      <c r="B10" s="375" t="e">
        <f>#REF!</f>
        <v>#REF!</v>
      </c>
      <c r="C10" s="376" t="e">
        <f>#REF!</f>
        <v>#REF!</v>
      </c>
      <c r="D10" s="376" t="e">
        <f>#REF!</f>
        <v>#REF!</v>
      </c>
      <c r="E10" s="377" t="e">
        <f>#REF!</f>
        <v>#REF!</v>
      </c>
      <c r="F10" s="377" t="e">
        <f>TRUNC(D10*E10)</f>
        <v>#REF!</v>
      </c>
      <c r="G10" s="377"/>
      <c r="H10" s="377"/>
      <c r="I10" s="377"/>
      <c r="J10" s="377"/>
      <c r="K10" s="377" t="e">
        <f t="shared" si="1"/>
        <v>#REF!</v>
      </c>
      <c r="L10" s="377" t="e">
        <f t="shared" si="0"/>
        <v>#REF!</v>
      </c>
      <c r="M10" s="377"/>
    </row>
    <row r="11" spans="1:13" ht="30" hidden="1" customHeight="1">
      <c r="A11" s="375" t="e">
        <f>#REF!</f>
        <v>#REF!</v>
      </c>
      <c r="B11" s="375" t="e">
        <f>#REF!</f>
        <v>#REF!</v>
      </c>
      <c r="C11" s="376" t="e">
        <f>#REF!</f>
        <v>#REF!</v>
      </c>
      <c r="D11" s="376" t="e">
        <f>#REF!</f>
        <v>#REF!</v>
      </c>
      <c r="E11" s="377" t="e">
        <f>#REF!</f>
        <v>#REF!</v>
      </c>
      <c r="F11" s="377" t="e">
        <f t="shared" ref="F11:F73" si="2">TRUNC(D11*E11)</f>
        <v>#REF!</v>
      </c>
      <c r="G11" s="377"/>
      <c r="H11" s="377"/>
      <c r="I11" s="377"/>
      <c r="J11" s="377"/>
      <c r="K11" s="377" t="e">
        <f t="shared" si="1"/>
        <v>#REF!</v>
      </c>
      <c r="L11" s="377" t="e">
        <f t="shared" si="0"/>
        <v>#REF!</v>
      </c>
      <c r="M11" s="377"/>
    </row>
    <row r="12" spans="1:13" ht="30" customHeight="1">
      <c r="A12" s="426" t="s">
        <v>421</v>
      </c>
      <c r="B12" s="426" t="s">
        <v>546</v>
      </c>
      <c r="C12" s="376" t="s">
        <v>199</v>
      </c>
      <c r="D12" s="376">
        <v>24</v>
      </c>
      <c r="E12" s="377"/>
      <c r="F12" s="377"/>
      <c r="G12" s="377"/>
      <c r="H12" s="377"/>
      <c r="I12" s="377"/>
      <c r="J12" s="377"/>
      <c r="K12" s="377"/>
      <c r="L12" s="377"/>
      <c r="M12" s="377"/>
    </row>
    <row r="13" spans="1:13" ht="30" customHeight="1">
      <c r="A13" s="426" t="s">
        <v>421</v>
      </c>
      <c r="B13" s="426" t="s">
        <v>547</v>
      </c>
      <c r="C13" s="376" t="s">
        <v>199</v>
      </c>
      <c r="D13" s="376">
        <v>10</v>
      </c>
      <c r="E13" s="377"/>
      <c r="F13" s="377"/>
      <c r="G13" s="377"/>
      <c r="H13" s="377"/>
      <c r="I13" s="377"/>
      <c r="J13" s="377"/>
      <c r="K13" s="377"/>
      <c r="L13" s="377"/>
      <c r="M13" s="377"/>
    </row>
    <row r="14" spans="1:13" ht="30" customHeight="1">
      <c r="A14" s="426" t="s">
        <v>421</v>
      </c>
      <c r="B14" s="426" t="s">
        <v>548</v>
      </c>
      <c r="C14" s="376" t="s">
        <v>199</v>
      </c>
      <c r="D14" s="376">
        <v>287</v>
      </c>
      <c r="E14" s="377"/>
      <c r="F14" s="377"/>
      <c r="G14" s="377"/>
      <c r="H14" s="377"/>
      <c r="I14" s="377"/>
      <c r="J14" s="377"/>
      <c r="K14" s="377"/>
      <c r="L14" s="377"/>
      <c r="M14" s="377"/>
    </row>
    <row r="15" spans="1:13" ht="30" hidden="1" customHeight="1">
      <c r="A15" s="426" t="s">
        <v>422</v>
      </c>
      <c r="B15" s="426" t="s">
        <v>549</v>
      </c>
      <c r="C15" s="376" t="s">
        <v>220</v>
      </c>
      <c r="D15" s="376">
        <v>0</v>
      </c>
      <c r="E15" s="377"/>
      <c r="F15" s="377"/>
      <c r="G15" s="377"/>
      <c r="H15" s="377"/>
      <c r="I15" s="377"/>
      <c r="J15" s="377"/>
      <c r="K15" s="377"/>
      <c r="L15" s="377"/>
      <c r="M15" s="377"/>
    </row>
    <row r="16" spans="1:13" ht="30" hidden="1" customHeight="1">
      <c r="A16" s="426" t="s">
        <v>422</v>
      </c>
      <c r="B16" s="426" t="s">
        <v>550</v>
      </c>
      <c r="C16" s="376" t="s">
        <v>220</v>
      </c>
      <c r="D16" s="376">
        <v>0</v>
      </c>
      <c r="E16" s="377"/>
      <c r="F16" s="377"/>
      <c r="G16" s="377"/>
      <c r="H16" s="377"/>
      <c r="I16" s="377"/>
      <c r="J16" s="377"/>
      <c r="K16" s="377"/>
      <c r="L16" s="377"/>
      <c r="M16" s="377"/>
    </row>
    <row r="17" spans="1:13" ht="30" hidden="1" customHeight="1">
      <c r="A17" s="426" t="s">
        <v>422</v>
      </c>
      <c r="B17" s="426" t="s">
        <v>551</v>
      </c>
      <c r="C17" s="376" t="s">
        <v>220</v>
      </c>
      <c r="D17" s="376">
        <v>0</v>
      </c>
      <c r="E17" s="377"/>
      <c r="F17" s="377"/>
      <c r="G17" s="377"/>
      <c r="H17" s="377"/>
      <c r="I17" s="377"/>
      <c r="J17" s="377"/>
      <c r="K17" s="377"/>
      <c r="L17" s="377"/>
      <c r="M17" s="377"/>
    </row>
    <row r="18" spans="1:13" ht="30" hidden="1" customHeight="1">
      <c r="A18" s="426" t="s">
        <v>422</v>
      </c>
      <c r="B18" s="426" t="s">
        <v>552</v>
      </c>
      <c r="C18" s="376" t="s">
        <v>220</v>
      </c>
      <c r="D18" s="376">
        <v>0</v>
      </c>
      <c r="E18" s="377"/>
      <c r="F18" s="377"/>
      <c r="G18" s="377"/>
      <c r="H18" s="377"/>
      <c r="I18" s="377"/>
      <c r="J18" s="377"/>
      <c r="K18" s="377"/>
      <c r="L18" s="377"/>
      <c r="M18" s="377"/>
    </row>
    <row r="19" spans="1:13" ht="30" hidden="1" customHeight="1">
      <c r="A19" s="426" t="s">
        <v>422</v>
      </c>
      <c r="B19" s="426" t="s">
        <v>553</v>
      </c>
      <c r="C19" s="376" t="s">
        <v>220</v>
      </c>
      <c r="D19" s="376">
        <v>0</v>
      </c>
      <c r="E19" s="377"/>
      <c r="F19" s="377"/>
      <c r="G19" s="377"/>
      <c r="H19" s="377"/>
      <c r="I19" s="377"/>
      <c r="J19" s="377"/>
      <c r="K19" s="377"/>
      <c r="L19" s="377"/>
      <c r="M19" s="377"/>
    </row>
    <row r="20" spans="1:13" ht="30" hidden="1" customHeight="1">
      <c r="A20" s="426" t="s">
        <v>422</v>
      </c>
      <c r="B20" s="426" t="s">
        <v>554</v>
      </c>
      <c r="C20" s="376" t="s">
        <v>220</v>
      </c>
      <c r="D20" s="376">
        <v>0</v>
      </c>
      <c r="E20" s="377"/>
      <c r="F20" s="377"/>
      <c r="G20" s="377"/>
      <c r="H20" s="377"/>
      <c r="I20" s="377"/>
      <c r="J20" s="377"/>
      <c r="K20" s="377"/>
      <c r="L20" s="377"/>
      <c r="M20" s="377"/>
    </row>
    <row r="21" spans="1:13" ht="30" hidden="1" customHeight="1">
      <c r="A21" s="426" t="s">
        <v>423</v>
      </c>
      <c r="B21" s="426" t="s">
        <v>555</v>
      </c>
      <c r="C21" s="376" t="s">
        <v>220</v>
      </c>
      <c r="D21" s="376">
        <v>0</v>
      </c>
      <c r="E21" s="377"/>
      <c r="F21" s="377"/>
      <c r="G21" s="377"/>
      <c r="H21" s="377"/>
      <c r="I21" s="377"/>
      <c r="J21" s="377"/>
      <c r="K21" s="377"/>
      <c r="L21" s="377"/>
      <c r="M21" s="377"/>
    </row>
    <row r="22" spans="1:13" ht="30" customHeight="1">
      <c r="A22" s="426" t="s">
        <v>423</v>
      </c>
      <c r="B22" s="426" t="s">
        <v>556</v>
      </c>
      <c r="C22" s="376" t="s">
        <v>220</v>
      </c>
      <c r="D22" s="376">
        <v>3</v>
      </c>
      <c r="E22" s="377"/>
      <c r="F22" s="377"/>
      <c r="G22" s="377"/>
      <c r="H22" s="377"/>
      <c r="I22" s="377"/>
      <c r="J22" s="377"/>
      <c r="K22" s="377"/>
      <c r="L22" s="377"/>
      <c r="M22" s="377"/>
    </row>
    <row r="23" spans="1:13" ht="30" hidden="1" customHeight="1">
      <c r="A23" s="426" t="s">
        <v>423</v>
      </c>
      <c r="B23" s="426" t="s">
        <v>557</v>
      </c>
      <c r="C23" s="376" t="s">
        <v>220</v>
      </c>
      <c r="D23" s="376">
        <v>0</v>
      </c>
      <c r="E23" s="377"/>
      <c r="F23" s="377"/>
      <c r="G23" s="377"/>
      <c r="H23" s="377"/>
      <c r="I23" s="377"/>
      <c r="J23" s="377"/>
      <c r="K23" s="377"/>
      <c r="L23" s="377"/>
      <c r="M23" s="377"/>
    </row>
    <row r="24" spans="1:13" ht="30" customHeight="1">
      <c r="A24" s="426" t="s">
        <v>423</v>
      </c>
      <c r="B24" s="426" t="s">
        <v>558</v>
      </c>
      <c r="C24" s="376" t="s">
        <v>220</v>
      </c>
      <c r="D24" s="376">
        <v>204</v>
      </c>
      <c r="E24" s="377"/>
      <c r="F24" s="377"/>
      <c r="G24" s="377"/>
      <c r="H24" s="377"/>
      <c r="I24" s="377"/>
      <c r="J24" s="377"/>
      <c r="K24" s="377"/>
      <c r="L24" s="377"/>
      <c r="M24" s="377"/>
    </row>
    <row r="25" spans="1:13" ht="30" hidden="1" customHeight="1">
      <c r="A25" s="426" t="s">
        <v>422</v>
      </c>
      <c r="B25" s="426" t="s">
        <v>559</v>
      </c>
      <c r="C25" s="376" t="s">
        <v>220</v>
      </c>
      <c r="D25" s="376">
        <v>0</v>
      </c>
      <c r="E25" s="377"/>
      <c r="F25" s="377"/>
      <c r="G25" s="377"/>
      <c r="H25" s="377"/>
      <c r="I25" s="377"/>
      <c r="J25" s="377"/>
      <c r="K25" s="377"/>
      <c r="L25" s="377"/>
      <c r="M25" s="377"/>
    </row>
    <row r="26" spans="1:13" ht="30" hidden="1" customHeight="1">
      <c r="A26" s="426" t="s">
        <v>422</v>
      </c>
      <c r="B26" s="426" t="s">
        <v>560</v>
      </c>
      <c r="C26" s="376" t="s">
        <v>220</v>
      </c>
      <c r="D26" s="376">
        <v>0</v>
      </c>
      <c r="E26" s="377"/>
      <c r="F26" s="377"/>
      <c r="G26" s="377"/>
      <c r="H26" s="377"/>
      <c r="I26" s="377"/>
      <c r="J26" s="377"/>
      <c r="K26" s="377"/>
      <c r="L26" s="377"/>
      <c r="M26" s="377"/>
    </row>
    <row r="27" spans="1:13" ht="30" hidden="1" customHeight="1">
      <c r="A27" s="426" t="s">
        <v>422</v>
      </c>
      <c r="B27" s="426" t="s">
        <v>561</v>
      </c>
      <c r="C27" s="376" t="s">
        <v>220</v>
      </c>
      <c r="D27" s="376">
        <v>0</v>
      </c>
      <c r="E27" s="377"/>
      <c r="F27" s="377"/>
      <c r="G27" s="377"/>
      <c r="H27" s="377"/>
      <c r="I27" s="377"/>
      <c r="J27" s="377"/>
      <c r="K27" s="377"/>
      <c r="L27" s="377"/>
      <c r="M27" s="377"/>
    </row>
    <row r="28" spans="1:13" ht="30" hidden="1" customHeight="1">
      <c r="A28" s="426" t="s">
        <v>422</v>
      </c>
      <c r="B28" s="426" t="s">
        <v>562</v>
      </c>
      <c r="C28" s="376" t="s">
        <v>220</v>
      </c>
      <c r="D28" s="376">
        <v>0</v>
      </c>
      <c r="E28" s="377"/>
      <c r="F28" s="377"/>
      <c r="G28" s="377"/>
      <c r="H28" s="377"/>
      <c r="I28" s="377"/>
      <c r="J28" s="377"/>
      <c r="K28" s="377"/>
      <c r="L28" s="377"/>
      <c r="M28" s="377"/>
    </row>
    <row r="29" spans="1:13" ht="30" hidden="1" customHeight="1">
      <c r="A29" s="426" t="s">
        <v>422</v>
      </c>
      <c r="B29" s="426" t="s">
        <v>563</v>
      </c>
      <c r="C29" s="376" t="s">
        <v>220</v>
      </c>
      <c r="D29" s="376">
        <v>0</v>
      </c>
      <c r="E29" s="377"/>
      <c r="F29" s="377"/>
      <c r="G29" s="377"/>
      <c r="H29" s="377"/>
      <c r="I29" s="377"/>
      <c r="J29" s="377"/>
      <c r="K29" s="377"/>
      <c r="L29" s="377"/>
      <c r="M29" s="377"/>
    </row>
    <row r="30" spans="1:13" ht="30" hidden="1" customHeight="1">
      <c r="A30" s="426" t="s">
        <v>422</v>
      </c>
      <c r="B30" s="426" t="s">
        <v>564</v>
      </c>
      <c r="C30" s="376" t="s">
        <v>220</v>
      </c>
      <c r="D30" s="376">
        <v>0</v>
      </c>
      <c r="E30" s="377"/>
      <c r="F30" s="377"/>
      <c r="G30" s="377"/>
      <c r="H30" s="377"/>
      <c r="I30" s="377"/>
      <c r="J30" s="377"/>
      <c r="K30" s="377"/>
      <c r="L30" s="377"/>
      <c r="M30" s="377"/>
    </row>
    <row r="31" spans="1:13" ht="30" hidden="1" customHeight="1">
      <c r="A31" s="426" t="s">
        <v>423</v>
      </c>
      <c r="B31" s="426" t="s">
        <v>565</v>
      </c>
      <c r="C31" s="376" t="s">
        <v>220</v>
      </c>
      <c r="D31" s="376">
        <v>0</v>
      </c>
      <c r="E31" s="377"/>
      <c r="F31" s="377"/>
      <c r="G31" s="377"/>
      <c r="H31" s="377"/>
      <c r="I31" s="377"/>
      <c r="J31" s="377"/>
      <c r="K31" s="377"/>
      <c r="L31" s="377"/>
      <c r="M31" s="377"/>
    </row>
    <row r="32" spans="1:13" ht="30" customHeight="1">
      <c r="A32" s="426" t="s">
        <v>423</v>
      </c>
      <c r="B32" s="426" t="s">
        <v>566</v>
      </c>
      <c r="C32" s="376" t="s">
        <v>220</v>
      </c>
      <c r="D32" s="376">
        <v>7</v>
      </c>
      <c r="E32" s="377"/>
      <c r="F32" s="377"/>
      <c r="G32" s="377"/>
      <c r="H32" s="377"/>
      <c r="I32" s="377"/>
      <c r="J32" s="377"/>
      <c r="K32" s="377"/>
      <c r="L32" s="377"/>
      <c r="M32" s="377"/>
    </row>
    <row r="33" spans="1:13" ht="30" customHeight="1">
      <c r="A33" s="426" t="s">
        <v>423</v>
      </c>
      <c r="B33" s="426" t="s">
        <v>567</v>
      </c>
      <c r="C33" s="376" t="s">
        <v>220</v>
      </c>
      <c r="D33" s="376">
        <v>4</v>
      </c>
      <c r="E33" s="377"/>
      <c r="F33" s="377"/>
      <c r="G33" s="377"/>
      <c r="H33" s="377"/>
      <c r="I33" s="377"/>
      <c r="J33" s="377"/>
      <c r="K33" s="377"/>
      <c r="L33" s="377"/>
      <c r="M33" s="377"/>
    </row>
    <row r="34" spans="1:13" ht="30" customHeight="1">
      <c r="A34" s="426" t="s">
        <v>423</v>
      </c>
      <c r="B34" s="426" t="s">
        <v>568</v>
      </c>
      <c r="C34" s="376" t="s">
        <v>220</v>
      </c>
      <c r="D34" s="376">
        <v>32</v>
      </c>
      <c r="E34" s="377"/>
      <c r="F34" s="377"/>
      <c r="G34" s="377"/>
      <c r="H34" s="377"/>
      <c r="I34" s="377"/>
      <c r="J34" s="377"/>
      <c r="K34" s="377"/>
      <c r="L34" s="377"/>
      <c r="M34" s="377"/>
    </row>
    <row r="35" spans="1:13" ht="30" hidden="1" customHeight="1">
      <c r="A35" s="426" t="s">
        <v>422</v>
      </c>
      <c r="B35" s="426" t="s">
        <v>569</v>
      </c>
      <c r="C35" s="376" t="s">
        <v>220</v>
      </c>
      <c r="D35" s="376">
        <v>0</v>
      </c>
      <c r="E35" s="377"/>
      <c r="F35" s="377"/>
      <c r="G35" s="377"/>
      <c r="H35" s="377"/>
      <c r="I35" s="377"/>
      <c r="J35" s="377"/>
      <c r="K35" s="377"/>
      <c r="L35" s="377"/>
      <c r="M35" s="377"/>
    </row>
    <row r="36" spans="1:13" ht="30" hidden="1" customHeight="1">
      <c r="A36" s="426" t="s">
        <v>422</v>
      </c>
      <c r="B36" s="426" t="s">
        <v>570</v>
      </c>
      <c r="C36" s="376" t="s">
        <v>220</v>
      </c>
      <c r="D36" s="376">
        <v>0</v>
      </c>
      <c r="E36" s="377"/>
      <c r="F36" s="377"/>
      <c r="G36" s="377"/>
      <c r="H36" s="377"/>
      <c r="I36" s="377"/>
      <c r="J36" s="377"/>
      <c r="K36" s="377"/>
      <c r="L36" s="377"/>
      <c r="M36" s="377"/>
    </row>
    <row r="37" spans="1:13" ht="30" hidden="1" customHeight="1">
      <c r="A37" s="426" t="s">
        <v>422</v>
      </c>
      <c r="B37" s="426" t="s">
        <v>571</v>
      </c>
      <c r="C37" s="376" t="s">
        <v>220</v>
      </c>
      <c r="D37" s="376">
        <v>0</v>
      </c>
      <c r="E37" s="377"/>
      <c r="F37" s="377"/>
      <c r="G37" s="377"/>
      <c r="H37" s="377"/>
      <c r="I37" s="377"/>
      <c r="J37" s="377"/>
      <c r="K37" s="377"/>
      <c r="L37" s="377"/>
      <c r="M37" s="377"/>
    </row>
    <row r="38" spans="1:13" ht="30" hidden="1" customHeight="1">
      <c r="A38" s="426" t="s">
        <v>422</v>
      </c>
      <c r="B38" s="426" t="s">
        <v>572</v>
      </c>
      <c r="C38" s="376" t="s">
        <v>220</v>
      </c>
      <c r="D38" s="376">
        <v>0</v>
      </c>
      <c r="E38" s="377"/>
      <c r="F38" s="377"/>
      <c r="G38" s="377"/>
      <c r="H38" s="377"/>
      <c r="I38" s="377"/>
      <c r="J38" s="377"/>
      <c r="K38" s="377"/>
      <c r="L38" s="377"/>
      <c r="M38" s="377"/>
    </row>
    <row r="39" spans="1:13" ht="30" hidden="1" customHeight="1">
      <c r="A39" s="426" t="s">
        <v>422</v>
      </c>
      <c r="B39" s="426" t="s">
        <v>573</v>
      </c>
      <c r="C39" s="376" t="s">
        <v>220</v>
      </c>
      <c r="D39" s="376">
        <v>0</v>
      </c>
      <c r="E39" s="377"/>
      <c r="F39" s="377"/>
      <c r="G39" s="377"/>
      <c r="H39" s="377"/>
      <c r="I39" s="377"/>
      <c r="J39" s="377"/>
      <c r="K39" s="377"/>
      <c r="L39" s="377"/>
      <c r="M39" s="377"/>
    </row>
    <row r="40" spans="1:13" ht="30" hidden="1" customHeight="1">
      <c r="A40" s="426" t="s">
        <v>423</v>
      </c>
      <c r="B40" s="426" t="s">
        <v>574</v>
      </c>
      <c r="C40" s="376" t="s">
        <v>220</v>
      </c>
      <c r="D40" s="376">
        <v>0</v>
      </c>
      <c r="E40" s="377"/>
      <c r="F40" s="377"/>
      <c r="G40" s="377"/>
      <c r="H40" s="377"/>
      <c r="I40" s="377"/>
      <c r="J40" s="377"/>
      <c r="K40" s="377"/>
      <c r="L40" s="377"/>
      <c r="M40" s="377"/>
    </row>
    <row r="41" spans="1:13" ht="30" customHeight="1">
      <c r="A41" s="426" t="s">
        <v>423</v>
      </c>
      <c r="B41" s="426" t="s">
        <v>575</v>
      </c>
      <c r="C41" s="376" t="s">
        <v>220</v>
      </c>
      <c r="D41" s="376">
        <v>4</v>
      </c>
      <c r="E41" s="377"/>
      <c r="F41" s="377"/>
      <c r="G41" s="377"/>
      <c r="H41" s="377"/>
      <c r="I41" s="377"/>
      <c r="J41" s="377"/>
      <c r="K41" s="377"/>
      <c r="L41" s="377"/>
      <c r="M41" s="377"/>
    </row>
    <row r="42" spans="1:13" ht="30" customHeight="1">
      <c r="A42" s="426" t="s">
        <v>423</v>
      </c>
      <c r="B42" s="426" t="s">
        <v>576</v>
      </c>
      <c r="C42" s="376" t="s">
        <v>220</v>
      </c>
      <c r="D42" s="376">
        <v>4</v>
      </c>
      <c r="E42" s="377"/>
      <c r="F42" s="377"/>
      <c r="G42" s="377"/>
      <c r="H42" s="377"/>
      <c r="I42" s="377"/>
      <c r="J42" s="377"/>
      <c r="K42" s="377"/>
      <c r="L42" s="377"/>
      <c r="M42" s="377"/>
    </row>
    <row r="43" spans="1:13" ht="30" customHeight="1">
      <c r="A43" s="426" t="s">
        <v>423</v>
      </c>
      <c r="B43" s="426" t="s">
        <v>577</v>
      </c>
      <c r="C43" s="376" t="s">
        <v>220</v>
      </c>
      <c r="D43" s="376">
        <v>164</v>
      </c>
      <c r="E43" s="377"/>
      <c r="F43" s="377"/>
      <c r="G43" s="377"/>
      <c r="H43" s="377"/>
      <c r="I43" s="377"/>
      <c r="J43" s="377"/>
      <c r="K43" s="377"/>
      <c r="L43" s="377"/>
      <c r="M43" s="377"/>
    </row>
    <row r="44" spans="1:13" ht="30" hidden="1" customHeight="1">
      <c r="A44" s="426" t="s">
        <v>423</v>
      </c>
      <c r="B44" s="426" t="s">
        <v>578</v>
      </c>
      <c r="C44" s="376" t="s">
        <v>220</v>
      </c>
      <c r="D44" s="376">
        <v>0</v>
      </c>
      <c r="E44" s="377"/>
      <c r="F44" s="377"/>
      <c r="G44" s="377"/>
      <c r="H44" s="377"/>
      <c r="I44" s="377"/>
      <c r="J44" s="377"/>
      <c r="K44" s="377"/>
      <c r="L44" s="377"/>
      <c r="M44" s="377"/>
    </row>
    <row r="45" spans="1:13" ht="30" hidden="1" customHeight="1">
      <c r="A45" s="426" t="s">
        <v>423</v>
      </c>
      <c r="B45" s="426" t="s">
        <v>579</v>
      </c>
      <c r="C45" s="376" t="s">
        <v>220</v>
      </c>
      <c r="D45" s="376">
        <v>0</v>
      </c>
      <c r="E45" s="377"/>
      <c r="F45" s="377"/>
      <c r="G45" s="377"/>
      <c r="H45" s="377"/>
      <c r="I45" s="377"/>
      <c r="J45" s="377"/>
      <c r="K45" s="377"/>
      <c r="L45" s="377"/>
      <c r="M45" s="377"/>
    </row>
    <row r="46" spans="1:13" ht="30" hidden="1" customHeight="1">
      <c r="A46" s="426" t="s">
        <v>423</v>
      </c>
      <c r="B46" s="426" t="s">
        <v>580</v>
      </c>
      <c r="C46" s="376" t="s">
        <v>220</v>
      </c>
      <c r="D46" s="376">
        <v>0</v>
      </c>
      <c r="E46" s="377"/>
      <c r="F46" s="377"/>
      <c r="G46" s="377"/>
      <c r="H46" s="377"/>
      <c r="I46" s="377"/>
      <c r="J46" s="377"/>
      <c r="K46" s="377"/>
      <c r="L46" s="377"/>
      <c r="M46" s="377"/>
    </row>
    <row r="47" spans="1:13" ht="30" hidden="1" customHeight="1">
      <c r="A47" s="426" t="s">
        <v>423</v>
      </c>
      <c r="B47" s="426" t="s">
        <v>581</v>
      </c>
      <c r="C47" s="376" t="s">
        <v>220</v>
      </c>
      <c r="D47" s="376">
        <v>0</v>
      </c>
      <c r="E47" s="377"/>
      <c r="F47" s="377"/>
      <c r="G47" s="377"/>
      <c r="H47" s="377"/>
      <c r="I47" s="377"/>
      <c r="J47" s="377"/>
      <c r="K47" s="377"/>
      <c r="L47" s="377"/>
      <c r="M47" s="377"/>
    </row>
    <row r="48" spans="1:13" ht="30" hidden="1" customHeight="1">
      <c r="A48" s="426" t="s">
        <v>423</v>
      </c>
      <c r="B48" s="426" t="s">
        <v>582</v>
      </c>
      <c r="C48" s="376" t="s">
        <v>220</v>
      </c>
      <c r="D48" s="376">
        <v>0</v>
      </c>
      <c r="E48" s="377"/>
      <c r="F48" s="377"/>
      <c r="G48" s="377"/>
      <c r="H48" s="377"/>
      <c r="I48" s="377"/>
      <c r="J48" s="377"/>
      <c r="K48" s="377"/>
      <c r="L48" s="377"/>
      <c r="M48" s="377"/>
    </row>
    <row r="49" spans="1:13" ht="30" hidden="1" customHeight="1">
      <c r="A49" s="426" t="s">
        <v>423</v>
      </c>
      <c r="B49" s="426" t="s">
        <v>583</v>
      </c>
      <c r="C49" s="376" t="s">
        <v>220</v>
      </c>
      <c r="D49" s="376">
        <v>0</v>
      </c>
      <c r="E49" s="377"/>
      <c r="F49" s="377"/>
      <c r="G49" s="377"/>
      <c r="H49" s="377"/>
      <c r="I49" s="377"/>
      <c r="J49" s="377"/>
      <c r="K49" s="377"/>
      <c r="L49" s="377"/>
      <c r="M49" s="377"/>
    </row>
    <row r="50" spans="1:13" ht="30" hidden="1" customHeight="1">
      <c r="A50" s="426" t="s">
        <v>423</v>
      </c>
      <c r="B50" s="426" t="s">
        <v>584</v>
      </c>
      <c r="C50" s="376" t="s">
        <v>220</v>
      </c>
      <c r="D50" s="376">
        <v>0</v>
      </c>
      <c r="E50" s="377"/>
      <c r="F50" s="377"/>
      <c r="G50" s="377"/>
      <c r="H50" s="377"/>
      <c r="I50" s="377"/>
      <c r="J50" s="377"/>
      <c r="K50" s="377"/>
      <c r="L50" s="377"/>
      <c r="M50" s="377"/>
    </row>
    <row r="51" spans="1:13" ht="30" hidden="1" customHeight="1">
      <c r="A51" s="426" t="s">
        <v>424</v>
      </c>
      <c r="B51" s="426" t="s">
        <v>585</v>
      </c>
      <c r="C51" s="376" t="s">
        <v>220</v>
      </c>
      <c r="D51" s="376">
        <v>0</v>
      </c>
      <c r="E51" s="377"/>
      <c r="F51" s="377"/>
      <c r="G51" s="377"/>
      <c r="H51" s="377"/>
      <c r="I51" s="377"/>
      <c r="J51" s="377"/>
      <c r="K51" s="377"/>
      <c r="L51" s="377"/>
      <c r="M51" s="377"/>
    </row>
    <row r="52" spans="1:13" ht="30" hidden="1" customHeight="1">
      <c r="A52" s="426" t="s">
        <v>424</v>
      </c>
      <c r="B52" s="426" t="s">
        <v>586</v>
      </c>
      <c r="C52" s="376" t="s">
        <v>220</v>
      </c>
      <c r="D52" s="376">
        <v>0</v>
      </c>
      <c r="E52" s="377"/>
      <c r="F52" s="377"/>
      <c r="G52" s="377"/>
      <c r="H52" s="377"/>
      <c r="I52" s="377"/>
      <c r="J52" s="377"/>
      <c r="K52" s="377"/>
      <c r="L52" s="377"/>
      <c r="M52" s="377"/>
    </row>
    <row r="53" spans="1:13" ht="30" hidden="1" customHeight="1">
      <c r="A53" s="426" t="s">
        <v>424</v>
      </c>
      <c r="B53" s="426" t="s">
        <v>587</v>
      </c>
      <c r="C53" s="376" t="s">
        <v>220</v>
      </c>
      <c r="D53" s="376">
        <v>0</v>
      </c>
      <c r="E53" s="377"/>
      <c r="F53" s="377"/>
      <c r="G53" s="377"/>
      <c r="H53" s="377"/>
      <c r="I53" s="377"/>
      <c r="J53" s="377"/>
      <c r="K53" s="377"/>
      <c r="L53" s="377"/>
      <c r="M53" s="377"/>
    </row>
    <row r="54" spans="1:13" ht="30" hidden="1" customHeight="1">
      <c r="A54" s="426" t="s">
        <v>424</v>
      </c>
      <c r="B54" s="426" t="s">
        <v>588</v>
      </c>
      <c r="C54" s="376" t="s">
        <v>220</v>
      </c>
      <c r="D54" s="376">
        <v>0</v>
      </c>
      <c r="E54" s="377"/>
      <c r="F54" s="377"/>
      <c r="G54" s="377"/>
      <c r="H54" s="377"/>
      <c r="I54" s="377"/>
      <c r="J54" s="377"/>
      <c r="K54" s="377"/>
      <c r="L54" s="377"/>
      <c r="M54" s="377"/>
    </row>
    <row r="55" spans="1:13" ht="30" hidden="1" customHeight="1">
      <c r="A55" s="426" t="s">
        <v>424</v>
      </c>
      <c r="B55" s="426" t="s">
        <v>589</v>
      </c>
      <c r="C55" s="376" t="s">
        <v>220</v>
      </c>
      <c r="D55" s="376">
        <v>0</v>
      </c>
      <c r="E55" s="377"/>
      <c r="F55" s="377"/>
      <c r="G55" s="377"/>
      <c r="H55" s="377"/>
      <c r="I55" s="377"/>
      <c r="J55" s="377"/>
      <c r="K55" s="377"/>
      <c r="L55" s="377"/>
      <c r="M55" s="377"/>
    </row>
    <row r="56" spans="1:13" ht="30" hidden="1" customHeight="1">
      <c r="A56" s="426" t="s">
        <v>424</v>
      </c>
      <c r="B56" s="426" t="s">
        <v>590</v>
      </c>
      <c r="C56" s="376" t="s">
        <v>220</v>
      </c>
      <c r="D56" s="376">
        <v>0</v>
      </c>
      <c r="E56" s="377"/>
      <c r="F56" s="377"/>
      <c r="G56" s="377"/>
      <c r="H56" s="377"/>
      <c r="I56" s="377"/>
      <c r="J56" s="377"/>
      <c r="K56" s="377"/>
      <c r="L56" s="377"/>
      <c r="M56" s="377"/>
    </row>
    <row r="57" spans="1:13" ht="30" hidden="1" customHeight="1">
      <c r="A57" s="426" t="s">
        <v>425</v>
      </c>
      <c r="B57" s="379" t="s">
        <v>591</v>
      </c>
      <c r="C57" s="376" t="s">
        <v>220</v>
      </c>
      <c r="D57" s="376">
        <v>0</v>
      </c>
      <c r="E57" s="377"/>
      <c r="F57" s="377"/>
      <c r="G57" s="377"/>
      <c r="H57" s="377"/>
      <c r="I57" s="377"/>
      <c r="J57" s="377"/>
      <c r="K57" s="377"/>
      <c r="L57" s="377"/>
      <c r="M57" s="377"/>
    </row>
    <row r="58" spans="1:13" ht="30" hidden="1" customHeight="1">
      <c r="A58" s="426" t="s">
        <v>425</v>
      </c>
      <c r="B58" s="379" t="s">
        <v>592</v>
      </c>
      <c r="C58" s="376" t="s">
        <v>220</v>
      </c>
      <c r="D58" s="376">
        <v>0</v>
      </c>
      <c r="E58" s="377"/>
      <c r="F58" s="377"/>
      <c r="G58" s="377"/>
      <c r="H58" s="377"/>
      <c r="I58" s="377"/>
      <c r="J58" s="377"/>
      <c r="K58" s="377"/>
      <c r="L58" s="377"/>
      <c r="M58" s="377"/>
    </row>
    <row r="59" spans="1:13" ht="30" hidden="1" customHeight="1">
      <c r="A59" s="426" t="s">
        <v>425</v>
      </c>
      <c r="B59" s="379" t="s">
        <v>593</v>
      </c>
      <c r="C59" s="376" t="s">
        <v>220</v>
      </c>
      <c r="D59" s="376">
        <v>0</v>
      </c>
      <c r="E59" s="377"/>
      <c r="F59" s="377"/>
      <c r="G59" s="377"/>
      <c r="H59" s="377"/>
      <c r="I59" s="377"/>
      <c r="J59" s="377"/>
      <c r="K59" s="377"/>
      <c r="L59" s="377"/>
      <c r="M59" s="377"/>
    </row>
    <row r="60" spans="1:13" ht="30" hidden="1" customHeight="1">
      <c r="A60" s="426" t="s">
        <v>425</v>
      </c>
      <c r="B60" s="379" t="s">
        <v>594</v>
      </c>
      <c r="C60" s="376" t="s">
        <v>220</v>
      </c>
      <c r="D60" s="376">
        <v>0</v>
      </c>
      <c r="E60" s="377"/>
      <c r="F60" s="377"/>
      <c r="G60" s="377"/>
      <c r="H60" s="377"/>
      <c r="I60" s="377"/>
      <c r="J60" s="377"/>
      <c r="K60" s="377"/>
      <c r="L60" s="377"/>
      <c r="M60" s="377"/>
    </row>
    <row r="61" spans="1:13" ht="30" hidden="1" customHeight="1">
      <c r="A61" s="426" t="s">
        <v>425</v>
      </c>
      <c r="B61" s="379" t="s">
        <v>595</v>
      </c>
      <c r="C61" s="376" t="s">
        <v>220</v>
      </c>
      <c r="D61" s="376">
        <v>0</v>
      </c>
      <c r="E61" s="377"/>
      <c r="F61" s="377"/>
      <c r="G61" s="377"/>
      <c r="H61" s="377"/>
      <c r="I61" s="377"/>
      <c r="J61" s="377"/>
      <c r="K61" s="377"/>
      <c r="L61" s="377"/>
      <c r="M61" s="377"/>
    </row>
    <row r="62" spans="1:13" ht="30" hidden="1" customHeight="1">
      <c r="A62" s="426" t="s">
        <v>426</v>
      </c>
      <c r="B62" s="426" t="s">
        <v>596</v>
      </c>
      <c r="C62" s="376" t="s">
        <v>220</v>
      </c>
      <c r="D62" s="376">
        <v>0</v>
      </c>
      <c r="E62" s="377"/>
      <c r="F62" s="377"/>
      <c r="G62" s="377"/>
      <c r="H62" s="377"/>
      <c r="I62" s="377"/>
      <c r="J62" s="377"/>
      <c r="K62" s="377"/>
      <c r="L62" s="377"/>
      <c r="M62" s="377"/>
    </row>
    <row r="63" spans="1:13" ht="30" hidden="1" customHeight="1">
      <c r="A63" s="426" t="s">
        <v>426</v>
      </c>
      <c r="B63" s="426" t="s">
        <v>597</v>
      </c>
      <c r="C63" s="376" t="s">
        <v>220</v>
      </c>
      <c r="D63" s="376">
        <v>0</v>
      </c>
      <c r="E63" s="377"/>
      <c r="F63" s="377"/>
      <c r="G63" s="377"/>
      <c r="H63" s="377"/>
      <c r="I63" s="377"/>
      <c r="J63" s="377"/>
      <c r="K63" s="377"/>
      <c r="L63" s="377"/>
      <c r="M63" s="377"/>
    </row>
    <row r="64" spans="1:13" ht="30" hidden="1" customHeight="1">
      <c r="A64" s="426" t="s">
        <v>426</v>
      </c>
      <c r="B64" s="426" t="s">
        <v>598</v>
      </c>
      <c r="C64" s="376" t="s">
        <v>220</v>
      </c>
      <c r="D64" s="376">
        <v>0</v>
      </c>
      <c r="E64" s="377"/>
      <c r="F64" s="377"/>
      <c r="G64" s="377"/>
      <c r="H64" s="377"/>
      <c r="I64" s="377"/>
      <c r="J64" s="377"/>
      <c r="K64" s="377"/>
      <c r="L64" s="377"/>
      <c r="M64" s="377"/>
    </row>
    <row r="65" spans="1:13" ht="30" hidden="1" customHeight="1">
      <c r="A65" s="426" t="s">
        <v>426</v>
      </c>
      <c r="B65" s="426" t="s">
        <v>599</v>
      </c>
      <c r="C65" s="376" t="s">
        <v>220</v>
      </c>
      <c r="D65" s="376">
        <v>0</v>
      </c>
      <c r="E65" s="377"/>
      <c r="F65" s="377"/>
      <c r="G65" s="377"/>
      <c r="H65" s="377"/>
      <c r="I65" s="377"/>
      <c r="J65" s="377"/>
      <c r="K65" s="377"/>
      <c r="L65" s="377"/>
      <c r="M65" s="377"/>
    </row>
    <row r="66" spans="1:13" ht="30" hidden="1" customHeight="1">
      <c r="A66" s="426" t="s">
        <v>426</v>
      </c>
      <c r="B66" s="426" t="s">
        <v>600</v>
      </c>
      <c r="C66" s="376" t="s">
        <v>220</v>
      </c>
      <c r="D66" s="376">
        <v>0</v>
      </c>
      <c r="E66" s="377"/>
      <c r="F66" s="377"/>
      <c r="G66" s="377"/>
      <c r="H66" s="377"/>
      <c r="I66" s="377"/>
      <c r="J66" s="377"/>
      <c r="K66" s="377"/>
      <c r="L66" s="377"/>
      <c r="M66" s="377"/>
    </row>
    <row r="67" spans="1:13" ht="30" hidden="1" customHeight="1">
      <c r="A67" s="426" t="s">
        <v>427</v>
      </c>
      <c r="B67" s="426" t="s">
        <v>601</v>
      </c>
      <c r="C67" s="376" t="s">
        <v>220</v>
      </c>
      <c r="D67" s="376">
        <v>0</v>
      </c>
      <c r="E67" s="377"/>
      <c r="F67" s="377"/>
      <c r="G67" s="377"/>
      <c r="H67" s="377"/>
      <c r="I67" s="377"/>
      <c r="J67" s="377"/>
      <c r="K67" s="377"/>
      <c r="L67" s="377"/>
      <c r="M67" s="377"/>
    </row>
    <row r="68" spans="1:13" ht="30" hidden="1" customHeight="1">
      <c r="A68" s="426" t="s">
        <v>427</v>
      </c>
      <c r="B68" s="426" t="s">
        <v>602</v>
      </c>
      <c r="C68" s="376" t="s">
        <v>220</v>
      </c>
      <c r="D68" s="376">
        <v>0</v>
      </c>
      <c r="E68" s="377"/>
      <c r="F68" s="377"/>
      <c r="G68" s="377"/>
      <c r="H68" s="377"/>
      <c r="I68" s="377"/>
      <c r="J68" s="377"/>
      <c r="K68" s="377"/>
      <c r="L68" s="377"/>
      <c r="M68" s="377"/>
    </row>
    <row r="69" spans="1:13" ht="30" hidden="1" customHeight="1">
      <c r="A69" s="426" t="s">
        <v>427</v>
      </c>
      <c r="B69" s="426" t="s">
        <v>603</v>
      </c>
      <c r="C69" s="376" t="s">
        <v>220</v>
      </c>
      <c r="D69" s="376">
        <v>0</v>
      </c>
      <c r="E69" s="377"/>
      <c r="F69" s="377"/>
      <c r="G69" s="377"/>
      <c r="H69" s="377"/>
      <c r="I69" s="377"/>
      <c r="J69" s="377"/>
      <c r="K69" s="377"/>
      <c r="L69" s="377"/>
      <c r="M69" s="377"/>
    </row>
    <row r="70" spans="1:13" ht="30" hidden="1" customHeight="1">
      <c r="A70" s="426" t="s">
        <v>428</v>
      </c>
      <c r="B70" s="426" t="s">
        <v>604</v>
      </c>
      <c r="C70" s="376" t="s">
        <v>220</v>
      </c>
      <c r="D70" s="376">
        <v>0</v>
      </c>
      <c r="E70" s="377"/>
      <c r="F70" s="377"/>
      <c r="G70" s="377"/>
      <c r="H70" s="377"/>
      <c r="I70" s="377"/>
      <c r="J70" s="377"/>
      <c r="K70" s="377"/>
      <c r="L70" s="377"/>
      <c r="M70" s="377"/>
    </row>
    <row r="71" spans="1:13" ht="30" hidden="1" customHeight="1">
      <c r="A71" s="426" t="s">
        <v>428</v>
      </c>
      <c r="B71" s="426" t="s">
        <v>605</v>
      </c>
      <c r="C71" s="376" t="s">
        <v>220</v>
      </c>
      <c r="D71" s="376">
        <v>0</v>
      </c>
      <c r="E71" s="377"/>
      <c r="F71" s="377"/>
      <c r="G71" s="377"/>
      <c r="H71" s="377"/>
      <c r="I71" s="377"/>
      <c r="J71" s="377"/>
      <c r="K71" s="377"/>
      <c r="L71" s="377"/>
      <c r="M71" s="377"/>
    </row>
    <row r="72" spans="1:13" ht="30" hidden="1" customHeight="1">
      <c r="A72" s="426" t="s">
        <v>428</v>
      </c>
      <c r="B72" s="426" t="s">
        <v>606</v>
      </c>
      <c r="C72" s="376" t="s">
        <v>220</v>
      </c>
      <c r="D72" s="376">
        <v>0</v>
      </c>
      <c r="E72" s="377"/>
      <c r="F72" s="377"/>
      <c r="G72" s="377"/>
      <c r="H72" s="377"/>
      <c r="I72" s="377"/>
      <c r="J72" s="377"/>
      <c r="K72" s="377"/>
      <c r="L72" s="377"/>
      <c r="M72" s="377"/>
    </row>
    <row r="73" spans="1:13" ht="30" hidden="1" customHeight="1">
      <c r="A73" s="426" t="s">
        <v>428</v>
      </c>
      <c r="B73" s="426" t="s">
        <v>607</v>
      </c>
      <c r="C73" s="376" t="s">
        <v>220</v>
      </c>
      <c r="D73" s="376">
        <v>0</v>
      </c>
      <c r="E73" s="377"/>
      <c r="F73" s="377"/>
      <c r="G73" s="377"/>
      <c r="H73" s="377"/>
      <c r="I73" s="377"/>
      <c r="J73" s="377"/>
      <c r="K73" s="377"/>
      <c r="L73" s="377"/>
      <c r="M73" s="377"/>
    </row>
    <row r="74" spans="1:13" ht="30" hidden="1" customHeight="1">
      <c r="A74" s="426" t="s">
        <v>428</v>
      </c>
      <c r="B74" s="426" t="s">
        <v>608</v>
      </c>
      <c r="C74" s="376" t="s">
        <v>220</v>
      </c>
      <c r="D74" s="376">
        <v>0</v>
      </c>
      <c r="E74" s="377"/>
      <c r="F74" s="377"/>
      <c r="G74" s="377"/>
      <c r="H74" s="377"/>
      <c r="I74" s="377"/>
      <c r="J74" s="377"/>
      <c r="K74" s="377"/>
      <c r="L74" s="377"/>
      <c r="M74" s="377"/>
    </row>
    <row r="75" spans="1:13" ht="30" hidden="1" customHeight="1">
      <c r="A75" s="426" t="s">
        <v>428</v>
      </c>
      <c r="B75" s="426" t="s">
        <v>609</v>
      </c>
      <c r="C75" s="376" t="s">
        <v>220</v>
      </c>
      <c r="D75" s="376">
        <v>0</v>
      </c>
      <c r="E75" s="377"/>
      <c r="F75" s="377"/>
      <c r="G75" s="377"/>
      <c r="H75" s="377"/>
      <c r="I75" s="377"/>
      <c r="J75" s="377"/>
      <c r="K75" s="377"/>
      <c r="L75" s="377"/>
      <c r="M75" s="377"/>
    </row>
    <row r="76" spans="1:13" ht="30" hidden="1" customHeight="1">
      <c r="A76" s="426" t="s">
        <v>429</v>
      </c>
      <c r="B76" s="426" t="s">
        <v>419</v>
      </c>
      <c r="C76" s="376" t="s">
        <v>220</v>
      </c>
      <c r="D76" s="376">
        <v>0</v>
      </c>
      <c r="E76" s="377"/>
      <c r="F76" s="377"/>
      <c r="G76" s="377"/>
      <c r="H76" s="377"/>
      <c r="I76" s="377"/>
      <c r="J76" s="377"/>
      <c r="K76" s="377"/>
      <c r="L76" s="377"/>
      <c r="M76" s="377"/>
    </row>
    <row r="77" spans="1:13" ht="30" hidden="1" customHeight="1">
      <c r="A77" s="426" t="s">
        <v>430</v>
      </c>
      <c r="B77" s="426" t="s">
        <v>417</v>
      </c>
      <c r="C77" s="376" t="s">
        <v>220</v>
      </c>
      <c r="D77" s="376">
        <v>0</v>
      </c>
      <c r="E77" s="377"/>
      <c r="F77" s="377"/>
      <c r="G77" s="377"/>
      <c r="H77" s="377"/>
      <c r="I77" s="377"/>
      <c r="J77" s="377"/>
      <c r="K77" s="377"/>
      <c r="L77" s="377"/>
      <c r="M77" s="377"/>
    </row>
    <row r="78" spans="1:13" ht="30" hidden="1" customHeight="1">
      <c r="A78" s="426" t="s">
        <v>430</v>
      </c>
      <c r="B78" s="426" t="s">
        <v>415</v>
      </c>
      <c r="C78" s="376" t="s">
        <v>220</v>
      </c>
      <c r="D78" s="376">
        <v>0</v>
      </c>
      <c r="E78" s="377"/>
      <c r="F78" s="377"/>
      <c r="G78" s="377"/>
      <c r="H78" s="377"/>
      <c r="I78" s="377"/>
      <c r="J78" s="377"/>
      <c r="K78" s="377"/>
      <c r="L78" s="377"/>
      <c r="M78" s="377"/>
    </row>
    <row r="79" spans="1:13" ht="30" hidden="1" customHeight="1">
      <c r="A79" s="426" t="s">
        <v>610</v>
      </c>
      <c r="B79" s="426" t="s">
        <v>611</v>
      </c>
      <c r="C79" s="376" t="s">
        <v>220</v>
      </c>
      <c r="D79" s="376">
        <v>0</v>
      </c>
      <c r="E79" s="377"/>
      <c r="F79" s="377"/>
      <c r="G79" s="377"/>
      <c r="H79" s="377"/>
      <c r="I79" s="377"/>
      <c r="J79" s="377"/>
      <c r="K79" s="377"/>
      <c r="L79" s="377"/>
      <c r="M79" s="377"/>
    </row>
    <row r="80" spans="1:13" ht="30" hidden="1" customHeight="1">
      <c r="A80" s="426" t="s">
        <v>612</v>
      </c>
      <c r="B80" s="426" t="s">
        <v>613</v>
      </c>
      <c r="C80" s="376" t="s">
        <v>220</v>
      </c>
      <c r="D80" s="376">
        <v>0</v>
      </c>
      <c r="E80" s="377"/>
      <c r="F80" s="377"/>
      <c r="G80" s="377"/>
      <c r="H80" s="377"/>
      <c r="I80" s="377"/>
      <c r="J80" s="377"/>
      <c r="K80" s="377"/>
      <c r="L80" s="377"/>
      <c r="M80" s="377"/>
    </row>
    <row r="81" spans="1:13" ht="30" hidden="1" customHeight="1">
      <c r="A81" s="426" t="s">
        <v>612</v>
      </c>
      <c r="B81" s="426" t="s">
        <v>614</v>
      </c>
      <c r="C81" s="376" t="s">
        <v>220</v>
      </c>
      <c r="D81" s="376">
        <v>0</v>
      </c>
      <c r="E81" s="377"/>
      <c r="F81" s="377"/>
      <c r="G81" s="377"/>
      <c r="H81" s="377"/>
      <c r="I81" s="377"/>
      <c r="J81" s="377"/>
      <c r="K81" s="377"/>
      <c r="L81" s="377"/>
      <c r="M81" s="377"/>
    </row>
    <row r="82" spans="1:13" ht="30" hidden="1" customHeight="1">
      <c r="A82" s="426" t="s">
        <v>431</v>
      </c>
      <c r="B82" s="426"/>
      <c r="C82" s="376" t="s">
        <v>220</v>
      </c>
      <c r="D82" s="376">
        <v>0</v>
      </c>
      <c r="E82" s="377"/>
      <c r="F82" s="377"/>
      <c r="G82" s="377"/>
      <c r="H82" s="377"/>
      <c r="I82" s="377"/>
      <c r="J82" s="377"/>
      <c r="K82" s="377"/>
      <c r="L82" s="377"/>
      <c r="M82" s="377"/>
    </row>
    <row r="83" spans="1:13" ht="30" hidden="1" customHeight="1">
      <c r="A83" s="426" t="s">
        <v>615</v>
      </c>
      <c r="B83" s="426"/>
      <c r="C83" s="376" t="s">
        <v>409</v>
      </c>
      <c r="D83" s="376">
        <v>1</v>
      </c>
      <c r="E83" s="377"/>
      <c r="F83" s="377"/>
      <c r="G83" s="377"/>
      <c r="H83" s="377"/>
      <c r="I83" s="377"/>
      <c r="J83" s="377"/>
      <c r="K83" s="377"/>
      <c r="L83" s="377"/>
      <c r="M83" s="377"/>
    </row>
    <row r="84" spans="1:13" ht="30" hidden="1" customHeight="1">
      <c r="A84" s="426" t="s">
        <v>616</v>
      </c>
      <c r="B84" s="426" t="s">
        <v>617</v>
      </c>
      <c r="C84" s="376" t="s">
        <v>409</v>
      </c>
      <c r="D84" s="376">
        <v>0</v>
      </c>
      <c r="E84" s="377"/>
      <c r="F84" s="377"/>
      <c r="G84" s="377"/>
      <c r="H84" s="377"/>
      <c r="I84" s="377"/>
      <c r="J84" s="377"/>
      <c r="K84" s="377"/>
      <c r="L84" s="377"/>
      <c r="M84" s="377"/>
    </row>
    <row r="85" spans="1:13" ht="30" hidden="1" customHeight="1">
      <c r="A85" s="426" t="s">
        <v>432</v>
      </c>
      <c r="B85" s="426"/>
      <c r="C85" s="376" t="s">
        <v>220</v>
      </c>
      <c r="D85" s="376">
        <v>0</v>
      </c>
      <c r="E85" s="377"/>
      <c r="F85" s="377"/>
      <c r="G85" s="377"/>
      <c r="H85" s="377"/>
      <c r="I85" s="377"/>
      <c r="J85" s="377"/>
      <c r="K85" s="377"/>
      <c r="L85" s="377"/>
      <c r="M85" s="377"/>
    </row>
    <row r="86" spans="1:13" ht="30" customHeight="1">
      <c r="A86" s="426" t="s">
        <v>618</v>
      </c>
      <c r="B86" s="426" t="s">
        <v>619</v>
      </c>
      <c r="C86" s="376" t="s">
        <v>220</v>
      </c>
      <c r="D86" s="376">
        <v>64</v>
      </c>
      <c r="E86" s="377"/>
      <c r="F86" s="377"/>
      <c r="G86" s="377"/>
      <c r="H86" s="377"/>
      <c r="I86" s="377"/>
      <c r="J86" s="377"/>
      <c r="K86" s="377"/>
      <c r="L86" s="377"/>
      <c r="M86" s="377"/>
    </row>
    <row r="87" spans="1:13" ht="30" customHeight="1">
      <c r="A87" s="426" t="s">
        <v>618</v>
      </c>
      <c r="B87" s="426" t="s">
        <v>620</v>
      </c>
      <c r="C87" s="376" t="s">
        <v>220</v>
      </c>
      <c r="D87" s="376">
        <v>84</v>
      </c>
      <c r="E87" s="377"/>
      <c r="F87" s="377"/>
      <c r="G87" s="377"/>
      <c r="H87" s="377"/>
      <c r="I87" s="377"/>
      <c r="J87" s="377"/>
      <c r="K87" s="377"/>
      <c r="L87" s="377"/>
      <c r="M87" s="377"/>
    </row>
    <row r="88" spans="1:13" ht="30" customHeight="1">
      <c r="A88" s="426" t="s">
        <v>618</v>
      </c>
      <c r="B88" s="426" t="s">
        <v>621</v>
      </c>
      <c r="C88" s="376" t="s">
        <v>220</v>
      </c>
      <c r="D88" s="376">
        <v>16</v>
      </c>
      <c r="E88" s="377"/>
      <c r="F88" s="377"/>
      <c r="G88" s="377"/>
      <c r="H88" s="377"/>
      <c r="I88" s="377"/>
      <c r="J88" s="377"/>
      <c r="K88" s="377"/>
      <c r="L88" s="377"/>
      <c r="M88" s="377"/>
    </row>
    <row r="89" spans="1:13" ht="30" hidden="1" customHeight="1">
      <c r="A89" s="426" t="s">
        <v>622</v>
      </c>
      <c r="B89" s="426" t="s">
        <v>620</v>
      </c>
      <c r="C89" s="376" t="s">
        <v>220</v>
      </c>
      <c r="D89" s="376">
        <v>164</v>
      </c>
      <c r="E89" s="377"/>
      <c r="F89" s="377"/>
      <c r="G89" s="377"/>
      <c r="H89" s="377"/>
      <c r="I89" s="377"/>
      <c r="J89" s="377"/>
      <c r="K89" s="377"/>
      <c r="L89" s="377"/>
      <c r="M89" s="377"/>
    </row>
    <row r="90" spans="1:13" ht="30" hidden="1" customHeight="1">
      <c r="A90" s="426" t="s">
        <v>623</v>
      </c>
      <c r="B90" s="426" t="s">
        <v>624</v>
      </c>
      <c r="C90" s="376" t="s">
        <v>220</v>
      </c>
      <c r="D90" s="376">
        <v>0</v>
      </c>
      <c r="E90" s="377"/>
      <c r="F90" s="377"/>
      <c r="G90" s="377"/>
      <c r="H90" s="377"/>
      <c r="I90" s="377"/>
      <c r="J90" s="377"/>
      <c r="K90" s="377"/>
      <c r="L90" s="377"/>
      <c r="M90" s="377"/>
    </row>
    <row r="91" spans="1:13" ht="30" hidden="1" customHeight="1">
      <c r="A91" s="426" t="s">
        <v>625</v>
      </c>
      <c r="B91" s="426" t="s">
        <v>611</v>
      </c>
      <c r="C91" s="376" t="s">
        <v>409</v>
      </c>
      <c r="D91" s="376">
        <v>0</v>
      </c>
      <c r="E91" s="377"/>
      <c r="F91" s="377"/>
      <c r="G91" s="377"/>
      <c r="H91" s="377"/>
      <c r="I91" s="377"/>
      <c r="J91" s="377"/>
      <c r="K91" s="377"/>
      <c r="L91" s="377"/>
      <c r="M91" s="380" t="s">
        <v>337</v>
      </c>
    </row>
    <row r="92" spans="1:13" ht="30" hidden="1" customHeight="1">
      <c r="A92" s="426" t="s">
        <v>626</v>
      </c>
      <c r="B92" s="426" t="s">
        <v>627</v>
      </c>
      <c r="C92" s="376" t="s">
        <v>628</v>
      </c>
      <c r="D92" s="376">
        <v>0</v>
      </c>
      <c r="E92" s="377"/>
      <c r="F92" s="377"/>
      <c r="G92" s="377"/>
      <c r="H92" s="377"/>
      <c r="I92" s="377"/>
      <c r="J92" s="377"/>
      <c r="K92" s="377"/>
      <c r="L92" s="377"/>
      <c r="M92" s="380"/>
    </row>
    <row r="93" spans="1:13" ht="30" hidden="1" customHeight="1">
      <c r="A93" s="426" t="s">
        <v>625</v>
      </c>
      <c r="B93" s="426" t="s">
        <v>413</v>
      </c>
      <c r="C93" s="376" t="s">
        <v>409</v>
      </c>
      <c r="D93" s="376">
        <v>0</v>
      </c>
      <c r="E93" s="377"/>
      <c r="F93" s="377"/>
      <c r="G93" s="377"/>
      <c r="H93" s="377"/>
      <c r="I93" s="377"/>
      <c r="J93" s="377"/>
      <c r="K93" s="377"/>
      <c r="L93" s="377"/>
      <c r="M93" s="380" t="s">
        <v>338</v>
      </c>
    </row>
    <row r="94" spans="1:13" ht="30" hidden="1" customHeight="1">
      <c r="A94" s="426" t="s">
        <v>625</v>
      </c>
      <c r="B94" s="426" t="s">
        <v>414</v>
      </c>
      <c r="C94" s="376" t="s">
        <v>409</v>
      </c>
      <c r="D94" s="376">
        <v>0</v>
      </c>
      <c r="E94" s="377"/>
      <c r="F94" s="377"/>
      <c r="G94" s="377"/>
      <c r="H94" s="377"/>
      <c r="I94" s="377"/>
      <c r="J94" s="377"/>
      <c r="K94" s="377"/>
      <c r="L94" s="377"/>
      <c r="M94" s="380" t="s">
        <v>339</v>
      </c>
    </row>
    <row r="95" spans="1:13" ht="30" hidden="1" customHeight="1">
      <c r="A95" s="426" t="s">
        <v>625</v>
      </c>
      <c r="B95" s="426" t="s">
        <v>415</v>
      </c>
      <c r="C95" s="376" t="s">
        <v>409</v>
      </c>
      <c r="D95" s="376">
        <v>0</v>
      </c>
      <c r="E95" s="377"/>
      <c r="F95" s="377"/>
      <c r="G95" s="377"/>
      <c r="H95" s="377"/>
      <c r="I95" s="377"/>
      <c r="J95" s="377"/>
      <c r="K95" s="377"/>
      <c r="L95" s="377"/>
      <c r="M95" s="380" t="s">
        <v>340</v>
      </c>
    </row>
    <row r="96" spans="1:13" ht="30" hidden="1" customHeight="1">
      <c r="A96" s="426" t="s">
        <v>625</v>
      </c>
      <c r="B96" s="426" t="s">
        <v>416</v>
      </c>
      <c r="C96" s="376" t="s">
        <v>409</v>
      </c>
      <c r="D96" s="376">
        <v>0</v>
      </c>
      <c r="E96" s="377"/>
      <c r="F96" s="377"/>
      <c r="G96" s="377"/>
      <c r="H96" s="377"/>
      <c r="I96" s="377"/>
      <c r="J96" s="377"/>
      <c r="K96" s="377"/>
      <c r="L96" s="377"/>
      <c r="M96" s="380" t="s">
        <v>341</v>
      </c>
    </row>
    <row r="97" spans="1:13" ht="30" hidden="1" customHeight="1">
      <c r="A97" s="426" t="s">
        <v>625</v>
      </c>
      <c r="B97" s="426" t="s">
        <v>417</v>
      </c>
      <c r="C97" s="376" t="s">
        <v>409</v>
      </c>
      <c r="D97" s="376">
        <v>0</v>
      </c>
      <c r="E97" s="377"/>
      <c r="F97" s="377"/>
      <c r="G97" s="377"/>
      <c r="H97" s="377"/>
      <c r="I97" s="377"/>
      <c r="J97" s="377"/>
      <c r="K97" s="377"/>
      <c r="L97" s="377"/>
      <c r="M97" s="380" t="s">
        <v>342</v>
      </c>
    </row>
    <row r="98" spans="1:13" ht="30" hidden="1" customHeight="1">
      <c r="A98" s="426" t="s">
        <v>411</v>
      </c>
      <c r="B98" s="426" t="s">
        <v>410</v>
      </c>
      <c r="C98" s="376" t="s">
        <v>409</v>
      </c>
      <c r="D98" s="376">
        <v>0</v>
      </c>
      <c r="E98" s="377"/>
      <c r="F98" s="377"/>
      <c r="G98" s="377"/>
      <c r="H98" s="377"/>
      <c r="I98" s="377"/>
      <c r="J98" s="377"/>
      <c r="K98" s="377"/>
      <c r="L98" s="377"/>
      <c r="M98" s="380" t="s">
        <v>343</v>
      </c>
    </row>
    <row r="99" spans="1:13" ht="30" hidden="1" customHeight="1">
      <c r="A99" s="426" t="s">
        <v>411</v>
      </c>
      <c r="B99" s="426" t="s">
        <v>412</v>
      </c>
      <c r="C99" s="376" t="s">
        <v>409</v>
      </c>
      <c r="D99" s="376">
        <v>0</v>
      </c>
      <c r="E99" s="377"/>
      <c r="F99" s="377"/>
      <c r="G99" s="377"/>
      <c r="H99" s="377"/>
      <c r="I99" s="377"/>
      <c r="J99" s="377"/>
      <c r="K99" s="377"/>
      <c r="L99" s="377"/>
      <c r="M99" s="380" t="s">
        <v>344</v>
      </c>
    </row>
    <row r="100" spans="1:13" ht="30" hidden="1" customHeight="1">
      <c r="A100" s="426" t="s">
        <v>411</v>
      </c>
      <c r="B100" s="426" t="s">
        <v>413</v>
      </c>
      <c r="C100" s="376" t="s">
        <v>409</v>
      </c>
      <c r="D100" s="376">
        <v>0</v>
      </c>
      <c r="E100" s="377"/>
      <c r="F100" s="377"/>
      <c r="G100" s="377"/>
      <c r="H100" s="377"/>
      <c r="I100" s="377"/>
      <c r="J100" s="377"/>
      <c r="K100" s="377"/>
      <c r="L100" s="377"/>
      <c r="M100" s="380" t="s">
        <v>345</v>
      </c>
    </row>
    <row r="101" spans="1:13" ht="30" hidden="1" customHeight="1">
      <c r="A101" s="426" t="s">
        <v>411</v>
      </c>
      <c r="B101" s="426" t="s">
        <v>414</v>
      </c>
      <c r="C101" s="376" t="s">
        <v>409</v>
      </c>
      <c r="D101" s="376">
        <v>0</v>
      </c>
      <c r="E101" s="377"/>
      <c r="F101" s="377"/>
      <c r="G101" s="377"/>
      <c r="H101" s="377"/>
      <c r="I101" s="377"/>
      <c r="J101" s="377"/>
      <c r="K101" s="377"/>
      <c r="L101" s="377"/>
      <c r="M101" s="380" t="s">
        <v>346</v>
      </c>
    </row>
    <row r="102" spans="1:13" ht="30" hidden="1" customHeight="1">
      <c r="A102" s="426" t="s">
        <v>411</v>
      </c>
      <c r="B102" s="426" t="s">
        <v>415</v>
      </c>
      <c r="C102" s="376" t="s">
        <v>409</v>
      </c>
      <c r="D102" s="376">
        <v>0</v>
      </c>
      <c r="E102" s="377"/>
      <c r="F102" s="377"/>
      <c r="G102" s="377"/>
      <c r="H102" s="377"/>
      <c r="I102" s="377"/>
      <c r="J102" s="377"/>
      <c r="K102" s="377"/>
      <c r="L102" s="377"/>
      <c r="M102" s="380" t="s">
        <v>347</v>
      </c>
    </row>
    <row r="103" spans="1:13" ht="30" hidden="1" customHeight="1">
      <c r="A103" s="426" t="s">
        <v>411</v>
      </c>
      <c r="B103" s="426" t="s">
        <v>416</v>
      </c>
      <c r="C103" s="376" t="s">
        <v>409</v>
      </c>
      <c r="D103" s="376">
        <v>0</v>
      </c>
      <c r="E103" s="377"/>
      <c r="F103" s="377"/>
      <c r="G103" s="377"/>
      <c r="H103" s="377"/>
      <c r="I103" s="377"/>
      <c r="J103" s="377"/>
      <c r="K103" s="377"/>
      <c r="L103" s="377"/>
      <c r="M103" s="380" t="s">
        <v>348</v>
      </c>
    </row>
    <row r="104" spans="1:13" ht="30" hidden="1" customHeight="1">
      <c r="A104" s="426" t="s">
        <v>411</v>
      </c>
      <c r="B104" s="426" t="s">
        <v>417</v>
      </c>
      <c r="C104" s="376" t="s">
        <v>409</v>
      </c>
      <c r="D104" s="376">
        <v>0</v>
      </c>
      <c r="E104" s="377"/>
      <c r="F104" s="377"/>
      <c r="G104" s="377"/>
      <c r="H104" s="377"/>
      <c r="I104" s="377"/>
      <c r="J104" s="377"/>
      <c r="K104" s="377"/>
      <c r="L104" s="377"/>
      <c r="M104" s="380" t="s">
        <v>349</v>
      </c>
    </row>
    <row r="105" spans="1:13" ht="30" hidden="1" customHeight="1">
      <c r="A105" s="426" t="s">
        <v>629</v>
      </c>
      <c r="B105" s="379" t="s">
        <v>630</v>
      </c>
      <c r="C105" s="376" t="s">
        <v>199</v>
      </c>
      <c r="D105" s="376">
        <v>0</v>
      </c>
      <c r="E105" s="377"/>
      <c r="F105" s="377"/>
      <c r="G105" s="377"/>
      <c r="H105" s="377"/>
      <c r="I105" s="377"/>
      <c r="J105" s="377"/>
      <c r="K105" s="377"/>
      <c r="L105" s="377"/>
      <c r="M105" s="380" t="s">
        <v>350</v>
      </c>
    </row>
    <row r="106" spans="1:13" ht="30" hidden="1" customHeight="1">
      <c r="A106" s="426" t="s">
        <v>629</v>
      </c>
      <c r="B106" s="379" t="s">
        <v>631</v>
      </c>
      <c r="C106" s="376" t="s">
        <v>199</v>
      </c>
      <c r="D106" s="376">
        <v>0</v>
      </c>
      <c r="E106" s="377"/>
      <c r="F106" s="377"/>
      <c r="G106" s="377"/>
      <c r="H106" s="377"/>
      <c r="I106" s="377"/>
      <c r="J106" s="377"/>
      <c r="K106" s="377"/>
      <c r="L106" s="377"/>
      <c r="M106" s="380" t="s">
        <v>351</v>
      </c>
    </row>
    <row r="107" spans="1:13" ht="30" hidden="1" customHeight="1">
      <c r="A107" s="426" t="s">
        <v>629</v>
      </c>
      <c r="B107" s="379" t="s">
        <v>632</v>
      </c>
      <c r="C107" s="376" t="s">
        <v>199</v>
      </c>
      <c r="D107" s="376">
        <v>0</v>
      </c>
      <c r="E107" s="377"/>
      <c r="F107" s="377"/>
      <c r="G107" s="377"/>
      <c r="H107" s="377"/>
      <c r="I107" s="377"/>
      <c r="J107" s="377"/>
      <c r="K107" s="377"/>
      <c r="L107" s="377"/>
      <c r="M107" s="380" t="s">
        <v>352</v>
      </c>
    </row>
    <row r="108" spans="1:13" ht="30" hidden="1" customHeight="1">
      <c r="A108" s="426" t="s">
        <v>629</v>
      </c>
      <c r="B108" s="379" t="s">
        <v>633</v>
      </c>
      <c r="C108" s="376" t="s">
        <v>199</v>
      </c>
      <c r="D108" s="376">
        <v>0</v>
      </c>
      <c r="E108" s="377"/>
      <c r="F108" s="377"/>
      <c r="G108" s="377"/>
      <c r="H108" s="377"/>
      <c r="I108" s="377"/>
      <c r="J108" s="377"/>
      <c r="K108" s="377"/>
      <c r="L108" s="377"/>
      <c r="M108" s="380" t="s">
        <v>353</v>
      </c>
    </row>
    <row r="109" spans="1:13" ht="30" hidden="1" customHeight="1">
      <c r="A109" s="426" t="s">
        <v>629</v>
      </c>
      <c r="B109" s="379" t="s">
        <v>634</v>
      </c>
      <c r="C109" s="376" t="s">
        <v>199</v>
      </c>
      <c r="D109" s="376">
        <v>0</v>
      </c>
      <c r="E109" s="377"/>
      <c r="F109" s="377"/>
      <c r="G109" s="377"/>
      <c r="H109" s="377"/>
      <c r="I109" s="377"/>
      <c r="J109" s="377"/>
      <c r="K109" s="377"/>
      <c r="L109" s="377"/>
      <c r="M109" s="380" t="s">
        <v>354</v>
      </c>
    </row>
    <row r="110" spans="1:13" ht="30" hidden="1" customHeight="1">
      <c r="A110" s="426" t="s">
        <v>629</v>
      </c>
      <c r="B110" s="379" t="s">
        <v>635</v>
      </c>
      <c r="C110" s="376" t="s">
        <v>199</v>
      </c>
      <c r="D110" s="376">
        <v>0</v>
      </c>
      <c r="E110" s="377"/>
      <c r="F110" s="377"/>
      <c r="G110" s="377"/>
      <c r="H110" s="377"/>
      <c r="I110" s="377"/>
      <c r="J110" s="377"/>
      <c r="K110" s="377"/>
      <c r="L110" s="377"/>
      <c r="M110" s="380" t="s">
        <v>355</v>
      </c>
    </row>
    <row r="111" spans="1:13" ht="30" customHeight="1">
      <c r="A111" s="426" t="s">
        <v>629</v>
      </c>
      <c r="B111" s="379" t="s">
        <v>636</v>
      </c>
      <c r="C111" s="376" t="s">
        <v>199</v>
      </c>
      <c r="D111" s="376">
        <v>23</v>
      </c>
      <c r="E111" s="377"/>
      <c r="F111" s="377"/>
      <c r="G111" s="377"/>
      <c r="H111" s="377"/>
      <c r="I111" s="377"/>
      <c r="J111" s="377"/>
      <c r="K111" s="377"/>
      <c r="L111" s="377"/>
      <c r="M111" s="380" t="s">
        <v>356</v>
      </c>
    </row>
    <row r="112" spans="1:13" ht="30" customHeight="1">
      <c r="A112" s="426" t="s">
        <v>629</v>
      </c>
      <c r="B112" s="379" t="s">
        <v>637</v>
      </c>
      <c r="C112" s="376" t="s">
        <v>199</v>
      </c>
      <c r="D112" s="376">
        <v>10</v>
      </c>
      <c r="E112" s="377"/>
      <c r="F112" s="377"/>
      <c r="G112" s="377"/>
      <c r="H112" s="377"/>
      <c r="I112" s="377"/>
      <c r="J112" s="377"/>
      <c r="K112" s="377"/>
      <c r="L112" s="377"/>
      <c r="M112" s="380" t="s">
        <v>357</v>
      </c>
    </row>
    <row r="113" spans="1:13" ht="30" customHeight="1">
      <c r="A113" s="426" t="s">
        <v>629</v>
      </c>
      <c r="B113" s="379" t="s">
        <v>638</v>
      </c>
      <c r="C113" s="376" t="s">
        <v>199</v>
      </c>
      <c r="D113" s="376">
        <v>274</v>
      </c>
      <c r="E113" s="377"/>
      <c r="F113" s="377"/>
      <c r="G113" s="377"/>
      <c r="H113" s="377"/>
      <c r="I113" s="377"/>
      <c r="J113" s="377"/>
      <c r="K113" s="377"/>
      <c r="L113" s="377"/>
      <c r="M113" s="380" t="s">
        <v>358</v>
      </c>
    </row>
    <row r="114" spans="1:13" ht="30" hidden="1" customHeight="1">
      <c r="A114" s="426" t="s">
        <v>639</v>
      </c>
      <c r="B114" s="379" t="s">
        <v>640</v>
      </c>
      <c r="C114" s="376" t="s">
        <v>199</v>
      </c>
      <c r="D114" s="376">
        <v>0</v>
      </c>
      <c r="E114" s="377"/>
      <c r="F114" s="377"/>
      <c r="G114" s="377"/>
      <c r="H114" s="377"/>
      <c r="I114" s="377"/>
      <c r="J114" s="377"/>
      <c r="K114" s="377"/>
      <c r="L114" s="377"/>
      <c r="M114" s="380" t="s">
        <v>359</v>
      </c>
    </row>
    <row r="115" spans="1:13" ht="30" hidden="1" customHeight="1">
      <c r="A115" s="426" t="s">
        <v>639</v>
      </c>
      <c r="B115" s="379" t="s">
        <v>641</v>
      </c>
      <c r="C115" s="376" t="s">
        <v>199</v>
      </c>
      <c r="D115" s="376">
        <v>0</v>
      </c>
      <c r="E115" s="377"/>
      <c r="F115" s="377"/>
      <c r="G115" s="377"/>
      <c r="H115" s="377"/>
      <c r="I115" s="377"/>
      <c r="J115" s="377"/>
      <c r="K115" s="377"/>
      <c r="L115" s="377"/>
      <c r="M115" s="380" t="s">
        <v>360</v>
      </c>
    </row>
    <row r="116" spans="1:13" ht="30" hidden="1" customHeight="1">
      <c r="A116" s="426" t="s">
        <v>639</v>
      </c>
      <c r="B116" s="379" t="s">
        <v>642</v>
      </c>
      <c r="C116" s="376" t="s">
        <v>199</v>
      </c>
      <c r="D116" s="376">
        <v>0</v>
      </c>
      <c r="E116" s="377"/>
      <c r="F116" s="377"/>
      <c r="G116" s="377"/>
      <c r="H116" s="377"/>
      <c r="I116" s="377"/>
      <c r="J116" s="377"/>
      <c r="K116" s="377"/>
      <c r="L116" s="377"/>
      <c r="M116" s="380" t="s">
        <v>361</v>
      </c>
    </row>
    <row r="117" spans="1:13" ht="30" hidden="1" customHeight="1">
      <c r="A117" s="426" t="s">
        <v>643</v>
      </c>
      <c r="B117" s="426" t="s">
        <v>410</v>
      </c>
      <c r="C117" s="376" t="s">
        <v>409</v>
      </c>
      <c r="D117" s="376">
        <v>0</v>
      </c>
      <c r="E117" s="377"/>
      <c r="F117" s="377"/>
      <c r="G117" s="377"/>
      <c r="H117" s="377"/>
      <c r="I117" s="377"/>
      <c r="J117" s="377"/>
      <c r="K117" s="377"/>
      <c r="L117" s="377"/>
      <c r="M117" s="380" t="s">
        <v>362</v>
      </c>
    </row>
    <row r="118" spans="1:13" ht="30" hidden="1" customHeight="1">
      <c r="A118" s="426" t="s">
        <v>643</v>
      </c>
      <c r="B118" s="426" t="s">
        <v>413</v>
      </c>
      <c r="C118" s="376" t="s">
        <v>409</v>
      </c>
      <c r="D118" s="376">
        <v>0</v>
      </c>
      <c r="E118" s="377"/>
      <c r="F118" s="377"/>
      <c r="G118" s="377"/>
      <c r="H118" s="377"/>
      <c r="I118" s="377"/>
      <c r="J118" s="377"/>
      <c r="K118" s="377"/>
      <c r="L118" s="377"/>
      <c r="M118" s="380" t="s">
        <v>363</v>
      </c>
    </row>
    <row r="119" spans="1:13" ht="30" hidden="1" customHeight="1">
      <c r="A119" s="426" t="s">
        <v>643</v>
      </c>
      <c r="B119" s="426" t="s">
        <v>415</v>
      </c>
      <c r="C119" s="376" t="s">
        <v>409</v>
      </c>
      <c r="D119" s="376">
        <v>0</v>
      </c>
      <c r="E119" s="377"/>
      <c r="F119" s="377"/>
      <c r="G119" s="377"/>
      <c r="H119" s="377"/>
      <c r="I119" s="377"/>
      <c r="J119" s="377"/>
      <c r="K119" s="377"/>
      <c r="L119" s="377"/>
      <c r="M119" s="380" t="s">
        <v>364</v>
      </c>
    </row>
    <row r="120" spans="1:13" ht="30" hidden="1" customHeight="1">
      <c r="A120" s="426" t="s">
        <v>643</v>
      </c>
      <c r="B120" s="426" t="s">
        <v>416</v>
      </c>
      <c r="C120" s="376" t="s">
        <v>409</v>
      </c>
      <c r="D120" s="376">
        <v>0</v>
      </c>
      <c r="E120" s="377"/>
      <c r="F120" s="377"/>
      <c r="G120" s="377"/>
      <c r="H120" s="377"/>
      <c r="I120" s="377"/>
      <c r="J120" s="377"/>
      <c r="K120" s="377"/>
      <c r="L120" s="377"/>
      <c r="M120" s="380" t="s">
        <v>365</v>
      </c>
    </row>
    <row r="121" spans="1:13" ht="30" hidden="1" customHeight="1">
      <c r="A121" s="426" t="s">
        <v>643</v>
      </c>
      <c r="B121" s="426" t="s">
        <v>417</v>
      </c>
      <c r="C121" s="376" t="s">
        <v>409</v>
      </c>
      <c r="D121" s="376">
        <v>0</v>
      </c>
      <c r="E121" s="377"/>
      <c r="F121" s="377"/>
      <c r="G121" s="377"/>
      <c r="H121" s="377"/>
      <c r="I121" s="377"/>
      <c r="J121" s="377"/>
      <c r="K121" s="377"/>
      <c r="L121" s="377"/>
      <c r="M121" s="380" t="s">
        <v>366</v>
      </c>
    </row>
    <row r="122" spans="1:13" ht="30" hidden="1" customHeight="1">
      <c r="A122" s="426" t="s">
        <v>643</v>
      </c>
      <c r="B122" s="426" t="s">
        <v>418</v>
      </c>
      <c r="C122" s="376" t="s">
        <v>409</v>
      </c>
      <c r="D122" s="376">
        <v>0</v>
      </c>
      <c r="E122" s="377"/>
      <c r="F122" s="377"/>
      <c r="G122" s="377"/>
      <c r="H122" s="377"/>
      <c r="I122" s="377"/>
      <c r="J122" s="377"/>
      <c r="K122" s="377"/>
      <c r="L122" s="377"/>
      <c r="M122" s="380" t="s">
        <v>367</v>
      </c>
    </row>
    <row r="123" spans="1:13" ht="30" hidden="1" customHeight="1">
      <c r="A123" s="426" t="s">
        <v>644</v>
      </c>
      <c r="B123" s="426" t="s">
        <v>410</v>
      </c>
      <c r="C123" s="376" t="s">
        <v>409</v>
      </c>
      <c r="D123" s="381">
        <v>0</v>
      </c>
      <c r="E123" s="377"/>
      <c r="F123" s="377"/>
      <c r="G123" s="377"/>
      <c r="H123" s="377"/>
      <c r="I123" s="377"/>
      <c r="J123" s="377"/>
      <c r="K123" s="377"/>
      <c r="L123" s="377"/>
      <c r="M123" s="380" t="s">
        <v>368</v>
      </c>
    </row>
    <row r="124" spans="1:13" ht="30" hidden="1" customHeight="1">
      <c r="A124" s="426" t="s">
        <v>644</v>
      </c>
      <c r="B124" s="426" t="s">
        <v>412</v>
      </c>
      <c r="C124" s="376" t="s">
        <v>409</v>
      </c>
      <c r="D124" s="381">
        <v>0</v>
      </c>
      <c r="E124" s="377"/>
      <c r="F124" s="377"/>
      <c r="G124" s="377"/>
      <c r="H124" s="377"/>
      <c r="I124" s="377"/>
      <c r="J124" s="377"/>
      <c r="K124" s="377"/>
      <c r="L124" s="377"/>
      <c r="M124" s="380" t="s">
        <v>369</v>
      </c>
    </row>
    <row r="125" spans="1:13" ht="30" hidden="1" customHeight="1">
      <c r="A125" s="426" t="s">
        <v>644</v>
      </c>
      <c r="B125" s="426" t="s">
        <v>413</v>
      </c>
      <c r="C125" s="376" t="s">
        <v>409</v>
      </c>
      <c r="D125" s="382">
        <v>0</v>
      </c>
      <c r="E125" s="377"/>
      <c r="F125" s="377"/>
      <c r="G125" s="377"/>
      <c r="H125" s="377"/>
      <c r="I125" s="377"/>
      <c r="J125" s="377"/>
      <c r="K125" s="377"/>
      <c r="L125" s="377"/>
      <c r="M125" s="380" t="s">
        <v>370</v>
      </c>
    </row>
    <row r="126" spans="1:13" ht="30" hidden="1" customHeight="1">
      <c r="A126" s="426" t="s">
        <v>644</v>
      </c>
      <c r="B126" s="426" t="s">
        <v>414</v>
      </c>
      <c r="C126" s="376" t="s">
        <v>409</v>
      </c>
      <c r="D126" s="382">
        <v>0</v>
      </c>
      <c r="E126" s="377"/>
      <c r="F126" s="377"/>
      <c r="G126" s="377"/>
      <c r="H126" s="377"/>
      <c r="I126" s="377"/>
      <c r="J126" s="377"/>
      <c r="K126" s="377"/>
      <c r="L126" s="377"/>
      <c r="M126" s="380" t="s">
        <v>371</v>
      </c>
    </row>
    <row r="127" spans="1:13" ht="30" hidden="1" customHeight="1">
      <c r="A127" s="426" t="s">
        <v>644</v>
      </c>
      <c r="B127" s="426" t="s">
        <v>415</v>
      </c>
      <c r="C127" s="376" t="s">
        <v>409</v>
      </c>
      <c r="D127" s="382">
        <v>0</v>
      </c>
      <c r="E127" s="377"/>
      <c r="F127" s="377"/>
      <c r="G127" s="377"/>
      <c r="H127" s="377"/>
      <c r="I127" s="377"/>
      <c r="J127" s="377"/>
      <c r="K127" s="377"/>
      <c r="L127" s="377"/>
      <c r="M127" s="380" t="s">
        <v>372</v>
      </c>
    </row>
    <row r="128" spans="1:13" ht="30" hidden="1" customHeight="1">
      <c r="A128" s="426" t="s">
        <v>644</v>
      </c>
      <c r="B128" s="426" t="s">
        <v>416</v>
      </c>
      <c r="C128" s="376" t="s">
        <v>409</v>
      </c>
      <c r="D128" s="382">
        <v>0</v>
      </c>
      <c r="E128" s="377"/>
      <c r="F128" s="377"/>
      <c r="G128" s="377"/>
      <c r="H128" s="377"/>
      <c r="I128" s="377"/>
      <c r="J128" s="377"/>
      <c r="K128" s="377"/>
      <c r="L128" s="377"/>
      <c r="M128" s="380" t="s">
        <v>373</v>
      </c>
    </row>
    <row r="129" spans="1:13" ht="30" customHeight="1">
      <c r="A129" s="426" t="s">
        <v>644</v>
      </c>
      <c r="B129" s="426" t="s">
        <v>417</v>
      </c>
      <c r="C129" s="376" t="s">
        <v>409</v>
      </c>
      <c r="D129" s="382">
        <v>11.5</v>
      </c>
      <c r="E129" s="377"/>
      <c r="F129" s="377"/>
      <c r="G129" s="377"/>
      <c r="H129" s="377"/>
      <c r="I129" s="377"/>
      <c r="J129" s="377"/>
      <c r="K129" s="377"/>
      <c r="L129" s="377"/>
      <c r="M129" s="380" t="s">
        <v>374</v>
      </c>
    </row>
    <row r="130" spans="1:13" ht="30" customHeight="1">
      <c r="A130" s="426" t="s">
        <v>644</v>
      </c>
      <c r="B130" s="426" t="s">
        <v>418</v>
      </c>
      <c r="C130" s="376" t="s">
        <v>409</v>
      </c>
      <c r="D130" s="382">
        <v>5</v>
      </c>
      <c r="E130" s="377"/>
      <c r="F130" s="377"/>
      <c r="G130" s="377"/>
      <c r="H130" s="377"/>
      <c r="I130" s="377"/>
      <c r="J130" s="377"/>
      <c r="K130" s="377"/>
      <c r="L130" s="377"/>
      <c r="M130" s="380" t="s">
        <v>375</v>
      </c>
    </row>
    <row r="131" spans="1:13" ht="30" customHeight="1">
      <c r="A131" s="426" t="s">
        <v>644</v>
      </c>
      <c r="B131" s="426" t="s">
        <v>419</v>
      </c>
      <c r="C131" s="376" t="s">
        <v>409</v>
      </c>
      <c r="D131" s="382">
        <v>105</v>
      </c>
      <c r="E131" s="377"/>
      <c r="F131" s="377"/>
      <c r="G131" s="377"/>
      <c r="H131" s="377"/>
      <c r="I131" s="377"/>
      <c r="J131" s="377"/>
      <c r="K131" s="377"/>
      <c r="L131" s="377"/>
      <c r="M131" s="380" t="s">
        <v>376</v>
      </c>
    </row>
    <row r="132" spans="1:13" ht="30" hidden="1" customHeight="1">
      <c r="A132" s="426" t="s">
        <v>645</v>
      </c>
      <c r="B132" s="426" t="s">
        <v>646</v>
      </c>
      <c r="C132" s="376" t="s">
        <v>409</v>
      </c>
      <c r="D132" s="376">
        <v>0</v>
      </c>
      <c r="E132" s="377"/>
      <c r="F132" s="377"/>
      <c r="G132" s="377"/>
      <c r="H132" s="377"/>
      <c r="I132" s="377"/>
      <c r="J132" s="377"/>
      <c r="K132" s="377"/>
      <c r="L132" s="377"/>
      <c r="M132" s="380" t="s">
        <v>377</v>
      </c>
    </row>
    <row r="133" spans="1:13" ht="30" hidden="1" customHeight="1">
      <c r="A133" s="426" t="s">
        <v>647</v>
      </c>
      <c r="B133" s="426" t="s">
        <v>648</v>
      </c>
      <c r="C133" s="376" t="s">
        <v>409</v>
      </c>
      <c r="D133" s="376">
        <v>0</v>
      </c>
      <c r="E133" s="377"/>
      <c r="F133" s="377"/>
      <c r="G133" s="377"/>
      <c r="H133" s="377"/>
      <c r="I133" s="377"/>
      <c r="J133" s="377"/>
      <c r="K133" s="377"/>
      <c r="L133" s="377"/>
      <c r="M133" s="380" t="s">
        <v>378</v>
      </c>
    </row>
    <row r="134" spans="1:13" ht="30" hidden="1" customHeight="1">
      <c r="A134" s="426" t="s">
        <v>649</v>
      </c>
      <c r="B134" s="426" t="s">
        <v>413</v>
      </c>
      <c r="C134" s="376" t="s">
        <v>409</v>
      </c>
      <c r="D134" s="376">
        <v>0</v>
      </c>
      <c r="E134" s="377"/>
      <c r="F134" s="377"/>
      <c r="G134" s="377"/>
      <c r="H134" s="377"/>
      <c r="I134" s="377"/>
      <c r="J134" s="377"/>
      <c r="K134" s="377"/>
      <c r="L134" s="377"/>
      <c r="M134" s="380" t="s">
        <v>378</v>
      </c>
    </row>
    <row r="135" spans="1:13" ht="30" hidden="1" customHeight="1">
      <c r="A135" s="426" t="s">
        <v>649</v>
      </c>
      <c r="B135" s="426" t="s">
        <v>414</v>
      </c>
      <c r="C135" s="376" t="s">
        <v>409</v>
      </c>
      <c r="D135" s="376">
        <v>0</v>
      </c>
      <c r="E135" s="377"/>
      <c r="F135" s="377"/>
      <c r="G135" s="377"/>
      <c r="H135" s="377"/>
      <c r="I135" s="377"/>
      <c r="J135" s="377"/>
      <c r="K135" s="377"/>
      <c r="L135" s="377"/>
      <c r="M135" s="380" t="s">
        <v>379</v>
      </c>
    </row>
    <row r="136" spans="1:13" ht="30" hidden="1" customHeight="1">
      <c r="A136" s="426" t="s">
        <v>649</v>
      </c>
      <c r="B136" s="426" t="s">
        <v>415</v>
      </c>
      <c r="C136" s="376" t="s">
        <v>409</v>
      </c>
      <c r="D136" s="376">
        <v>0</v>
      </c>
      <c r="E136" s="377"/>
      <c r="F136" s="377"/>
      <c r="G136" s="377"/>
      <c r="H136" s="377"/>
      <c r="I136" s="377"/>
      <c r="J136" s="377"/>
      <c r="K136" s="377"/>
      <c r="L136" s="377"/>
      <c r="M136" s="380" t="s">
        <v>380</v>
      </c>
    </row>
    <row r="137" spans="1:13" ht="30" hidden="1" customHeight="1">
      <c r="A137" s="426" t="s">
        <v>649</v>
      </c>
      <c r="B137" s="426" t="s">
        <v>416</v>
      </c>
      <c r="C137" s="376" t="s">
        <v>409</v>
      </c>
      <c r="D137" s="376">
        <v>0</v>
      </c>
      <c r="E137" s="377"/>
      <c r="F137" s="377"/>
      <c r="G137" s="377"/>
      <c r="H137" s="377"/>
      <c r="I137" s="377"/>
      <c r="J137" s="377"/>
      <c r="K137" s="377"/>
      <c r="L137" s="377"/>
      <c r="M137" s="380" t="s">
        <v>381</v>
      </c>
    </row>
    <row r="138" spans="1:13" ht="30" hidden="1" customHeight="1">
      <c r="A138" s="426" t="s">
        <v>649</v>
      </c>
      <c r="B138" s="426" t="s">
        <v>417</v>
      </c>
      <c r="C138" s="376" t="s">
        <v>409</v>
      </c>
      <c r="D138" s="376">
        <v>0</v>
      </c>
      <c r="E138" s="377"/>
      <c r="F138" s="377"/>
      <c r="G138" s="377"/>
      <c r="H138" s="377"/>
      <c r="I138" s="377"/>
      <c r="J138" s="377"/>
      <c r="K138" s="377"/>
      <c r="L138" s="377"/>
      <c r="M138" s="380" t="s">
        <v>382</v>
      </c>
    </row>
    <row r="139" spans="1:13" ht="30" hidden="1" customHeight="1">
      <c r="A139" s="426" t="s">
        <v>649</v>
      </c>
      <c r="B139" s="426" t="s">
        <v>418</v>
      </c>
      <c r="C139" s="376" t="s">
        <v>409</v>
      </c>
      <c r="D139" s="376">
        <v>0</v>
      </c>
      <c r="E139" s="377"/>
      <c r="F139" s="377"/>
      <c r="G139" s="377"/>
      <c r="H139" s="377"/>
      <c r="I139" s="377"/>
      <c r="J139" s="377"/>
      <c r="K139" s="377"/>
      <c r="L139" s="377"/>
      <c r="M139" s="380" t="s">
        <v>383</v>
      </c>
    </row>
    <row r="140" spans="1:13" ht="30" hidden="1" customHeight="1">
      <c r="A140" s="426" t="s">
        <v>649</v>
      </c>
      <c r="B140" s="426" t="s">
        <v>419</v>
      </c>
      <c r="C140" s="376" t="s">
        <v>409</v>
      </c>
      <c r="D140" s="376">
        <v>0</v>
      </c>
      <c r="E140" s="377"/>
      <c r="F140" s="377"/>
      <c r="G140" s="377"/>
      <c r="H140" s="377"/>
      <c r="I140" s="377"/>
      <c r="J140" s="377"/>
      <c r="K140" s="377"/>
      <c r="L140" s="377"/>
      <c r="M140" s="380" t="s">
        <v>384</v>
      </c>
    </row>
    <row r="141" spans="1:13" ht="30" hidden="1" customHeight="1">
      <c r="A141" s="426" t="s">
        <v>650</v>
      </c>
      <c r="B141" s="426" t="s">
        <v>410</v>
      </c>
      <c r="C141" s="376" t="s">
        <v>409</v>
      </c>
      <c r="D141" s="376">
        <v>0</v>
      </c>
      <c r="E141" s="377"/>
      <c r="F141" s="377"/>
      <c r="G141" s="377"/>
      <c r="H141" s="377"/>
      <c r="I141" s="377"/>
      <c r="J141" s="377"/>
      <c r="K141" s="377"/>
      <c r="L141" s="377"/>
      <c r="M141" s="380" t="s">
        <v>385</v>
      </c>
    </row>
    <row r="142" spans="1:13" ht="30" hidden="1" customHeight="1">
      <c r="A142" s="426" t="s">
        <v>650</v>
      </c>
      <c r="B142" s="426" t="s">
        <v>415</v>
      </c>
      <c r="C142" s="376" t="s">
        <v>409</v>
      </c>
      <c r="D142" s="376">
        <v>0</v>
      </c>
      <c r="E142" s="377"/>
      <c r="F142" s="377"/>
      <c r="G142" s="377"/>
      <c r="H142" s="377"/>
      <c r="I142" s="377"/>
      <c r="J142" s="377"/>
      <c r="K142" s="377"/>
      <c r="L142" s="377"/>
      <c r="M142" s="380" t="s">
        <v>386</v>
      </c>
    </row>
    <row r="143" spans="1:13" ht="30" hidden="1" customHeight="1">
      <c r="A143" s="426" t="s">
        <v>650</v>
      </c>
      <c r="B143" s="426" t="s">
        <v>416</v>
      </c>
      <c r="C143" s="376" t="s">
        <v>409</v>
      </c>
      <c r="D143" s="376">
        <v>0</v>
      </c>
      <c r="E143" s="377"/>
      <c r="F143" s="377"/>
      <c r="G143" s="377"/>
      <c r="H143" s="377"/>
      <c r="I143" s="377"/>
      <c r="J143" s="377"/>
      <c r="K143" s="377"/>
      <c r="L143" s="377"/>
      <c r="M143" s="377"/>
    </row>
    <row r="144" spans="1:13" ht="30" customHeight="1">
      <c r="A144" s="426" t="s">
        <v>651</v>
      </c>
      <c r="B144" s="426" t="s">
        <v>652</v>
      </c>
      <c r="C144" s="376" t="s">
        <v>220</v>
      </c>
      <c r="D144" s="376">
        <v>6</v>
      </c>
      <c r="E144" s="377"/>
      <c r="F144" s="377"/>
      <c r="G144" s="377"/>
      <c r="H144" s="377"/>
      <c r="I144" s="377"/>
      <c r="J144" s="377"/>
      <c r="K144" s="377"/>
      <c r="L144" s="377"/>
      <c r="M144" s="377"/>
    </row>
    <row r="145" spans="1:13" ht="30" hidden="1" customHeight="1">
      <c r="A145" s="426" t="s">
        <v>653</v>
      </c>
      <c r="B145" s="426" t="s">
        <v>654</v>
      </c>
      <c r="C145" s="376" t="s">
        <v>220</v>
      </c>
      <c r="D145" s="376">
        <v>0</v>
      </c>
      <c r="E145" s="377"/>
      <c r="F145" s="377"/>
      <c r="G145" s="377"/>
      <c r="H145" s="377"/>
      <c r="I145" s="377"/>
      <c r="J145" s="377"/>
      <c r="K145" s="377"/>
      <c r="L145" s="377"/>
      <c r="M145" s="377"/>
    </row>
    <row r="146" spans="1:13" ht="30" hidden="1" customHeight="1">
      <c r="A146" s="426" t="s">
        <v>655</v>
      </c>
      <c r="B146" s="426" t="s">
        <v>654</v>
      </c>
      <c r="C146" s="376" t="s">
        <v>220</v>
      </c>
      <c r="D146" s="376">
        <v>0</v>
      </c>
      <c r="E146" s="377"/>
      <c r="F146" s="377"/>
      <c r="G146" s="377"/>
      <c r="H146" s="377"/>
      <c r="I146" s="377"/>
      <c r="J146" s="377"/>
      <c r="K146" s="377"/>
      <c r="L146" s="377"/>
      <c r="M146" s="377"/>
    </row>
    <row r="147" spans="1:13" ht="30" hidden="1" customHeight="1">
      <c r="A147" s="426" t="s">
        <v>656</v>
      </c>
      <c r="B147" s="426" t="s">
        <v>657</v>
      </c>
      <c r="C147" s="376" t="s">
        <v>628</v>
      </c>
      <c r="D147" s="376">
        <v>0</v>
      </c>
      <c r="E147" s="377"/>
      <c r="F147" s="377"/>
      <c r="G147" s="377"/>
      <c r="H147" s="377"/>
      <c r="I147" s="377"/>
      <c r="J147" s="377"/>
      <c r="K147" s="377"/>
      <c r="L147" s="377"/>
      <c r="M147" s="377"/>
    </row>
    <row r="148" spans="1:13" ht="30" customHeight="1">
      <c r="A148" s="426" t="s">
        <v>658</v>
      </c>
      <c r="B148" s="426"/>
      <c r="C148" s="376" t="s">
        <v>220</v>
      </c>
      <c r="D148" s="376">
        <v>6</v>
      </c>
      <c r="E148" s="377"/>
      <c r="F148" s="377"/>
      <c r="G148" s="377"/>
      <c r="H148" s="377"/>
      <c r="I148" s="377"/>
      <c r="J148" s="377"/>
      <c r="K148" s="377"/>
      <c r="L148" s="377"/>
      <c r="M148" s="377"/>
    </row>
    <row r="149" spans="1:13" ht="30" customHeight="1">
      <c r="A149" s="426" t="s">
        <v>659</v>
      </c>
      <c r="B149" s="426" t="s">
        <v>660</v>
      </c>
      <c r="C149" s="376" t="s">
        <v>220</v>
      </c>
      <c r="D149" s="376">
        <v>4</v>
      </c>
      <c r="E149" s="377"/>
      <c r="F149" s="377"/>
      <c r="G149" s="377"/>
      <c r="H149" s="377"/>
      <c r="I149" s="377"/>
      <c r="J149" s="377"/>
      <c r="K149" s="377"/>
      <c r="L149" s="377"/>
      <c r="M149" s="377"/>
    </row>
    <row r="150" spans="1:13" ht="30" hidden="1" customHeight="1">
      <c r="A150" s="426" t="s">
        <v>661</v>
      </c>
      <c r="B150" s="426" t="s">
        <v>662</v>
      </c>
      <c r="C150" s="376" t="s">
        <v>175</v>
      </c>
      <c r="D150" s="376">
        <v>0</v>
      </c>
      <c r="E150" s="377"/>
      <c r="F150" s="377"/>
      <c r="G150" s="377"/>
      <c r="H150" s="377"/>
      <c r="I150" s="377"/>
      <c r="J150" s="377"/>
      <c r="K150" s="377"/>
      <c r="L150" s="377"/>
      <c r="M150" s="377"/>
    </row>
    <row r="151" spans="1:13" ht="30" hidden="1" customHeight="1">
      <c r="A151" s="426" t="s">
        <v>663</v>
      </c>
      <c r="B151" s="426" t="s">
        <v>664</v>
      </c>
      <c r="C151" s="376" t="s">
        <v>220</v>
      </c>
      <c r="D151" s="376">
        <v>0</v>
      </c>
      <c r="E151" s="377"/>
      <c r="F151" s="377"/>
      <c r="G151" s="377"/>
      <c r="H151" s="377"/>
      <c r="I151" s="377"/>
      <c r="J151" s="377"/>
      <c r="K151" s="377"/>
      <c r="L151" s="377"/>
      <c r="M151" s="377"/>
    </row>
    <row r="152" spans="1:13" ht="30" hidden="1" customHeight="1">
      <c r="A152" s="426" t="s">
        <v>665</v>
      </c>
      <c r="B152" s="426" t="s">
        <v>664</v>
      </c>
      <c r="C152" s="376" t="s">
        <v>220</v>
      </c>
      <c r="D152" s="376">
        <v>0</v>
      </c>
      <c r="E152" s="377"/>
      <c r="F152" s="377"/>
      <c r="G152" s="377"/>
      <c r="H152" s="377"/>
      <c r="I152" s="377"/>
      <c r="J152" s="377"/>
      <c r="K152" s="377"/>
      <c r="L152" s="377"/>
      <c r="M152" s="377"/>
    </row>
    <row r="153" spans="1:13" ht="30" hidden="1" customHeight="1">
      <c r="A153" s="426" t="s">
        <v>666</v>
      </c>
      <c r="B153" s="426" t="s">
        <v>667</v>
      </c>
      <c r="C153" s="376" t="s">
        <v>169</v>
      </c>
      <c r="D153" s="376">
        <v>0</v>
      </c>
      <c r="E153" s="377"/>
      <c r="F153" s="377"/>
      <c r="G153" s="377"/>
      <c r="H153" s="377"/>
      <c r="I153" s="377"/>
      <c r="J153" s="377"/>
      <c r="K153" s="377"/>
      <c r="L153" s="377"/>
      <c r="M153" s="377"/>
    </row>
    <row r="154" spans="1:13" ht="30" hidden="1" customHeight="1">
      <c r="A154" s="426" t="s">
        <v>668</v>
      </c>
      <c r="B154" s="426" t="s">
        <v>669</v>
      </c>
      <c r="C154" s="376" t="s">
        <v>169</v>
      </c>
      <c r="D154" s="376">
        <v>0</v>
      </c>
      <c r="E154" s="377"/>
      <c r="F154" s="377"/>
      <c r="G154" s="377"/>
      <c r="H154" s="377"/>
      <c r="I154" s="377"/>
      <c r="J154" s="377"/>
      <c r="K154" s="377"/>
      <c r="L154" s="377"/>
      <c r="M154" s="380" t="s">
        <v>387</v>
      </c>
    </row>
    <row r="155" spans="1:13" ht="30" hidden="1" customHeight="1">
      <c r="A155" s="426" t="s">
        <v>433</v>
      </c>
      <c r="B155" s="426" t="s">
        <v>434</v>
      </c>
      <c r="C155" s="376" t="s">
        <v>165</v>
      </c>
      <c r="D155" s="376">
        <v>0</v>
      </c>
      <c r="E155" s="377"/>
      <c r="F155" s="377"/>
      <c r="G155" s="377"/>
      <c r="H155" s="377"/>
      <c r="I155" s="377"/>
      <c r="J155" s="377"/>
      <c r="K155" s="377"/>
      <c r="L155" s="377"/>
      <c r="M155" s="380" t="s">
        <v>388</v>
      </c>
    </row>
    <row r="156" spans="1:13" ht="30" hidden="1" customHeight="1">
      <c r="A156" s="426" t="s">
        <v>670</v>
      </c>
      <c r="B156" s="426" t="s">
        <v>434</v>
      </c>
      <c r="C156" s="376" t="s">
        <v>165</v>
      </c>
      <c r="D156" s="376">
        <v>0</v>
      </c>
      <c r="E156" s="377"/>
      <c r="F156" s="377"/>
      <c r="G156" s="377"/>
      <c r="H156" s="377"/>
      <c r="I156" s="377"/>
      <c r="J156" s="377"/>
      <c r="K156" s="377"/>
      <c r="L156" s="377"/>
      <c r="M156" s="380" t="s">
        <v>389</v>
      </c>
    </row>
    <row r="157" spans="1:13" ht="30" hidden="1" customHeight="1">
      <c r="A157" s="426" t="s">
        <v>671</v>
      </c>
      <c r="B157" s="426" t="s">
        <v>419</v>
      </c>
      <c r="C157" s="376" t="s">
        <v>409</v>
      </c>
      <c r="D157" s="376">
        <v>0</v>
      </c>
      <c r="E157" s="377"/>
      <c r="F157" s="377"/>
      <c r="G157" s="377"/>
      <c r="H157" s="377"/>
      <c r="I157" s="377"/>
      <c r="J157" s="377"/>
      <c r="K157" s="377"/>
      <c r="L157" s="377"/>
      <c r="M157" s="380" t="s">
        <v>390</v>
      </c>
    </row>
    <row r="158" spans="1:13" ht="30" hidden="1" customHeight="1">
      <c r="A158" s="426" t="s">
        <v>672</v>
      </c>
      <c r="B158" s="426" t="s">
        <v>673</v>
      </c>
      <c r="C158" s="376" t="s">
        <v>409</v>
      </c>
      <c r="D158" s="376">
        <v>0</v>
      </c>
      <c r="E158" s="377"/>
      <c r="F158" s="377"/>
      <c r="G158" s="377"/>
      <c r="H158" s="377"/>
      <c r="I158" s="377"/>
      <c r="J158" s="377"/>
      <c r="K158" s="377"/>
      <c r="L158" s="377"/>
      <c r="M158" s="380" t="s">
        <v>391</v>
      </c>
    </row>
    <row r="159" spans="1:13" ht="30" hidden="1" customHeight="1">
      <c r="A159" s="426" t="s">
        <v>674</v>
      </c>
      <c r="B159" s="426" t="s">
        <v>675</v>
      </c>
      <c r="C159" s="376" t="s">
        <v>409</v>
      </c>
      <c r="D159" s="376">
        <v>0</v>
      </c>
      <c r="E159" s="377"/>
      <c r="F159" s="377"/>
      <c r="G159" s="377"/>
      <c r="H159" s="377"/>
      <c r="I159" s="377"/>
      <c r="J159" s="377"/>
      <c r="K159" s="377"/>
      <c r="L159" s="377"/>
      <c r="M159" s="380" t="s">
        <v>392</v>
      </c>
    </row>
    <row r="160" spans="1:13" ht="30" hidden="1" customHeight="1">
      <c r="A160" s="426" t="s">
        <v>676</v>
      </c>
      <c r="B160" s="426" t="s">
        <v>174</v>
      </c>
      <c r="C160" s="376" t="s">
        <v>199</v>
      </c>
      <c r="D160" s="376">
        <v>0</v>
      </c>
      <c r="E160" s="377"/>
      <c r="F160" s="377"/>
      <c r="G160" s="377"/>
      <c r="H160" s="377"/>
      <c r="I160" s="377"/>
      <c r="J160" s="377"/>
      <c r="K160" s="377"/>
      <c r="L160" s="377"/>
      <c r="M160" s="380" t="s">
        <v>393</v>
      </c>
    </row>
    <row r="161" spans="1:13" ht="30" hidden="1" customHeight="1">
      <c r="A161" s="426" t="s">
        <v>676</v>
      </c>
      <c r="B161" s="426" t="s">
        <v>677</v>
      </c>
      <c r="C161" s="376" t="s">
        <v>199</v>
      </c>
      <c r="D161" s="376">
        <v>0</v>
      </c>
      <c r="E161" s="377"/>
      <c r="F161" s="377"/>
      <c r="G161" s="377"/>
      <c r="H161" s="377"/>
      <c r="I161" s="377"/>
      <c r="J161" s="377"/>
      <c r="K161" s="377"/>
      <c r="L161" s="377"/>
      <c r="M161" s="380" t="s">
        <v>394</v>
      </c>
    </row>
    <row r="162" spans="1:13" ht="30" hidden="1" customHeight="1">
      <c r="A162" s="426" t="s">
        <v>676</v>
      </c>
      <c r="B162" s="426" t="s">
        <v>173</v>
      </c>
      <c r="C162" s="376" t="s">
        <v>199</v>
      </c>
      <c r="D162" s="376">
        <v>0</v>
      </c>
      <c r="E162" s="377"/>
      <c r="F162" s="377"/>
      <c r="G162" s="377"/>
      <c r="H162" s="377"/>
      <c r="I162" s="377"/>
      <c r="J162" s="377"/>
      <c r="K162" s="377"/>
      <c r="L162" s="377"/>
      <c r="M162" s="380" t="s">
        <v>395</v>
      </c>
    </row>
    <row r="163" spans="1:13" ht="30" hidden="1" customHeight="1">
      <c r="A163" s="426" t="s">
        <v>678</v>
      </c>
      <c r="B163" s="426" t="s">
        <v>679</v>
      </c>
      <c r="C163" s="376" t="s">
        <v>169</v>
      </c>
      <c r="D163" s="376">
        <v>0</v>
      </c>
      <c r="E163" s="377"/>
      <c r="F163" s="377"/>
      <c r="G163" s="377"/>
      <c r="H163" s="377"/>
      <c r="I163" s="377"/>
      <c r="J163" s="377"/>
      <c r="K163" s="377"/>
      <c r="L163" s="377"/>
      <c r="M163" s="380"/>
    </row>
    <row r="164" spans="1:13" ht="30" hidden="1" customHeight="1">
      <c r="A164" s="426" t="s">
        <v>680</v>
      </c>
      <c r="B164" s="426"/>
      <c r="C164" s="376" t="s">
        <v>165</v>
      </c>
      <c r="D164" s="376">
        <v>0</v>
      </c>
      <c r="E164" s="377"/>
      <c r="F164" s="377"/>
      <c r="G164" s="377"/>
      <c r="H164" s="377"/>
      <c r="I164" s="377"/>
      <c r="J164" s="377"/>
      <c r="K164" s="377"/>
      <c r="L164" s="377"/>
      <c r="M164" s="380" t="s">
        <v>396</v>
      </c>
    </row>
    <row r="165" spans="1:13" ht="30" hidden="1" customHeight="1">
      <c r="A165" s="426" t="s">
        <v>681</v>
      </c>
      <c r="B165" s="426" t="s">
        <v>304</v>
      </c>
      <c r="C165" s="376" t="s">
        <v>165</v>
      </c>
      <c r="D165" s="376">
        <v>0</v>
      </c>
      <c r="E165" s="377"/>
      <c r="F165" s="377"/>
      <c r="G165" s="377"/>
      <c r="H165" s="377"/>
      <c r="I165" s="377"/>
      <c r="J165" s="377"/>
      <c r="K165" s="377"/>
      <c r="L165" s="377"/>
      <c r="M165" s="380" t="s">
        <v>397</v>
      </c>
    </row>
    <row r="166" spans="1:13" ht="30" hidden="1" customHeight="1">
      <c r="A166" s="426" t="s">
        <v>682</v>
      </c>
      <c r="B166" s="426" t="s">
        <v>683</v>
      </c>
      <c r="C166" s="376" t="s">
        <v>170</v>
      </c>
      <c r="D166" s="376">
        <v>0</v>
      </c>
      <c r="E166" s="377"/>
      <c r="F166" s="377"/>
      <c r="G166" s="377"/>
      <c r="H166" s="377"/>
      <c r="I166" s="377"/>
      <c r="J166" s="377"/>
      <c r="K166" s="377"/>
      <c r="L166" s="377"/>
      <c r="M166" s="380" t="s">
        <v>398</v>
      </c>
    </row>
    <row r="167" spans="1:13" ht="30" customHeight="1">
      <c r="A167" s="426" t="s">
        <v>399</v>
      </c>
      <c r="B167" s="426" t="s">
        <v>400</v>
      </c>
      <c r="C167" s="376" t="s">
        <v>401</v>
      </c>
      <c r="D167" s="376">
        <v>1</v>
      </c>
      <c r="E167" s="377"/>
      <c r="F167" s="377"/>
      <c r="G167" s="377"/>
      <c r="H167" s="377"/>
      <c r="I167" s="377"/>
      <c r="J167" s="377"/>
      <c r="K167" s="377"/>
      <c r="L167" s="377"/>
      <c r="M167" s="377"/>
    </row>
    <row r="168" spans="1:13" ht="30" customHeight="1">
      <c r="A168" s="426" t="s">
        <v>402</v>
      </c>
      <c r="B168" s="426" t="s">
        <v>38</v>
      </c>
      <c r="C168" s="376" t="s">
        <v>403</v>
      </c>
      <c r="D168" s="376">
        <v>37</v>
      </c>
      <c r="E168" s="377"/>
      <c r="F168" s="377"/>
      <c r="G168" s="377"/>
      <c r="H168" s="377"/>
      <c r="I168" s="377"/>
      <c r="J168" s="377"/>
      <c r="K168" s="377"/>
      <c r="L168" s="377"/>
      <c r="M168" s="377"/>
    </row>
    <row r="169" spans="1:13" ht="30" customHeight="1">
      <c r="A169" s="426"/>
      <c r="B169" s="426" t="s">
        <v>194</v>
      </c>
      <c r="C169" s="376" t="s">
        <v>404</v>
      </c>
      <c r="D169" s="376">
        <v>17</v>
      </c>
      <c r="E169" s="377"/>
      <c r="F169" s="377"/>
      <c r="G169" s="377"/>
      <c r="H169" s="377"/>
      <c r="I169" s="377"/>
      <c r="J169" s="377"/>
      <c r="K169" s="377"/>
      <c r="L169" s="377"/>
      <c r="M169" s="377"/>
    </row>
    <row r="170" spans="1:13" ht="30" customHeight="1">
      <c r="A170" s="426" t="s">
        <v>405</v>
      </c>
      <c r="B170" s="426" t="s">
        <v>406</v>
      </c>
      <c r="C170" s="376" t="s">
        <v>407</v>
      </c>
      <c r="D170" s="376">
        <v>1</v>
      </c>
      <c r="E170" s="377"/>
      <c r="F170" s="377"/>
      <c r="G170" s="377"/>
      <c r="H170" s="377"/>
      <c r="I170" s="377"/>
      <c r="J170" s="377"/>
      <c r="K170" s="377"/>
      <c r="L170" s="377"/>
      <c r="M170" s="377"/>
    </row>
    <row r="171" spans="1:13" ht="30" customHeight="1">
      <c r="A171" s="426"/>
      <c r="B171" s="426"/>
      <c r="C171" s="376"/>
      <c r="D171" s="376"/>
      <c r="E171" s="377"/>
      <c r="F171" s="377"/>
      <c r="G171" s="377"/>
      <c r="H171" s="377"/>
      <c r="I171" s="377"/>
      <c r="J171" s="377"/>
      <c r="K171" s="377"/>
      <c r="L171" s="377"/>
      <c r="M171" s="377"/>
    </row>
    <row r="172" spans="1:13" ht="30" customHeight="1">
      <c r="A172" s="426"/>
      <c r="B172" s="426"/>
      <c r="C172" s="376"/>
      <c r="D172" s="376"/>
      <c r="E172" s="377"/>
      <c r="F172" s="377"/>
      <c r="G172" s="377"/>
      <c r="H172" s="377"/>
      <c r="I172" s="377"/>
      <c r="J172" s="377"/>
      <c r="K172" s="377"/>
      <c r="L172" s="377"/>
      <c r="M172" s="377"/>
    </row>
    <row r="173" spans="1:13" ht="30" customHeight="1">
      <c r="A173" s="426"/>
      <c r="B173" s="426"/>
      <c r="C173" s="376"/>
      <c r="D173" s="376"/>
      <c r="E173" s="377"/>
      <c r="F173" s="377"/>
      <c r="G173" s="377"/>
      <c r="H173" s="377"/>
      <c r="I173" s="377"/>
      <c r="J173" s="377"/>
      <c r="K173" s="377"/>
      <c r="L173" s="377"/>
      <c r="M173" s="377"/>
    </row>
    <row r="174" spans="1:13" ht="30" customHeight="1">
      <c r="A174" s="426"/>
      <c r="B174" s="426"/>
      <c r="C174" s="376"/>
      <c r="D174" s="376"/>
      <c r="E174" s="377"/>
      <c r="F174" s="377"/>
      <c r="G174" s="377"/>
      <c r="H174" s="377"/>
      <c r="I174" s="377"/>
      <c r="J174" s="377"/>
      <c r="K174" s="377"/>
      <c r="L174" s="377"/>
      <c r="M174" s="377"/>
    </row>
    <row r="175" spans="1:13" ht="30" customHeight="1">
      <c r="A175" s="426"/>
      <c r="B175" s="426"/>
      <c r="C175" s="376"/>
      <c r="D175" s="376"/>
      <c r="E175" s="377"/>
      <c r="F175" s="377"/>
      <c r="G175" s="377"/>
      <c r="H175" s="377"/>
      <c r="I175" s="377"/>
      <c r="J175" s="377"/>
      <c r="K175" s="377"/>
      <c r="L175" s="377"/>
      <c r="M175" s="377"/>
    </row>
    <row r="176" spans="1:13" ht="30" customHeight="1">
      <c r="A176" s="426"/>
      <c r="B176" s="426"/>
      <c r="C176" s="376"/>
      <c r="D176" s="376"/>
      <c r="E176" s="377"/>
      <c r="F176" s="377"/>
      <c r="G176" s="377"/>
      <c r="H176" s="377"/>
      <c r="I176" s="377"/>
      <c r="J176" s="377"/>
      <c r="K176" s="377"/>
      <c r="L176" s="377"/>
      <c r="M176" s="377"/>
    </row>
    <row r="177" spans="1:13" ht="30" customHeight="1">
      <c r="A177" s="426"/>
      <c r="B177" s="426"/>
      <c r="C177" s="376"/>
      <c r="D177" s="376"/>
      <c r="E177" s="377"/>
      <c r="F177" s="377"/>
      <c r="G177" s="377"/>
      <c r="H177" s="377"/>
      <c r="I177" s="377"/>
      <c r="J177" s="377"/>
      <c r="K177" s="377"/>
      <c r="L177" s="377"/>
      <c r="M177" s="377"/>
    </row>
    <row r="178" spans="1:13" ht="30" customHeight="1">
      <c r="A178" s="426"/>
      <c r="B178" s="426"/>
      <c r="C178" s="376"/>
      <c r="D178" s="376"/>
      <c r="E178" s="377"/>
      <c r="F178" s="377"/>
      <c r="G178" s="377"/>
      <c r="H178" s="377"/>
      <c r="I178" s="377"/>
      <c r="J178" s="377"/>
      <c r="K178" s="377"/>
      <c r="L178" s="377"/>
      <c r="M178" s="377"/>
    </row>
    <row r="179" spans="1:13" ht="30" customHeight="1">
      <c r="A179" s="426"/>
      <c r="B179" s="426"/>
      <c r="C179" s="376"/>
      <c r="D179" s="376"/>
      <c r="E179" s="377"/>
      <c r="F179" s="377"/>
      <c r="G179" s="377"/>
      <c r="H179" s="377"/>
      <c r="I179" s="377"/>
      <c r="J179" s="377"/>
      <c r="K179" s="377"/>
      <c r="L179" s="377"/>
      <c r="M179" s="377"/>
    </row>
    <row r="180" spans="1:13" ht="30" customHeight="1">
      <c r="A180" s="426"/>
      <c r="B180" s="426"/>
      <c r="C180" s="376"/>
      <c r="D180" s="376"/>
      <c r="E180" s="377"/>
      <c r="F180" s="377"/>
      <c r="G180" s="377"/>
      <c r="H180" s="377"/>
      <c r="I180" s="377"/>
      <c r="J180" s="377"/>
      <c r="K180" s="377"/>
      <c r="L180" s="377"/>
      <c r="M180" s="377"/>
    </row>
    <row r="181" spans="1:13" ht="30" customHeight="1">
      <c r="A181" s="426"/>
      <c r="B181" s="426"/>
      <c r="C181" s="376"/>
      <c r="D181" s="376"/>
      <c r="E181" s="377"/>
      <c r="F181" s="377"/>
      <c r="G181" s="377"/>
      <c r="H181" s="377"/>
      <c r="I181" s="377"/>
      <c r="J181" s="377"/>
      <c r="K181" s="377"/>
      <c r="L181" s="377"/>
      <c r="M181" s="377"/>
    </row>
    <row r="182" spans="1:13" ht="30" customHeight="1">
      <c r="A182" s="426"/>
      <c r="B182" s="426"/>
      <c r="C182" s="376"/>
      <c r="D182" s="376"/>
      <c r="E182" s="377"/>
      <c r="F182" s="377"/>
      <c r="G182" s="377"/>
      <c r="H182" s="377"/>
      <c r="I182" s="377"/>
      <c r="J182" s="377"/>
      <c r="K182" s="377"/>
      <c r="L182" s="377"/>
      <c r="M182" s="377"/>
    </row>
    <row r="183" spans="1:13" ht="30" customHeight="1">
      <c r="A183" s="426"/>
      <c r="B183" s="426"/>
      <c r="C183" s="376"/>
      <c r="D183" s="376"/>
      <c r="E183" s="377"/>
      <c r="F183" s="377"/>
      <c r="G183" s="377"/>
      <c r="H183" s="377"/>
      <c r="I183" s="377"/>
      <c r="J183" s="377"/>
      <c r="K183" s="377"/>
      <c r="L183" s="377"/>
      <c r="M183" s="377"/>
    </row>
    <row r="184" spans="1:13" ht="30" customHeight="1">
      <c r="A184" s="426"/>
      <c r="B184" s="426"/>
      <c r="C184" s="376"/>
      <c r="D184" s="376"/>
      <c r="E184" s="377"/>
      <c r="F184" s="377"/>
      <c r="G184" s="377"/>
      <c r="H184" s="377"/>
      <c r="I184" s="377"/>
      <c r="J184" s="377"/>
      <c r="K184" s="377"/>
      <c r="L184" s="377"/>
      <c r="M184" s="377"/>
    </row>
    <row r="185" spans="1:13" ht="30" customHeight="1">
      <c r="A185" s="383" t="s">
        <v>408</v>
      </c>
      <c r="B185" s="383"/>
      <c r="C185" s="383"/>
      <c r="D185" s="383"/>
      <c r="E185" s="384"/>
      <c r="F185" s="384"/>
      <c r="G185" s="384"/>
      <c r="H185" s="384"/>
      <c r="I185" s="384"/>
      <c r="J185" s="384"/>
      <c r="K185" s="384"/>
      <c r="L185" s="384"/>
      <c r="M185" s="384"/>
    </row>
  </sheetData>
  <mergeCells count="9">
    <mergeCell ref="A1:M1"/>
    <mergeCell ref="A3:A4"/>
    <mergeCell ref="B3:B4"/>
    <mergeCell ref="C3:C4"/>
    <mergeCell ref="D3:D4"/>
    <mergeCell ref="E3:F3"/>
    <mergeCell ref="G3:H3"/>
    <mergeCell ref="I3:J3"/>
    <mergeCell ref="K3:L3"/>
  </mergeCells>
  <phoneticPr fontId="18" type="noConversion"/>
  <pageMargins left="0.39370078740157483" right="0.11811023622047245" top="0.55118110236220474" bottom="0.55118110236220474" header="0.31496062992125984" footer="0.31496062992125984"/>
  <pageSetup paperSize="9" scale="6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indexed="10"/>
  </sheetPr>
  <dimension ref="A1:N125"/>
  <sheetViews>
    <sheetView view="pageBreakPreview" zoomScaleNormal="150" workbookViewId="0">
      <selection activeCell="D80" sqref="D80"/>
    </sheetView>
  </sheetViews>
  <sheetFormatPr defaultRowHeight="13.5"/>
  <cols>
    <col min="1" max="1" width="7.88671875" style="157" customWidth="1"/>
    <col min="2" max="2" width="20.33203125" style="5" customWidth="1"/>
    <col min="3" max="3" width="6.6640625" style="6" customWidth="1"/>
    <col min="4" max="9" width="21.77734375" style="226" customWidth="1"/>
    <col min="10" max="10" width="15.6640625" style="7" customWidth="1"/>
    <col min="11" max="12" width="13.5546875" style="1" customWidth="1"/>
    <col min="13" max="13" width="13.5546875" style="2" customWidth="1"/>
    <col min="14" max="16384" width="8.88671875" style="1"/>
  </cols>
  <sheetData>
    <row r="1" spans="1:14" s="3" customFormat="1" ht="17.25">
      <c r="A1" s="208" t="s">
        <v>0</v>
      </c>
      <c r="B1" s="600" t="s">
        <v>1</v>
      </c>
      <c r="C1" s="602" t="s">
        <v>179</v>
      </c>
      <c r="D1" s="272" t="s">
        <v>257</v>
      </c>
      <c r="E1" s="209" t="s">
        <v>253</v>
      </c>
      <c r="F1" s="209" t="s">
        <v>244</v>
      </c>
      <c r="G1" s="209" t="s">
        <v>245</v>
      </c>
      <c r="H1" s="209" t="s">
        <v>246</v>
      </c>
      <c r="I1" s="210" t="s">
        <v>247</v>
      </c>
      <c r="J1" s="599"/>
      <c r="K1" s="599"/>
      <c r="L1" s="599"/>
      <c r="M1" s="7"/>
      <c r="N1" s="7"/>
    </row>
    <row r="2" spans="1:14" s="3" customFormat="1" ht="17.25">
      <c r="A2" s="211" t="s">
        <v>198</v>
      </c>
      <c r="B2" s="601"/>
      <c r="C2" s="603"/>
      <c r="D2" s="272" t="s">
        <v>258</v>
      </c>
      <c r="E2" s="209" t="s">
        <v>254</v>
      </c>
      <c r="F2" s="209" t="s">
        <v>248</v>
      </c>
      <c r="G2" s="209" t="s">
        <v>249</v>
      </c>
      <c r="H2" s="209" t="s">
        <v>250</v>
      </c>
      <c r="I2" s="210" t="s">
        <v>227</v>
      </c>
      <c r="J2" s="599"/>
      <c r="K2" s="599"/>
      <c r="L2" s="599"/>
      <c r="M2" s="7"/>
      <c r="N2" s="7"/>
    </row>
    <row r="3" spans="1:14" s="221" customFormat="1" ht="16.5">
      <c r="A3" s="212">
        <v>1001</v>
      </c>
      <c r="B3" s="213" t="s">
        <v>2</v>
      </c>
      <c r="C3" s="214" t="s">
        <v>197</v>
      </c>
      <c r="D3" s="273">
        <v>145013</v>
      </c>
      <c r="E3" s="215">
        <v>137535</v>
      </c>
      <c r="F3" s="215">
        <v>132631</v>
      </c>
      <c r="G3" s="216">
        <v>128126</v>
      </c>
      <c r="H3" s="217">
        <v>124304</v>
      </c>
      <c r="I3" s="217">
        <v>117612</v>
      </c>
      <c r="J3" s="218"/>
      <c r="K3" s="218"/>
      <c r="L3" s="219"/>
      <c r="M3" s="220"/>
      <c r="N3" s="220"/>
    </row>
    <row r="4" spans="1:14" s="221" customFormat="1" ht="16.5">
      <c r="A4" s="212">
        <v>1002</v>
      </c>
      <c r="B4" s="213" t="s">
        <v>194</v>
      </c>
      <c r="C4" s="214" t="s">
        <v>197</v>
      </c>
      <c r="D4" s="273">
        <v>118130</v>
      </c>
      <c r="E4" s="215">
        <v>109819</v>
      </c>
      <c r="F4" s="215">
        <v>106846</v>
      </c>
      <c r="G4" s="216">
        <v>102628</v>
      </c>
      <c r="H4" s="217">
        <v>99882</v>
      </c>
      <c r="I4" s="217">
        <v>94338</v>
      </c>
      <c r="J4" s="218"/>
      <c r="K4" s="218"/>
      <c r="L4" s="219"/>
      <c r="M4" s="220"/>
      <c r="N4" s="220"/>
    </row>
    <row r="5" spans="1:14" s="221" customFormat="1" ht="16.5">
      <c r="A5" s="212">
        <v>1003</v>
      </c>
      <c r="B5" s="213" t="s">
        <v>188</v>
      </c>
      <c r="C5" s="214" t="s">
        <v>197</v>
      </c>
      <c r="D5" s="273">
        <v>141507</v>
      </c>
      <c r="E5" s="215">
        <v>133417</v>
      </c>
      <c r="F5" s="215">
        <v>127391</v>
      </c>
      <c r="G5" s="216">
        <v>123074</v>
      </c>
      <c r="H5" s="217">
        <v>120716</v>
      </c>
      <c r="I5" s="217">
        <v>115272</v>
      </c>
      <c r="J5" s="218"/>
      <c r="K5" s="218"/>
      <c r="L5" s="219"/>
      <c r="M5" s="220"/>
      <c r="N5" s="220"/>
    </row>
    <row r="6" spans="1:14" ht="16.5">
      <c r="A6" s="212">
        <v>1004</v>
      </c>
      <c r="B6" s="222" t="s">
        <v>3</v>
      </c>
      <c r="C6" s="223" t="s">
        <v>197</v>
      </c>
      <c r="D6" s="273">
        <v>127124</v>
      </c>
      <c r="E6" s="215">
        <v>120416</v>
      </c>
      <c r="F6" s="215">
        <v>116344</v>
      </c>
      <c r="G6" s="216">
        <v>112847</v>
      </c>
      <c r="H6" s="217">
        <v>110194</v>
      </c>
      <c r="I6" s="217">
        <v>105790</v>
      </c>
      <c r="J6" s="4"/>
      <c r="K6" s="4"/>
      <c r="L6" s="154"/>
      <c r="M6" s="155"/>
      <c r="N6" s="155"/>
    </row>
    <row r="7" spans="1:14" ht="16.5">
      <c r="A7" s="212">
        <v>1005</v>
      </c>
      <c r="B7" s="222" t="s">
        <v>4</v>
      </c>
      <c r="C7" s="223" t="s">
        <v>197</v>
      </c>
      <c r="D7" s="273">
        <v>153608</v>
      </c>
      <c r="E7" s="215">
        <v>144980</v>
      </c>
      <c r="F7" s="215">
        <v>138832</v>
      </c>
      <c r="G7" s="216">
        <v>132819</v>
      </c>
      <c r="H7" s="217">
        <v>128795</v>
      </c>
      <c r="I7" s="217">
        <v>122341</v>
      </c>
      <c r="J7" s="4"/>
      <c r="K7" s="4"/>
      <c r="L7" s="154"/>
      <c r="M7" s="155"/>
      <c r="N7" s="155"/>
    </row>
    <row r="8" spans="1:14" s="221" customFormat="1" ht="16.5">
      <c r="A8" s="212">
        <v>1006</v>
      </c>
      <c r="B8" s="213" t="s">
        <v>5</v>
      </c>
      <c r="C8" s="214" t="s">
        <v>197</v>
      </c>
      <c r="D8" s="273">
        <v>208195</v>
      </c>
      <c r="E8" s="215">
        <v>196261</v>
      </c>
      <c r="F8" s="215">
        <v>187771</v>
      </c>
      <c r="G8" s="216">
        <v>180153</v>
      </c>
      <c r="H8" s="217">
        <v>175367</v>
      </c>
      <c r="I8" s="217">
        <v>167860</v>
      </c>
      <c r="J8" s="218"/>
      <c r="K8" s="218"/>
      <c r="L8" s="219"/>
      <c r="M8" s="220"/>
      <c r="N8" s="220"/>
    </row>
    <row r="9" spans="1:14" ht="16.5">
      <c r="A9" s="212">
        <v>1007</v>
      </c>
      <c r="B9" s="222" t="s">
        <v>6</v>
      </c>
      <c r="C9" s="223" t="s">
        <v>197</v>
      </c>
      <c r="D9" s="273">
        <v>197929</v>
      </c>
      <c r="E9" s="215">
        <v>189303</v>
      </c>
      <c r="F9" s="215">
        <v>179290</v>
      </c>
      <c r="G9" s="216">
        <v>174036</v>
      </c>
      <c r="H9" s="217">
        <v>168448</v>
      </c>
      <c r="I9" s="217">
        <v>160431</v>
      </c>
      <c r="J9" s="4"/>
      <c r="K9" s="4"/>
      <c r="L9" s="154"/>
      <c r="M9" s="155"/>
      <c r="N9" s="155"/>
    </row>
    <row r="10" spans="1:14" ht="16.5">
      <c r="A10" s="212">
        <v>1008</v>
      </c>
      <c r="B10" s="222" t="s">
        <v>7</v>
      </c>
      <c r="C10" s="223" t="s">
        <v>197</v>
      </c>
      <c r="D10" s="273">
        <v>199266</v>
      </c>
      <c r="E10" s="215">
        <v>189585</v>
      </c>
      <c r="F10" s="215">
        <v>179665</v>
      </c>
      <c r="G10" s="216">
        <v>170033</v>
      </c>
      <c r="H10" s="217">
        <v>164864</v>
      </c>
      <c r="I10" s="217">
        <v>154424</v>
      </c>
      <c r="J10" s="4"/>
      <c r="K10" s="4"/>
      <c r="L10" s="154"/>
      <c r="M10" s="155"/>
      <c r="N10" s="155"/>
    </row>
    <row r="11" spans="1:14" ht="16.5">
      <c r="A11" s="212">
        <v>1009</v>
      </c>
      <c r="B11" s="222" t="s">
        <v>8</v>
      </c>
      <c r="C11" s="223" t="s">
        <v>197</v>
      </c>
      <c r="D11" s="273">
        <v>177994</v>
      </c>
      <c r="E11" s="215">
        <v>170500</v>
      </c>
      <c r="F11" s="215">
        <v>162422</v>
      </c>
      <c r="G11" s="216">
        <v>156492</v>
      </c>
      <c r="H11" s="217">
        <v>151564</v>
      </c>
      <c r="I11" s="217">
        <v>146509</v>
      </c>
      <c r="J11" s="4"/>
      <c r="K11" s="4"/>
      <c r="L11" s="154"/>
      <c r="M11" s="155"/>
      <c r="N11" s="155"/>
    </row>
    <row r="12" spans="1:14" ht="16.5">
      <c r="A12" s="212">
        <v>1010</v>
      </c>
      <c r="B12" s="222" t="s">
        <v>9</v>
      </c>
      <c r="C12" s="223" t="s">
        <v>197</v>
      </c>
      <c r="D12" s="273">
        <v>160892</v>
      </c>
      <c r="E12" s="215">
        <v>153766</v>
      </c>
      <c r="F12" s="215">
        <v>148955</v>
      </c>
      <c r="G12" s="216">
        <v>143643</v>
      </c>
      <c r="H12" s="217">
        <v>140589</v>
      </c>
      <c r="I12" s="217">
        <v>131821</v>
      </c>
      <c r="J12" s="4"/>
      <c r="K12" s="4"/>
      <c r="L12" s="154"/>
      <c r="M12" s="155"/>
      <c r="N12" s="155"/>
    </row>
    <row r="13" spans="1:14" ht="16.5">
      <c r="A13" s="212">
        <v>1011</v>
      </c>
      <c r="B13" s="222" t="s">
        <v>10</v>
      </c>
      <c r="C13" s="223" t="s">
        <v>197</v>
      </c>
      <c r="D13" s="273">
        <v>185739</v>
      </c>
      <c r="E13" s="215">
        <v>176388</v>
      </c>
      <c r="F13" s="215">
        <v>163899</v>
      </c>
      <c r="G13" s="216">
        <v>156660</v>
      </c>
      <c r="H13" s="217">
        <v>152524</v>
      </c>
      <c r="I13" s="217">
        <v>143120</v>
      </c>
      <c r="J13" s="4"/>
      <c r="K13" s="4"/>
      <c r="L13" s="154"/>
      <c r="M13" s="155"/>
      <c r="N13" s="155"/>
    </row>
    <row r="14" spans="1:14" ht="16.5">
      <c r="A14" s="212">
        <v>1012</v>
      </c>
      <c r="B14" s="222" t="s">
        <v>11</v>
      </c>
      <c r="C14" s="223" t="s">
        <v>197</v>
      </c>
      <c r="D14" s="273">
        <v>180350</v>
      </c>
      <c r="E14" s="215">
        <v>169201</v>
      </c>
      <c r="F14" s="215">
        <v>163001</v>
      </c>
      <c r="G14" s="216">
        <v>157183</v>
      </c>
      <c r="H14" s="217">
        <v>153849</v>
      </c>
      <c r="I14" s="217">
        <v>143509</v>
      </c>
      <c r="J14" s="4"/>
      <c r="K14" s="4"/>
      <c r="L14" s="154"/>
      <c r="M14" s="155"/>
      <c r="N14" s="155"/>
    </row>
    <row r="15" spans="1:14" ht="16.5">
      <c r="A15" s="212">
        <v>1013</v>
      </c>
      <c r="B15" s="222" t="s">
        <v>12</v>
      </c>
      <c r="C15" s="223" t="s">
        <v>197</v>
      </c>
      <c r="D15" s="273">
        <v>199737</v>
      </c>
      <c r="E15" s="215">
        <v>176062</v>
      </c>
      <c r="F15" s="215">
        <v>167893</v>
      </c>
      <c r="G15" s="216">
        <v>161530</v>
      </c>
      <c r="H15" s="217">
        <v>157427</v>
      </c>
      <c r="I15" s="217">
        <v>148586</v>
      </c>
      <c r="J15" s="4"/>
      <c r="K15" s="4"/>
      <c r="L15" s="154"/>
      <c r="M15" s="155"/>
      <c r="N15" s="155"/>
    </row>
    <row r="16" spans="1:14" ht="16.5">
      <c r="A16" s="212">
        <v>1014</v>
      </c>
      <c r="B16" s="222" t="s">
        <v>13</v>
      </c>
      <c r="C16" s="223" t="s">
        <v>197</v>
      </c>
      <c r="D16" s="273">
        <v>150050</v>
      </c>
      <c r="E16" s="215">
        <v>142459</v>
      </c>
      <c r="F16" s="215">
        <v>136757</v>
      </c>
      <c r="G16" s="216">
        <v>131456</v>
      </c>
      <c r="H16" s="217">
        <v>127977</v>
      </c>
      <c r="I16" s="217">
        <v>120813</v>
      </c>
      <c r="J16" s="4"/>
      <c r="K16" s="4"/>
      <c r="L16" s="154"/>
      <c r="M16" s="155"/>
      <c r="N16" s="155"/>
    </row>
    <row r="17" spans="1:14" s="221" customFormat="1" ht="16.5">
      <c r="A17" s="212">
        <v>1015</v>
      </c>
      <c r="B17" s="213" t="s">
        <v>14</v>
      </c>
      <c r="C17" s="214" t="s">
        <v>197</v>
      </c>
      <c r="D17" s="273">
        <v>135852</v>
      </c>
      <c r="E17" s="215">
        <v>129160</v>
      </c>
      <c r="F17" s="215">
        <v>128508</v>
      </c>
      <c r="G17" s="216">
        <v>122918</v>
      </c>
      <c r="H17" s="217">
        <v>119308</v>
      </c>
      <c r="I17" s="217">
        <v>113289</v>
      </c>
      <c r="J17" s="218"/>
      <c r="K17" s="218"/>
      <c r="L17" s="219"/>
      <c r="M17" s="220"/>
      <c r="N17" s="220"/>
    </row>
    <row r="18" spans="1:14" ht="16.5">
      <c r="A18" s="212">
        <v>1016</v>
      </c>
      <c r="B18" s="222" t="s">
        <v>15</v>
      </c>
      <c r="C18" s="223" t="s">
        <v>197</v>
      </c>
      <c r="D18" s="273">
        <v>164540</v>
      </c>
      <c r="E18" s="215">
        <v>169977</v>
      </c>
      <c r="F18" s="215">
        <v>164637</v>
      </c>
      <c r="G18" s="216">
        <v>157414</v>
      </c>
      <c r="H18" s="217">
        <v>152163</v>
      </c>
      <c r="I18" s="217">
        <v>147280</v>
      </c>
      <c r="J18" s="4"/>
      <c r="K18" s="4"/>
      <c r="L18" s="154"/>
      <c r="M18" s="155"/>
      <c r="N18" s="155"/>
    </row>
    <row r="19" spans="1:14" ht="16.5">
      <c r="A19" s="212">
        <v>1017</v>
      </c>
      <c r="B19" s="222" t="s">
        <v>16</v>
      </c>
      <c r="C19" s="223" t="s">
        <v>197</v>
      </c>
      <c r="D19" s="273">
        <v>463030</v>
      </c>
      <c r="E19" s="215">
        <v>152559</v>
      </c>
      <c r="F19" s="215">
        <v>145761</v>
      </c>
      <c r="G19" s="216">
        <v>139420</v>
      </c>
      <c r="H19" s="217">
        <v>135760</v>
      </c>
      <c r="I19" s="217">
        <v>128283</v>
      </c>
      <c r="J19" s="4"/>
      <c r="K19" s="4"/>
      <c r="L19" s="154"/>
      <c r="M19" s="155"/>
      <c r="N19" s="155"/>
    </row>
    <row r="20" spans="1:14" ht="16.5">
      <c r="A20" s="212">
        <v>1018</v>
      </c>
      <c r="B20" s="222" t="s">
        <v>17</v>
      </c>
      <c r="C20" s="223" t="s">
        <v>197</v>
      </c>
      <c r="D20" s="273">
        <v>138693</v>
      </c>
      <c r="E20" s="215">
        <v>131820</v>
      </c>
      <c r="F20" s="215">
        <v>125125</v>
      </c>
      <c r="G20" s="216">
        <v>119124</v>
      </c>
      <c r="H20" s="217">
        <v>115556</v>
      </c>
      <c r="I20" s="217">
        <v>114608</v>
      </c>
      <c r="J20" s="4"/>
      <c r="K20" s="4"/>
      <c r="L20" s="154"/>
      <c r="M20" s="155"/>
      <c r="N20" s="155"/>
    </row>
    <row r="21" spans="1:14" s="221" customFormat="1" ht="16.5">
      <c r="A21" s="212">
        <v>1019</v>
      </c>
      <c r="B21" s="213" t="s">
        <v>18</v>
      </c>
      <c r="C21" s="214" t="s">
        <v>197</v>
      </c>
      <c r="D21" s="273">
        <v>162899</v>
      </c>
      <c r="E21" s="215">
        <v>154530</v>
      </c>
      <c r="F21" s="215">
        <v>148118</v>
      </c>
      <c r="G21" s="216">
        <v>141226</v>
      </c>
      <c r="H21" s="217">
        <v>137978</v>
      </c>
      <c r="I21" s="217">
        <v>131508</v>
      </c>
      <c r="J21" s="218"/>
      <c r="K21" s="218"/>
      <c r="L21" s="219"/>
      <c r="M21" s="220"/>
      <c r="N21" s="220"/>
    </row>
    <row r="22" spans="1:14" ht="16.5">
      <c r="A22" s="212">
        <v>1020</v>
      </c>
      <c r="B22" s="222" t="s">
        <v>19</v>
      </c>
      <c r="C22" s="223" t="s">
        <v>197</v>
      </c>
      <c r="D22" s="273">
        <v>269167</v>
      </c>
      <c r="E22" s="215">
        <v>249104</v>
      </c>
      <c r="F22" s="215">
        <v>242022</v>
      </c>
      <c r="G22" s="216">
        <v>228347</v>
      </c>
      <c r="H22" s="217">
        <v>220486</v>
      </c>
      <c r="I22" s="217">
        <v>199391</v>
      </c>
      <c r="J22" s="4"/>
      <c r="K22" s="4"/>
      <c r="L22" s="154"/>
      <c r="M22" s="155"/>
      <c r="N22" s="155"/>
    </row>
    <row r="23" spans="1:14" ht="16.5">
      <c r="A23" s="212">
        <v>1021</v>
      </c>
      <c r="B23" s="222" t="s">
        <v>20</v>
      </c>
      <c r="C23" s="223" t="s">
        <v>197</v>
      </c>
      <c r="D23" s="273">
        <v>172091</v>
      </c>
      <c r="E23" s="215">
        <v>161334</v>
      </c>
      <c r="F23" s="215">
        <v>153959</v>
      </c>
      <c r="G23" s="216">
        <v>148121</v>
      </c>
      <c r="H23" s="217">
        <v>143356</v>
      </c>
      <c r="I23" s="217">
        <v>135009</v>
      </c>
      <c r="J23" s="4"/>
      <c r="K23" s="4"/>
      <c r="L23" s="154"/>
      <c r="M23" s="155"/>
      <c r="N23" s="155"/>
    </row>
    <row r="24" spans="1:14" ht="16.5">
      <c r="A24" s="212">
        <v>1022</v>
      </c>
      <c r="B24" s="222" t="s">
        <v>21</v>
      </c>
      <c r="C24" s="223" t="s">
        <v>197</v>
      </c>
      <c r="D24" s="273">
        <v>170221</v>
      </c>
      <c r="E24" s="215">
        <v>159626</v>
      </c>
      <c r="F24" s="215">
        <v>151518</v>
      </c>
      <c r="G24" s="216">
        <v>146052</v>
      </c>
      <c r="H24" s="217">
        <v>141250</v>
      </c>
      <c r="I24" s="217">
        <v>134289</v>
      </c>
      <c r="J24" s="4"/>
      <c r="K24" s="4"/>
      <c r="L24" s="154"/>
      <c r="M24" s="155"/>
      <c r="N24" s="155"/>
    </row>
    <row r="25" spans="1:14" ht="16.5">
      <c r="A25" s="212">
        <v>1023</v>
      </c>
      <c r="B25" s="222" t="s">
        <v>22</v>
      </c>
      <c r="C25" s="223" t="s">
        <v>197</v>
      </c>
      <c r="D25" s="273">
        <v>188225</v>
      </c>
      <c r="E25" s="215">
        <v>175760</v>
      </c>
      <c r="F25" s="215">
        <v>169062</v>
      </c>
      <c r="G25" s="216">
        <v>163377</v>
      </c>
      <c r="H25" s="217">
        <v>158297</v>
      </c>
      <c r="I25" s="217">
        <v>148851</v>
      </c>
      <c r="J25" s="4"/>
      <c r="K25" s="4"/>
      <c r="L25" s="154"/>
      <c r="M25" s="155"/>
      <c r="N25" s="155"/>
    </row>
    <row r="26" spans="1:14" ht="16.5">
      <c r="A26" s="212">
        <v>1024</v>
      </c>
      <c r="B26" s="222" t="s">
        <v>23</v>
      </c>
      <c r="C26" s="223" t="s">
        <v>197</v>
      </c>
      <c r="D26" s="273">
        <v>175176</v>
      </c>
      <c r="E26" s="215">
        <v>163191</v>
      </c>
      <c r="F26" s="215">
        <v>157823</v>
      </c>
      <c r="G26" s="216">
        <v>151907</v>
      </c>
      <c r="H26" s="217">
        <v>147229</v>
      </c>
      <c r="I26" s="217">
        <v>139607</v>
      </c>
      <c r="J26" s="4"/>
      <c r="K26" s="4"/>
      <c r="L26" s="154"/>
      <c r="M26" s="155"/>
      <c r="N26" s="155"/>
    </row>
    <row r="27" spans="1:14" ht="16.5">
      <c r="A27" s="212">
        <v>1025</v>
      </c>
      <c r="B27" s="222" t="s">
        <v>24</v>
      </c>
      <c r="C27" s="223" t="s">
        <v>197</v>
      </c>
      <c r="D27" s="273">
        <v>167287</v>
      </c>
      <c r="E27" s="215">
        <v>155803</v>
      </c>
      <c r="F27" s="215">
        <v>148516</v>
      </c>
      <c r="G27" s="216">
        <v>143608</v>
      </c>
      <c r="H27" s="217">
        <v>139664</v>
      </c>
      <c r="I27" s="217">
        <v>133910</v>
      </c>
      <c r="J27" s="4"/>
      <c r="K27" s="4"/>
      <c r="L27" s="154"/>
      <c r="M27" s="155"/>
      <c r="N27" s="155"/>
    </row>
    <row r="28" spans="1:14" ht="16.5">
      <c r="A28" s="212">
        <v>1026</v>
      </c>
      <c r="B28" s="222" t="s">
        <v>25</v>
      </c>
      <c r="C28" s="223" t="s">
        <v>197</v>
      </c>
      <c r="D28" s="273">
        <v>139009</v>
      </c>
      <c r="E28" s="215">
        <v>130819</v>
      </c>
      <c r="F28" s="215">
        <v>126051</v>
      </c>
      <c r="G28" s="216">
        <v>120907</v>
      </c>
      <c r="H28" s="217">
        <v>116958</v>
      </c>
      <c r="I28" s="217">
        <v>110271</v>
      </c>
      <c r="J28" s="4"/>
      <c r="K28" s="4"/>
      <c r="L28" s="154"/>
      <c r="M28" s="155"/>
      <c r="N28" s="155"/>
    </row>
    <row r="29" spans="1:14" s="221" customFormat="1" ht="16.5">
      <c r="A29" s="212">
        <v>1027</v>
      </c>
      <c r="B29" s="213" t="s">
        <v>26</v>
      </c>
      <c r="C29" s="214" t="s">
        <v>197</v>
      </c>
      <c r="D29" s="273">
        <v>188228</v>
      </c>
      <c r="E29" s="215">
        <v>175547</v>
      </c>
      <c r="F29" s="215">
        <v>169508</v>
      </c>
      <c r="G29" s="216">
        <v>162424</v>
      </c>
      <c r="H29" s="217">
        <v>157810</v>
      </c>
      <c r="I29" s="217">
        <v>149091</v>
      </c>
      <c r="J29" s="218"/>
      <c r="K29" s="218"/>
      <c r="L29" s="219"/>
      <c r="M29" s="220"/>
      <c r="N29" s="220"/>
    </row>
    <row r="30" spans="1:14" ht="16.5">
      <c r="A30" s="212">
        <v>1028</v>
      </c>
      <c r="B30" s="222" t="s">
        <v>27</v>
      </c>
      <c r="C30" s="223" t="s">
        <v>197</v>
      </c>
      <c r="D30" s="273">
        <v>187087</v>
      </c>
      <c r="E30" s="215">
        <v>174390</v>
      </c>
      <c r="F30" s="215">
        <v>164998</v>
      </c>
      <c r="G30" s="216">
        <v>159509</v>
      </c>
      <c r="H30" s="217">
        <v>153735</v>
      </c>
      <c r="I30" s="217">
        <v>145574</v>
      </c>
      <c r="J30" s="4"/>
      <c r="K30" s="4"/>
      <c r="L30" s="154"/>
      <c r="M30" s="155"/>
      <c r="N30" s="155"/>
    </row>
    <row r="31" spans="1:14" ht="16.5">
      <c r="A31" s="212">
        <v>1029</v>
      </c>
      <c r="B31" s="222" t="s">
        <v>28</v>
      </c>
      <c r="C31" s="223" t="s">
        <v>197</v>
      </c>
      <c r="D31" s="273">
        <v>174277</v>
      </c>
      <c r="E31" s="215">
        <v>153890</v>
      </c>
      <c r="F31" s="215">
        <v>148659</v>
      </c>
      <c r="G31" s="216">
        <v>141733</v>
      </c>
      <c r="H31" s="217">
        <v>138445</v>
      </c>
      <c r="I31" s="217">
        <v>132552</v>
      </c>
      <c r="J31" s="4"/>
      <c r="K31" s="4"/>
      <c r="L31" s="154"/>
      <c r="M31" s="155"/>
      <c r="N31" s="155"/>
    </row>
    <row r="32" spans="1:14" ht="16.5">
      <c r="A32" s="212">
        <v>1030</v>
      </c>
      <c r="B32" s="222" t="s">
        <v>29</v>
      </c>
      <c r="C32" s="223" t="s">
        <v>197</v>
      </c>
      <c r="D32" s="273">
        <v>177322</v>
      </c>
      <c r="E32" s="215">
        <v>165367</v>
      </c>
      <c r="F32" s="215">
        <v>160195</v>
      </c>
      <c r="G32" s="216">
        <v>154536</v>
      </c>
      <c r="H32" s="217">
        <v>150050</v>
      </c>
      <c r="I32" s="217">
        <v>144150</v>
      </c>
      <c r="J32" s="4"/>
      <c r="K32" s="4"/>
      <c r="L32" s="154"/>
      <c r="M32" s="155"/>
      <c r="N32" s="155"/>
    </row>
    <row r="33" spans="1:14" ht="16.5">
      <c r="A33" s="212">
        <v>1031</v>
      </c>
      <c r="B33" s="222" t="s">
        <v>30</v>
      </c>
      <c r="C33" s="223" t="s">
        <v>197</v>
      </c>
      <c r="D33" s="273">
        <v>157719</v>
      </c>
      <c r="E33" s="215">
        <v>145618</v>
      </c>
      <c r="F33" s="215">
        <v>138737</v>
      </c>
      <c r="G33" s="216">
        <v>133325</v>
      </c>
      <c r="H33" s="217">
        <v>129887</v>
      </c>
      <c r="I33" s="217">
        <v>122699</v>
      </c>
      <c r="J33" s="4"/>
      <c r="K33" s="4"/>
      <c r="L33" s="154"/>
      <c r="M33" s="155"/>
      <c r="N33" s="155"/>
    </row>
    <row r="34" spans="1:14" ht="16.5">
      <c r="A34" s="212">
        <v>1032</v>
      </c>
      <c r="B34" s="222" t="s">
        <v>31</v>
      </c>
      <c r="C34" s="223" t="s">
        <v>197</v>
      </c>
      <c r="D34" s="273">
        <v>145883</v>
      </c>
      <c r="E34" s="215" t="s">
        <v>45</v>
      </c>
      <c r="F34" s="215">
        <v>135816</v>
      </c>
      <c r="G34" s="216">
        <v>129000</v>
      </c>
      <c r="H34" s="217">
        <v>126629</v>
      </c>
      <c r="I34" s="217">
        <v>121211</v>
      </c>
      <c r="J34" s="4"/>
      <c r="K34" s="4"/>
      <c r="L34" s="154"/>
      <c r="M34" s="155"/>
      <c r="N34" s="155"/>
    </row>
    <row r="35" spans="1:14" ht="16.5">
      <c r="A35" s="212">
        <v>1033</v>
      </c>
      <c r="B35" s="222" t="s">
        <v>32</v>
      </c>
      <c r="C35" s="223" t="s">
        <v>197</v>
      </c>
      <c r="D35" s="273">
        <v>190800</v>
      </c>
      <c r="E35" s="215">
        <v>173847</v>
      </c>
      <c r="F35" s="215">
        <v>168680</v>
      </c>
      <c r="G35" s="216">
        <v>162796</v>
      </c>
      <c r="H35" s="217">
        <v>157965</v>
      </c>
      <c r="I35" s="217">
        <v>151583</v>
      </c>
      <c r="J35" s="4"/>
      <c r="K35" s="4"/>
      <c r="L35" s="154"/>
      <c r="M35" s="155"/>
      <c r="N35" s="155"/>
    </row>
    <row r="36" spans="1:14" s="221" customFormat="1" ht="16.5">
      <c r="A36" s="212">
        <v>1034</v>
      </c>
      <c r="B36" s="213" t="s">
        <v>33</v>
      </c>
      <c r="C36" s="214" t="s">
        <v>197</v>
      </c>
      <c r="D36" s="273">
        <v>134900</v>
      </c>
      <c r="E36" s="215">
        <v>126890</v>
      </c>
      <c r="F36" s="215">
        <v>126210</v>
      </c>
      <c r="G36" s="216">
        <v>121906</v>
      </c>
      <c r="H36" s="217">
        <v>117880</v>
      </c>
      <c r="I36" s="217">
        <v>114424</v>
      </c>
      <c r="J36" s="218"/>
      <c r="K36" s="218"/>
      <c r="L36" s="219"/>
      <c r="M36" s="220"/>
      <c r="N36" s="220"/>
    </row>
    <row r="37" spans="1:14" ht="16.5">
      <c r="A37" s="212">
        <v>1035</v>
      </c>
      <c r="B37" s="222" t="s">
        <v>34</v>
      </c>
      <c r="C37" s="223" t="s">
        <v>197</v>
      </c>
      <c r="D37" s="273">
        <v>160436</v>
      </c>
      <c r="E37" s="215">
        <v>152318</v>
      </c>
      <c r="F37" s="215">
        <v>146994</v>
      </c>
      <c r="G37" s="216">
        <v>141394</v>
      </c>
      <c r="H37" s="217">
        <v>137435</v>
      </c>
      <c r="I37" s="217">
        <v>132250</v>
      </c>
      <c r="J37" s="4"/>
      <c r="K37" s="4"/>
      <c r="L37" s="154"/>
      <c r="M37" s="155"/>
      <c r="N37" s="155"/>
    </row>
    <row r="38" spans="1:14" ht="16.5">
      <c r="A38" s="212">
        <v>1036</v>
      </c>
      <c r="B38" s="222" t="s">
        <v>35</v>
      </c>
      <c r="C38" s="223" t="s">
        <v>197</v>
      </c>
      <c r="D38" s="273">
        <v>155527</v>
      </c>
      <c r="E38" s="215">
        <v>155855</v>
      </c>
      <c r="F38" s="215">
        <v>150969</v>
      </c>
      <c r="G38" s="216">
        <v>144009</v>
      </c>
      <c r="H38" s="217">
        <v>141063</v>
      </c>
      <c r="I38" s="217">
        <v>133189</v>
      </c>
      <c r="J38" s="4"/>
      <c r="K38" s="4"/>
      <c r="L38" s="154"/>
      <c r="M38" s="155"/>
      <c r="N38" s="155"/>
    </row>
    <row r="39" spans="1:14" ht="16.5">
      <c r="A39" s="212">
        <v>1037</v>
      </c>
      <c r="B39" s="222" t="s">
        <v>36</v>
      </c>
      <c r="C39" s="223" t="s">
        <v>197</v>
      </c>
      <c r="D39" s="273">
        <v>162884</v>
      </c>
      <c r="E39" s="215" t="s">
        <v>45</v>
      </c>
      <c r="F39" s="215">
        <v>153571</v>
      </c>
      <c r="G39" s="216">
        <v>144976</v>
      </c>
      <c r="H39" s="217">
        <v>139681</v>
      </c>
      <c r="I39" s="217">
        <v>133882</v>
      </c>
      <c r="J39" s="4"/>
      <c r="K39" s="4"/>
      <c r="L39" s="154"/>
      <c r="M39" s="155"/>
      <c r="N39" s="155"/>
    </row>
    <row r="40" spans="1:14" ht="16.5">
      <c r="A40" s="212">
        <v>1038</v>
      </c>
      <c r="B40" s="222" t="s">
        <v>37</v>
      </c>
      <c r="C40" s="223" t="s">
        <v>197</v>
      </c>
      <c r="D40" s="273">
        <v>159410</v>
      </c>
      <c r="E40" s="215">
        <v>147733</v>
      </c>
      <c r="F40" s="215">
        <v>147748</v>
      </c>
      <c r="G40" s="216">
        <v>143852</v>
      </c>
      <c r="H40" s="217">
        <v>137988</v>
      </c>
      <c r="I40" s="217">
        <v>135114</v>
      </c>
      <c r="J40" s="4"/>
      <c r="K40" s="4"/>
      <c r="L40" s="154"/>
      <c r="M40" s="155"/>
      <c r="N40" s="155"/>
    </row>
    <row r="41" spans="1:14" ht="16.5">
      <c r="A41" s="212">
        <v>1039</v>
      </c>
      <c r="B41" s="222" t="s">
        <v>38</v>
      </c>
      <c r="C41" s="223" t="s">
        <v>197</v>
      </c>
      <c r="D41" s="273">
        <v>163004</v>
      </c>
      <c r="E41" s="215">
        <v>148689</v>
      </c>
      <c r="F41" s="215">
        <v>143420</v>
      </c>
      <c r="G41" s="216">
        <v>137910</v>
      </c>
      <c r="H41" s="217">
        <v>134427</v>
      </c>
      <c r="I41" s="217">
        <v>125901</v>
      </c>
      <c r="J41" s="4"/>
      <c r="K41" s="4"/>
      <c r="L41" s="154"/>
      <c r="M41" s="155"/>
      <c r="N41" s="155"/>
    </row>
    <row r="42" spans="1:14" ht="16.5">
      <c r="A42" s="212">
        <v>1040</v>
      </c>
      <c r="B42" s="222" t="s">
        <v>39</v>
      </c>
      <c r="C42" s="223" t="s">
        <v>197</v>
      </c>
      <c r="D42" s="273">
        <v>177266</v>
      </c>
      <c r="E42" s="215">
        <v>163848</v>
      </c>
      <c r="F42" s="215">
        <v>158481</v>
      </c>
      <c r="G42" s="216">
        <v>149515</v>
      </c>
      <c r="H42" s="217">
        <v>143391</v>
      </c>
      <c r="I42" s="217">
        <v>140704</v>
      </c>
      <c r="J42" s="4"/>
      <c r="K42" s="4"/>
      <c r="L42" s="154"/>
      <c r="M42" s="155"/>
      <c r="N42" s="155"/>
    </row>
    <row r="43" spans="1:14" ht="16.5">
      <c r="A43" s="212">
        <v>1041</v>
      </c>
      <c r="B43" s="222" t="s">
        <v>40</v>
      </c>
      <c r="C43" s="223" t="s">
        <v>197</v>
      </c>
      <c r="D43" s="273">
        <v>159406</v>
      </c>
      <c r="E43" s="215">
        <v>147079</v>
      </c>
      <c r="F43" s="215">
        <v>142144</v>
      </c>
      <c r="G43" s="216">
        <v>136450</v>
      </c>
      <c r="H43" s="217">
        <v>130838</v>
      </c>
      <c r="I43" s="217">
        <v>125520</v>
      </c>
      <c r="J43" s="4"/>
      <c r="K43" s="4"/>
      <c r="L43" s="154"/>
      <c r="M43" s="155"/>
      <c r="N43" s="155"/>
    </row>
    <row r="44" spans="1:14" ht="16.5">
      <c r="A44" s="212">
        <v>1042</v>
      </c>
      <c r="B44" s="222" t="s">
        <v>41</v>
      </c>
      <c r="C44" s="223" t="s">
        <v>197</v>
      </c>
      <c r="D44" s="273">
        <v>153392</v>
      </c>
      <c r="E44" s="215">
        <v>141618</v>
      </c>
      <c r="F44" s="215">
        <v>136613</v>
      </c>
      <c r="G44" s="216">
        <v>131450</v>
      </c>
      <c r="H44" s="217">
        <v>126225</v>
      </c>
      <c r="I44" s="217">
        <v>121038</v>
      </c>
      <c r="J44" s="4"/>
      <c r="K44" s="4"/>
      <c r="L44" s="154"/>
      <c r="M44" s="155"/>
      <c r="N44" s="155"/>
    </row>
    <row r="45" spans="1:14" ht="16.5">
      <c r="A45" s="212">
        <v>1043</v>
      </c>
      <c r="B45" s="222" t="s">
        <v>42</v>
      </c>
      <c r="C45" s="223" t="s">
        <v>197</v>
      </c>
      <c r="D45" s="273">
        <v>147452</v>
      </c>
      <c r="E45" s="215">
        <v>137653</v>
      </c>
      <c r="F45" s="215">
        <v>130860</v>
      </c>
      <c r="G45" s="216">
        <v>126874</v>
      </c>
      <c r="H45" s="217">
        <v>122054</v>
      </c>
      <c r="I45" s="217">
        <v>116121</v>
      </c>
      <c r="J45" s="4"/>
      <c r="K45" s="4"/>
      <c r="L45" s="154"/>
      <c r="M45" s="155"/>
      <c r="N45" s="155"/>
    </row>
    <row r="46" spans="1:14" ht="16.5">
      <c r="A46" s="212">
        <v>1044</v>
      </c>
      <c r="B46" s="222" t="s">
        <v>43</v>
      </c>
      <c r="C46" s="223" t="s">
        <v>197</v>
      </c>
      <c r="D46" s="273">
        <v>147179</v>
      </c>
      <c r="E46" s="215">
        <v>133195</v>
      </c>
      <c r="F46" s="215">
        <v>127821</v>
      </c>
      <c r="G46" s="216">
        <v>123174</v>
      </c>
      <c r="H46" s="217">
        <v>118712</v>
      </c>
      <c r="I46" s="217">
        <v>112777</v>
      </c>
      <c r="J46" s="4"/>
      <c r="K46" s="4"/>
      <c r="L46" s="4"/>
      <c r="M46" s="155"/>
      <c r="N46" s="155"/>
    </row>
    <row r="47" spans="1:14" s="221" customFormat="1" ht="16.5">
      <c r="A47" s="212">
        <v>1045</v>
      </c>
      <c r="B47" s="213" t="s">
        <v>44</v>
      </c>
      <c r="C47" s="214" t="s">
        <v>197</v>
      </c>
      <c r="D47" s="273">
        <v>131775</v>
      </c>
      <c r="E47" s="215">
        <v>124911</v>
      </c>
      <c r="F47" s="215">
        <v>120074</v>
      </c>
      <c r="G47" s="216">
        <v>113766</v>
      </c>
      <c r="H47" s="217">
        <v>110197</v>
      </c>
      <c r="I47" s="217">
        <v>104748</v>
      </c>
      <c r="J47" s="218"/>
      <c r="K47" s="218"/>
      <c r="L47" s="219"/>
      <c r="M47" s="220"/>
      <c r="N47" s="220"/>
    </row>
    <row r="48" spans="1:14" ht="16.5">
      <c r="A48" s="212">
        <v>1046</v>
      </c>
      <c r="B48" s="222" t="s">
        <v>46</v>
      </c>
      <c r="C48" s="223" t="s">
        <v>197</v>
      </c>
      <c r="D48" s="273">
        <v>140101</v>
      </c>
      <c r="E48" s="215">
        <v>130850</v>
      </c>
      <c r="F48" s="215">
        <v>125226</v>
      </c>
      <c r="G48" s="216">
        <v>121380</v>
      </c>
      <c r="H48" s="217">
        <v>118155</v>
      </c>
      <c r="I48" s="217">
        <v>110698</v>
      </c>
      <c r="J48" s="4"/>
      <c r="K48" s="4"/>
      <c r="L48" s="154"/>
      <c r="M48" s="155"/>
      <c r="N48" s="155"/>
    </row>
    <row r="49" spans="1:14" s="221" customFormat="1" ht="16.5">
      <c r="A49" s="212">
        <v>1047</v>
      </c>
      <c r="B49" s="213" t="s">
        <v>47</v>
      </c>
      <c r="C49" s="214" t="s">
        <v>197</v>
      </c>
      <c r="D49" s="273">
        <v>150798</v>
      </c>
      <c r="E49" s="215">
        <v>138494</v>
      </c>
      <c r="F49" s="215">
        <v>131364</v>
      </c>
      <c r="G49" s="216">
        <v>126645</v>
      </c>
      <c r="H49" s="217">
        <v>122763</v>
      </c>
      <c r="I49" s="217">
        <v>113244</v>
      </c>
      <c r="J49" s="218"/>
      <c r="K49" s="218"/>
      <c r="L49" s="219"/>
      <c r="M49" s="220"/>
      <c r="N49" s="220"/>
    </row>
    <row r="50" spans="1:14" s="221" customFormat="1" ht="16.5">
      <c r="A50" s="212">
        <v>1048</v>
      </c>
      <c r="B50" s="213" t="s">
        <v>48</v>
      </c>
      <c r="C50" s="214" t="s">
        <v>197</v>
      </c>
      <c r="D50" s="273">
        <v>181074</v>
      </c>
      <c r="E50" s="215">
        <v>162022</v>
      </c>
      <c r="F50" s="215">
        <v>154499</v>
      </c>
      <c r="G50" s="216">
        <v>148613</v>
      </c>
      <c r="H50" s="217">
        <v>143601</v>
      </c>
      <c r="I50" s="217">
        <v>135644</v>
      </c>
      <c r="J50" s="218"/>
      <c r="K50" s="218"/>
      <c r="L50" s="219"/>
      <c r="M50" s="220"/>
      <c r="N50" s="220"/>
    </row>
    <row r="51" spans="1:14" s="221" customFormat="1" ht="16.5">
      <c r="A51" s="212">
        <v>1049</v>
      </c>
      <c r="B51" s="213" t="s">
        <v>49</v>
      </c>
      <c r="C51" s="214" t="s">
        <v>197</v>
      </c>
      <c r="D51" s="273">
        <v>149306</v>
      </c>
      <c r="E51" s="215">
        <v>138151</v>
      </c>
      <c r="F51" s="215">
        <v>133521</v>
      </c>
      <c r="G51" s="216">
        <v>128673</v>
      </c>
      <c r="H51" s="217">
        <v>125031</v>
      </c>
      <c r="I51" s="217">
        <v>122499</v>
      </c>
      <c r="J51" s="218"/>
      <c r="K51" s="218"/>
      <c r="L51" s="219"/>
      <c r="M51" s="220"/>
      <c r="N51" s="220"/>
    </row>
    <row r="52" spans="1:14" s="221" customFormat="1" ht="16.5">
      <c r="A52" s="212">
        <v>1050</v>
      </c>
      <c r="B52" s="213" t="s">
        <v>50</v>
      </c>
      <c r="C52" s="214" t="s">
        <v>197</v>
      </c>
      <c r="D52" s="273">
        <v>117754</v>
      </c>
      <c r="E52" s="215">
        <v>118763</v>
      </c>
      <c r="F52" s="215">
        <v>110000</v>
      </c>
      <c r="G52" s="216">
        <v>106400</v>
      </c>
      <c r="H52" s="217">
        <v>101844</v>
      </c>
      <c r="I52" s="217">
        <v>96512</v>
      </c>
      <c r="J52" s="218"/>
      <c r="K52" s="218"/>
      <c r="L52" s="219"/>
      <c r="M52" s="220"/>
      <c r="N52" s="220"/>
    </row>
    <row r="53" spans="1:14" ht="16.5">
      <c r="A53" s="212">
        <v>1051</v>
      </c>
      <c r="B53" s="222" t="s">
        <v>51</v>
      </c>
      <c r="C53" s="223" t="s">
        <v>197</v>
      </c>
      <c r="D53" s="273">
        <v>153426</v>
      </c>
      <c r="E53" s="215">
        <v>145131</v>
      </c>
      <c r="F53" s="215">
        <v>140008</v>
      </c>
      <c r="G53" s="216">
        <v>135407</v>
      </c>
      <c r="H53" s="217">
        <v>131319</v>
      </c>
      <c r="I53" s="217">
        <v>124953</v>
      </c>
      <c r="J53" s="4"/>
      <c r="K53" s="4"/>
      <c r="L53" s="154"/>
      <c r="M53" s="155"/>
      <c r="N53" s="155"/>
    </row>
    <row r="54" spans="1:14" ht="16.5">
      <c r="A54" s="212">
        <v>1052</v>
      </c>
      <c r="B54" s="222" t="s">
        <v>52</v>
      </c>
      <c r="C54" s="223" t="s">
        <v>197</v>
      </c>
      <c r="D54" s="273">
        <v>149178</v>
      </c>
      <c r="E54" s="215" t="s">
        <v>45</v>
      </c>
      <c r="F54" s="215">
        <v>136571</v>
      </c>
      <c r="G54" s="216">
        <v>131924</v>
      </c>
      <c r="H54" s="217" t="s">
        <v>45</v>
      </c>
      <c r="I54" s="217" t="s">
        <v>45</v>
      </c>
      <c r="J54" s="4"/>
      <c r="K54" s="4"/>
      <c r="L54" s="154"/>
      <c r="M54" s="155"/>
      <c r="N54" s="155"/>
    </row>
    <row r="55" spans="1:14" ht="16.5">
      <c r="A55" s="212">
        <v>1053</v>
      </c>
      <c r="B55" s="222" t="s">
        <v>53</v>
      </c>
      <c r="C55" s="223" t="s">
        <v>197</v>
      </c>
      <c r="D55" s="273">
        <v>141301</v>
      </c>
      <c r="E55" s="215" t="s">
        <v>45</v>
      </c>
      <c r="F55" s="215">
        <v>129869</v>
      </c>
      <c r="G55" s="216">
        <v>125150</v>
      </c>
      <c r="H55" s="217" t="s">
        <v>45</v>
      </c>
      <c r="I55" s="217" t="s">
        <v>45</v>
      </c>
      <c r="J55" s="4"/>
      <c r="K55" s="4"/>
      <c r="L55" s="154"/>
      <c r="M55" s="155"/>
      <c r="N55" s="155"/>
    </row>
    <row r="56" spans="1:14" ht="16.5">
      <c r="A56" s="212">
        <v>1054</v>
      </c>
      <c r="B56" s="222" t="s">
        <v>54</v>
      </c>
      <c r="C56" s="223" t="s">
        <v>197</v>
      </c>
      <c r="D56" s="273">
        <v>126892</v>
      </c>
      <c r="E56" s="215">
        <v>119424</v>
      </c>
      <c r="F56" s="215" t="s">
        <v>251</v>
      </c>
      <c r="G56" s="216">
        <v>112007</v>
      </c>
      <c r="H56" s="217" t="s">
        <v>45</v>
      </c>
      <c r="I56" s="217" t="s">
        <v>45</v>
      </c>
      <c r="J56" s="4"/>
      <c r="K56" s="4"/>
      <c r="L56" s="154"/>
      <c r="M56" s="155"/>
      <c r="N56" s="155"/>
    </row>
    <row r="57" spans="1:14" ht="16.5">
      <c r="A57" s="212">
        <v>1055</v>
      </c>
      <c r="B57" s="222" t="s">
        <v>55</v>
      </c>
      <c r="C57" s="223" t="s">
        <v>197</v>
      </c>
      <c r="D57" s="273">
        <v>125707</v>
      </c>
      <c r="E57" s="215">
        <v>118553</v>
      </c>
      <c r="F57" s="215">
        <v>114850</v>
      </c>
      <c r="G57" s="216">
        <v>110424</v>
      </c>
      <c r="H57" s="217" t="s">
        <v>45</v>
      </c>
      <c r="I57" s="217">
        <v>108000</v>
      </c>
      <c r="J57" s="4"/>
      <c r="K57" s="4"/>
      <c r="L57" s="154"/>
      <c r="M57" s="155"/>
      <c r="N57" s="155"/>
    </row>
    <row r="58" spans="1:14" ht="16.5">
      <c r="A58" s="212">
        <v>1056</v>
      </c>
      <c r="B58" s="222" t="s">
        <v>56</v>
      </c>
      <c r="C58" s="223" t="s">
        <v>197</v>
      </c>
      <c r="D58" s="273">
        <v>240654</v>
      </c>
      <c r="E58" s="215">
        <v>227813</v>
      </c>
      <c r="F58" s="215">
        <v>234786</v>
      </c>
      <c r="G58" s="216">
        <v>236621</v>
      </c>
      <c r="H58" s="217">
        <v>228165</v>
      </c>
      <c r="I58" s="217">
        <v>215183</v>
      </c>
      <c r="J58" s="4"/>
      <c r="K58" s="4"/>
      <c r="L58" s="154"/>
      <c r="M58" s="155"/>
      <c r="N58" s="155"/>
    </row>
    <row r="59" spans="1:14" ht="16.5">
      <c r="A59" s="212">
        <v>1057</v>
      </c>
      <c r="B59" s="222" t="s">
        <v>57</v>
      </c>
      <c r="C59" s="223" t="s">
        <v>197</v>
      </c>
      <c r="D59" s="273">
        <v>208835</v>
      </c>
      <c r="E59" s="215">
        <v>202953</v>
      </c>
      <c r="F59" s="215">
        <v>193931</v>
      </c>
      <c r="G59" s="216">
        <v>194858</v>
      </c>
      <c r="H59" s="217">
        <v>186570</v>
      </c>
      <c r="I59" s="217">
        <v>181919</v>
      </c>
      <c r="J59" s="4"/>
      <c r="K59" s="4"/>
      <c r="L59" s="154"/>
      <c r="M59" s="155"/>
      <c r="N59" s="155"/>
    </row>
    <row r="60" spans="1:14" ht="16.5">
      <c r="A60" s="212">
        <v>1058</v>
      </c>
      <c r="B60" s="222" t="s">
        <v>58</v>
      </c>
      <c r="C60" s="223" t="s">
        <v>197</v>
      </c>
      <c r="D60" s="273">
        <v>214751</v>
      </c>
      <c r="E60" s="215">
        <v>211791</v>
      </c>
      <c r="F60" s="215">
        <v>218675</v>
      </c>
      <c r="G60" s="216">
        <v>221554</v>
      </c>
      <c r="H60" s="217">
        <v>214492</v>
      </c>
      <c r="I60" s="217">
        <v>206005</v>
      </c>
      <c r="J60" s="4"/>
      <c r="K60" s="4"/>
      <c r="L60" s="154"/>
      <c r="M60" s="155"/>
      <c r="N60" s="155"/>
    </row>
    <row r="61" spans="1:14" ht="16.5">
      <c r="A61" s="212">
        <v>1059</v>
      </c>
      <c r="B61" s="222" t="s">
        <v>59</v>
      </c>
      <c r="C61" s="223" t="s">
        <v>197</v>
      </c>
      <c r="D61" s="273">
        <v>245943</v>
      </c>
      <c r="E61" s="215">
        <v>242882</v>
      </c>
      <c r="F61" s="215">
        <v>236835</v>
      </c>
      <c r="G61" s="216">
        <v>238468</v>
      </c>
      <c r="H61" s="217" t="s">
        <v>45</v>
      </c>
      <c r="I61" s="217">
        <v>238902</v>
      </c>
      <c r="J61" s="4"/>
      <c r="K61" s="4"/>
      <c r="L61" s="154"/>
      <c r="M61" s="155"/>
      <c r="N61" s="155"/>
    </row>
    <row r="62" spans="1:14" ht="16.5">
      <c r="A62" s="212">
        <v>1060</v>
      </c>
      <c r="B62" s="222" t="s">
        <v>60</v>
      </c>
      <c r="C62" s="223" t="s">
        <v>197</v>
      </c>
      <c r="D62" s="273">
        <v>218777</v>
      </c>
      <c r="E62" s="215">
        <v>217129</v>
      </c>
      <c r="F62" s="215">
        <v>215100</v>
      </c>
      <c r="G62" s="216">
        <v>216166</v>
      </c>
      <c r="H62" s="217">
        <v>208455</v>
      </c>
      <c r="I62" s="217">
        <v>208340</v>
      </c>
      <c r="J62" s="4"/>
      <c r="K62" s="4"/>
      <c r="L62" s="156"/>
      <c r="M62" s="155"/>
      <c r="N62" s="155"/>
    </row>
    <row r="63" spans="1:14" ht="16.5">
      <c r="A63" s="212">
        <v>1061</v>
      </c>
      <c r="B63" s="222" t="s">
        <v>61</v>
      </c>
      <c r="C63" s="223" t="s">
        <v>197</v>
      </c>
      <c r="D63" s="273">
        <v>167839</v>
      </c>
      <c r="E63" s="215">
        <v>158269</v>
      </c>
      <c r="F63" s="215">
        <v>150630</v>
      </c>
      <c r="G63" s="216">
        <v>150555</v>
      </c>
      <c r="H63" s="217">
        <v>144628</v>
      </c>
      <c r="I63" s="217">
        <v>137324</v>
      </c>
      <c r="J63" s="4"/>
      <c r="K63" s="4"/>
      <c r="L63" s="154"/>
      <c r="M63" s="155"/>
      <c r="N63" s="155"/>
    </row>
    <row r="64" spans="1:14" ht="16.5">
      <c r="A64" s="212">
        <v>1062</v>
      </c>
      <c r="B64" s="222" t="s">
        <v>62</v>
      </c>
      <c r="C64" s="223" t="s">
        <v>197</v>
      </c>
      <c r="D64" s="273">
        <v>257060</v>
      </c>
      <c r="E64" s="215">
        <v>251985</v>
      </c>
      <c r="F64" s="215">
        <v>251985</v>
      </c>
      <c r="G64" s="216">
        <v>239501</v>
      </c>
      <c r="H64" s="217">
        <v>232364</v>
      </c>
      <c r="I64" s="217">
        <v>220324</v>
      </c>
      <c r="J64" s="4"/>
      <c r="K64" s="4"/>
      <c r="L64" s="154"/>
      <c r="M64" s="155"/>
      <c r="N64" s="155"/>
    </row>
    <row r="65" spans="1:14" ht="16.5">
      <c r="A65" s="212">
        <v>1063</v>
      </c>
      <c r="B65" s="222" t="s">
        <v>63</v>
      </c>
      <c r="C65" s="223" t="s">
        <v>197</v>
      </c>
      <c r="D65" s="273">
        <v>184732</v>
      </c>
      <c r="E65" s="215">
        <v>182976</v>
      </c>
      <c r="F65" s="215">
        <v>179406</v>
      </c>
      <c r="G65" s="216">
        <v>167787</v>
      </c>
      <c r="H65" s="217">
        <v>167232</v>
      </c>
      <c r="I65" s="217">
        <v>162516</v>
      </c>
      <c r="J65" s="4"/>
      <c r="K65" s="4"/>
      <c r="L65" s="154"/>
      <c r="M65" s="155"/>
      <c r="N65" s="155"/>
    </row>
    <row r="66" spans="1:14" s="10" customFormat="1" ht="16.5">
      <c r="A66" s="212">
        <v>1064</v>
      </c>
      <c r="B66" s="222" t="s">
        <v>64</v>
      </c>
      <c r="C66" s="223" t="s">
        <v>197</v>
      </c>
      <c r="D66" s="273" t="s">
        <v>251</v>
      </c>
      <c r="E66" s="215">
        <v>160714</v>
      </c>
      <c r="F66" s="215" t="s">
        <v>251</v>
      </c>
      <c r="G66" s="216">
        <v>152204</v>
      </c>
      <c r="H66" s="217" t="s">
        <v>45</v>
      </c>
      <c r="I66" s="217">
        <v>148990</v>
      </c>
      <c r="J66" s="4"/>
      <c r="K66" s="4"/>
      <c r="L66" s="154"/>
      <c r="M66" s="155"/>
      <c r="N66" s="155"/>
    </row>
    <row r="67" spans="1:14" s="10" customFormat="1" ht="16.5">
      <c r="A67" s="212">
        <v>1065</v>
      </c>
      <c r="B67" s="222" t="s">
        <v>65</v>
      </c>
      <c r="C67" s="223" t="s">
        <v>197</v>
      </c>
      <c r="D67" s="273">
        <v>227973</v>
      </c>
      <c r="E67" s="215">
        <v>214681</v>
      </c>
      <c r="F67" s="215">
        <v>207593</v>
      </c>
      <c r="G67" s="216">
        <v>209797</v>
      </c>
      <c r="H67" s="217">
        <v>218315</v>
      </c>
      <c r="I67" s="217">
        <v>207683</v>
      </c>
      <c r="J67" s="4"/>
      <c r="K67" s="4"/>
      <c r="L67" s="154"/>
      <c r="M67" s="155"/>
      <c r="N67" s="155"/>
    </row>
    <row r="68" spans="1:14" s="10" customFormat="1" ht="16.5">
      <c r="A68" s="212">
        <v>1066</v>
      </c>
      <c r="B68" s="222" t="s">
        <v>66</v>
      </c>
      <c r="C68" s="223" t="s">
        <v>197</v>
      </c>
      <c r="D68" s="273">
        <v>237472</v>
      </c>
      <c r="E68" s="215">
        <v>235955</v>
      </c>
      <c r="F68" s="215">
        <v>232456</v>
      </c>
      <c r="G68" s="216">
        <v>233372</v>
      </c>
      <c r="H68" s="217">
        <v>233932</v>
      </c>
      <c r="I68" s="217">
        <v>227911</v>
      </c>
      <c r="J68" s="4"/>
      <c r="K68" s="4"/>
      <c r="L68" s="154"/>
      <c r="M68" s="155"/>
      <c r="N68" s="155"/>
    </row>
    <row r="69" spans="1:14" s="10" customFormat="1" ht="16.5">
      <c r="A69" s="212">
        <v>1067</v>
      </c>
      <c r="B69" s="222" t="s">
        <v>67</v>
      </c>
      <c r="C69" s="223" t="s">
        <v>197</v>
      </c>
      <c r="D69" s="273">
        <v>272157</v>
      </c>
      <c r="E69" s="215">
        <v>252642</v>
      </c>
      <c r="F69" s="215">
        <v>244733</v>
      </c>
      <c r="G69" s="216">
        <v>236018</v>
      </c>
      <c r="H69" s="217">
        <v>228210</v>
      </c>
      <c r="I69" s="217">
        <v>215672</v>
      </c>
      <c r="J69" s="4"/>
      <c r="K69" s="4"/>
      <c r="L69" s="154"/>
      <c r="M69" s="155"/>
      <c r="N69" s="155"/>
    </row>
    <row r="70" spans="1:14" s="10" customFormat="1" ht="16.5">
      <c r="A70" s="212">
        <v>1068</v>
      </c>
      <c r="B70" s="222" t="s">
        <v>68</v>
      </c>
      <c r="C70" s="223" t="s">
        <v>197</v>
      </c>
      <c r="D70" s="273">
        <v>165589</v>
      </c>
      <c r="E70" s="215">
        <v>163055</v>
      </c>
      <c r="F70" s="215">
        <v>157891</v>
      </c>
      <c r="G70" s="216">
        <v>151429</v>
      </c>
      <c r="H70" s="217">
        <v>145116</v>
      </c>
      <c r="I70" s="217">
        <v>141211</v>
      </c>
      <c r="J70" s="4"/>
      <c r="K70" s="4"/>
      <c r="L70" s="154"/>
      <c r="M70" s="155"/>
      <c r="N70" s="155"/>
    </row>
    <row r="71" spans="1:14" s="10" customFormat="1" ht="16.5">
      <c r="A71" s="212">
        <v>1069</v>
      </c>
      <c r="B71" s="222" t="s">
        <v>69</v>
      </c>
      <c r="C71" s="223" t="s">
        <v>197</v>
      </c>
      <c r="D71" s="273">
        <v>149200</v>
      </c>
      <c r="E71" s="215">
        <v>145529</v>
      </c>
      <c r="F71" s="215">
        <v>140800</v>
      </c>
      <c r="G71" s="216">
        <v>134065</v>
      </c>
      <c r="H71" s="217">
        <v>128297</v>
      </c>
      <c r="I71" s="217">
        <v>121054</v>
      </c>
      <c r="J71" s="4"/>
      <c r="K71" s="4"/>
      <c r="L71" s="154"/>
      <c r="M71" s="155"/>
      <c r="N71" s="155"/>
    </row>
    <row r="72" spans="1:14" s="10" customFormat="1" ht="16.5">
      <c r="A72" s="212">
        <v>1070</v>
      </c>
      <c r="B72" s="222" t="s">
        <v>70</v>
      </c>
      <c r="C72" s="223" t="s">
        <v>197</v>
      </c>
      <c r="D72" s="273">
        <v>136237</v>
      </c>
      <c r="E72" s="215">
        <v>133063</v>
      </c>
      <c r="F72" s="215">
        <v>128520</v>
      </c>
      <c r="G72" s="216">
        <v>122121</v>
      </c>
      <c r="H72" s="217">
        <v>117817</v>
      </c>
      <c r="I72" s="217">
        <v>113011</v>
      </c>
      <c r="J72" s="4"/>
      <c r="K72" s="4"/>
      <c r="L72" s="154"/>
      <c r="M72" s="155"/>
      <c r="N72" s="155"/>
    </row>
    <row r="73" spans="1:14" s="10" customFormat="1" ht="16.5">
      <c r="A73" s="212">
        <v>1071</v>
      </c>
      <c r="B73" s="222" t="s">
        <v>71</v>
      </c>
      <c r="C73" s="223" t="s">
        <v>197</v>
      </c>
      <c r="D73" s="273">
        <v>124164</v>
      </c>
      <c r="E73" s="215">
        <v>120681</v>
      </c>
      <c r="F73" s="215">
        <v>114770</v>
      </c>
      <c r="G73" s="216">
        <v>110001</v>
      </c>
      <c r="H73" s="217">
        <v>105716</v>
      </c>
      <c r="I73" s="217">
        <v>99902</v>
      </c>
      <c r="J73" s="4"/>
      <c r="K73" s="4"/>
      <c r="L73" s="154"/>
      <c r="M73" s="155"/>
      <c r="N73" s="155"/>
    </row>
    <row r="74" spans="1:14" s="10" customFormat="1" ht="16.5">
      <c r="A74" s="212">
        <v>1072</v>
      </c>
      <c r="B74" s="222" t="s">
        <v>72</v>
      </c>
      <c r="C74" s="223" t="s">
        <v>197</v>
      </c>
      <c r="D74" s="273">
        <v>236123</v>
      </c>
      <c r="E74" s="215">
        <v>236268</v>
      </c>
      <c r="F74" s="215">
        <v>237460</v>
      </c>
      <c r="G74" s="216">
        <v>223382</v>
      </c>
      <c r="H74" s="217">
        <v>223006</v>
      </c>
      <c r="I74" s="217">
        <v>206417</v>
      </c>
      <c r="J74" s="4"/>
      <c r="K74" s="4"/>
      <c r="L74" s="154"/>
      <c r="M74" s="155"/>
      <c r="N74" s="155"/>
    </row>
    <row r="75" spans="1:14" s="10" customFormat="1" ht="16.5">
      <c r="A75" s="212">
        <v>1073</v>
      </c>
      <c r="B75" s="222" t="s">
        <v>73</v>
      </c>
      <c r="C75" s="223" t="s">
        <v>197</v>
      </c>
      <c r="D75" s="273">
        <v>205702</v>
      </c>
      <c r="E75" s="215">
        <v>205925</v>
      </c>
      <c r="F75" s="215">
        <v>205029</v>
      </c>
      <c r="G75" s="216">
        <v>192665</v>
      </c>
      <c r="H75" s="217">
        <v>190980</v>
      </c>
      <c r="I75" s="217">
        <v>176057</v>
      </c>
      <c r="J75" s="4"/>
      <c r="K75" s="4"/>
      <c r="L75" s="154"/>
      <c r="M75" s="155"/>
      <c r="N75" s="155"/>
    </row>
    <row r="76" spans="1:14" s="10" customFormat="1" ht="16.5">
      <c r="A76" s="212">
        <v>1074</v>
      </c>
      <c r="B76" s="222" t="s">
        <v>74</v>
      </c>
      <c r="C76" s="223" t="s">
        <v>197</v>
      </c>
      <c r="D76" s="273">
        <v>173700</v>
      </c>
      <c r="E76" s="215">
        <v>174105</v>
      </c>
      <c r="F76" s="215">
        <v>174452</v>
      </c>
      <c r="G76" s="216">
        <v>169586</v>
      </c>
      <c r="H76" s="217">
        <v>163334</v>
      </c>
      <c r="I76" s="217">
        <v>152797</v>
      </c>
      <c r="J76" s="4"/>
      <c r="K76" s="4"/>
      <c r="L76" s="154"/>
      <c r="M76" s="155"/>
      <c r="N76" s="155"/>
    </row>
    <row r="77" spans="1:14" s="224" customFormat="1" ht="16.5">
      <c r="A77" s="212">
        <v>1075</v>
      </c>
      <c r="B77" s="213" t="s">
        <v>193</v>
      </c>
      <c r="C77" s="214" t="s">
        <v>197</v>
      </c>
      <c r="D77" s="273">
        <v>212226</v>
      </c>
      <c r="E77" s="215">
        <v>199157</v>
      </c>
      <c r="F77" s="215">
        <v>191336</v>
      </c>
      <c r="G77" s="216">
        <v>185611</v>
      </c>
      <c r="H77" s="217">
        <v>179883</v>
      </c>
      <c r="I77" s="217">
        <v>169202</v>
      </c>
      <c r="J77" s="218"/>
      <c r="K77" s="218"/>
      <c r="L77" s="219"/>
      <c r="M77" s="220"/>
      <c r="N77" s="220"/>
    </row>
    <row r="78" spans="1:14" s="224" customFormat="1" ht="14.25" customHeight="1">
      <c r="A78" s="212">
        <v>1076</v>
      </c>
      <c r="B78" s="213" t="s">
        <v>75</v>
      </c>
      <c r="C78" s="214" t="s">
        <v>197</v>
      </c>
      <c r="D78" s="273">
        <v>308360</v>
      </c>
      <c r="E78" s="215">
        <v>288346</v>
      </c>
      <c r="F78" s="215">
        <v>277601</v>
      </c>
      <c r="G78" s="216">
        <v>268590</v>
      </c>
      <c r="H78" s="217">
        <v>258175</v>
      </c>
      <c r="I78" s="217">
        <v>264903</v>
      </c>
      <c r="J78" s="218"/>
      <c r="K78" s="218"/>
      <c r="L78" s="219"/>
      <c r="M78" s="220"/>
      <c r="N78" s="220"/>
    </row>
    <row r="79" spans="1:14" s="224" customFormat="1" ht="16.5">
      <c r="A79" s="212">
        <v>1077</v>
      </c>
      <c r="B79" s="213" t="s">
        <v>76</v>
      </c>
      <c r="C79" s="214" t="s">
        <v>197</v>
      </c>
      <c r="D79" s="273">
        <v>281860</v>
      </c>
      <c r="E79" s="215">
        <v>276182</v>
      </c>
      <c r="F79" s="215">
        <v>267103</v>
      </c>
      <c r="G79" s="216">
        <v>249846</v>
      </c>
      <c r="H79" s="217">
        <v>239949</v>
      </c>
      <c r="I79" s="217">
        <v>235207</v>
      </c>
      <c r="J79" s="218"/>
      <c r="K79" s="218"/>
      <c r="L79" s="219"/>
      <c r="M79" s="220"/>
      <c r="N79" s="220"/>
    </row>
    <row r="80" spans="1:14" s="224" customFormat="1" ht="16.5">
      <c r="A80" s="212">
        <v>1078</v>
      </c>
      <c r="B80" s="213" t="s">
        <v>77</v>
      </c>
      <c r="C80" s="214" t="s">
        <v>197</v>
      </c>
      <c r="D80" s="273">
        <v>223581</v>
      </c>
      <c r="E80" s="215">
        <v>219560</v>
      </c>
      <c r="F80" s="215">
        <v>212186</v>
      </c>
      <c r="G80" s="216">
        <v>200964</v>
      </c>
      <c r="H80" s="217">
        <v>192705</v>
      </c>
      <c r="I80" s="217">
        <v>199868</v>
      </c>
      <c r="J80" s="218"/>
      <c r="K80" s="218"/>
      <c r="L80" s="219"/>
      <c r="M80" s="220"/>
      <c r="N80" s="220"/>
    </row>
    <row r="81" spans="1:14" s="224" customFormat="1" ht="16.5">
      <c r="A81" s="212">
        <v>1079</v>
      </c>
      <c r="B81" s="213" t="s">
        <v>78</v>
      </c>
      <c r="C81" s="214" t="s">
        <v>197</v>
      </c>
      <c r="D81" s="273">
        <v>394532</v>
      </c>
      <c r="E81" s="215">
        <v>385403</v>
      </c>
      <c r="F81" s="215">
        <v>371019</v>
      </c>
      <c r="G81" s="216">
        <v>366921</v>
      </c>
      <c r="H81" s="217">
        <v>356456</v>
      </c>
      <c r="I81" s="217">
        <v>351506</v>
      </c>
      <c r="J81" s="218"/>
      <c r="K81" s="218"/>
      <c r="L81" s="219"/>
      <c r="M81" s="220"/>
      <c r="N81" s="220"/>
    </row>
    <row r="82" spans="1:14" s="221" customFormat="1" ht="16.5">
      <c r="A82" s="212">
        <v>1080</v>
      </c>
      <c r="B82" s="213" t="s">
        <v>79</v>
      </c>
      <c r="C82" s="214" t="s">
        <v>197</v>
      </c>
      <c r="D82" s="273">
        <v>407698</v>
      </c>
      <c r="E82" s="215">
        <v>408278</v>
      </c>
      <c r="F82" s="215">
        <v>405013</v>
      </c>
      <c r="G82" s="216">
        <v>397543</v>
      </c>
      <c r="H82" s="217">
        <v>377712</v>
      </c>
      <c r="I82" s="217">
        <v>390035</v>
      </c>
      <c r="J82" s="218"/>
      <c r="K82" s="218"/>
      <c r="L82" s="219"/>
      <c r="M82" s="220"/>
      <c r="N82" s="220"/>
    </row>
    <row r="83" spans="1:14" s="221" customFormat="1" ht="16.5">
      <c r="A83" s="212">
        <v>1081</v>
      </c>
      <c r="B83" s="213" t="s">
        <v>187</v>
      </c>
      <c r="C83" s="214" t="s">
        <v>197</v>
      </c>
      <c r="D83" s="273">
        <v>322317</v>
      </c>
      <c r="E83" s="215">
        <v>303747</v>
      </c>
      <c r="F83" s="215">
        <v>310429</v>
      </c>
      <c r="G83" s="216">
        <v>304689</v>
      </c>
      <c r="H83" s="217">
        <v>300525</v>
      </c>
      <c r="I83" s="217">
        <v>274706</v>
      </c>
      <c r="J83" s="218"/>
      <c r="K83" s="218"/>
      <c r="L83" s="219"/>
      <c r="M83" s="220"/>
      <c r="N83" s="220"/>
    </row>
    <row r="84" spans="1:14" s="221" customFormat="1" ht="16.5">
      <c r="A84" s="212">
        <v>1082</v>
      </c>
      <c r="B84" s="213" t="s">
        <v>80</v>
      </c>
      <c r="C84" s="214" t="s">
        <v>197</v>
      </c>
      <c r="D84" s="273">
        <v>414974</v>
      </c>
      <c r="E84" s="215">
        <v>393347</v>
      </c>
      <c r="F84" s="215">
        <v>389223</v>
      </c>
      <c r="G84" s="216">
        <v>387463</v>
      </c>
      <c r="H84" s="217">
        <v>385385</v>
      </c>
      <c r="I84" s="217">
        <v>376824</v>
      </c>
      <c r="J84" s="218"/>
      <c r="K84" s="218"/>
      <c r="L84" s="219"/>
      <c r="M84" s="220"/>
      <c r="N84" s="220"/>
    </row>
    <row r="85" spans="1:14" s="221" customFormat="1" ht="16.5">
      <c r="A85" s="212">
        <v>1083</v>
      </c>
      <c r="B85" s="213" t="s">
        <v>81</v>
      </c>
      <c r="C85" s="214" t="s">
        <v>197</v>
      </c>
      <c r="D85" s="273">
        <v>209529</v>
      </c>
      <c r="E85" s="215">
        <v>202202</v>
      </c>
      <c r="F85" s="215">
        <v>192777</v>
      </c>
      <c r="G85" s="216">
        <v>184766</v>
      </c>
      <c r="H85" s="217">
        <v>185583</v>
      </c>
      <c r="I85" s="217">
        <v>180382</v>
      </c>
      <c r="J85" s="218"/>
      <c r="K85" s="218"/>
      <c r="L85" s="219"/>
      <c r="M85" s="220"/>
      <c r="N85" s="220"/>
    </row>
    <row r="86" spans="1:14" s="224" customFormat="1" ht="16.5">
      <c r="A86" s="212">
        <v>1084</v>
      </c>
      <c r="B86" s="213" t="s">
        <v>82</v>
      </c>
      <c r="C86" s="214" t="s">
        <v>197</v>
      </c>
      <c r="D86" s="273">
        <v>203065</v>
      </c>
      <c r="E86" s="215">
        <v>195084</v>
      </c>
      <c r="F86" s="215">
        <v>191809</v>
      </c>
      <c r="G86" s="216">
        <v>183803</v>
      </c>
      <c r="H86" s="217">
        <v>179627</v>
      </c>
      <c r="I86" s="217">
        <v>182853</v>
      </c>
      <c r="J86" s="218"/>
      <c r="K86" s="218"/>
      <c r="L86" s="219"/>
      <c r="M86" s="220"/>
      <c r="N86" s="220"/>
    </row>
    <row r="87" spans="1:14" s="10" customFormat="1" ht="16.5">
      <c r="A87" s="212">
        <v>1085</v>
      </c>
      <c r="B87" s="222" t="s">
        <v>83</v>
      </c>
      <c r="C87" s="223" t="s">
        <v>197</v>
      </c>
      <c r="D87" s="273">
        <v>218618</v>
      </c>
      <c r="E87" s="215">
        <v>211706</v>
      </c>
      <c r="F87" s="215">
        <v>216069</v>
      </c>
      <c r="G87" s="216">
        <v>207768</v>
      </c>
      <c r="H87" s="217">
        <v>208591</v>
      </c>
      <c r="I87" s="217">
        <v>213802</v>
      </c>
      <c r="J87" s="4"/>
      <c r="K87" s="4"/>
      <c r="L87" s="154"/>
      <c r="M87" s="155"/>
      <c r="N87" s="155"/>
    </row>
    <row r="88" spans="1:14" s="224" customFormat="1" ht="16.5">
      <c r="A88" s="212">
        <v>1086</v>
      </c>
      <c r="B88" s="213" t="s">
        <v>84</v>
      </c>
      <c r="C88" s="214" t="s">
        <v>197</v>
      </c>
      <c r="D88" s="273">
        <v>200374</v>
      </c>
      <c r="E88" s="215">
        <v>187873</v>
      </c>
      <c r="F88" s="215">
        <v>180623</v>
      </c>
      <c r="G88" s="216">
        <v>174758</v>
      </c>
      <c r="H88" s="217">
        <v>168154</v>
      </c>
      <c r="I88" s="217">
        <v>160872</v>
      </c>
      <c r="J88" s="218"/>
      <c r="K88" s="218"/>
      <c r="L88" s="219"/>
      <c r="M88" s="220"/>
      <c r="N88" s="220"/>
    </row>
    <row r="89" spans="1:14" s="224" customFormat="1" ht="16.5">
      <c r="A89" s="212">
        <v>1087</v>
      </c>
      <c r="B89" s="213" t="s">
        <v>85</v>
      </c>
      <c r="C89" s="214" t="s">
        <v>197</v>
      </c>
      <c r="D89" s="273">
        <v>219053</v>
      </c>
      <c r="E89" s="215">
        <v>203165</v>
      </c>
      <c r="F89" s="215">
        <v>193302</v>
      </c>
      <c r="G89" s="216">
        <v>184999</v>
      </c>
      <c r="H89" s="217">
        <v>186932</v>
      </c>
      <c r="I89" s="217">
        <v>175822</v>
      </c>
      <c r="J89" s="218"/>
      <c r="K89" s="218"/>
      <c r="L89" s="219"/>
      <c r="M89" s="220"/>
      <c r="N89" s="220"/>
    </row>
    <row r="90" spans="1:14" s="224" customFormat="1" ht="16.5">
      <c r="A90" s="212">
        <v>1088</v>
      </c>
      <c r="B90" s="213" t="s">
        <v>86</v>
      </c>
      <c r="C90" s="214" t="s">
        <v>197</v>
      </c>
      <c r="D90" s="273">
        <v>281811</v>
      </c>
      <c r="E90" s="215">
        <v>257995</v>
      </c>
      <c r="F90" s="215">
        <v>247618</v>
      </c>
      <c r="G90" s="216">
        <v>236760</v>
      </c>
      <c r="H90" s="217">
        <v>228133</v>
      </c>
      <c r="I90" s="217">
        <v>217488</v>
      </c>
      <c r="J90" s="218"/>
      <c r="K90" s="218"/>
      <c r="L90" s="219"/>
      <c r="M90" s="220"/>
      <c r="N90" s="220"/>
    </row>
    <row r="91" spans="1:14" s="224" customFormat="1" ht="16.5">
      <c r="A91" s="212">
        <v>1089</v>
      </c>
      <c r="B91" s="213" t="s">
        <v>87</v>
      </c>
      <c r="C91" s="214" t="s">
        <v>197</v>
      </c>
      <c r="D91" s="273">
        <v>314268</v>
      </c>
      <c r="E91" s="215">
        <v>297858</v>
      </c>
      <c r="F91" s="215">
        <v>281658</v>
      </c>
      <c r="G91" s="216">
        <v>271248</v>
      </c>
      <c r="H91" s="217">
        <v>261699</v>
      </c>
      <c r="I91" s="217">
        <v>254897</v>
      </c>
      <c r="J91" s="218"/>
      <c r="K91" s="218"/>
      <c r="L91" s="219"/>
      <c r="M91" s="220"/>
      <c r="N91" s="220"/>
    </row>
    <row r="92" spans="1:14" s="224" customFormat="1" ht="16.5">
      <c r="A92" s="212">
        <v>1090</v>
      </c>
      <c r="B92" s="213" t="s">
        <v>88</v>
      </c>
      <c r="C92" s="214" t="s">
        <v>197</v>
      </c>
      <c r="D92" s="273">
        <v>251889</v>
      </c>
      <c r="E92" s="215">
        <v>228313</v>
      </c>
      <c r="F92" s="215">
        <v>219758</v>
      </c>
      <c r="G92" s="216">
        <v>210980</v>
      </c>
      <c r="H92" s="217">
        <v>203950</v>
      </c>
      <c r="I92" s="217">
        <v>197143</v>
      </c>
      <c r="J92" s="218"/>
      <c r="K92" s="218"/>
      <c r="L92" s="219"/>
      <c r="M92" s="220"/>
      <c r="N92" s="220"/>
    </row>
    <row r="93" spans="1:14" ht="16.5">
      <c r="A93" s="212">
        <v>1091</v>
      </c>
      <c r="B93" s="222" t="s">
        <v>89</v>
      </c>
      <c r="C93" s="223" t="s">
        <v>197</v>
      </c>
      <c r="D93" s="273">
        <v>159868</v>
      </c>
      <c r="E93" s="215">
        <v>147482</v>
      </c>
      <c r="F93" s="215">
        <v>141192</v>
      </c>
      <c r="G93" s="216">
        <v>134648</v>
      </c>
      <c r="H93" s="217">
        <v>129920</v>
      </c>
      <c r="I93" s="217">
        <v>123810</v>
      </c>
      <c r="J93" s="4"/>
      <c r="K93" s="4"/>
      <c r="L93" s="154"/>
      <c r="M93" s="155"/>
      <c r="N93" s="155"/>
    </row>
    <row r="94" spans="1:14" s="224" customFormat="1" ht="16.5">
      <c r="A94" s="212">
        <v>2001</v>
      </c>
      <c r="B94" s="213" t="s">
        <v>90</v>
      </c>
      <c r="C94" s="214" t="s">
        <v>197</v>
      </c>
      <c r="D94" s="273">
        <v>329592</v>
      </c>
      <c r="E94" s="215">
        <v>307477</v>
      </c>
      <c r="F94" s="215">
        <v>297118</v>
      </c>
      <c r="G94" s="216">
        <v>286348</v>
      </c>
      <c r="H94" s="217">
        <v>278477</v>
      </c>
      <c r="I94" s="217">
        <v>259367</v>
      </c>
      <c r="J94" s="218"/>
      <c r="K94" s="218"/>
      <c r="L94" s="219"/>
      <c r="M94" s="220"/>
      <c r="N94" s="220"/>
    </row>
    <row r="95" spans="1:14" s="224" customFormat="1" ht="16.5">
      <c r="A95" s="212">
        <v>2001</v>
      </c>
      <c r="B95" s="213" t="s">
        <v>91</v>
      </c>
      <c r="C95" s="214" t="s">
        <v>197</v>
      </c>
      <c r="D95" s="273">
        <v>281211</v>
      </c>
      <c r="E95" s="215">
        <v>258122</v>
      </c>
      <c r="F95" s="215">
        <v>250248</v>
      </c>
      <c r="G95" s="216">
        <v>240107</v>
      </c>
      <c r="H95" s="217">
        <v>232334</v>
      </c>
      <c r="I95" s="217">
        <v>221946</v>
      </c>
      <c r="J95" s="218"/>
      <c r="K95" s="218"/>
      <c r="L95" s="219"/>
      <c r="M95" s="220"/>
      <c r="N95" s="220"/>
    </row>
    <row r="96" spans="1:14" s="224" customFormat="1" ht="16.5">
      <c r="A96" s="212">
        <v>2003</v>
      </c>
      <c r="B96" s="213" t="s">
        <v>92</v>
      </c>
      <c r="C96" s="214" t="s">
        <v>197</v>
      </c>
      <c r="D96" s="273">
        <v>306008</v>
      </c>
      <c r="E96" s="215">
        <v>282126</v>
      </c>
      <c r="F96" s="215">
        <v>273048</v>
      </c>
      <c r="G96" s="216">
        <v>261513</v>
      </c>
      <c r="H96" s="217">
        <v>253927</v>
      </c>
      <c r="I96" s="217">
        <v>240506</v>
      </c>
      <c r="J96" s="218"/>
      <c r="K96" s="218"/>
      <c r="L96" s="219"/>
      <c r="M96" s="220"/>
      <c r="N96" s="220"/>
    </row>
    <row r="97" spans="1:14" ht="16.5">
      <c r="A97" s="212">
        <v>3001</v>
      </c>
      <c r="B97" s="222" t="s">
        <v>93</v>
      </c>
      <c r="C97" s="223" t="s">
        <v>197</v>
      </c>
      <c r="D97" s="273">
        <v>320137</v>
      </c>
      <c r="E97" s="215">
        <v>323645</v>
      </c>
      <c r="F97" s="215">
        <v>316058</v>
      </c>
      <c r="G97" s="216">
        <v>303876</v>
      </c>
      <c r="H97" s="217">
        <v>293638</v>
      </c>
      <c r="I97" s="217">
        <v>302639</v>
      </c>
      <c r="J97" s="4"/>
      <c r="K97" s="4"/>
      <c r="L97" s="154"/>
      <c r="M97" s="155"/>
      <c r="N97" s="155"/>
    </row>
    <row r="98" spans="1:14" ht="16.5">
      <c r="A98" s="212">
        <v>3002</v>
      </c>
      <c r="B98" s="222" t="s">
        <v>94</v>
      </c>
      <c r="C98" s="223" t="s">
        <v>197</v>
      </c>
      <c r="D98" s="273">
        <v>248421</v>
      </c>
      <c r="E98" s="215">
        <v>247924</v>
      </c>
      <c r="F98" s="215">
        <v>249149</v>
      </c>
      <c r="G98" s="216">
        <v>245410</v>
      </c>
      <c r="H98" s="217">
        <v>244077</v>
      </c>
      <c r="I98" s="217">
        <v>243036</v>
      </c>
      <c r="J98" s="4"/>
      <c r="K98" s="4"/>
      <c r="L98" s="154"/>
      <c r="M98" s="155"/>
      <c r="N98" s="155"/>
    </row>
    <row r="99" spans="1:14" ht="16.5">
      <c r="A99" s="212">
        <v>3003</v>
      </c>
      <c r="B99" s="222" t="s">
        <v>95</v>
      </c>
      <c r="C99" s="223" t="s">
        <v>197</v>
      </c>
      <c r="D99" s="273">
        <v>228846</v>
      </c>
      <c r="E99" s="215">
        <v>220935</v>
      </c>
      <c r="F99" s="215">
        <v>213912</v>
      </c>
      <c r="G99" s="216">
        <v>205220</v>
      </c>
      <c r="H99" s="217">
        <v>195547</v>
      </c>
      <c r="I99" s="217">
        <v>201547</v>
      </c>
      <c r="J99" s="4"/>
      <c r="K99" s="4"/>
      <c r="L99" s="154"/>
      <c r="M99" s="155"/>
      <c r="N99" s="155"/>
    </row>
    <row r="100" spans="1:14" ht="16.5">
      <c r="A100" s="212">
        <v>3004</v>
      </c>
      <c r="B100" s="222" t="s">
        <v>96</v>
      </c>
      <c r="C100" s="223" t="s">
        <v>197</v>
      </c>
      <c r="D100" s="273">
        <v>181486</v>
      </c>
      <c r="E100" s="215">
        <v>170364</v>
      </c>
      <c r="F100" s="215">
        <v>162262</v>
      </c>
      <c r="G100" s="216">
        <v>161097</v>
      </c>
      <c r="H100" s="217">
        <v>156441</v>
      </c>
      <c r="I100" s="217">
        <v>145409</v>
      </c>
      <c r="J100" s="4"/>
      <c r="K100" s="4"/>
      <c r="L100" s="154"/>
      <c r="M100" s="155"/>
      <c r="N100" s="155"/>
    </row>
    <row r="101" spans="1:14" ht="16.5">
      <c r="A101" s="212">
        <v>3005</v>
      </c>
      <c r="B101" s="222" t="s">
        <v>97</v>
      </c>
      <c r="C101" s="223" t="s">
        <v>197</v>
      </c>
      <c r="D101" s="273">
        <v>280936</v>
      </c>
      <c r="E101" s="215">
        <v>261844</v>
      </c>
      <c r="F101" s="215">
        <v>253955</v>
      </c>
      <c r="G101" s="216">
        <v>247633</v>
      </c>
      <c r="H101" s="217">
        <v>240644</v>
      </c>
      <c r="I101" s="217">
        <v>231118</v>
      </c>
      <c r="J101" s="4"/>
      <c r="K101" s="4"/>
      <c r="L101" s="154"/>
      <c r="M101" s="155"/>
      <c r="N101" s="155"/>
    </row>
    <row r="102" spans="1:14" ht="16.5">
      <c r="A102" s="212">
        <v>3006</v>
      </c>
      <c r="B102" s="222" t="s">
        <v>98</v>
      </c>
      <c r="C102" s="223" t="s">
        <v>197</v>
      </c>
      <c r="D102" s="273">
        <v>217332</v>
      </c>
      <c r="E102" s="215">
        <v>197427</v>
      </c>
      <c r="F102" s="215">
        <v>1881523</v>
      </c>
      <c r="G102" s="216">
        <v>178490</v>
      </c>
      <c r="H102" s="217">
        <v>172651</v>
      </c>
      <c r="I102" s="217">
        <v>160875</v>
      </c>
      <c r="J102" s="4"/>
      <c r="K102" s="4"/>
      <c r="L102" s="154"/>
      <c r="M102" s="155"/>
      <c r="N102" s="155"/>
    </row>
    <row r="103" spans="1:14" ht="16.5">
      <c r="A103" s="212">
        <v>3007</v>
      </c>
      <c r="B103" s="222" t="s">
        <v>99</v>
      </c>
      <c r="C103" s="223" t="s">
        <v>197</v>
      </c>
      <c r="D103" s="273">
        <v>269964</v>
      </c>
      <c r="E103" s="215">
        <v>271936</v>
      </c>
      <c r="F103" s="215">
        <v>264383</v>
      </c>
      <c r="G103" s="216">
        <v>250452</v>
      </c>
      <c r="H103" s="217">
        <v>239973</v>
      </c>
      <c r="I103" s="217">
        <v>230714</v>
      </c>
      <c r="J103" s="4"/>
      <c r="K103" s="4"/>
      <c r="L103" s="154"/>
      <c r="M103" s="155"/>
      <c r="N103" s="155"/>
    </row>
    <row r="104" spans="1:14" ht="16.5">
      <c r="A104" s="212">
        <v>3008</v>
      </c>
      <c r="B104" s="222" t="s">
        <v>100</v>
      </c>
      <c r="C104" s="223" t="s">
        <v>197</v>
      </c>
      <c r="D104" s="273">
        <v>202769</v>
      </c>
      <c r="E104" s="215">
        <v>188279</v>
      </c>
      <c r="F104" s="215">
        <v>177441</v>
      </c>
      <c r="G104" s="216">
        <v>176580</v>
      </c>
      <c r="H104" s="217">
        <v>169974</v>
      </c>
      <c r="I104" s="217">
        <v>170393</v>
      </c>
      <c r="J104" s="4"/>
      <c r="K104" s="4"/>
      <c r="L104" s="154"/>
      <c r="M104" s="155"/>
      <c r="N104" s="155"/>
    </row>
    <row r="105" spans="1:14" ht="16.5">
      <c r="A105" s="212">
        <v>3009</v>
      </c>
      <c r="B105" s="222" t="s">
        <v>101</v>
      </c>
      <c r="C105" s="223" t="s">
        <v>197</v>
      </c>
      <c r="D105" s="273">
        <v>206235</v>
      </c>
      <c r="E105" s="215">
        <v>192209</v>
      </c>
      <c r="F105" s="215">
        <v>179802</v>
      </c>
      <c r="G105" s="216">
        <v>171338</v>
      </c>
      <c r="H105" s="217">
        <v>167273</v>
      </c>
      <c r="I105" s="217">
        <v>153936</v>
      </c>
      <c r="J105" s="4"/>
      <c r="K105" s="4"/>
      <c r="L105" s="154"/>
      <c r="M105" s="155"/>
      <c r="N105" s="155"/>
    </row>
    <row r="106" spans="1:14" ht="16.5">
      <c r="A106" s="212">
        <v>3010</v>
      </c>
      <c r="B106" s="222" t="s">
        <v>102</v>
      </c>
      <c r="C106" s="223" t="s">
        <v>197</v>
      </c>
      <c r="D106" s="273" t="s">
        <v>259</v>
      </c>
      <c r="E106" s="215" t="s">
        <v>45</v>
      </c>
      <c r="F106" s="215">
        <v>203196</v>
      </c>
      <c r="G106" s="216" t="s">
        <v>45</v>
      </c>
      <c r="H106" s="217">
        <v>193297</v>
      </c>
      <c r="I106" s="217" t="s">
        <v>45</v>
      </c>
      <c r="J106" s="4"/>
      <c r="K106" s="4"/>
      <c r="L106" s="154"/>
      <c r="M106" s="155"/>
      <c r="N106" s="155"/>
    </row>
    <row r="107" spans="1:14" ht="16.5">
      <c r="A107" s="212">
        <v>3011</v>
      </c>
      <c r="B107" s="222" t="s">
        <v>103</v>
      </c>
      <c r="C107" s="223" t="s">
        <v>197</v>
      </c>
      <c r="D107" s="273" t="s">
        <v>259</v>
      </c>
      <c r="E107" s="215" t="s">
        <v>45</v>
      </c>
      <c r="F107" s="215">
        <v>238720</v>
      </c>
      <c r="G107" s="216" t="s">
        <v>45</v>
      </c>
      <c r="H107" s="217">
        <v>235175</v>
      </c>
      <c r="I107" s="217" t="s">
        <v>45</v>
      </c>
      <c r="J107" s="4"/>
      <c r="K107" s="4"/>
      <c r="L107" s="154"/>
      <c r="M107" s="155"/>
      <c r="N107" s="155"/>
    </row>
    <row r="108" spans="1:14" ht="16.5">
      <c r="A108" s="212">
        <v>3012</v>
      </c>
      <c r="B108" s="222" t="s">
        <v>104</v>
      </c>
      <c r="C108" s="223" t="s">
        <v>197</v>
      </c>
      <c r="D108" s="273">
        <v>228571</v>
      </c>
      <c r="E108" s="215">
        <v>212787</v>
      </c>
      <c r="F108" s="215">
        <v>205586</v>
      </c>
      <c r="G108" s="216">
        <v>195899</v>
      </c>
      <c r="H108" s="217">
        <v>198632</v>
      </c>
      <c r="I108" s="217">
        <v>190523</v>
      </c>
      <c r="J108" s="4"/>
      <c r="K108" s="4"/>
      <c r="L108" s="154"/>
      <c r="M108" s="155"/>
      <c r="N108" s="155"/>
    </row>
    <row r="109" spans="1:14" ht="16.5">
      <c r="A109" s="212">
        <v>4001</v>
      </c>
      <c r="B109" s="222" t="s">
        <v>105</v>
      </c>
      <c r="C109" s="223" t="s">
        <v>197</v>
      </c>
      <c r="D109" s="273">
        <v>214003</v>
      </c>
      <c r="E109" s="215">
        <v>273371</v>
      </c>
      <c r="F109" s="215">
        <v>215411</v>
      </c>
      <c r="G109" s="216">
        <v>207172</v>
      </c>
      <c r="H109" s="217">
        <v>205068</v>
      </c>
      <c r="I109" s="217">
        <v>205807</v>
      </c>
      <c r="J109" s="4"/>
      <c r="K109" s="4"/>
      <c r="L109" s="154"/>
      <c r="M109" s="155"/>
      <c r="N109" s="155"/>
    </row>
    <row r="110" spans="1:14" ht="16.5">
      <c r="A110" s="212">
        <v>4002</v>
      </c>
      <c r="B110" s="222" t="s">
        <v>106</v>
      </c>
      <c r="C110" s="223" t="s">
        <v>197</v>
      </c>
      <c r="D110" s="273">
        <v>204448</v>
      </c>
      <c r="E110" s="215">
        <v>251074</v>
      </c>
      <c r="F110" s="215">
        <v>202847</v>
      </c>
      <c r="G110" s="216">
        <v>199842</v>
      </c>
      <c r="H110" s="217">
        <v>201816</v>
      </c>
      <c r="I110" s="217">
        <v>196167</v>
      </c>
      <c r="J110" s="4"/>
      <c r="K110" s="4"/>
      <c r="L110" s="154"/>
      <c r="M110" s="155"/>
      <c r="N110" s="155"/>
    </row>
    <row r="111" spans="1:14" ht="16.5">
      <c r="A111" s="212">
        <v>4003</v>
      </c>
      <c r="B111" s="222" t="s">
        <v>107</v>
      </c>
      <c r="C111" s="223" t="s">
        <v>197</v>
      </c>
      <c r="D111" s="273">
        <v>211263</v>
      </c>
      <c r="E111" s="215">
        <v>292847</v>
      </c>
      <c r="F111" s="215">
        <v>210518</v>
      </c>
      <c r="G111" s="216">
        <v>199758</v>
      </c>
      <c r="H111" s="217">
        <v>202174</v>
      </c>
      <c r="I111" s="217">
        <v>187724</v>
      </c>
      <c r="J111" s="4"/>
      <c r="K111" s="4"/>
      <c r="L111" s="154"/>
      <c r="M111" s="155"/>
      <c r="N111" s="155"/>
    </row>
    <row r="112" spans="1:14" ht="16.5">
      <c r="A112" s="212">
        <v>4004</v>
      </c>
      <c r="B112" s="222" t="s">
        <v>108</v>
      </c>
      <c r="C112" s="223" t="s">
        <v>197</v>
      </c>
      <c r="D112" s="273">
        <v>266892</v>
      </c>
      <c r="E112" s="215">
        <v>241517</v>
      </c>
      <c r="F112" s="215">
        <v>260445</v>
      </c>
      <c r="G112" s="216">
        <v>252432</v>
      </c>
      <c r="H112" s="217">
        <v>256484</v>
      </c>
      <c r="I112" s="217">
        <v>247738</v>
      </c>
      <c r="J112" s="4"/>
      <c r="K112" s="4"/>
      <c r="L112" s="154"/>
      <c r="M112" s="155"/>
      <c r="N112" s="155"/>
    </row>
    <row r="113" spans="1:14" s="221" customFormat="1" ht="16.5">
      <c r="A113" s="212">
        <v>5001</v>
      </c>
      <c r="B113" s="213" t="s">
        <v>109</v>
      </c>
      <c r="C113" s="214" t="s">
        <v>197</v>
      </c>
      <c r="D113" s="273">
        <v>246909</v>
      </c>
      <c r="E113" s="215">
        <v>192636</v>
      </c>
      <c r="F113" s="215">
        <v>224214</v>
      </c>
      <c r="G113" s="216">
        <v>215428</v>
      </c>
      <c r="H113" s="217">
        <v>208604</v>
      </c>
      <c r="I113" s="217">
        <v>203680</v>
      </c>
      <c r="J113" s="218"/>
      <c r="K113" s="218"/>
      <c r="L113" s="219"/>
      <c r="M113" s="220"/>
      <c r="N113" s="220"/>
    </row>
    <row r="114" spans="1:14" s="221" customFormat="1" ht="16.5">
      <c r="A114" s="212">
        <v>5002</v>
      </c>
      <c r="B114" s="213" t="s">
        <v>110</v>
      </c>
      <c r="C114" s="214" t="s">
        <v>197</v>
      </c>
      <c r="D114" s="273">
        <v>228022</v>
      </c>
      <c r="E114" s="215">
        <v>165089</v>
      </c>
      <c r="F114" s="215">
        <v>203601</v>
      </c>
      <c r="G114" s="216">
        <v>196722</v>
      </c>
      <c r="H114" s="217">
        <v>190556</v>
      </c>
      <c r="I114" s="217">
        <v>183684</v>
      </c>
      <c r="J114" s="218"/>
      <c r="K114" s="218"/>
      <c r="L114" s="219"/>
      <c r="M114" s="220"/>
      <c r="N114" s="220"/>
    </row>
    <row r="115" spans="1:14" s="221" customFormat="1" ht="16.5">
      <c r="A115" s="212">
        <v>5003</v>
      </c>
      <c r="B115" s="213" t="s">
        <v>111</v>
      </c>
      <c r="C115" s="214" t="s">
        <v>197</v>
      </c>
      <c r="D115" s="273">
        <v>199652</v>
      </c>
      <c r="E115" s="215">
        <v>213364</v>
      </c>
      <c r="F115" s="215">
        <v>179968</v>
      </c>
      <c r="G115" s="216">
        <v>173162</v>
      </c>
      <c r="H115" s="217">
        <v>168459</v>
      </c>
      <c r="I115" s="217">
        <v>161950</v>
      </c>
      <c r="J115" s="218"/>
      <c r="K115" s="218"/>
      <c r="L115" s="219"/>
      <c r="M115" s="220"/>
      <c r="N115" s="220"/>
    </row>
    <row r="116" spans="1:14" s="221" customFormat="1" ht="16.5">
      <c r="A116" s="212">
        <v>5004</v>
      </c>
      <c r="B116" s="213" t="s">
        <v>112</v>
      </c>
      <c r="C116" s="214" t="s">
        <v>197</v>
      </c>
      <c r="D116" s="273">
        <v>228507</v>
      </c>
      <c r="E116" s="215">
        <v>202130</v>
      </c>
      <c r="F116" s="215">
        <v>205010</v>
      </c>
      <c r="G116" s="216">
        <v>194979</v>
      </c>
      <c r="H116" s="217">
        <v>189482</v>
      </c>
      <c r="I116" s="217">
        <v>173285</v>
      </c>
      <c r="J116" s="218"/>
      <c r="K116" s="218"/>
      <c r="L116" s="219"/>
      <c r="M116" s="220"/>
      <c r="N116" s="220"/>
    </row>
    <row r="117" spans="1:14" s="221" customFormat="1" ht="16.5">
      <c r="A117" s="212">
        <v>5005</v>
      </c>
      <c r="B117" s="213" t="s">
        <v>113</v>
      </c>
      <c r="C117" s="214" t="s">
        <v>197</v>
      </c>
      <c r="D117" s="273">
        <v>203354</v>
      </c>
      <c r="E117" s="215">
        <v>210144</v>
      </c>
      <c r="F117" s="215">
        <v>179744</v>
      </c>
      <c r="G117" s="216">
        <v>170252</v>
      </c>
      <c r="H117" s="217">
        <v>164000</v>
      </c>
      <c r="I117" s="217">
        <v>151967</v>
      </c>
      <c r="J117" s="218"/>
      <c r="K117" s="218"/>
      <c r="L117" s="219"/>
      <c r="M117" s="220"/>
      <c r="N117" s="220"/>
    </row>
    <row r="118" spans="1:14" s="221" customFormat="1" ht="16.5">
      <c r="A118" s="212">
        <v>5006</v>
      </c>
      <c r="B118" s="213" t="s">
        <v>114</v>
      </c>
      <c r="C118" s="214" t="s">
        <v>197</v>
      </c>
      <c r="D118" s="273">
        <v>297950</v>
      </c>
      <c r="E118" s="215">
        <v>265941</v>
      </c>
      <c r="F118" s="215">
        <v>269720</v>
      </c>
      <c r="G118" s="216">
        <v>257066</v>
      </c>
      <c r="H118" s="217">
        <v>244383</v>
      </c>
      <c r="I118" s="217">
        <v>229801</v>
      </c>
      <c r="J118" s="218"/>
      <c r="K118" s="218"/>
      <c r="L118" s="219"/>
      <c r="M118" s="220"/>
      <c r="N118" s="220"/>
    </row>
    <row r="119" spans="1:14" ht="16.5">
      <c r="A119" s="225">
        <v>5007</v>
      </c>
      <c r="B119" s="222" t="s">
        <v>115</v>
      </c>
      <c r="C119" s="223" t="s">
        <v>197</v>
      </c>
      <c r="D119" s="273">
        <v>163904</v>
      </c>
      <c r="E119" s="215">
        <v>231472</v>
      </c>
      <c r="F119" s="215">
        <v>142317</v>
      </c>
      <c r="G119" s="216">
        <v>134606</v>
      </c>
      <c r="H119" s="217">
        <v>129804</v>
      </c>
      <c r="I119" s="217">
        <v>122525</v>
      </c>
      <c r="J119" s="4"/>
      <c r="K119" s="4"/>
      <c r="L119" s="154"/>
      <c r="M119" s="155"/>
      <c r="N119" s="155"/>
    </row>
    <row r="120" spans="1:14" ht="16.5">
      <c r="A120" s="225"/>
      <c r="B120" s="222"/>
      <c r="C120" s="223"/>
      <c r="D120" s="274"/>
      <c r="E120" s="215"/>
      <c r="F120" s="158"/>
      <c r="G120" s="158"/>
      <c r="H120" s="158"/>
      <c r="I120" s="158"/>
      <c r="J120" s="4"/>
      <c r="K120" s="4"/>
      <c r="L120" s="154"/>
      <c r="M120" s="155"/>
      <c r="N120" s="155"/>
    </row>
    <row r="121" spans="1:14">
      <c r="A121" s="153"/>
      <c r="B121" s="8"/>
      <c r="C121" s="9"/>
      <c r="D121" s="274"/>
      <c r="E121" s="215"/>
      <c r="F121" s="158"/>
      <c r="G121" s="158"/>
      <c r="H121" s="158"/>
      <c r="I121" s="158"/>
      <c r="J121" s="4"/>
      <c r="K121" s="4"/>
      <c r="L121" s="154"/>
      <c r="M121" s="155"/>
      <c r="N121" s="155"/>
    </row>
    <row r="122" spans="1:14">
      <c r="A122" s="153"/>
      <c r="B122" s="8"/>
      <c r="C122" s="9"/>
      <c r="D122" s="274"/>
      <c r="E122" s="215"/>
      <c r="F122" s="158"/>
      <c r="G122" s="158"/>
      <c r="H122" s="158"/>
      <c r="I122" s="158"/>
      <c r="J122" s="4"/>
      <c r="K122" s="4"/>
      <c r="L122" s="154"/>
      <c r="M122" s="155"/>
      <c r="N122" s="155"/>
    </row>
    <row r="123" spans="1:14">
      <c r="D123" s="274"/>
      <c r="E123" s="215"/>
      <c r="F123" s="11"/>
      <c r="G123" s="11"/>
      <c r="H123" s="11"/>
      <c r="I123" s="11"/>
    </row>
    <row r="124" spans="1:14">
      <c r="D124" s="274"/>
      <c r="E124" s="215"/>
      <c r="F124" s="11"/>
      <c r="G124" s="11"/>
      <c r="H124" s="11"/>
      <c r="I124" s="11"/>
    </row>
    <row r="125" spans="1:14">
      <c r="D125" s="275"/>
      <c r="E125" s="215"/>
    </row>
  </sheetData>
  <mergeCells count="5">
    <mergeCell ref="K1:K2"/>
    <mergeCell ref="L1:L2"/>
    <mergeCell ref="B1:B2"/>
    <mergeCell ref="C1:C2"/>
    <mergeCell ref="J1:J2"/>
  </mergeCells>
  <phoneticPr fontId="10" type="noConversion"/>
  <printOptions headings="1"/>
  <pageMargins left="0.55118110236220474" right="0.55118110236220474" top="0.98425196850393704" bottom="0.78740157480314965" header="0.51181102362204722" footer="0.51181102362204722"/>
  <pageSetup paperSize="9" orientation="portrait" blackAndWhite="1" r:id="rId1"/>
  <headerFooter alignWithMargins="0">
    <oddHeader>&amp;C&amp;"굴림체,굵게"&amp;16&amp;U&amp;A</oddHeader>
    <oddFooter>&amp;C&amp;N 페이지 중 &amp;P페이지&amp;R부산광역시교육청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14</vt:i4>
      </vt:variant>
    </vt:vector>
  </HeadingPairs>
  <TitlesOfParts>
    <vt:vector size="26" baseType="lpstr">
      <vt:lpstr>01-원가계산서- x</vt:lpstr>
      <vt:lpstr>설계예산서</vt:lpstr>
      <vt:lpstr>공사원가계산서</vt:lpstr>
      <vt:lpstr>집계표-x</vt:lpstr>
      <vt:lpstr>설계예산서 </vt:lpstr>
      <vt:lpstr>공사 원가계산서</vt:lpstr>
      <vt:lpstr>내역서집계(전기+기계)</vt:lpstr>
      <vt:lpstr>내역 집계(전기)</vt:lpstr>
      <vt:lpstr>내역 집계(기계)</vt:lpstr>
      <vt:lpstr>내역서</vt:lpstr>
      <vt:lpstr>01-기계소방내역</vt:lpstr>
      <vt:lpstr>노임단가</vt:lpstr>
      <vt:lpstr>'01-기계소방내역'!Print_Area</vt:lpstr>
      <vt:lpstr>'01-원가계산서- x'!Print_Area</vt:lpstr>
      <vt:lpstr>'공사 원가계산서'!Print_Area</vt:lpstr>
      <vt:lpstr>공사원가계산서!Print_Area</vt:lpstr>
      <vt:lpstr>'내역 집계(전기)'!Print_Area</vt:lpstr>
      <vt:lpstr>내역서!Print_Area</vt:lpstr>
      <vt:lpstr>'내역서집계(전기+기계)'!Print_Area</vt:lpstr>
      <vt:lpstr>노임단가!Print_Area</vt:lpstr>
      <vt:lpstr>설계예산서!Print_Area</vt:lpstr>
      <vt:lpstr>'설계예산서 '!Print_Area</vt:lpstr>
      <vt:lpstr>'01-기계소방내역'!Print_Titles</vt:lpstr>
      <vt:lpstr>내역서!Print_Titles</vt:lpstr>
      <vt:lpstr>노임단가!Print_Titles</vt:lpstr>
      <vt:lpstr>'집계표-x'!Print_Titles</vt:lpstr>
    </vt:vector>
  </TitlesOfParts>
  <Company>제일엔지니어링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JEILENG</dc:creator>
  <cp:lastModifiedBy>USER</cp:lastModifiedBy>
  <cp:lastPrinted>2018-12-18T07:41:44Z</cp:lastPrinted>
  <dcterms:created xsi:type="dcterms:W3CDTF">2001-09-15T01:18:42Z</dcterms:created>
  <dcterms:modified xsi:type="dcterms:W3CDTF">2018-12-19T04:25:51Z</dcterms:modified>
</cp:coreProperties>
</file>