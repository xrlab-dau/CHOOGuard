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내부망\Desktop\2026\26년도(이정현)\부산역#\굿즈전문점\11. 입찰의뢰\건축\[붙임4] 설계도서(건축, 공고용)_부산역 맞이방 철도기념품(굿즈) 전문점 신축공사\"/>
    </mc:Choice>
  </mc:AlternateContent>
  <bookViews>
    <workbookView xWindow="38295" yWindow="-105" windowWidth="38625" windowHeight="21225" activeTab="1"/>
  </bookViews>
  <sheets>
    <sheet name="갑지" sheetId="11" r:id="rId1"/>
    <sheet name="원가계산서" sheetId="10" r:id="rId2"/>
    <sheet name="공종별집계표" sheetId="9" r:id="rId3"/>
    <sheet name="공종별내역서" sheetId="8" r:id="rId4"/>
  </sheets>
  <definedNames>
    <definedName name="_xlnm.Print_Area" localSheetId="3">공종별내역서!$A$1:$M$359</definedName>
    <definedName name="_xlnm.Print_Area" localSheetId="2">공종별집계표!$A$1:$M$27</definedName>
    <definedName name="_xlnm.Print_Titles" localSheetId="3">공종별내역서!$1:$3</definedName>
    <definedName name="_xlnm.Print_Titles" localSheetId="2">공종별집계표!$1:$4</definedName>
    <definedName name="_xlnm.Print_Titles" localSheetId="1">원가계산서!$1:$3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9" i="8" l="1"/>
  <c r="I19" i="9" s="1"/>
  <c r="J19" i="9" s="1"/>
  <c r="H359" i="8"/>
  <c r="G19" i="9" s="1"/>
  <c r="H19" i="9" s="1"/>
  <c r="H335" i="8" l="1"/>
  <c r="G18" i="9" s="1"/>
  <c r="H18" i="9" s="1"/>
  <c r="H311" i="8"/>
  <c r="G17" i="9" s="1"/>
  <c r="H17" i="9" s="1"/>
  <c r="J311" i="8"/>
  <c r="I17" i="9" s="1"/>
  <c r="J17" i="9" s="1"/>
  <c r="H263" i="8"/>
  <c r="G15" i="9" s="1"/>
  <c r="H15" i="9" s="1"/>
  <c r="J335" i="8"/>
  <c r="I18" i="9" s="1"/>
  <c r="J18" i="9" s="1"/>
  <c r="J263" i="8"/>
  <c r="I15" i="9" s="1"/>
  <c r="J15" i="9" s="1"/>
  <c r="J287" i="8"/>
  <c r="I16" i="9" s="1"/>
  <c r="J16" i="9" s="1"/>
  <c r="H287" i="8"/>
  <c r="G16" i="9" s="1"/>
  <c r="H16" i="9" s="1"/>
  <c r="J230" i="8"/>
  <c r="I14" i="9" s="1"/>
  <c r="J14" i="9" s="1"/>
  <c r="F335" i="8" l="1"/>
  <c r="E18" i="9" s="1"/>
  <c r="L335" i="8"/>
  <c r="F287" i="8"/>
  <c r="E16" i="9" s="1"/>
  <c r="J157" i="8"/>
  <c r="I12" i="9" s="1"/>
  <c r="J12" i="9" s="1"/>
  <c r="L311" i="8"/>
  <c r="L287" i="8"/>
  <c r="H230" i="8"/>
  <c r="G14" i="9" s="1"/>
  <c r="H14" i="9" s="1"/>
  <c r="F263" i="8"/>
  <c r="E15" i="9" s="1"/>
  <c r="F15" i="9" s="1"/>
  <c r="L15" i="9" s="1"/>
  <c r="F230" i="8"/>
  <c r="E14" i="9" s="1"/>
  <c r="F14" i="9" s="1"/>
  <c r="F311" i="8"/>
  <c r="E17" i="9" s="1"/>
  <c r="L263" i="8"/>
  <c r="L230" i="8"/>
  <c r="H157" i="8" l="1"/>
  <c r="G12" i="9" s="1"/>
  <c r="H12" i="9" s="1"/>
  <c r="H51" i="8"/>
  <c r="G8" i="9" s="1"/>
  <c r="H8" i="9" s="1"/>
  <c r="F18" i="9"/>
  <c r="L18" i="9" s="1"/>
  <c r="T18" i="9" s="1"/>
  <c r="K18" i="9"/>
  <c r="F17" i="9"/>
  <c r="L17" i="9" s="1"/>
  <c r="K17" i="9"/>
  <c r="F16" i="9"/>
  <c r="L16" i="9" s="1"/>
  <c r="K16" i="9"/>
  <c r="L14" i="9"/>
  <c r="K14" i="9"/>
  <c r="K15" i="9"/>
  <c r="F359" i="8"/>
  <c r="E19" i="9" s="1"/>
  <c r="L359" i="8"/>
  <c r="F181" i="8"/>
  <c r="E13" i="9" s="1"/>
  <c r="F13" i="9" l="1"/>
  <c r="H85" i="8"/>
  <c r="G9" i="9" s="1"/>
  <c r="H9" i="9" s="1"/>
  <c r="F19" i="9"/>
  <c r="L19" i="9" s="1"/>
  <c r="T19" i="9" s="1"/>
  <c r="K19" i="9"/>
  <c r="H133" i="8" l="1"/>
  <c r="G11" i="9" s="1"/>
  <c r="H11" i="9" s="1"/>
  <c r="H27" i="8"/>
  <c r="G7" i="9" s="1"/>
  <c r="H7" i="9" s="1"/>
  <c r="H181" i="8" l="1"/>
  <c r="G13" i="9" s="1"/>
  <c r="H13" i="9" l="1"/>
  <c r="J181" i="8"/>
  <c r="I13" i="9" s="1"/>
  <c r="J13" i="9" s="1"/>
  <c r="L181" i="8"/>
  <c r="F51" i="8"/>
  <c r="E8" i="9" s="1"/>
  <c r="F8" i="9" l="1"/>
  <c r="K13" i="9"/>
  <c r="L13" i="9"/>
  <c r="H109" i="8" l="1"/>
  <c r="G10" i="9" s="1"/>
  <c r="H10" i="9" s="1"/>
  <c r="G6" i="9" s="1"/>
  <c r="H6" i="9" s="1"/>
  <c r="G5" i="9" s="1"/>
  <c r="H5" i="9" s="1"/>
  <c r="E8" i="10" l="1"/>
  <c r="H27" i="9"/>
  <c r="J51" i="8"/>
  <c r="I8" i="9" s="1"/>
  <c r="L51" i="8"/>
  <c r="J27" i="8"/>
  <c r="I7" i="9" s="1"/>
  <c r="J7" i="9" s="1"/>
  <c r="E9" i="10" l="1"/>
  <c r="E10" i="10" s="1"/>
  <c r="E16" i="10"/>
  <c r="E15" i="10"/>
  <c r="E14" i="10"/>
  <c r="E18" i="10" s="1"/>
  <c r="L157" i="8"/>
  <c r="F157" i="8"/>
  <c r="E12" i="9" s="1"/>
  <c r="J8" i="9"/>
  <c r="L8" i="9" s="1"/>
  <c r="K8" i="9"/>
  <c r="K12" i="9" l="1"/>
  <c r="F12" i="9"/>
  <c r="L12" i="9" s="1"/>
  <c r="E19" i="10"/>
  <c r="E13" i="10"/>
  <c r="E12" i="10"/>
  <c r="E20" i="10"/>
  <c r="J85" i="8" l="1"/>
  <c r="I9" i="9" s="1"/>
  <c r="J9" i="9" s="1"/>
  <c r="J109" i="8" l="1"/>
  <c r="I10" i="9" s="1"/>
  <c r="J10" i="9" s="1"/>
  <c r="J133" i="8"/>
  <c r="I11" i="9" s="1"/>
  <c r="J11" i="9" s="1"/>
  <c r="I6" i="9" l="1"/>
  <c r="J6" i="9" s="1"/>
  <c r="I5" i="9" s="1"/>
  <c r="J5" i="9" s="1"/>
  <c r="F27" i="8"/>
  <c r="E7" i="9" s="1"/>
  <c r="L27" i="8"/>
  <c r="E11" i="10" l="1"/>
  <c r="J27" i="9"/>
  <c r="F7" i="9"/>
  <c r="L7" i="9" s="1"/>
  <c r="K7" i="9"/>
  <c r="L133" i="8" l="1"/>
  <c r="F133" i="8"/>
  <c r="E11" i="9" s="1"/>
  <c r="L109" i="8"/>
  <c r="F109" i="8"/>
  <c r="E10" i="9" s="1"/>
  <c r="L85" i="8"/>
  <c r="F85" i="8"/>
  <c r="E9" i="9" s="1"/>
  <c r="F10" i="9" l="1"/>
  <c r="L10" i="9" s="1"/>
  <c r="K10" i="9"/>
  <c r="F9" i="9"/>
  <c r="K9" i="9"/>
  <c r="F11" i="9"/>
  <c r="L11" i="9" s="1"/>
  <c r="K11" i="9"/>
  <c r="L9" i="9" l="1"/>
  <c r="E6" i="9"/>
  <c r="F6" i="9" l="1"/>
  <c r="K6" i="9"/>
  <c r="E5" i="9" l="1"/>
  <c r="L6" i="9"/>
  <c r="K5" i="9" l="1"/>
  <c r="F5" i="9"/>
  <c r="F27" i="9" l="1"/>
  <c r="E4" i="10"/>
  <c r="E7" i="10" s="1"/>
  <c r="L5" i="9"/>
  <c r="L27" i="9" s="1"/>
  <c r="E21" i="10" l="1"/>
  <c r="E17" i="10"/>
  <c r="E22" i="10"/>
  <c r="E23" i="10" l="1"/>
  <c r="E24" i="10" s="1"/>
  <c r="E25" i="10" l="1"/>
  <c r="E26" i="10" s="1"/>
</calcChain>
</file>

<file path=xl/sharedStrings.xml><?xml version="1.0" encoding="utf-8"?>
<sst xmlns="http://schemas.openxmlformats.org/spreadsheetml/2006/main" count="2521" uniqueCount="697">
  <si>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</si>
  <si>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</si>
  <si>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</si>
  <si>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</si>
  <si>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</si>
  <si>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</si>
  <si>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</si>
  <si>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</si>
  <si>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</si>
  <si>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</si>
  <si>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</si>
  <si>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</si>
  <si>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</si>
  <si>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</si>
  <si>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</si>
  <si>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</si>
  <si>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</si>
  <si>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</si>
  <si>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</si>
  <si>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</si>
  <si>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</si>
  <si>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</si>
  <si>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</si>
  <si>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</si>
  <si>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</si>
  <si>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</si>
  <si>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</si>
  <si>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</si>
  <si>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</si>
  <si>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</si>
  <si>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</si>
  <si>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</si>
  <si>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</si>
  <si>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</si>
  <si>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</si>
  <si>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</si>
  <si>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</si>
  <si>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</si>
  <si>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</si>
  <si>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</si>
  <si>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</si>
  <si>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</si>
  <si>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</si>
  <si>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</si>
  <si>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</si>
  <si>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</si>
  <si>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</si>
  <si>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</si>
  <si>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</si>
  <si>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</si>
  <si>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/>
  </si>
  <si>
    <t>01</t>
  </si>
  <si>
    <t>01.전문점공사</t>
  </si>
  <si>
    <t>0101</t>
  </si>
  <si>
    <t>010101</t>
  </si>
  <si>
    <t>강관 조립말비계(이동식)설치 및 해체</t>
  </si>
  <si>
    <t>높이 2m, 3개월</t>
  </si>
  <si>
    <t>대</t>
  </si>
  <si>
    <t>호표 1</t>
  </si>
  <si>
    <t>45334A8760D7DF4C230CDB471B89C</t>
  </si>
  <si>
    <t>T</t>
  </si>
  <si>
    <t>F</t>
  </si>
  <si>
    <t>01010145334A8760D7DF4C230CDB471B89C</t>
  </si>
  <si>
    <t>높이 4m, 3개월</t>
  </si>
  <si>
    <t>호표 2</t>
  </si>
  <si>
    <t>45334A8760D7DF4C230CDB7C65F07</t>
  </si>
  <si>
    <t>01010145334A8760D7DF4C230CDB7C65F07</t>
  </si>
  <si>
    <t>건축물 현장정리</t>
  </si>
  <si>
    <t>개보수</t>
  </si>
  <si>
    <t>M2</t>
  </si>
  <si>
    <t>호표 3</t>
  </si>
  <si>
    <t>45334A8268DE974FF602247D5722F</t>
  </si>
  <si>
    <t>01010145334A8268DE974FF602247D5722F</t>
  </si>
  <si>
    <t>먹매김</t>
  </si>
  <si>
    <t>호표 4</t>
  </si>
  <si>
    <t>45334A8268DE974FF602247D5722D</t>
  </si>
  <si>
    <t>01010145334A8268DE974FF602247D5722D</t>
  </si>
  <si>
    <t>준공청소</t>
  </si>
  <si>
    <t>호표 5</t>
  </si>
  <si>
    <t>45334A826886FB4CC701DC8FE8581</t>
  </si>
  <si>
    <t>01010145334A826886FB4CC701DC8FE8581</t>
  </si>
  <si>
    <t>공사용가설판넬 설치</t>
  </si>
  <si>
    <t>(야간)난연2등급 50t(도어문짝포함/하드웨어별도)</t>
  </si>
  <si>
    <t>호표 6</t>
  </si>
  <si>
    <t>45334A8760F2C74D2C0FA0FF543ADC7</t>
  </si>
  <si>
    <t>01010145334A8760F2C74D2C0FA0FF543ADC7</t>
  </si>
  <si>
    <t>공사용가설판넬 해체</t>
  </si>
  <si>
    <t>호표 7</t>
  </si>
  <si>
    <t>45334A8760F2C74D2C0FA0FF543AA</t>
  </si>
  <si>
    <t>01010145334A8760F2C74D2C0FA0FF543AA</t>
  </si>
  <si>
    <t>공사용가설칸막이도아 설치</t>
  </si>
  <si>
    <t>(야간)양개형,하드웨어및디지털도어록포함</t>
  </si>
  <si>
    <t>EA</t>
  </si>
  <si>
    <t>호표 8</t>
  </si>
  <si>
    <t>45334A8268EF6F4886038285B4E6B</t>
  </si>
  <si>
    <t>01010145334A8268EF6F4886038285B4E6B</t>
  </si>
  <si>
    <t>코너범퍼설치</t>
  </si>
  <si>
    <t>(야간)</t>
  </si>
  <si>
    <t>호표 9</t>
  </si>
  <si>
    <t>45334A8268EF6F4886038285B4E1F</t>
  </si>
  <si>
    <t>01010145334A8268EF6F4886038285B4E1F</t>
  </si>
  <si>
    <t>바닥보양</t>
  </si>
  <si>
    <t>(야간)플라베니아+테이프</t>
  </si>
  <si>
    <t>호표 10</t>
  </si>
  <si>
    <t>45334A8268EF6F488400E89D8939C</t>
  </si>
  <si>
    <t>01010145334A8268EF6F488400E89D8939C</t>
  </si>
  <si>
    <t>상부방진막 설치 및 해체</t>
  </si>
  <si>
    <t>방진망, P.E, 1.5*150m</t>
  </si>
  <si>
    <t>호표 11</t>
  </si>
  <si>
    <t>45334A8760C5E2485907A49124064</t>
  </si>
  <si>
    <t>01010145334A8760C5E2485907A49124064</t>
  </si>
  <si>
    <t>공사안내판 설치</t>
  </si>
  <si>
    <t>800*1100</t>
  </si>
  <si>
    <t>견적서</t>
  </si>
  <si>
    <t>448D40AF6244244C8D08890AB337E193FD90E</t>
  </si>
  <si>
    <t>010101448D40AF6244244C8D08890AB337E193FD90E</t>
  </si>
  <si>
    <t>공사현수막 설치</t>
  </si>
  <si>
    <t>3000*600</t>
  </si>
  <si>
    <t>448D40AF6244244C8D08890AB337E193FD90D</t>
  </si>
  <si>
    <t>010101448D40AF6244244C8D08890AB337E193FD90D</t>
  </si>
  <si>
    <t>[ 합           계 ]</t>
  </si>
  <si>
    <t>TOTAL</t>
  </si>
  <si>
    <t>010102</t>
  </si>
  <si>
    <t>포세린타일[구입량]</t>
  </si>
  <si>
    <t>바닥, 600*600*10mm</t>
  </si>
  <si>
    <t>44334F11659DA1420A0E576AA3B636C91CF16</t>
  </si>
  <si>
    <t>01010244334F11659DA1420A0E576AA3B636C91CF16</t>
  </si>
  <si>
    <t>포세린타일 압착 붙이기(바탕 10mm+압 5mm)</t>
  </si>
  <si>
    <t>바닥, 600*600(일반C, 백색줄눈)</t>
  </si>
  <si>
    <t>호표 12</t>
  </si>
  <si>
    <t>4533466A62336C47D602D68E65105</t>
  </si>
  <si>
    <t>0101024533466A62336C47D602D68E65105</t>
  </si>
  <si>
    <t>010103</t>
  </si>
  <si>
    <t>식</t>
  </si>
  <si>
    <t>44334D626DBAB64AA00B2A047249D331EC1C9</t>
  </si>
  <si>
    <t>01010344334D626DBAB64AA00B2A047249D331EC1C9</t>
  </si>
  <si>
    <t>석고보드칸막이벽 설치(W:50)</t>
  </si>
  <si>
    <t>벽, T9.5GB*2겹한면+철재틀30*30@350*600</t>
  </si>
  <si>
    <t>호표 13</t>
  </si>
  <si>
    <t>4533441D611746483E014672BBF7D</t>
  </si>
  <si>
    <t>0101034533441D611746483E014672BBF7D</t>
  </si>
  <si>
    <t>석고보드칸막이벽 설치(W:105)</t>
  </si>
  <si>
    <t>벽, T9.5GB*2겹양면+C-65</t>
  </si>
  <si>
    <t>호표 14</t>
  </si>
  <si>
    <t>4533441D611746483E014672BBF7C</t>
  </si>
  <si>
    <t>0101034533441D611746483E014672BBF7C</t>
  </si>
  <si>
    <t>석고보드칸막이벽 설치(W:720)</t>
  </si>
  <si>
    <t>벽, T9.5GB*2겹한면+철재틀50*30*1.6mm@520</t>
  </si>
  <si>
    <t>호표 15</t>
  </si>
  <si>
    <t>4533441D611746483E014672BBF7F</t>
  </si>
  <si>
    <t>0101034533441D611746483E014672BBF7F</t>
  </si>
  <si>
    <t>석고판 설치</t>
  </si>
  <si>
    <t>천장, T9.5GB*2겹</t>
  </si>
  <si>
    <t>호표 16</t>
  </si>
  <si>
    <t>4533441D6117464BF209ADF6F556B</t>
  </si>
  <si>
    <t>0101034533441D6117464BF209ADF6F556B</t>
  </si>
  <si>
    <t>010104</t>
  </si>
  <si>
    <t>천장점검구 설치</t>
  </si>
  <si>
    <t>AL 백색, 450*450mm</t>
  </si>
  <si>
    <t>개소</t>
  </si>
  <si>
    <t>호표 17</t>
  </si>
  <si>
    <t>453341E36629A24E860435FE97A9F</t>
  </si>
  <si>
    <t>010104453341E36629A24E860435FE97A9F</t>
  </si>
  <si>
    <t>갈바후레임(칸막이막음)</t>
  </si>
  <si>
    <t>T:1.6mm, 소부도장</t>
  </si>
  <si>
    <t>호표 18</t>
  </si>
  <si>
    <t>453341E76DBF7C41C70D9E60E910F</t>
  </si>
  <si>
    <t>010104453341E76DBF7C41C70D9E60E910F</t>
  </si>
  <si>
    <t>구조용각관보강틀(기둥프레임내부)</t>
  </si>
  <si>
    <t>철재틀 ㅁ125*125mm, 녹막이포함</t>
  </si>
  <si>
    <t>M</t>
  </si>
  <si>
    <t>호표 19</t>
  </si>
  <si>
    <t>4533475B6791B44A4A04B21DBF968</t>
  </si>
  <si>
    <t>0101044533475B6791B44A4A04B21DBF968</t>
  </si>
  <si>
    <t>철재틀 ㅁ45*100(50*100)mm, 녹막이포함</t>
  </si>
  <si>
    <t>호표 20</t>
  </si>
  <si>
    <t>4533475B6791B44A4A04B21DBF969</t>
  </si>
  <si>
    <t>0101044533475B6791B44A4A04B21DBF969</t>
  </si>
  <si>
    <t>철재틀 ㅁ45*45(50*50)mm, 녹막이포함</t>
  </si>
  <si>
    <t>호표 21</t>
  </si>
  <si>
    <t>4533475B6791B44A4A04B21DBF96E</t>
  </si>
  <si>
    <t>0101044533475B6791B44A4A04B21DBF96E</t>
  </si>
  <si>
    <t>구조용각관보강틀(슬라이딩도어상부)</t>
  </si>
  <si>
    <t>철재틀 ㅁ40*40*1.6mm, 녹막이포함</t>
  </si>
  <si>
    <t>호표 22</t>
  </si>
  <si>
    <t>4533475B6791B44A4A04B21DBF96C</t>
  </si>
  <si>
    <t>0101044533475B6791B44A4A04B21DBF96C</t>
  </si>
  <si>
    <t>구조용각관보강틀(천장속)</t>
  </si>
  <si>
    <t>철재틀 ㅁ50*50*1.6mm, 녹막이포함</t>
  </si>
  <si>
    <t>호표 23</t>
  </si>
  <si>
    <t>4533475B6791B44A4A04B21DBF96D</t>
  </si>
  <si>
    <t>0101044533475B6791B44A4A04B21DBF96D</t>
  </si>
  <si>
    <t>구조용각관보강틀(가구포스트)</t>
  </si>
  <si>
    <t>철재틀 ㅁ75*75*1.6mm, 녹막이포함</t>
  </si>
  <si>
    <t>호표 24</t>
  </si>
  <si>
    <t>4533475B6791B44A4A04B21DBF962</t>
  </si>
  <si>
    <t>0101044533475B6791B44A4A04B21DBF962</t>
  </si>
  <si>
    <t>스테인리스재료분리대</t>
  </si>
  <si>
    <t>바닥, W65*H25*1.5t</t>
  </si>
  <si>
    <t>호표 25</t>
  </si>
  <si>
    <t>453344196B99B244290C4C082EFA0</t>
  </si>
  <si>
    <t>010104453344196B99B244290C4C082EFA0</t>
  </si>
  <si>
    <t>철재커텐박스(ㄱ자형)</t>
  </si>
  <si>
    <t>100*100*1.2t, STL(도장 유)</t>
  </si>
  <si>
    <t>호표 26</t>
  </si>
  <si>
    <t>453344166E538049C80624DC1BE7B</t>
  </si>
  <si>
    <t>010104453344166E538049C80624DC1BE7B</t>
  </si>
  <si>
    <t>010105</t>
  </si>
  <si>
    <t>강화유리자동문(구동부/유리문별도)</t>
  </si>
  <si>
    <t>양개형, 10*1800*2300mm, 투명, 손보호</t>
  </si>
  <si>
    <t>SET</t>
  </si>
  <si>
    <t>시공도</t>
  </si>
  <si>
    <t>42154A906E17604B8D0446B63DBFAC8472B44</t>
  </si>
  <si>
    <t>01010542154A906E17604B8D0446B63DBFAC8472B44</t>
  </si>
  <si>
    <t>유리문</t>
  </si>
  <si>
    <t>강화유리, 10*900*2300mm, 투명, 손보호, 시건장치포함</t>
  </si>
  <si>
    <t>42154A906E17604B8D0446B63DBFAC8472B42</t>
  </si>
  <si>
    <t>01010542154A906E17604B8D0446B63DBFAC8472B42</t>
  </si>
  <si>
    <t>강화유리</t>
  </si>
  <si>
    <t>강화유리, 투명, 10mm</t>
  </si>
  <si>
    <t>42154A906E176049C00DEEDFE5C9820133609</t>
  </si>
  <si>
    <t>01010542154A906E176049C00DEEDFE5C9820133609</t>
  </si>
  <si>
    <t>도어핸들</t>
  </si>
  <si>
    <t>미서기용</t>
  </si>
  <si>
    <t>조</t>
  </si>
  <si>
    <t>448D40AF6244244C8D08890AB337E193FDE8E</t>
  </si>
  <si>
    <t>010105448D40AF6244244C8D08890AB337E193FDE8E</t>
  </si>
  <si>
    <t>유리주위 코킹</t>
  </si>
  <si>
    <t>5*5, 실리콘</t>
  </si>
  <si>
    <t>호표 27</t>
  </si>
  <si>
    <t>4533433165A0E54E7008420DFA30C</t>
  </si>
  <si>
    <t>0101054533433165A0E54E7008420DFA30C</t>
  </si>
  <si>
    <t>수밀코킹(실리콘)</t>
  </si>
  <si>
    <t>삼각, 10mm, 창호주위</t>
  </si>
  <si>
    <t>호표 28</t>
  </si>
  <si>
    <t>4533433165B14A49410013BCF1302</t>
  </si>
  <si>
    <t>0101054533433165B14A49410013BCF1302</t>
  </si>
  <si>
    <t>SLD.1[포켓슬라이딩도어]</t>
  </si>
  <si>
    <t>0.840 x 2.120 = 1.780</t>
  </si>
  <si>
    <t>호표 29</t>
  </si>
  <si>
    <t>453347536271DE49FB084D63B4148</t>
  </si>
  <si>
    <t>010105453347536271DE49FB084D63B4148</t>
  </si>
  <si>
    <t>도어록 설치 / 일반도어록 강재창호</t>
  </si>
  <si>
    <t>재료비 별도</t>
  </si>
  <si>
    <t>호표 30</t>
  </si>
  <si>
    <t>453347546CF6EB442F023F27250FF</t>
  </si>
  <si>
    <t>010105453347546CF6EB442F023F27250FF</t>
  </si>
  <si>
    <t>창호주위 발포우레탄 충전</t>
  </si>
  <si>
    <t>발포우레탄 충전[현장설치도]</t>
  </si>
  <si>
    <t>호표 31</t>
  </si>
  <si>
    <t>453347546CAEB5429D0CCE28A2016</t>
  </si>
  <si>
    <t>010105453347546CAEB5429D0CCE28A2016</t>
  </si>
  <si>
    <t>창호유리설치 / 판유리</t>
  </si>
  <si>
    <t>유리두께 12mm 이하</t>
  </si>
  <si>
    <t>호표 32</t>
  </si>
  <si>
    <t>453347556D491D42AB0C06AADF631</t>
  </si>
  <si>
    <t>010105453347556D491D42AB0C06AADF631</t>
  </si>
  <si>
    <t>갈바프레임(사인부,창호상부프레임포함)</t>
  </si>
  <si>
    <t>양면1.6mm, 소부도장, 자동문점검구包</t>
  </si>
  <si>
    <t>호표 33</t>
  </si>
  <si>
    <t>4533475B6791B44A4A04B21DAD096</t>
  </si>
  <si>
    <t>0101054533475B6791B44A4A04B21DAD096</t>
  </si>
  <si>
    <t>갈바프레임(사인부,창호상부프레임포함)틀설치</t>
  </si>
  <si>
    <t>철재틀 30*30@350/600</t>
  </si>
  <si>
    <t>호표 34</t>
  </si>
  <si>
    <t>4533475B6791B44A4A04B21DAD095</t>
  </si>
  <si>
    <t>0101054533475B6791B44A4A04B21DAD095</t>
  </si>
  <si>
    <t>창호프레임</t>
  </si>
  <si>
    <t>기둥 갈바ㅁ130*130*1.6mm, 소부도장</t>
  </si>
  <si>
    <t>호표 35</t>
  </si>
  <si>
    <t>4533475B6791B44A4A04B21DBF844</t>
  </si>
  <si>
    <t>0101054533475B6791B44A4A04B21DBF844</t>
  </si>
  <si>
    <t>기둥 갈바ㅁ50*130*1.6mm, 소부도장</t>
  </si>
  <si>
    <t>호표 36</t>
  </si>
  <si>
    <t>4533475B6791B44A4A04B21DBF845</t>
  </si>
  <si>
    <t>0101054533475B6791B44A4A04B21DBF845</t>
  </si>
  <si>
    <t>상부 갈바ㅁ100*130*1.6mm, 소부도장</t>
  </si>
  <si>
    <t>호표 37</t>
  </si>
  <si>
    <t>4533475B6791B44A4A04B21DBF846</t>
  </si>
  <si>
    <t>0101054533475B6791B44A4A04B21DBF846</t>
  </si>
  <si>
    <t>하부 갈바ㅁ100*130*1.6mm, 소부도장</t>
  </si>
  <si>
    <t>호표 38</t>
  </si>
  <si>
    <t>4533475B6791B44A4A04B21DBF847</t>
  </si>
  <si>
    <t>0101054533475B6791B44A4A04B21DBF847</t>
  </si>
  <si>
    <t>창호프레임(자동문)</t>
  </si>
  <si>
    <t>기둥 갈바ㅁ50*60*1.6mm, 소부도장</t>
  </si>
  <si>
    <t>호표 39</t>
  </si>
  <si>
    <t>4533475B6791B44A4A04B21DBF840</t>
  </si>
  <si>
    <t>0101054533475B6791B44A4A04B21DBF840</t>
  </si>
  <si>
    <t>하부 갈바ㅁ30*100*1.6mm, 소부도장</t>
  </si>
  <si>
    <t>호표 40</t>
  </si>
  <si>
    <t>4533475B6791B44A4A04B21DBF842</t>
  </si>
  <si>
    <t>0101054533475B6791B44A4A04B21DBF842</t>
  </si>
  <si>
    <t>창호프레임(자동문고정창)</t>
  </si>
  <si>
    <t>하부 갈바ㅁ60*100*1.6mm, 소부도장</t>
  </si>
  <si>
    <t>호표 41</t>
  </si>
  <si>
    <t>4533475B6791B44A4A04B21DBF843</t>
  </si>
  <si>
    <t>0101054533475B6791B44A4A04B21DBF843</t>
  </si>
  <si>
    <t>010106</t>
  </si>
  <si>
    <t>바탕만들기+걸레받이용 페인트칠</t>
  </si>
  <si>
    <t>붓칠 2회, G.B.면(줄퍼티)</t>
  </si>
  <si>
    <t>호표 42</t>
  </si>
  <si>
    <t>45334507621CFD486C017EA8B4257</t>
  </si>
  <si>
    <t>01010645334507621CFD486C017EA8B4257</t>
  </si>
  <si>
    <t>바탕만들기+수성페인트 롤러칠</t>
  </si>
  <si>
    <t>내부 2회, G.B.면 줄퍼티, 친환경</t>
  </si>
  <si>
    <t>호표 43</t>
  </si>
  <si>
    <t>4533450661ADF346A50430AC2347A</t>
  </si>
  <si>
    <t>0101064533450661ADF346A50430AC2347A</t>
  </si>
  <si>
    <t>스페셜페인트 자재비</t>
  </si>
  <si>
    <t>448D40AF6244244C8D08890AB337E193FDF93</t>
  </si>
  <si>
    <t>010106448D40AF6244244C8D08890AB337E193FDF93</t>
  </si>
  <si>
    <t>스페셜페인트 작업비</t>
  </si>
  <si>
    <t>448D40AF6244244C8D08890AB337E193FDF9C</t>
  </si>
  <si>
    <t>010106448D40AF6244244C8D08890AB337E193FDF9C</t>
  </si>
  <si>
    <t>스페셜페인트 코팅</t>
  </si>
  <si>
    <t>448D40AF6244244C8D08890AB337E193FDF9D</t>
  </si>
  <si>
    <t>010106448D40AF6244244C8D08890AB337E193FDF9D</t>
  </si>
  <si>
    <t>스페셜페인트 경비</t>
  </si>
  <si>
    <t>448D40AF6244244C8D08890AB337E193FDE8D</t>
  </si>
  <si>
    <t>010106448D40AF6244244C8D08890AB337E193FDE8D</t>
  </si>
  <si>
    <t>스페셜페인트 부자재</t>
  </si>
  <si>
    <t>448D40AF6244244C8D08890AB337E193FDE8C</t>
  </si>
  <si>
    <t>010106448D40AF6244244C8D08890AB337E193FDE8C</t>
  </si>
  <si>
    <t>010107</t>
  </si>
  <si>
    <t>경량천장철골틀 해체</t>
  </si>
  <si>
    <t>호표 44</t>
  </si>
  <si>
    <t>45324A1A6EE3584A6F009A0157A67</t>
  </si>
  <si>
    <t>01010745324A1A6EE3584A6F009A0157A67</t>
  </si>
  <si>
    <t>석고판 해체</t>
  </si>
  <si>
    <t>천장</t>
  </si>
  <si>
    <t>호표 45</t>
  </si>
  <si>
    <t>45324A1A6EE3584A6F00C74F331F5</t>
  </si>
  <si>
    <t>01010745324A1A6EE3584A6F00C74F331F5</t>
  </si>
  <si>
    <t>사인물 철거</t>
  </si>
  <si>
    <t>(야간)기둥</t>
  </si>
  <si>
    <t>호표 46</t>
  </si>
  <si>
    <t>45324A1A6EE3584A6F00FC8F2C98C</t>
  </si>
  <si>
    <t>01010745324A1A6EE3584A6F00FC8F2C98C</t>
  </si>
  <si>
    <t>010108</t>
  </si>
  <si>
    <t>카운터</t>
  </si>
  <si>
    <t>2000*1100*1100</t>
  </si>
  <si>
    <t>443445C56052074768045001FE9AB</t>
  </si>
  <si>
    <t>010108443445C56052074768045001FE9AB</t>
  </si>
  <si>
    <t>[1-01]조명형 천장형 포스트(단면형) 2400-2999 STS</t>
  </si>
  <si>
    <t>STS H/L, L3550</t>
  </si>
  <si>
    <t>448D40AF6244244C8D08890AB337E193FDE89</t>
  </si>
  <si>
    <t>010108448D40AF6244244C8D08890AB337E193FDE89</t>
  </si>
  <si>
    <t>STS H/L, 800*400*345</t>
  </si>
  <si>
    <t>448D40AF6244244C8D08890AB337E193FDE88</t>
  </si>
  <si>
    <t>010108448D40AF6244244C8D08890AB337E193FDE88</t>
  </si>
  <si>
    <t>448D40AF6244244C8D08890AB337E193FDE8B</t>
  </si>
  <si>
    <t>010108448D40AF6244244C8D08890AB337E193FDE8B</t>
  </si>
  <si>
    <t>448D40AF6244244C8D08890AB337E193FDE8A</t>
  </si>
  <si>
    <t>010108448D40AF6244244C8D08890AB337E193FDE8A</t>
  </si>
  <si>
    <t>STS H/L, 800*300*95</t>
  </si>
  <si>
    <t>448D40AF6244244C8D08890AB337E193FDE85</t>
  </si>
  <si>
    <t>010108448D40AF6244244C8D08890AB337E193FDE85</t>
  </si>
  <si>
    <t>448D40AF6244244C8D08890AB337E193FDE84</t>
  </si>
  <si>
    <t>010108448D40AF6244244C8D08890AB337E193FDE84</t>
  </si>
  <si>
    <t>STS H/L, 800*40*1525</t>
  </si>
  <si>
    <t>448D40AF6244244C8D08890AB337E193FDDE6</t>
  </si>
  <si>
    <t>010108448D40AF6244244C8D08890AB337E193FDDE6</t>
  </si>
  <si>
    <t>[1-08]경사 선반 800 (조명형)</t>
  </si>
  <si>
    <t>텍스처 그레이, 800*180*300</t>
  </si>
  <si>
    <t>448D40AF6244244C8D08890AB337E193FDDE7</t>
  </si>
  <si>
    <t>010108448D40AF6244244C8D08890AB337E193FDDE7</t>
  </si>
  <si>
    <t>STS H/L, 800*400*95</t>
  </si>
  <si>
    <t>448D40AF6244244C8D08890AB337E193FDDE4</t>
  </si>
  <si>
    <t>010108448D40AF6244244C8D08890AB337E193FDDE4</t>
  </si>
  <si>
    <t>STS H/L, 800*400*500</t>
  </si>
  <si>
    <t>448D40AF6244244C8D08890AB337E193FDDE5</t>
  </si>
  <si>
    <t>010108448D40AF6244244C8D08890AB337E193FDDE5</t>
  </si>
  <si>
    <t>STS H/L, 800*400*1000</t>
  </si>
  <si>
    <t>448D40AF6244244C8D08890AB337E193FDDE2</t>
  </si>
  <si>
    <t>010108448D40AF6244244C8D08890AB337E193FDDE2</t>
  </si>
  <si>
    <t>200W</t>
  </si>
  <si>
    <t>448D40AF6244244C8D08890AB337E193FDDE3</t>
  </si>
  <si>
    <t>010108448D40AF6244244C8D08890AB337E193FDDE3</t>
  </si>
  <si>
    <t>448D40AF6244244C8D08890AB337E193FDDE0</t>
  </si>
  <si>
    <t>010108448D40AF6244244C8D08890AB337E193FDDE0</t>
  </si>
  <si>
    <t>[2-02]코너 행거 - STS</t>
  </si>
  <si>
    <t>STS H/L, 700*960*150</t>
  </si>
  <si>
    <t>448D40AF6244244C8D08890AB337E193FDDE1</t>
  </si>
  <si>
    <t>010108448D40AF6244244C8D08890AB337E193FDDE1</t>
  </si>
  <si>
    <t>[2-03]코너 드로어 S - STS</t>
  </si>
  <si>
    <t>STS H/L, 700*960*95</t>
  </si>
  <si>
    <t>448D40AF6244244C8D08890AB337E193FDDEE</t>
  </si>
  <si>
    <t>010108448D40AF6244244C8D08890AB337E193FDDEE</t>
  </si>
  <si>
    <t>[2-04]코너 스탠딩 케비닛 H500 - STS</t>
  </si>
  <si>
    <t>STS H/L, 700*960*500</t>
  </si>
  <si>
    <t>448D40AF6244244C8D08890AB337E193FDDEF</t>
  </si>
  <si>
    <t>010108448D40AF6244244C8D08890AB337E193FDDEF</t>
  </si>
  <si>
    <t>[2-05]컨버터+디머 세트 200W</t>
  </si>
  <si>
    <t>448D40AF6244244C8D08890AB337E193FDCDF</t>
  </si>
  <si>
    <t>010108448D40AF6244244C8D08890AB337E193FDCDF</t>
  </si>
  <si>
    <t>[3-01]조명형 천장형 포스트(단면형) 2400-2999 STS</t>
  </si>
  <si>
    <t>448D40AF6244244C8D08890AB337E193FDCDE</t>
  </si>
  <si>
    <t>010108448D40AF6244244C8D08890AB337E193FDCDE</t>
  </si>
  <si>
    <t>[3-02]양면형 헤더 조명 박스 800 - STS</t>
  </si>
  <si>
    <t>448D40AF6244244C8D08890AB337E193FDCDD</t>
  </si>
  <si>
    <t>010108448D40AF6244244C8D08890AB337E193FDCDD</t>
  </si>
  <si>
    <t>[3-03]조명형 선반 800*200 - STS</t>
  </si>
  <si>
    <t>STS H/L, 800*200*95</t>
  </si>
  <si>
    <t>448D40AF6244244C8D08890AB337E193FDCDC</t>
  </si>
  <si>
    <t>010108448D40AF6244244C8D08890AB337E193FDCDC</t>
  </si>
  <si>
    <t>[3-04]조명형 선반 800*300 - STS</t>
  </si>
  <si>
    <t>448D40AF6244244C8D08890AB337E193FDCDB</t>
  </si>
  <si>
    <t>010108448D40AF6244244C8D08890AB337E193FDCDB</t>
  </si>
  <si>
    <t>[3-05]타공 패널 800</t>
  </si>
  <si>
    <t>텍스처 그레이, 800*20*600</t>
  </si>
  <si>
    <t>448D40AF6244244C8D08890AB337E193FDCDA</t>
  </si>
  <si>
    <t>010108448D40AF6244244C8D08890AB337E193FDCDA</t>
  </si>
  <si>
    <t>[3-06]드로어 S 800 - STS</t>
  </si>
  <si>
    <t>448D40AF6244244C8D08890AB337E193FDCD9</t>
  </si>
  <si>
    <t>010108448D40AF6244244C8D08890AB337E193FDCD9</t>
  </si>
  <si>
    <t>[3-07]스탠딩 캐비닛 800 H500 - STS</t>
  </si>
  <si>
    <t>448D40AF6244244C8D08890AB337E193FDCD8</t>
  </si>
  <si>
    <t>010108448D40AF6244244C8D08890AB337E193FDCD8</t>
  </si>
  <si>
    <t>[3-08]컨버터+디머 세트 200W</t>
  </si>
  <si>
    <t>448D40AF6244244C8D08890AB337E193FDCD7</t>
  </si>
  <si>
    <t>010108448D40AF6244244C8D08890AB337E193FDCD7</t>
  </si>
  <si>
    <t>[4-01]조명형 천장형 포스트(단면형) 2400-2999 STS</t>
  </si>
  <si>
    <t>448D40AF6244244C8D08890AB337E193FDCD6</t>
  </si>
  <si>
    <t>010108448D40AF6244244C8D08890AB337E193FDCD6</t>
  </si>
  <si>
    <t>[4-02]타공 패널 800</t>
  </si>
  <si>
    <t>448D40AF6244244C8D08890AB337E193FD3E3</t>
  </si>
  <si>
    <t>010108448D40AF6244244C8D08890AB337E193FD3E3</t>
  </si>
  <si>
    <t>[4-03]조명형 선반 800*200 - STS</t>
  </si>
  <si>
    <t>448D40AF6244244C8D08890AB337E193FD3E2</t>
  </si>
  <si>
    <t>010108448D40AF6244244C8D08890AB337E193FD3E2</t>
  </si>
  <si>
    <t>[4-04]조명형 선반 800*300 - STS</t>
  </si>
  <si>
    <t>448D40AF6244244C8D08890AB337E193FD3E1</t>
  </si>
  <si>
    <t>010108448D40AF6244244C8D08890AB337E193FD3E1</t>
  </si>
  <si>
    <t>[4-05]드로어 S 800 - STS</t>
  </si>
  <si>
    <t>448D40AF6244244C8D08890AB337E193FD3E0</t>
  </si>
  <si>
    <t>010108448D40AF6244244C8D08890AB337E193FD3E0</t>
  </si>
  <si>
    <t>[4-06]스탠딩 캐비닛 800 H500 - STS</t>
  </si>
  <si>
    <t>448D40AF6244244C8D08890AB337E193FD3E7</t>
  </si>
  <si>
    <t>010108448D40AF6244244C8D08890AB337E193FD3E7</t>
  </si>
  <si>
    <t>[4-07]컨버터+디머 세트 200W</t>
  </si>
  <si>
    <t>448D40AF6244244C8D08890AB337E193FD3E6</t>
  </si>
  <si>
    <t>010108448D40AF6244244C8D08890AB337E193FD3E6</t>
  </si>
  <si>
    <t>[5-01]중앙 집기 - STS</t>
  </si>
  <si>
    <t>STS H/L, 1650*920*1650</t>
  </si>
  <si>
    <t>448D40AF6244244C8D08890AB337E193FD3E5</t>
  </si>
  <si>
    <t>010108448D40AF6244244C8D08890AB337E193FD3E5</t>
  </si>
  <si>
    <t>[5-02]조명형 플랫 선반 800*300 - STS</t>
  </si>
  <si>
    <t>448D40AF6244244C8D08890AB337E193FD3E4</t>
  </si>
  <si>
    <t>010108448D40AF6244244C8D08890AB337E193FD3E4</t>
  </si>
  <si>
    <t>[5-03]조명형 플랫 선반 800*200 - STS</t>
  </si>
  <si>
    <t>448D40AF6244244C8D08890AB337E193FD3EB</t>
  </si>
  <si>
    <t>010108448D40AF6244244C8D08890AB337E193FD3EB</t>
  </si>
  <si>
    <t>[5-04]타공 패널 800 (H250) - STS</t>
  </si>
  <si>
    <t>STS H/L, 800*20*250</t>
  </si>
  <si>
    <t>448D40AF6244244C8D08890AB337E193FD3EA</t>
  </si>
  <si>
    <t>010108448D40AF6244244C8D08890AB337E193FD3EA</t>
  </si>
  <si>
    <t>시공비</t>
  </si>
  <si>
    <t>448D40AF6244244C8D08890AB337E193FD2DC</t>
  </si>
  <si>
    <t>010108448D40AF6244244C8D08890AB337E193FD2DC</t>
  </si>
  <si>
    <t>운임및공과잡비</t>
  </si>
  <si>
    <t>448D40AF6244244C8D08890AB337E193FD2DD</t>
  </si>
  <si>
    <t>010108448D40AF6244244C8D08890AB337E193FD2DD</t>
  </si>
  <si>
    <t>010109</t>
  </si>
  <si>
    <t>철도기념품 채널</t>
  </si>
  <si>
    <t>LED채널_전면발광</t>
  </si>
  <si>
    <t>448D40AF6244244C8D08890AB337E193FDF95</t>
  </si>
  <si>
    <t>010109448D40AF6244244C8D08890AB337E193FDF95</t>
  </si>
  <si>
    <t>SMPS</t>
  </si>
  <si>
    <t>448D40AF6244244C8D08890AB337E193FDF96</t>
  </si>
  <si>
    <t>010109448D40AF6244244C8D08890AB337E193FDF96</t>
  </si>
  <si>
    <t>KOREA TRAN+ MATES</t>
  </si>
  <si>
    <t>LED채널_후면발광</t>
  </si>
  <si>
    <t>448D40AF6244244C8D08890AB337E193FDF97</t>
  </si>
  <si>
    <t>010109448D40AF6244244C8D08890AB337E193FDF97</t>
  </si>
  <si>
    <t>448D40AF6244244C8D08890AB337E193FDF90</t>
  </si>
  <si>
    <t>010109448D40AF6244244C8D08890AB337E193FDF90</t>
  </si>
  <si>
    <t>부딪힘방지시트</t>
  </si>
  <si>
    <t>448D40AF6244244C8D08890AB337E193FD90C</t>
  </si>
  <si>
    <t>010109448D40AF6244244C8D08890AB337E193FD90C</t>
  </si>
  <si>
    <t>설치비</t>
  </si>
  <si>
    <t>448D40AF6244244C8D08890AB337E193FDF91</t>
  </si>
  <si>
    <t>010109448D40AF6244244C8D08890AB337E193FDF91</t>
  </si>
  <si>
    <t>경  비</t>
  </si>
  <si>
    <t>448D40AF6244244C8D08890AB337E193FDF92</t>
  </si>
  <si>
    <t>010109448D40AF6244244C8D08890AB337E193FDF92</t>
  </si>
  <si>
    <t>010110</t>
  </si>
  <si>
    <t>TW1450Y9SR</t>
  </si>
  <si>
    <t>40평</t>
  </si>
  <si>
    <t>448D40AF6244244C8D08890AB337E193FD861</t>
  </si>
  <si>
    <t>010110448D40AF6244244C8D08890AB337E193FD861</t>
  </si>
  <si>
    <t>배관및보온재</t>
  </si>
  <si>
    <t>15/9</t>
  </si>
  <si>
    <t>448D40AF6244244C8D08890AB337E193FD862</t>
  </si>
  <si>
    <t>010110448D40AF6244244C8D08890AB337E193FD862</t>
  </si>
  <si>
    <t>448D40AF6244244C8D08890AB337E193FD863</t>
  </si>
  <si>
    <t>010110448D40AF6244244C8D08890AB337E193FD863</t>
  </si>
  <si>
    <t>드레인</t>
  </si>
  <si>
    <t>448D40AF6244244C8D08890AB337E193FD86C</t>
  </si>
  <si>
    <t>010110448D40AF6244244C8D08890AB337E193FD86C</t>
  </si>
  <si>
    <t>냉매및진공</t>
  </si>
  <si>
    <t>448D40AF6244244C8D08890AB337E193FD86D</t>
  </si>
  <si>
    <t>010110448D40AF6244244C8D08890AB337E193FD86D</t>
  </si>
  <si>
    <t>공조 디퓨저 이설</t>
  </si>
  <si>
    <t>448D40AF6244244C8D08890AB337E193FDF94</t>
  </si>
  <si>
    <t>010110448D40AF6244244C8D08890AB337E193FDF94</t>
  </si>
  <si>
    <t>010111</t>
  </si>
  <si>
    <t>모래</t>
  </si>
  <si>
    <t>모래, 서울, 세척사, 도착도</t>
  </si>
  <si>
    <t>M3</t>
  </si>
  <si>
    <t>4230465E6CA85A426E00DEB8BE054F9A5762D</t>
  </si>
  <si>
    <t>0101114230465E6CA85A426E00DEB8BE054F9A5762D</t>
  </si>
  <si>
    <t>시멘트</t>
  </si>
  <si>
    <t>시멘트, 분공장도</t>
  </si>
  <si>
    <t>포</t>
  </si>
  <si>
    <t>42154A906E79EE4DC005AF2DDB1B07074D773</t>
  </si>
  <si>
    <t>01011142154A906E79EE4DC005AF2DDB1B07074D773</t>
  </si>
  <si>
    <t>시멘트운반</t>
  </si>
  <si>
    <t>L:10km, 덤프 8ton</t>
  </si>
  <si>
    <t>산근 1</t>
  </si>
  <si>
    <t>45324F9D685CED412904AA8EA5735</t>
  </si>
  <si>
    <t>01011145324F9D685CED412904AA8EA5735</t>
  </si>
  <si>
    <t>010112</t>
  </si>
  <si>
    <t>6</t>
  </si>
  <si>
    <t>혼합건설폐기물</t>
  </si>
  <si>
    <t>그 밖의 건설폐기물에 가연성 5% 이하 혼합</t>
  </si>
  <si>
    <t>TON</t>
  </si>
  <si>
    <t>457246FA6F5B90406D0BCA4F79011A9DCBA74</t>
  </si>
  <si>
    <t>010112457246FA6F5B90406D0BCA4F79011A9DCBA74</t>
  </si>
  <si>
    <t>혼합건설폐기물 상차비 및 운반비</t>
  </si>
  <si>
    <t>24톤 암롤트럭, 30km</t>
  </si>
  <si>
    <t>457246FA6F5B90406D0BCA4F7913685A04FCF</t>
  </si>
  <si>
    <t>010112457246FA6F5B90406D0BCA4F7913685A04FCF</t>
  </si>
  <si>
    <t>작업부산물(철거)</t>
  </si>
  <si>
    <t>010113</t>
  </si>
  <si>
    <t>1</t>
  </si>
  <si>
    <t>철강설</t>
  </si>
  <si>
    <t>철강설, 고철, 작업설부산물</t>
  </si>
  <si>
    <t>kg</t>
  </si>
  <si>
    <t>수집상차도</t>
  </si>
  <si>
    <t>4230465E6C24FE42D5097C39218BBB405F1A2</t>
  </si>
  <si>
    <t>0101134230465E6C24FE42D5097C39218BBB405F1A2</t>
  </si>
  <si>
    <t>비      고</t>
  </si>
  <si>
    <t>공 사 원 가 계 산 서</t>
  </si>
  <si>
    <t>비        목</t>
  </si>
  <si>
    <t>금      액</t>
  </si>
  <si>
    <t>구        성        비</t>
  </si>
  <si>
    <t>순   공   사   원   가</t>
  </si>
  <si>
    <t>재   료   비</t>
  </si>
  <si>
    <t>노   무   비</t>
  </si>
  <si>
    <t>경        비</t>
  </si>
  <si>
    <t>A1</t>
  </si>
  <si>
    <t>직  접  재  료  비</t>
  </si>
  <si>
    <t>A2</t>
  </si>
  <si>
    <t>간  접  재  료  비</t>
  </si>
  <si>
    <t>A3</t>
  </si>
  <si>
    <t>작업설, 부산물(△)</t>
  </si>
  <si>
    <t>AS</t>
  </si>
  <si>
    <t>[ 소          계 ]</t>
  </si>
  <si>
    <t>B1</t>
  </si>
  <si>
    <t>직  접  노  무  비</t>
  </si>
  <si>
    <t>B2</t>
  </si>
  <si>
    <t>간  접  노  무  비</t>
  </si>
  <si>
    <t>직접노무비 * 17.5%</t>
  </si>
  <si>
    <t>BS</t>
  </si>
  <si>
    <t>C2</t>
  </si>
  <si>
    <t>경              비</t>
  </si>
  <si>
    <t>C4</t>
  </si>
  <si>
    <t>산  재  보  험  료</t>
  </si>
  <si>
    <t>노무비 * 3.56%</t>
  </si>
  <si>
    <t>C5</t>
  </si>
  <si>
    <t>고  용  보  험  료</t>
  </si>
  <si>
    <t>노무비 * 1.01%</t>
  </si>
  <si>
    <t>C6</t>
  </si>
  <si>
    <t>국민  건강  보험료</t>
  </si>
  <si>
    <t>직접노무비 * 3.595%</t>
  </si>
  <si>
    <t>1개월미만제외</t>
  </si>
  <si>
    <t>C7</t>
  </si>
  <si>
    <t>국민  연금  보험료</t>
  </si>
  <si>
    <t>직접노무비 * 4.75%</t>
  </si>
  <si>
    <t>C8</t>
  </si>
  <si>
    <t>퇴직  공제  부금비</t>
  </si>
  <si>
    <t>직접노무비 * 2.3%</t>
  </si>
  <si>
    <t>CA</t>
  </si>
  <si>
    <t>산업안전보건관리비</t>
  </si>
  <si>
    <t>(재료비+직노+관급자재비) * 3.11%</t>
  </si>
  <si>
    <t>CB</t>
  </si>
  <si>
    <t>노인장기요양보험료</t>
  </si>
  <si>
    <t>CD</t>
  </si>
  <si>
    <t>석면부담금</t>
  </si>
  <si>
    <t>노무비 * 0.006%</t>
  </si>
  <si>
    <t>CC</t>
  </si>
  <si>
    <t>임금채권부담금</t>
  </si>
  <si>
    <t>노무비 * 0.09%</t>
  </si>
  <si>
    <t>CG</t>
  </si>
  <si>
    <t>기   타    경   비</t>
  </si>
  <si>
    <t>(재료비+노무비) * 5%</t>
  </si>
  <si>
    <t>CH</t>
  </si>
  <si>
    <t>환  경  보  전  비</t>
  </si>
  <si>
    <t>(재료비+직노+경비) * 0.3%</t>
  </si>
  <si>
    <t>CS</t>
  </si>
  <si>
    <t>S1</t>
  </si>
  <si>
    <t>계</t>
  </si>
  <si>
    <t>D1</t>
  </si>
  <si>
    <t>일  반  관  리  비</t>
  </si>
  <si>
    <t>계 * 8%</t>
  </si>
  <si>
    <t>D2</t>
  </si>
  <si>
    <t>이              윤</t>
  </si>
  <si>
    <t>(노무비+경비+일반관리비) * 15%</t>
  </si>
  <si>
    <t>D3</t>
  </si>
  <si>
    <t>폐기물처리비</t>
  </si>
  <si>
    <t>D4</t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</si>
  <si>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</si>
  <si>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</si>
  <si>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</si>
  <si>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</si>
  <si>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</si>
  <si>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</si>
  <si>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</si>
  <si>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S2</t>
  </si>
  <si>
    <t>총   공   사    비</t>
  </si>
  <si>
    <t>0101 가  설  공  사</t>
    <phoneticPr fontId="1" type="noConversion"/>
  </si>
  <si>
    <t>0102 타  일  공  사</t>
    <phoneticPr fontId="1" type="noConversion"/>
  </si>
  <si>
    <t>0103 목공사및수장공사</t>
    <phoneticPr fontId="1" type="noConversion"/>
  </si>
  <si>
    <t>0104 금  속  공  사</t>
    <phoneticPr fontId="1" type="noConversion"/>
  </si>
  <si>
    <t>0105 창호 및 유리공사</t>
    <phoneticPr fontId="1" type="noConversion"/>
  </si>
  <si>
    <t>0106 칠    공    사</t>
    <phoneticPr fontId="1" type="noConversion"/>
  </si>
  <si>
    <t>0107 철  거  공  사</t>
    <phoneticPr fontId="1" type="noConversion"/>
  </si>
  <si>
    <t>0108 가  구  공  사</t>
    <phoneticPr fontId="1" type="noConversion"/>
  </si>
  <si>
    <t>0109 사  인  공  사</t>
    <phoneticPr fontId="1" type="noConversion"/>
  </si>
  <si>
    <t>0110 냉 난 방 공사</t>
    <phoneticPr fontId="1" type="noConversion"/>
  </si>
  <si>
    <t>0111 골    재    비</t>
    <phoneticPr fontId="1" type="noConversion"/>
  </si>
  <si>
    <t>0112 건설폐기물처리비</t>
    <phoneticPr fontId="1" type="noConversion"/>
  </si>
  <si>
    <t>0113 작업부산물(철거)</t>
    <phoneticPr fontId="1" type="noConversion"/>
  </si>
  <si>
    <t>0104 금  속  공  사</t>
    <phoneticPr fontId="1" type="noConversion"/>
  </si>
  <si>
    <t>자재 28</t>
    <phoneticPr fontId="1" type="noConversion"/>
  </si>
  <si>
    <t>자재 86</t>
    <phoneticPr fontId="1" type="noConversion"/>
  </si>
  <si>
    <t>건강보험료 * 13.14%</t>
    <phoneticPr fontId="1" type="noConversion"/>
  </si>
  <si>
    <t>M2</t>
    <phoneticPr fontId="1" type="noConversion"/>
  </si>
  <si>
    <t>롤블라인드_인쇄전용원단(방염)</t>
    <phoneticPr fontId="1" type="noConversion"/>
  </si>
  <si>
    <t>실측</t>
    <phoneticPr fontId="1" type="noConversion"/>
  </si>
  <si>
    <t>인건비</t>
    <phoneticPr fontId="1" type="noConversion"/>
  </si>
  <si>
    <t>설치</t>
    <phoneticPr fontId="1" type="noConversion"/>
  </si>
  <si>
    <t>KTX(서울-부산)</t>
    <phoneticPr fontId="1" type="noConversion"/>
  </si>
  <si>
    <t>KTX(부산-서울)</t>
    <phoneticPr fontId="1" type="noConversion"/>
  </si>
  <si>
    <t>주유(편도420km)</t>
    <phoneticPr fontId="1" type="noConversion"/>
  </si>
  <si>
    <t>통행로(편도 22,400원)</t>
    <phoneticPr fontId="1" type="noConversion"/>
  </si>
  <si>
    <t>[1-02]업리프트 도어 캐비닛 800 - STS</t>
    <phoneticPr fontId="1" type="noConversion"/>
  </si>
  <si>
    <t>[1-03]업리프트 도어 캐비닛 600 - STS</t>
    <phoneticPr fontId="1" type="noConversion"/>
  </si>
  <si>
    <t>[1-05]양면형 헤더 조명 박스 600 - STS</t>
    <phoneticPr fontId="1" type="noConversion"/>
  </si>
  <si>
    <t>STS H/L, 800*400*150</t>
    <phoneticPr fontId="1" type="noConversion"/>
  </si>
  <si>
    <t>STS H/L, 600*400*150</t>
    <phoneticPr fontId="1" type="noConversion"/>
  </si>
  <si>
    <t>[1-06]조명형 행거 선반 800 - STS</t>
    <phoneticPr fontId="1" type="noConversion"/>
  </si>
  <si>
    <t>[1-07]조명형 선반 800*300 - STS</t>
    <phoneticPr fontId="1" type="noConversion"/>
  </si>
  <si>
    <t>[1-08]거울 패널 800*1525 - STS</t>
    <phoneticPr fontId="1" type="noConversion"/>
  </si>
  <si>
    <t>[1-10]드로어 S 800 - STS</t>
    <phoneticPr fontId="1" type="noConversion"/>
  </si>
  <si>
    <t>[1-11]스탠딩 캐비닛 800 H500 - STS</t>
    <phoneticPr fontId="1" type="noConversion"/>
  </si>
  <si>
    <t>[1-12]스탠딩 캐비닛 800 H1000 - STS</t>
    <phoneticPr fontId="1" type="noConversion"/>
  </si>
  <si>
    <t>[1-13]컨버터+디머 세트 200W</t>
    <phoneticPr fontId="1" type="noConversion"/>
  </si>
  <si>
    <t>[1-04]양면형 헤더 조명 박스 800 - STS</t>
    <phoneticPr fontId="1" type="noConversion"/>
  </si>
  <si>
    <t>STS H/L, 400*100*500</t>
    <phoneticPr fontId="1" type="noConversion"/>
  </si>
  <si>
    <t>[2-01]양면형 헤더 조명 박스 400 - STS</t>
    <phoneticPr fontId="1" type="noConversion"/>
  </si>
  <si>
    <t>STS H/L, 800*100*150</t>
    <phoneticPr fontId="1" type="noConversion"/>
  </si>
  <si>
    <t>공사명 : 부산역 맞이방 철도기념품(굿즈) 전문점 신축공사</t>
    <phoneticPr fontId="1" type="noConversion"/>
  </si>
  <si>
    <t>[ 부산역 맞이방 철도기념품(굿즈) 전문점 신축공사 ]</t>
    <phoneticPr fontId="1" type="noConversion"/>
  </si>
  <si>
    <t xml:space="preserve"> 부산역 맞이방 철도기념품(굿즈) 전문점 신축공사</t>
    <phoneticPr fontId="1" type="noConversion"/>
  </si>
  <si>
    <t>라이팅박스 이미지 출력(좌측매장)</t>
    <phoneticPr fontId="1" type="noConversion"/>
  </si>
  <si>
    <t>와이드실사_795*496</t>
    <phoneticPr fontId="1" type="noConversion"/>
  </si>
  <si>
    <t>와이드실사_395*496</t>
    <phoneticPr fontId="1" type="noConversion"/>
  </si>
  <si>
    <t>라이팅박스 이미지 출력(좌측외부)</t>
    <phoneticPr fontId="1" type="noConversion"/>
  </si>
  <si>
    <t>와이드실사_759*496</t>
    <phoneticPr fontId="1" type="noConversion"/>
  </si>
  <si>
    <t>와이드실사_359*496</t>
    <phoneticPr fontId="1" type="noConversion"/>
  </si>
  <si>
    <t>와이드실사_795*146</t>
    <phoneticPr fontId="1" type="noConversion"/>
  </si>
  <si>
    <t>와이드실사_595*146</t>
    <phoneticPr fontId="1" type="noConversion"/>
  </si>
  <si>
    <t>라이팅박스 이미지 출력(안쪽매장)</t>
    <phoneticPr fontId="1" type="noConversion"/>
  </si>
  <si>
    <t>와이드실사_759*146</t>
    <phoneticPr fontId="1" type="noConversion"/>
  </si>
  <si>
    <t>와이드실사_559*146</t>
    <phoneticPr fontId="1" type="noConversion"/>
  </si>
  <si>
    <t>라이팅박스 이미지 출력(안쪽외벽)</t>
    <phoneticPr fontId="1" type="noConversion"/>
  </si>
  <si>
    <t>라이팅박스 이미지 출력(중앙집기)</t>
    <phoneticPr fontId="1" type="noConversion"/>
  </si>
  <si>
    <t>와이드실사_1598*195</t>
    <phoneticPr fontId="1" type="noConversion"/>
  </si>
  <si>
    <t>930*3350</t>
    <phoneticPr fontId="1" type="noConversion"/>
  </si>
  <si>
    <t>1420*3350</t>
    <phoneticPr fontId="1" type="noConversion"/>
  </si>
  <si>
    <t>825*3350</t>
    <phoneticPr fontId="1" type="noConversion"/>
  </si>
  <si>
    <t>공급가액</t>
    <phoneticPr fontId="8" type="noConversion"/>
  </si>
  <si>
    <t>총         계</t>
    <phoneticPr fontId="8" type="noConversion"/>
  </si>
  <si>
    <t>내  역  서</t>
    <phoneticPr fontId="8" type="noConversion"/>
  </si>
  <si>
    <t>공 사 비 (원)</t>
    <phoneticPr fontId="8" type="noConversion"/>
  </si>
  <si>
    <t>부가가치세</t>
    <phoneticPr fontId="8" type="noConversion"/>
  </si>
  <si>
    <t>총 공 사 비 (원)</t>
    <phoneticPr fontId="8" type="noConversion"/>
  </si>
  <si>
    <t>업체명</t>
    <phoneticPr fontId="1" type="noConversion"/>
  </si>
  <si>
    <t xml:space="preserve"> :</t>
    <phoneticPr fontId="1" type="noConversion"/>
  </si>
  <si>
    <t>(인)</t>
    <phoneticPr fontId="1" type="noConversion"/>
  </si>
  <si>
    <t>대표이사</t>
    <phoneticPr fontId="1" type="noConversion"/>
  </si>
  <si>
    <t xml:space="preserve">대표전화 </t>
    <phoneticPr fontId="1" type="noConversion"/>
  </si>
  <si>
    <t>이메일</t>
    <phoneticPr fontId="1" type="noConversion"/>
  </si>
  <si>
    <t>코레일유통(주) 귀하</t>
    <phoneticPr fontId="8" type="noConversion"/>
  </si>
  <si>
    <t>공 사 명 : 부산역 맞이방 철도기념품(굿즈) 전문점 신축공사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</si>
</sst>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#"/>
    <numFmt numFmtId="177" formatCode="#,##0_ 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b/>
      <u/>
      <sz val="16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6"/>
      <color rgb="FF000000"/>
      <name val="+mn-ea"/>
      <family val="2"/>
    </font>
    <font>
      <sz val="11"/>
      <color rgb="FF000000"/>
      <name val="+mn-ea"/>
      <family val="2"/>
    </font>
    <font>
      <b/>
      <sz val="1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quotePrefix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4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4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76" fontId="3" fillId="0" borderId="4" xfId="0" applyNumberFormat="1" applyFont="1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6" fillId="0" borderId="4" xfId="0" quotePrefix="1" applyFont="1" applyBorder="1" applyAlignment="1">
      <alignment vertical="center" wrapText="1"/>
    </xf>
    <xf numFmtId="0" fontId="3" fillId="0" borderId="4" xfId="0" quotePrefix="1" applyFont="1" applyBorder="1" applyAlignment="1">
      <alignment horizontal="center" vertical="center" wrapText="1"/>
    </xf>
    <xf numFmtId="0" fontId="3" fillId="2" borderId="4" xfId="0" quotePrefix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vertical="center" wrapText="1"/>
    </xf>
    <xf numFmtId="0" fontId="3" fillId="2" borderId="4" xfId="0" quotePrefix="1" applyFont="1" applyFill="1" applyBorder="1" applyAlignment="1">
      <alignment vertical="center" wrapText="1"/>
    </xf>
    <xf numFmtId="0" fontId="3" fillId="3" borderId="4" xfId="0" quotePrefix="1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176" fontId="3" fillId="3" borderId="4" xfId="0" applyNumberFormat="1" applyFont="1" applyFill="1" applyBorder="1" applyAlignment="1">
      <alignment vertical="center" wrapText="1"/>
    </xf>
    <xf numFmtId="0" fontId="0" fillId="4" borderId="4" xfId="0" quotePrefix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176" fontId="3" fillId="4" borderId="4" xfId="0" applyNumberFormat="1" applyFont="1" applyFill="1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5" fillId="4" borderId="4" xfId="0" quotePrefix="1" applyFont="1" applyFill="1" applyBorder="1" applyAlignment="1">
      <alignment vertical="center" wrapText="1"/>
    </xf>
    <xf numFmtId="0" fontId="6" fillId="4" borderId="4" xfId="0" quotePrefix="1" applyFont="1" applyFill="1" applyBorder="1" applyAlignment="1">
      <alignment vertical="center" wrapText="1"/>
    </xf>
    <xf numFmtId="0" fontId="0" fillId="0" borderId="7" xfId="0" quotePrefix="1" applyBorder="1" applyAlignment="1">
      <alignment horizontal="center" vertical="center" wrapText="1"/>
    </xf>
    <xf numFmtId="0" fontId="7" fillId="0" borderId="8" xfId="1" applyBorder="1">
      <alignment vertical="center"/>
    </xf>
    <xf numFmtId="0" fontId="7" fillId="0" borderId="9" xfId="1" applyBorder="1" applyAlignment="1">
      <alignment horizontal="center" vertical="center"/>
    </xf>
    <xf numFmtId="41" fontId="0" fillId="0" borderId="9" xfId="2" applyFont="1" applyBorder="1">
      <alignment vertical="center"/>
    </xf>
    <xf numFmtId="0" fontId="7" fillId="0" borderId="10" xfId="1" applyBorder="1">
      <alignment vertical="center"/>
    </xf>
    <xf numFmtId="41" fontId="3" fillId="0" borderId="0" xfId="2" applyFont="1" applyBorder="1">
      <alignment vertical="center"/>
    </xf>
    <xf numFmtId="0" fontId="3" fillId="0" borderId="12" xfId="1" applyFont="1" applyBorder="1">
      <alignment vertical="center"/>
    </xf>
    <xf numFmtId="0" fontId="3" fillId="0" borderId="11" xfId="1" applyFont="1" applyBorder="1">
      <alignment vertical="center"/>
    </xf>
    <xf numFmtId="41" fontId="11" fillId="0" borderId="0" xfId="2" applyFont="1" applyBorder="1">
      <alignment vertical="center"/>
    </xf>
    <xf numFmtId="0" fontId="3" fillId="0" borderId="21" xfId="1" applyFont="1" applyBorder="1">
      <alignment vertical="center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>
      <alignment vertical="center"/>
    </xf>
    <xf numFmtId="0" fontId="16" fillId="0" borderId="14" xfId="1" applyFont="1" applyBorder="1" applyAlignment="1">
      <alignment horizontal="distributed" vertical="distributed" indent="2"/>
    </xf>
    <xf numFmtId="0" fontId="16" fillId="0" borderId="6" xfId="1" applyFont="1" applyBorder="1" applyAlignment="1">
      <alignment horizontal="distributed" vertical="distributed" indent="2"/>
    </xf>
    <xf numFmtId="0" fontId="3" fillId="0" borderId="0" xfId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distributed" vertical="center" indent="2"/>
    </xf>
    <xf numFmtId="0" fontId="18" fillId="0" borderId="0" xfId="1" quotePrefix="1" applyFont="1" applyBorder="1" applyAlignment="1">
      <alignment horizontal="left" vertical="center"/>
    </xf>
    <xf numFmtId="0" fontId="3" fillId="0" borderId="0" xfId="1" applyFont="1" applyBorder="1" applyAlignment="1">
      <alignment horizontal="right" vertical="center"/>
    </xf>
    <xf numFmtId="0" fontId="19" fillId="0" borderId="0" xfId="1" applyFont="1" applyBorder="1" applyAlignment="1">
      <alignment horizontal="left" vertical="center"/>
    </xf>
    <xf numFmtId="0" fontId="19" fillId="0" borderId="22" xfId="1" applyFont="1" applyBorder="1" applyAlignment="1">
      <alignment horizontal="left" vertical="center"/>
    </xf>
    <xf numFmtId="0" fontId="3" fillId="0" borderId="0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0" fontId="14" fillId="0" borderId="0" xfId="1" applyFont="1" applyBorder="1">
      <alignment vertical="center"/>
    </xf>
    <xf numFmtId="0" fontId="15" fillId="0" borderId="0" xfId="1" applyFont="1" applyBorder="1">
      <alignment vertical="center"/>
    </xf>
    <xf numFmtId="0" fontId="7" fillId="0" borderId="11" xfId="1" applyBorder="1">
      <alignment vertical="center"/>
    </xf>
    <xf numFmtId="0" fontId="3" fillId="0" borderId="9" xfId="1" applyFont="1" applyBorder="1">
      <alignment vertical="center"/>
    </xf>
    <xf numFmtId="0" fontId="20" fillId="0" borderId="22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177" fontId="17" fillId="0" borderId="14" xfId="1" applyNumberFormat="1" applyFont="1" applyBorder="1" applyAlignment="1">
      <alignment horizontal="right" vertical="center"/>
    </xf>
    <xf numFmtId="177" fontId="17" fillId="0" borderId="15" xfId="1" applyNumberFormat="1" applyFont="1" applyBorder="1" applyAlignment="1">
      <alignment horizontal="right" vertical="center"/>
    </xf>
    <xf numFmtId="177" fontId="17" fillId="0" borderId="6" xfId="1" applyNumberFormat="1" applyFont="1" applyBorder="1" applyAlignment="1">
      <alignment horizontal="right" vertical="center"/>
    </xf>
    <xf numFmtId="177" fontId="17" fillId="0" borderId="17" xfId="1" applyNumberFormat="1" applyFont="1" applyBorder="1" applyAlignment="1">
      <alignment horizontal="right" vertical="center"/>
    </xf>
    <xf numFmtId="0" fontId="16" fillId="0" borderId="18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177" fontId="16" fillId="0" borderId="19" xfId="1" applyNumberFormat="1" applyFont="1" applyBorder="1" applyAlignment="1">
      <alignment horizontal="right" vertical="center"/>
    </xf>
    <xf numFmtId="177" fontId="16" fillId="0" borderId="20" xfId="1" applyNumberFormat="1" applyFont="1" applyBorder="1" applyAlignment="1">
      <alignment horizontal="right" vertical="center"/>
    </xf>
    <xf numFmtId="0" fontId="3" fillId="0" borderId="4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0" fillId="0" borderId="4" xfId="0" quotePrefix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distributed" vertical="center" wrapText="1"/>
    </xf>
    <xf numFmtId="0" fontId="4" fillId="0" borderId="4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</cellXfs>
  <cellStyles count="3">
    <cellStyle name="쉼표 [0] 4 2" xfId="2"/>
    <cellStyle name="표준" xfId="0" builtinId="0"/>
    <cellStyle name="표준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B5" sqref="B5:E5"/>
    </sheetView>
  </sheetViews>
  <sheetFormatPr defaultRowHeight="16.5"/>
  <cols>
    <col min="1" max="1" width="19.5" customWidth="1"/>
    <col min="2" max="3" width="22.625" customWidth="1"/>
    <col min="4" max="5" width="19.5" customWidth="1"/>
    <col min="6" max="6" width="19.625" customWidth="1"/>
    <col min="7" max="16" width="19.5" customWidth="1"/>
  </cols>
  <sheetData>
    <row r="1" spans="1:7">
      <c r="A1" s="29"/>
      <c r="B1" s="30"/>
      <c r="C1" s="30"/>
      <c r="D1" s="30"/>
      <c r="E1" s="31"/>
      <c r="F1" s="32"/>
      <c r="G1" s="53"/>
    </row>
    <row r="2" spans="1:7">
      <c r="A2" s="35"/>
      <c r="B2" s="42"/>
      <c r="C2" s="42"/>
      <c r="D2" s="42"/>
      <c r="E2" s="33"/>
      <c r="F2" s="34"/>
      <c r="G2" s="48"/>
    </row>
    <row r="3" spans="1:7" ht="31.5">
      <c r="A3" s="35"/>
      <c r="B3" s="56" t="s">
        <v>685</v>
      </c>
      <c r="C3" s="56"/>
      <c r="D3" s="56"/>
      <c r="E3" s="56"/>
      <c r="F3" s="34"/>
      <c r="G3" s="48"/>
    </row>
    <row r="4" spans="1:7">
      <c r="A4" s="35"/>
      <c r="B4" s="42"/>
      <c r="C4" s="42"/>
      <c r="D4" s="42"/>
      <c r="E4" s="33"/>
      <c r="F4" s="34"/>
      <c r="G4" s="48"/>
    </row>
    <row r="5" spans="1:7" ht="26.25">
      <c r="A5" s="35"/>
      <c r="B5" s="57" t="s">
        <v>696</v>
      </c>
      <c r="C5" s="57"/>
      <c r="D5" s="57"/>
      <c r="E5" s="57"/>
      <c r="F5" s="34"/>
      <c r="G5" s="48"/>
    </row>
    <row r="6" spans="1:7" ht="17.25" thickBot="1">
      <c r="A6" s="35"/>
      <c r="B6" s="42"/>
      <c r="C6" s="42"/>
      <c r="D6" s="42"/>
      <c r="E6" s="33"/>
      <c r="F6" s="34"/>
      <c r="G6" s="48"/>
    </row>
    <row r="7" spans="1:7" ht="27.95" customHeight="1" thickTop="1">
      <c r="A7" s="35"/>
      <c r="B7" s="58" t="s">
        <v>686</v>
      </c>
      <c r="C7" s="40" t="s">
        <v>683</v>
      </c>
      <c r="D7" s="60"/>
      <c r="E7" s="61"/>
      <c r="F7" s="34"/>
      <c r="G7" s="48"/>
    </row>
    <row r="8" spans="1:7" ht="27.95" customHeight="1">
      <c r="A8" s="35"/>
      <c r="B8" s="59"/>
      <c r="C8" s="41" t="s">
        <v>687</v>
      </c>
      <c r="D8" s="62"/>
      <c r="E8" s="63"/>
      <c r="F8" s="34"/>
      <c r="G8" s="48"/>
    </row>
    <row r="9" spans="1:7" ht="27.95" customHeight="1">
      <c r="A9" s="35"/>
      <c r="B9" s="59"/>
      <c r="C9" s="41" t="s">
        <v>684</v>
      </c>
      <c r="D9" s="62"/>
      <c r="E9" s="63"/>
      <c r="F9" s="34"/>
      <c r="G9" s="48"/>
    </row>
    <row r="10" spans="1:7" ht="41.25" customHeight="1" thickBot="1">
      <c r="A10" s="35"/>
      <c r="B10" s="64" t="s">
        <v>688</v>
      </c>
      <c r="C10" s="65"/>
      <c r="D10" s="66"/>
      <c r="E10" s="67"/>
      <c r="F10" s="34"/>
      <c r="G10" s="48"/>
    </row>
    <row r="11" spans="1:7" ht="17.25" thickTop="1">
      <c r="A11" s="35"/>
      <c r="B11" s="42"/>
      <c r="C11" s="42"/>
      <c r="D11" s="42"/>
      <c r="E11" s="33"/>
      <c r="F11" s="34"/>
      <c r="G11" s="48"/>
    </row>
    <row r="12" spans="1:7">
      <c r="A12" s="35"/>
      <c r="B12" s="42"/>
      <c r="C12" s="42"/>
      <c r="D12" s="42"/>
      <c r="E12" s="33"/>
      <c r="F12" s="34"/>
      <c r="G12" s="48"/>
    </row>
    <row r="13" spans="1:7" ht="21.95" customHeight="1">
      <c r="A13" s="35"/>
      <c r="B13" s="42"/>
      <c r="C13" s="42"/>
      <c r="D13" s="43" t="s">
        <v>689</v>
      </c>
      <c r="E13" s="44" t="s">
        <v>690</v>
      </c>
      <c r="F13" s="34" t="s">
        <v>691</v>
      </c>
      <c r="G13" s="48"/>
    </row>
    <row r="14" spans="1:7" ht="21.95" customHeight="1">
      <c r="A14" s="35"/>
      <c r="B14" s="42"/>
      <c r="C14" s="42"/>
      <c r="D14" s="43" t="s">
        <v>692</v>
      </c>
      <c r="E14" s="44" t="s">
        <v>690</v>
      </c>
      <c r="F14" s="34"/>
      <c r="G14" s="48"/>
    </row>
    <row r="15" spans="1:7" ht="21.95" customHeight="1">
      <c r="A15" s="35"/>
      <c r="B15" s="42"/>
      <c r="C15" s="42"/>
      <c r="D15" s="43" t="s">
        <v>693</v>
      </c>
      <c r="E15" s="44" t="s">
        <v>690</v>
      </c>
      <c r="F15" s="34"/>
      <c r="G15" s="48"/>
    </row>
    <row r="16" spans="1:7" ht="21.95" customHeight="1">
      <c r="A16" s="35"/>
      <c r="B16" s="42"/>
      <c r="C16" s="42"/>
      <c r="D16" s="43" t="s">
        <v>694</v>
      </c>
      <c r="E16" s="44" t="s">
        <v>690</v>
      </c>
      <c r="F16" s="34"/>
      <c r="G16" s="48"/>
    </row>
    <row r="17" spans="1:7">
      <c r="A17" s="35"/>
      <c r="B17" s="42"/>
      <c r="C17" s="42"/>
      <c r="D17" s="45"/>
      <c r="E17" s="46"/>
      <c r="F17" s="34"/>
      <c r="G17" s="48"/>
    </row>
    <row r="18" spans="1:7" ht="26.25">
      <c r="A18" s="37"/>
      <c r="B18" s="38"/>
      <c r="C18" s="55" t="s">
        <v>695</v>
      </c>
      <c r="D18" s="55"/>
      <c r="E18" s="47"/>
      <c r="F18" s="39"/>
      <c r="G18" s="48"/>
    </row>
    <row r="19" spans="1:7">
      <c r="A19" s="54"/>
      <c r="B19" s="48"/>
      <c r="C19" s="42"/>
      <c r="D19" s="42"/>
      <c r="E19" s="42"/>
      <c r="F19" s="33"/>
      <c r="G19" s="48"/>
    </row>
    <row r="20" spans="1:7" ht="20.25">
      <c r="A20" s="48"/>
      <c r="B20" s="48"/>
      <c r="C20" s="42"/>
      <c r="D20" s="42"/>
      <c r="E20" s="42"/>
      <c r="F20" s="36"/>
      <c r="G20" s="48"/>
    </row>
    <row r="21" spans="1:7" ht="20.25">
      <c r="A21" s="48"/>
      <c r="B21" s="48"/>
      <c r="C21" s="42"/>
      <c r="D21" s="42"/>
      <c r="E21" s="42"/>
      <c r="F21" s="49"/>
      <c r="G21" s="48"/>
    </row>
    <row r="22" spans="1:7">
      <c r="A22" s="48"/>
      <c r="B22" s="48"/>
      <c r="C22" s="42"/>
      <c r="D22" s="42"/>
      <c r="E22" s="42"/>
      <c r="F22" s="50"/>
      <c r="G22" s="48"/>
    </row>
    <row r="23" spans="1:7">
      <c r="A23" s="48"/>
      <c r="B23" s="48"/>
      <c r="C23" s="42"/>
      <c r="D23" s="42"/>
      <c r="E23" s="42"/>
      <c r="F23" s="50"/>
      <c r="G23" s="48"/>
    </row>
    <row r="24" spans="1:7" ht="17.25">
      <c r="A24" s="48"/>
      <c r="B24" s="51"/>
      <c r="C24" s="42"/>
      <c r="D24" s="42"/>
      <c r="E24" s="42"/>
      <c r="F24" s="33"/>
      <c r="G24" s="48"/>
    </row>
    <row r="25" spans="1:7">
      <c r="A25" s="48"/>
      <c r="B25" s="52"/>
      <c r="C25" s="42"/>
      <c r="D25" s="42"/>
      <c r="E25" s="42"/>
      <c r="F25" s="33"/>
      <c r="G25" s="48"/>
    </row>
  </sheetData>
  <mergeCells count="9">
    <mergeCell ref="C18:D18"/>
    <mergeCell ref="B3:E3"/>
    <mergeCell ref="B5:E5"/>
    <mergeCell ref="B7:B9"/>
    <mergeCell ref="D7:E7"/>
    <mergeCell ref="D8:E8"/>
    <mergeCell ref="D9:E9"/>
    <mergeCell ref="B10:C10"/>
    <mergeCell ref="D10:E10"/>
  </mergeCells>
  <phoneticPr fontId="1" type="noConversion"/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abSelected="1" view="pageBreakPreview" topLeftCell="B1" zoomScaleNormal="100" zoomScaleSheetLayoutView="100" workbookViewId="0">
      <selection activeCell="E11" sqref="E11"/>
    </sheetView>
  </sheetViews>
  <sheetFormatPr defaultRowHeight="16.5"/>
  <cols>
    <col min="1" max="1" width="0" hidden="1" customWidth="1"/>
    <col min="2" max="3" width="4.625" customWidth="1"/>
    <col min="4" max="4" width="35.625" customWidth="1"/>
    <col min="5" max="5" width="25.625" customWidth="1"/>
    <col min="6" max="6" width="60.625" customWidth="1"/>
    <col min="7" max="7" width="30.625" customWidth="1"/>
  </cols>
  <sheetData>
    <row r="1" spans="1:7" ht="24" customHeight="1">
      <c r="B1" s="69" t="s">
        <v>543</v>
      </c>
      <c r="C1" s="69"/>
      <c r="D1" s="69"/>
      <c r="E1" s="69"/>
      <c r="F1" s="69"/>
      <c r="G1" s="69"/>
    </row>
    <row r="2" spans="1:7" ht="21.95" customHeight="1">
      <c r="B2" s="70" t="s">
        <v>663</v>
      </c>
      <c r="C2" s="70"/>
      <c r="D2" s="70"/>
      <c r="E2" s="70"/>
      <c r="F2" s="71"/>
      <c r="G2" s="71"/>
    </row>
    <row r="3" spans="1:7" ht="21.95" customHeight="1">
      <c r="B3" s="72" t="s">
        <v>544</v>
      </c>
      <c r="C3" s="68"/>
      <c r="D3" s="68"/>
      <c r="E3" s="15" t="s">
        <v>545</v>
      </c>
      <c r="F3" s="15" t="s">
        <v>546</v>
      </c>
      <c r="G3" s="15" t="s">
        <v>542</v>
      </c>
    </row>
    <row r="4" spans="1:7" ht="21.95" customHeight="1">
      <c r="A4" s="1" t="s">
        <v>551</v>
      </c>
      <c r="B4" s="73" t="s">
        <v>547</v>
      </c>
      <c r="C4" s="73" t="s">
        <v>548</v>
      </c>
      <c r="D4" s="15" t="s">
        <v>552</v>
      </c>
      <c r="E4" s="12">
        <f>TRUNC(공종별집계표!F5, 0)</f>
        <v>0</v>
      </c>
      <c r="F4" s="10" t="s">
        <v>50</v>
      </c>
      <c r="G4" s="10" t="s">
        <v>50</v>
      </c>
    </row>
    <row r="5" spans="1:7" ht="21.95" customHeight="1">
      <c r="A5" s="1" t="s">
        <v>553</v>
      </c>
      <c r="B5" s="73"/>
      <c r="C5" s="73"/>
      <c r="D5" s="15" t="s">
        <v>554</v>
      </c>
      <c r="E5" s="12">
        <v>0</v>
      </c>
      <c r="F5" s="10" t="s">
        <v>50</v>
      </c>
      <c r="G5" s="10" t="s">
        <v>50</v>
      </c>
    </row>
    <row r="6" spans="1:7" ht="21.95" customHeight="1">
      <c r="A6" s="1" t="s">
        <v>555</v>
      </c>
      <c r="B6" s="73"/>
      <c r="C6" s="73"/>
      <c r="D6" s="15" t="s">
        <v>556</v>
      </c>
      <c r="E6" s="12">
        <v>0</v>
      </c>
      <c r="F6" s="10" t="s">
        <v>50</v>
      </c>
      <c r="G6" s="10" t="s">
        <v>50</v>
      </c>
    </row>
    <row r="7" spans="1:7" ht="21.95" customHeight="1">
      <c r="A7" s="1" t="s">
        <v>557</v>
      </c>
      <c r="B7" s="73"/>
      <c r="C7" s="73"/>
      <c r="D7" s="15" t="s">
        <v>558</v>
      </c>
      <c r="E7" s="12">
        <f>TRUNC(E4+E5-E6, 0)</f>
        <v>0</v>
      </c>
      <c r="F7" s="10" t="s">
        <v>50</v>
      </c>
      <c r="G7" s="10" t="s">
        <v>50</v>
      </c>
    </row>
    <row r="8" spans="1:7" ht="21.95" customHeight="1">
      <c r="A8" s="1" t="s">
        <v>559</v>
      </c>
      <c r="B8" s="73"/>
      <c r="C8" s="73" t="s">
        <v>549</v>
      </c>
      <c r="D8" s="15" t="s">
        <v>560</v>
      </c>
      <c r="E8" s="12">
        <f>TRUNC(공종별집계표!H5, 0)</f>
        <v>0</v>
      </c>
      <c r="F8" s="10" t="s">
        <v>50</v>
      </c>
      <c r="G8" s="10" t="s">
        <v>50</v>
      </c>
    </row>
    <row r="9" spans="1:7" ht="21.95" customHeight="1">
      <c r="A9" s="1" t="s">
        <v>561</v>
      </c>
      <c r="B9" s="73"/>
      <c r="C9" s="73"/>
      <c r="D9" s="15" t="s">
        <v>562</v>
      </c>
      <c r="E9" s="12">
        <f>TRUNC(E8*0.175, 0)</f>
        <v>0</v>
      </c>
      <c r="F9" s="10" t="s">
        <v>563</v>
      </c>
      <c r="G9" s="10" t="s">
        <v>50</v>
      </c>
    </row>
    <row r="10" spans="1:7" ht="21.95" customHeight="1">
      <c r="A10" s="1" t="s">
        <v>564</v>
      </c>
      <c r="B10" s="73"/>
      <c r="C10" s="73"/>
      <c r="D10" s="15" t="s">
        <v>558</v>
      </c>
      <c r="E10" s="12">
        <f>TRUNC(E8+E9, 0)</f>
        <v>0</v>
      </c>
      <c r="F10" s="10" t="s">
        <v>50</v>
      </c>
      <c r="G10" s="10" t="s">
        <v>50</v>
      </c>
    </row>
    <row r="11" spans="1:7" ht="21.95" customHeight="1">
      <c r="A11" s="1" t="s">
        <v>565</v>
      </c>
      <c r="B11" s="73"/>
      <c r="C11" s="73" t="s">
        <v>550</v>
      </c>
      <c r="D11" s="15" t="s">
        <v>566</v>
      </c>
      <c r="E11" s="12">
        <f>TRUNC(공종별집계표!J5, 0)</f>
        <v>0</v>
      </c>
      <c r="F11" s="10" t="s">
        <v>50</v>
      </c>
      <c r="G11" s="10" t="s">
        <v>50</v>
      </c>
    </row>
    <row r="12" spans="1:7" ht="21.95" customHeight="1">
      <c r="A12" s="1" t="s">
        <v>567</v>
      </c>
      <c r="B12" s="73"/>
      <c r="C12" s="73"/>
      <c r="D12" s="15" t="s">
        <v>568</v>
      </c>
      <c r="E12" s="12">
        <f>TRUNC(E10*0.0356, 0)</f>
        <v>0</v>
      </c>
      <c r="F12" s="10" t="s">
        <v>569</v>
      </c>
      <c r="G12" s="10" t="s">
        <v>50</v>
      </c>
    </row>
    <row r="13" spans="1:7" ht="21.95" customHeight="1">
      <c r="A13" s="1" t="s">
        <v>570</v>
      </c>
      <c r="B13" s="73"/>
      <c r="C13" s="73"/>
      <c r="D13" s="15" t="s">
        <v>571</v>
      </c>
      <c r="E13" s="12">
        <f>TRUNC(E10*0.0101, 0)</f>
        <v>0</v>
      </c>
      <c r="F13" s="10" t="s">
        <v>572</v>
      </c>
      <c r="G13" s="10" t="s">
        <v>50</v>
      </c>
    </row>
    <row r="14" spans="1:7" ht="21.95" customHeight="1">
      <c r="A14" s="1" t="s">
        <v>573</v>
      </c>
      <c r="B14" s="73"/>
      <c r="C14" s="73"/>
      <c r="D14" s="16" t="s">
        <v>574</v>
      </c>
      <c r="E14" s="17">
        <f>TRUNC(E8*0.03595*0, 0)</f>
        <v>0</v>
      </c>
      <c r="F14" s="18" t="s">
        <v>575</v>
      </c>
      <c r="G14" s="18" t="s">
        <v>576</v>
      </c>
    </row>
    <row r="15" spans="1:7" ht="21.95" customHeight="1">
      <c r="A15" s="1" t="s">
        <v>577</v>
      </c>
      <c r="B15" s="73"/>
      <c r="C15" s="73"/>
      <c r="D15" s="16" t="s">
        <v>578</v>
      </c>
      <c r="E15" s="17">
        <f>TRUNC(E8*0.0475*0, 0)</f>
        <v>0</v>
      </c>
      <c r="F15" s="18" t="s">
        <v>579</v>
      </c>
      <c r="G15" s="18" t="s">
        <v>576</v>
      </c>
    </row>
    <row r="16" spans="1:7" ht="21.95" customHeight="1">
      <c r="A16" s="1" t="s">
        <v>580</v>
      </c>
      <c r="B16" s="73"/>
      <c r="C16" s="73"/>
      <c r="D16" s="15" t="s">
        <v>581</v>
      </c>
      <c r="E16" s="12">
        <f>TRUNC(E8*0.023, 0)</f>
        <v>0</v>
      </c>
      <c r="F16" s="10" t="s">
        <v>582</v>
      </c>
      <c r="G16" s="10"/>
    </row>
    <row r="17" spans="1:7" ht="21.95" customHeight="1">
      <c r="A17" s="1" t="s">
        <v>583</v>
      </c>
      <c r="B17" s="73"/>
      <c r="C17" s="73"/>
      <c r="D17" s="15" t="s">
        <v>584</v>
      </c>
      <c r="E17" s="12">
        <f>TRUNC((E7+E8+(0/1.1))*0.0311, 0)</f>
        <v>0</v>
      </c>
      <c r="F17" s="10" t="s">
        <v>585</v>
      </c>
      <c r="G17" s="10" t="s">
        <v>50</v>
      </c>
    </row>
    <row r="18" spans="1:7" ht="21.95" customHeight="1">
      <c r="A18" s="1" t="s">
        <v>586</v>
      </c>
      <c r="B18" s="73"/>
      <c r="C18" s="73"/>
      <c r="D18" s="16" t="s">
        <v>587</v>
      </c>
      <c r="E18" s="17">
        <f>TRUNC(E14*0.1214*0, 0)</f>
        <v>0</v>
      </c>
      <c r="F18" s="18" t="s">
        <v>637</v>
      </c>
      <c r="G18" s="18" t="s">
        <v>576</v>
      </c>
    </row>
    <row r="19" spans="1:7" ht="21.95" customHeight="1">
      <c r="A19" s="1" t="s">
        <v>588</v>
      </c>
      <c r="B19" s="73"/>
      <c r="C19" s="73"/>
      <c r="D19" s="15" t="s">
        <v>589</v>
      </c>
      <c r="E19" s="12">
        <f>TRUNC(E10*0.00006, 0)</f>
        <v>0</v>
      </c>
      <c r="F19" s="10" t="s">
        <v>590</v>
      </c>
      <c r="G19" s="10" t="s">
        <v>50</v>
      </c>
    </row>
    <row r="20" spans="1:7" ht="21.95" customHeight="1">
      <c r="A20" s="1" t="s">
        <v>591</v>
      </c>
      <c r="B20" s="73"/>
      <c r="C20" s="73"/>
      <c r="D20" s="15" t="s">
        <v>592</v>
      </c>
      <c r="E20" s="12">
        <f>TRUNC(E10*0.0009, 0)</f>
        <v>0</v>
      </c>
      <c r="F20" s="10" t="s">
        <v>593</v>
      </c>
      <c r="G20" s="10" t="s">
        <v>50</v>
      </c>
    </row>
    <row r="21" spans="1:7" ht="21.95" customHeight="1">
      <c r="A21" s="1" t="s">
        <v>594</v>
      </c>
      <c r="B21" s="73"/>
      <c r="C21" s="73"/>
      <c r="D21" s="15" t="s">
        <v>595</v>
      </c>
      <c r="E21" s="12">
        <f>TRUNC((E7+E10)*0.05, 0)</f>
        <v>0</v>
      </c>
      <c r="F21" s="10" t="s">
        <v>596</v>
      </c>
      <c r="G21" s="10" t="s">
        <v>50</v>
      </c>
    </row>
    <row r="22" spans="1:7" ht="21.95" customHeight="1">
      <c r="A22" s="1" t="s">
        <v>597</v>
      </c>
      <c r="B22" s="73"/>
      <c r="C22" s="73"/>
      <c r="D22" s="15" t="s">
        <v>598</v>
      </c>
      <c r="E22" s="12">
        <f>TRUNC((E7+E8+E11)*0.003, 0)</f>
        <v>0</v>
      </c>
      <c r="F22" s="10" t="s">
        <v>599</v>
      </c>
      <c r="G22" s="10" t="s">
        <v>50</v>
      </c>
    </row>
    <row r="23" spans="1:7" ht="21.95" customHeight="1">
      <c r="A23" s="1" t="s">
        <v>600</v>
      </c>
      <c r="B23" s="73"/>
      <c r="C23" s="73"/>
      <c r="D23" s="15" t="s">
        <v>558</v>
      </c>
      <c r="E23" s="12">
        <f>TRUNC(E11+E12+E13+E14+E15+E16+E17+E18+E20+E19+E21+E22, 0)</f>
        <v>0</v>
      </c>
      <c r="F23" s="10" t="s">
        <v>50</v>
      </c>
      <c r="G23" s="10" t="s">
        <v>50</v>
      </c>
    </row>
    <row r="24" spans="1:7" ht="21.95" customHeight="1">
      <c r="A24" s="1" t="s">
        <v>601</v>
      </c>
      <c r="B24" s="68" t="s">
        <v>602</v>
      </c>
      <c r="C24" s="68"/>
      <c r="D24" s="68"/>
      <c r="E24" s="12">
        <f>TRUNC(E7+E10+E23, 0)</f>
        <v>0</v>
      </c>
      <c r="F24" s="10" t="s">
        <v>50</v>
      </c>
      <c r="G24" s="10" t="s">
        <v>50</v>
      </c>
    </row>
    <row r="25" spans="1:7" ht="21.95" customHeight="1">
      <c r="A25" s="1" t="s">
        <v>603</v>
      </c>
      <c r="B25" s="68" t="s">
        <v>604</v>
      </c>
      <c r="C25" s="68"/>
      <c r="D25" s="68"/>
      <c r="E25" s="12">
        <f>TRUNC(E24*0.08, 0)</f>
        <v>0</v>
      </c>
      <c r="F25" s="10" t="s">
        <v>605</v>
      </c>
      <c r="G25" s="10" t="s">
        <v>50</v>
      </c>
    </row>
    <row r="26" spans="1:7" ht="21.95" customHeight="1">
      <c r="A26" s="1" t="s">
        <v>606</v>
      </c>
      <c r="B26" s="68" t="s">
        <v>607</v>
      </c>
      <c r="C26" s="68"/>
      <c r="D26" s="68"/>
      <c r="E26" s="12">
        <f>TRUNC((E10+E23+E25)*0.15, 0)</f>
        <v>0</v>
      </c>
      <c r="F26" s="10" t="s">
        <v>608</v>
      </c>
      <c r="G26" s="10" t="s">
        <v>50</v>
      </c>
    </row>
    <row r="27" spans="1:7" ht="21.95" customHeight="1">
      <c r="A27" s="1" t="s">
        <v>609</v>
      </c>
      <c r="B27" s="68" t="s">
        <v>610</v>
      </c>
      <c r="C27" s="68"/>
      <c r="D27" s="68"/>
      <c r="E27" s="12"/>
      <c r="F27" s="10" t="s">
        <v>50</v>
      </c>
      <c r="G27" s="10" t="s">
        <v>50</v>
      </c>
    </row>
    <row r="28" spans="1:7" ht="21.95" customHeight="1">
      <c r="A28" s="1" t="s">
        <v>611</v>
      </c>
      <c r="B28" s="68" t="s">
        <v>533</v>
      </c>
      <c r="C28" s="68"/>
      <c r="D28" s="68"/>
      <c r="E28" s="12"/>
      <c r="F28" s="10" t="s">
        <v>50</v>
      </c>
      <c r="G28" s="10" t="s">
        <v>50</v>
      </c>
    </row>
    <row r="29" spans="1:7" ht="21.95" customHeight="1">
      <c r="A29" s="1" t="s">
        <v>612</v>
      </c>
      <c r="B29" s="68" t="s">
        <v>613</v>
      </c>
      <c r="C29" s="68"/>
      <c r="D29" s="68"/>
      <c r="E29" s="12"/>
      <c r="F29" s="10" t="s">
        <v>50</v>
      </c>
      <c r="G29" s="10" t="s">
        <v>50</v>
      </c>
    </row>
    <row r="30" spans="1:7" ht="21.95" customHeight="1">
      <c r="A30" s="1" t="s">
        <v>614</v>
      </c>
      <c r="B30" s="68" t="s">
        <v>615</v>
      </c>
      <c r="C30" s="68"/>
      <c r="D30" s="68"/>
      <c r="E30" s="12"/>
      <c r="F30" s="10" t="s">
        <v>616</v>
      </c>
      <c r="G30" s="10" t="s">
        <v>50</v>
      </c>
    </row>
    <row r="31" spans="1:7" ht="21.95" customHeight="1">
      <c r="A31" s="1" t="s">
        <v>617</v>
      </c>
      <c r="B31" s="68" t="s">
        <v>618</v>
      </c>
      <c r="C31" s="68"/>
      <c r="D31" s="68"/>
      <c r="E31" s="12"/>
      <c r="F31" s="10" t="s">
        <v>50</v>
      </c>
      <c r="G31" s="10" t="s">
        <v>50</v>
      </c>
    </row>
    <row r="32" spans="1:7" ht="21.95" customHeight="1">
      <c r="A32" s="1" t="s">
        <v>619</v>
      </c>
      <c r="B32" s="68" t="s">
        <v>620</v>
      </c>
      <c r="C32" s="68"/>
      <c r="D32" s="68"/>
      <c r="E32" s="12"/>
      <c r="F32" s="10" t="s">
        <v>50</v>
      </c>
      <c r="G32" s="10" t="s">
        <v>50</v>
      </c>
    </row>
  </sheetData>
  <mergeCells count="17">
    <mergeCell ref="B1:G1"/>
    <mergeCell ref="B2:E2"/>
    <mergeCell ref="F2:G2"/>
    <mergeCell ref="B3:D3"/>
    <mergeCell ref="B4:B23"/>
    <mergeCell ref="C4:C7"/>
    <mergeCell ref="C8:C10"/>
    <mergeCell ref="C11:C23"/>
    <mergeCell ref="B30:D30"/>
    <mergeCell ref="B31:D31"/>
    <mergeCell ref="B32:D32"/>
    <mergeCell ref="B24:D24"/>
    <mergeCell ref="B25:D25"/>
    <mergeCell ref="B26:D26"/>
    <mergeCell ref="B27:D27"/>
    <mergeCell ref="B28:D28"/>
    <mergeCell ref="B29:D29"/>
  </mergeCells>
  <phoneticPr fontId="1" type="noConversion"/>
  <printOptions horizontalCentered="1" verticalCentered="1"/>
  <pageMargins left="0" right="0" top="0" bottom="0" header="0" footer="0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7"/>
  <sheetViews>
    <sheetView zoomScaleNormal="100" workbookViewId="0">
      <selection activeCell="E15" sqref="E15"/>
    </sheetView>
  </sheetViews>
  <sheetFormatPr defaultRowHeight="16.5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0" ht="30" customHeight="1">
      <c r="A2" s="4" t="s">
        <v>664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20" ht="30" customHeight="1">
      <c r="A3" s="74" t="s">
        <v>1</v>
      </c>
      <c r="B3" s="74" t="s">
        <v>2</v>
      </c>
      <c r="C3" s="74" t="s">
        <v>3</v>
      </c>
      <c r="D3" s="74" t="s">
        <v>4</v>
      </c>
      <c r="E3" s="74" t="s">
        <v>5</v>
      </c>
      <c r="F3" s="74"/>
      <c r="G3" s="74" t="s">
        <v>8</v>
      </c>
      <c r="H3" s="74"/>
      <c r="I3" s="74" t="s">
        <v>9</v>
      </c>
      <c r="J3" s="74"/>
      <c r="K3" s="74" t="s">
        <v>10</v>
      </c>
      <c r="L3" s="74"/>
      <c r="M3" s="74" t="s">
        <v>11</v>
      </c>
      <c r="N3" s="70" t="s">
        <v>12</v>
      </c>
      <c r="O3" s="70" t="s">
        <v>13</v>
      </c>
      <c r="P3" s="70" t="s">
        <v>14</v>
      </c>
      <c r="Q3" s="70" t="s">
        <v>15</v>
      </c>
      <c r="R3" s="70" t="s">
        <v>16</v>
      </c>
      <c r="S3" s="70" t="s">
        <v>17</v>
      </c>
      <c r="T3" s="70" t="s">
        <v>18</v>
      </c>
    </row>
    <row r="4" spans="1:20" ht="30" customHeight="1">
      <c r="A4" s="75"/>
      <c r="B4" s="75"/>
      <c r="C4" s="75"/>
      <c r="D4" s="75"/>
      <c r="E4" s="9" t="s">
        <v>6</v>
      </c>
      <c r="F4" s="9" t="s">
        <v>7</v>
      </c>
      <c r="G4" s="9" t="s">
        <v>6</v>
      </c>
      <c r="H4" s="9" t="s">
        <v>7</v>
      </c>
      <c r="I4" s="9" t="s">
        <v>6</v>
      </c>
      <c r="J4" s="9" t="s">
        <v>7</v>
      </c>
      <c r="K4" s="9" t="s">
        <v>6</v>
      </c>
      <c r="L4" s="9" t="s">
        <v>7</v>
      </c>
      <c r="M4" s="75"/>
      <c r="N4" s="70"/>
      <c r="O4" s="70"/>
      <c r="P4" s="70"/>
      <c r="Q4" s="70"/>
      <c r="R4" s="70"/>
      <c r="S4" s="70"/>
      <c r="T4" s="70"/>
    </row>
    <row r="5" spans="1:20" ht="30" customHeight="1">
      <c r="A5" s="14" t="s">
        <v>665</v>
      </c>
      <c r="B5" s="10" t="s">
        <v>50</v>
      </c>
      <c r="C5" s="10" t="s">
        <v>50</v>
      </c>
      <c r="D5" s="11">
        <v>1</v>
      </c>
      <c r="E5" s="12">
        <f>F6</f>
        <v>0</v>
      </c>
      <c r="F5" s="12">
        <f t="shared" ref="F5:F19" si="0">E5*D5</f>
        <v>0</v>
      </c>
      <c r="G5" s="12">
        <f>H6</f>
        <v>0</v>
      </c>
      <c r="H5" s="12">
        <f t="shared" ref="H5:H19" si="1">G5*D5</f>
        <v>0</v>
      </c>
      <c r="I5" s="12">
        <f>J6</f>
        <v>0</v>
      </c>
      <c r="J5" s="12">
        <f t="shared" ref="J5:J19" si="2">I5*D5</f>
        <v>0</v>
      </c>
      <c r="K5" s="12">
        <f t="shared" ref="K5:K19" si="3">E5+G5+I5</f>
        <v>0</v>
      </c>
      <c r="L5" s="12">
        <f t="shared" ref="L5:L19" si="4">F5+H5+J5</f>
        <v>0</v>
      </c>
      <c r="M5" s="10" t="s">
        <v>50</v>
      </c>
      <c r="N5" s="1" t="s">
        <v>51</v>
      </c>
      <c r="O5" s="1" t="s">
        <v>50</v>
      </c>
      <c r="P5" s="1" t="s">
        <v>50</v>
      </c>
      <c r="Q5" s="1" t="s">
        <v>50</v>
      </c>
      <c r="R5">
        <v>1</v>
      </c>
      <c r="S5" s="1" t="s">
        <v>50</v>
      </c>
      <c r="T5" s="8"/>
    </row>
    <row r="6" spans="1:20" ht="30" customHeight="1">
      <c r="A6" s="10" t="s">
        <v>52</v>
      </c>
      <c r="B6" s="10" t="s">
        <v>50</v>
      </c>
      <c r="C6" s="10" t="s">
        <v>50</v>
      </c>
      <c r="D6" s="11">
        <v>1</v>
      </c>
      <c r="E6" s="12">
        <f>F7+F8+F9+F10+F11+F12+F13+F14+F15+F16+F17</f>
        <v>0</v>
      </c>
      <c r="F6" s="12">
        <f t="shared" si="0"/>
        <v>0</v>
      </c>
      <c r="G6" s="12">
        <f>H7+H8+H9+H10+H11+H12+H13+H14+H15+H16+H17</f>
        <v>0</v>
      </c>
      <c r="H6" s="12">
        <f t="shared" si="1"/>
        <v>0</v>
      </c>
      <c r="I6" s="12">
        <f>J7+J8+J9+J10+J11+J12+J13+J14+J15+J16+J17</f>
        <v>0</v>
      </c>
      <c r="J6" s="12">
        <f t="shared" si="2"/>
        <v>0</v>
      </c>
      <c r="K6" s="12">
        <f t="shared" si="3"/>
        <v>0</v>
      </c>
      <c r="L6" s="12">
        <f t="shared" si="4"/>
        <v>0</v>
      </c>
      <c r="M6" s="10" t="s">
        <v>50</v>
      </c>
      <c r="N6" s="1" t="s">
        <v>53</v>
      </c>
      <c r="O6" s="1" t="s">
        <v>50</v>
      </c>
      <c r="P6" s="1" t="s">
        <v>51</v>
      </c>
      <c r="Q6" s="1" t="s">
        <v>50</v>
      </c>
      <c r="R6">
        <v>2</v>
      </c>
      <c r="S6" s="1" t="s">
        <v>50</v>
      </c>
      <c r="T6" s="8"/>
    </row>
    <row r="7" spans="1:20" ht="30" customHeight="1">
      <c r="A7" s="10" t="s">
        <v>621</v>
      </c>
      <c r="B7" s="10" t="s">
        <v>50</v>
      </c>
      <c r="C7" s="10" t="s">
        <v>50</v>
      </c>
      <c r="D7" s="11">
        <v>1</v>
      </c>
      <c r="E7" s="12">
        <f>공종별내역서!F27</f>
        <v>0</v>
      </c>
      <c r="F7" s="12">
        <f t="shared" si="0"/>
        <v>0</v>
      </c>
      <c r="G7" s="12">
        <f>공종별내역서!H27</f>
        <v>0</v>
      </c>
      <c r="H7" s="12">
        <f t="shared" si="1"/>
        <v>0</v>
      </c>
      <c r="I7" s="12">
        <f>공종별내역서!J27</f>
        <v>0</v>
      </c>
      <c r="J7" s="12">
        <f t="shared" si="2"/>
        <v>0</v>
      </c>
      <c r="K7" s="12">
        <f t="shared" si="3"/>
        <v>0</v>
      </c>
      <c r="L7" s="12">
        <f t="shared" si="4"/>
        <v>0</v>
      </c>
      <c r="M7" s="10" t="s">
        <v>50</v>
      </c>
      <c r="N7" s="1" t="s">
        <v>54</v>
      </c>
      <c r="O7" s="1" t="s">
        <v>50</v>
      </c>
      <c r="P7" s="1" t="s">
        <v>53</v>
      </c>
      <c r="Q7" s="1" t="s">
        <v>50</v>
      </c>
      <c r="R7">
        <v>3</v>
      </c>
      <c r="S7" s="1" t="s">
        <v>50</v>
      </c>
      <c r="T7" s="8"/>
    </row>
    <row r="8" spans="1:20" ht="30" customHeight="1">
      <c r="A8" s="10" t="s">
        <v>622</v>
      </c>
      <c r="B8" s="10" t="s">
        <v>50</v>
      </c>
      <c r="C8" s="10" t="s">
        <v>50</v>
      </c>
      <c r="D8" s="11">
        <v>1</v>
      </c>
      <c r="E8" s="12">
        <f>공종별내역서!F51</f>
        <v>0</v>
      </c>
      <c r="F8" s="12">
        <f t="shared" si="0"/>
        <v>0</v>
      </c>
      <c r="G8" s="12">
        <f>공종별내역서!H51</f>
        <v>0</v>
      </c>
      <c r="H8" s="12">
        <f t="shared" si="1"/>
        <v>0</v>
      </c>
      <c r="I8" s="12">
        <f>공종별내역서!J51</f>
        <v>0</v>
      </c>
      <c r="J8" s="12">
        <f t="shared" si="2"/>
        <v>0</v>
      </c>
      <c r="K8" s="12">
        <f t="shared" si="3"/>
        <v>0</v>
      </c>
      <c r="L8" s="12">
        <f t="shared" si="4"/>
        <v>0</v>
      </c>
      <c r="M8" s="10" t="s">
        <v>50</v>
      </c>
      <c r="N8" s="1" t="s">
        <v>122</v>
      </c>
      <c r="O8" s="1" t="s">
        <v>50</v>
      </c>
      <c r="P8" s="1" t="s">
        <v>53</v>
      </c>
      <c r="Q8" s="1" t="s">
        <v>50</v>
      </c>
      <c r="R8">
        <v>3</v>
      </c>
      <c r="S8" s="1" t="s">
        <v>50</v>
      </c>
      <c r="T8" s="8"/>
    </row>
    <row r="9" spans="1:20" ht="30" customHeight="1">
      <c r="A9" s="10" t="s">
        <v>623</v>
      </c>
      <c r="B9" s="10" t="s">
        <v>50</v>
      </c>
      <c r="C9" s="10" t="s">
        <v>50</v>
      </c>
      <c r="D9" s="11">
        <v>1</v>
      </c>
      <c r="E9" s="12">
        <f>공종별내역서!F85</f>
        <v>0</v>
      </c>
      <c r="F9" s="12">
        <f t="shared" si="0"/>
        <v>0</v>
      </c>
      <c r="G9" s="12">
        <f>공종별내역서!H85</f>
        <v>0</v>
      </c>
      <c r="H9" s="12">
        <f t="shared" si="1"/>
        <v>0</v>
      </c>
      <c r="I9" s="12">
        <f>공종별내역서!J85</f>
        <v>0</v>
      </c>
      <c r="J9" s="12">
        <f t="shared" si="2"/>
        <v>0</v>
      </c>
      <c r="K9" s="12">
        <f t="shared" si="3"/>
        <v>0</v>
      </c>
      <c r="L9" s="12">
        <f t="shared" si="4"/>
        <v>0</v>
      </c>
      <c r="M9" s="10" t="s">
        <v>50</v>
      </c>
      <c r="N9" s="1" t="s">
        <v>132</v>
      </c>
      <c r="O9" s="1" t="s">
        <v>50</v>
      </c>
      <c r="P9" s="1" t="s">
        <v>53</v>
      </c>
      <c r="Q9" s="1" t="s">
        <v>50</v>
      </c>
      <c r="R9">
        <v>3</v>
      </c>
      <c r="S9" s="1" t="s">
        <v>50</v>
      </c>
      <c r="T9" s="8"/>
    </row>
    <row r="10" spans="1:20" ht="30" customHeight="1">
      <c r="A10" s="10" t="s">
        <v>624</v>
      </c>
      <c r="B10" s="10" t="s">
        <v>50</v>
      </c>
      <c r="C10" s="10" t="s">
        <v>50</v>
      </c>
      <c r="D10" s="11">
        <v>1</v>
      </c>
      <c r="E10" s="12">
        <f>공종별내역서!F109</f>
        <v>0</v>
      </c>
      <c r="F10" s="12">
        <f t="shared" si="0"/>
        <v>0</v>
      </c>
      <c r="G10" s="12">
        <f>공종별내역서!H109</f>
        <v>0</v>
      </c>
      <c r="H10" s="12">
        <f t="shared" si="1"/>
        <v>0</v>
      </c>
      <c r="I10" s="12">
        <f>공종별내역서!J109</f>
        <v>0</v>
      </c>
      <c r="J10" s="12">
        <f t="shared" si="2"/>
        <v>0</v>
      </c>
      <c r="K10" s="12">
        <f t="shared" si="3"/>
        <v>0</v>
      </c>
      <c r="L10" s="12">
        <f t="shared" si="4"/>
        <v>0</v>
      </c>
      <c r="M10" s="10" t="s">
        <v>50</v>
      </c>
      <c r="N10" s="1" t="s">
        <v>156</v>
      </c>
      <c r="O10" s="1" t="s">
        <v>50</v>
      </c>
      <c r="P10" s="1" t="s">
        <v>53</v>
      </c>
      <c r="Q10" s="1" t="s">
        <v>50</v>
      </c>
      <c r="R10">
        <v>3</v>
      </c>
      <c r="S10" s="1" t="s">
        <v>50</v>
      </c>
      <c r="T10" s="8"/>
    </row>
    <row r="11" spans="1:20" ht="30" customHeight="1">
      <c r="A11" s="10" t="s">
        <v>625</v>
      </c>
      <c r="B11" s="10" t="s">
        <v>50</v>
      </c>
      <c r="C11" s="10" t="s">
        <v>50</v>
      </c>
      <c r="D11" s="11">
        <v>1</v>
      </c>
      <c r="E11" s="12">
        <f>공종별내역서!F133</f>
        <v>0</v>
      </c>
      <c r="F11" s="12">
        <f t="shared" si="0"/>
        <v>0</v>
      </c>
      <c r="G11" s="12">
        <f>공종별내역서!H133</f>
        <v>0</v>
      </c>
      <c r="H11" s="12">
        <f t="shared" si="1"/>
        <v>0</v>
      </c>
      <c r="I11" s="12">
        <f>공종별내역서!J133</f>
        <v>0</v>
      </c>
      <c r="J11" s="12">
        <f t="shared" si="2"/>
        <v>0</v>
      </c>
      <c r="K11" s="12">
        <f t="shared" si="3"/>
        <v>0</v>
      </c>
      <c r="L11" s="12">
        <f t="shared" si="4"/>
        <v>0</v>
      </c>
      <c r="M11" s="10" t="s">
        <v>50</v>
      </c>
      <c r="N11" s="1" t="s">
        <v>207</v>
      </c>
      <c r="O11" s="1" t="s">
        <v>50</v>
      </c>
      <c r="P11" s="1" t="s">
        <v>53</v>
      </c>
      <c r="Q11" s="1" t="s">
        <v>50</v>
      </c>
      <c r="R11">
        <v>3</v>
      </c>
      <c r="S11" s="1" t="s">
        <v>50</v>
      </c>
      <c r="T11" s="8"/>
    </row>
    <row r="12" spans="1:20" ht="30" customHeight="1">
      <c r="A12" s="10" t="s">
        <v>626</v>
      </c>
      <c r="B12" s="10" t="s">
        <v>50</v>
      </c>
      <c r="C12" s="10" t="s">
        <v>50</v>
      </c>
      <c r="D12" s="11">
        <v>1</v>
      </c>
      <c r="E12" s="12">
        <f>공종별내역서!F157</f>
        <v>0</v>
      </c>
      <c r="F12" s="12">
        <f t="shared" si="0"/>
        <v>0</v>
      </c>
      <c r="G12" s="12">
        <f>공종별내역서!H157</f>
        <v>0</v>
      </c>
      <c r="H12" s="12">
        <f t="shared" si="1"/>
        <v>0</v>
      </c>
      <c r="I12" s="12">
        <f>공종별내역서!J157</f>
        <v>0</v>
      </c>
      <c r="J12" s="12">
        <f t="shared" si="2"/>
        <v>0</v>
      </c>
      <c r="K12" s="12">
        <f t="shared" si="3"/>
        <v>0</v>
      </c>
      <c r="L12" s="12">
        <f t="shared" si="4"/>
        <v>0</v>
      </c>
      <c r="M12" s="10" t="s">
        <v>50</v>
      </c>
      <c r="N12" s="1" t="s">
        <v>298</v>
      </c>
      <c r="O12" s="1" t="s">
        <v>50</v>
      </c>
      <c r="P12" s="1" t="s">
        <v>53</v>
      </c>
      <c r="Q12" s="1" t="s">
        <v>50</v>
      </c>
      <c r="R12">
        <v>3</v>
      </c>
      <c r="S12" s="1" t="s">
        <v>50</v>
      </c>
      <c r="T12" s="8"/>
    </row>
    <row r="13" spans="1:20" ht="30" customHeight="1">
      <c r="A13" s="10" t="s">
        <v>627</v>
      </c>
      <c r="B13" s="10" t="s">
        <v>50</v>
      </c>
      <c r="C13" s="10" t="s">
        <v>50</v>
      </c>
      <c r="D13" s="11">
        <v>1</v>
      </c>
      <c r="E13" s="12">
        <f>공종별내역서!F181</f>
        <v>0</v>
      </c>
      <c r="F13" s="12">
        <f t="shared" si="0"/>
        <v>0</v>
      </c>
      <c r="G13" s="12">
        <f>공종별내역서!H181</f>
        <v>0</v>
      </c>
      <c r="H13" s="12">
        <f t="shared" si="1"/>
        <v>0</v>
      </c>
      <c r="I13" s="12">
        <f>공종별내역서!J181</f>
        <v>0</v>
      </c>
      <c r="J13" s="12">
        <f t="shared" si="2"/>
        <v>0</v>
      </c>
      <c r="K13" s="12">
        <f t="shared" si="3"/>
        <v>0</v>
      </c>
      <c r="L13" s="12">
        <f t="shared" si="4"/>
        <v>0</v>
      </c>
      <c r="M13" s="10" t="s">
        <v>50</v>
      </c>
      <c r="N13" s="1" t="s">
        <v>324</v>
      </c>
      <c r="O13" s="1" t="s">
        <v>50</v>
      </c>
      <c r="P13" s="1" t="s">
        <v>53</v>
      </c>
      <c r="Q13" s="1" t="s">
        <v>50</v>
      </c>
      <c r="R13">
        <v>3</v>
      </c>
      <c r="S13" s="1" t="s">
        <v>50</v>
      </c>
      <c r="T13" s="8"/>
    </row>
    <row r="14" spans="1:20" ht="30" customHeight="1">
      <c r="A14" s="10" t="s">
        <v>628</v>
      </c>
      <c r="B14" s="10" t="s">
        <v>50</v>
      </c>
      <c r="C14" s="10" t="s">
        <v>50</v>
      </c>
      <c r="D14" s="11">
        <v>1</v>
      </c>
      <c r="E14" s="12">
        <f>공종별내역서!F230</f>
        <v>0</v>
      </c>
      <c r="F14" s="12">
        <f t="shared" si="0"/>
        <v>0</v>
      </c>
      <c r="G14" s="12">
        <f>공종별내역서!H230</f>
        <v>0</v>
      </c>
      <c r="H14" s="12">
        <f t="shared" si="1"/>
        <v>0</v>
      </c>
      <c r="I14" s="12">
        <f>공종별내역서!J230</f>
        <v>0</v>
      </c>
      <c r="J14" s="12">
        <f t="shared" si="2"/>
        <v>0</v>
      </c>
      <c r="K14" s="12">
        <f t="shared" si="3"/>
        <v>0</v>
      </c>
      <c r="L14" s="12">
        <f t="shared" si="4"/>
        <v>0</v>
      </c>
      <c r="M14" s="10" t="s">
        <v>50</v>
      </c>
      <c r="N14" s="1" t="s">
        <v>339</v>
      </c>
      <c r="O14" s="1" t="s">
        <v>50</v>
      </c>
      <c r="P14" s="1" t="s">
        <v>53</v>
      </c>
      <c r="Q14" s="1" t="s">
        <v>50</v>
      </c>
      <c r="R14">
        <v>3</v>
      </c>
      <c r="S14" s="1" t="s">
        <v>50</v>
      </c>
      <c r="T14" s="8"/>
    </row>
    <row r="15" spans="1:20" ht="30" customHeight="1">
      <c r="A15" s="10" t="s">
        <v>629</v>
      </c>
      <c r="B15" s="10" t="s">
        <v>50</v>
      </c>
      <c r="C15" s="10" t="s">
        <v>50</v>
      </c>
      <c r="D15" s="11">
        <v>1</v>
      </c>
      <c r="E15" s="12">
        <f>공종별내역서!F263</f>
        <v>0</v>
      </c>
      <c r="F15" s="12">
        <f t="shared" si="0"/>
        <v>0</v>
      </c>
      <c r="G15" s="12">
        <f>공종별내역서!H263</f>
        <v>0</v>
      </c>
      <c r="H15" s="12">
        <f t="shared" si="1"/>
        <v>0</v>
      </c>
      <c r="I15" s="12">
        <f>공종별내역서!J263</f>
        <v>0</v>
      </c>
      <c r="J15" s="12">
        <f t="shared" si="2"/>
        <v>0</v>
      </c>
      <c r="K15" s="12">
        <f t="shared" si="3"/>
        <v>0</v>
      </c>
      <c r="L15" s="12">
        <f t="shared" si="4"/>
        <v>0</v>
      </c>
      <c r="M15" s="10" t="s">
        <v>50</v>
      </c>
      <c r="N15" s="1" t="s">
        <v>463</v>
      </c>
      <c r="O15" s="1" t="s">
        <v>50</v>
      </c>
      <c r="P15" s="1" t="s">
        <v>53</v>
      </c>
      <c r="Q15" s="1" t="s">
        <v>50</v>
      </c>
      <c r="R15">
        <v>3</v>
      </c>
      <c r="S15" s="1" t="s">
        <v>50</v>
      </c>
      <c r="T15" s="8"/>
    </row>
    <row r="16" spans="1:20" ht="30" customHeight="1">
      <c r="A16" s="10" t="s">
        <v>630</v>
      </c>
      <c r="B16" s="10" t="s">
        <v>50</v>
      </c>
      <c r="C16" s="10" t="s">
        <v>50</v>
      </c>
      <c r="D16" s="11">
        <v>1</v>
      </c>
      <c r="E16" s="12">
        <f>공종별내역서!F287</f>
        <v>0</v>
      </c>
      <c r="F16" s="12">
        <f t="shared" si="0"/>
        <v>0</v>
      </c>
      <c r="G16" s="12">
        <f>공종별내역서!H287</f>
        <v>0</v>
      </c>
      <c r="H16" s="12">
        <f t="shared" si="1"/>
        <v>0</v>
      </c>
      <c r="I16" s="12">
        <f>공종별내역서!J287</f>
        <v>0</v>
      </c>
      <c r="J16" s="12">
        <f t="shared" si="2"/>
        <v>0</v>
      </c>
      <c r="K16" s="12">
        <f t="shared" si="3"/>
        <v>0</v>
      </c>
      <c r="L16" s="12">
        <f t="shared" si="4"/>
        <v>0</v>
      </c>
      <c r="M16" s="10" t="s">
        <v>50</v>
      </c>
      <c r="N16" s="1" t="s">
        <v>486</v>
      </c>
      <c r="O16" s="1" t="s">
        <v>50</v>
      </c>
      <c r="P16" s="1" t="s">
        <v>53</v>
      </c>
      <c r="Q16" s="1" t="s">
        <v>50</v>
      </c>
      <c r="R16">
        <v>3</v>
      </c>
      <c r="S16" s="1" t="s">
        <v>50</v>
      </c>
      <c r="T16" s="8"/>
    </row>
    <row r="17" spans="1:20" ht="30" customHeight="1">
      <c r="A17" s="10" t="s">
        <v>631</v>
      </c>
      <c r="B17" s="10" t="s">
        <v>50</v>
      </c>
      <c r="C17" s="10" t="s">
        <v>50</v>
      </c>
      <c r="D17" s="11">
        <v>1</v>
      </c>
      <c r="E17" s="12">
        <f>공종별내역서!F311</f>
        <v>0</v>
      </c>
      <c r="F17" s="12">
        <f t="shared" si="0"/>
        <v>0</v>
      </c>
      <c r="G17" s="12">
        <f>공종별내역서!H311</f>
        <v>0</v>
      </c>
      <c r="H17" s="12">
        <f t="shared" si="1"/>
        <v>0</v>
      </c>
      <c r="I17" s="12">
        <f>공종별내역서!J311</f>
        <v>0</v>
      </c>
      <c r="J17" s="12">
        <f t="shared" si="2"/>
        <v>0</v>
      </c>
      <c r="K17" s="12">
        <f t="shared" si="3"/>
        <v>0</v>
      </c>
      <c r="L17" s="12">
        <f t="shared" si="4"/>
        <v>0</v>
      </c>
      <c r="M17" s="10" t="s">
        <v>50</v>
      </c>
      <c r="N17" s="1" t="s">
        <v>506</v>
      </c>
      <c r="O17" s="1" t="s">
        <v>50</v>
      </c>
      <c r="P17" s="1" t="s">
        <v>53</v>
      </c>
      <c r="Q17" s="1" t="s">
        <v>50</v>
      </c>
      <c r="R17">
        <v>3</v>
      </c>
      <c r="S17" s="1" t="s">
        <v>50</v>
      </c>
      <c r="T17" s="8"/>
    </row>
    <row r="18" spans="1:20" ht="30" customHeight="1">
      <c r="A18" s="19" t="s">
        <v>632</v>
      </c>
      <c r="B18" s="19" t="s">
        <v>50</v>
      </c>
      <c r="C18" s="19" t="s">
        <v>50</v>
      </c>
      <c r="D18" s="20">
        <v>1</v>
      </c>
      <c r="E18" s="21">
        <f>공종별내역서!F335</f>
        <v>0</v>
      </c>
      <c r="F18" s="21">
        <f t="shared" si="0"/>
        <v>0</v>
      </c>
      <c r="G18" s="21">
        <f>공종별내역서!H335</f>
        <v>0</v>
      </c>
      <c r="H18" s="21">
        <f t="shared" si="1"/>
        <v>0</v>
      </c>
      <c r="I18" s="21">
        <f>공종별내역서!J335</f>
        <v>0</v>
      </c>
      <c r="J18" s="21">
        <f t="shared" si="2"/>
        <v>0</v>
      </c>
      <c r="K18" s="21">
        <f t="shared" si="3"/>
        <v>0</v>
      </c>
      <c r="L18" s="21">
        <f t="shared" si="4"/>
        <v>0</v>
      </c>
      <c r="M18" s="19" t="s">
        <v>50</v>
      </c>
      <c r="N18" s="1" t="s">
        <v>522</v>
      </c>
      <c r="O18" s="1" t="s">
        <v>50</v>
      </c>
      <c r="P18" s="1" t="s">
        <v>50</v>
      </c>
      <c r="Q18" s="1" t="s">
        <v>523</v>
      </c>
      <c r="R18">
        <v>3</v>
      </c>
      <c r="S18" s="1" t="s">
        <v>50</v>
      </c>
      <c r="T18" s="8">
        <f>L18*1</f>
        <v>0</v>
      </c>
    </row>
    <row r="19" spans="1:20" ht="30" customHeight="1">
      <c r="A19" s="19" t="s">
        <v>633</v>
      </c>
      <c r="B19" s="19" t="s">
        <v>50</v>
      </c>
      <c r="C19" s="19" t="s">
        <v>50</v>
      </c>
      <c r="D19" s="20">
        <v>1</v>
      </c>
      <c r="E19" s="21">
        <f>공종별내역서!F359</f>
        <v>0</v>
      </c>
      <c r="F19" s="21">
        <f t="shared" si="0"/>
        <v>0</v>
      </c>
      <c r="G19" s="21">
        <f>공종별내역서!H359</f>
        <v>0</v>
      </c>
      <c r="H19" s="21">
        <f t="shared" si="1"/>
        <v>0</v>
      </c>
      <c r="I19" s="21">
        <f>공종별내역서!J359</f>
        <v>0</v>
      </c>
      <c r="J19" s="21">
        <f t="shared" si="2"/>
        <v>0</v>
      </c>
      <c r="K19" s="21">
        <f t="shared" si="3"/>
        <v>0</v>
      </c>
      <c r="L19" s="21">
        <f t="shared" si="4"/>
        <v>0</v>
      </c>
      <c r="M19" s="19" t="s">
        <v>50</v>
      </c>
      <c r="N19" s="1" t="s">
        <v>534</v>
      </c>
      <c r="O19" s="1" t="s">
        <v>50</v>
      </c>
      <c r="P19" s="1" t="s">
        <v>50</v>
      </c>
      <c r="Q19" s="1" t="s">
        <v>535</v>
      </c>
      <c r="R19">
        <v>3</v>
      </c>
      <c r="S19" s="1" t="s">
        <v>50</v>
      </c>
      <c r="T19" s="8">
        <f>L19*1</f>
        <v>0</v>
      </c>
    </row>
    <row r="20" spans="1:20" ht="3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T20" s="8"/>
    </row>
    <row r="21" spans="1:20" ht="3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T21" s="8"/>
    </row>
    <row r="22" spans="1:20" ht="3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T22" s="8"/>
    </row>
    <row r="23" spans="1:20" ht="3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T23" s="8"/>
    </row>
    <row r="24" spans="1:20" ht="3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T24" s="8"/>
    </row>
    <row r="25" spans="1:20" ht="3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T25" s="8"/>
    </row>
    <row r="26" spans="1:20" ht="3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T26" s="8"/>
    </row>
    <row r="27" spans="1:20" ht="30" customHeight="1">
      <c r="A27" s="10" t="s">
        <v>120</v>
      </c>
      <c r="B27" s="11"/>
      <c r="C27" s="11"/>
      <c r="D27" s="11"/>
      <c r="E27" s="11"/>
      <c r="F27" s="12">
        <f>F5</f>
        <v>0</v>
      </c>
      <c r="G27" s="11"/>
      <c r="H27" s="12">
        <f>H5</f>
        <v>0</v>
      </c>
      <c r="I27" s="11"/>
      <c r="J27" s="12">
        <f>J5</f>
        <v>0</v>
      </c>
      <c r="K27" s="11"/>
      <c r="L27" s="12">
        <f>L5</f>
        <v>0</v>
      </c>
      <c r="M27" s="11"/>
      <c r="T27" s="8"/>
    </row>
  </sheetData>
  <mergeCells count="16">
    <mergeCell ref="G3:H3"/>
    <mergeCell ref="A3:A4"/>
    <mergeCell ref="B3:B4"/>
    <mergeCell ref="C3:C4"/>
    <mergeCell ref="D3:D4"/>
    <mergeCell ref="E3:F3"/>
    <mergeCell ref="Q3:Q4"/>
    <mergeCell ref="R3:R4"/>
    <mergeCell ref="S3:S4"/>
    <mergeCell ref="T3:T4"/>
    <mergeCell ref="I3:J3"/>
    <mergeCell ref="K3:L3"/>
    <mergeCell ref="M3:M4"/>
    <mergeCell ref="N3:N4"/>
    <mergeCell ref="O3:O4"/>
    <mergeCell ref="P3:P4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359"/>
  <sheetViews>
    <sheetView zoomScaleNormal="100" workbookViewId="0">
      <selection activeCell="F9" sqref="F9"/>
    </sheetView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>
      <c r="A1" s="4" t="s">
        <v>664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48" ht="30" customHeight="1">
      <c r="A2" s="74" t="s">
        <v>1</v>
      </c>
      <c r="B2" s="74" t="s">
        <v>2</v>
      </c>
      <c r="C2" s="74" t="s">
        <v>3</v>
      </c>
      <c r="D2" s="74" t="s">
        <v>4</v>
      </c>
      <c r="E2" s="74" t="s">
        <v>5</v>
      </c>
      <c r="F2" s="74"/>
      <c r="G2" s="74" t="s">
        <v>8</v>
      </c>
      <c r="H2" s="74"/>
      <c r="I2" s="74" t="s">
        <v>9</v>
      </c>
      <c r="J2" s="74"/>
      <c r="K2" s="74" t="s">
        <v>10</v>
      </c>
      <c r="L2" s="74"/>
      <c r="M2" s="74" t="s">
        <v>11</v>
      </c>
      <c r="N2" s="70" t="s">
        <v>19</v>
      </c>
      <c r="O2" s="70" t="s">
        <v>13</v>
      </c>
      <c r="P2" s="70" t="s">
        <v>20</v>
      </c>
      <c r="Q2" s="70" t="s">
        <v>12</v>
      </c>
      <c r="R2" s="70" t="s">
        <v>21</v>
      </c>
      <c r="S2" s="70" t="s">
        <v>22</v>
      </c>
      <c r="T2" s="70" t="s">
        <v>23</v>
      </c>
      <c r="U2" s="70" t="s">
        <v>24</v>
      </c>
      <c r="V2" s="70" t="s">
        <v>25</v>
      </c>
      <c r="W2" s="70" t="s">
        <v>26</v>
      </c>
      <c r="X2" s="70" t="s">
        <v>27</v>
      </c>
      <c r="Y2" s="70" t="s">
        <v>28</v>
      </c>
      <c r="Z2" s="70" t="s">
        <v>29</v>
      </c>
      <c r="AA2" s="70" t="s">
        <v>30</v>
      </c>
      <c r="AB2" s="70" t="s">
        <v>31</v>
      </c>
      <c r="AC2" s="70" t="s">
        <v>32</v>
      </c>
      <c r="AD2" s="70" t="s">
        <v>33</v>
      </c>
      <c r="AE2" s="70" t="s">
        <v>34</v>
      </c>
      <c r="AF2" s="70" t="s">
        <v>35</v>
      </c>
      <c r="AG2" s="70" t="s">
        <v>36</v>
      </c>
      <c r="AH2" s="70" t="s">
        <v>37</v>
      </c>
      <c r="AI2" s="70" t="s">
        <v>38</v>
      </c>
      <c r="AJ2" s="70" t="s">
        <v>39</v>
      </c>
      <c r="AK2" s="70" t="s">
        <v>40</v>
      </c>
      <c r="AL2" s="70" t="s">
        <v>41</v>
      </c>
      <c r="AM2" s="70" t="s">
        <v>42</v>
      </c>
      <c r="AN2" s="70" t="s">
        <v>43</v>
      </c>
      <c r="AO2" s="70" t="s">
        <v>44</v>
      </c>
      <c r="AP2" s="70" t="s">
        <v>45</v>
      </c>
      <c r="AQ2" s="70" t="s">
        <v>46</v>
      </c>
      <c r="AR2" s="70" t="s">
        <v>47</v>
      </c>
      <c r="AS2" s="70" t="s">
        <v>15</v>
      </c>
      <c r="AT2" s="70" t="s">
        <v>16</v>
      </c>
      <c r="AU2" s="70" t="s">
        <v>48</v>
      </c>
      <c r="AV2" s="70" t="s">
        <v>49</v>
      </c>
    </row>
    <row r="3" spans="1:48" ht="30" customHeight="1">
      <c r="A3" s="74"/>
      <c r="B3" s="74"/>
      <c r="C3" s="74"/>
      <c r="D3" s="74"/>
      <c r="E3" s="7" t="s">
        <v>6</v>
      </c>
      <c r="F3" s="7" t="s">
        <v>7</v>
      </c>
      <c r="G3" s="7" t="s">
        <v>6</v>
      </c>
      <c r="H3" s="7" t="s">
        <v>7</v>
      </c>
      <c r="I3" s="7" t="s">
        <v>6</v>
      </c>
      <c r="J3" s="7" t="s">
        <v>7</v>
      </c>
      <c r="K3" s="7" t="s">
        <v>6</v>
      </c>
      <c r="L3" s="7" t="s">
        <v>7</v>
      </c>
      <c r="M3" s="74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</row>
    <row r="4" spans="1:48" ht="30" customHeight="1">
      <c r="A4" s="13" t="s">
        <v>621</v>
      </c>
      <c r="B4" s="13" t="s">
        <v>50</v>
      </c>
      <c r="C4" s="11"/>
      <c r="D4" s="11"/>
      <c r="E4" s="12"/>
      <c r="F4" s="12"/>
      <c r="G4" s="12"/>
      <c r="H4" s="12"/>
      <c r="I4" s="12"/>
      <c r="J4" s="12"/>
      <c r="K4" s="12"/>
      <c r="L4" s="12"/>
      <c r="M4" s="11"/>
      <c r="Q4" s="1" t="s">
        <v>54</v>
      </c>
    </row>
    <row r="5" spans="1:48" ht="30" customHeight="1">
      <c r="A5" s="13" t="s">
        <v>55</v>
      </c>
      <c r="B5" s="13" t="s">
        <v>56</v>
      </c>
      <c r="C5" s="13" t="s">
        <v>57</v>
      </c>
      <c r="D5" s="11">
        <v>1</v>
      </c>
      <c r="E5" s="12"/>
      <c r="F5" s="12"/>
      <c r="G5" s="12"/>
      <c r="H5" s="12"/>
      <c r="I5" s="12"/>
      <c r="J5" s="12"/>
      <c r="K5" s="12"/>
      <c r="L5" s="12"/>
      <c r="M5" s="13" t="s">
        <v>58</v>
      </c>
      <c r="N5" s="1" t="s">
        <v>59</v>
      </c>
      <c r="O5" s="1" t="s">
        <v>50</v>
      </c>
      <c r="P5" s="1" t="s">
        <v>50</v>
      </c>
      <c r="Q5" s="1" t="s">
        <v>54</v>
      </c>
      <c r="R5" s="1" t="s">
        <v>60</v>
      </c>
      <c r="S5" s="1" t="s">
        <v>61</v>
      </c>
      <c r="T5" s="1" t="s">
        <v>61</v>
      </c>
      <c r="AR5" s="1" t="s">
        <v>50</v>
      </c>
      <c r="AS5" s="1" t="s">
        <v>50</v>
      </c>
      <c r="AU5" s="1" t="s">
        <v>62</v>
      </c>
      <c r="AV5">
        <v>64</v>
      </c>
    </row>
    <row r="6" spans="1:48" ht="30" customHeight="1">
      <c r="A6" s="13" t="s">
        <v>55</v>
      </c>
      <c r="B6" s="13" t="s">
        <v>63</v>
      </c>
      <c r="C6" s="13" t="s">
        <v>57</v>
      </c>
      <c r="D6" s="11">
        <v>1</v>
      </c>
      <c r="E6" s="12"/>
      <c r="F6" s="12"/>
      <c r="G6" s="12"/>
      <c r="H6" s="12"/>
      <c r="I6" s="12"/>
      <c r="J6" s="12"/>
      <c r="K6" s="12"/>
      <c r="L6" s="12"/>
      <c r="M6" s="13" t="s">
        <v>64</v>
      </c>
      <c r="N6" s="1" t="s">
        <v>65</v>
      </c>
      <c r="O6" s="1" t="s">
        <v>50</v>
      </c>
      <c r="P6" s="1" t="s">
        <v>50</v>
      </c>
      <c r="Q6" s="1" t="s">
        <v>54</v>
      </c>
      <c r="R6" s="1" t="s">
        <v>60</v>
      </c>
      <c r="S6" s="1" t="s">
        <v>61</v>
      </c>
      <c r="T6" s="1" t="s">
        <v>61</v>
      </c>
      <c r="AR6" s="1" t="s">
        <v>50</v>
      </c>
      <c r="AS6" s="1" t="s">
        <v>50</v>
      </c>
      <c r="AU6" s="1" t="s">
        <v>66</v>
      </c>
      <c r="AV6">
        <v>63</v>
      </c>
    </row>
    <row r="7" spans="1:48" ht="30" customHeight="1">
      <c r="A7" s="13" t="s">
        <v>67</v>
      </c>
      <c r="B7" s="13" t="s">
        <v>68</v>
      </c>
      <c r="C7" s="13" t="s">
        <v>69</v>
      </c>
      <c r="D7" s="11">
        <v>33</v>
      </c>
      <c r="E7" s="12"/>
      <c r="F7" s="12"/>
      <c r="G7" s="12"/>
      <c r="H7" s="12"/>
      <c r="I7" s="12"/>
      <c r="J7" s="12"/>
      <c r="K7" s="12"/>
      <c r="L7" s="12"/>
      <c r="M7" s="13" t="s">
        <v>70</v>
      </c>
      <c r="N7" s="1" t="s">
        <v>71</v>
      </c>
      <c r="O7" s="1" t="s">
        <v>50</v>
      </c>
      <c r="P7" s="1" t="s">
        <v>50</v>
      </c>
      <c r="Q7" s="1" t="s">
        <v>54</v>
      </c>
      <c r="R7" s="1" t="s">
        <v>60</v>
      </c>
      <c r="S7" s="1" t="s">
        <v>61</v>
      </c>
      <c r="T7" s="1" t="s">
        <v>61</v>
      </c>
      <c r="AR7" s="1" t="s">
        <v>50</v>
      </c>
      <c r="AS7" s="1" t="s">
        <v>50</v>
      </c>
      <c r="AU7" s="1" t="s">
        <v>72</v>
      </c>
      <c r="AV7">
        <v>6</v>
      </c>
    </row>
    <row r="8" spans="1:48" ht="30" customHeight="1">
      <c r="A8" s="13" t="s">
        <v>73</v>
      </c>
      <c r="B8" s="13" t="s">
        <v>68</v>
      </c>
      <c r="C8" s="13" t="s">
        <v>69</v>
      </c>
      <c r="D8" s="11">
        <v>33</v>
      </c>
      <c r="E8" s="12"/>
      <c r="F8" s="12"/>
      <c r="G8" s="12"/>
      <c r="H8" s="12"/>
      <c r="I8" s="12"/>
      <c r="J8" s="12"/>
      <c r="K8" s="12"/>
      <c r="L8" s="12"/>
      <c r="M8" s="13" t="s">
        <v>74</v>
      </c>
      <c r="N8" s="1" t="s">
        <v>75</v>
      </c>
      <c r="O8" s="1" t="s">
        <v>50</v>
      </c>
      <c r="P8" s="1" t="s">
        <v>50</v>
      </c>
      <c r="Q8" s="1" t="s">
        <v>54</v>
      </c>
      <c r="R8" s="1" t="s">
        <v>60</v>
      </c>
      <c r="S8" s="1" t="s">
        <v>61</v>
      </c>
      <c r="T8" s="1" t="s">
        <v>61</v>
      </c>
      <c r="AR8" s="1" t="s">
        <v>50</v>
      </c>
      <c r="AS8" s="1" t="s">
        <v>50</v>
      </c>
      <c r="AU8" s="1" t="s">
        <v>76</v>
      </c>
      <c r="AV8">
        <v>8</v>
      </c>
    </row>
    <row r="9" spans="1:48" ht="30" customHeight="1">
      <c r="A9" s="13" t="s">
        <v>77</v>
      </c>
      <c r="B9" s="13" t="s">
        <v>50</v>
      </c>
      <c r="C9" s="13" t="s">
        <v>69</v>
      </c>
      <c r="D9" s="11">
        <v>33</v>
      </c>
      <c r="E9" s="12"/>
      <c r="F9" s="12"/>
      <c r="G9" s="12"/>
      <c r="H9" s="12"/>
      <c r="I9" s="12"/>
      <c r="J9" s="12"/>
      <c r="K9" s="12"/>
      <c r="L9" s="12"/>
      <c r="M9" s="13" t="s">
        <v>78</v>
      </c>
      <c r="N9" s="1" t="s">
        <v>79</v>
      </c>
      <c r="O9" s="1" t="s">
        <v>50</v>
      </c>
      <c r="P9" s="1" t="s">
        <v>50</v>
      </c>
      <c r="Q9" s="1" t="s">
        <v>54</v>
      </c>
      <c r="R9" s="1" t="s">
        <v>60</v>
      </c>
      <c r="S9" s="1" t="s">
        <v>61</v>
      </c>
      <c r="T9" s="1" t="s">
        <v>61</v>
      </c>
      <c r="AR9" s="1" t="s">
        <v>50</v>
      </c>
      <c r="AS9" s="1" t="s">
        <v>50</v>
      </c>
      <c r="AU9" s="1" t="s">
        <v>80</v>
      </c>
      <c r="AV9">
        <v>65</v>
      </c>
    </row>
    <row r="10" spans="1:48" ht="30" customHeight="1">
      <c r="A10" s="13" t="s">
        <v>81</v>
      </c>
      <c r="B10" s="13" t="s">
        <v>82</v>
      </c>
      <c r="C10" s="13" t="s">
        <v>69</v>
      </c>
      <c r="D10" s="11">
        <v>98</v>
      </c>
      <c r="E10" s="12"/>
      <c r="F10" s="12"/>
      <c r="G10" s="12"/>
      <c r="H10" s="12"/>
      <c r="I10" s="12"/>
      <c r="J10" s="12"/>
      <c r="K10" s="12"/>
      <c r="L10" s="12"/>
      <c r="M10" s="13" t="s">
        <v>83</v>
      </c>
      <c r="N10" s="1" t="s">
        <v>84</v>
      </c>
      <c r="O10" s="1" t="s">
        <v>50</v>
      </c>
      <c r="P10" s="1" t="s">
        <v>50</v>
      </c>
      <c r="Q10" s="1" t="s">
        <v>54</v>
      </c>
      <c r="R10" s="1" t="s">
        <v>60</v>
      </c>
      <c r="S10" s="1" t="s">
        <v>61</v>
      </c>
      <c r="T10" s="1" t="s">
        <v>61</v>
      </c>
      <c r="AR10" s="1" t="s">
        <v>50</v>
      </c>
      <c r="AS10" s="1" t="s">
        <v>50</v>
      </c>
      <c r="AU10" s="1" t="s">
        <v>85</v>
      </c>
      <c r="AV10">
        <v>68</v>
      </c>
    </row>
    <row r="11" spans="1:48" ht="30" customHeight="1">
      <c r="A11" s="13" t="s">
        <v>86</v>
      </c>
      <c r="B11" s="13" t="s">
        <v>82</v>
      </c>
      <c r="C11" s="13" t="s">
        <v>69</v>
      </c>
      <c r="D11" s="11">
        <v>98</v>
      </c>
      <c r="E11" s="12"/>
      <c r="F11" s="12"/>
      <c r="G11" s="12"/>
      <c r="H11" s="12"/>
      <c r="I11" s="12"/>
      <c r="J11" s="12"/>
      <c r="K11" s="12"/>
      <c r="L11" s="12"/>
      <c r="M11" s="13" t="s">
        <v>87</v>
      </c>
      <c r="N11" s="1" t="s">
        <v>88</v>
      </c>
      <c r="O11" s="1" t="s">
        <v>50</v>
      </c>
      <c r="P11" s="1" t="s">
        <v>50</v>
      </c>
      <c r="Q11" s="1" t="s">
        <v>54</v>
      </c>
      <c r="R11" s="1" t="s">
        <v>60</v>
      </c>
      <c r="S11" s="1" t="s">
        <v>61</v>
      </c>
      <c r="T11" s="1" t="s">
        <v>61</v>
      </c>
      <c r="AR11" s="1" t="s">
        <v>50</v>
      </c>
      <c r="AS11" s="1" t="s">
        <v>50</v>
      </c>
      <c r="AU11" s="1" t="s">
        <v>89</v>
      </c>
      <c r="AV11">
        <v>67</v>
      </c>
    </row>
    <row r="12" spans="1:48" ht="30" customHeight="1">
      <c r="A12" s="13" t="s">
        <v>90</v>
      </c>
      <c r="B12" s="13" t="s">
        <v>91</v>
      </c>
      <c r="C12" s="13" t="s">
        <v>92</v>
      </c>
      <c r="D12" s="11">
        <v>1</v>
      </c>
      <c r="E12" s="12"/>
      <c r="F12" s="12"/>
      <c r="G12" s="12"/>
      <c r="H12" s="12"/>
      <c r="I12" s="12"/>
      <c r="J12" s="12"/>
      <c r="K12" s="12"/>
      <c r="L12" s="12"/>
      <c r="M12" s="13" t="s">
        <v>93</v>
      </c>
      <c r="N12" s="1" t="s">
        <v>94</v>
      </c>
      <c r="O12" s="1" t="s">
        <v>50</v>
      </c>
      <c r="P12" s="1" t="s">
        <v>50</v>
      </c>
      <c r="Q12" s="1" t="s">
        <v>54</v>
      </c>
      <c r="R12" s="1" t="s">
        <v>60</v>
      </c>
      <c r="S12" s="1" t="s">
        <v>61</v>
      </c>
      <c r="T12" s="1" t="s">
        <v>61</v>
      </c>
      <c r="AR12" s="1" t="s">
        <v>50</v>
      </c>
      <c r="AS12" s="1" t="s">
        <v>50</v>
      </c>
      <c r="AU12" s="1" t="s">
        <v>95</v>
      </c>
      <c r="AV12">
        <v>66</v>
      </c>
    </row>
    <row r="13" spans="1:48" ht="30" customHeight="1">
      <c r="A13" s="13" t="s">
        <v>96</v>
      </c>
      <c r="B13" s="13" t="s">
        <v>97</v>
      </c>
      <c r="C13" s="13" t="s">
        <v>92</v>
      </c>
      <c r="D13" s="11">
        <v>4</v>
      </c>
      <c r="E13" s="12"/>
      <c r="F13" s="12"/>
      <c r="G13" s="12"/>
      <c r="H13" s="12"/>
      <c r="I13" s="12"/>
      <c r="J13" s="12"/>
      <c r="K13" s="12"/>
      <c r="L13" s="12"/>
      <c r="M13" s="13" t="s">
        <v>98</v>
      </c>
      <c r="N13" s="1" t="s">
        <v>99</v>
      </c>
      <c r="O13" s="1" t="s">
        <v>50</v>
      </c>
      <c r="P13" s="1" t="s">
        <v>50</v>
      </c>
      <c r="Q13" s="1" t="s">
        <v>54</v>
      </c>
      <c r="R13" s="1" t="s">
        <v>60</v>
      </c>
      <c r="S13" s="1" t="s">
        <v>61</v>
      </c>
      <c r="T13" s="1" t="s">
        <v>61</v>
      </c>
      <c r="AR13" s="1" t="s">
        <v>50</v>
      </c>
      <c r="AS13" s="1" t="s">
        <v>50</v>
      </c>
      <c r="AU13" s="1" t="s">
        <v>100</v>
      </c>
      <c r="AV13">
        <v>83</v>
      </c>
    </row>
    <row r="14" spans="1:48" ht="30" customHeight="1">
      <c r="A14" s="13" t="s">
        <v>101</v>
      </c>
      <c r="B14" s="13" t="s">
        <v>102</v>
      </c>
      <c r="C14" s="13" t="s">
        <v>69</v>
      </c>
      <c r="D14" s="11">
        <v>30</v>
      </c>
      <c r="E14" s="12"/>
      <c r="F14" s="12"/>
      <c r="G14" s="12"/>
      <c r="H14" s="12"/>
      <c r="I14" s="12"/>
      <c r="J14" s="12"/>
      <c r="K14" s="12"/>
      <c r="L14" s="12"/>
      <c r="M14" s="13" t="s">
        <v>103</v>
      </c>
      <c r="N14" s="1" t="s">
        <v>104</v>
      </c>
      <c r="O14" s="1" t="s">
        <v>50</v>
      </c>
      <c r="P14" s="1" t="s">
        <v>50</v>
      </c>
      <c r="Q14" s="1" t="s">
        <v>54</v>
      </c>
      <c r="R14" s="1" t="s">
        <v>60</v>
      </c>
      <c r="S14" s="1" t="s">
        <v>61</v>
      </c>
      <c r="T14" s="1" t="s">
        <v>61</v>
      </c>
      <c r="AR14" s="1" t="s">
        <v>50</v>
      </c>
      <c r="AS14" s="1" t="s">
        <v>50</v>
      </c>
      <c r="AU14" s="1" t="s">
        <v>105</v>
      </c>
      <c r="AV14">
        <v>78</v>
      </c>
    </row>
    <row r="15" spans="1:48" ht="30" customHeight="1">
      <c r="A15" s="13" t="s">
        <v>106</v>
      </c>
      <c r="B15" s="13" t="s">
        <v>107</v>
      </c>
      <c r="C15" s="13" t="s">
        <v>69</v>
      </c>
      <c r="D15" s="11">
        <v>11</v>
      </c>
      <c r="E15" s="12"/>
      <c r="F15" s="12"/>
      <c r="G15" s="12"/>
      <c r="H15" s="12"/>
      <c r="I15" s="12"/>
      <c r="J15" s="12"/>
      <c r="K15" s="12"/>
      <c r="L15" s="12"/>
      <c r="M15" s="13" t="s">
        <v>108</v>
      </c>
      <c r="N15" s="1" t="s">
        <v>109</v>
      </c>
      <c r="O15" s="1" t="s">
        <v>50</v>
      </c>
      <c r="P15" s="1" t="s">
        <v>50</v>
      </c>
      <c r="Q15" s="1" t="s">
        <v>54</v>
      </c>
      <c r="R15" s="1" t="s">
        <v>60</v>
      </c>
      <c r="S15" s="1" t="s">
        <v>61</v>
      </c>
      <c r="T15" s="1" t="s">
        <v>61</v>
      </c>
      <c r="AR15" s="1" t="s">
        <v>50</v>
      </c>
      <c r="AS15" s="1" t="s">
        <v>50</v>
      </c>
      <c r="AU15" s="1" t="s">
        <v>110</v>
      </c>
      <c r="AV15">
        <v>220</v>
      </c>
    </row>
    <row r="16" spans="1:48" ht="30" customHeight="1">
      <c r="A16" s="13" t="s">
        <v>111</v>
      </c>
      <c r="B16" s="13" t="s">
        <v>112</v>
      </c>
      <c r="C16" s="13" t="s">
        <v>92</v>
      </c>
      <c r="D16" s="11">
        <v>1</v>
      </c>
      <c r="E16" s="12"/>
      <c r="F16" s="12"/>
      <c r="G16" s="12"/>
      <c r="H16" s="12"/>
      <c r="I16" s="12"/>
      <c r="J16" s="12"/>
      <c r="K16" s="12"/>
      <c r="L16" s="12"/>
      <c r="M16" s="13" t="s">
        <v>113</v>
      </c>
      <c r="N16" s="1" t="s">
        <v>114</v>
      </c>
      <c r="O16" s="1" t="s">
        <v>50</v>
      </c>
      <c r="P16" s="1" t="s">
        <v>50</v>
      </c>
      <c r="Q16" s="1" t="s">
        <v>54</v>
      </c>
      <c r="R16" s="1" t="s">
        <v>61</v>
      </c>
      <c r="S16" s="1" t="s">
        <v>61</v>
      </c>
      <c r="T16" s="1" t="s">
        <v>60</v>
      </c>
      <c r="AR16" s="1" t="s">
        <v>50</v>
      </c>
      <c r="AS16" s="1" t="s">
        <v>50</v>
      </c>
      <c r="AU16" s="1" t="s">
        <v>115</v>
      </c>
      <c r="AV16">
        <v>69</v>
      </c>
    </row>
    <row r="17" spans="1:48" ht="30" customHeight="1">
      <c r="A17" s="13" t="s">
        <v>116</v>
      </c>
      <c r="B17" s="13" t="s">
        <v>117</v>
      </c>
      <c r="C17" s="13" t="s">
        <v>92</v>
      </c>
      <c r="D17" s="11">
        <v>1</v>
      </c>
      <c r="E17" s="12"/>
      <c r="F17" s="12"/>
      <c r="G17" s="12"/>
      <c r="H17" s="12"/>
      <c r="I17" s="12"/>
      <c r="J17" s="12"/>
      <c r="K17" s="12"/>
      <c r="L17" s="12"/>
      <c r="M17" s="13" t="s">
        <v>113</v>
      </c>
      <c r="N17" s="1" t="s">
        <v>118</v>
      </c>
      <c r="O17" s="1" t="s">
        <v>50</v>
      </c>
      <c r="P17" s="1" t="s">
        <v>50</v>
      </c>
      <c r="Q17" s="1" t="s">
        <v>54</v>
      </c>
      <c r="R17" s="1" t="s">
        <v>61</v>
      </c>
      <c r="S17" s="1" t="s">
        <v>61</v>
      </c>
      <c r="T17" s="1" t="s">
        <v>60</v>
      </c>
      <c r="AR17" s="1" t="s">
        <v>50</v>
      </c>
      <c r="AS17" s="1" t="s">
        <v>50</v>
      </c>
      <c r="AU17" s="1" t="s">
        <v>119</v>
      </c>
      <c r="AV17">
        <v>70</v>
      </c>
    </row>
    <row r="18" spans="1:48" ht="30" customHeight="1">
      <c r="A18" s="11"/>
      <c r="B18" s="11"/>
      <c r="C18" s="11"/>
      <c r="D18" s="11"/>
      <c r="E18" s="12"/>
      <c r="F18" s="12"/>
      <c r="G18" s="12"/>
      <c r="H18" s="12"/>
      <c r="I18" s="12"/>
      <c r="J18" s="12"/>
      <c r="K18" s="12"/>
      <c r="L18" s="12"/>
      <c r="M18" s="11"/>
      <c r="Q18" s="1" t="s">
        <v>54</v>
      </c>
    </row>
    <row r="19" spans="1:48" ht="30" customHeight="1">
      <c r="A19" s="11"/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1"/>
      <c r="Q19" s="1" t="s">
        <v>54</v>
      </c>
    </row>
    <row r="20" spans="1:48" ht="30" customHeight="1">
      <c r="A20" s="11"/>
      <c r="B20" s="11"/>
      <c r="C20" s="11"/>
      <c r="D20" s="11"/>
      <c r="E20" s="12"/>
      <c r="F20" s="12"/>
      <c r="G20" s="12"/>
      <c r="H20" s="12"/>
      <c r="I20" s="12"/>
      <c r="J20" s="12"/>
      <c r="K20" s="12"/>
      <c r="L20" s="12"/>
      <c r="M20" s="11"/>
      <c r="Q20" s="1" t="s">
        <v>54</v>
      </c>
    </row>
    <row r="21" spans="1:48" ht="30" customHeight="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1"/>
      <c r="Q21" s="1" t="s">
        <v>54</v>
      </c>
    </row>
    <row r="22" spans="1:48" ht="30" customHeight="1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1"/>
      <c r="Q22" s="1" t="s">
        <v>54</v>
      </c>
    </row>
    <row r="23" spans="1:48" ht="30" customHeight="1">
      <c r="A23" s="11"/>
      <c r="B23" s="11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1"/>
      <c r="Q23" s="1" t="s">
        <v>54</v>
      </c>
    </row>
    <row r="24" spans="1:48" ht="30" customHeight="1">
      <c r="A24" s="11"/>
      <c r="B24" s="11"/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1"/>
      <c r="Q24" s="1" t="s">
        <v>54</v>
      </c>
    </row>
    <row r="25" spans="1:48" ht="30" customHeight="1">
      <c r="A25" s="11"/>
      <c r="B25" s="11"/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1"/>
      <c r="Q25" s="1" t="s">
        <v>54</v>
      </c>
    </row>
    <row r="26" spans="1:48" ht="30" customHeight="1">
      <c r="A26" s="11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1"/>
      <c r="Q26" s="1" t="s">
        <v>54</v>
      </c>
    </row>
    <row r="27" spans="1:48" ht="30" customHeight="1">
      <c r="A27" s="13" t="s">
        <v>120</v>
      </c>
      <c r="B27" s="11"/>
      <c r="C27" s="11"/>
      <c r="D27" s="11"/>
      <c r="E27" s="12"/>
      <c r="F27" s="12">
        <f>SUMIF(Q5:Q26,"010101",F5:F26)</f>
        <v>0</v>
      </c>
      <c r="G27" s="12"/>
      <c r="H27" s="12">
        <f>SUMIF(Q5:Q26,"010101",H5:H26)</f>
        <v>0</v>
      </c>
      <c r="I27" s="12"/>
      <c r="J27" s="12">
        <f>SUMIF(Q5:Q26,"010101",J5:J26)</f>
        <v>0</v>
      </c>
      <c r="K27" s="12"/>
      <c r="L27" s="12">
        <f>SUMIF(Q5:Q26,"010101",L5:L26)</f>
        <v>0</v>
      </c>
      <c r="M27" s="11"/>
      <c r="N27" t="s">
        <v>121</v>
      </c>
    </row>
    <row r="28" spans="1:48" ht="30" customHeight="1">
      <c r="A28" s="13" t="s">
        <v>622</v>
      </c>
      <c r="B28" s="13" t="s">
        <v>50</v>
      </c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1"/>
      <c r="Q28" s="1" t="s">
        <v>122</v>
      </c>
    </row>
    <row r="29" spans="1:48" ht="30" customHeight="1">
      <c r="A29" s="13" t="s">
        <v>123</v>
      </c>
      <c r="B29" s="13" t="s">
        <v>124</v>
      </c>
      <c r="C29" s="13" t="s">
        <v>69</v>
      </c>
      <c r="D29" s="11">
        <v>33.119999999999997</v>
      </c>
      <c r="E29" s="12"/>
      <c r="F29" s="12"/>
      <c r="G29" s="12"/>
      <c r="H29" s="12"/>
      <c r="I29" s="12"/>
      <c r="J29" s="12"/>
      <c r="K29" s="12"/>
      <c r="L29" s="12"/>
      <c r="M29" s="13" t="s">
        <v>113</v>
      </c>
      <c r="N29" s="1" t="s">
        <v>125</v>
      </c>
      <c r="O29" s="1" t="s">
        <v>50</v>
      </c>
      <c r="P29" s="1" t="s">
        <v>50</v>
      </c>
      <c r="Q29" s="1" t="s">
        <v>122</v>
      </c>
      <c r="R29" s="1" t="s">
        <v>61</v>
      </c>
      <c r="S29" s="1" t="s">
        <v>61</v>
      </c>
      <c r="T29" s="1" t="s">
        <v>60</v>
      </c>
      <c r="AR29" s="1" t="s">
        <v>50</v>
      </c>
      <c r="AS29" s="1" t="s">
        <v>50</v>
      </c>
      <c r="AU29" s="1" t="s">
        <v>126</v>
      </c>
      <c r="AV29">
        <v>97</v>
      </c>
    </row>
    <row r="30" spans="1:48" ht="30" customHeight="1">
      <c r="A30" s="13" t="s">
        <v>127</v>
      </c>
      <c r="B30" s="13" t="s">
        <v>128</v>
      </c>
      <c r="C30" s="13" t="s">
        <v>69</v>
      </c>
      <c r="D30" s="11">
        <v>30</v>
      </c>
      <c r="E30" s="12"/>
      <c r="F30" s="12"/>
      <c r="G30" s="12"/>
      <c r="H30" s="12"/>
      <c r="I30" s="12"/>
      <c r="J30" s="12"/>
      <c r="K30" s="12"/>
      <c r="L30" s="12"/>
      <c r="M30" s="13" t="s">
        <v>129</v>
      </c>
      <c r="N30" s="1" t="s">
        <v>130</v>
      </c>
      <c r="O30" s="1" t="s">
        <v>50</v>
      </c>
      <c r="P30" s="1" t="s">
        <v>50</v>
      </c>
      <c r="Q30" s="1" t="s">
        <v>122</v>
      </c>
      <c r="R30" s="1" t="s">
        <v>60</v>
      </c>
      <c r="S30" s="1" t="s">
        <v>61</v>
      </c>
      <c r="T30" s="1" t="s">
        <v>61</v>
      </c>
      <c r="AR30" s="1" t="s">
        <v>50</v>
      </c>
      <c r="AS30" s="1" t="s">
        <v>50</v>
      </c>
      <c r="AU30" s="1" t="s">
        <v>131</v>
      </c>
      <c r="AV30">
        <v>96</v>
      </c>
    </row>
    <row r="31" spans="1:48" ht="30" customHeight="1">
      <c r="A31" s="11"/>
      <c r="B31" s="11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1"/>
      <c r="Q31" s="1" t="s">
        <v>122</v>
      </c>
    </row>
    <row r="32" spans="1:48" ht="30" customHeight="1">
      <c r="A32" s="11"/>
      <c r="B32" s="11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1"/>
      <c r="Q32" s="1" t="s">
        <v>122</v>
      </c>
    </row>
    <row r="33" spans="1:17" ht="30" customHeight="1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1"/>
      <c r="Q33" s="1" t="s">
        <v>122</v>
      </c>
    </row>
    <row r="34" spans="1:17" ht="30" customHeight="1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1"/>
      <c r="Q34" s="1" t="s">
        <v>122</v>
      </c>
    </row>
    <row r="35" spans="1:17" ht="30" customHeight="1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1"/>
      <c r="Q35" s="1" t="s">
        <v>122</v>
      </c>
    </row>
    <row r="36" spans="1:17" ht="30" customHeight="1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1"/>
      <c r="Q36" s="1" t="s">
        <v>122</v>
      </c>
    </row>
    <row r="37" spans="1:17" ht="30" customHeight="1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1"/>
      <c r="Q37" s="1" t="s">
        <v>122</v>
      </c>
    </row>
    <row r="38" spans="1:17" ht="30" customHeight="1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1"/>
      <c r="Q38" s="1" t="s">
        <v>122</v>
      </c>
    </row>
    <row r="39" spans="1:17" ht="30" customHeight="1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1"/>
      <c r="Q39" s="1" t="s">
        <v>122</v>
      </c>
    </row>
    <row r="40" spans="1:17" ht="30" customHeight="1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1"/>
      <c r="Q40" s="1" t="s">
        <v>122</v>
      </c>
    </row>
    <row r="41" spans="1:17" ht="30" customHeight="1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1"/>
      <c r="Q41" s="1" t="s">
        <v>122</v>
      </c>
    </row>
    <row r="42" spans="1:17" ht="30" customHeight="1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1"/>
      <c r="Q42" s="1" t="s">
        <v>122</v>
      </c>
    </row>
    <row r="43" spans="1:17" ht="30" customHeight="1">
      <c r="A43" s="11"/>
      <c r="B43" s="11"/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1"/>
      <c r="Q43" s="1" t="s">
        <v>122</v>
      </c>
    </row>
    <row r="44" spans="1:17" ht="30" customHeight="1">
      <c r="A44" s="11"/>
      <c r="B44" s="11"/>
      <c r="C44" s="11"/>
      <c r="D44" s="11"/>
      <c r="E44" s="12"/>
      <c r="F44" s="12"/>
      <c r="G44" s="12"/>
      <c r="H44" s="12"/>
      <c r="I44" s="12"/>
      <c r="J44" s="12"/>
      <c r="K44" s="12"/>
      <c r="L44" s="12"/>
      <c r="M44" s="11"/>
      <c r="Q44" s="1" t="s">
        <v>122</v>
      </c>
    </row>
    <row r="45" spans="1:17" ht="30" customHeight="1">
      <c r="A45" s="11"/>
      <c r="B45" s="11"/>
      <c r="C45" s="11"/>
      <c r="D45" s="11"/>
      <c r="E45" s="12"/>
      <c r="F45" s="12"/>
      <c r="G45" s="12"/>
      <c r="H45" s="12"/>
      <c r="I45" s="12"/>
      <c r="J45" s="12"/>
      <c r="K45" s="12"/>
      <c r="L45" s="12"/>
      <c r="M45" s="11"/>
      <c r="Q45" s="1" t="s">
        <v>122</v>
      </c>
    </row>
    <row r="46" spans="1:17" ht="30" customHeight="1">
      <c r="A46" s="11"/>
      <c r="B46" s="11"/>
      <c r="C46" s="11"/>
      <c r="D46" s="11"/>
      <c r="E46" s="12"/>
      <c r="F46" s="12"/>
      <c r="G46" s="12"/>
      <c r="H46" s="12"/>
      <c r="I46" s="12"/>
      <c r="J46" s="12"/>
      <c r="K46" s="12"/>
      <c r="L46" s="12"/>
      <c r="M46" s="11"/>
      <c r="Q46" s="1" t="s">
        <v>122</v>
      </c>
    </row>
    <row r="47" spans="1:17" ht="30" customHeight="1">
      <c r="A47" s="11"/>
      <c r="B47" s="11"/>
      <c r="C47" s="11"/>
      <c r="D47" s="11"/>
      <c r="E47" s="12"/>
      <c r="F47" s="12"/>
      <c r="G47" s="12"/>
      <c r="H47" s="12"/>
      <c r="I47" s="12"/>
      <c r="J47" s="12"/>
      <c r="K47" s="12"/>
      <c r="L47" s="12"/>
      <c r="M47" s="11"/>
      <c r="Q47" s="1" t="s">
        <v>122</v>
      </c>
    </row>
    <row r="48" spans="1:17" ht="30" customHeight="1">
      <c r="A48" s="11"/>
      <c r="B48" s="11"/>
      <c r="C48" s="11"/>
      <c r="D48" s="11"/>
      <c r="E48" s="12"/>
      <c r="F48" s="12"/>
      <c r="G48" s="12"/>
      <c r="H48" s="12"/>
      <c r="I48" s="12"/>
      <c r="J48" s="12"/>
      <c r="K48" s="12"/>
      <c r="L48" s="12"/>
      <c r="M48" s="11"/>
      <c r="Q48" s="1" t="s">
        <v>122</v>
      </c>
    </row>
    <row r="49" spans="1:48" ht="30" customHeight="1">
      <c r="A49" s="11"/>
      <c r="B49" s="11"/>
      <c r="C49" s="11"/>
      <c r="D49" s="11"/>
      <c r="E49" s="12"/>
      <c r="F49" s="12"/>
      <c r="G49" s="12"/>
      <c r="H49" s="12"/>
      <c r="I49" s="12"/>
      <c r="J49" s="12"/>
      <c r="K49" s="12"/>
      <c r="L49" s="12"/>
      <c r="M49" s="11"/>
      <c r="Q49" s="1" t="s">
        <v>122</v>
      </c>
    </row>
    <row r="50" spans="1:48" ht="30" customHeight="1">
      <c r="A50" s="11"/>
      <c r="B50" s="11"/>
      <c r="C50" s="11"/>
      <c r="D50" s="11"/>
      <c r="E50" s="12"/>
      <c r="F50" s="12"/>
      <c r="G50" s="12"/>
      <c r="H50" s="12"/>
      <c r="I50" s="12"/>
      <c r="J50" s="12"/>
      <c r="K50" s="12"/>
      <c r="L50" s="12"/>
      <c r="M50" s="11"/>
      <c r="Q50" s="1" t="s">
        <v>122</v>
      </c>
    </row>
    <row r="51" spans="1:48" ht="30" customHeight="1">
      <c r="A51" s="13" t="s">
        <v>120</v>
      </c>
      <c r="B51" s="11"/>
      <c r="C51" s="11"/>
      <c r="D51" s="11"/>
      <c r="E51" s="12"/>
      <c r="F51" s="12">
        <f>SUMIF(Q29:Q50,"010102",F29:F50)</f>
        <v>0</v>
      </c>
      <c r="G51" s="12"/>
      <c r="H51" s="12">
        <f>SUMIF(Q29:Q50,"010102",H29:H50)</f>
        <v>0</v>
      </c>
      <c r="I51" s="12"/>
      <c r="J51" s="12">
        <f>SUMIF(Q29:Q50,"010102",J29:J50)</f>
        <v>0</v>
      </c>
      <c r="K51" s="12"/>
      <c r="L51" s="12">
        <f>SUMIF(Q29:Q50,"010102",L29:L50)</f>
        <v>0</v>
      </c>
      <c r="M51" s="11"/>
      <c r="N51" t="s">
        <v>121</v>
      </c>
    </row>
    <row r="52" spans="1:48" ht="30" customHeight="1">
      <c r="A52" s="13" t="s">
        <v>623</v>
      </c>
      <c r="B52" s="13" t="s">
        <v>50</v>
      </c>
      <c r="C52" s="11"/>
      <c r="D52" s="11"/>
      <c r="E52" s="12"/>
      <c r="F52" s="12"/>
      <c r="G52" s="12"/>
      <c r="H52" s="12"/>
      <c r="I52" s="12"/>
      <c r="J52" s="12"/>
      <c r="K52" s="12"/>
      <c r="L52" s="12"/>
      <c r="M52" s="11"/>
      <c r="Q52" s="1" t="s">
        <v>132</v>
      </c>
    </row>
    <row r="53" spans="1:48" ht="30" customHeight="1">
      <c r="A53" s="13" t="s">
        <v>639</v>
      </c>
      <c r="B53" s="25" t="s">
        <v>680</v>
      </c>
      <c r="C53" s="13" t="s">
        <v>638</v>
      </c>
      <c r="D53" s="11">
        <v>3.1</v>
      </c>
      <c r="E53" s="12"/>
      <c r="F53" s="12"/>
      <c r="G53" s="12"/>
      <c r="H53" s="12"/>
      <c r="I53" s="12"/>
      <c r="J53" s="12"/>
      <c r="K53" s="12"/>
      <c r="L53" s="12"/>
      <c r="M53" s="13" t="s">
        <v>113</v>
      </c>
      <c r="N53" s="1" t="s">
        <v>134</v>
      </c>
      <c r="O53" s="1" t="s">
        <v>50</v>
      </c>
      <c r="P53" s="1" t="s">
        <v>50</v>
      </c>
      <c r="Q53" s="1" t="s">
        <v>132</v>
      </c>
      <c r="R53" s="1" t="s">
        <v>61</v>
      </c>
      <c r="S53" s="1" t="s">
        <v>61</v>
      </c>
      <c r="T53" s="1" t="s">
        <v>60</v>
      </c>
      <c r="AR53" s="1" t="s">
        <v>50</v>
      </c>
      <c r="AS53" s="1" t="s">
        <v>50</v>
      </c>
      <c r="AU53" s="1" t="s">
        <v>135</v>
      </c>
      <c r="AV53">
        <v>98</v>
      </c>
    </row>
    <row r="54" spans="1:48" ht="30" customHeight="1">
      <c r="A54" s="13"/>
      <c r="B54" s="25" t="s">
        <v>681</v>
      </c>
      <c r="C54" s="13" t="s">
        <v>638</v>
      </c>
      <c r="D54" s="11">
        <v>4.8</v>
      </c>
      <c r="E54" s="12"/>
      <c r="F54" s="12"/>
      <c r="G54" s="12"/>
      <c r="H54" s="12"/>
      <c r="I54" s="12"/>
      <c r="J54" s="12"/>
      <c r="K54" s="12"/>
      <c r="L54" s="12"/>
      <c r="M54" s="13" t="s">
        <v>113</v>
      </c>
      <c r="N54" s="1" t="s">
        <v>134</v>
      </c>
      <c r="O54" s="1" t="s">
        <v>50</v>
      </c>
      <c r="P54" s="1" t="s">
        <v>50</v>
      </c>
      <c r="Q54" s="1" t="s">
        <v>132</v>
      </c>
      <c r="R54" s="1" t="s">
        <v>61</v>
      </c>
      <c r="S54" s="1" t="s">
        <v>61</v>
      </c>
      <c r="T54" s="1" t="s">
        <v>60</v>
      </c>
      <c r="AR54" s="1" t="s">
        <v>50</v>
      </c>
      <c r="AS54" s="1" t="s">
        <v>50</v>
      </c>
      <c r="AU54" s="1" t="s">
        <v>135</v>
      </c>
      <c r="AV54">
        <v>98</v>
      </c>
    </row>
    <row r="55" spans="1:48" ht="30" customHeight="1">
      <c r="A55" s="13"/>
      <c r="B55" s="25" t="s">
        <v>681</v>
      </c>
      <c r="C55" s="13" t="s">
        <v>638</v>
      </c>
      <c r="D55" s="11">
        <v>4.8</v>
      </c>
      <c r="E55" s="12"/>
      <c r="F55" s="12"/>
      <c r="G55" s="12"/>
      <c r="H55" s="12"/>
      <c r="I55" s="12"/>
      <c r="J55" s="12"/>
      <c r="K55" s="12"/>
      <c r="L55" s="12"/>
      <c r="M55" s="13" t="s">
        <v>113</v>
      </c>
      <c r="N55" s="1" t="s">
        <v>134</v>
      </c>
      <c r="O55" s="1" t="s">
        <v>50</v>
      </c>
      <c r="P55" s="1" t="s">
        <v>50</v>
      </c>
      <c r="Q55" s="1" t="s">
        <v>132</v>
      </c>
      <c r="R55" s="1" t="s">
        <v>61</v>
      </c>
      <c r="S55" s="1" t="s">
        <v>61</v>
      </c>
      <c r="T55" s="1" t="s">
        <v>60</v>
      </c>
      <c r="AR55" s="1" t="s">
        <v>50</v>
      </c>
      <c r="AS55" s="1" t="s">
        <v>50</v>
      </c>
      <c r="AU55" s="1" t="s">
        <v>135</v>
      </c>
      <c r="AV55">
        <v>98</v>
      </c>
    </row>
    <row r="56" spans="1:48" ht="30" customHeight="1">
      <c r="A56" s="13"/>
      <c r="B56" s="25" t="s">
        <v>681</v>
      </c>
      <c r="C56" s="13" t="s">
        <v>69</v>
      </c>
      <c r="D56" s="11">
        <v>4.8</v>
      </c>
      <c r="E56" s="12"/>
      <c r="F56" s="12"/>
      <c r="G56" s="12"/>
      <c r="H56" s="12"/>
      <c r="I56" s="12"/>
      <c r="J56" s="12"/>
      <c r="K56" s="12"/>
      <c r="L56" s="12"/>
      <c r="M56" s="13" t="s">
        <v>113</v>
      </c>
      <c r="N56" s="1" t="s">
        <v>134</v>
      </c>
      <c r="O56" s="1" t="s">
        <v>50</v>
      </c>
      <c r="P56" s="1" t="s">
        <v>50</v>
      </c>
      <c r="Q56" s="1" t="s">
        <v>132</v>
      </c>
      <c r="R56" s="1" t="s">
        <v>61</v>
      </c>
      <c r="S56" s="1" t="s">
        <v>61</v>
      </c>
      <c r="T56" s="1" t="s">
        <v>60</v>
      </c>
      <c r="AR56" s="1" t="s">
        <v>50</v>
      </c>
      <c r="AS56" s="1" t="s">
        <v>50</v>
      </c>
      <c r="AU56" s="1" t="s">
        <v>135</v>
      </c>
      <c r="AV56">
        <v>98</v>
      </c>
    </row>
    <row r="57" spans="1:48" ht="30" customHeight="1">
      <c r="A57" s="13"/>
      <c r="B57" s="25" t="s">
        <v>682</v>
      </c>
      <c r="C57" s="13" t="s">
        <v>69</v>
      </c>
      <c r="D57" s="11">
        <v>2.8</v>
      </c>
      <c r="E57" s="12"/>
      <c r="F57" s="12"/>
      <c r="G57" s="12"/>
      <c r="H57" s="12"/>
      <c r="I57" s="12"/>
      <c r="J57" s="12"/>
      <c r="K57" s="12"/>
      <c r="L57" s="12"/>
      <c r="M57" s="13" t="s">
        <v>113</v>
      </c>
      <c r="N57" s="1" t="s">
        <v>134</v>
      </c>
      <c r="O57" s="1" t="s">
        <v>50</v>
      </c>
      <c r="P57" s="1" t="s">
        <v>50</v>
      </c>
      <c r="Q57" s="1" t="s">
        <v>132</v>
      </c>
      <c r="R57" s="1" t="s">
        <v>61</v>
      </c>
      <c r="S57" s="1" t="s">
        <v>61</v>
      </c>
      <c r="T57" s="1" t="s">
        <v>60</v>
      </c>
      <c r="AR57" s="1" t="s">
        <v>50</v>
      </c>
      <c r="AS57" s="1" t="s">
        <v>50</v>
      </c>
      <c r="AU57" s="1" t="s">
        <v>135</v>
      </c>
      <c r="AV57">
        <v>98</v>
      </c>
    </row>
    <row r="58" spans="1:48" ht="30" customHeight="1">
      <c r="A58" s="13" t="s">
        <v>640</v>
      </c>
      <c r="B58" s="25" t="s">
        <v>643</v>
      </c>
      <c r="C58" s="13" t="s">
        <v>133</v>
      </c>
      <c r="D58" s="11">
        <v>1</v>
      </c>
      <c r="E58" s="12"/>
      <c r="F58" s="12"/>
      <c r="G58" s="12"/>
      <c r="H58" s="12"/>
      <c r="I58" s="12"/>
      <c r="J58" s="12"/>
      <c r="K58" s="12"/>
      <c r="L58" s="12"/>
      <c r="M58" s="13" t="s">
        <v>113</v>
      </c>
      <c r="N58" s="1" t="s">
        <v>134</v>
      </c>
      <c r="O58" s="1" t="s">
        <v>50</v>
      </c>
      <c r="P58" s="1" t="s">
        <v>50</v>
      </c>
      <c r="Q58" s="1" t="s">
        <v>132</v>
      </c>
      <c r="R58" s="1" t="s">
        <v>61</v>
      </c>
      <c r="S58" s="1" t="s">
        <v>61</v>
      </c>
      <c r="T58" s="1" t="s">
        <v>60</v>
      </c>
      <c r="AR58" s="1" t="s">
        <v>50</v>
      </c>
      <c r="AS58" s="1" t="s">
        <v>50</v>
      </c>
      <c r="AU58" s="1" t="s">
        <v>135</v>
      </c>
      <c r="AV58">
        <v>98</v>
      </c>
    </row>
    <row r="59" spans="1:48" ht="30" customHeight="1">
      <c r="A59" s="13"/>
      <c r="B59" s="25" t="s">
        <v>644</v>
      </c>
      <c r="C59" s="13" t="s">
        <v>133</v>
      </c>
      <c r="D59" s="11">
        <v>1</v>
      </c>
      <c r="E59" s="12"/>
      <c r="F59" s="12"/>
      <c r="G59" s="12"/>
      <c r="H59" s="12"/>
      <c r="I59" s="12"/>
      <c r="J59" s="12"/>
      <c r="K59" s="12"/>
      <c r="L59" s="12"/>
      <c r="M59" s="13" t="s">
        <v>113</v>
      </c>
      <c r="N59" s="1" t="s">
        <v>134</v>
      </c>
      <c r="O59" s="1" t="s">
        <v>50</v>
      </c>
      <c r="P59" s="1" t="s">
        <v>50</v>
      </c>
      <c r="Q59" s="1" t="s">
        <v>132</v>
      </c>
      <c r="R59" s="1" t="s">
        <v>61</v>
      </c>
      <c r="S59" s="1" t="s">
        <v>61</v>
      </c>
      <c r="T59" s="1" t="s">
        <v>60</v>
      </c>
      <c r="AR59" s="1" t="s">
        <v>50</v>
      </c>
      <c r="AS59" s="1" t="s">
        <v>50</v>
      </c>
      <c r="AU59" s="1" t="s">
        <v>135</v>
      </c>
      <c r="AV59">
        <v>98</v>
      </c>
    </row>
    <row r="60" spans="1:48" ht="30" customHeight="1">
      <c r="A60" s="13" t="s">
        <v>641</v>
      </c>
      <c r="B60" s="25"/>
      <c r="C60" s="13" t="s">
        <v>133</v>
      </c>
      <c r="D60" s="11">
        <v>1</v>
      </c>
      <c r="E60" s="12"/>
      <c r="F60" s="12"/>
      <c r="G60" s="12"/>
      <c r="H60" s="12"/>
      <c r="I60" s="12"/>
      <c r="J60" s="12"/>
      <c r="K60" s="12"/>
      <c r="L60" s="12"/>
      <c r="M60" s="13" t="s">
        <v>113</v>
      </c>
      <c r="N60" s="1" t="s">
        <v>134</v>
      </c>
      <c r="O60" s="1" t="s">
        <v>50</v>
      </c>
      <c r="P60" s="1" t="s">
        <v>50</v>
      </c>
      <c r="Q60" s="1" t="s">
        <v>132</v>
      </c>
      <c r="R60" s="1" t="s">
        <v>61</v>
      </c>
      <c r="S60" s="1" t="s">
        <v>61</v>
      </c>
      <c r="T60" s="1" t="s">
        <v>60</v>
      </c>
      <c r="AR60" s="1" t="s">
        <v>50</v>
      </c>
      <c r="AS60" s="1" t="s">
        <v>50</v>
      </c>
      <c r="AU60" s="1" t="s">
        <v>135</v>
      </c>
      <c r="AV60">
        <v>98</v>
      </c>
    </row>
    <row r="61" spans="1:48" ht="30" customHeight="1">
      <c r="A61" s="13" t="s">
        <v>642</v>
      </c>
      <c r="B61" s="25" t="s">
        <v>645</v>
      </c>
      <c r="C61" s="13" t="s">
        <v>133</v>
      </c>
      <c r="D61" s="11">
        <v>2</v>
      </c>
      <c r="E61" s="12"/>
      <c r="F61" s="12"/>
      <c r="G61" s="12"/>
      <c r="H61" s="12"/>
      <c r="I61" s="12"/>
      <c r="J61" s="12"/>
      <c r="K61" s="12"/>
      <c r="L61" s="12"/>
      <c r="M61" s="13" t="s">
        <v>113</v>
      </c>
      <c r="N61" s="1" t="s">
        <v>134</v>
      </c>
      <c r="O61" s="1" t="s">
        <v>50</v>
      </c>
      <c r="P61" s="1" t="s">
        <v>50</v>
      </c>
      <c r="Q61" s="1" t="s">
        <v>132</v>
      </c>
      <c r="R61" s="1" t="s">
        <v>61</v>
      </c>
      <c r="S61" s="1" t="s">
        <v>61</v>
      </c>
      <c r="T61" s="1" t="s">
        <v>60</v>
      </c>
      <c r="AR61" s="1" t="s">
        <v>50</v>
      </c>
      <c r="AS61" s="1" t="s">
        <v>50</v>
      </c>
      <c r="AU61" s="1" t="s">
        <v>135</v>
      </c>
      <c r="AV61">
        <v>98</v>
      </c>
    </row>
    <row r="62" spans="1:48" ht="30" customHeight="1">
      <c r="A62" s="13"/>
      <c r="B62" s="25" t="s">
        <v>646</v>
      </c>
      <c r="C62" s="13" t="s">
        <v>133</v>
      </c>
      <c r="D62" s="11">
        <v>2</v>
      </c>
      <c r="E62" s="12"/>
      <c r="F62" s="12"/>
      <c r="G62" s="12"/>
      <c r="H62" s="12"/>
      <c r="I62" s="12"/>
      <c r="J62" s="12"/>
      <c r="K62" s="12"/>
      <c r="L62" s="12"/>
      <c r="M62" s="13" t="s">
        <v>113</v>
      </c>
      <c r="N62" s="1" t="s">
        <v>134</v>
      </c>
      <c r="O62" s="1" t="s">
        <v>50</v>
      </c>
      <c r="P62" s="1" t="s">
        <v>50</v>
      </c>
      <c r="Q62" s="1" t="s">
        <v>132</v>
      </c>
      <c r="R62" s="1" t="s">
        <v>61</v>
      </c>
      <c r="S62" s="1" t="s">
        <v>61</v>
      </c>
      <c r="T62" s="1" t="s">
        <v>60</v>
      </c>
      <c r="AR62" s="1" t="s">
        <v>50</v>
      </c>
      <c r="AS62" s="1" t="s">
        <v>50</v>
      </c>
      <c r="AU62" s="1" t="s">
        <v>135</v>
      </c>
      <c r="AV62">
        <v>98</v>
      </c>
    </row>
    <row r="63" spans="1:48" ht="30" customHeight="1">
      <c r="A63" s="13" t="s">
        <v>641</v>
      </c>
      <c r="B63" s="25"/>
      <c r="C63" s="13" t="s">
        <v>133</v>
      </c>
      <c r="D63" s="11">
        <v>1</v>
      </c>
      <c r="E63" s="12"/>
      <c r="F63" s="12"/>
      <c r="G63" s="12"/>
      <c r="H63" s="12"/>
      <c r="I63" s="12"/>
      <c r="J63" s="12"/>
      <c r="K63" s="12"/>
      <c r="L63" s="12"/>
      <c r="M63" s="13" t="s">
        <v>113</v>
      </c>
      <c r="N63" s="1" t="s">
        <v>134</v>
      </c>
      <c r="O63" s="1" t="s">
        <v>50</v>
      </c>
      <c r="P63" s="1" t="s">
        <v>50</v>
      </c>
      <c r="Q63" s="1" t="s">
        <v>132</v>
      </c>
      <c r="R63" s="1" t="s">
        <v>61</v>
      </c>
      <c r="S63" s="1" t="s">
        <v>61</v>
      </c>
      <c r="T63" s="1" t="s">
        <v>60</v>
      </c>
      <c r="AR63" s="1" t="s">
        <v>50</v>
      </c>
      <c r="AS63" s="1" t="s">
        <v>50</v>
      </c>
      <c r="AU63" s="1" t="s">
        <v>135</v>
      </c>
      <c r="AV63">
        <v>98</v>
      </c>
    </row>
    <row r="64" spans="1:48" ht="30" customHeight="1">
      <c r="A64" s="13" t="s">
        <v>136</v>
      </c>
      <c r="B64" s="13" t="s">
        <v>137</v>
      </c>
      <c r="C64" s="13" t="s">
        <v>638</v>
      </c>
      <c r="D64" s="11">
        <v>17</v>
      </c>
      <c r="E64" s="12"/>
      <c r="F64" s="12"/>
      <c r="G64" s="12"/>
      <c r="H64" s="12"/>
      <c r="I64" s="12"/>
      <c r="J64" s="12"/>
      <c r="K64" s="12"/>
      <c r="L64" s="12"/>
      <c r="M64" s="13" t="s">
        <v>138</v>
      </c>
      <c r="N64" s="1" t="s">
        <v>139</v>
      </c>
      <c r="O64" s="1" t="s">
        <v>50</v>
      </c>
      <c r="P64" s="1" t="s">
        <v>50</v>
      </c>
      <c r="Q64" s="1" t="s">
        <v>132</v>
      </c>
      <c r="R64" s="1" t="s">
        <v>60</v>
      </c>
      <c r="S64" s="1" t="s">
        <v>61</v>
      </c>
      <c r="T64" s="1" t="s">
        <v>61</v>
      </c>
      <c r="AR64" s="1" t="s">
        <v>50</v>
      </c>
      <c r="AS64" s="1" t="s">
        <v>50</v>
      </c>
      <c r="AU64" s="1" t="s">
        <v>140</v>
      </c>
      <c r="AV64">
        <v>221</v>
      </c>
    </row>
    <row r="65" spans="1:48" ht="30" customHeight="1">
      <c r="A65" s="13" t="s">
        <v>141</v>
      </c>
      <c r="B65" s="13" t="s">
        <v>142</v>
      </c>
      <c r="C65" s="13" t="s">
        <v>69</v>
      </c>
      <c r="D65" s="11">
        <v>1</v>
      </c>
      <c r="E65" s="12"/>
      <c r="F65" s="12"/>
      <c r="G65" s="12"/>
      <c r="H65" s="12"/>
      <c r="I65" s="12"/>
      <c r="J65" s="12"/>
      <c r="K65" s="12"/>
      <c r="L65" s="12"/>
      <c r="M65" s="13" t="s">
        <v>143</v>
      </c>
      <c r="N65" s="1" t="s">
        <v>144</v>
      </c>
      <c r="O65" s="1" t="s">
        <v>50</v>
      </c>
      <c r="P65" s="1" t="s">
        <v>50</v>
      </c>
      <c r="Q65" s="1" t="s">
        <v>132</v>
      </c>
      <c r="R65" s="1" t="s">
        <v>60</v>
      </c>
      <c r="S65" s="1" t="s">
        <v>61</v>
      </c>
      <c r="T65" s="1" t="s">
        <v>61</v>
      </c>
      <c r="AR65" s="1" t="s">
        <v>50</v>
      </c>
      <c r="AS65" s="1" t="s">
        <v>50</v>
      </c>
      <c r="AU65" s="1" t="s">
        <v>145</v>
      </c>
      <c r="AV65">
        <v>222</v>
      </c>
    </row>
    <row r="66" spans="1:48" ht="30" customHeight="1">
      <c r="A66" s="13" t="s">
        <v>146</v>
      </c>
      <c r="B66" s="13" t="s">
        <v>147</v>
      </c>
      <c r="C66" s="13" t="s">
        <v>69</v>
      </c>
      <c r="D66" s="11">
        <v>10</v>
      </c>
      <c r="E66" s="12"/>
      <c r="F66" s="12"/>
      <c r="G66" s="12"/>
      <c r="H66" s="12"/>
      <c r="I66" s="12"/>
      <c r="J66" s="12"/>
      <c r="K66" s="12"/>
      <c r="L66" s="12"/>
      <c r="M66" s="13" t="s">
        <v>148</v>
      </c>
      <c r="N66" s="1" t="s">
        <v>149</v>
      </c>
      <c r="O66" s="1" t="s">
        <v>50</v>
      </c>
      <c r="P66" s="1" t="s">
        <v>50</v>
      </c>
      <c r="Q66" s="1" t="s">
        <v>132</v>
      </c>
      <c r="R66" s="1" t="s">
        <v>60</v>
      </c>
      <c r="S66" s="1" t="s">
        <v>61</v>
      </c>
      <c r="T66" s="1" t="s">
        <v>61</v>
      </c>
      <c r="AR66" s="1" t="s">
        <v>50</v>
      </c>
      <c r="AS66" s="1" t="s">
        <v>50</v>
      </c>
      <c r="AU66" s="1" t="s">
        <v>150</v>
      </c>
      <c r="AV66">
        <v>223</v>
      </c>
    </row>
    <row r="67" spans="1:48" ht="30" customHeight="1">
      <c r="A67" s="13" t="s">
        <v>151</v>
      </c>
      <c r="B67" s="13" t="s">
        <v>152</v>
      </c>
      <c r="C67" s="13" t="s">
        <v>69</v>
      </c>
      <c r="D67" s="11">
        <v>39</v>
      </c>
      <c r="E67" s="12"/>
      <c r="F67" s="12"/>
      <c r="G67" s="12"/>
      <c r="H67" s="12"/>
      <c r="I67" s="12"/>
      <c r="J67" s="12"/>
      <c r="K67" s="12"/>
      <c r="L67" s="12"/>
      <c r="M67" s="13" t="s">
        <v>153</v>
      </c>
      <c r="N67" s="1" t="s">
        <v>154</v>
      </c>
      <c r="O67" s="1" t="s">
        <v>50</v>
      </c>
      <c r="P67" s="1" t="s">
        <v>50</v>
      </c>
      <c r="Q67" s="1" t="s">
        <v>132</v>
      </c>
      <c r="R67" s="1" t="s">
        <v>60</v>
      </c>
      <c r="S67" s="1" t="s">
        <v>61</v>
      </c>
      <c r="T67" s="1" t="s">
        <v>61</v>
      </c>
      <c r="AR67" s="1" t="s">
        <v>50</v>
      </c>
      <c r="AS67" s="1" t="s">
        <v>50</v>
      </c>
      <c r="AU67" s="1" t="s">
        <v>155</v>
      </c>
      <c r="AV67">
        <v>224</v>
      </c>
    </row>
    <row r="68" spans="1:48" ht="30" customHeight="1">
      <c r="A68" s="11"/>
      <c r="B68" s="11"/>
      <c r="C68" s="11"/>
      <c r="D68" s="11"/>
      <c r="E68" s="12"/>
      <c r="F68" s="12"/>
      <c r="G68" s="12"/>
      <c r="H68" s="12"/>
      <c r="I68" s="12"/>
      <c r="J68" s="12"/>
      <c r="K68" s="12"/>
      <c r="L68" s="12"/>
      <c r="M68" s="11"/>
      <c r="Q68" s="1" t="s">
        <v>132</v>
      </c>
    </row>
    <row r="69" spans="1:48" ht="30" customHeight="1">
      <c r="A69" s="11"/>
      <c r="B69" s="11"/>
      <c r="C69" s="11"/>
      <c r="D69" s="11"/>
      <c r="E69" s="12"/>
      <c r="F69" s="12"/>
      <c r="G69" s="12"/>
      <c r="H69" s="12"/>
      <c r="I69" s="12"/>
      <c r="J69" s="12"/>
      <c r="K69" s="12"/>
      <c r="L69" s="12"/>
      <c r="M69" s="11"/>
      <c r="Q69" s="1" t="s">
        <v>132</v>
      </c>
    </row>
    <row r="70" spans="1:48" ht="30" customHeight="1">
      <c r="A70" s="11"/>
      <c r="B70" s="11"/>
      <c r="C70" s="11"/>
      <c r="D70" s="11"/>
      <c r="E70" s="12"/>
      <c r="F70" s="12"/>
      <c r="G70" s="12"/>
      <c r="H70" s="12"/>
      <c r="I70" s="12"/>
      <c r="J70" s="12"/>
      <c r="K70" s="12"/>
      <c r="L70" s="12"/>
      <c r="M70" s="11"/>
      <c r="Q70" s="1" t="s">
        <v>132</v>
      </c>
    </row>
    <row r="71" spans="1:48" ht="30" customHeight="1">
      <c r="A71" s="11"/>
      <c r="B71" s="11"/>
      <c r="C71" s="11"/>
      <c r="D71" s="11"/>
      <c r="E71" s="12"/>
      <c r="F71" s="12"/>
      <c r="G71" s="12"/>
      <c r="H71" s="12"/>
      <c r="I71" s="12"/>
      <c r="J71" s="12"/>
      <c r="K71" s="12"/>
      <c r="L71" s="12"/>
      <c r="M71" s="11"/>
      <c r="Q71" s="1" t="s">
        <v>132</v>
      </c>
    </row>
    <row r="72" spans="1:48" ht="30" customHeight="1">
      <c r="A72" s="11"/>
      <c r="B72" s="11"/>
      <c r="C72" s="11"/>
      <c r="D72" s="11"/>
      <c r="E72" s="12"/>
      <c r="F72" s="12"/>
      <c r="G72" s="12"/>
      <c r="H72" s="12"/>
      <c r="I72" s="12"/>
      <c r="J72" s="12"/>
      <c r="K72" s="12"/>
      <c r="L72" s="12"/>
      <c r="M72" s="11"/>
      <c r="Q72" s="1" t="s">
        <v>132</v>
      </c>
    </row>
    <row r="73" spans="1:48" ht="30" customHeight="1">
      <c r="A73" s="11"/>
      <c r="B73" s="11"/>
      <c r="C73" s="11"/>
      <c r="D73" s="11"/>
      <c r="E73" s="12"/>
      <c r="F73" s="12"/>
      <c r="G73" s="12"/>
      <c r="H73" s="12"/>
      <c r="I73" s="12"/>
      <c r="J73" s="12"/>
      <c r="K73" s="12"/>
      <c r="L73" s="12"/>
      <c r="M73" s="11"/>
      <c r="Q73" s="1" t="s">
        <v>132</v>
      </c>
    </row>
    <row r="74" spans="1:48" ht="30" customHeight="1">
      <c r="A74" s="11"/>
      <c r="B74" s="11"/>
      <c r="C74" s="11"/>
      <c r="D74" s="11"/>
      <c r="E74" s="12"/>
      <c r="F74" s="12"/>
      <c r="G74" s="12"/>
      <c r="H74" s="12"/>
      <c r="I74" s="12"/>
      <c r="J74" s="12"/>
      <c r="K74" s="12"/>
      <c r="L74" s="12"/>
      <c r="M74" s="11"/>
      <c r="Q74" s="1" t="s">
        <v>132</v>
      </c>
    </row>
    <row r="75" spans="1:48" ht="30" customHeight="1">
      <c r="A75" s="11"/>
      <c r="B75" s="11"/>
      <c r="C75" s="11"/>
      <c r="D75" s="11"/>
      <c r="E75" s="12"/>
      <c r="F75" s="12"/>
      <c r="G75" s="12"/>
      <c r="H75" s="12"/>
      <c r="I75" s="12"/>
      <c r="J75" s="12"/>
      <c r="K75" s="12"/>
      <c r="L75" s="12"/>
      <c r="M75" s="11"/>
      <c r="Q75" s="1" t="s">
        <v>132</v>
      </c>
    </row>
    <row r="76" spans="1:48" ht="30" customHeight="1">
      <c r="A76" s="11"/>
      <c r="B76" s="11"/>
      <c r="C76" s="11"/>
      <c r="D76" s="11"/>
      <c r="E76" s="12"/>
      <c r="F76" s="12"/>
      <c r="G76" s="12"/>
      <c r="H76" s="12"/>
      <c r="I76" s="12"/>
      <c r="J76" s="12"/>
      <c r="K76" s="12"/>
      <c r="L76" s="12"/>
      <c r="M76" s="11"/>
      <c r="Q76" s="1" t="s">
        <v>132</v>
      </c>
    </row>
    <row r="77" spans="1:48" ht="30" customHeight="1">
      <c r="A77" s="11"/>
      <c r="B77" s="11"/>
      <c r="C77" s="11"/>
      <c r="D77" s="11"/>
      <c r="E77" s="12"/>
      <c r="F77" s="12"/>
      <c r="G77" s="12"/>
      <c r="H77" s="12"/>
      <c r="I77" s="12"/>
      <c r="J77" s="12"/>
      <c r="K77" s="12"/>
      <c r="L77" s="12"/>
      <c r="M77" s="11"/>
      <c r="Q77" s="1" t="s">
        <v>132</v>
      </c>
    </row>
    <row r="78" spans="1:48" ht="30" customHeight="1">
      <c r="A78" s="11"/>
      <c r="B78" s="11"/>
      <c r="C78" s="11"/>
      <c r="D78" s="11"/>
      <c r="E78" s="12"/>
      <c r="F78" s="12"/>
      <c r="G78" s="12"/>
      <c r="H78" s="12"/>
      <c r="I78" s="12"/>
      <c r="J78" s="12"/>
      <c r="K78" s="12"/>
      <c r="L78" s="12"/>
      <c r="M78" s="11"/>
      <c r="Q78" s="1" t="s">
        <v>132</v>
      </c>
    </row>
    <row r="79" spans="1:48" ht="30" customHeight="1">
      <c r="A79" s="11"/>
      <c r="B79" s="11"/>
      <c r="C79" s="11"/>
      <c r="D79" s="11"/>
      <c r="E79" s="12"/>
      <c r="F79" s="12"/>
      <c r="G79" s="12"/>
      <c r="H79" s="12"/>
      <c r="I79" s="12"/>
      <c r="J79" s="12"/>
      <c r="K79" s="12"/>
      <c r="L79" s="12"/>
      <c r="M79" s="11"/>
      <c r="Q79" s="1" t="s">
        <v>132</v>
      </c>
    </row>
    <row r="80" spans="1:48" ht="30" customHeight="1">
      <c r="A80" s="11"/>
      <c r="B80" s="11"/>
      <c r="C80" s="11"/>
      <c r="D80" s="11"/>
      <c r="E80" s="12"/>
      <c r="F80" s="12"/>
      <c r="G80" s="12"/>
      <c r="H80" s="12"/>
      <c r="I80" s="12"/>
      <c r="J80" s="12"/>
      <c r="K80" s="12"/>
      <c r="L80" s="12"/>
      <c r="M80" s="11"/>
      <c r="Q80" s="1" t="s">
        <v>132</v>
      </c>
    </row>
    <row r="81" spans="1:48" ht="30" customHeight="1">
      <c r="A81" s="11"/>
      <c r="B81" s="11"/>
      <c r="C81" s="11"/>
      <c r="D81" s="11"/>
      <c r="E81" s="12"/>
      <c r="F81" s="12"/>
      <c r="G81" s="12"/>
      <c r="H81" s="12"/>
      <c r="I81" s="12"/>
      <c r="J81" s="12"/>
      <c r="K81" s="12"/>
      <c r="L81" s="12"/>
      <c r="M81" s="11"/>
      <c r="Q81" s="1" t="s">
        <v>132</v>
      </c>
    </row>
    <row r="82" spans="1:48" ht="30" customHeight="1">
      <c r="A82" s="11"/>
      <c r="B82" s="11"/>
      <c r="C82" s="11"/>
      <c r="D82" s="11"/>
      <c r="E82" s="12"/>
      <c r="F82" s="12"/>
      <c r="G82" s="12"/>
      <c r="H82" s="12"/>
      <c r="I82" s="12"/>
      <c r="J82" s="12"/>
      <c r="K82" s="12"/>
      <c r="L82" s="12"/>
      <c r="M82" s="11"/>
      <c r="Q82" s="1" t="s">
        <v>132</v>
      </c>
    </row>
    <row r="83" spans="1:48" ht="30" customHeight="1">
      <c r="A83" s="11"/>
      <c r="B83" s="11"/>
      <c r="C83" s="11"/>
      <c r="D83" s="11"/>
      <c r="E83" s="12"/>
      <c r="F83" s="12"/>
      <c r="G83" s="12"/>
      <c r="H83" s="12"/>
      <c r="I83" s="12"/>
      <c r="J83" s="12"/>
      <c r="K83" s="12"/>
      <c r="L83" s="12"/>
      <c r="M83" s="11"/>
      <c r="Q83" s="1" t="s">
        <v>132</v>
      </c>
    </row>
    <row r="84" spans="1:48" ht="30" customHeight="1">
      <c r="A84" s="11"/>
      <c r="B84" s="11"/>
      <c r="C84" s="11"/>
      <c r="D84" s="11"/>
      <c r="E84" s="12"/>
      <c r="F84" s="12"/>
      <c r="G84" s="12"/>
      <c r="H84" s="12"/>
      <c r="I84" s="12"/>
      <c r="J84" s="12"/>
      <c r="K84" s="12"/>
      <c r="L84" s="12"/>
      <c r="M84" s="11"/>
      <c r="Q84" s="1" t="s">
        <v>132</v>
      </c>
    </row>
    <row r="85" spans="1:48" ht="30" customHeight="1">
      <c r="A85" s="13" t="s">
        <v>120</v>
      </c>
      <c r="B85" s="11"/>
      <c r="C85" s="11"/>
      <c r="D85" s="11"/>
      <c r="E85" s="12"/>
      <c r="F85" s="12">
        <f>SUMIF(Q53:Q84,"010103",F53:F84)</f>
        <v>0</v>
      </c>
      <c r="G85" s="12"/>
      <c r="H85" s="12">
        <f>SUMIF(Q53:Q84,"010103",H53:H84)</f>
        <v>0</v>
      </c>
      <c r="I85" s="12"/>
      <c r="J85" s="12">
        <f>SUMIF(Q53:Q84,"010103",J53:J84)</f>
        <v>0</v>
      </c>
      <c r="K85" s="12"/>
      <c r="L85" s="12">
        <f>SUMIF(Q53:Q84,"010103",L53:L84)</f>
        <v>0</v>
      </c>
      <c r="M85" s="11"/>
      <c r="N85" t="s">
        <v>121</v>
      </c>
    </row>
    <row r="86" spans="1:48" ht="30" customHeight="1">
      <c r="A86" s="13" t="s">
        <v>634</v>
      </c>
      <c r="B86" s="13" t="s">
        <v>50</v>
      </c>
      <c r="C86" s="11"/>
      <c r="D86" s="11"/>
      <c r="E86" s="12"/>
      <c r="F86" s="12"/>
      <c r="G86" s="12"/>
      <c r="H86" s="12"/>
      <c r="I86" s="12"/>
      <c r="J86" s="12"/>
      <c r="K86" s="12"/>
      <c r="L86" s="12"/>
      <c r="M86" s="11"/>
      <c r="Q86" s="1" t="s">
        <v>156</v>
      </c>
    </row>
    <row r="87" spans="1:48" ht="30" customHeight="1">
      <c r="A87" s="13" t="s">
        <v>157</v>
      </c>
      <c r="B87" s="13" t="s">
        <v>158</v>
      </c>
      <c r="C87" s="13" t="s">
        <v>159</v>
      </c>
      <c r="D87" s="11">
        <v>3</v>
      </c>
      <c r="E87" s="12"/>
      <c r="F87" s="12"/>
      <c r="G87" s="12"/>
      <c r="H87" s="12"/>
      <c r="I87" s="12"/>
      <c r="J87" s="12"/>
      <c r="K87" s="12"/>
      <c r="L87" s="12"/>
      <c r="M87" s="13" t="s">
        <v>160</v>
      </c>
      <c r="N87" s="1" t="s">
        <v>161</v>
      </c>
      <c r="O87" s="1" t="s">
        <v>50</v>
      </c>
      <c r="P87" s="1" t="s">
        <v>50</v>
      </c>
      <c r="Q87" s="1" t="s">
        <v>156</v>
      </c>
      <c r="R87" s="1" t="s">
        <v>60</v>
      </c>
      <c r="S87" s="1" t="s">
        <v>61</v>
      </c>
      <c r="T87" s="1" t="s">
        <v>61</v>
      </c>
      <c r="AR87" s="1" t="s">
        <v>50</v>
      </c>
      <c r="AS87" s="1" t="s">
        <v>50</v>
      </c>
      <c r="AU87" s="1" t="s">
        <v>162</v>
      </c>
      <c r="AV87">
        <v>107</v>
      </c>
    </row>
    <row r="88" spans="1:48" ht="30" customHeight="1">
      <c r="A88" s="13" t="s">
        <v>163</v>
      </c>
      <c r="B88" s="13" t="s">
        <v>164</v>
      </c>
      <c r="C88" s="13" t="s">
        <v>69</v>
      </c>
      <c r="D88" s="11">
        <v>3</v>
      </c>
      <c r="E88" s="12"/>
      <c r="F88" s="12"/>
      <c r="G88" s="12"/>
      <c r="H88" s="12"/>
      <c r="I88" s="12"/>
      <c r="J88" s="12"/>
      <c r="K88" s="12"/>
      <c r="L88" s="12"/>
      <c r="M88" s="13" t="s">
        <v>165</v>
      </c>
      <c r="N88" s="1" t="s">
        <v>166</v>
      </c>
      <c r="O88" s="1" t="s">
        <v>50</v>
      </c>
      <c r="P88" s="1" t="s">
        <v>50</v>
      </c>
      <c r="Q88" s="1" t="s">
        <v>156</v>
      </c>
      <c r="R88" s="1" t="s">
        <v>60</v>
      </c>
      <c r="S88" s="1" t="s">
        <v>61</v>
      </c>
      <c r="T88" s="1" t="s">
        <v>61</v>
      </c>
      <c r="AR88" s="1" t="s">
        <v>50</v>
      </c>
      <c r="AS88" s="1" t="s">
        <v>50</v>
      </c>
      <c r="AU88" s="1" t="s">
        <v>167</v>
      </c>
      <c r="AV88">
        <v>108</v>
      </c>
    </row>
    <row r="89" spans="1:48" ht="30" customHeight="1">
      <c r="A89" s="13" t="s">
        <v>168</v>
      </c>
      <c r="B89" s="13" t="s">
        <v>169</v>
      </c>
      <c r="C89" s="13" t="s">
        <v>170</v>
      </c>
      <c r="D89" s="11">
        <v>7</v>
      </c>
      <c r="E89" s="12"/>
      <c r="F89" s="12"/>
      <c r="G89" s="12"/>
      <c r="H89" s="12"/>
      <c r="I89" s="12"/>
      <c r="J89" s="12"/>
      <c r="K89" s="12"/>
      <c r="L89" s="12"/>
      <c r="M89" s="13" t="s">
        <v>171</v>
      </c>
      <c r="N89" s="1" t="s">
        <v>172</v>
      </c>
      <c r="O89" s="1" t="s">
        <v>50</v>
      </c>
      <c r="P89" s="1" t="s">
        <v>50</v>
      </c>
      <c r="Q89" s="1" t="s">
        <v>156</v>
      </c>
      <c r="R89" s="1" t="s">
        <v>60</v>
      </c>
      <c r="S89" s="1" t="s">
        <v>61</v>
      </c>
      <c r="T89" s="1" t="s">
        <v>61</v>
      </c>
      <c r="AR89" s="1" t="s">
        <v>50</v>
      </c>
      <c r="AS89" s="1" t="s">
        <v>50</v>
      </c>
      <c r="AU89" s="1" t="s">
        <v>173</v>
      </c>
      <c r="AV89">
        <v>126</v>
      </c>
    </row>
    <row r="90" spans="1:48" ht="30" customHeight="1">
      <c r="A90" s="13" t="s">
        <v>168</v>
      </c>
      <c r="B90" s="13" t="s">
        <v>174</v>
      </c>
      <c r="C90" s="13" t="s">
        <v>170</v>
      </c>
      <c r="D90" s="11">
        <v>4</v>
      </c>
      <c r="E90" s="12"/>
      <c r="F90" s="12"/>
      <c r="G90" s="12"/>
      <c r="H90" s="12"/>
      <c r="I90" s="12"/>
      <c r="J90" s="12"/>
      <c r="K90" s="12"/>
      <c r="L90" s="12"/>
      <c r="M90" s="13" t="s">
        <v>175</v>
      </c>
      <c r="N90" s="1" t="s">
        <v>176</v>
      </c>
      <c r="O90" s="1" t="s">
        <v>50</v>
      </c>
      <c r="P90" s="1" t="s">
        <v>50</v>
      </c>
      <c r="Q90" s="1" t="s">
        <v>156</v>
      </c>
      <c r="R90" s="1" t="s">
        <v>60</v>
      </c>
      <c r="S90" s="1" t="s">
        <v>61</v>
      </c>
      <c r="T90" s="1" t="s">
        <v>61</v>
      </c>
      <c r="AR90" s="1" t="s">
        <v>50</v>
      </c>
      <c r="AS90" s="1" t="s">
        <v>50</v>
      </c>
      <c r="AU90" s="1" t="s">
        <v>177</v>
      </c>
      <c r="AV90">
        <v>127</v>
      </c>
    </row>
    <row r="91" spans="1:48" ht="30" customHeight="1">
      <c r="A91" s="13" t="s">
        <v>168</v>
      </c>
      <c r="B91" s="13" t="s">
        <v>178</v>
      </c>
      <c r="C91" s="13" t="s">
        <v>170</v>
      </c>
      <c r="D91" s="11">
        <v>7</v>
      </c>
      <c r="E91" s="12"/>
      <c r="F91" s="12"/>
      <c r="G91" s="12"/>
      <c r="H91" s="12"/>
      <c r="I91" s="12"/>
      <c r="J91" s="12"/>
      <c r="K91" s="12"/>
      <c r="L91" s="12"/>
      <c r="M91" s="13" t="s">
        <v>179</v>
      </c>
      <c r="N91" s="1" t="s">
        <v>180</v>
      </c>
      <c r="O91" s="1" t="s">
        <v>50</v>
      </c>
      <c r="P91" s="1" t="s">
        <v>50</v>
      </c>
      <c r="Q91" s="1" t="s">
        <v>156</v>
      </c>
      <c r="R91" s="1" t="s">
        <v>60</v>
      </c>
      <c r="S91" s="1" t="s">
        <v>61</v>
      </c>
      <c r="T91" s="1" t="s">
        <v>61</v>
      </c>
      <c r="AR91" s="1" t="s">
        <v>50</v>
      </c>
      <c r="AS91" s="1" t="s">
        <v>50</v>
      </c>
      <c r="AU91" s="1" t="s">
        <v>181</v>
      </c>
      <c r="AV91">
        <v>128</v>
      </c>
    </row>
    <row r="92" spans="1:48" ht="30" customHeight="1">
      <c r="A92" s="13" t="s">
        <v>182</v>
      </c>
      <c r="B92" s="13" t="s">
        <v>183</v>
      </c>
      <c r="C92" s="13" t="s">
        <v>170</v>
      </c>
      <c r="D92" s="11">
        <v>4</v>
      </c>
      <c r="E92" s="12"/>
      <c r="F92" s="12"/>
      <c r="G92" s="12"/>
      <c r="H92" s="12"/>
      <c r="I92" s="12"/>
      <c r="J92" s="12"/>
      <c r="K92" s="12"/>
      <c r="L92" s="12"/>
      <c r="M92" s="13" t="s">
        <v>184</v>
      </c>
      <c r="N92" s="1" t="s">
        <v>185</v>
      </c>
      <c r="O92" s="1" t="s">
        <v>50</v>
      </c>
      <c r="P92" s="1" t="s">
        <v>50</v>
      </c>
      <c r="Q92" s="1" t="s">
        <v>156</v>
      </c>
      <c r="R92" s="1" t="s">
        <v>60</v>
      </c>
      <c r="S92" s="1" t="s">
        <v>61</v>
      </c>
      <c r="T92" s="1" t="s">
        <v>61</v>
      </c>
      <c r="AR92" s="1" t="s">
        <v>50</v>
      </c>
      <c r="AS92" s="1" t="s">
        <v>50</v>
      </c>
      <c r="AU92" s="1" t="s">
        <v>186</v>
      </c>
      <c r="AV92">
        <v>109</v>
      </c>
    </row>
    <row r="93" spans="1:48" ht="30" customHeight="1">
      <c r="A93" s="13" t="s">
        <v>187</v>
      </c>
      <c r="B93" s="13" t="s">
        <v>188</v>
      </c>
      <c r="C93" s="13" t="s">
        <v>170</v>
      </c>
      <c r="D93" s="11">
        <v>280</v>
      </c>
      <c r="E93" s="12"/>
      <c r="F93" s="12"/>
      <c r="G93" s="12"/>
      <c r="H93" s="12"/>
      <c r="I93" s="12"/>
      <c r="J93" s="12"/>
      <c r="K93" s="12"/>
      <c r="L93" s="12"/>
      <c r="M93" s="13" t="s">
        <v>189</v>
      </c>
      <c r="N93" s="1" t="s">
        <v>190</v>
      </c>
      <c r="O93" s="1" t="s">
        <v>50</v>
      </c>
      <c r="P93" s="1" t="s">
        <v>50</v>
      </c>
      <c r="Q93" s="1" t="s">
        <v>156</v>
      </c>
      <c r="R93" s="1" t="s">
        <v>60</v>
      </c>
      <c r="S93" s="1" t="s">
        <v>61</v>
      </c>
      <c r="T93" s="1" t="s">
        <v>61</v>
      </c>
      <c r="AR93" s="1" t="s">
        <v>50</v>
      </c>
      <c r="AS93" s="1" t="s">
        <v>50</v>
      </c>
      <c r="AU93" s="1" t="s">
        <v>191</v>
      </c>
      <c r="AV93">
        <v>110</v>
      </c>
    </row>
    <row r="94" spans="1:48" ht="30" customHeight="1">
      <c r="A94" s="13" t="s">
        <v>192</v>
      </c>
      <c r="B94" s="13" t="s">
        <v>193</v>
      </c>
      <c r="C94" s="13" t="s">
        <v>170</v>
      </c>
      <c r="D94" s="11">
        <v>9</v>
      </c>
      <c r="E94" s="12"/>
      <c r="F94" s="12"/>
      <c r="G94" s="12"/>
      <c r="H94" s="12"/>
      <c r="I94" s="12"/>
      <c r="J94" s="12"/>
      <c r="K94" s="12"/>
      <c r="L94" s="12"/>
      <c r="M94" s="13" t="s">
        <v>194</v>
      </c>
      <c r="N94" s="1" t="s">
        <v>195</v>
      </c>
      <c r="O94" s="1" t="s">
        <v>50</v>
      </c>
      <c r="P94" s="1" t="s">
        <v>50</v>
      </c>
      <c r="Q94" s="1" t="s">
        <v>156</v>
      </c>
      <c r="R94" s="1" t="s">
        <v>60</v>
      </c>
      <c r="S94" s="1" t="s">
        <v>61</v>
      </c>
      <c r="T94" s="1" t="s">
        <v>61</v>
      </c>
      <c r="AR94" s="1" t="s">
        <v>50</v>
      </c>
      <c r="AS94" s="1" t="s">
        <v>50</v>
      </c>
      <c r="AU94" s="1" t="s">
        <v>196</v>
      </c>
      <c r="AV94">
        <v>225</v>
      </c>
    </row>
    <row r="95" spans="1:48" ht="30" customHeight="1">
      <c r="A95" s="13" t="s">
        <v>197</v>
      </c>
      <c r="B95" s="13" t="s">
        <v>198</v>
      </c>
      <c r="C95" s="13" t="s">
        <v>170</v>
      </c>
      <c r="D95" s="11">
        <v>2</v>
      </c>
      <c r="E95" s="12"/>
      <c r="F95" s="12"/>
      <c r="G95" s="12"/>
      <c r="H95" s="12"/>
      <c r="I95" s="12"/>
      <c r="J95" s="12"/>
      <c r="K95" s="12"/>
      <c r="L95" s="12"/>
      <c r="M95" s="13" t="s">
        <v>199</v>
      </c>
      <c r="N95" s="1" t="s">
        <v>200</v>
      </c>
      <c r="O95" s="1" t="s">
        <v>50</v>
      </c>
      <c r="P95" s="1" t="s">
        <v>50</v>
      </c>
      <c r="Q95" s="1" t="s">
        <v>156</v>
      </c>
      <c r="R95" s="1" t="s">
        <v>60</v>
      </c>
      <c r="S95" s="1" t="s">
        <v>61</v>
      </c>
      <c r="T95" s="1" t="s">
        <v>61</v>
      </c>
      <c r="AR95" s="1" t="s">
        <v>50</v>
      </c>
      <c r="AS95" s="1" t="s">
        <v>50</v>
      </c>
      <c r="AU95" s="1" t="s">
        <v>201</v>
      </c>
      <c r="AV95">
        <v>86</v>
      </c>
    </row>
    <row r="96" spans="1:48" ht="30" customHeight="1">
      <c r="A96" s="13" t="s">
        <v>202</v>
      </c>
      <c r="B96" s="13" t="s">
        <v>203</v>
      </c>
      <c r="C96" s="13" t="s">
        <v>170</v>
      </c>
      <c r="D96" s="11">
        <v>7</v>
      </c>
      <c r="E96" s="12"/>
      <c r="F96" s="12"/>
      <c r="G96" s="12"/>
      <c r="H96" s="12"/>
      <c r="I96" s="12"/>
      <c r="J96" s="12"/>
      <c r="K96" s="12"/>
      <c r="L96" s="12"/>
      <c r="M96" s="13" t="s">
        <v>204</v>
      </c>
      <c r="N96" s="1" t="s">
        <v>205</v>
      </c>
      <c r="O96" s="1" t="s">
        <v>50</v>
      </c>
      <c r="P96" s="1" t="s">
        <v>50</v>
      </c>
      <c r="Q96" s="1" t="s">
        <v>156</v>
      </c>
      <c r="R96" s="1" t="s">
        <v>60</v>
      </c>
      <c r="S96" s="1" t="s">
        <v>61</v>
      </c>
      <c r="T96" s="1" t="s">
        <v>61</v>
      </c>
      <c r="AR96" s="1" t="s">
        <v>50</v>
      </c>
      <c r="AS96" s="1" t="s">
        <v>50</v>
      </c>
      <c r="AU96" s="1" t="s">
        <v>206</v>
      </c>
      <c r="AV96">
        <v>111</v>
      </c>
    </row>
    <row r="97" spans="1:48" ht="30" customHeight="1">
      <c r="A97" s="11"/>
      <c r="B97" s="11"/>
      <c r="C97" s="11"/>
      <c r="D97" s="11"/>
      <c r="E97" s="12"/>
      <c r="F97" s="12"/>
      <c r="G97" s="12"/>
      <c r="H97" s="12"/>
      <c r="I97" s="12"/>
      <c r="J97" s="12"/>
      <c r="K97" s="12"/>
      <c r="L97" s="12"/>
      <c r="M97" s="11"/>
      <c r="Q97" s="1" t="s">
        <v>156</v>
      </c>
    </row>
    <row r="98" spans="1:48" ht="30" customHeight="1">
      <c r="A98" s="11"/>
      <c r="B98" s="11"/>
      <c r="C98" s="11"/>
      <c r="D98" s="11"/>
      <c r="E98" s="12"/>
      <c r="F98" s="12"/>
      <c r="G98" s="12"/>
      <c r="H98" s="12"/>
      <c r="I98" s="12"/>
      <c r="J98" s="12"/>
      <c r="K98" s="12"/>
      <c r="L98" s="12"/>
      <c r="M98" s="11"/>
      <c r="Q98" s="1" t="s">
        <v>156</v>
      </c>
    </row>
    <row r="99" spans="1:48" ht="30" customHeight="1">
      <c r="A99" s="11"/>
      <c r="B99" s="11"/>
      <c r="C99" s="11"/>
      <c r="D99" s="11"/>
      <c r="E99" s="12"/>
      <c r="F99" s="12"/>
      <c r="G99" s="12"/>
      <c r="H99" s="12"/>
      <c r="I99" s="12"/>
      <c r="J99" s="12"/>
      <c r="K99" s="12"/>
      <c r="L99" s="12"/>
      <c r="M99" s="11"/>
      <c r="Q99" s="1" t="s">
        <v>156</v>
      </c>
    </row>
    <row r="100" spans="1:48" ht="30" customHeight="1">
      <c r="A100" s="11"/>
      <c r="B100" s="11"/>
      <c r="C100" s="11"/>
      <c r="D100" s="11"/>
      <c r="E100" s="12"/>
      <c r="F100" s="12"/>
      <c r="G100" s="12"/>
      <c r="H100" s="12"/>
      <c r="I100" s="12"/>
      <c r="J100" s="12"/>
      <c r="K100" s="12"/>
      <c r="L100" s="12"/>
      <c r="M100" s="11"/>
      <c r="Q100" s="1" t="s">
        <v>156</v>
      </c>
    </row>
    <row r="101" spans="1:48" ht="30" customHeight="1">
      <c r="A101" s="11"/>
      <c r="B101" s="11"/>
      <c r="C101" s="11"/>
      <c r="D101" s="11"/>
      <c r="E101" s="12"/>
      <c r="F101" s="12"/>
      <c r="G101" s="12"/>
      <c r="H101" s="12"/>
      <c r="I101" s="12"/>
      <c r="J101" s="12"/>
      <c r="K101" s="12"/>
      <c r="L101" s="12"/>
      <c r="M101" s="11"/>
      <c r="Q101" s="1" t="s">
        <v>156</v>
      </c>
    </row>
    <row r="102" spans="1:48" ht="30" customHeight="1">
      <c r="A102" s="11"/>
      <c r="B102" s="11"/>
      <c r="C102" s="11"/>
      <c r="D102" s="11"/>
      <c r="E102" s="12"/>
      <c r="F102" s="12"/>
      <c r="G102" s="12"/>
      <c r="H102" s="12"/>
      <c r="I102" s="12"/>
      <c r="J102" s="12"/>
      <c r="K102" s="12"/>
      <c r="L102" s="12"/>
      <c r="M102" s="11"/>
      <c r="Q102" s="1" t="s">
        <v>156</v>
      </c>
    </row>
    <row r="103" spans="1:48" ht="30" customHeight="1">
      <c r="A103" s="11"/>
      <c r="B103" s="11"/>
      <c r="C103" s="11"/>
      <c r="D103" s="11"/>
      <c r="E103" s="12"/>
      <c r="F103" s="12"/>
      <c r="G103" s="12"/>
      <c r="H103" s="12"/>
      <c r="I103" s="12"/>
      <c r="J103" s="12"/>
      <c r="K103" s="12"/>
      <c r="L103" s="12"/>
      <c r="M103" s="11"/>
      <c r="Q103" s="1" t="s">
        <v>156</v>
      </c>
    </row>
    <row r="104" spans="1:48" ht="30" customHeight="1">
      <c r="A104" s="11"/>
      <c r="B104" s="11"/>
      <c r="C104" s="11"/>
      <c r="D104" s="11"/>
      <c r="E104" s="12"/>
      <c r="F104" s="12"/>
      <c r="G104" s="12"/>
      <c r="H104" s="12"/>
      <c r="I104" s="12"/>
      <c r="J104" s="12"/>
      <c r="K104" s="12"/>
      <c r="L104" s="12"/>
      <c r="M104" s="11"/>
      <c r="Q104" s="1" t="s">
        <v>156</v>
      </c>
    </row>
    <row r="105" spans="1:48" ht="30" customHeight="1">
      <c r="A105" s="11"/>
      <c r="B105" s="11"/>
      <c r="C105" s="11"/>
      <c r="D105" s="11"/>
      <c r="E105" s="12"/>
      <c r="F105" s="12"/>
      <c r="G105" s="12"/>
      <c r="H105" s="12"/>
      <c r="I105" s="12"/>
      <c r="J105" s="12"/>
      <c r="K105" s="12"/>
      <c r="L105" s="12"/>
      <c r="M105" s="11"/>
      <c r="Q105" s="1" t="s">
        <v>156</v>
      </c>
    </row>
    <row r="106" spans="1:48" ht="30" customHeight="1">
      <c r="A106" s="11"/>
      <c r="B106" s="11"/>
      <c r="C106" s="11"/>
      <c r="D106" s="11"/>
      <c r="E106" s="12"/>
      <c r="F106" s="12"/>
      <c r="G106" s="12"/>
      <c r="H106" s="12"/>
      <c r="I106" s="12"/>
      <c r="J106" s="12"/>
      <c r="K106" s="12"/>
      <c r="L106" s="12"/>
      <c r="M106" s="11"/>
      <c r="Q106" s="1" t="s">
        <v>156</v>
      </c>
    </row>
    <row r="107" spans="1:48" ht="30" customHeight="1">
      <c r="A107" s="11"/>
      <c r="B107" s="11"/>
      <c r="C107" s="11"/>
      <c r="D107" s="11"/>
      <c r="E107" s="12"/>
      <c r="F107" s="12"/>
      <c r="G107" s="12"/>
      <c r="H107" s="12"/>
      <c r="I107" s="12"/>
      <c r="J107" s="12"/>
      <c r="K107" s="12"/>
      <c r="L107" s="12"/>
      <c r="M107" s="11"/>
      <c r="Q107" s="1" t="s">
        <v>156</v>
      </c>
    </row>
    <row r="108" spans="1:48" ht="30" customHeight="1">
      <c r="A108" s="11"/>
      <c r="B108" s="11"/>
      <c r="C108" s="11"/>
      <c r="D108" s="11"/>
      <c r="E108" s="12"/>
      <c r="F108" s="12"/>
      <c r="G108" s="12"/>
      <c r="H108" s="12"/>
      <c r="I108" s="12"/>
      <c r="J108" s="12"/>
      <c r="K108" s="12"/>
      <c r="L108" s="12"/>
      <c r="M108" s="11"/>
      <c r="Q108" s="1" t="s">
        <v>156</v>
      </c>
    </row>
    <row r="109" spans="1:48" ht="30" customHeight="1">
      <c r="A109" s="13" t="s">
        <v>120</v>
      </c>
      <c r="B109" s="11"/>
      <c r="C109" s="11"/>
      <c r="D109" s="11"/>
      <c r="E109" s="12"/>
      <c r="F109" s="12">
        <f>SUMIF(Q87:Q108,"010104",F87:F108)</f>
        <v>0</v>
      </c>
      <c r="G109" s="12"/>
      <c r="H109" s="12">
        <f>SUMIF(Q87:Q108,"010104",H87:H108)</f>
        <v>0</v>
      </c>
      <c r="I109" s="12"/>
      <c r="J109" s="12">
        <f>SUMIF(Q87:Q108,"010104",J87:J108)</f>
        <v>0</v>
      </c>
      <c r="K109" s="12"/>
      <c r="L109" s="12">
        <f>SUMIF(Q87:Q108,"010104",L87:L108)</f>
        <v>0</v>
      </c>
      <c r="M109" s="11"/>
      <c r="N109" t="s">
        <v>121</v>
      </c>
    </row>
    <row r="110" spans="1:48" ht="30" customHeight="1">
      <c r="A110" s="13" t="s">
        <v>625</v>
      </c>
      <c r="B110" s="13" t="s">
        <v>50</v>
      </c>
      <c r="C110" s="11"/>
      <c r="D110" s="11"/>
      <c r="E110" s="12"/>
      <c r="F110" s="12"/>
      <c r="G110" s="12"/>
      <c r="H110" s="12"/>
      <c r="I110" s="12"/>
      <c r="J110" s="12"/>
      <c r="K110" s="12"/>
      <c r="L110" s="12"/>
      <c r="M110" s="11"/>
      <c r="Q110" s="1" t="s">
        <v>207</v>
      </c>
    </row>
    <row r="111" spans="1:48" ht="30" customHeight="1">
      <c r="A111" s="13" t="s">
        <v>208</v>
      </c>
      <c r="B111" s="13" t="s">
        <v>209</v>
      </c>
      <c r="C111" s="13" t="s">
        <v>210</v>
      </c>
      <c r="D111" s="11">
        <v>1</v>
      </c>
      <c r="E111" s="12"/>
      <c r="F111" s="12"/>
      <c r="G111" s="12"/>
      <c r="H111" s="12"/>
      <c r="I111" s="12"/>
      <c r="J111" s="12"/>
      <c r="K111" s="12"/>
      <c r="L111" s="12"/>
      <c r="M111" s="13" t="s">
        <v>211</v>
      </c>
      <c r="N111" s="1" t="s">
        <v>212</v>
      </c>
      <c r="O111" s="1" t="s">
        <v>50</v>
      </c>
      <c r="P111" s="1" t="s">
        <v>50</v>
      </c>
      <c r="Q111" s="1" t="s">
        <v>207</v>
      </c>
      <c r="R111" s="1" t="s">
        <v>61</v>
      </c>
      <c r="S111" s="1" t="s">
        <v>61</v>
      </c>
      <c r="T111" s="1" t="s">
        <v>60</v>
      </c>
      <c r="AR111" s="1" t="s">
        <v>50</v>
      </c>
      <c r="AS111" s="1" t="s">
        <v>50</v>
      </c>
      <c r="AU111" s="1" t="s">
        <v>213</v>
      </c>
      <c r="AV111">
        <v>112</v>
      </c>
    </row>
    <row r="112" spans="1:48" ht="30" customHeight="1">
      <c r="A112" s="13" t="s">
        <v>214</v>
      </c>
      <c r="B112" s="13" t="s">
        <v>215</v>
      </c>
      <c r="C112" s="13" t="s">
        <v>92</v>
      </c>
      <c r="D112" s="11">
        <v>2</v>
      </c>
      <c r="E112" s="12"/>
      <c r="F112" s="12"/>
      <c r="G112" s="12"/>
      <c r="H112" s="12"/>
      <c r="I112" s="12"/>
      <c r="J112" s="12"/>
      <c r="K112" s="12"/>
      <c r="L112" s="12"/>
      <c r="M112" s="13" t="s">
        <v>211</v>
      </c>
      <c r="N112" s="1" t="s">
        <v>216</v>
      </c>
      <c r="O112" s="1" t="s">
        <v>50</v>
      </c>
      <c r="P112" s="1" t="s">
        <v>50</v>
      </c>
      <c r="Q112" s="1" t="s">
        <v>207</v>
      </c>
      <c r="R112" s="1" t="s">
        <v>61</v>
      </c>
      <c r="S112" s="1" t="s">
        <v>61</v>
      </c>
      <c r="T112" s="1" t="s">
        <v>60</v>
      </c>
      <c r="AR112" s="1" t="s">
        <v>50</v>
      </c>
      <c r="AS112" s="1" t="s">
        <v>50</v>
      </c>
      <c r="AU112" s="1" t="s">
        <v>217</v>
      </c>
      <c r="AV112">
        <v>113</v>
      </c>
    </row>
    <row r="113" spans="1:48" ht="30" customHeight="1">
      <c r="A113" s="13" t="s">
        <v>218</v>
      </c>
      <c r="B113" s="13" t="s">
        <v>219</v>
      </c>
      <c r="C113" s="13" t="s">
        <v>69</v>
      </c>
      <c r="D113" s="11">
        <v>60</v>
      </c>
      <c r="E113" s="12"/>
      <c r="F113" s="12"/>
      <c r="G113" s="12"/>
      <c r="H113" s="12"/>
      <c r="I113" s="12"/>
      <c r="J113" s="12"/>
      <c r="K113" s="12"/>
      <c r="L113" s="12"/>
      <c r="M113" s="13" t="s">
        <v>635</v>
      </c>
      <c r="N113" s="1" t="s">
        <v>220</v>
      </c>
      <c r="O113" s="1" t="s">
        <v>50</v>
      </c>
      <c r="P113" s="1" t="s">
        <v>50</v>
      </c>
      <c r="Q113" s="1" t="s">
        <v>207</v>
      </c>
      <c r="R113" s="1" t="s">
        <v>61</v>
      </c>
      <c r="S113" s="1" t="s">
        <v>61</v>
      </c>
      <c r="T113" s="1" t="s">
        <v>60</v>
      </c>
      <c r="AR113" s="1" t="s">
        <v>50</v>
      </c>
      <c r="AS113" s="1" t="s">
        <v>50</v>
      </c>
      <c r="AU113" s="1" t="s">
        <v>221</v>
      </c>
      <c r="AV113">
        <v>29</v>
      </c>
    </row>
    <row r="114" spans="1:48" ht="30" customHeight="1">
      <c r="A114" s="13" t="s">
        <v>222</v>
      </c>
      <c r="B114" s="13" t="s">
        <v>223</v>
      </c>
      <c r="C114" s="13" t="s">
        <v>224</v>
      </c>
      <c r="D114" s="11">
        <v>1</v>
      </c>
      <c r="E114" s="12"/>
      <c r="F114" s="12"/>
      <c r="G114" s="12"/>
      <c r="H114" s="12"/>
      <c r="I114" s="12"/>
      <c r="J114" s="12"/>
      <c r="K114" s="12"/>
      <c r="L114" s="12"/>
      <c r="M114" s="13" t="s">
        <v>636</v>
      </c>
      <c r="N114" s="1" t="s">
        <v>225</v>
      </c>
      <c r="O114" s="1" t="s">
        <v>50</v>
      </c>
      <c r="P114" s="1" t="s">
        <v>50</v>
      </c>
      <c r="Q114" s="1" t="s">
        <v>207</v>
      </c>
      <c r="R114" s="1" t="s">
        <v>61</v>
      </c>
      <c r="S114" s="1" t="s">
        <v>61</v>
      </c>
      <c r="T114" s="1" t="s">
        <v>60</v>
      </c>
      <c r="AR114" s="1" t="s">
        <v>50</v>
      </c>
      <c r="AS114" s="1" t="s">
        <v>50</v>
      </c>
      <c r="AU114" s="1" t="s">
        <v>226</v>
      </c>
      <c r="AV114">
        <v>176</v>
      </c>
    </row>
    <row r="115" spans="1:48" ht="30" customHeight="1">
      <c r="A115" s="13" t="s">
        <v>227</v>
      </c>
      <c r="B115" s="13" t="s">
        <v>228</v>
      </c>
      <c r="C115" s="13" t="s">
        <v>170</v>
      </c>
      <c r="D115" s="11">
        <v>196</v>
      </c>
      <c r="E115" s="12"/>
      <c r="F115" s="12"/>
      <c r="G115" s="12"/>
      <c r="H115" s="12"/>
      <c r="I115" s="12"/>
      <c r="J115" s="12"/>
      <c r="K115" s="12"/>
      <c r="L115" s="12"/>
      <c r="M115" s="13" t="s">
        <v>229</v>
      </c>
      <c r="N115" s="1" t="s">
        <v>230</v>
      </c>
      <c r="O115" s="1" t="s">
        <v>50</v>
      </c>
      <c r="P115" s="1" t="s">
        <v>50</v>
      </c>
      <c r="Q115" s="1" t="s">
        <v>207</v>
      </c>
      <c r="R115" s="1" t="s">
        <v>60</v>
      </c>
      <c r="S115" s="1" t="s">
        <v>61</v>
      </c>
      <c r="T115" s="1" t="s">
        <v>61</v>
      </c>
      <c r="AR115" s="1" t="s">
        <v>50</v>
      </c>
      <c r="AS115" s="1" t="s">
        <v>50</v>
      </c>
      <c r="AU115" s="1" t="s">
        <v>231</v>
      </c>
      <c r="AV115">
        <v>31</v>
      </c>
    </row>
    <row r="116" spans="1:48" ht="30" customHeight="1">
      <c r="A116" s="13" t="s">
        <v>232</v>
      </c>
      <c r="B116" s="13" t="s">
        <v>233</v>
      </c>
      <c r="C116" s="13" t="s">
        <v>170</v>
      </c>
      <c r="D116" s="11">
        <v>99</v>
      </c>
      <c r="E116" s="12"/>
      <c r="F116" s="12"/>
      <c r="G116" s="12"/>
      <c r="H116" s="12"/>
      <c r="I116" s="12"/>
      <c r="J116" s="12"/>
      <c r="K116" s="12"/>
      <c r="L116" s="12"/>
      <c r="M116" s="13" t="s">
        <v>234</v>
      </c>
      <c r="N116" s="1" t="s">
        <v>235</v>
      </c>
      <c r="O116" s="1" t="s">
        <v>50</v>
      </c>
      <c r="P116" s="1" t="s">
        <v>50</v>
      </c>
      <c r="Q116" s="1" t="s">
        <v>207</v>
      </c>
      <c r="R116" s="1" t="s">
        <v>60</v>
      </c>
      <c r="S116" s="1" t="s">
        <v>61</v>
      </c>
      <c r="T116" s="1" t="s">
        <v>61</v>
      </c>
      <c r="AR116" s="1" t="s">
        <v>50</v>
      </c>
      <c r="AS116" s="1" t="s">
        <v>50</v>
      </c>
      <c r="AU116" s="1" t="s">
        <v>236</v>
      </c>
      <c r="AV116">
        <v>32</v>
      </c>
    </row>
    <row r="117" spans="1:48" ht="30" customHeight="1">
      <c r="A117" s="13" t="s">
        <v>237</v>
      </c>
      <c r="B117" s="13" t="s">
        <v>238</v>
      </c>
      <c r="C117" s="13" t="s">
        <v>92</v>
      </c>
      <c r="D117" s="11">
        <v>1</v>
      </c>
      <c r="E117" s="12"/>
      <c r="F117" s="12"/>
      <c r="G117" s="12"/>
      <c r="H117" s="12"/>
      <c r="I117" s="12"/>
      <c r="J117" s="12"/>
      <c r="K117" s="12"/>
      <c r="L117" s="12"/>
      <c r="M117" s="13" t="s">
        <v>239</v>
      </c>
      <c r="N117" s="1" t="s">
        <v>240</v>
      </c>
      <c r="O117" s="1" t="s">
        <v>50</v>
      </c>
      <c r="P117" s="1" t="s">
        <v>50</v>
      </c>
      <c r="Q117" s="1" t="s">
        <v>207</v>
      </c>
      <c r="R117" s="1" t="s">
        <v>60</v>
      </c>
      <c r="S117" s="1" t="s">
        <v>61</v>
      </c>
      <c r="T117" s="1" t="s">
        <v>61</v>
      </c>
      <c r="AR117" s="1" t="s">
        <v>50</v>
      </c>
      <c r="AS117" s="1" t="s">
        <v>50</v>
      </c>
      <c r="AU117" s="1" t="s">
        <v>241</v>
      </c>
      <c r="AV117">
        <v>115</v>
      </c>
    </row>
    <row r="118" spans="1:48" ht="30" customHeight="1">
      <c r="A118" s="13" t="s">
        <v>242</v>
      </c>
      <c r="B118" s="13" t="s">
        <v>243</v>
      </c>
      <c r="C118" s="13" t="s">
        <v>159</v>
      </c>
      <c r="D118" s="11">
        <v>1</v>
      </c>
      <c r="E118" s="12"/>
      <c r="F118" s="12"/>
      <c r="G118" s="12"/>
      <c r="H118" s="12"/>
      <c r="I118" s="12"/>
      <c r="J118" s="12"/>
      <c r="K118" s="12"/>
      <c r="L118" s="12"/>
      <c r="M118" s="13" t="s">
        <v>244</v>
      </c>
      <c r="N118" s="1" t="s">
        <v>245</v>
      </c>
      <c r="O118" s="1" t="s">
        <v>50</v>
      </c>
      <c r="P118" s="1" t="s">
        <v>50</v>
      </c>
      <c r="Q118" s="1" t="s">
        <v>207</v>
      </c>
      <c r="R118" s="1" t="s">
        <v>60</v>
      </c>
      <c r="S118" s="1" t="s">
        <v>61</v>
      </c>
      <c r="T118" s="1" t="s">
        <v>61</v>
      </c>
      <c r="AR118" s="1" t="s">
        <v>50</v>
      </c>
      <c r="AS118" s="1" t="s">
        <v>50</v>
      </c>
      <c r="AU118" s="1" t="s">
        <v>246</v>
      </c>
      <c r="AV118">
        <v>116</v>
      </c>
    </row>
    <row r="119" spans="1:48" ht="30" customHeight="1">
      <c r="A119" s="13" t="s">
        <v>247</v>
      </c>
      <c r="B119" s="13" t="s">
        <v>248</v>
      </c>
      <c r="C119" s="13" t="s">
        <v>170</v>
      </c>
      <c r="D119" s="11">
        <v>50</v>
      </c>
      <c r="E119" s="12"/>
      <c r="F119" s="12"/>
      <c r="G119" s="12"/>
      <c r="H119" s="12"/>
      <c r="I119" s="12"/>
      <c r="J119" s="12"/>
      <c r="K119" s="12"/>
      <c r="L119" s="12"/>
      <c r="M119" s="13" t="s">
        <v>249</v>
      </c>
      <c r="N119" s="1" t="s">
        <v>250</v>
      </c>
      <c r="O119" s="1" t="s">
        <v>50</v>
      </c>
      <c r="P119" s="1" t="s">
        <v>50</v>
      </c>
      <c r="Q119" s="1" t="s">
        <v>207</v>
      </c>
      <c r="R119" s="1" t="s">
        <v>60</v>
      </c>
      <c r="S119" s="1" t="s">
        <v>61</v>
      </c>
      <c r="T119" s="1" t="s">
        <v>61</v>
      </c>
      <c r="AR119" s="1" t="s">
        <v>50</v>
      </c>
      <c r="AS119" s="1" t="s">
        <v>50</v>
      </c>
      <c r="AU119" s="1" t="s">
        <v>251</v>
      </c>
      <c r="AV119">
        <v>73</v>
      </c>
    </row>
    <row r="120" spans="1:48" ht="30" customHeight="1">
      <c r="A120" s="13" t="s">
        <v>252</v>
      </c>
      <c r="B120" s="13" t="s">
        <v>253</v>
      </c>
      <c r="C120" s="13" t="s">
        <v>69</v>
      </c>
      <c r="D120" s="11">
        <v>60</v>
      </c>
      <c r="E120" s="12"/>
      <c r="F120" s="12"/>
      <c r="G120" s="12"/>
      <c r="H120" s="12"/>
      <c r="I120" s="12"/>
      <c r="J120" s="12"/>
      <c r="K120" s="12"/>
      <c r="L120" s="12"/>
      <c r="M120" s="13" t="s">
        <v>254</v>
      </c>
      <c r="N120" s="1" t="s">
        <v>255</v>
      </c>
      <c r="O120" s="1" t="s">
        <v>50</v>
      </c>
      <c r="P120" s="1" t="s">
        <v>50</v>
      </c>
      <c r="Q120" s="1" t="s">
        <v>207</v>
      </c>
      <c r="R120" s="1" t="s">
        <v>60</v>
      </c>
      <c r="S120" s="1" t="s">
        <v>61</v>
      </c>
      <c r="T120" s="1" t="s">
        <v>61</v>
      </c>
      <c r="AR120" s="1" t="s">
        <v>50</v>
      </c>
      <c r="AS120" s="1" t="s">
        <v>50</v>
      </c>
      <c r="AU120" s="1" t="s">
        <v>256</v>
      </c>
      <c r="AV120">
        <v>36</v>
      </c>
    </row>
    <row r="121" spans="1:48" ht="30" customHeight="1">
      <c r="A121" s="13" t="s">
        <v>257</v>
      </c>
      <c r="B121" s="13" t="s">
        <v>258</v>
      </c>
      <c r="C121" s="13" t="s">
        <v>69</v>
      </c>
      <c r="D121" s="11">
        <v>6</v>
      </c>
      <c r="E121" s="12"/>
      <c r="F121" s="12"/>
      <c r="G121" s="12"/>
      <c r="H121" s="12"/>
      <c r="I121" s="12"/>
      <c r="J121" s="12"/>
      <c r="K121" s="12"/>
      <c r="L121" s="12"/>
      <c r="M121" s="13" t="s">
        <v>259</v>
      </c>
      <c r="N121" s="1" t="s">
        <v>260</v>
      </c>
      <c r="O121" s="1" t="s">
        <v>50</v>
      </c>
      <c r="P121" s="1" t="s">
        <v>50</v>
      </c>
      <c r="Q121" s="1" t="s">
        <v>207</v>
      </c>
      <c r="R121" s="1" t="s">
        <v>60</v>
      </c>
      <c r="S121" s="1" t="s">
        <v>61</v>
      </c>
      <c r="T121" s="1" t="s">
        <v>61</v>
      </c>
      <c r="AR121" s="1" t="s">
        <v>50</v>
      </c>
      <c r="AS121" s="1" t="s">
        <v>50</v>
      </c>
      <c r="AU121" s="1" t="s">
        <v>261</v>
      </c>
      <c r="AV121">
        <v>124</v>
      </c>
    </row>
    <row r="122" spans="1:48" ht="30" customHeight="1">
      <c r="A122" s="13" t="s">
        <v>262</v>
      </c>
      <c r="B122" s="13" t="s">
        <v>263</v>
      </c>
      <c r="C122" s="13" t="s">
        <v>69</v>
      </c>
      <c r="D122" s="11">
        <v>6</v>
      </c>
      <c r="E122" s="12"/>
      <c r="F122" s="12"/>
      <c r="G122" s="12"/>
      <c r="H122" s="12"/>
      <c r="I122" s="12"/>
      <c r="J122" s="12"/>
      <c r="K122" s="12"/>
      <c r="L122" s="12"/>
      <c r="M122" s="13" t="s">
        <v>264</v>
      </c>
      <c r="N122" s="1" t="s">
        <v>265</v>
      </c>
      <c r="O122" s="1" t="s">
        <v>50</v>
      </c>
      <c r="P122" s="1" t="s">
        <v>50</v>
      </c>
      <c r="Q122" s="1" t="s">
        <v>207</v>
      </c>
      <c r="R122" s="1" t="s">
        <v>60</v>
      </c>
      <c r="S122" s="1" t="s">
        <v>61</v>
      </c>
      <c r="T122" s="1" t="s">
        <v>61</v>
      </c>
      <c r="AR122" s="1" t="s">
        <v>50</v>
      </c>
      <c r="AS122" s="1" t="s">
        <v>50</v>
      </c>
      <c r="AU122" s="1" t="s">
        <v>266</v>
      </c>
      <c r="AV122">
        <v>125</v>
      </c>
    </row>
    <row r="123" spans="1:48" ht="30" customHeight="1">
      <c r="A123" s="13" t="s">
        <v>267</v>
      </c>
      <c r="B123" s="13" t="s">
        <v>268</v>
      </c>
      <c r="C123" s="13" t="s">
        <v>170</v>
      </c>
      <c r="D123" s="11">
        <v>7</v>
      </c>
      <c r="E123" s="12"/>
      <c r="F123" s="12"/>
      <c r="G123" s="12"/>
      <c r="H123" s="12"/>
      <c r="I123" s="12"/>
      <c r="J123" s="12"/>
      <c r="K123" s="12"/>
      <c r="L123" s="12"/>
      <c r="M123" s="13" t="s">
        <v>269</v>
      </c>
      <c r="N123" s="1" t="s">
        <v>270</v>
      </c>
      <c r="O123" s="1" t="s">
        <v>50</v>
      </c>
      <c r="P123" s="1" t="s">
        <v>50</v>
      </c>
      <c r="Q123" s="1" t="s">
        <v>207</v>
      </c>
      <c r="R123" s="1" t="s">
        <v>60</v>
      </c>
      <c r="S123" s="1" t="s">
        <v>61</v>
      </c>
      <c r="T123" s="1" t="s">
        <v>61</v>
      </c>
      <c r="AR123" s="1" t="s">
        <v>50</v>
      </c>
      <c r="AS123" s="1" t="s">
        <v>50</v>
      </c>
      <c r="AU123" s="1" t="s">
        <v>271</v>
      </c>
      <c r="AV123">
        <v>129</v>
      </c>
    </row>
    <row r="124" spans="1:48" ht="30" customHeight="1">
      <c r="A124" s="13" t="s">
        <v>267</v>
      </c>
      <c r="B124" s="13" t="s">
        <v>272</v>
      </c>
      <c r="C124" s="13" t="s">
        <v>170</v>
      </c>
      <c r="D124" s="11">
        <v>4</v>
      </c>
      <c r="E124" s="12"/>
      <c r="F124" s="12"/>
      <c r="G124" s="12"/>
      <c r="H124" s="12"/>
      <c r="I124" s="12"/>
      <c r="J124" s="12"/>
      <c r="K124" s="12"/>
      <c r="L124" s="12"/>
      <c r="M124" s="13" t="s">
        <v>273</v>
      </c>
      <c r="N124" s="1" t="s">
        <v>274</v>
      </c>
      <c r="O124" s="1" t="s">
        <v>50</v>
      </c>
      <c r="P124" s="1" t="s">
        <v>50</v>
      </c>
      <c r="Q124" s="1" t="s">
        <v>207</v>
      </c>
      <c r="R124" s="1" t="s">
        <v>60</v>
      </c>
      <c r="S124" s="1" t="s">
        <v>61</v>
      </c>
      <c r="T124" s="1" t="s">
        <v>61</v>
      </c>
      <c r="AR124" s="1" t="s">
        <v>50</v>
      </c>
      <c r="AS124" s="1" t="s">
        <v>50</v>
      </c>
      <c r="AU124" s="1" t="s">
        <v>275</v>
      </c>
      <c r="AV124">
        <v>130</v>
      </c>
    </row>
    <row r="125" spans="1:48" ht="30" customHeight="1">
      <c r="A125" s="13" t="s">
        <v>267</v>
      </c>
      <c r="B125" s="13" t="s">
        <v>276</v>
      </c>
      <c r="C125" s="13" t="s">
        <v>170</v>
      </c>
      <c r="D125" s="11">
        <v>23</v>
      </c>
      <c r="E125" s="12"/>
      <c r="F125" s="12"/>
      <c r="G125" s="12"/>
      <c r="H125" s="12"/>
      <c r="I125" s="12"/>
      <c r="J125" s="12"/>
      <c r="K125" s="12"/>
      <c r="L125" s="12"/>
      <c r="M125" s="13" t="s">
        <v>277</v>
      </c>
      <c r="N125" s="1" t="s">
        <v>278</v>
      </c>
      <c r="O125" s="1" t="s">
        <v>50</v>
      </c>
      <c r="P125" s="1" t="s">
        <v>50</v>
      </c>
      <c r="Q125" s="1" t="s">
        <v>207</v>
      </c>
      <c r="R125" s="1" t="s">
        <v>60</v>
      </c>
      <c r="S125" s="1" t="s">
        <v>61</v>
      </c>
      <c r="T125" s="1" t="s">
        <v>61</v>
      </c>
      <c r="AR125" s="1" t="s">
        <v>50</v>
      </c>
      <c r="AS125" s="1" t="s">
        <v>50</v>
      </c>
      <c r="AU125" s="1" t="s">
        <v>279</v>
      </c>
      <c r="AV125">
        <v>136</v>
      </c>
    </row>
    <row r="126" spans="1:48" ht="30" customHeight="1">
      <c r="A126" s="13" t="s">
        <v>267</v>
      </c>
      <c r="B126" s="13" t="s">
        <v>280</v>
      </c>
      <c r="C126" s="13" t="s">
        <v>170</v>
      </c>
      <c r="D126" s="11">
        <v>20</v>
      </c>
      <c r="E126" s="12"/>
      <c r="F126" s="12"/>
      <c r="G126" s="12"/>
      <c r="H126" s="12"/>
      <c r="I126" s="12"/>
      <c r="J126" s="12"/>
      <c r="K126" s="12"/>
      <c r="L126" s="12"/>
      <c r="M126" s="13" t="s">
        <v>281</v>
      </c>
      <c r="N126" s="1" t="s">
        <v>282</v>
      </c>
      <c r="O126" s="1" t="s">
        <v>50</v>
      </c>
      <c r="P126" s="1" t="s">
        <v>50</v>
      </c>
      <c r="Q126" s="1" t="s">
        <v>207</v>
      </c>
      <c r="R126" s="1" t="s">
        <v>60</v>
      </c>
      <c r="S126" s="1" t="s">
        <v>61</v>
      </c>
      <c r="T126" s="1" t="s">
        <v>61</v>
      </c>
      <c r="AR126" s="1" t="s">
        <v>50</v>
      </c>
      <c r="AS126" s="1" t="s">
        <v>50</v>
      </c>
      <c r="AU126" s="1" t="s">
        <v>283</v>
      </c>
      <c r="AV126">
        <v>137</v>
      </c>
    </row>
    <row r="127" spans="1:48" ht="30" customHeight="1">
      <c r="A127" s="13" t="s">
        <v>284</v>
      </c>
      <c r="B127" s="13" t="s">
        <v>285</v>
      </c>
      <c r="C127" s="13" t="s">
        <v>170</v>
      </c>
      <c r="D127" s="11">
        <v>7</v>
      </c>
      <c r="E127" s="12"/>
      <c r="F127" s="12"/>
      <c r="G127" s="12"/>
      <c r="H127" s="12"/>
      <c r="I127" s="12"/>
      <c r="J127" s="12"/>
      <c r="K127" s="12"/>
      <c r="L127" s="12"/>
      <c r="M127" s="13" t="s">
        <v>286</v>
      </c>
      <c r="N127" s="1" t="s">
        <v>287</v>
      </c>
      <c r="O127" s="1" t="s">
        <v>50</v>
      </c>
      <c r="P127" s="1" t="s">
        <v>50</v>
      </c>
      <c r="Q127" s="1" t="s">
        <v>207</v>
      </c>
      <c r="R127" s="1" t="s">
        <v>60</v>
      </c>
      <c r="S127" s="1" t="s">
        <v>61</v>
      </c>
      <c r="T127" s="1" t="s">
        <v>61</v>
      </c>
      <c r="AR127" s="1" t="s">
        <v>50</v>
      </c>
      <c r="AS127" s="1" t="s">
        <v>50</v>
      </c>
      <c r="AU127" s="1" t="s">
        <v>288</v>
      </c>
      <c r="AV127">
        <v>138</v>
      </c>
    </row>
    <row r="128" spans="1:48" ht="30" customHeight="1">
      <c r="A128" s="13" t="s">
        <v>284</v>
      </c>
      <c r="B128" s="13" t="s">
        <v>289</v>
      </c>
      <c r="C128" s="13" t="s">
        <v>170</v>
      </c>
      <c r="D128" s="11">
        <v>2</v>
      </c>
      <c r="E128" s="12"/>
      <c r="F128" s="12"/>
      <c r="G128" s="12"/>
      <c r="H128" s="12"/>
      <c r="I128" s="12"/>
      <c r="J128" s="12"/>
      <c r="K128" s="12"/>
      <c r="L128" s="12"/>
      <c r="M128" s="13" t="s">
        <v>290</v>
      </c>
      <c r="N128" s="1" t="s">
        <v>291</v>
      </c>
      <c r="O128" s="1" t="s">
        <v>50</v>
      </c>
      <c r="P128" s="1" t="s">
        <v>50</v>
      </c>
      <c r="Q128" s="1" t="s">
        <v>207</v>
      </c>
      <c r="R128" s="1" t="s">
        <v>60</v>
      </c>
      <c r="S128" s="1" t="s">
        <v>61</v>
      </c>
      <c r="T128" s="1" t="s">
        <v>61</v>
      </c>
      <c r="AR128" s="1" t="s">
        <v>50</v>
      </c>
      <c r="AS128" s="1" t="s">
        <v>50</v>
      </c>
      <c r="AU128" s="1" t="s">
        <v>292</v>
      </c>
      <c r="AV128">
        <v>134</v>
      </c>
    </row>
    <row r="129" spans="1:48" ht="30" customHeight="1">
      <c r="A129" s="13" t="s">
        <v>293</v>
      </c>
      <c r="B129" s="13" t="s">
        <v>294</v>
      </c>
      <c r="C129" s="13" t="s">
        <v>170</v>
      </c>
      <c r="D129" s="11">
        <v>2</v>
      </c>
      <c r="E129" s="12"/>
      <c r="F129" s="12"/>
      <c r="G129" s="12"/>
      <c r="H129" s="12"/>
      <c r="I129" s="12"/>
      <c r="J129" s="12"/>
      <c r="K129" s="12"/>
      <c r="L129" s="12"/>
      <c r="M129" s="13" t="s">
        <v>295</v>
      </c>
      <c r="N129" s="1" t="s">
        <v>296</v>
      </c>
      <c r="O129" s="1" t="s">
        <v>50</v>
      </c>
      <c r="P129" s="1" t="s">
        <v>50</v>
      </c>
      <c r="Q129" s="1" t="s">
        <v>207</v>
      </c>
      <c r="R129" s="1" t="s">
        <v>60</v>
      </c>
      <c r="S129" s="1" t="s">
        <v>61</v>
      </c>
      <c r="T129" s="1" t="s">
        <v>61</v>
      </c>
      <c r="AR129" s="1" t="s">
        <v>50</v>
      </c>
      <c r="AS129" s="1" t="s">
        <v>50</v>
      </c>
      <c r="AU129" s="1" t="s">
        <v>297</v>
      </c>
      <c r="AV129">
        <v>135</v>
      </c>
    </row>
    <row r="130" spans="1:48" ht="30" customHeight="1">
      <c r="A130" s="11"/>
      <c r="B130" s="11"/>
      <c r="C130" s="11"/>
      <c r="D130" s="11"/>
      <c r="E130" s="12"/>
      <c r="F130" s="12"/>
      <c r="G130" s="12"/>
      <c r="H130" s="12"/>
      <c r="I130" s="12"/>
      <c r="J130" s="12"/>
      <c r="K130" s="12"/>
      <c r="L130" s="12"/>
      <c r="M130" s="11"/>
      <c r="Q130" s="1" t="s">
        <v>207</v>
      </c>
    </row>
    <row r="131" spans="1:48" ht="30" customHeight="1">
      <c r="A131" s="11"/>
      <c r="B131" s="11"/>
      <c r="C131" s="11"/>
      <c r="D131" s="11"/>
      <c r="E131" s="12"/>
      <c r="F131" s="12"/>
      <c r="G131" s="12"/>
      <c r="H131" s="12"/>
      <c r="I131" s="12"/>
      <c r="J131" s="12"/>
      <c r="K131" s="12"/>
      <c r="L131" s="12"/>
      <c r="M131" s="11"/>
      <c r="Q131" s="1" t="s">
        <v>207</v>
      </c>
    </row>
    <row r="132" spans="1:48" ht="30" customHeight="1">
      <c r="A132" s="11"/>
      <c r="B132" s="11"/>
      <c r="C132" s="11"/>
      <c r="D132" s="11"/>
      <c r="E132" s="12"/>
      <c r="F132" s="12"/>
      <c r="G132" s="12"/>
      <c r="H132" s="12"/>
      <c r="I132" s="12"/>
      <c r="J132" s="12"/>
      <c r="K132" s="12"/>
      <c r="L132" s="12"/>
      <c r="M132" s="11"/>
      <c r="Q132" s="1" t="s">
        <v>207</v>
      </c>
    </row>
    <row r="133" spans="1:48" ht="30" customHeight="1">
      <c r="A133" s="13" t="s">
        <v>120</v>
      </c>
      <c r="B133" s="11"/>
      <c r="C133" s="11"/>
      <c r="D133" s="11"/>
      <c r="E133" s="12"/>
      <c r="F133" s="12">
        <f>SUMIF(Q111:Q132,"010105",F111:F132)</f>
        <v>0</v>
      </c>
      <c r="G133" s="12"/>
      <c r="H133" s="12">
        <f>SUMIF(Q111:Q132,"010105",H111:H132)</f>
        <v>0</v>
      </c>
      <c r="I133" s="12"/>
      <c r="J133" s="12">
        <f>SUMIF(Q111:Q132,"010105",J111:J132)</f>
        <v>0</v>
      </c>
      <c r="K133" s="12"/>
      <c r="L133" s="12">
        <f>SUMIF(Q111:Q132,"010105",L111:L132)</f>
        <v>0</v>
      </c>
      <c r="M133" s="11"/>
      <c r="N133" t="s">
        <v>121</v>
      </c>
    </row>
    <row r="134" spans="1:48" ht="30" customHeight="1">
      <c r="A134" s="13" t="s">
        <v>626</v>
      </c>
      <c r="B134" s="13" t="s">
        <v>50</v>
      </c>
      <c r="C134" s="11"/>
      <c r="D134" s="11"/>
      <c r="E134" s="12"/>
      <c r="F134" s="12"/>
      <c r="G134" s="12"/>
      <c r="H134" s="12"/>
      <c r="I134" s="12"/>
      <c r="J134" s="12"/>
      <c r="K134" s="12"/>
      <c r="L134" s="12"/>
      <c r="M134" s="11"/>
      <c r="Q134" s="1" t="s">
        <v>298</v>
      </c>
    </row>
    <row r="135" spans="1:48" ht="30" customHeight="1">
      <c r="A135" s="13" t="s">
        <v>299</v>
      </c>
      <c r="B135" s="13" t="s">
        <v>300</v>
      </c>
      <c r="C135" s="13" t="s">
        <v>69</v>
      </c>
      <c r="D135" s="11">
        <v>2</v>
      </c>
      <c r="E135" s="12"/>
      <c r="F135" s="12"/>
      <c r="G135" s="12"/>
      <c r="H135" s="12"/>
      <c r="I135" s="12"/>
      <c r="J135" s="12"/>
      <c r="K135" s="12"/>
      <c r="L135" s="12"/>
      <c r="M135" s="13" t="s">
        <v>301</v>
      </c>
      <c r="N135" s="1" t="s">
        <v>302</v>
      </c>
      <c r="O135" s="1" t="s">
        <v>50</v>
      </c>
      <c r="P135" s="1" t="s">
        <v>50</v>
      </c>
      <c r="Q135" s="1" t="s">
        <v>298</v>
      </c>
      <c r="R135" s="1" t="s">
        <v>60</v>
      </c>
      <c r="S135" s="1" t="s">
        <v>61</v>
      </c>
      <c r="T135" s="1" t="s">
        <v>61</v>
      </c>
      <c r="AR135" s="1" t="s">
        <v>50</v>
      </c>
      <c r="AS135" s="1" t="s">
        <v>50</v>
      </c>
      <c r="AU135" s="1" t="s">
        <v>303</v>
      </c>
      <c r="AV135">
        <v>118</v>
      </c>
    </row>
    <row r="136" spans="1:48" ht="30" customHeight="1">
      <c r="A136" s="13" t="s">
        <v>304</v>
      </c>
      <c r="B136" s="13" t="s">
        <v>305</v>
      </c>
      <c r="C136" s="13" t="s">
        <v>69</v>
      </c>
      <c r="D136" s="11">
        <v>19</v>
      </c>
      <c r="E136" s="12"/>
      <c r="F136" s="12"/>
      <c r="G136" s="12"/>
      <c r="H136" s="12"/>
      <c r="I136" s="12"/>
      <c r="J136" s="12"/>
      <c r="K136" s="12"/>
      <c r="L136" s="12"/>
      <c r="M136" s="13" t="s">
        <v>306</v>
      </c>
      <c r="N136" s="1" t="s">
        <v>307</v>
      </c>
      <c r="O136" s="1" t="s">
        <v>50</v>
      </c>
      <c r="P136" s="1" t="s">
        <v>50</v>
      </c>
      <c r="Q136" s="1" t="s">
        <v>298</v>
      </c>
      <c r="R136" s="1" t="s">
        <v>60</v>
      </c>
      <c r="S136" s="1" t="s">
        <v>61</v>
      </c>
      <c r="T136" s="1" t="s">
        <v>61</v>
      </c>
      <c r="AR136" s="1" t="s">
        <v>50</v>
      </c>
      <c r="AS136" s="1" t="s">
        <v>50</v>
      </c>
      <c r="AU136" s="1" t="s">
        <v>308</v>
      </c>
      <c r="AV136">
        <v>228</v>
      </c>
    </row>
    <row r="137" spans="1:48" ht="30" customHeight="1">
      <c r="A137" s="13" t="s">
        <v>309</v>
      </c>
      <c r="B137" s="13" t="s">
        <v>50</v>
      </c>
      <c r="C137" s="13" t="s">
        <v>133</v>
      </c>
      <c r="D137" s="11">
        <v>1</v>
      </c>
      <c r="E137" s="12"/>
      <c r="F137" s="12"/>
      <c r="G137" s="12"/>
      <c r="H137" s="12"/>
      <c r="I137" s="12"/>
      <c r="J137" s="12"/>
      <c r="K137" s="12"/>
      <c r="L137" s="12"/>
      <c r="M137" s="13" t="s">
        <v>113</v>
      </c>
      <c r="N137" s="1" t="s">
        <v>310</v>
      </c>
      <c r="O137" s="1" t="s">
        <v>50</v>
      </c>
      <c r="P137" s="1" t="s">
        <v>50</v>
      </c>
      <c r="Q137" s="1" t="s">
        <v>298</v>
      </c>
      <c r="R137" s="1" t="s">
        <v>61</v>
      </c>
      <c r="S137" s="1" t="s">
        <v>61</v>
      </c>
      <c r="T137" s="1" t="s">
        <v>60</v>
      </c>
      <c r="AR137" s="1" t="s">
        <v>50</v>
      </c>
      <c r="AS137" s="1" t="s">
        <v>50</v>
      </c>
      <c r="AU137" s="1" t="s">
        <v>311</v>
      </c>
      <c r="AV137">
        <v>170</v>
      </c>
    </row>
    <row r="138" spans="1:48" ht="30" customHeight="1">
      <c r="A138" s="13" t="s">
        <v>312</v>
      </c>
      <c r="B138" s="13" t="s">
        <v>50</v>
      </c>
      <c r="C138" s="13" t="s">
        <v>69</v>
      </c>
      <c r="D138" s="11">
        <v>50</v>
      </c>
      <c r="E138" s="12"/>
      <c r="F138" s="12"/>
      <c r="G138" s="12"/>
      <c r="H138" s="12"/>
      <c r="I138" s="12"/>
      <c r="J138" s="12"/>
      <c r="K138" s="12"/>
      <c r="L138" s="12"/>
      <c r="M138" s="13" t="s">
        <v>113</v>
      </c>
      <c r="N138" s="1" t="s">
        <v>313</v>
      </c>
      <c r="O138" s="1" t="s">
        <v>50</v>
      </c>
      <c r="P138" s="1" t="s">
        <v>50</v>
      </c>
      <c r="Q138" s="1" t="s">
        <v>298</v>
      </c>
      <c r="R138" s="1" t="s">
        <v>61</v>
      </c>
      <c r="S138" s="1" t="s">
        <v>61</v>
      </c>
      <c r="T138" s="1" t="s">
        <v>60</v>
      </c>
      <c r="AR138" s="1" t="s">
        <v>50</v>
      </c>
      <c r="AS138" s="1" t="s">
        <v>50</v>
      </c>
      <c r="AU138" s="1" t="s">
        <v>314</v>
      </c>
      <c r="AV138">
        <v>171</v>
      </c>
    </row>
    <row r="139" spans="1:48" ht="30" customHeight="1">
      <c r="A139" s="13" t="s">
        <v>315</v>
      </c>
      <c r="B139" s="13" t="s">
        <v>50</v>
      </c>
      <c r="C139" s="13" t="s">
        <v>133</v>
      </c>
      <c r="D139" s="11">
        <v>1</v>
      </c>
      <c r="E139" s="12"/>
      <c r="F139" s="12"/>
      <c r="G139" s="12"/>
      <c r="H139" s="12"/>
      <c r="I139" s="12"/>
      <c r="J139" s="12"/>
      <c r="K139" s="12"/>
      <c r="L139" s="12"/>
      <c r="M139" s="13" t="s">
        <v>113</v>
      </c>
      <c r="N139" s="1" t="s">
        <v>316</v>
      </c>
      <c r="O139" s="1" t="s">
        <v>50</v>
      </c>
      <c r="P139" s="1" t="s">
        <v>50</v>
      </c>
      <c r="Q139" s="1" t="s">
        <v>298</v>
      </c>
      <c r="R139" s="1" t="s">
        <v>61</v>
      </c>
      <c r="S139" s="1" t="s">
        <v>61</v>
      </c>
      <c r="T139" s="1" t="s">
        <v>60</v>
      </c>
      <c r="AR139" s="1" t="s">
        <v>50</v>
      </c>
      <c r="AS139" s="1" t="s">
        <v>50</v>
      </c>
      <c r="AU139" s="1" t="s">
        <v>317</v>
      </c>
      <c r="AV139">
        <v>172</v>
      </c>
    </row>
    <row r="140" spans="1:48" ht="30" customHeight="1">
      <c r="A140" s="13" t="s">
        <v>318</v>
      </c>
      <c r="B140" s="13" t="s">
        <v>50</v>
      </c>
      <c r="C140" s="13" t="s">
        <v>133</v>
      </c>
      <c r="D140" s="11">
        <v>1</v>
      </c>
      <c r="E140" s="12"/>
      <c r="F140" s="12"/>
      <c r="G140" s="12"/>
      <c r="H140" s="12"/>
      <c r="I140" s="12"/>
      <c r="J140" s="12"/>
      <c r="K140" s="12"/>
      <c r="L140" s="12"/>
      <c r="M140" s="13" t="s">
        <v>113</v>
      </c>
      <c r="N140" s="1" t="s">
        <v>319</v>
      </c>
      <c r="O140" s="1" t="s">
        <v>50</v>
      </c>
      <c r="P140" s="1" t="s">
        <v>50</v>
      </c>
      <c r="Q140" s="1" t="s">
        <v>298</v>
      </c>
      <c r="R140" s="1" t="s">
        <v>61</v>
      </c>
      <c r="S140" s="1" t="s">
        <v>61</v>
      </c>
      <c r="T140" s="1" t="s">
        <v>60</v>
      </c>
      <c r="AR140" s="1" t="s">
        <v>50</v>
      </c>
      <c r="AS140" s="1" t="s">
        <v>50</v>
      </c>
      <c r="AU140" s="1" t="s">
        <v>320</v>
      </c>
      <c r="AV140">
        <v>173</v>
      </c>
    </row>
    <row r="141" spans="1:48" ht="30" customHeight="1">
      <c r="A141" s="13" t="s">
        <v>321</v>
      </c>
      <c r="B141" s="13" t="s">
        <v>50</v>
      </c>
      <c r="C141" s="13" t="s">
        <v>133</v>
      </c>
      <c r="D141" s="11">
        <v>1</v>
      </c>
      <c r="E141" s="12"/>
      <c r="F141" s="12"/>
      <c r="G141" s="12"/>
      <c r="H141" s="12"/>
      <c r="I141" s="12"/>
      <c r="J141" s="12"/>
      <c r="K141" s="12"/>
      <c r="L141" s="12"/>
      <c r="M141" s="13" t="s">
        <v>113</v>
      </c>
      <c r="N141" s="1" t="s">
        <v>322</v>
      </c>
      <c r="O141" s="1" t="s">
        <v>50</v>
      </c>
      <c r="P141" s="1" t="s">
        <v>50</v>
      </c>
      <c r="Q141" s="1" t="s">
        <v>298</v>
      </c>
      <c r="R141" s="1" t="s">
        <v>61</v>
      </c>
      <c r="S141" s="1" t="s">
        <v>61</v>
      </c>
      <c r="T141" s="1" t="s">
        <v>60</v>
      </c>
      <c r="AR141" s="1" t="s">
        <v>50</v>
      </c>
      <c r="AS141" s="1" t="s">
        <v>50</v>
      </c>
      <c r="AU141" s="1" t="s">
        <v>323</v>
      </c>
      <c r="AV141">
        <v>174</v>
      </c>
    </row>
    <row r="142" spans="1:48" ht="30" customHeight="1">
      <c r="A142" s="11"/>
      <c r="B142" s="11"/>
      <c r="C142" s="11"/>
      <c r="D142" s="11"/>
      <c r="E142" s="12"/>
      <c r="F142" s="12"/>
      <c r="G142" s="12"/>
      <c r="H142" s="12"/>
      <c r="I142" s="12"/>
      <c r="J142" s="12"/>
      <c r="K142" s="12"/>
      <c r="L142" s="12"/>
      <c r="M142" s="11"/>
      <c r="Q142" s="1" t="s">
        <v>298</v>
      </c>
    </row>
    <row r="143" spans="1:48" ht="30" customHeight="1">
      <c r="A143" s="11"/>
      <c r="B143" s="11"/>
      <c r="C143" s="11"/>
      <c r="D143" s="11"/>
      <c r="E143" s="12"/>
      <c r="F143" s="12"/>
      <c r="G143" s="12"/>
      <c r="H143" s="12"/>
      <c r="I143" s="12"/>
      <c r="J143" s="12"/>
      <c r="K143" s="12"/>
      <c r="L143" s="12"/>
      <c r="M143" s="11"/>
      <c r="Q143" s="1" t="s">
        <v>298</v>
      </c>
    </row>
    <row r="144" spans="1:48" ht="30" customHeight="1">
      <c r="A144" s="11"/>
      <c r="B144" s="11"/>
      <c r="C144" s="11"/>
      <c r="D144" s="11"/>
      <c r="E144" s="12"/>
      <c r="F144" s="12"/>
      <c r="G144" s="12"/>
      <c r="H144" s="12"/>
      <c r="I144" s="12"/>
      <c r="J144" s="12"/>
      <c r="K144" s="12"/>
      <c r="L144" s="12"/>
      <c r="M144" s="11"/>
      <c r="Q144" s="1" t="s">
        <v>298</v>
      </c>
    </row>
    <row r="145" spans="1:48" ht="30" customHeight="1">
      <c r="A145" s="11"/>
      <c r="B145" s="11"/>
      <c r="C145" s="11"/>
      <c r="D145" s="11"/>
      <c r="E145" s="12"/>
      <c r="F145" s="12"/>
      <c r="G145" s="12"/>
      <c r="H145" s="12"/>
      <c r="I145" s="12"/>
      <c r="J145" s="12"/>
      <c r="K145" s="12"/>
      <c r="L145" s="12"/>
      <c r="M145" s="11"/>
      <c r="Q145" s="1" t="s">
        <v>298</v>
      </c>
    </row>
    <row r="146" spans="1:48" ht="30" customHeight="1">
      <c r="A146" s="11"/>
      <c r="B146" s="11"/>
      <c r="C146" s="11"/>
      <c r="D146" s="11"/>
      <c r="E146" s="12"/>
      <c r="F146" s="12"/>
      <c r="G146" s="12"/>
      <c r="H146" s="12"/>
      <c r="I146" s="12"/>
      <c r="J146" s="12"/>
      <c r="K146" s="12"/>
      <c r="L146" s="12"/>
      <c r="M146" s="11"/>
      <c r="Q146" s="1" t="s">
        <v>298</v>
      </c>
    </row>
    <row r="147" spans="1:48" ht="30" customHeight="1">
      <c r="A147" s="11"/>
      <c r="B147" s="11"/>
      <c r="C147" s="11"/>
      <c r="D147" s="11"/>
      <c r="E147" s="12"/>
      <c r="F147" s="12"/>
      <c r="G147" s="12"/>
      <c r="H147" s="12"/>
      <c r="I147" s="12"/>
      <c r="J147" s="12"/>
      <c r="K147" s="12"/>
      <c r="L147" s="12"/>
      <c r="M147" s="11"/>
      <c r="Q147" s="1" t="s">
        <v>298</v>
      </c>
    </row>
    <row r="148" spans="1:48" ht="30" customHeight="1">
      <c r="A148" s="11"/>
      <c r="B148" s="11"/>
      <c r="C148" s="11"/>
      <c r="D148" s="11"/>
      <c r="E148" s="12"/>
      <c r="F148" s="12"/>
      <c r="G148" s="12"/>
      <c r="H148" s="12"/>
      <c r="I148" s="12"/>
      <c r="J148" s="12"/>
      <c r="K148" s="12"/>
      <c r="L148" s="12"/>
      <c r="M148" s="11"/>
      <c r="Q148" s="1" t="s">
        <v>298</v>
      </c>
    </row>
    <row r="149" spans="1:48" ht="30" customHeight="1">
      <c r="A149" s="11"/>
      <c r="B149" s="11"/>
      <c r="C149" s="11"/>
      <c r="D149" s="11"/>
      <c r="E149" s="12"/>
      <c r="F149" s="12"/>
      <c r="G149" s="12"/>
      <c r="H149" s="12"/>
      <c r="I149" s="12"/>
      <c r="J149" s="12"/>
      <c r="K149" s="12"/>
      <c r="L149" s="12"/>
      <c r="M149" s="11"/>
      <c r="Q149" s="1" t="s">
        <v>298</v>
      </c>
    </row>
    <row r="150" spans="1:48" ht="30" customHeight="1">
      <c r="A150" s="11"/>
      <c r="B150" s="11"/>
      <c r="C150" s="11"/>
      <c r="D150" s="11"/>
      <c r="E150" s="12"/>
      <c r="F150" s="12"/>
      <c r="G150" s="12"/>
      <c r="H150" s="12"/>
      <c r="I150" s="12"/>
      <c r="J150" s="12"/>
      <c r="K150" s="12"/>
      <c r="L150" s="12"/>
      <c r="M150" s="11"/>
      <c r="Q150" s="1" t="s">
        <v>298</v>
      </c>
    </row>
    <row r="151" spans="1:48" ht="30" customHeight="1">
      <c r="A151" s="11"/>
      <c r="B151" s="11"/>
      <c r="C151" s="11"/>
      <c r="D151" s="11"/>
      <c r="E151" s="12"/>
      <c r="F151" s="12"/>
      <c r="G151" s="12"/>
      <c r="H151" s="12"/>
      <c r="I151" s="12"/>
      <c r="J151" s="12"/>
      <c r="K151" s="12"/>
      <c r="L151" s="12"/>
      <c r="M151" s="11"/>
      <c r="Q151" s="1" t="s">
        <v>298</v>
      </c>
    </row>
    <row r="152" spans="1:48" ht="30" customHeight="1">
      <c r="A152" s="11"/>
      <c r="B152" s="11"/>
      <c r="C152" s="11"/>
      <c r="D152" s="11"/>
      <c r="E152" s="12"/>
      <c r="F152" s="12"/>
      <c r="G152" s="12"/>
      <c r="H152" s="12"/>
      <c r="I152" s="12"/>
      <c r="J152" s="12"/>
      <c r="K152" s="12"/>
      <c r="L152" s="12"/>
      <c r="M152" s="11"/>
      <c r="Q152" s="1" t="s">
        <v>298</v>
      </c>
    </row>
    <row r="153" spans="1:48" ht="30" customHeight="1">
      <c r="A153" s="11"/>
      <c r="B153" s="11"/>
      <c r="C153" s="11"/>
      <c r="D153" s="11"/>
      <c r="E153" s="12"/>
      <c r="F153" s="12"/>
      <c r="G153" s="12"/>
      <c r="H153" s="12"/>
      <c r="I153" s="12"/>
      <c r="J153" s="12"/>
      <c r="K153" s="12"/>
      <c r="L153" s="12"/>
      <c r="M153" s="11"/>
      <c r="Q153" s="1" t="s">
        <v>298</v>
      </c>
    </row>
    <row r="154" spans="1:48" ht="30" customHeight="1">
      <c r="A154" s="11"/>
      <c r="B154" s="11"/>
      <c r="C154" s="11"/>
      <c r="D154" s="11"/>
      <c r="E154" s="12"/>
      <c r="F154" s="12"/>
      <c r="G154" s="12"/>
      <c r="H154" s="12"/>
      <c r="I154" s="12"/>
      <c r="J154" s="12"/>
      <c r="K154" s="12"/>
      <c r="L154" s="12"/>
      <c r="M154" s="11"/>
      <c r="Q154" s="1" t="s">
        <v>298</v>
      </c>
    </row>
    <row r="155" spans="1:48" ht="30" customHeight="1">
      <c r="A155" s="11"/>
      <c r="B155" s="11"/>
      <c r="C155" s="11"/>
      <c r="D155" s="11"/>
      <c r="E155" s="12"/>
      <c r="F155" s="12"/>
      <c r="G155" s="12"/>
      <c r="H155" s="12"/>
      <c r="I155" s="12"/>
      <c r="J155" s="12"/>
      <c r="K155" s="12"/>
      <c r="L155" s="12"/>
      <c r="M155" s="11"/>
      <c r="Q155" s="1" t="s">
        <v>298</v>
      </c>
    </row>
    <row r="156" spans="1:48" ht="30" customHeight="1">
      <c r="A156" s="11"/>
      <c r="B156" s="11"/>
      <c r="C156" s="11"/>
      <c r="D156" s="11"/>
      <c r="E156" s="12"/>
      <c r="F156" s="12"/>
      <c r="G156" s="12"/>
      <c r="H156" s="12"/>
      <c r="I156" s="12"/>
      <c r="J156" s="12"/>
      <c r="K156" s="12"/>
      <c r="L156" s="12"/>
      <c r="M156" s="11"/>
      <c r="Q156" s="1" t="s">
        <v>298</v>
      </c>
    </row>
    <row r="157" spans="1:48" ht="30" customHeight="1">
      <c r="A157" s="13" t="s">
        <v>120</v>
      </c>
      <c r="B157" s="11"/>
      <c r="C157" s="11"/>
      <c r="D157" s="11"/>
      <c r="E157" s="12"/>
      <c r="F157" s="12">
        <f>SUMIF(Q135:Q156,"010106",F135:F156)</f>
        <v>0</v>
      </c>
      <c r="G157" s="12"/>
      <c r="H157" s="12">
        <f>SUMIF(Q135:Q156,"010106",H135:H156)</f>
        <v>0</v>
      </c>
      <c r="I157" s="12"/>
      <c r="J157" s="12">
        <f>SUMIF(Q135:Q156,"010106",J135:J156)</f>
        <v>0</v>
      </c>
      <c r="K157" s="12"/>
      <c r="L157" s="12">
        <f>SUMIF(Q135:Q156,"010106",L135:L156)</f>
        <v>0</v>
      </c>
      <c r="M157" s="11"/>
      <c r="N157" t="s">
        <v>121</v>
      </c>
    </row>
    <row r="158" spans="1:48" ht="30" customHeight="1">
      <c r="A158" s="13" t="s">
        <v>627</v>
      </c>
      <c r="B158" s="13" t="s">
        <v>50</v>
      </c>
      <c r="C158" s="11"/>
      <c r="D158" s="11"/>
      <c r="E158" s="12"/>
      <c r="F158" s="12"/>
      <c r="G158" s="12"/>
      <c r="H158" s="12"/>
      <c r="I158" s="12"/>
      <c r="J158" s="12"/>
      <c r="K158" s="12"/>
      <c r="L158" s="12"/>
      <c r="M158" s="11"/>
      <c r="Q158" s="1" t="s">
        <v>324</v>
      </c>
    </row>
    <row r="159" spans="1:48" ht="30" customHeight="1">
      <c r="A159" s="13" t="s">
        <v>325</v>
      </c>
      <c r="B159" s="13" t="s">
        <v>50</v>
      </c>
      <c r="C159" s="13" t="s">
        <v>69</v>
      </c>
      <c r="D159" s="11">
        <v>31</v>
      </c>
      <c r="E159" s="12"/>
      <c r="F159" s="12"/>
      <c r="G159" s="12"/>
      <c r="H159" s="12"/>
      <c r="I159" s="12"/>
      <c r="J159" s="12"/>
      <c r="K159" s="12"/>
      <c r="L159" s="12"/>
      <c r="M159" s="13" t="s">
        <v>326</v>
      </c>
      <c r="N159" s="1" t="s">
        <v>327</v>
      </c>
      <c r="O159" s="1" t="s">
        <v>50</v>
      </c>
      <c r="P159" s="1" t="s">
        <v>50</v>
      </c>
      <c r="Q159" s="1" t="s">
        <v>324</v>
      </c>
      <c r="R159" s="1" t="s">
        <v>60</v>
      </c>
      <c r="S159" s="1" t="s">
        <v>61</v>
      </c>
      <c r="T159" s="1" t="s">
        <v>61</v>
      </c>
      <c r="AR159" s="1" t="s">
        <v>50</v>
      </c>
      <c r="AS159" s="1" t="s">
        <v>50</v>
      </c>
      <c r="AU159" s="1" t="s">
        <v>328</v>
      </c>
      <c r="AV159">
        <v>226</v>
      </c>
    </row>
    <row r="160" spans="1:48" ht="30" customHeight="1">
      <c r="A160" s="13" t="s">
        <v>329</v>
      </c>
      <c r="B160" s="13" t="s">
        <v>330</v>
      </c>
      <c r="C160" s="13" t="s">
        <v>69</v>
      </c>
      <c r="D160" s="11">
        <v>31</v>
      </c>
      <c r="E160" s="12"/>
      <c r="F160" s="12"/>
      <c r="G160" s="12"/>
      <c r="H160" s="12"/>
      <c r="I160" s="12"/>
      <c r="J160" s="12"/>
      <c r="K160" s="12"/>
      <c r="L160" s="12"/>
      <c r="M160" s="13" t="s">
        <v>331</v>
      </c>
      <c r="N160" s="1" t="s">
        <v>332</v>
      </c>
      <c r="O160" s="1" t="s">
        <v>50</v>
      </c>
      <c r="P160" s="1" t="s">
        <v>50</v>
      </c>
      <c r="Q160" s="1" t="s">
        <v>324</v>
      </c>
      <c r="R160" s="1" t="s">
        <v>60</v>
      </c>
      <c r="S160" s="1" t="s">
        <v>61</v>
      </c>
      <c r="T160" s="1" t="s">
        <v>61</v>
      </c>
      <c r="AR160" s="1" t="s">
        <v>50</v>
      </c>
      <c r="AS160" s="1" t="s">
        <v>50</v>
      </c>
      <c r="AU160" s="1" t="s">
        <v>333</v>
      </c>
      <c r="AV160">
        <v>227</v>
      </c>
    </row>
    <row r="161" spans="1:48" ht="30" customHeight="1">
      <c r="A161" s="13" t="s">
        <v>334</v>
      </c>
      <c r="B161" s="13" t="s">
        <v>335</v>
      </c>
      <c r="C161" s="13" t="s">
        <v>92</v>
      </c>
      <c r="D161" s="11">
        <v>1</v>
      </c>
      <c r="E161" s="12"/>
      <c r="F161" s="12"/>
      <c r="G161" s="12"/>
      <c r="H161" s="12"/>
      <c r="I161" s="12"/>
      <c r="J161" s="12"/>
      <c r="K161" s="12"/>
      <c r="L161" s="12"/>
      <c r="M161" s="13" t="s">
        <v>336</v>
      </c>
      <c r="N161" s="1" t="s">
        <v>337</v>
      </c>
      <c r="O161" s="1" t="s">
        <v>50</v>
      </c>
      <c r="P161" s="1" t="s">
        <v>50</v>
      </c>
      <c r="Q161" s="1" t="s">
        <v>324</v>
      </c>
      <c r="R161" s="1" t="s">
        <v>60</v>
      </c>
      <c r="S161" s="1" t="s">
        <v>61</v>
      </c>
      <c r="T161" s="1" t="s">
        <v>61</v>
      </c>
      <c r="AR161" s="1" t="s">
        <v>50</v>
      </c>
      <c r="AS161" s="1" t="s">
        <v>50</v>
      </c>
      <c r="AU161" s="1" t="s">
        <v>338</v>
      </c>
      <c r="AV161">
        <v>139</v>
      </c>
    </row>
    <row r="162" spans="1:48" ht="30" customHeight="1">
      <c r="A162" s="11"/>
      <c r="B162" s="11"/>
      <c r="C162" s="11"/>
      <c r="D162" s="11"/>
      <c r="E162" s="12"/>
      <c r="F162" s="12"/>
      <c r="G162" s="12"/>
      <c r="H162" s="12"/>
      <c r="I162" s="12"/>
      <c r="J162" s="12"/>
      <c r="K162" s="12"/>
      <c r="L162" s="12"/>
      <c r="M162" s="11"/>
      <c r="Q162" s="1" t="s">
        <v>324</v>
      </c>
    </row>
    <row r="163" spans="1:48" ht="30" customHeight="1">
      <c r="A163" s="11"/>
      <c r="B163" s="11"/>
      <c r="C163" s="11"/>
      <c r="D163" s="11"/>
      <c r="E163" s="12"/>
      <c r="F163" s="12"/>
      <c r="G163" s="12"/>
      <c r="H163" s="12"/>
      <c r="I163" s="12"/>
      <c r="J163" s="12"/>
      <c r="K163" s="12"/>
      <c r="L163" s="12"/>
      <c r="M163" s="11"/>
      <c r="Q163" s="1" t="s">
        <v>324</v>
      </c>
    </row>
    <row r="164" spans="1:48" ht="30" customHeight="1">
      <c r="A164" s="11"/>
      <c r="B164" s="11"/>
      <c r="C164" s="11"/>
      <c r="D164" s="11"/>
      <c r="E164" s="12"/>
      <c r="F164" s="12"/>
      <c r="G164" s="12"/>
      <c r="H164" s="12"/>
      <c r="I164" s="12"/>
      <c r="J164" s="12"/>
      <c r="K164" s="12"/>
      <c r="L164" s="12"/>
      <c r="M164" s="11"/>
      <c r="Q164" s="1" t="s">
        <v>324</v>
      </c>
    </row>
    <row r="165" spans="1:48" ht="30" customHeight="1">
      <c r="A165" s="11"/>
      <c r="B165" s="11"/>
      <c r="C165" s="11"/>
      <c r="D165" s="11"/>
      <c r="E165" s="12"/>
      <c r="F165" s="12"/>
      <c r="G165" s="12"/>
      <c r="H165" s="12"/>
      <c r="I165" s="12"/>
      <c r="J165" s="12"/>
      <c r="K165" s="12"/>
      <c r="L165" s="12"/>
      <c r="M165" s="11"/>
      <c r="Q165" s="1" t="s">
        <v>324</v>
      </c>
    </row>
    <row r="166" spans="1:48" ht="30" customHeight="1">
      <c r="A166" s="11"/>
      <c r="B166" s="11"/>
      <c r="C166" s="11"/>
      <c r="D166" s="11"/>
      <c r="E166" s="12"/>
      <c r="F166" s="12"/>
      <c r="G166" s="12"/>
      <c r="H166" s="12"/>
      <c r="I166" s="12"/>
      <c r="J166" s="12"/>
      <c r="K166" s="12"/>
      <c r="L166" s="12"/>
      <c r="M166" s="11"/>
      <c r="Q166" s="1" t="s">
        <v>324</v>
      </c>
    </row>
    <row r="167" spans="1:48" ht="30" customHeight="1">
      <c r="A167" s="11"/>
      <c r="B167" s="11"/>
      <c r="C167" s="11"/>
      <c r="D167" s="11"/>
      <c r="E167" s="12"/>
      <c r="F167" s="12"/>
      <c r="G167" s="12"/>
      <c r="H167" s="12"/>
      <c r="I167" s="12"/>
      <c r="J167" s="12"/>
      <c r="K167" s="12"/>
      <c r="L167" s="12"/>
      <c r="M167" s="11"/>
      <c r="Q167" s="1" t="s">
        <v>324</v>
      </c>
    </row>
    <row r="168" spans="1:48" ht="30" customHeight="1">
      <c r="A168" s="11"/>
      <c r="B168" s="11"/>
      <c r="C168" s="11"/>
      <c r="D168" s="11"/>
      <c r="E168" s="12"/>
      <c r="F168" s="12"/>
      <c r="G168" s="12"/>
      <c r="H168" s="12"/>
      <c r="I168" s="12"/>
      <c r="J168" s="12"/>
      <c r="K168" s="12"/>
      <c r="L168" s="12"/>
      <c r="M168" s="11"/>
      <c r="Q168" s="1" t="s">
        <v>324</v>
      </c>
    </row>
    <row r="169" spans="1:48" ht="30" customHeight="1">
      <c r="A169" s="11"/>
      <c r="B169" s="11"/>
      <c r="C169" s="11"/>
      <c r="D169" s="11"/>
      <c r="E169" s="12"/>
      <c r="F169" s="12"/>
      <c r="G169" s="12"/>
      <c r="H169" s="12"/>
      <c r="I169" s="12"/>
      <c r="J169" s="12"/>
      <c r="K169" s="12"/>
      <c r="L169" s="12"/>
      <c r="M169" s="11"/>
      <c r="Q169" s="1" t="s">
        <v>324</v>
      </c>
    </row>
    <row r="170" spans="1:48" ht="30" customHeight="1">
      <c r="A170" s="11"/>
      <c r="B170" s="11"/>
      <c r="C170" s="11"/>
      <c r="D170" s="11"/>
      <c r="E170" s="12"/>
      <c r="F170" s="12"/>
      <c r="G170" s="12"/>
      <c r="H170" s="12"/>
      <c r="I170" s="12"/>
      <c r="J170" s="12"/>
      <c r="K170" s="12"/>
      <c r="L170" s="12"/>
      <c r="M170" s="11"/>
      <c r="Q170" s="1" t="s">
        <v>324</v>
      </c>
    </row>
    <row r="171" spans="1:48" ht="30" customHeight="1">
      <c r="A171" s="11"/>
      <c r="B171" s="11"/>
      <c r="C171" s="11"/>
      <c r="D171" s="11"/>
      <c r="E171" s="12"/>
      <c r="F171" s="12"/>
      <c r="G171" s="12"/>
      <c r="H171" s="12"/>
      <c r="I171" s="12"/>
      <c r="J171" s="12"/>
      <c r="K171" s="12"/>
      <c r="L171" s="12"/>
      <c r="M171" s="11"/>
      <c r="Q171" s="1" t="s">
        <v>324</v>
      </c>
    </row>
    <row r="172" spans="1:48" ht="30" customHeight="1">
      <c r="A172" s="11"/>
      <c r="B172" s="11"/>
      <c r="C172" s="11"/>
      <c r="D172" s="11"/>
      <c r="E172" s="12"/>
      <c r="F172" s="12"/>
      <c r="G172" s="12"/>
      <c r="H172" s="12"/>
      <c r="I172" s="12"/>
      <c r="J172" s="12"/>
      <c r="K172" s="12"/>
      <c r="L172" s="12"/>
      <c r="M172" s="11"/>
      <c r="Q172" s="1" t="s">
        <v>324</v>
      </c>
    </row>
    <row r="173" spans="1:48" ht="30" customHeight="1">
      <c r="A173" s="11"/>
      <c r="B173" s="11"/>
      <c r="C173" s="11"/>
      <c r="D173" s="11"/>
      <c r="E173" s="12"/>
      <c r="F173" s="12"/>
      <c r="G173" s="12"/>
      <c r="H173" s="12"/>
      <c r="I173" s="12"/>
      <c r="J173" s="12"/>
      <c r="K173" s="12"/>
      <c r="L173" s="12"/>
      <c r="M173" s="11"/>
      <c r="Q173" s="1" t="s">
        <v>324</v>
      </c>
    </row>
    <row r="174" spans="1:48" ht="30" customHeight="1">
      <c r="A174" s="11"/>
      <c r="B174" s="11"/>
      <c r="C174" s="11"/>
      <c r="D174" s="11"/>
      <c r="E174" s="12"/>
      <c r="F174" s="12"/>
      <c r="G174" s="12"/>
      <c r="H174" s="12"/>
      <c r="I174" s="12"/>
      <c r="J174" s="12"/>
      <c r="K174" s="12"/>
      <c r="L174" s="12"/>
      <c r="M174" s="11"/>
      <c r="Q174" s="1" t="s">
        <v>324</v>
      </c>
    </row>
    <row r="175" spans="1:48" ht="30" customHeight="1">
      <c r="A175" s="11"/>
      <c r="B175" s="11"/>
      <c r="C175" s="11"/>
      <c r="D175" s="11"/>
      <c r="E175" s="12"/>
      <c r="F175" s="12"/>
      <c r="G175" s="12"/>
      <c r="H175" s="12"/>
      <c r="I175" s="12"/>
      <c r="J175" s="12"/>
      <c r="K175" s="12"/>
      <c r="L175" s="12"/>
      <c r="M175" s="11"/>
      <c r="Q175" s="1" t="s">
        <v>324</v>
      </c>
    </row>
    <row r="176" spans="1:48" ht="30" customHeight="1">
      <c r="A176" s="11"/>
      <c r="B176" s="11"/>
      <c r="C176" s="11"/>
      <c r="D176" s="11"/>
      <c r="E176" s="12"/>
      <c r="F176" s="12"/>
      <c r="G176" s="12"/>
      <c r="H176" s="12"/>
      <c r="I176" s="12"/>
      <c r="J176" s="12"/>
      <c r="K176" s="12"/>
      <c r="L176" s="12"/>
      <c r="M176" s="11"/>
      <c r="Q176" s="1" t="s">
        <v>324</v>
      </c>
    </row>
    <row r="177" spans="1:48" ht="30" customHeight="1">
      <c r="A177" s="11"/>
      <c r="B177" s="11"/>
      <c r="C177" s="11"/>
      <c r="D177" s="11"/>
      <c r="E177" s="12"/>
      <c r="F177" s="12"/>
      <c r="G177" s="12"/>
      <c r="H177" s="12"/>
      <c r="I177" s="12"/>
      <c r="J177" s="12"/>
      <c r="K177" s="12"/>
      <c r="L177" s="12"/>
      <c r="M177" s="11"/>
      <c r="Q177" s="1" t="s">
        <v>324</v>
      </c>
    </row>
    <row r="178" spans="1:48" ht="30" customHeight="1">
      <c r="A178" s="11"/>
      <c r="B178" s="11"/>
      <c r="C178" s="11"/>
      <c r="D178" s="11"/>
      <c r="E178" s="12"/>
      <c r="F178" s="12"/>
      <c r="G178" s="12"/>
      <c r="H178" s="12"/>
      <c r="I178" s="12"/>
      <c r="J178" s="12"/>
      <c r="K178" s="12"/>
      <c r="L178" s="12"/>
      <c r="M178" s="11"/>
      <c r="Q178" s="1" t="s">
        <v>324</v>
      </c>
    </row>
    <row r="179" spans="1:48" ht="30" customHeight="1">
      <c r="A179" s="11"/>
      <c r="B179" s="11"/>
      <c r="C179" s="11"/>
      <c r="D179" s="11"/>
      <c r="E179" s="12"/>
      <c r="F179" s="12"/>
      <c r="G179" s="12"/>
      <c r="H179" s="12"/>
      <c r="I179" s="12"/>
      <c r="J179" s="12"/>
      <c r="K179" s="12"/>
      <c r="L179" s="12"/>
      <c r="M179" s="11"/>
      <c r="Q179" s="1" t="s">
        <v>324</v>
      </c>
    </row>
    <row r="180" spans="1:48" ht="30" customHeight="1">
      <c r="A180" s="11"/>
      <c r="B180" s="11"/>
      <c r="C180" s="11"/>
      <c r="D180" s="11"/>
      <c r="E180" s="12"/>
      <c r="F180" s="12"/>
      <c r="G180" s="12"/>
      <c r="H180" s="12"/>
      <c r="I180" s="12"/>
      <c r="J180" s="12"/>
      <c r="K180" s="12"/>
      <c r="L180" s="12"/>
      <c r="M180" s="11"/>
      <c r="Q180" s="1" t="s">
        <v>324</v>
      </c>
    </row>
    <row r="181" spans="1:48" ht="30" customHeight="1">
      <c r="A181" s="13" t="s">
        <v>120</v>
      </c>
      <c r="B181" s="11"/>
      <c r="C181" s="11"/>
      <c r="D181" s="11"/>
      <c r="E181" s="12"/>
      <c r="F181" s="12">
        <f>SUMIF(Q159:Q180,"010107",F159:F180)</f>
        <v>0</v>
      </c>
      <c r="G181" s="12"/>
      <c r="H181" s="12">
        <f>SUMIF(Q159:Q180,"010107",H159:H180)</f>
        <v>0</v>
      </c>
      <c r="I181" s="12"/>
      <c r="J181" s="12">
        <f>SUMIF(Q159:Q180,"010107",J159:J180)</f>
        <v>0</v>
      </c>
      <c r="K181" s="12"/>
      <c r="L181" s="12">
        <f>SUMIF(Q159:Q180,"010107",L159:L180)</f>
        <v>0</v>
      </c>
      <c r="M181" s="11"/>
      <c r="N181" t="s">
        <v>121</v>
      </c>
    </row>
    <row r="182" spans="1:48" ht="30" customHeight="1">
      <c r="A182" s="13" t="s">
        <v>628</v>
      </c>
      <c r="B182" s="13" t="s">
        <v>50</v>
      </c>
      <c r="C182" s="11"/>
      <c r="D182" s="11"/>
      <c r="E182" s="12"/>
      <c r="F182" s="12"/>
      <c r="G182" s="12"/>
      <c r="H182" s="12"/>
      <c r="I182" s="12"/>
      <c r="J182" s="12"/>
      <c r="K182" s="12"/>
      <c r="L182" s="12"/>
      <c r="M182" s="11"/>
      <c r="Q182" s="1" t="s">
        <v>339</v>
      </c>
    </row>
    <row r="183" spans="1:48" ht="30" customHeight="1">
      <c r="A183" s="22" t="s">
        <v>340</v>
      </c>
      <c r="B183" s="22" t="s">
        <v>341</v>
      </c>
      <c r="C183" s="22" t="s">
        <v>92</v>
      </c>
      <c r="D183" s="23">
        <v>1</v>
      </c>
      <c r="E183" s="24"/>
      <c r="F183" s="24"/>
      <c r="G183" s="24"/>
      <c r="H183" s="24"/>
      <c r="I183" s="24"/>
      <c r="J183" s="24"/>
      <c r="K183" s="24"/>
      <c r="L183" s="24"/>
      <c r="M183" s="22" t="s">
        <v>113</v>
      </c>
      <c r="N183" s="1" t="s">
        <v>342</v>
      </c>
      <c r="O183" s="1" t="s">
        <v>50</v>
      </c>
      <c r="P183" s="1" t="s">
        <v>50</v>
      </c>
      <c r="Q183" s="1" t="s">
        <v>339</v>
      </c>
      <c r="R183" s="1" t="s">
        <v>61</v>
      </c>
      <c r="S183" s="1" t="s">
        <v>61</v>
      </c>
      <c r="T183" s="1" t="s">
        <v>60</v>
      </c>
      <c r="AR183" s="1" t="s">
        <v>50</v>
      </c>
      <c r="AS183" s="1" t="s">
        <v>50</v>
      </c>
      <c r="AU183" s="1" t="s">
        <v>343</v>
      </c>
      <c r="AV183">
        <v>145</v>
      </c>
    </row>
    <row r="184" spans="1:48" ht="30" customHeight="1">
      <c r="A184" s="22" t="s">
        <v>344</v>
      </c>
      <c r="B184" s="22" t="s">
        <v>345</v>
      </c>
      <c r="C184" s="22" t="s">
        <v>92</v>
      </c>
      <c r="D184" s="23">
        <v>6</v>
      </c>
      <c r="E184" s="24"/>
      <c r="F184" s="24"/>
      <c r="G184" s="24"/>
      <c r="H184" s="24"/>
      <c r="I184" s="24"/>
      <c r="J184" s="24"/>
      <c r="K184" s="24"/>
      <c r="L184" s="24"/>
      <c r="M184" s="22" t="s">
        <v>113</v>
      </c>
      <c r="N184" s="1" t="s">
        <v>346</v>
      </c>
      <c r="O184" s="1" t="s">
        <v>50</v>
      </c>
      <c r="P184" s="1" t="s">
        <v>50</v>
      </c>
      <c r="Q184" s="1" t="s">
        <v>339</v>
      </c>
      <c r="R184" s="1" t="s">
        <v>61</v>
      </c>
      <c r="S184" s="1" t="s">
        <v>61</v>
      </c>
      <c r="T184" s="1" t="s">
        <v>60</v>
      </c>
      <c r="AR184" s="1" t="s">
        <v>50</v>
      </c>
      <c r="AS184" s="1" t="s">
        <v>50</v>
      </c>
      <c r="AU184" s="1" t="s">
        <v>347</v>
      </c>
      <c r="AV184">
        <v>177</v>
      </c>
    </row>
    <row r="185" spans="1:48" ht="30" customHeight="1">
      <c r="A185" s="26" t="s">
        <v>647</v>
      </c>
      <c r="B185" s="22" t="s">
        <v>348</v>
      </c>
      <c r="C185" s="22" t="s">
        <v>92</v>
      </c>
      <c r="D185" s="23">
        <v>4</v>
      </c>
      <c r="E185" s="24"/>
      <c r="F185" s="24"/>
      <c r="G185" s="24"/>
      <c r="H185" s="24"/>
      <c r="I185" s="24"/>
      <c r="J185" s="24"/>
      <c r="K185" s="24"/>
      <c r="L185" s="24"/>
      <c r="M185" s="22" t="s">
        <v>113</v>
      </c>
      <c r="N185" s="1" t="s">
        <v>349</v>
      </c>
      <c r="O185" s="1" t="s">
        <v>50</v>
      </c>
      <c r="P185" s="1" t="s">
        <v>50</v>
      </c>
      <c r="Q185" s="1" t="s">
        <v>339</v>
      </c>
      <c r="R185" s="1" t="s">
        <v>61</v>
      </c>
      <c r="S185" s="1" t="s">
        <v>61</v>
      </c>
      <c r="T185" s="1" t="s">
        <v>60</v>
      </c>
      <c r="AR185" s="1" t="s">
        <v>50</v>
      </c>
      <c r="AS185" s="1" t="s">
        <v>50</v>
      </c>
      <c r="AU185" s="1" t="s">
        <v>350</v>
      </c>
      <c r="AV185">
        <v>178</v>
      </c>
    </row>
    <row r="186" spans="1:48" ht="30" customHeight="1">
      <c r="A186" s="27" t="s">
        <v>648</v>
      </c>
      <c r="B186" s="22" t="s">
        <v>348</v>
      </c>
      <c r="C186" s="22" t="s">
        <v>92</v>
      </c>
      <c r="D186" s="23">
        <v>1</v>
      </c>
      <c r="E186" s="24"/>
      <c r="F186" s="24"/>
      <c r="G186" s="24"/>
      <c r="H186" s="24"/>
      <c r="I186" s="24"/>
      <c r="J186" s="24"/>
      <c r="K186" s="24"/>
      <c r="L186" s="24"/>
      <c r="M186" s="22" t="s">
        <v>113</v>
      </c>
      <c r="N186" s="1" t="s">
        <v>351</v>
      </c>
      <c r="O186" s="1" t="s">
        <v>50</v>
      </c>
      <c r="P186" s="1" t="s">
        <v>50</v>
      </c>
      <c r="Q186" s="1" t="s">
        <v>339</v>
      </c>
      <c r="R186" s="1" t="s">
        <v>61</v>
      </c>
      <c r="S186" s="1" t="s">
        <v>61</v>
      </c>
      <c r="T186" s="1" t="s">
        <v>60</v>
      </c>
      <c r="AR186" s="1" t="s">
        <v>50</v>
      </c>
      <c r="AS186" s="1" t="s">
        <v>50</v>
      </c>
      <c r="AU186" s="1" t="s">
        <v>352</v>
      </c>
      <c r="AV186">
        <v>179</v>
      </c>
    </row>
    <row r="187" spans="1:48" ht="30" customHeight="1">
      <c r="A187" s="27" t="s">
        <v>659</v>
      </c>
      <c r="B187" s="22" t="s">
        <v>650</v>
      </c>
      <c r="C187" s="22" t="s">
        <v>92</v>
      </c>
      <c r="D187" s="23">
        <v>4</v>
      </c>
      <c r="E187" s="24"/>
      <c r="F187" s="24"/>
      <c r="G187" s="24"/>
      <c r="H187" s="24"/>
      <c r="I187" s="24"/>
      <c r="J187" s="24"/>
      <c r="K187" s="24"/>
      <c r="L187" s="24"/>
      <c r="M187" s="22" t="s">
        <v>113</v>
      </c>
      <c r="N187" s="1" t="s">
        <v>353</v>
      </c>
      <c r="O187" s="1" t="s">
        <v>50</v>
      </c>
      <c r="P187" s="1" t="s">
        <v>50</v>
      </c>
      <c r="Q187" s="1" t="s">
        <v>339</v>
      </c>
      <c r="R187" s="1" t="s">
        <v>61</v>
      </c>
      <c r="S187" s="1" t="s">
        <v>61</v>
      </c>
      <c r="T187" s="1" t="s">
        <v>60</v>
      </c>
      <c r="AR187" s="1" t="s">
        <v>50</v>
      </c>
      <c r="AS187" s="1" t="s">
        <v>50</v>
      </c>
      <c r="AU187" s="1" t="s">
        <v>354</v>
      </c>
      <c r="AV187">
        <v>180</v>
      </c>
    </row>
    <row r="188" spans="1:48" ht="30" customHeight="1">
      <c r="A188" s="27" t="s">
        <v>649</v>
      </c>
      <c r="B188" s="22" t="s">
        <v>651</v>
      </c>
      <c r="C188" s="22" t="s">
        <v>92</v>
      </c>
      <c r="D188" s="23">
        <v>1</v>
      </c>
      <c r="E188" s="24"/>
      <c r="F188" s="24"/>
      <c r="G188" s="24"/>
      <c r="H188" s="24"/>
      <c r="I188" s="24"/>
      <c r="J188" s="24"/>
      <c r="K188" s="24"/>
      <c r="L188" s="24"/>
      <c r="M188" s="22" t="s">
        <v>113</v>
      </c>
      <c r="N188" s="1" t="s">
        <v>353</v>
      </c>
      <c r="O188" s="1" t="s">
        <v>50</v>
      </c>
      <c r="P188" s="1" t="s">
        <v>50</v>
      </c>
      <c r="Q188" s="1" t="s">
        <v>339</v>
      </c>
      <c r="R188" s="1" t="s">
        <v>61</v>
      </c>
      <c r="S188" s="1" t="s">
        <v>61</v>
      </c>
      <c r="T188" s="1" t="s">
        <v>60</v>
      </c>
      <c r="AR188" s="1" t="s">
        <v>50</v>
      </c>
      <c r="AS188" s="1" t="s">
        <v>50</v>
      </c>
      <c r="AU188" s="1" t="s">
        <v>354</v>
      </c>
      <c r="AV188">
        <v>180</v>
      </c>
    </row>
    <row r="189" spans="1:48" ht="30" customHeight="1">
      <c r="A189" s="27" t="s">
        <v>652</v>
      </c>
      <c r="B189" s="22" t="s">
        <v>355</v>
      </c>
      <c r="C189" s="22" t="s">
        <v>92</v>
      </c>
      <c r="D189" s="23">
        <v>1</v>
      </c>
      <c r="E189" s="24"/>
      <c r="F189" s="24"/>
      <c r="G189" s="24"/>
      <c r="H189" s="24"/>
      <c r="I189" s="24"/>
      <c r="J189" s="24"/>
      <c r="K189" s="24"/>
      <c r="L189" s="24"/>
      <c r="M189" s="22" t="s">
        <v>113</v>
      </c>
      <c r="N189" s="1" t="s">
        <v>356</v>
      </c>
      <c r="O189" s="1" t="s">
        <v>50</v>
      </c>
      <c r="P189" s="1" t="s">
        <v>50</v>
      </c>
      <c r="Q189" s="1" t="s">
        <v>339</v>
      </c>
      <c r="R189" s="1" t="s">
        <v>61</v>
      </c>
      <c r="S189" s="1" t="s">
        <v>61</v>
      </c>
      <c r="T189" s="1" t="s">
        <v>60</v>
      </c>
      <c r="AR189" s="1" t="s">
        <v>50</v>
      </c>
      <c r="AS189" s="1" t="s">
        <v>50</v>
      </c>
      <c r="AU189" s="1" t="s">
        <v>357</v>
      </c>
      <c r="AV189">
        <v>181</v>
      </c>
    </row>
    <row r="190" spans="1:48" ht="30" customHeight="1">
      <c r="A190" s="27" t="s">
        <v>653</v>
      </c>
      <c r="B190" s="22" t="s">
        <v>355</v>
      </c>
      <c r="C190" s="22" t="s">
        <v>92</v>
      </c>
      <c r="D190" s="23">
        <v>6</v>
      </c>
      <c r="E190" s="24"/>
      <c r="F190" s="24"/>
      <c r="G190" s="24"/>
      <c r="H190" s="24"/>
      <c r="I190" s="24"/>
      <c r="J190" s="24"/>
      <c r="K190" s="24"/>
      <c r="L190" s="24"/>
      <c r="M190" s="22" t="s">
        <v>113</v>
      </c>
      <c r="N190" s="1" t="s">
        <v>358</v>
      </c>
      <c r="O190" s="1" t="s">
        <v>50</v>
      </c>
      <c r="P190" s="1" t="s">
        <v>50</v>
      </c>
      <c r="Q190" s="1" t="s">
        <v>339</v>
      </c>
      <c r="R190" s="1" t="s">
        <v>61</v>
      </c>
      <c r="S190" s="1" t="s">
        <v>61</v>
      </c>
      <c r="T190" s="1" t="s">
        <v>60</v>
      </c>
      <c r="AR190" s="1" t="s">
        <v>50</v>
      </c>
      <c r="AS190" s="1" t="s">
        <v>50</v>
      </c>
      <c r="AU190" s="1" t="s">
        <v>359</v>
      </c>
      <c r="AV190">
        <v>182</v>
      </c>
    </row>
    <row r="191" spans="1:48" ht="30" customHeight="1">
      <c r="A191" s="27" t="s">
        <v>654</v>
      </c>
      <c r="B191" s="22" t="s">
        <v>360</v>
      </c>
      <c r="C191" s="22" t="s">
        <v>92</v>
      </c>
      <c r="D191" s="23">
        <v>1</v>
      </c>
      <c r="E191" s="24"/>
      <c r="F191" s="24"/>
      <c r="G191" s="24"/>
      <c r="H191" s="24"/>
      <c r="I191" s="24"/>
      <c r="J191" s="24"/>
      <c r="K191" s="24"/>
      <c r="L191" s="24"/>
      <c r="M191" s="22" t="s">
        <v>113</v>
      </c>
      <c r="N191" s="1" t="s">
        <v>361</v>
      </c>
      <c r="O191" s="1" t="s">
        <v>50</v>
      </c>
      <c r="P191" s="1" t="s">
        <v>50</v>
      </c>
      <c r="Q191" s="1" t="s">
        <v>339</v>
      </c>
      <c r="R191" s="1" t="s">
        <v>61</v>
      </c>
      <c r="S191" s="1" t="s">
        <v>61</v>
      </c>
      <c r="T191" s="1" t="s">
        <v>60</v>
      </c>
      <c r="AR191" s="1" t="s">
        <v>50</v>
      </c>
      <c r="AS191" s="1" t="s">
        <v>50</v>
      </c>
      <c r="AU191" s="1" t="s">
        <v>362</v>
      </c>
      <c r="AV191">
        <v>183</v>
      </c>
    </row>
    <row r="192" spans="1:48" ht="30" customHeight="1">
      <c r="A192" s="27" t="s">
        <v>363</v>
      </c>
      <c r="B192" s="22" t="s">
        <v>364</v>
      </c>
      <c r="C192" s="22" t="s">
        <v>92</v>
      </c>
      <c r="D192" s="23">
        <v>6</v>
      </c>
      <c r="E192" s="24"/>
      <c r="F192" s="24"/>
      <c r="G192" s="24"/>
      <c r="H192" s="24"/>
      <c r="I192" s="24"/>
      <c r="J192" s="24"/>
      <c r="K192" s="24"/>
      <c r="L192" s="24"/>
      <c r="M192" s="22" t="s">
        <v>113</v>
      </c>
      <c r="N192" s="1" t="s">
        <v>365</v>
      </c>
      <c r="O192" s="1" t="s">
        <v>50</v>
      </c>
      <c r="P192" s="1" t="s">
        <v>50</v>
      </c>
      <c r="Q192" s="1" t="s">
        <v>339</v>
      </c>
      <c r="R192" s="1" t="s">
        <v>61</v>
      </c>
      <c r="S192" s="1" t="s">
        <v>61</v>
      </c>
      <c r="T192" s="1" t="s">
        <v>60</v>
      </c>
      <c r="AR192" s="1" t="s">
        <v>50</v>
      </c>
      <c r="AS192" s="1" t="s">
        <v>50</v>
      </c>
      <c r="AU192" s="1" t="s">
        <v>366</v>
      </c>
      <c r="AV192">
        <v>184</v>
      </c>
    </row>
    <row r="193" spans="1:48" ht="30" customHeight="1">
      <c r="A193" s="27" t="s">
        <v>655</v>
      </c>
      <c r="B193" s="22" t="s">
        <v>367</v>
      </c>
      <c r="C193" s="22" t="s">
        <v>92</v>
      </c>
      <c r="D193" s="23">
        <v>1</v>
      </c>
      <c r="E193" s="24"/>
      <c r="F193" s="24"/>
      <c r="G193" s="24"/>
      <c r="H193" s="24"/>
      <c r="I193" s="24"/>
      <c r="J193" s="24"/>
      <c r="K193" s="24"/>
      <c r="L193" s="24"/>
      <c r="M193" s="22" t="s">
        <v>113</v>
      </c>
      <c r="N193" s="1" t="s">
        <v>368</v>
      </c>
      <c r="O193" s="1" t="s">
        <v>50</v>
      </c>
      <c r="P193" s="1" t="s">
        <v>50</v>
      </c>
      <c r="Q193" s="1" t="s">
        <v>339</v>
      </c>
      <c r="R193" s="1" t="s">
        <v>61</v>
      </c>
      <c r="S193" s="1" t="s">
        <v>61</v>
      </c>
      <c r="T193" s="1" t="s">
        <v>60</v>
      </c>
      <c r="AR193" s="1" t="s">
        <v>50</v>
      </c>
      <c r="AS193" s="1" t="s">
        <v>50</v>
      </c>
      <c r="AU193" s="1" t="s">
        <v>369</v>
      </c>
      <c r="AV193">
        <v>185</v>
      </c>
    </row>
    <row r="194" spans="1:48" ht="30" customHeight="1">
      <c r="A194" s="27" t="s">
        <v>656</v>
      </c>
      <c r="B194" s="22" t="s">
        <v>370</v>
      </c>
      <c r="C194" s="22" t="s">
        <v>92</v>
      </c>
      <c r="D194" s="23">
        <v>1</v>
      </c>
      <c r="E194" s="24"/>
      <c r="F194" s="24"/>
      <c r="G194" s="24"/>
      <c r="H194" s="24"/>
      <c r="I194" s="24"/>
      <c r="J194" s="24"/>
      <c r="K194" s="24"/>
      <c r="L194" s="24"/>
      <c r="M194" s="22" t="s">
        <v>113</v>
      </c>
      <c r="N194" s="1" t="s">
        <v>371</v>
      </c>
      <c r="O194" s="1" t="s">
        <v>50</v>
      </c>
      <c r="P194" s="1" t="s">
        <v>50</v>
      </c>
      <c r="Q194" s="1" t="s">
        <v>339</v>
      </c>
      <c r="R194" s="1" t="s">
        <v>61</v>
      </c>
      <c r="S194" s="1" t="s">
        <v>61</v>
      </c>
      <c r="T194" s="1" t="s">
        <v>60</v>
      </c>
      <c r="AR194" s="1" t="s">
        <v>50</v>
      </c>
      <c r="AS194" s="1" t="s">
        <v>50</v>
      </c>
      <c r="AU194" s="1" t="s">
        <v>372</v>
      </c>
      <c r="AV194">
        <v>186</v>
      </c>
    </row>
    <row r="195" spans="1:48" ht="30" customHeight="1">
      <c r="A195" s="27" t="s">
        <v>657</v>
      </c>
      <c r="B195" s="22" t="s">
        <v>373</v>
      </c>
      <c r="C195" s="22" t="s">
        <v>92</v>
      </c>
      <c r="D195" s="23">
        <v>3</v>
      </c>
      <c r="E195" s="24"/>
      <c r="F195" s="24"/>
      <c r="G195" s="24"/>
      <c r="H195" s="24"/>
      <c r="I195" s="24"/>
      <c r="J195" s="24"/>
      <c r="K195" s="24"/>
      <c r="L195" s="24"/>
      <c r="M195" s="22" t="s">
        <v>113</v>
      </c>
      <c r="N195" s="1" t="s">
        <v>374</v>
      </c>
      <c r="O195" s="1" t="s">
        <v>50</v>
      </c>
      <c r="P195" s="1" t="s">
        <v>50</v>
      </c>
      <c r="Q195" s="1" t="s">
        <v>339</v>
      </c>
      <c r="R195" s="1" t="s">
        <v>61</v>
      </c>
      <c r="S195" s="1" t="s">
        <v>61</v>
      </c>
      <c r="T195" s="1" t="s">
        <v>60</v>
      </c>
      <c r="AR195" s="1" t="s">
        <v>50</v>
      </c>
      <c r="AS195" s="1" t="s">
        <v>50</v>
      </c>
      <c r="AU195" s="1" t="s">
        <v>375</v>
      </c>
      <c r="AV195">
        <v>187</v>
      </c>
    </row>
    <row r="196" spans="1:48" ht="30" customHeight="1">
      <c r="A196" s="27" t="s">
        <v>658</v>
      </c>
      <c r="B196" s="22" t="s">
        <v>376</v>
      </c>
      <c r="C196" s="22" t="s">
        <v>92</v>
      </c>
      <c r="D196" s="23">
        <v>2</v>
      </c>
      <c r="E196" s="24"/>
      <c r="F196" s="24"/>
      <c r="G196" s="24"/>
      <c r="H196" s="24"/>
      <c r="I196" s="24"/>
      <c r="J196" s="24"/>
      <c r="K196" s="24"/>
      <c r="L196" s="24"/>
      <c r="M196" s="22" t="s">
        <v>113</v>
      </c>
      <c r="N196" s="1" t="s">
        <v>377</v>
      </c>
      <c r="O196" s="1" t="s">
        <v>50</v>
      </c>
      <c r="P196" s="1" t="s">
        <v>50</v>
      </c>
      <c r="Q196" s="1" t="s">
        <v>339</v>
      </c>
      <c r="R196" s="1" t="s">
        <v>61</v>
      </c>
      <c r="S196" s="1" t="s">
        <v>61</v>
      </c>
      <c r="T196" s="1" t="s">
        <v>60</v>
      </c>
      <c r="AR196" s="1" t="s">
        <v>50</v>
      </c>
      <c r="AS196" s="1" t="s">
        <v>50</v>
      </c>
      <c r="AU196" s="1" t="s">
        <v>378</v>
      </c>
      <c r="AV196">
        <v>188</v>
      </c>
    </row>
    <row r="197" spans="1:48" ht="30" customHeight="1">
      <c r="A197" s="22" t="s">
        <v>661</v>
      </c>
      <c r="B197" s="22" t="s">
        <v>660</v>
      </c>
      <c r="C197" s="22" t="s">
        <v>92</v>
      </c>
      <c r="D197" s="23">
        <v>1</v>
      </c>
      <c r="E197" s="24"/>
      <c r="F197" s="24"/>
      <c r="G197" s="24"/>
      <c r="H197" s="24"/>
      <c r="I197" s="24"/>
      <c r="J197" s="24"/>
      <c r="K197" s="24"/>
      <c r="L197" s="24"/>
      <c r="M197" s="22" t="s">
        <v>113</v>
      </c>
      <c r="N197" s="1" t="s">
        <v>379</v>
      </c>
      <c r="O197" s="1" t="s">
        <v>50</v>
      </c>
      <c r="P197" s="1" t="s">
        <v>50</v>
      </c>
      <c r="Q197" s="1" t="s">
        <v>339</v>
      </c>
      <c r="R197" s="1" t="s">
        <v>61</v>
      </c>
      <c r="S197" s="1" t="s">
        <v>61</v>
      </c>
      <c r="T197" s="1" t="s">
        <v>60</v>
      </c>
      <c r="AR197" s="1" t="s">
        <v>50</v>
      </c>
      <c r="AS197" s="1" t="s">
        <v>50</v>
      </c>
      <c r="AU197" s="1" t="s">
        <v>380</v>
      </c>
      <c r="AV197">
        <v>189</v>
      </c>
    </row>
    <row r="198" spans="1:48" ht="30" customHeight="1">
      <c r="A198" s="22" t="s">
        <v>381</v>
      </c>
      <c r="B198" s="22" t="s">
        <v>382</v>
      </c>
      <c r="C198" s="22" t="s">
        <v>92</v>
      </c>
      <c r="D198" s="23">
        <v>1</v>
      </c>
      <c r="E198" s="24"/>
      <c r="F198" s="24"/>
      <c r="G198" s="24"/>
      <c r="H198" s="24"/>
      <c r="I198" s="24"/>
      <c r="J198" s="24"/>
      <c r="K198" s="24"/>
      <c r="L198" s="24"/>
      <c r="M198" s="22" t="s">
        <v>113</v>
      </c>
      <c r="N198" s="1" t="s">
        <v>383</v>
      </c>
      <c r="O198" s="1" t="s">
        <v>50</v>
      </c>
      <c r="P198" s="1" t="s">
        <v>50</v>
      </c>
      <c r="Q198" s="1" t="s">
        <v>339</v>
      </c>
      <c r="R198" s="1" t="s">
        <v>61</v>
      </c>
      <c r="S198" s="1" t="s">
        <v>61</v>
      </c>
      <c r="T198" s="1" t="s">
        <v>60</v>
      </c>
      <c r="AR198" s="1" t="s">
        <v>50</v>
      </c>
      <c r="AS198" s="1" t="s">
        <v>50</v>
      </c>
      <c r="AU198" s="1" t="s">
        <v>384</v>
      </c>
      <c r="AV198">
        <v>190</v>
      </c>
    </row>
    <row r="199" spans="1:48" ht="30" customHeight="1">
      <c r="A199" s="22" t="s">
        <v>385</v>
      </c>
      <c r="B199" s="22" t="s">
        <v>386</v>
      </c>
      <c r="C199" s="22" t="s">
        <v>92</v>
      </c>
      <c r="D199" s="23">
        <v>1</v>
      </c>
      <c r="E199" s="24"/>
      <c r="F199" s="24"/>
      <c r="G199" s="24"/>
      <c r="H199" s="24"/>
      <c r="I199" s="24"/>
      <c r="J199" s="24"/>
      <c r="K199" s="24"/>
      <c r="L199" s="24"/>
      <c r="M199" s="22" t="s">
        <v>113</v>
      </c>
      <c r="N199" s="1" t="s">
        <v>387</v>
      </c>
      <c r="O199" s="1" t="s">
        <v>50</v>
      </c>
      <c r="P199" s="1" t="s">
        <v>50</v>
      </c>
      <c r="Q199" s="1" t="s">
        <v>339</v>
      </c>
      <c r="R199" s="1" t="s">
        <v>61</v>
      </c>
      <c r="S199" s="1" t="s">
        <v>61</v>
      </c>
      <c r="T199" s="1" t="s">
        <v>60</v>
      </c>
      <c r="AR199" s="1" t="s">
        <v>50</v>
      </c>
      <c r="AS199" s="1" t="s">
        <v>50</v>
      </c>
      <c r="AU199" s="1" t="s">
        <v>388</v>
      </c>
      <c r="AV199">
        <v>191</v>
      </c>
    </row>
    <row r="200" spans="1:48" ht="30" customHeight="1">
      <c r="A200" s="26" t="s">
        <v>389</v>
      </c>
      <c r="B200" s="22" t="s">
        <v>390</v>
      </c>
      <c r="C200" s="22" t="s">
        <v>92</v>
      </c>
      <c r="D200" s="23">
        <v>1</v>
      </c>
      <c r="E200" s="24"/>
      <c r="F200" s="24"/>
      <c r="G200" s="24"/>
      <c r="H200" s="24"/>
      <c r="I200" s="24"/>
      <c r="J200" s="24"/>
      <c r="K200" s="24"/>
      <c r="L200" s="24"/>
      <c r="M200" s="22" t="s">
        <v>113</v>
      </c>
      <c r="N200" s="1" t="s">
        <v>391</v>
      </c>
      <c r="O200" s="1" t="s">
        <v>50</v>
      </c>
      <c r="P200" s="1" t="s">
        <v>50</v>
      </c>
      <c r="Q200" s="1" t="s">
        <v>339</v>
      </c>
      <c r="R200" s="1" t="s">
        <v>61</v>
      </c>
      <c r="S200" s="1" t="s">
        <v>61</v>
      </c>
      <c r="T200" s="1" t="s">
        <v>60</v>
      </c>
      <c r="AR200" s="1" t="s">
        <v>50</v>
      </c>
      <c r="AS200" s="1" t="s">
        <v>50</v>
      </c>
      <c r="AU200" s="1" t="s">
        <v>392</v>
      </c>
      <c r="AV200">
        <v>192</v>
      </c>
    </row>
    <row r="201" spans="1:48" ht="30" customHeight="1">
      <c r="A201" s="22" t="s">
        <v>393</v>
      </c>
      <c r="B201" s="22" t="s">
        <v>376</v>
      </c>
      <c r="C201" s="22" t="s">
        <v>92</v>
      </c>
      <c r="D201" s="23">
        <v>1</v>
      </c>
      <c r="E201" s="24"/>
      <c r="F201" s="24"/>
      <c r="G201" s="24"/>
      <c r="H201" s="24"/>
      <c r="I201" s="24"/>
      <c r="J201" s="24"/>
      <c r="K201" s="24"/>
      <c r="L201" s="24"/>
      <c r="M201" s="22" t="s">
        <v>113</v>
      </c>
      <c r="N201" s="1" t="s">
        <v>394</v>
      </c>
      <c r="O201" s="1" t="s">
        <v>50</v>
      </c>
      <c r="P201" s="1" t="s">
        <v>50</v>
      </c>
      <c r="Q201" s="1" t="s">
        <v>339</v>
      </c>
      <c r="R201" s="1" t="s">
        <v>61</v>
      </c>
      <c r="S201" s="1" t="s">
        <v>61</v>
      </c>
      <c r="T201" s="1" t="s">
        <v>60</v>
      </c>
      <c r="AR201" s="1" t="s">
        <v>50</v>
      </c>
      <c r="AS201" s="1" t="s">
        <v>50</v>
      </c>
      <c r="AU201" s="1" t="s">
        <v>395</v>
      </c>
      <c r="AV201">
        <v>193</v>
      </c>
    </row>
    <row r="202" spans="1:48" ht="30" customHeight="1">
      <c r="A202" s="22" t="s">
        <v>396</v>
      </c>
      <c r="B202" s="22" t="s">
        <v>345</v>
      </c>
      <c r="C202" s="22" t="s">
        <v>92</v>
      </c>
      <c r="D202" s="23">
        <v>8</v>
      </c>
      <c r="E202" s="24"/>
      <c r="F202" s="24"/>
      <c r="G202" s="24"/>
      <c r="H202" s="24"/>
      <c r="I202" s="24"/>
      <c r="J202" s="24"/>
      <c r="K202" s="24"/>
      <c r="L202" s="24"/>
      <c r="M202" s="22" t="s">
        <v>113</v>
      </c>
      <c r="N202" s="1" t="s">
        <v>397</v>
      </c>
      <c r="O202" s="1" t="s">
        <v>50</v>
      </c>
      <c r="P202" s="1" t="s">
        <v>50</v>
      </c>
      <c r="Q202" s="1" t="s">
        <v>339</v>
      </c>
      <c r="R202" s="1" t="s">
        <v>61</v>
      </c>
      <c r="S202" s="1" t="s">
        <v>61</v>
      </c>
      <c r="T202" s="1" t="s">
        <v>60</v>
      </c>
      <c r="AR202" s="1" t="s">
        <v>50</v>
      </c>
      <c r="AS202" s="1" t="s">
        <v>50</v>
      </c>
      <c r="AU202" s="1" t="s">
        <v>398</v>
      </c>
      <c r="AV202">
        <v>194</v>
      </c>
    </row>
    <row r="203" spans="1:48" ht="30" customHeight="1">
      <c r="A203" s="22" t="s">
        <v>399</v>
      </c>
      <c r="B203" s="22" t="s">
        <v>662</v>
      </c>
      <c r="C203" s="22" t="s">
        <v>92</v>
      </c>
      <c r="D203" s="23">
        <v>6</v>
      </c>
      <c r="E203" s="24"/>
      <c r="F203" s="24"/>
      <c r="G203" s="24"/>
      <c r="H203" s="24"/>
      <c r="I203" s="24"/>
      <c r="J203" s="24"/>
      <c r="K203" s="24"/>
      <c r="L203" s="24"/>
      <c r="M203" s="22" t="s">
        <v>113</v>
      </c>
      <c r="N203" s="1" t="s">
        <v>400</v>
      </c>
      <c r="O203" s="1" t="s">
        <v>50</v>
      </c>
      <c r="P203" s="1" t="s">
        <v>50</v>
      </c>
      <c r="Q203" s="1" t="s">
        <v>339</v>
      </c>
      <c r="R203" s="1" t="s">
        <v>61</v>
      </c>
      <c r="S203" s="1" t="s">
        <v>61</v>
      </c>
      <c r="T203" s="1" t="s">
        <v>60</v>
      </c>
      <c r="AR203" s="1" t="s">
        <v>50</v>
      </c>
      <c r="AS203" s="1" t="s">
        <v>50</v>
      </c>
      <c r="AU203" s="1" t="s">
        <v>401</v>
      </c>
      <c r="AV203">
        <v>195</v>
      </c>
    </row>
    <row r="204" spans="1:48" ht="30" customHeight="1">
      <c r="A204" s="22" t="s">
        <v>402</v>
      </c>
      <c r="B204" s="22" t="s">
        <v>403</v>
      </c>
      <c r="C204" s="22" t="s">
        <v>92</v>
      </c>
      <c r="D204" s="23">
        <v>18</v>
      </c>
      <c r="E204" s="24"/>
      <c r="F204" s="24"/>
      <c r="G204" s="24"/>
      <c r="H204" s="24"/>
      <c r="I204" s="24"/>
      <c r="J204" s="24"/>
      <c r="K204" s="24"/>
      <c r="L204" s="24"/>
      <c r="M204" s="22" t="s">
        <v>113</v>
      </c>
      <c r="N204" s="1" t="s">
        <v>404</v>
      </c>
      <c r="O204" s="1" t="s">
        <v>50</v>
      </c>
      <c r="P204" s="1" t="s">
        <v>50</v>
      </c>
      <c r="Q204" s="1" t="s">
        <v>339</v>
      </c>
      <c r="R204" s="1" t="s">
        <v>61</v>
      </c>
      <c r="S204" s="1" t="s">
        <v>61</v>
      </c>
      <c r="T204" s="1" t="s">
        <v>60</v>
      </c>
      <c r="AR204" s="1" t="s">
        <v>50</v>
      </c>
      <c r="AS204" s="1" t="s">
        <v>50</v>
      </c>
      <c r="AU204" s="1" t="s">
        <v>405</v>
      </c>
      <c r="AV204">
        <v>196</v>
      </c>
    </row>
    <row r="205" spans="1:48" ht="30" customHeight="1">
      <c r="A205" s="22" t="s">
        <v>406</v>
      </c>
      <c r="B205" s="22" t="s">
        <v>355</v>
      </c>
      <c r="C205" s="22" t="s">
        <v>92</v>
      </c>
      <c r="D205" s="23">
        <v>12</v>
      </c>
      <c r="E205" s="24"/>
      <c r="F205" s="24"/>
      <c r="G205" s="24"/>
      <c r="H205" s="24"/>
      <c r="I205" s="24"/>
      <c r="J205" s="24"/>
      <c r="K205" s="24"/>
      <c r="L205" s="24"/>
      <c r="M205" s="22" t="s">
        <v>113</v>
      </c>
      <c r="N205" s="1" t="s">
        <v>407</v>
      </c>
      <c r="O205" s="1" t="s">
        <v>50</v>
      </c>
      <c r="P205" s="1" t="s">
        <v>50</v>
      </c>
      <c r="Q205" s="1" t="s">
        <v>339</v>
      </c>
      <c r="R205" s="1" t="s">
        <v>61</v>
      </c>
      <c r="S205" s="1" t="s">
        <v>61</v>
      </c>
      <c r="T205" s="1" t="s">
        <v>60</v>
      </c>
      <c r="AR205" s="1" t="s">
        <v>50</v>
      </c>
      <c r="AS205" s="1" t="s">
        <v>50</v>
      </c>
      <c r="AU205" s="1" t="s">
        <v>408</v>
      </c>
      <c r="AV205">
        <v>197</v>
      </c>
    </row>
    <row r="206" spans="1:48" ht="30" customHeight="1">
      <c r="A206" s="22" t="s">
        <v>409</v>
      </c>
      <c r="B206" s="22" t="s">
        <v>410</v>
      </c>
      <c r="C206" s="22" t="s">
        <v>92</v>
      </c>
      <c r="D206" s="23">
        <v>6</v>
      </c>
      <c r="E206" s="24"/>
      <c r="F206" s="24"/>
      <c r="G206" s="24"/>
      <c r="H206" s="24"/>
      <c r="I206" s="24"/>
      <c r="J206" s="24"/>
      <c r="K206" s="24"/>
      <c r="L206" s="24"/>
      <c r="M206" s="22" t="s">
        <v>113</v>
      </c>
      <c r="N206" s="1" t="s">
        <v>411</v>
      </c>
      <c r="O206" s="1" t="s">
        <v>50</v>
      </c>
      <c r="P206" s="1" t="s">
        <v>50</v>
      </c>
      <c r="Q206" s="1" t="s">
        <v>339</v>
      </c>
      <c r="R206" s="1" t="s">
        <v>61</v>
      </c>
      <c r="S206" s="1" t="s">
        <v>61</v>
      </c>
      <c r="T206" s="1" t="s">
        <v>60</v>
      </c>
      <c r="AR206" s="1" t="s">
        <v>50</v>
      </c>
      <c r="AS206" s="1" t="s">
        <v>50</v>
      </c>
      <c r="AU206" s="1" t="s">
        <v>412</v>
      </c>
      <c r="AV206">
        <v>198</v>
      </c>
    </row>
    <row r="207" spans="1:48" ht="30" customHeight="1">
      <c r="A207" s="22" t="s">
        <v>413</v>
      </c>
      <c r="B207" s="22" t="s">
        <v>367</v>
      </c>
      <c r="C207" s="22" t="s">
        <v>92</v>
      </c>
      <c r="D207" s="23">
        <v>6</v>
      </c>
      <c r="E207" s="24"/>
      <c r="F207" s="24"/>
      <c r="G207" s="24"/>
      <c r="H207" s="24"/>
      <c r="I207" s="24"/>
      <c r="J207" s="24"/>
      <c r="K207" s="24"/>
      <c r="L207" s="24"/>
      <c r="M207" s="22" t="s">
        <v>113</v>
      </c>
      <c r="N207" s="1" t="s">
        <v>414</v>
      </c>
      <c r="O207" s="1" t="s">
        <v>50</v>
      </c>
      <c r="P207" s="1" t="s">
        <v>50</v>
      </c>
      <c r="Q207" s="1" t="s">
        <v>339</v>
      </c>
      <c r="R207" s="1" t="s">
        <v>61</v>
      </c>
      <c r="S207" s="1" t="s">
        <v>61</v>
      </c>
      <c r="T207" s="1" t="s">
        <v>60</v>
      </c>
      <c r="AR207" s="1" t="s">
        <v>50</v>
      </c>
      <c r="AS207" s="1" t="s">
        <v>50</v>
      </c>
      <c r="AU207" s="1" t="s">
        <v>415</v>
      </c>
      <c r="AV207">
        <v>199</v>
      </c>
    </row>
    <row r="208" spans="1:48" ht="30" customHeight="1">
      <c r="A208" s="22" t="s">
        <v>416</v>
      </c>
      <c r="B208" s="22" t="s">
        <v>370</v>
      </c>
      <c r="C208" s="22" t="s">
        <v>92</v>
      </c>
      <c r="D208" s="23">
        <v>6</v>
      </c>
      <c r="E208" s="24"/>
      <c r="F208" s="24"/>
      <c r="G208" s="24"/>
      <c r="H208" s="24"/>
      <c r="I208" s="24"/>
      <c r="J208" s="24"/>
      <c r="K208" s="24"/>
      <c r="L208" s="24"/>
      <c r="M208" s="22" t="s">
        <v>113</v>
      </c>
      <c r="N208" s="1" t="s">
        <v>417</v>
      </c>
      <c r="O208" s="1" t="s">
        <v>50</v>
      </c>
      <c r="P208" s="1" t="s">
        <v>50</v>
      </c>
      <c r="Q208" s="1" t="s">
        <v>339</v>
      </c>
      <c r="R208" s="1" t="s">
        <v>61</v>
      </c>
      <c r="S208" s="1" t="s">
        <v>61</v>
      </c>
      <c r="T208" s="1" t="s">
        <v>60</v>
      </c>
      <c r="AR208" s="1" t="s">
        <v>50</v>
      </c>
      <c r="AS208" s="1" t="s">
        <v>50</v>
      </c>
      <c r="AU208" s="1" t="s">
        <v>418</v>
      </c>
      <c r="AV208">
        <v>200</v>
      </c>
    </row>
    <row r="209" spans="1:48" ht="30" customHeight="1">
      <c r="A209" s="22" t="s">
        <v>419</v>
      </c>
      <c r="B209" s="22" t="s">
        <v>376</v>
      </c>
      <c r="C209" s="22" t="s">
        <v>92</v>
      </c>
      <c r="D209" s="23">
        <v>3</v>
      </c>
      <c r="E209" s="24"/>
      <c r="F209" s="24"/>
      <c r="G209" s="24"/>
      <c r="H209" s="24"/>
      <c r="I209" s="24"/>
      <c r="J209" s="24"/>
      <c r="K209" s="24"/>
      <c r="L209" s="24"/>
      <c r="M209" s="22" t="s">
        <v>113</v>
      </c>
      <c r="N209" s="1" t="s">
        <v>420</v>
      </c>
      <c r="O209" s="1" t="s">
        <v>50</v>
      </c>
      <c r="P209" s="1" t="s">
        <v>50</v>
      </c>
      <c r="Q209" s="1" t="s">
        <v>339</v>
      </c>
      <c r="R209" s="1" t="s">
        <v>61</v>
      </c>
      <c r="S209" s="1" t="s">
        <v>61</v>
      </c>
      <c r="T209" s="1" t="s">
        <v>60</v>
      </c>
      <c r="AR209" s="1" t="s">
        <v>50</v>
      </c>
      <c r="AS209" s="1" t="s">
        <v>50</v>
      </c>
      <c r="AU209" s="1" t="s">
        <v>421</v>
      </c>
      <c r="AV209">
        <v>201</v>
      </c>
    </row>
    <row r="210" spans="1:48" ht="30" customHeight="1">
      <c r="A210" s="22" t="s">
        <v>422</v>
      </c>
      <c r="B210" s="22" t="s">
        <v>345</v>
      </c>
      <c r="C210" s="22" t="s">
        <v>92</v>
      </c>
      <c r="D210" s="23">
        <v>5</v>
      </c>
      <c r="E210" s="24"/>
      <c r="F210" s="24"/>
      <c r="G210" s="24"/>
      <c r="H210" s="24"/>
      <c r="I210" s="24"/>
      <c r="J210" s="24"/>
      <c r="K210" s="24"/>
      <c r="L210" s="24"/>
      <c r="M210" s="22" t="s">
        <v>113</v>
      </c>
      <c r="N210" s="1" t="s">
        <v>423</v>
      </c>
      <c r="O210" s="1" t="s">
        <v>50</v>
      </c>
      <c r="P210" s="1" t="s">
        <v>50</v>
      </c>
      <c r="Q210" s="1" t="s">
        <v>339</v>
      </c>
      <c r="R210" s="1" t="s">
        <v>61</v>
      </c>
      <c r="S210" s="1" t="s">
        <v>61</v>
      </c>
      <c r="T210" s="1" t="s">
        <v>60</v>
      </c>
      <c r="AR210" s="1" t="s">
        <v>50</v>
      </c>
      <c r="AS210" s="1" t="s">
        <v>50</v>
      </c>
      <c r="AU210" s="1" t="s">
        <v>424</v>
      </c>
      <c r="AV210">
        <v>202</v>
      </c>
    </row>
    <row r="211" spans="1:48" ht="30" customHeight="1">
      <c r="A211" s="22" t="s">
        <v>425</v>
      </c>
      <c r="B211" s="22" t="s">
        <v>410</v>
      </c>
      <c r="C211" s="22" t="s">
        <v>92</v>
      </c>
      <c r="D211" s="23">
        <v>16</v>
      </c>
      <c r="E211" s="24"/>
      <c r="F211" s="24"/>
      <c r="G211" s="24"/>
      <c r="H211" s="24"/>
      <c r="I211" s="24"/>
      <c r="J211" s="24"/>
      <c r="K211" s="24"/>
      <c r="L211" s="24"/>
      <c r="M211" s="22" t="s">
        <v>113</v>
      </c>
      <c r="N211" s="1" t="s">
        <v>426</v>
      </c>
      <c r="O211" s="1" t="s">
        <v>50</v>
      </c>
      <c r="P211" s="1" t="s">
        <v>50</v>
      </c>
      <c r="Q211" s="1" t="s">
        <v>339</v>
      </c>
      <c r="R211" s="1" t="s">
        <v>61</v>
      </c>
      <c r="S211" s="1" t="s">
        <v>61</v>
      </c>
      <c r="T211" s="1" t="s">
        <v>60</v>
      </c>
      <c r="AR211" s="1" t="s">
        <v>50</v>
      </c>
      <c r="AS211" s="1" t="s">
        <v>50</v>
      </c>
      <c r="AU211" s="1" t="s">
        <v>427</v>
      </c>
      <c r="AV211">
        <v>203</v>
      </c>
    </row>
    <row r="212" spans="1:48" ht="30" customHeight="1">
      <c r="A212" s="22" t="s">
        <v>428</v>
      </c>
      <c r="B212" s="22" t="s">
        <v>403</v>
      </c>
      <c r="C212" s="22" t="s">
        <v>92</v>
      </c>
      <c r="D212" s="23">
        <v>4</v>
      </c>
      <c r="E212" s="24"/>
      <c r="F212" s="24"/>
      <c r="G212" s="24"/>
      <c r="H212" s="24"/>
      <c r="I212" s="24"/>
      <c r="J212" s="24"/>
      <c r="K212" s="24"/>
      <c r="L212" s="24"/>
      <c r="M212" s="22" t="s">
        <v>113</v>
      </c>
      <c r="N212" s="1" t="s">
        <v>429</v>
      </c>
      <c r="O212" s="1" t="s">
        <v>50</v>
      </c>
      <c r="P212" s="1" t="s">
        <v>50</v>
      </c>
      <c r="Q212" s="1" t="s">
        <v>339</v>
      </c>
      <c r="R212" s="1" t="s">
        <v>61</v>
      </c>
      <c r="S212" s="1" t="s">
        <v>61</v>
      </c>
      <c r="T212" s="1" t="s">
        <v>60</v>
      </c>
      <c r="AR212" s="1" t="s">
        <v>50</v>
      </c>
      <c r="AS212" s="1" t="s">
        <v>50</v>
      </c>
      <c r="AU212" s="1" t="s">
        <v>430</v>
      </c>
      <c r="AV212">
        <v>204</v>
      </c>
    </row>
    <row r="213" spans="1:48" ht="30" customHeight="1">
      <c r="A213" s="22" t="s">
        <v>431</v>
      </c>
      <c r="B213" s="22" t="s">
        <v>355</v>
      </c>
      <c r="C213" s="22" t="s">
        <v>92</v>
      </c>
      <c r="D213" s="23">
        <v>4</v>
      </c>
      <c r="E213" s="24"/>
      <c r="F213" s="24"/>
      <c r="G213" s="24"/>
      <c r="H213" s="24"/>
      <c r="I213" s="24"/>
      <c r="J213" s="24"/>
      <c r="K213" s="24"/>
      <c r="L213" s="24"/>
      <c r="M213" s="22" t="s">
        <v>113</v>
      </c>
      <c r="N213" s="1" t="s">
        <v>432</v>
      </c>
      <c r="O213" s="1" t="s">
        <v>50</v>
      </c>
      <c r="P213" s="1" t="s">
        <v>50</v>
      </c>
      <c r="Q213" s="1" t="s">
        <v>339</v>
      </c>
      <c r="R213" s="1" t="s">
        <v>61</v>
      </c>
      <c r="S213" s="1" t="s">
        <v>61</v>
      </c>
      <c r="T213" s="1" t="s">
        <v>60</v>
      </c>
      <c r="AR213" s="1" t="s">
        <v>50</v>
      </c>
      <c r="AS213" s="1" t="s">
        <v>50</v>
      </c>
      <c r="AU213" s="1" t="s">
        <v>433</v>
      </c>
      <c r="AV213">
        <v>205</v>
      </c>
    </row>
    <row r="214" spans="1:48" ht="30" customHeight="1">
      <c r="A214" s="22" t="s">
        <v>434</v>
      </c>
      <c r="B214" s="22" t="s">
        <v>367</v>
      </c>
      <c r="C214" s="22" t="s">
        <v>92</v>
      </c>
      <c r="D214" s="23">
        <v>4</v>
      </c>
      <c r="E214" s="24"/>
      <c r="F214" s="24"/>
      <c r="G214" s="24"/>
      <c r="H214" s="24"/>
      <c r="I214" s="24"/>
      <c r="J214" s="24"/>
      <c r="K214" s="24"/>
      <c r="L214" s="24"/>
      <c r="M214" s="22" t="s">
        <v>113</v>
      </c>
      <c r="N214" s="1" t="s">
        <v>435</v>
      </c>
      <c r="O214" s="1" t="s">
        <v>50</v>
      </c>
      <c r="P214" s="1" t="s">
        <v>50</v>
      </c>
      <c r="Q214" s="1" t="s">
        <v>339</v>
      </c>
      <c r="R214" s="1" t="s">
        <v>61</v>
      </c>
      <c r="S214" s="1" t="s">
        <v>61</v>
      </c>
      <c r="T214" s="1" t="s">
        <v>60</v>
      </c>
      <c r="AR214" s="1" t="s">
        <v>50</v>
      </c>
      <c r="AS214" s="1" t="s">
        <v>50</v>
      </c>
      <c r="AU214" s="1" t="s">
        <v>436</v>
      </c>
      <c r="AV214">
        <v>206</v>
      </c>
    </row>
    <row r="215" spans="1:48" ht="30" customHeight="1">
      <c r="A215" s="22" t="s">
        <v>437</v>
      </c>
      <c r="B215" s="22" t="s">
        <v>370</v>
      </c>
      <c r="C215" s="22" t="s">
        <v>92</v>
      </c>
      <c r="D215" s="23">
        <v>4</v>
      </c>
      <c r="E215" s="24"/>
      <c r="F215" s="24"/>
      <c r="G215" s="24"/>
      <c r="H215" s="24"/>
      <c r="I215" s="24"/>
      <c r="J215" s="24"/>
      <c r="K215" s="24"/>
      <c r="L215" s="24"/>
      <c r="M215" s="22" t="s">
        <v>113</v>
      </c>
      <c r="N215" s="1" t="s">
        <v>438</v>
      </c>
      <c r="O215" s="1" t="s">
        <v>50</v>
      </c>
      <c r="P215" s="1" t="s">
        <v>50</v>
      </c>
      <c r="Q215" s="1" t="s">
        <v>339</v>
      </c>
      <c r="R215" s="1" t="s">
        <v>61</v>
      </c>
      <c r="S215" s="1" t="s">
        <v>61</v>
      </c>
      <c r="T215" s="1" t="s">
        <v>60</v>
      </c>
      <c r="AR215" s="1" t="s">
        <v>50</v>
      </c>
      <c r="AS215" s="1" t="s">
        <v>50</v>
      </c>
      <c r="AU215" s="1" t="s">
        <v>439</v>
      </c>
      <c r="AV215">
        <v>207</v>
      </c>
    </row>
    <row r="216" spans="1:48" ht="30" customHeight="1">
      <c r="A216" s="22" t="s">
        <v>440</v>
      </c>
      <c r="B216" s="22" t="s">
        <v>376</v>
      </c>
      <c r="C216" s="22" t="s">
        <v>92</v>
      </c>
      <c r="D216" s="23">
        <v>2</v>
      </c>
      <c r="E216" s="24"/>
      <c r="F216" s="24"/>
      <c r="G216" s="24"/>
      <c r="H216" s="24"/>
      <c r="I216" s="24"/>
      <c r="J216" s="24"/>
      <c r="K216" s="24"/>
      <c r="L216" s="24"/>
      <c r="M216" s="22" t="s">
        <v>113</v>
      </c>
      <c r="N216" s="1" t="s">
        <v>441</v>
      </c>
      <c r="O216" s="1" t="s">
        <v>50</v>
      </c>
      <c r="P216" s="1" t="s">
        <v>50</v>
      </c>
      <c r="Q216" s="1" t="s">
        <v>339</v>
      </c>
      <c r="R216" s="1" t="s">
        <v>61</v>
      </c>
      <c r="S216" s="1" t="s">
        <v>61</v>
      </c>
      <c r="T216" s="1" t="s">
        <v>60</v>
      </c>
      <c r="AR216" s="1" t="s">
        <v>50</v>
      </c>
      <c r="AS216" s="1" t="s">
        <v>50</v>
      </c>
      <c r="AU216" s="1" t="s">
        <v>442</v>
      </c>
      <c r="AV216">
        <v>208</v>
      </c>
    </row>
    <row r="217" spans="1:48" ht="30" customHeight="1">
      <c r="A217" s="22" t="s">
        <v>443</v>
      </c>
      <c r="B217" s="22" t="s">
        <v>444</v>
      </c>
      <c r="C217" s="22" t="s">
        <v>92</v>
      </c>
      <c r="D217" s="23">
        <v>1</v>
      </c>
      <c r="E217" s="24"/>
      <c r="F217" s="24"/>
      <c r="G217" s="24"/>
      <c r="H217" s="24"/>
      <c r="I217" s="24"/>
      <c r="J217" s="24"/>
      <c r="K217" s="24"/>
      <c r="L217" s="24"/>
      <c r="M217" s="22" t="s">
        <v>113</v>
      </c>
      <c r="N217" s="1" t="s">
        <v>445</v>
      </c>
      <c r="O217" s="1" t="s">
        <v>50</v>
      </c>
      <c r="P217" s="1" t="s">
        <v>50</v>
      </c>
      <c r="Q217" s="1" t="s">
        <v>339</v>
      </c>
      <c r="R217" s="1" t="s">
        <v>61</v>
      </c>
      <c r="S217" s="1" t="s">
        <v>61</v>
      </c>
      <c r="T217" s="1" t="s">
        <v>60</v>
      </c>
      <c r="AR217" s="1" t="s">
        <v>50</v>
      </c>
      <c r="AS217" s="1" t="s">
        <v>50</v>
      </c>
      <c r="AU217" s="1" t="s">
        <v>446</v>
      </c>
      <c r="AV217">
        <v>209</v>
      </c>
    </row>
    <row r="218" spans="1:48" ht="30" customHeight="1">
      <c r="A218" s="22" t="s">
        <v>447</v>
      </c>
      <c r="B218" s="22" t="s">
        <v>355</v>
      </c>
      <c r="C218" s="22" t="s">
        <v>92</v>
      </c>
      <c r="D218" s="23">
        <v>4</v>
      </c>
      <c r="E218" s="24"/>
      <c r="F218" s="24"/>
      <c r="G218" s="24"/>
      <c r="H218" s="24"/>
      <c r="I218" s="24"/>
      <c r="J218" s="24"/>
      <c r="K218" s="24"/>
      <c r="L218" s="24"/>
      <c r="M218" s="22" t="s">
        <v>113</v>
      </c>
      <c r="N218" s="1" t="s">
        <v>448</v>
      </c>
      <c r="O218" s="1" t="s">
        <v>50</v>
      </c>
      <c r="P218" s="1" t="s">
        <v>50</v>
      </c>
      <c r="Q218" s="1" t="s">
        <v>339</v>
      </c>
      <c r="R218" s="1" t="s">
        <v>61</v>
      </c>
      <c r="S218" s="1" t="s">
        <v>61</v>
      </c>
      <c r="T218" s="1" t="s">
        <v>60</v>
      </c>
      <c r="AR218" s="1" t="s">
        <v>50</v>
      </c>
      <c r="AS218" s="1" t="s">
        <v>50</v>
      </c>
      <c r="AU218" s="1" t="s">
        <v>449</v>
      </c>
      <c r="AV218">
        <v>210</v>
      </c>
    </row>
    <row r="219" spans="1:48" ht="30" customHeight="1">
      <c r="A219" s="22" t="s">
        <v>450</v>
      </c>
      <c r="B219" s="22" t="s">
        <v>403</v>
      </c>
      <c r="C219" s="22" t="s">
        <v>92</v>
      </c>
      <c r="D219" s="23">
        <v>4</v>
      </c>
      <c r="E219" s="24"/>
      <c r="F219" s="24"/>
      <c r="G219" s="24"/>
      <c r="H219" s="24"/>
      <c r="I219" s="24"/>
      <c r="J219" s="24"/>
      <c r="K219" s="24"/>
      <c r="L219" s="24"/>
      <c r="M219" s="22" t="s">
        <v>113</v>
      </c>
      <c r="N219" s="1" t="s">
        <v>451</v>
      </c>
      <c r="O219" s="1" t="s">
        <v>50</v>
      </c>
      <c r="P219" s="1" t="s">
        <v>50</v>
      </c>
      <c r="Q219" s="1" t="s">
        <v>339</v>
      </c>
      <c r="R219" s="1" t="s">
        <v>61</v>
      </c>
      <c r="S219" s="1" t="s">
        <v>61</v>
      </c>
      <c r="T219" s="1" t="s">
        <v>60</v>
      </c>
      <c r="AR219" s="1" t="s">
        <v>50</v>
      </c>
      <c r="AS219" s="1" t="s">
        <v>50</v>
      </c>
      <c r="AU219" s="1" t="s">
        <v>452</v>
      </c>
      <c r="AV219">
        <v>211</v>
      </c>
    </row>
    <row r="220" spans="1:48" ht="30" customHeight="1">
      <c r="A220" s="22" t="s">
        <v>453</v>
      </c>
      <c r="B220" s="22" t="s">
        <v>454</v>
      </c>
      <c r="C220" s="22" t="s">
        <v>92</v>
      </c>
      <c r="D220" s="23">
        <v>4</v>
      </c>
      <c r="E220" s="24"/>
      <c r="F220" s="24"/>
      <c r="G220" s="24"/>
      <c r="H220" s="24"/>
      <c r="I220" s="24"/>
      <c r="J220" s="24"/>
      <c r="K220" s="24"/>
      <c r="L220" s="24"/>
      <c r="M220" s="22" t="s">
        <v>113</v>
      </c>
      <c r="N220" s="1" t="s">
        <v>455</v>
      </c>
      <c r="O220" s="1" t="s">
        <v>50</v>
      </c>
      <c r="P220" s="1" t="s">
        <v>50</v>
      </c>
      <c r="Q220" s="1" t="s">
        <v>339</v>
      </c>
      <c r="R220" s="1" t="s">
        <v>61</v>
      </c>
      <c r="S220" s="1" t="s">
        <v>61</v>
      </c>
      <c r="T220" s="1" t="s">
        <v>60</v>
      </c>
      <c r="AR220" s="1" t="s">
        <v>50</v>
      </c>
      <c r="AS220" s="1" t="s">
        <v>50</v>
      </c>
      <c r="AU220" s="1" t="s">
        <v>456</v>
      </c>
      <c r="AV220">
        <v>212</v>
      </c>
    </row>
    <row r="221" spans="1:48" ht="30" customHeight="1">
      <c r="A221" s="13" t="s">
        <v>457</v>
      </c>
      <c r="B221" s="13" t="s">
        <v>50</v>
      </c>
      <c r="C221" s="13" t="s">
        <v>133</v>
      </c>
      <c r="D221" s="11">
        <v>1</v>
      </c>
      <c r="E221" s="12"/>
      <c r="F221" s="12"/>
      <c r="G221" s="12"/>
      <c r="H221" s="12"/>
      <c r="I221" s="12"/>
      <c r="J221" s="12"/>
      <c r="K221" s="12"/>
      <c r="L221" s="12"/>
      <c r="M221" s="13" t="s">
        <v>113</v>
      </c>
      <c r="N221" s="1" t="s">
        <v>458</v>
      </c>
      <c r="O221" s="1" t="s">
        <v>50</v>
      </c>
      <c r="P221" s="1" t="s">
        <v>50</v>
      </c>
      <c r="Q221" s="1" t="s">
        <v>339</v>
      </c>
      <c r="R221" s="1" t="s">
        <v>61</v>
      </c>
      <c r="S221" s="1" t="s">
        <v>61</v>
      </c>
      <c r="T221" s="1" t="s">
        <v>60</v>
      </c>
      <c r="AR221" s="1" t="s">
        <v>50</v>
      </c>
      <c r="AS221" s="1" t="s">
        <v>50</v>
      </c>
      <c r="AU221" s="1" t="s">
        <v>459</v>
      </c>
      <c r="AV221">
        <v>218</v>
      </c>
    </row>
    <row r="222" spans="1:48" ht="30" customHeight="1">
      <c r="A222" s="13" t="s">
        <v>460</v>
      </c>
      <c r="B222" s="13" t="s">
        <v>50</v>
      </c>
      <c r="C222" s="13" t="s">
        <v>133</v>
      </c>
      <c r="D222" s="11">
        <v>1</v>
      </c>
      <c r="E222" s="12"/>
      <c r="F222" s="12"/>
      <c r="G222" s="12"/>
      <c r="H222" s="12"/>
      <c r="I222" s="12"/>
      <c r="J222" s="12"/>
      <c r="K222" s="12"/>
      <c r="L222" s="12"/>
      <c r="M222" s="13" t="s">
        <v>113</v>
      </c>
      <c r="N222" s="1" t="s">
        <v>461</v>
      </c>
      <c r="O222" s="1" t="s">
        <v>50</v>
      </c>
      <c r="P222" s="1" t="s">
        <v>50</v>
      </c>
      <c r="Q222" s="1" t="s">
        <v>339</v>
      </c>
      <c r="R222" s="1" t="s">
        <v>61</v>
      </c>
      <c r="S222" s="1" t="s">
        <v>61</v>
      </c>
      <c r="T222" s="1" t="s">
        <v>60</v>
      </c>
      <c r="AR222" s="1" t="s">
        <v>50</v>
      </c>
      <c r="AS222" s="1" t="s">
        <v>50</v>
      </c>
      <c r="AU222" s="1" t="s">
        <v>462</v>
      </c>
      <c r="AV222">
        <v>219</v>
      </c>
    </row>
    <row r="223" spans="1:48" ht="30" customHeight="1">
      <c r="A223" s="11"/>
      <c r="B223" s="11"/>
      <c r="C223" s="11"/>
      <c r="D223" s="11"/>
      <c r="E223" s="12"/>
      <c r="F223" s="12"/>
      <c r="G223" s="12"/>
      <c r="H223" s="12"/>
      <c r="I223" s="12"/>
      <c r="J223" s="12"/>
      <c r="K223" s="12"/>
      <c r="L223" s="12"/>
      <c r="M223" s="11"/>
      <c r="Q223" s="1" t="s">
        <v>339</v>
      </c>
    </row>
    <row r="224" spans="1:48" ht="30" customHeight="1">
      <c r="A224" s="11"/>
      <c r="B224" s="11"/>
      <c r="C224" s="11"/>
      <c r="D224" s="11"/>
      <c r="E224" s="12"/>
      <c r="F224" s="12"/>
      <c r="G224" s="12"/>
      <c r="H224" s="12"/>
      <c r="I224" s="12"/>
      <c r="J224" s="12"/>
      <c r="K224" s="12"/>
      <c r="L224" s="12"/>
      <c r="M224" s="11"/>
      <c r="Q224" s="1" t="s">
        <v>339</v>
      </c>
    </row>
    <row r="225" spans="1:48" ht="30" customHeight="1">
      <c r="A225" s="11"/>
      <c r="B225" s="11"/>
      <c r="C225" s="11"/>
      <c r="D225" s="11"/>
      <c r="E225" s="12"/>
      <c r="F225" s="12"/>
      <c r="G225" s="12"/>
      <c r="H225" s="12"/>
      <c r="I225" s="12"/>
      <c r="J225" s="12"/>
      <c r="K225" s="12"/>
      <c r="L225" s="12"/>
      <c r="M225" s="11"/>
      <c r="Q225" s="1" t="s">
        <v>339</v>
      </c>
    </row>
    <row r="226" spans="1:48" ht="30" customHeight="1">
      <c r="A226" s="11"/>
      <c r="B226" s="11"/>
      <c r="C226" s="11"/>
      <c r="D226" s="11"/>
      <c r="E226" s="12"/>
      <c r="F226" s="12"/>
      <c r="G226" s="12"/>
      <c r="H226" s="12"/>
      <c r="I226" s="12"/>
      <c r="J226" s="12"/>
      <c r="K226" s="12"/>
      <c r="L226" s="12"/>
      <c r="M226" s="11"/>
      <c r="Q226" s="1" t="s">
        <v>339</v>
      </c>
    </row>
    <row r="227" spans="1:48" ht="30" customHeight="1">
      <c r="A227" s="11"/>
      <c r="B227" s="11"/>
      <c r="C227" s="11"/>
      <c r="D227" s="11"/>
      <c r="E227" s="12"/>
      <c r="F227" s="12"/>
      <c r="G227" s="12"/>
      <c r="H227" s="12"/>
      <c r="I227" s="12"/>
      <c r="J227" s="12"/>
      <c r="K227" s="12"/>
      <c r="L227" s="12"/>
      <c r="M227" s="11"/>
      <c r="Q227" s="1" t="s">
        <v>339</v>
      </c>
    </row>
    <row r="228" spans="1:48" ht="30" customHeight="1">
      <c r="A228" s="11"/>
      <c r="B228" s="11"/>
      <c r="C228" s="11"/>
      <c r="D228" s="11"/>
      <c r="E228" s="12"/>
      <c r="F228" s="12"/>
      <c r="G228" s="12"/>
      <c r="H228" s="12"/>
      <c r="I228" s="12"/>
      <c r="J228" s="12"/>
      <c r="K228" s="12"/>
      <c r="L228" s="12"/>
      <c r="M228" s="11"/>
      <c r="Q228" s="1" t="s">
        <v>339</v>
      </c>
    </row>
    <row r="229" spans="1:48" ht="30" customHeight="1">
      <c r="A229" s="11"/>
      <c r="B229" s="11"/>
      <c r="C229" s="11"/>
      <c r="D229" s="11"/>
      <c r="E229" s="12"/>
      <c r="F229" s="12"/>
      <c r="G229" s="12"/>
      <c r="H229" s="12"/>
      <c r="I229" s="12"/>
      <c r="J229" s="12"/>
      <c r="K229" s="12"/>
      <c r="L229" s="12"/>
      <c r="M229" s="11"/>
      <c r="Q229" s="1" t="s">
        <v>339</v>
      </c>
    </row>
    <row r="230" spans="1:48" ht="30" customHeight="1">
      <c r="A230" s="13" t="s">
        <v>120</v>
      </c>
      <c r="B230" s="11"/>
      <c r="C230" s="11"/>
      <c r="D230" s="11"/>
      <c r="E230" s="12"/>
      <c r="F230" s="12">
        <f>SUMIF(Q183:Q229,"010108",F183:F229)</f>
        <v>0</v>
      </c>
      <c r="G230" s="12"/>
      <c r="H230" s="12">
        <f>SUMIF(Q183:Q229,"010108",H183:H229)</f>
        <v>0</v>
      </c>
      <c r="I230" s="12"/>
      <c r="J230" s="12">
        <f>SUMIF(Q183:Q229,"010108",J183:J229)</f>
        <v>0</v>
      </c>
      <c r="K230" s="12"/>
      <c r="L230" s="12">
        <f>SUMIF(Q183:Q229,"010108",L183:L229)</f>
        <v>0</v>
      </c>
      <c r="M230" s="11"/>
      <c r="N230" t="s">
        <v>121</v>
      </c>
    </row>
    <row r="231" spans="1:48" ht="30" customHeight="1">
      <c r="A231" s="13" t="s">
        <v>629</v>
      </c>
      <c r="B231" s="13" t="s">
        <v>50</v>
      </c>
      <c r="C231" s="11"/>
      <c r="D231" s="11"/>
      <c r="E231" s="12"/>
      <c r="F231" s="12"/>
      <c r="G231" s="12"/>
      <c r="H231" s="12"/>
      <c r="I231" s="12"/>
      <c r="J231" s="12"/>
      <c r="K231" s="12"/>
      <c r="L231" s="12"/>
      <c r="M231" s="11"/>
      <c r="Q231" s="1" t="s">
        <v>463</v>
      </c>
    </row>
    <row r="232" spans="1:48" ht="30" customHeight="1">
      <c r="A232" s="13" t="s">
        <v>464</v>
      </c>
      <c r="B232" s="13" t="s">
        <v>465</v>
      </c>
      <c r="C232" s="13" t="s">
        <v>224</v>
      </c>
      <c r="D232" s="11">
        <v>1</v>
      </c>
      <c r="E232" s="12"/>
      <c r="F232" s="12"/>
      <c r="G232" s="12"/>
      <c r="H232" s="12"/>
      <c r="I232" s="12"/>
      <c r="J232" s="12"/>
      <c r="K232" s="12"/>
      <c r="L232" s="12"/>
      <c r="M232" s="13" t="s">
        <v>113</v>
      </c>
      <c r="N232" s="1" t="s">
        <v>466</v>
      </c>
      <c r="O232" s="1" t="s">
        <v>50</v>
      </c>
      <c r="P232" s="1" t="s">
        <v>50</v>
      </c>
      <c r="Q232" s="1" t="s">
        <v>463</v>
      </c>
      <c r="R232" s="1" t="s">
        <v>61</v>
      </c>
      <c r="S232" s="1" t="s">
        <v>61</v>
      </c>
      <c r="T232" s="1" t="s">
        <v>60</v>
      </c>
      <c r="AR232" s="1" t="s">
        <v>50</v>
      </c>
      <c r="AS232" s="1" t="s">
        <v>50</v>
      </c>
      <c r="AU232" s="1" t="s">
        <v>467</v>
      </c>
      <c r="AV232">
        <v>164</v>
      </c>
    </row>
    <row r="233" spans="1:48" ht="30" customHeight="1">
      <c r="A233" s="13" t="s">
        <v>464</v>
      </c>
      <c r="B233" s="13" t="s">
        <v>468</v>
      </c>
      <c r="C233" s="13" t="s">
        <v>92</v>
      </c>
      <c r="D233" s="11">
        <v>1</v>
      </c>
      <c r="E233" s="12"/>
      <c r="F233" s="12"/>
      <c r="G233" s="12"/>
      <c r="H233" s="12"/>
      <c r="I233" s="12"/>
      <c r="J233" s="12"/>
      <c r="K233" s="12"/>
      <c r="L233" s="12"/>
      <c r="M233" s="13" t="s">
        <v>113</v>
      </c>
      <c r="N233" s="1" t="s">
        <v>469</v>
      </c>
      <c r="O233" s="1" t="s">
        <v>50</v>
      </c>
      <c r="P233" s="1" t="s">
        <v>50</v>
      </c>
      <c r="Q233" s="1" t="s">
        <v>463</v>
      </c>
      <c r="R233" s="1" t="s">
        <v>61</v>
      </c>
      <c r="S233" s="1" t="s">
        <v>61</v>
      </c>
      <c r="T233" s="1" t="s">
        <v>60</v>
      </c>
      <c r="AR233" s="1" t="s">
        <v>50</v>
      </c>
      <c r="AS233" s="1" t="s">
        <v>50</v>
      </c>
      <c r="AU233" s="1" t="s">
        <v>470</v>
      </c>
      <c r="AV233">
        <v>165</v>
      </c>
    </row>
    <row r="234" spans="1:48" ht="30" customHeight="1">
      <c r="A234" s="13" t="s">
        <v>471</v>
      </c>
      <c r="B234" s="13" t="s">
        <v>472</v>
      </c>
      <c r="C234" s="13" t="s">
        <v>224</v>
      </c>
      <c r="D234" s="11">
        <v>1</v>
      </c>
      <c r="E234" s="12"/>
      <c r="F234" s="12"/>
      <c r="G234" s="12"/>
      <c r="H234" s="12"/>
      <c r="I234" s="12"/>
      <c r="J234" s="12"/>
      <c r="K234" s="12"/>
      <c r="L234" s="12"/>
      <c r="M234" s="13" t="s">
        <v>113</v>
      </c>
      <c r="N234" s="1" t="s">
        <v>473</v>
      </c>
      <c r="O234" s="1" t="s">
        <v>50</v>
      </c>
      <c r="P234" s="1" t="s">
        <v>50</v>
      </c>
      <c r="Q234" s="1" t="s">
        <v>463</v>
      </c>
      <c r="R234" s="1" t="s">
        <v>61</v>
      </c>
      <c r="S234" s="1" t="s">
        <v>61</v>
      </c>
      <c r="T234" s="1" t="s">
        <v>60</v>
      </c>
      <c r="AR234" s="1" t="s">
        <v>50</v>
      </c>
      <c r="AS234" s="1" t="s">
        <v>50</v>
      </c>
      <c r="AU234" s="1" t="s">
        <v>474</v>
      </c>
      <c r="AV234">
        <v>166</v>
      </c>
    </row>
    <row r="235" spans="1:48" ht="30" customHeight="1">
      <c r="A235" s="13" t="s">
        <v>471</v>
      </c>
      <c r="B235" s="13" t="s">
        <v>468</v>
      </c>
      <c r="C235" s="13" t="s">
        <v>92</v>
      </c>
      <c r="D235" s="11">
        <v>1</v>
      </c>
      <c r="E235" s="12"/>
      <c r="F235" s="12"/>
      <c r="G235" s="12"/>
      <c r="H235" s="12"/>
      <c r="I235" s="12"/>
      <c r="J235" s="12"/>
      <c r="K235" s="12"/>
      <c r="L235" s="12"/>
      <c r="M235" s="13" t="s">
        <v>113</v>
      </c>
      <c r="N235" s="1" t="s">
        <v>475</v>
      </c>
      <c r="O235" s="1" t="s">
        <v>50</v>
      </c>
      <c r="P235" s="1" t="s">
        <v>50</v>
      </c>
      <c r="Q235" s="1" t="s">
        <v>463</v>
      </c>
      <c r="R235" s="1" t="s">
        <v>61</v>
      </c>
      <c r="S235" s="1" t="s">
        <v>61</v>
      </c>
      <c r="T235" s="1" t="s">
        <v>60</v>
      </c>
      <c r="AR235" s="1" t="s">
        <v>50</v>
      </c>
      <c r="AS235" s="1" t="s">
        <v>50</v>
      </c>
      <c r="AU235" s="1" t="s">
        <v>476</v>
      </c>
      <c r="AV235">
        <v>167</v>
      </c>
    </row>
    <row r="236" spans="1:48" ht="30" customHeight="1">
      <c r="A236" s="13" t="s">
        <v>477</v>
      </c>
      <c r="B236" s="13" t="s">
        <v>50</v>
      </c>
      <c r="C236" s="13" t="s">
        <v>92</v>
      </c>
      <c r="D236" s="11">
        <v>4</v>
      </c>
      <c r="E236" s="12"/>
      <c r="F236" s="12"/>
      <c r="G236" s="12"/>
      <c r="H236" s="12"/>
      <c r="I236" s="12"/>
      <c r="J236" s="12"/>
      <c r="K236" s="12"/>
      <c r="L236" s="12"/>
      <c r="M236" s="13" t="s">
        <v>113</v>
      </c>
      <c r="N236" s="1" t="s">
        <v>478</v>
      </c>
      <c r="O236" s="1" t="s">
        <v>50</v>
      </c>
      <c r="P236" s="1" t="s">
        <v>50</v>
      </c>
      <c r="Q236" s="1" t="s">
        <v>463</v>
      </c>
      <c r="R236" s="1" t="s">
        <v>61</v>
      </c>
      <c r="S236" s="1" t="s">
        <v>61</v>
      </c>
      <c r="T236" s="1" t="s">
        <v>60</v>
      </c>
      <c r="AR236" s="1" t="s">
        <v>50</v>
      </c>
      <c r="AS236" s="1" t="s">
        <v>50</v>
      </c>
      <c r="AU236" s="1" t="s">
        <v>479</v>
      </c>
      <c r="AV236">
        <v>88</v>
      </c>
    </row>
    <row r="237" spans="1:48" ht="30" customHeight="1">
      <c r="A237" s="13" t="s">
        <v>480</v>
      </c>
      <c r="B237" s="13" t="s">
        <v>50</v>
      </c>
      <c r="C237" s="13" t="s">
        <v>133</v>
      </c>
      <c r="D237" s="11">
        <v>1</v>
      </c>
      <c r="E237" s="12"/>
      <c r="F237" s="12"/>
      <c r="G237" s="12"/>
      <c r="H237" s="12"/>
      <c r="I237" s="12"/>
      <c r="J237" s="12"/>
      <c r="K237" s="12"/>
      <c r="L237" s="12"/>
      <c r="M237" s="13" t="s">
        <v>113</v>
      </c>
      <c r="N237" s="1" t="s">
        <v>481</v>
      </c>
      <c r="O237" s="1" t="s">
        <v>50</v>
      </c>
      <c r="P237" s="1" t="s">
        <v>50</v>
      </c>
      <c r="Q237" s="1" t="s">
        <v>463</v>
      </c>
      <c r="R237" s="1" t="s">
        <v>61</v>
      </c>
      <c r="S237" s="1" t="s">
        <v>61</v>
      </c>
      <c r="T237" s="1" t="s">
        <v>60</v>
      </c>
      <c r="AR237" s="1" t="s">
        <v>50</v>
      </c>
      <c r="AS237" s="1" t="s">
        <v>50</v>
      </c>
      <c r="AU237" s="1" t="s">
        <v>482</v>
      </c>
      <c r="AV237">
        <v>168</v>
      </c>
    </row>
    <row r="238" spans="1:48" ht="30" customHeight="1">
      <c r="A238" s="13" t="s">
        <v>483</v>
      </c>
      <c r="B238" s="13" t="s">
        <v>50</v>
      </c>
      <c r="C238" s="13" t="s">
        <v>92</v>
      </c>
      <c r="D238" s="11">
        <v>1</v>
      </c>
      <c r="E238" s="12"/>
      <c r="F238" s="12"/>
      <c r="G238" s="12"/>
      <c r="H238" s="12"/>
      <c r="I238" s="12"/>
      <c r="J238" s="12"/>
      <c r="K238" s="12"/>
      <c r="L238" s="12"/>
      <c r="M238" s="13" t="s">
        <v>113</v>
      </c>
      <c r="N238" s="1" t="s">
        <v>484</v>
      </c>
      <c r="O238" s="1" t="s">
        <v>50</v>
      </c>
      <c r="P238" s="1" t="s">
        <v>50</v>
      </c>
      <c r="Q238" s="1" t="s">
        <v>463</v>
      </c>
      <c r="R238" s="1" t="s">
        <v>61</v>
      </c>
      <c r="S238" s="1" t="s">
        <v>61</v>
      </c>
      <c r="T238" s="1" t="s">
        <v>60</v>
      </c>
      <c r="AR238" s="1" t="s">
        <v>50</v>
      </c>
      <c r="AS238" s="1" t="s">
        <v>50</v>
      </c>
      <c r="AU238" s="1" t="s">
        <v>485</v>
      </c>
      <c r="AV238">
        <v>169</v>
      </c>
    </row>
    <row r="239" spans="1:48" ht="30" customHeight="1">
      <c r="A239" s="76" t="s">
        <v>666</v>
      </c>
      <c r="B239" s="13" t="s">
        <v>667</v>
      </c>
      <c r="C239" s="13" t="s">
        <v>92</v>
      </c>
      <c r="D239" s="11">
        <v>6</v>
      </c>
      <c r="E239" s="12"/>
      <c r="F239" s="12"/>
      <c r="G239" s="12"/>
      <c r="H239" s="12"/>
      <c r="I239" s="12"/>
      <c r="J239" s="12"/>
      <c r="K239" s="12"/>
      <c r="L239" s="12"/>
      <c r="M239" s="13" t="s">
        <v>113</v>
      </c>
      <c r="N239" s="1" t="s">
        <v>484</v>
      </c>
      <c r="O239" s="1" t="s">
        <v>50</v>
      </c>
      <c r="P239" s="1" t="s">
        <v>50</v>
      </c>
      <c r="Q239" s="1" t="s">
        <v>463</v>
      </c>
      <c r="R239" s="1" t="s">
        <v>61</v>
      </c>
      <c r="S239" s="1" t="s">
        <v>61</v>
      </c>
      <c r="T239" s="1" t="s">
        <v>60</v>
      </c>
      <c r="AR239" s="1" t="s">
        <v>50</v>
      </c>
      <c r="AS239" s="1" t="s">
        <v>50</v>
      </c>
      <c r="AU239" s="1" t="s">
        <v>485</v>
      </c>
      <c r="AV239">
        <v>169</v>
      </c>
    </row>
    <row r="240" spans="1:48" ht="30" customHeight="1">
      <c r="A240" s="77"/>
      <c r="B240" s="13" t="s">
        <v>668</v>
      </c>
      <c r="C240" s="13" t="s">
        <v>92</v>
      </c>
      <c r="D240" s="11">
        <v>1</v>
      </c>
      <c r="E240" s="12"/>
      <c r="F240" s="12"/>
      <c r="G240" s="12"/>
      <c r="H240" s="12"/>
      <c r="I240" s="12"/>
      <c r="J240" s="12"/>
      <c r="K240" s="12"/>
      <c r="L240" s="12"/>
      <c r="M240" s="13" t="s">
        <v>113</v>
      </c>
      <c r="N240" s="1" t="s">
        <v>484</v>
      </c>
      <c r="O240" s="1" t="s">
        <v>50</v>
      </c>
      <c r="P240" s="1" t="s">
        <v>50</v>
      </c>
      <c r="Q240" s="1" t="s">
        <v>463</v>
      </c>
      <c r="R240" s="1" t="s">
        <v>61</v>
      </c>
      <c r="S240" s="1" t="s">
        <v>61</v>
      </c>
      <c r="T240" s="1" t="s">
        <v>60</v>
      </c>
      <c r="AR240" s="1" t="s">
        <v>50</v>
      </c>
      <c r="AS240" s="1" t="s">
        <v>50</v>
      </c>
      <c r="AU240" s="1" t="s">
        <v>485</v>
      </c>
      <c r="AV240">
        <v>169</v>
      </c>
    </row>
    <row r="241" spans="1:48" ht="30" customHeight="1">
      <c r="A241" s="76" t="s">
        <v>669</v>
      </c>
      <c r="B241" s="13" t="s">
        <v>670</v>
      </c>
      <c r="C241" s="13" t="s">
        <v>92</v>
      </c>
      <c r="D241" s="11">
        <v>6</v>
      </c>
      <c r="E241" s="12"/>
      <c r="F241" s="12"/>
      <c r="G241" s="12"/>
      <c r="H241" s="12"/>
      <c r="I241" s="12"/>
      <c r="J241" s="12"/>
      <c r="K241" s="12"/>
      <c r="L241" s="12"/>
      <c r="M241" s="13" t="s">
        <v>113</v>
      </c>
      <c r="N241" s="1" t="s">
        <v>484</v>
      </c>
      <c r="O241" s="1" t="s">
        <v>50</v>
      </c>
      <c r="P241" s="1" t="s">
        <v>50</v>
      </c>
      <c r="Q241" s="1" t="s">
        <v>463</v>
      </c>
      <c r="R241" s="1" t="s">
        <v>61</v>
      </c>
      <c r="S241" s="1" t="s">
        <v>61</v>
      </c>
      <c r="T241" s="1" t="s">
        <v>60</v>
      </c>
      <c r="AR241" s="1" t="s">
        <v>50</v>
      </c>
      <c r="AS241" s="1" t="s">
        <v>50</v>
      </c>
      <c r="AU241" s="1" t="s">
        <v>485</v>
      </c>
      <c r="AV241">
        <v>169</v>
      </c>
    </row>
    <row r="242" spans="1:48" ht="30" customHeight="1">
      <c r="A242" s="77"/>
      <c r="B242" s="13" t="s">
        <v>671</v>
      </c>
      <c r="C242" s="13" t="s">
        <v>92</v>
      </c>
      <c r="D242" s="11">
        <v>1</v>
      </c>
      <c r="E242" s="12"/>
      <c r="F242" s="12"/>
      <c r="G242" s="12"/>
      <c r="H242" s="12"/>
      <c r="I242" s="12"/>
      <c r="J242" s="12"/>
      <c r="K242" s="12"/>
      <c r="L242" s="12"/>
      <c r="M242" s="13" t="s">
        <v>113</v>
      </c>
      <c r="N242" s="1" t="s">
        <v>484</v>
      </c>
      <c r="O242" s="1" t="s">
        <v>50</v>
      </c>
      <c r="P242" s="1" t="s">
        <v>50</v>
      </c>
      <c r="Q242" s="1" t="s">
        <v>463</v>
      </c>
      <c r="R242" s="1" t="s">
        <v>61</v>
      </c>
      <c r="S242" s="1" t="s">
        <v>61</v>
      </c>
      <c r="T242" s="1" t="s">
        <v>60</v>
      </c>
      <c r="AR242" s="1" t="s">
        <v>50</v>
      </c>
      <c r="AS242" s="1" t="s">
        <v>50</v>
      </c>
      <c r="AU242" s="1" t="s">
        <v>485</v>
      </c>
      <c r="AV242">
        <v>169</v>
      </c>
    </row>
    <row r="243" spans="1:48" ht="30" customHeight="1">
      <c r="A243" s="76" t="s">
        <v>674</v>
      </c>
      <c r="B243" s="13" t="s">
        <v>672</v>
      </c>
      <c r="C243" s="13" t="s">
        <v>92</v>
      </c>
      <c r="D243" s="11">
        <v>4</v>
      </c>
      <c r="E243" s="12"/>
      <c r="F243" s="12"/>
      <c r="G243" s="12"/>
      <c r="H243" s="12"/>
      <c r="I243" s="12"/>
      <c r="J243" s="12"/>
      <c r="K243" s="12"/>
      <c r="L243" s="12"/>
      <c r="M243" s="13" t="s">
        <v>113</v>
      </c>
      <c r="N243" s="1" t="s">
        <v>484</v>
      </c>
      <c r="O243" s="1" t="s">
        <v>50</v>
      </c>
      <c r="P243" s="1" t="s">
        <v>50</v>
      </c>
      <c r="Q243" s="1" t="s">
        <v>463</v>
      </c>
      <c r="R243" s="1" t="s">
        <v>61</v>
      </c>
      <c r="S243" s="1" t="s">
        <v>61</v>
      </c>
      <c r="T243" s="1" t="s">
        <v>60</v>
      </c>
      <c r="AR243" s="1" t="s">
        <v>50</v>
      </c>
      <c r="AS243" s="1" t="s">
        <v>50</v>
      </c>
      <c r="AU243" s="1" t="s">
        <v>485</v>
      </c>
      <c r="AV243">
        <v>169</v>
      </c>
    </row>
    <row r="244" spans="1:48" ht="30" customHeight="1">
      <c r="A244" s="77"/>
      <c r="B244" s="13" t="s">
        <v>673</v>
      </c>
      <c r="C244" s="13" t="s">
        <v>92</v>
      </c>
      <c r="D244" s="11">
        <v>1</v>
      </c>
      <c r="E244" s="12"/>
      <c r="F244" s="12"/>
      <c r="G244" s="12"/>
      <c r="H244" s="12"/>
      <c r="I244" s="12"/>
      <c r="J244" s="12"/>
      <c r="K244" s="12"/>
      <c r="L244" s="12"/>
      <c r="M244" s="13" t="s">
        <v>113</v>
      </c>
      <c r="N244" s="1" t="s">
        <v>484</v>
      </c>
      <c r="O244" s="1" t="s">
        <v>50</v>
      </c>
      <c r="P244" s="1" t="s">
        <v>50</v>
      </c>
      <c r="Q244" s="1" t="s">
        <v>463</v>
      </c>
      <c r="R244" s="1" t="s">
        <v>61</v>
      </c>
      <c r="S244" s="1" t="s">
        <v>61</v>
      </c>
      <c r="T244" s="1" t="s">
        <v>60</v>
      </c>
      <c r="AR244" s="1" t="s">
        <v>50</v>
      </c>
      <c r="AS244" s="1" t="s">
        <v>50</v>
      </c>
      <c r="AU244" s="1" t="s">
        <v>485</v>
      </c>
      <c r="AV244">
        <v>169</v>
      </c>
    </row>
    <row r="245" spans="1:48" ht="30" customHeight="1">
      <c r="A245" s="76" t="s">
        <v>677</v>
      </c>
      <c r="B245" s="13" t="s">
        <v>675</v>
      </c>
      <c r="C245" s="13" t="s">
        <v>92</v>
      </c>
      <c r="D245" s="11">
        <v>4</v>
      </c>
      <c r="E245" s="12"/>
      <c r="F245" s="12"/>
      <c r="G245" s="12"/>
      <c r="H245" s="12"/>
      <c r="I245" s="12"/>
      <c r="J245" s="12"/>
      <c r="K245" s="12"/>
      <c r="L245" s="12"/>
      <c r="M245" s="13" t="s">
        <v>113</v>
      </c>
      <c r="N245" s="1" t="s">
        <v>484</v>
      </c>
      <c r="O245" s="1" t="s">
        <v>50</v>
      </c>
      <c r="P245" s="1" t="s">
        <v>50</v>
      </c>
      <c r="Q245" s="1" t="s">
        <v>463</v>
      </c>
      <c r="R245" s="1" t="s">
        <v>61</v>
      </c>
      <c r="S245" s="1" t="s">
        <v>61</v>
      </c>
      <c r="T245" s="1" t="s">
        <v>60</v>
      </c>
      <c r="AR245" s="1" t="s">
        <v>50</v>
      </c>
      <c r="AS245" s="1" t="s">
        <v>50</v>
      </c>
      <c r="AU245" s="1" t="s">
        <v>485</v>
      </c>
      <c r="AV245">
        <v>169</v>
      </c>
    </row>
    <row r="246" spans="1:48" ht="30" customHeight="1">
      <c r="A246" s="77"/>
      <c r="B246" s="13" t="s">
        <v>676</v>
      </c>
      <c r="C246" s="13" t="s">
        <v>92</v>
      </c>
      <c r="D246" s="11">
        <v>1</v>
      </c>
      <c r="E246" s="12"/>
      <c r="F246" s="12"/>
      <c r="G246" s="12"/>
      <c r="H246" s="12"/>
      <c r="I246" s="12"/>
      <c r="J246" s="12"/>
      <c r="K246" s="12"/>
      <c r="L246" s="12"/>
      <c r="M246" s="13" t="s">
        <v>113</v>
      </c>
      <c r="N246" s="1" t="s">
        <v>484</v>
      </c>
      <c r="O246" s="1" t="s">
        <v>50</v>
      </c>
      <c r="P246" s="1" t="s">
        <v>50</v>
      </c>
      <c r="Q246" s="1" t="s">
        <v>463</v>
      </c>
      <c r="R246" s="1" t="s">
        <v>61</v>
      </c>
      <c r="S246" s="1" t="s">
        <v>61</v>
      </c>
      <c r="T246" s="1" t="s">
        <v>60</v>
      </c>
      <c r="AR246" s="1" t="s">
        <v>50</v>
      </c>
      <c r="AS246" s="1" t="s">
        <v>50</v>
      </c>
      <c r="AU246" s="1" t="s">
        <v>485</v>
      </c>
      <c r="AV246">
        <v>169</v>
      </c>
    </row>
    <row r="247" spans="1:48" ht="30" customHeight="1">
      <c r="A247" s="28" t="s">
        <v>678</v>
      </c>
      <c r="B247" s="13" t="s">
        <v>679</v>
      </c>
      <c r="C247" s="13" t="s">
        <v>92</v>
      </c>
      <c r="D247" s="11">
        <v>2</v>
      </c>
      <c r="E247" s="12"/>
      <c r="F247" s="12"/>
      <c r="G247" s="12"/>
      <c r="H247" s="12"/>
      <c r="I247" s="12"/>
      <c r="J247" s="12"/>
      <c r="K247" s="12"/>
      <c r="L247" s="12"/>
      <c r="M247" s="13" t="s">
        <v>113</v>
      </c>
      <c r="N247" s="1" t="s">
        <v>484</v>
      </c>
      <c r="O247" s="1" t="s">
        <v>50</v>
      </c>
      <c r="P247" s="1" t="s">
        <v>50</v>
      </c>
      <c r="Q247" s="1" t="s">
        <v>463</v>
      </c>
      <c r="R247" s="1" t="s">
        <v>61</v>
      </c>
      <c r="S247" s="1" t="s">
        <v>61</v>
      </c>
      <c r="T247" s="1" t="s">
        <v>60</v>
      </c>
      <c r="AR247" s="1" t="s">
        <v>50</v>
      </c>
      <c r="AS247" s="1" t="s">
        <v>50</v>
      </c>
      <c r="AU247" s="1" t="s">
        <v>485</v>
      </c>
      <c r="AV247">
        <v>169</v>
      </c>
    </row>
    <row r="248" spans="1:48" ht="30" customHeight="1">
      <c r="A248" s="11"/>
      <c r="B248" s="11"/>
      <c r="C248" s="11"/>
      <c r="D248" s="11"/>
      <c r="E248" s="12"/>
      <c r="F248" s="12"/>
      <c r="G248" s="12"/>
      <c r="H248" s="12"/>
      <c r="I248" s="12"/>
      <c r="J248" s="12"/>
      <c r="K248" s="12"/>
      <c r="L248" s="12"/>
      <c r="M248" s="11"/>
      <c r="Q248" s="1" t="s">
        <v>463</v>
      </c>
    </row>
    <row r="249" spans="1:48" ht="30" customHeight="1">
      <c r="A249" s="11"/>
      <c r="B249" s="11"/>
      <c r="C249" s="11"/>
      <c r="D249" s="11"/>
      <c r="E249" s="12"/>
      <c r="F249" s="12"/>
      <c r="G249" s="12"/>
      <c r="H249" s="12"/>
      <c r="I249" s="12"/>
      <c r="J249" s="12"/>
      <c r="K249" s="12"/>
      <c r="L249" s="12"/>
      <c r="M249" s="11"/>
      <c r="Q249" s="1" t="s">
        <v>463</v>
      </c>
    </row>
    <row r="250" spans="1:48" ht="30" customHeight="1">
      <c r="A250" s="11"/>
      <c r="B250" s="11"/>
      <c r="C250" s="11"/>
      <c r="D250" s="11"/>
      <c r="E250" s="12"/>
      <c r="F250" s="12"/>
      <c r="G250" s="12"/>
      <c r="H250" s="12"/>
      <c r="I250" s="12"/>
      <c r="J250" s="12"/>
      <c r="K250" s="12"/>
      <c r="L250" s="12"/>
      <c r="M250" s="11"/>
      <c r="Q250" s="1" t="s">
        <v>463</v>
      </c>
    </row>
    <row r="251" spans="1:48" ht="30" customHeight="1">
      <c r="A251" s="11"/>
      <c r="B251" s="11"/>
      <c r="C251" s="11"/>
      <c r="D251" s="11"/>
      <c r="E251" s="12"/>
      <c r="F251" s="12"/>
      <c r="G251" s="12"/>
      <c r="H251" s="12"/>
      <c r="I251" s="12"/>
      <c r="J251" s="12"/>
      <c r="K251" s="12"/>
      <c r="L251" s="12"/>
      <c r="M251" s="11"/>
      <c r="Q251" s="1" t="s">
        <v>463</v>
      </c>
    </row>
    <row r="252" spans="1:48" ht="30" customHeight="1">
      <c r="A252" s="11"/>
      <c r="B252" s="11"/>
      <c r="C252" s="11"/>
      <c r="D252" s="11"/>
      <c r="E252" s="12"/>
      <c r="F252" s="12"/>
      <c r="G252" s="12"/>
      <c r="H252" s="12"/>
      <c r="I252" s="12"/>
      <c r="J252" s="12"/>
      <c r="K252" s="12"/>
      <c r="L252" s="12"/>
      <c r="M252" s="11"/>
      <c r="Q252" s="1" t="s">
        <v>463</v>
      </c>
    </row>
    <row r="253" spans="1:48" ht="30" customHeight="1">
      <c r="A253" s="11"/>
      <c r="B253" s="11"/>
      <c r="C253" s="11"/>
      <c r="D253" s="11"/>
      <c r="E253" s="12"/>
      <c r="F253" s="12"/>
      <c r="G253" s="12"/>
      <c r="H253" s="12"/>
      <c r="I253" s="12"/>
      <c r="J253" s="12"/>
      <c r="K253" s="12"/>
      <c r="L253" s="12"/>
      <c r="M253" s="11"/>
      <c r="Q253" s="1" t="s">
        <v>463</v>
      </c>
    </row>
    <row r="254" spans="1:48" ht="30" customHeight="1">
      <c r="A254" s="11"/>
      <c r="B254" s="11"/>
      <c r="C254" s="11"/>
      <c r="D254" s="11"/>
      <c r="E254" s="12"/>
      <c r="F254" s="12"/>
      <c r="G254" s="12"/>
      <c r="H254" s="12"/>
      <c r="I254" s="12"/>
      <c r="J254" s="12"/>
      <c r="K254" s="12"/>
      <c r="L254" s="12"/>
      <c r="M254" s="11"/>
      <c r="Q254" s="1" t="s">
        <v>463</v>
      </c>
    </row>
    <row r="255" spans="1:48" ht="30" customHeight="1">
      <c r="A255" s="11"/>
      <c r="B255" s="11"/>
      <c r="C255" s="11"/>
      <c r="D255" s="11"/>
      <c r="E255" s="12"/>
      <c r="F255" s="12"/>
      <c r="G255" s="12"/>
      <c r="H255" s="12"/>
      <c r="I255" s="12"/>
      <c r="J255" s="12"/>
      <c r="K255" s="12"/>
      <c r="L255" s="12"/>
      <c r="M255" s="11"/>
      <c r="Q255" s="1" t="s">
        <v>463</v>
      </c>
    </row>
    <row r="256" spans="1:48" ht="30" customHeight="1">
      <c r="A256" s="11"/>
      <c r="B256" s="11"/>
      <c r="C256" s="11"/>
      <c r="D256" s="11"/>
      <c r="E256" s="12"/>
      <c r="F256" s="12"/>
      <c r="G256" s="12"/>
      <c r="H256" s="12"/>
      <c r="I256" s="12"/>
      <c r="J256" s="12"/>
      <c r="K256" s="12"/>
      <c r="L256" s="12"/>
      <c r="M256" s="11"/>
      <c r="Q256" s="1" t="s">
        <v>463</v>
      </c>
    </row>
    <row r="257" spans="1:48" ht="30" customHeight="1">
      <c r="A257" s="11"/>
      <c r="B257" s="11"/>
      <c r="C257" s="11"/>
      <c r="D257" s="11"/>
      <c r="E257" s="12"/>
      <c r="F257" s="12"/>
      <c r="G257" s="12"/>
      <c r="H257" s="12"/>
      <c r="I257" s="12"/>
      <c r="J257" s="12"/>
      <c r="K257" s="12"/>
      <c r="L257" s="12"/>
      <c r="M257" s="11"/>
      <c r="Q257" s="1" t="s">
        <v>463</v>
      </c>
    </row>
    <row r="258" spans="1:48" ht="30" customHeight="1">
      <c r="A258" s="11"/>
      <c r="B258" s="11"/>
      <c r="C258" s="11"/>
      <c r="D258" s="11"/>
      <c r="E258" s="12"/>
      <c r="F258" s="12"/>
      <c r="G258" s="12"/>
      <c r="H258" s="12"/>
      <c r="I258" s="12"/>
      <c r="J258" s="12"/>
      <c r="K258" s="12"/>
      <c r="L258" s="12"/>
      <c r="M258" s="11"/>
      <c r="Q258" s="1" t="s">
        <v>463</v>
      </c>
    </row>
    <row r="259" spans="1:48" ht="30" customHeight="1">
      <c r="A259" s="11"/>
      <c r="B259" s="11"/>
      <c r="C259" s="11"/>
      <c r="D259" s="11"/>
      <c r="E259" s="12"/>
      <c r="F259" s="12"/>
      <c r="G259" s="12"/>
      <c r="H259" s="12"/>
      <c r="I259" s="12"/>
      <c r="J259" s="12"/>
      <c r="K259" s="12"/>
      <c r="L259" s="12"/>
      <c r="M259" s="11"/>
      <c r="Q259" s="1" t="s">
        <v>463</v>
      </c>
    </row>
    <row r="260" spans="1:48" ht="30" customHeight="1">
      <c r="A260" s="11"/>
      <c r="B260" s="11"/>
      <c r="C260" s="11"/>
      <c r="D260" s="11"/>
      <c r="E260" s="12"/>
      <c r="F260" s="12"/>
      <c r="G260" s="12"/>
      <c r="H260" s="12"/>
      <c r="I260" s="12"/>
      <c r="J260" s="12"/>
      <c r="K260" s="12"/>
      <c r="L260" s="12"/>
      <c r="M260" s="11"/>
      <c r="Q260" s="1" t="s">
        <v>463</v>
      </c>
    </row>
    <row r="261" spans="1:48" ht="30" customHeight="1">
      <c r="A261" s="11"/>
      <c r="B261" s="11"/>
      <c r="C261" s="11"/>
      <c r="D261" s="11"/>
      <c r="E261" s="12"/>
      <c r="F261" s="12"/>
      <c r="G261" s="12"/>
      <c r="H261" s="12"/>
      <c r="I261" s="12"/>
      <c r="J261" s="12"/>
      <c r="K261" s="12"/>
      <c r="L261" s="12"/>
      <c r="M261" s="11"/>
      <c r="Q261" s="1" t="s">
        <v>463</v>
      </c>
    </row>
    <row r="262" spans="1:48" ht="30" customHeight="1">
      <c r="A262" s="11"/>
      <c r="B262" s="11"/>
      <c r="C262" s="11"/>
      <c r="D262" s="11"/>
      <c r="E262" s="12"/>
      <c r="F262" s="12"/>
      <c r="G262" s="12"/>
      <c r="H262" s="12"/>
      <c r="I262" s="12"/>
      <c r="J262" s="12"/>
      <c r="K262" s="12"/>
      <c r="L262" s="12"/>
      <c r="M262" s="11"/>
      <c r="Q262" s="1" t="s">
        <v>463</v>
      </c>
    </row>
    <row r="263" spans="1:48" ht="30" customHeight="1">
      <c r="A263" s="13" t="s">
        <v>120</v>
      </c>
      <c r="B263" s="11"/>
      <c r="C263" s="11"/>
      <c r="D263" s="11"/>
      <c r="E263" s="12"/>
      <c r="F263" s="12">
        <f>SUMIF(Q232:Q262,"010109",F232:F262)</f>
        <v>0</v>
      </c>
      <c r="G263" s="12"/>
      <c r="H263" s="12">
        <f>SUMIF(Q232:Q262,"010109",H232:H262)</f>
        <v>0</v>
      </c>
      <c r="I263" s="12"/>
      <c r="J263" s="12">
        <f>SUMIF(Q232:Q262,"010109",J232:J262)</f>
        <v>0</v>
      </c>
      <c r="K263" s="12"/>
      <c r="L263" s="12">
        <f>SUMIF(Q232:Q262,"010109",L232:L262)</f>
        <v>0</v>
      </c>
      <c r="M263" s="11"/>
      <c r="N263" t="s">
        <v>121</v>
      </c>
    </row>
    <row r="264" spans="1:48" ht="30" customHeight="1">
      <c r="A264" s="13" t="s">
        <v>630</v>
      </c>
      <c r="B264" s="13" t="s">
        <v>50</v>
      </c>
      <c r="C264" s="11"/>
      <c r="D264" s="11"/>
      <c r="E264" s="12"/>
      <c r="F264" s="12"/>
      <c r="G264" s="12"/>
      <c r="H264" s="12"/>
      <c r="I264" s="12"/>
      <c r="J264" s="12"/>
      <c r="K264" s="12"/>
      <c r="L264" s="12"/>
      <c r="M264" s="11"/>
      <c r="Q264" s="1" t="s">
        <v>486</v>
      </c>
    </row>
    <row r="265" spans="1:48" ht="30" customHeight="1">
      <c r="A265" s="13" t="s">
        <v>487</v>
      </c>
      <c r="B265" s="13" t="s">
        <v>488</v>
      </c>
      <c r="C265" s="13" t="s">
        <v>57</v>
      </c>
      <c r="D265" s="11">
        <v>1</v>
      </c>
      <c r="E265" s="12"/>
      <c r="F265" s="12"/>
      <c r="G265" s="12"/>
      <c r="H265" s="12"/>
      <c r="I265" s="12"/>
      <c r="J265" s="12"/>
      <c r="K265" s="12"/>
      <c r="L265" s="12"/>
      <c r="M265" s="13" t="s">
        <v>113</v>
      </c>
      <c r="N265" s="1" t="s">
        <v>489</v>
      </c>
      <c r="O265" s="1" t="s">
        <v>50</v>
      </c>
      <c r="P265" s="1" t="s">
        <v>50</v>
      </c>
      <c r="Q265" s="1" t="s">
        <v>486</v>
      </c>
      <c r="R265" s="1" t="s">
        <v>61</v>
      </c>
      <c r="S265" s="1" t="s">
        <v>61</v>
      </c>
      <c r="T265" s="1" t="s">
        <v>60</v>
      </c>
      <c r="AR265" s="1" t="s">
        <v>50</v>
      </c>
      <c r="AS265" s="1" t="s">
        <v>50</v>
      </c>
      <c r="AU265" s="1" t="s">
        <v>490</v>
      </c>
      <c r="AV265">
        <v>154</v>
      </c>
    </row>
    <row r="266" spans="1:48" ht="30" customHeight="1">
      <c r="A266" s="13" t="s">
        <v>491</v>
      </c>
      <c r="B266" s="13" t="s">
        <v>492</v>
      </c>
      <c r="C266" s="13" t="s">
        <v>170</v>
      </c>
      <c r="D266" s="11">
        <v>53</v>
      </c>
      <c r="E266" s="12"/>
      <c r="F266" s="12"/>
      <c r="G266" s="12"/>
      <c r="H266" s="12"/>
      <c r="I266" s="12"/>
      <c r="J266" s="12"/>
      <c r="K266" s="12"/>
      <c r="L266" s="12"/>
      <c r="M266" s="13" t="s">
        <v>113</v>
      </c>
      <c r="N266" s="1" t="s">
        <v>493</v>
      </c>
      <c r="O266" s="1" t="s">
        <v>50</v>
      </c>
      <c r="P266" s="1" t="s">
        <v>50</v>
      </c>
      <c r="Q266" s="1" t="s">
        <v>486</v>
      </c>
      <c r="R266" s="1" t="s">
        <v>61</v>
      </c>
      <c r="S266" s="1" t="s">
        <v>61</v>
      </c>
      <c r="T266" s="1" t="s">
        <v>60</v>
      </c>
      <c r="AR266" s="1" t="s">
        <v>50</v>
      </c>
      <c r="AS266" s="1" t="s">
        <v>50</v>
      </c>
      <c r="AU266" s="1" t="s">
        <v>494</v>
      </c>
      <c r="AV266">
        <v>155</v>
      </c>
    </row>
    <row r="267" spans="1:48" ht="30" customHeight="1">
      <c r="A267" s="13" t="s">
        <v>480</v>
      </c>
      <c r="B267" s="13" t="s">
        <v>50</v>
      </c>
      <c r="C267" s="13" t="s">
        <v>133</v>
      </c>
      <c r="D267" s="11">
        <v>1</v>
      </c>
      <c r="E267" s="12"/>
      <c r="F267" s="12"/>
      <c r="G267" s="12"/>
      <c r="H267" s="12"/>
      <c r="I267" s="12"/>
      <c r="J267" s="12"/>
      <c r="K267" s="12"/>
      <c r="L267" s="12"/>
      <c r="M267" s="13" t="s">
        <v>113</v>
      </c>
      <c r="N267" s="1" t="s">
        <v>495</v>
      </c>
      <c r="O267" s="1" t="s">
        <v>50</v>
      </c>
      <c r="P267" s="1" t="s">
        <v>50</v>
      </c>
      <c r="Q267" s="1" t="s">
        <v>486</v>
      </c>
      <c r="R267" s="1" t="s">
        <v>61</v>
      </c>
      <c r="S267" s="1" t="s">
        <v>61</v>
      </c>
      <c r="T267" s="1" t="s">
        <v>60</v>
      </c>
      <c r="AR267" s="1" t="s">
        <v>50</v>
      </c>
      <c r="AS267" s="1" t="s">
        <v>50</v>
      </c>
      <c r="AU267" s="1" t="s">
        <v>496</v>
      </c>
      <c r="AV267">
        <v>156</v>
      </c>
    </row>
    <row r="268" spans="1:48" ht="30" customHeight="1">
      <c r="A268" s="13" t="s">
        <v>497</v>
      </c>
      <c r="B268" s="13" t="s">
        <v>50</v>
      </c>
      <c r="C268" s="13" t="s">
        <v>92</v>
      </c>
      <c r="D268" s="11">
        <v>1</v>
      </c>
      <c r="E268" s="12"/>
      <c r="F268" s="12"/>
      <c r="G268" s="12"/>
      <c r="H268" s="12"/>
      <c r="I268" s="12"/>
      <c r="J268" s="12"/>
      <c r="K268" s="12"/>
      <c r="L268" s="12"/>
      <c r="M268" s="13" t="s">
        <v>113</v>
      </c>
      <c r="N268" s="1" t="s">
        <v>498</v>
      </c>
      <c r="O268" s="1" t="s">
        <v>50</v>
      </c>
      <c r="P268" s="1" t="s">
        <v>50</v>
      </c>
      <c r="Q268" s="1" t="s">
        <v>486</v>
      </c>
      <c r="R268" s="1" t="s">
        <v>61</v>
      </c>
      <c r="S268" s="1" t="s">
        <v>61</v>
      </c>
      <c r="T268" s="1" t="s">
        <v>60</v>
      </c>
      <c r="AR268" s="1" t="s">
        <v>50</v>
      </c>
      <c r="AS268" s="1" t="s">
        <v>50</v>
      </c>
      <c r="AU268" s="1" t="s">
        <v>499</v>
      </c>
      <c r="AV268">
        <v>157</v>
      </c>
    </row>
    <row r="269" spans="1:48" ht="30" customHeight="1">
      <c r="A269" s="13" t="s">
        <v>500</v>
      </c>
      <c r="B269" s="13" t="s">
        <v>50</v>
      </c>
      <c r="C269" s="13" t="s">
        <v>133</v>
      </c>
      <c r="D269" s="11">
        <v>1</v>
      </c>
      <c r="E269" s="12"/>
      <c r="F269" s="12"/>
      <c r="G269" s="12"/>
      <c r="H269" s="12"/>
      <c r="I269" s="12"/>
      <c r="J269" s="12"/>
      <c r="K269" s="12"/>
      <c r="L269" s="12"/>
      <c r="M269" s="13" t="s">
        <v>113</v>
      </c>
      <c r="N269" s="1" t="s">
        <v>501</v>
      </c>
      <c r="O269" s="1" t="s">
        <v>50</v>
      </c>
      <c r="P269" s="1" t="s">
        <v>50</v>
      </c>
      <c r="Q269" s="1" t="s">
        <v>486</v>
      </c>
      <c r="R269" s="1" t="s">
        <v>61</v>
      </c>
      <c r="S269" s="1" t="s">
        <v>61</v>
      </c>
      <c r="T269" s="1" t="s">
        <v>60</v>
      </c>
      <c r="AR269" s="1" t="s">
        <v>50</v>
      </c>
      <c r="AS269" s="1" t="s">
        <v>50</v>
      </c>
      <c r="AU269" s="1" t="s">
        <v>502</v>
      </c>
      <c r="AV269">
        <v>158</v>
      </c>
    </row>
    <row r="270" spans="1:48" ht="30" customHeight="1">
      <c r="A270" s="13" t="s">
        <v>503</v>
      </c>
      <c r="B270" s="13" t="s">
        <v>50</v>
      </c>
      <c r="C270" s="13" t="s">
        <v>92</v>
      </c>
      <c r="D270" s="11">
        <v>5</v>
      </c>
      <c r="E270" s="12"/>
      <c r="F270" s="12"/>
      <c r="G270" s="12"/>
      <c r="H270" s="12"/>
      <c r="I270" s="12"/>
      <c r="J270" s="12"/>
      <c r="K270" s="12"/>
      <c r="L270" s="12"/>
      <c r="M270" s="13" t="s">
        <v>113</v>
      </c>
      <c r="N270" s="1" t="s">
        <v>504</v>
      </c>
      <c r="O270" s="1" t="s">
        <v>50</v>
      </c>
      <c r="P270" s="1" t="s">
        <v>50</v>
      </c>
      <c r="Q270" s="1" t="s">
        <v>486</v>
      </c>
      <c r="R270" s="1" t="s">
        <v>61</v>
      </c>
      <c r="S270" s="1" t="s">
        <v>61</v>
      </c>
      <c r="T270" s="1" t="s">
        <v>60</v>
      </c>
      <c r="AR270" s="1" t="s">
        <v>50</v>
      </c>
      <c r="AS270" s="1" t="s">
        <v>50</v>
      </c>
      <c r="AU270" s="1" t="s">
        <v>505</v>
      </c>
      <c r="AV270">
        <v>159</v>
      </c>
    </row>
    <row r="271" spans="1:48" ht="30" customHeight="1">
      <c r="A271" s="11"/>
      <c r="B271" s="11"/>
      <c r="C271" s="11"/>
      <c r="D271" s="11"/>
      <c r="E271" s="12"/>
      <c r="F271" s="12"/>
      <c r="G271" s="12"/>
      <c r="H271" s="12"/>
      <c r="I271" s="12"/>
      <c r="J271" s="12"/>
      <c r="K271" s="12"/>
      <c r="L271" s="12"/>
      <c r="M271" s="11"/>
      <c r="Q271" s="1" t="s">
        <v>486</v>
      </c>
    </row>
    <row r="272" spans="1:48" ht="30" customHeight="1">
      <c r="A272" s="11"/>
      <c r="B272" s="11"/>
      <c r="C272" s="11"/>
      <c r="D272" s="11"/>
      <c r="E272" s="12"/>
      <c r="F272" s="12"/>
      <c r="G272" s="12"/>
      <c r="H272" s="12"/>
      <c r="I272" s="12"/>
      <c r="J272" s="12"/>
      <c r="K272" s="12"/>
      <c r="L272" s="12"/>
      <c r="M272" s="11"/>
      <c r="Q272" s="1" t="s">
        <v>486</v>
      </c>
    </row>
    <row r="273" spans="1:17" ht="30" customHeight="1">
      <c r="A273" s="11"/>
      <c r="B273" s="11"/>
      <c r="C273" s="11"/>
      <c r="D273" s="11"/>
      <c r="E273" s="12"/>
      <c r="F273" s="12"/>
      <c r="G273" s="12"/>
      <c r="H273" s="12"/>
      <c r="I273" s="12"/>
      <c r="J273" s="12"/>
      <c r="K273" s="12"/>
      <c r="L273" s="12"/>
      <c r="M273" s="11"/>
      <c r="Q273" s="1" t="s">
        <v>486</v>
      </c>
    </row>
    <row r="274" spans="1:17" ht="30" customHeight="1">
      <c r="A274" s="11"/>
      <c r="B274" s="11"/>
      <c r="C274" s="11"/>
      <c r="D274" s="11"/>
      <c r="E274" s="12"/>
      <c r="F274" s="12"/>
      <c r="G274" s="12"/>
      <c r="H274" s="12"/>
      <c r="I274" s="12"/>
      <c r="J274" s="12"/>
      <c r="K274" s="12"/>
      <c r="L274" s="12"/>
      <c r="M274" s="11"/>
      <c r="Q274" s="1" t="s">
        <v>486</v>
      </c>
    </row>
    <row r="275" spans="1:17" ht="30" customHeight="1">
      <c r="A275" s="11"/>
      <c r="B275" s="11"/>
      <c r="C275" s="11"/>
      <c r="D275" s="11"/>
      <c r="E275" s="12"/>
      <c r="F275" s="12"/>
      <c r="G275" s="12"/>
      <c r="H275" s="12"/>
      <c r="I275" s="12"/>
      <c r="J275" s="12"/>
      <c r="K275" s="12"/>
      <c r="L275" s="12"/>
      <c r="M275" s="11"/>
      <c r="Q275" s="1" t="s">
        <v>486</v>
      </c>
    </row>
    <row r="276" spans="1:17" ht="30" customHeight="1">
      <c r="A276" s="11"/>
      <c r="B276" s="11"/>
      <c r="C276" s="11"/>
      <c r="D276" s="11"/>
      <c r="E276" s="12"/>
      <c r="F276" s="12"/>
      <c r="G276" s="12"/>
      <c r="H276" s="12"/>
      <c r="I276" s="12"/>
      <c r="J276" s="12"/>
      <c r="K276" s="12"/>
      <c r="L276" s="12"/>
      <c r="M276" s="11"/>
      <c r="Q276" s="1" t="s">
        <v>486</v>
      </c>
    </row>
    <row r="277" spans="1:17" ht="30" customHeight="1">
      <c r="A277" s="11"/>
      <c r="B277" s="11"/>
      <c r="C277" s="11"/>
      <c r="D277" s="11"/>
      <c r="E277" s="12"/>
      <c r="F277" s="12"/>
      <c r="G277" s="12"/>
      <c r="H277" s="12"/>
      <c r="I277" s="12"/>
      <c r="J277" s="12"/>
      <c r="K277" s="12"/>
      <c r="L277" s="12"/>
      <c r="M277" s="11"/>
      <c r="Q277" s="1" t="s">
        <v>486</v>
      </c>
    </row>
    <row r="278" spans="1:17" ht="30" customHeight="1">
      <c r="A278" s="11"/>
      <c r="B278" s="11"/>
      <c r="C278" s="11"/>
      <c r="D278" s="11"/>
      <c r="E278" s="12"/>
      <c r="F278" s="12"/>
      <c r="G278" s="12"/>
      <c r="H278" s="12"/>
      <c r="I278" s="12"/>
      <c r="J278" s="12"/>
      <c r="K278" s="12"/>
      <c r="L278" s="12"/>
      <c r="M278" s="11"/>
      <c r="Q278" s="1" t="s">
        <v>486</v>
      </c>
    </row>
    <row r="279" spans="1:17" ht="30" customHeight="1">
      <c r="A279" s="11"/>
      <c r="B279" s="11"/>
      <c r="C279" s="11"/>
      <c r="D279" s="11"/>
      <c r="E279" s="12"/>
      <c r="F279" s="12"/>
      <c r="G279" s="12"/>
      <c r="H279" s="12"/>
      <c r="I279" s="12"/>
      <c r="J279" s="12"/>
      <c r="K279" s="12"/>
      <c r="L279" s="12"/>
      <c r="M279" s="11"/>
      <c r="Q279" s="1" t="s">
        <v>486</v>
      </c>
    </row>
    <row r="280" spans="1:17" ht="30" customHeight="1">
      <c r="A280" s="11"/>
      <c r="B280" s="11"/>
      <c r="C280" s="11"/>
      <c r="D280" s="11"/>
      <c r="E280" s="12"/>
      <c r="F280" s="12"/>
      <c r="G280" s="12"/>
      <c r="H280" s="12"/>
      <c r="I280" s="12"/>
      <c r="J280" s="12"/>
      <c r="K280" s="12"/>
      <c r="L280" s="12"/>
      <c r="M280" s="11"/>
      <c r="Q280" s="1" t="s">
        <v>486</v>
      </c>
    </row>
    <row r="281" spans="1:17" ht="30" customHeight="1">
      <c r="A281" s="11"/>
      <c r="B281" s="11"/>
      <c r="C281" s="11"/>
      <c r="D281" s="11"/>
      <c r="E281" s="12"/>
      <c r="F281" s="12"/>
      <c r="G281" s="12"/>
      <c r="H281" s="12"/>
      <c r="I281" s="12"/>
      <c r="J281" s="12"/>
      <c r="K281" s="12"/>
      <c r="L281" s="12"/>
      <c r="M281" s="11"/>
      <c r="Q281" s="1" t="s">
        <v>486</v>
      </c>
    </row>
    <row r="282" spans="1:17" ht="30" customHeight="1">
      <c r="A282" s="11"/>
      <c r="B282" s="11"/>
      <c r="C282" s="11"/>
      <c r="D282" s="11"/>
      <c r="E282" s="12"/>
      <c r="F282" s="12"/>
      <c r="G282" s="12"/>
      <c r="H282" s="12"/>
      <c r="I282" s="12"/>
      <c r="J282" s="12"/>
      <c r="K282" s="12"/>
      <c r="L282" s="12"/>
      <c r="M282" s="11"/>
      <c r="Q282" s="1" t="s">
        <v>486</v>
      </c>
    </row>
    <row r="283" spans="1:17" ht="30" customHeight="1">
      <c r="A283" s="11"/>
      <c r="B283" s="11"/>
      <c r="C283" s="11"/>
      <c r="D283" s="11"/>
      <c r="E283" s="12"/>
      <c r="F283" s="12"/>
      <c r="G283" s="12"/>
      <c r="H283" s="12"/>
      <c r="I283" s="12"/>
      <c r="J283" s="12"/>
      <c r="K283" s="12"/>
      <c r="L283" s="12"/>
      <c r="M283" s="11"/>
      <c r="Q283" s="1" t="s">
        <v>486</v>
      </c>
    </row>
    <row r="284" spans="1:17" ht="30" customHeight="1">
      <c r="A284" s="11"/>
      <c r="B284" s="11"/>
      <c r="C284" s="11"/>
      <c r="D284" s="11"/>
      <c r="E284" s="12"/>
      <c r="F284" s="12"/>
      <c r="G284" s="12"/>
      <c r="H284" s="12"/>
      <c r="I284" s="12"/>
      <c r="J284" s="12"/>
      <c r="K284" s="12"/>
      <c r="L284" s="12"/>
      <c r="M284" s="11"/>
      <c r="Q284" s="1" t="s">
        <v>486</v>
      </c>
    </row>
    <row r="285" spans="1:17" ht="30" customHeight="1">
      <c r="A285" s="11"/>
      <c r="B285" s="11"/>
      <c r="C285" s="11"/>
      <c r="D285" s="11"/>
      <c r="E285" s="12"/>
      <c r="F285" s="12"/>
      <c r="G285" s="12"/>
      <c r="H285" s="12"/>
      <c r="I285" s="12"/>
      <c r="J285" s="12"/>
      <c r="K285" s="12"/>
      <c r="L285" s="12"/>
      <c r="M285" s="11"/>
      <c r="Q285" s="1" t="s">
        <v>486</v>
      </c>
    </row>
    <row r="286" spans="1:17" ht="30" customHeight="1">
      <c r="A286" s="11"/>
      <c r="B286" s="11"/>
      <c r="C286" s="11"/>
      <c r="D286" s="11"/>
      <c r="E286" s="12"/>
      <c r="F286" s="12"/>
      <c r="G286" s="12"/>
      <c r="H286" s="12"/>
      <c r="I286" s="12"/>
      <c r="J286" s="12"/>
      <c r="K286" s="12"/>
      <c r="L286" s="12"/>
      <c r="M286" s="11"/>
      <c r="Q286" s="1" t="s">
        <v>486</v>
      </c>
    </row>
    <row r="287" spans="1:17" ht="30" customHeight="1">
      <c r="A287" s="13" t="s">
        <v>120</v>
      </c>
      <c r="B287" s="11"/>
      <c r="C287" s="11"/>
      <c r="D287" s="11"/>
      <c r="E287" s="12"/>
      <c r="F287" s="12">
        <f>SUMIF(Q265:Q286,"010110",F265:F286)</f>
        <v>0</v>
      </c>
      <c r="G287" s="12"/>
      <c r="H287" s="12">
        <f>SUMIF(Q265:Q286,"010110",H265:H286)</f>
        <v>0</v>
      </c>
      <c r="I287" s="12"/>
      <c r="J287" s="12">
        <f>SUMIF(Q265:Q286,"010110",J265:J286)</f>
        <v>0</v>
      </c>
      <c r="K287" s="12"/>
      <c r="L287" s="12">
        <f>SUMIF(Q265:Q286,"010110",L265:L286)</f>
        <v>0</v>
      </c>
      <c r="M287" s="11"/>
      <c r="N287" t="s">
        <v>121</v>
      </c>
    </row>
    <row r="288" spans="1:17" ht="30" customHeight="1">
      <c r="A288" s="13" t="s">
        <v>631</v>
      </c>
      <c r="B288" s="13" t="s">
        <v>50</v>
      </c>
      <c r="C288" s="11"/>
      <c r="D288" s="11"/>
      <c r="E288" s="12"/>
      <c r="F288" s="12"/>
      <c r="G288" s="12"/>
      <c r="H288" s="12"/>
      <c r="I288" s="12"/>
      <c r="J288" s="12"/>
      <c r="K288" s="12"/>
      <c r="L288" s="12"/>
      <c r="M288" s="11"/>
      <c r="Q288" s="1" t="s">
        <v>506</v>
      </c>
    </row>
    <row r="289" spans="1:48" ht="30" customHeight="1">
      <c r="A289" s="13" t="s">
        <v>507</v>
      </c>
      <c r="B289" s="13" t="s">
        <v>508</v>
      </c>
      <c r="C289" s="13" t="s">
        <v>509</v>
      </c>
      <c r="D289" s="11">
        <v>1</v>
      </c>
      <c r="E289" s="12"/>
      <c r="F289" s="12"/>
      <c r="G289" s="12"/>
      <c r="H289" s="12"/>
      <c r="I289" s="12"/>
      <c r="J289" s="12"/>
      <c r="K289" s="12"/>
      <c r="L289" s="12"/>
      <c r="M289" s="13" t="s">
        <v>50</v>
      </c>
      <c r="N289" s="1" t="s">
        <v>510</v>
      </c>
      <c r="O289" s="1" t="s">
        <v>50</v>
      </c>
      <c r="P289" s="1" t="s">
        <v>50</v>
      </c>
      <c r="Q289" s="1" t="s">
        <v>506</v>
      </c>
      <c r="R289" s="1" t="s">
        <v>61</v>
      </c>
      <c r="S289" s="1" t="s">
        <v>61</v>
      </c>
      <c r="T289" s="1" t="s">
        <v>60</v>
      </c>
      <c r="AR289" s="1" t="s">
        <v>50</v>
      </c>
      <c r="AS289" s="1" t="s">
        <v>50</v>
      </c>
      <c r="AU289" s="1" t="s">
        <v>511</v>
      </c>
      <c r="AV289">
        <v>161</v>
      </c>
    </row>
    <row r="290" spans="1:48" ht="30" customHeight="1">
      <c r="A290" s="13" t="s">
        <v>512</v>
      </c>
      <c r="B290" s="13" t="s">
        <v>513</v>
      </c>
      <c r="C290" s="13" t="s">
        <v>514</v>
      </c>
      <c r="D290" s="11">
        <v>7</v>
      </c>
      <c r="E290" s="12"/>
      <c r="F290" s="12"/>
      <c r="G290" s="12"/>
      <c r="H290" s="12"/>
      <c r="I290" s="12"/>
      <c r="J290" s="12"/>
      <c r="K290" s="12"/>
      <c r="L290" s="12"/>
      <c r="M290" s="13" t="s">
        <v>50</v>
      </c>
      <c r="N290" s="1" t="s">
        <v>515</v>
      </c>
      <c r="O290" s="1" t="s">
        <v>50</v>
      </c>
      <c r="P290" s="1" t="s">
        <v>50</v>
      </c>
      <c r="Q290" s="1" t="s">
        <v>506</v>
      </c>
      <c r="R290" s="1" t="s">
        <v>61</v>
      </c>
      <c r="S290" s="1" t="s">
        <v>61</v>
      </c>
      <c r="T290" s="1" t="s">
        <v>60</v>
      </c>
      <c r="AR290" s="1" t="s">
        <v>50</v>
      </c>
      <c r="AS290" s="1" t="s">
        <v>50</v>
      </c>
      <c r="AU290" s="1" t="s">
        <v>516</v>
      </c>
      <c r="AV290">
        <v>162</v>
      </c>
    </row>
    <row r="291" spans="1:48" ht="30" customHeight="1">
      <c r="A291" s="13" t="s">
        <v>517</v>
      </c>
      <c r="B291" s="13" t="s">
        <v>518</v>
      </c>
      <c r="C291" s="13" t="s">
        <v>514</v>
      </c>
      <c r="D291" s="11">
        <v>7</v>
      </c>
      <c r="E291" s="12"/>
      <c r="F291" s="12"/>
      <c r="G291" s="12"/>
      <c r="H291" s="12"/>
      <c r="I291" s="12"/>
      <c r="J291" s="12"/>
      <c r="K291" s="12"/>
      <c r="L291" s="12"/>
      <c r="M291" s="13" t="s">
        <v>519</v>
      </c>
      <c r="N291" s="1" t="s">
        <v>520</v>
      </c>
      <c r="O291" s="1" t="s">
        <v>50</v>
      </c>
      <c r="P291" s="1" t="s">
        <v>50</v>
      </c>
      <c r="Q291" s="1" t="s">
        <v>506</v>
      </c>
      <c r="R291" s="1" t="s">
        <v>61</v>
      </c>
      <c r="S291" s="1" t="s">
        <v>60</v>
      </c>
      <c r="T291" s="1" t="s">
        <v>61</v>
      </c>
      <c r="AR291" s="1" t="s">
        <v>50</v>
      </c>
      <c r="AS291" s="1" t="s">
        <v>50</v>
      </c>
      <c r="AU291" s="1" t="s">
        <v>521</v>
      </c>
      <c r="AV291">
        <v>163</v>
      </c>
    </row>
    <row r="292" spans="1:48" ht="30" customHeight="1">
      <c r="A292" s="11"/>
      <c r="B292" s="11"/>
      <c r="C292" s="11"/>
      <c r="D292" s="11"/>
      <c r="E292" s="12"/>
      <c r="F292" s="12"/>
      <c r="G292" s="12"/>
      <c r="H292" s="12"/>
      <c r="I292" s="12"/>
      <c r="J292" s="12"/>
      <c r="K292" s="12"/>
      <c r="L292" s="12"/>
      <c r="M292" s="11"/>
      <c r="Q292" s="1" t="s">
        <v>506</v>
      </c>
    </row>
    <row r="293" spans="1:48" ht="30" customHeight="1">
      <c r="A293" s="11"/>
      <c r="B293" s="11"/>
      <c r="C293" s="11"/>
      <c r="D293" s="11"/>
      <c r="E293" s="12"/>
      <c r="F293" s="12"/>
      <c r="G293" s="12"/>
      <c r="H293" s="12"/>
      <c r="I293" s="12"/>
      <c r="J293" s="12"/>
      <c r="K293" s="12"/>
      <c r="L293" s="12"/>
      <c r="M293" s="11"/>
      <c r="Q293" s="1" t="s">
        <v>506</v>
      </c>
    </row>
    <row r="294" spans="1:48" ht="30" customHeight="1">
      <c r="A294" s="11"/>
      <c r="B294" s="11"/>
      <c r="C294" s="11"/>
      <c r="D294" s="11"/>
      <c r="E294" s="12"/>
      <c r="F294" s="12"/>
      <c r="G294" s="12"/>
      <c r="H294" s="12"/>
      <c r="I294" s="12"/>
      <c r="J294" s="12"/>
      <c r="K294" s="12"/>
      <c r="L294" s="12"/>
      <c r="M294" s="11"/>
      <c r="Q294" s="1" t="s">
        <v>506</v>
      </c>
    </row>
    <row r="295" spans="1:48" ht="30" customHeight="1">
      <c r="A295" s="11"/>
      <c r="B295" s="11"/>
      <c r="C295" s="11"/>
      <c r="D295" s="11"/>
      <c r="E295" s="12"/>
      <c r="F295" s="12"/>
      <c r="G295" s="12"/>
      <c r="H295" s="12"/>
      <c r="I295" s="12"/>
      <c r="J295" s="12"/>
      <c r="K295" s="12"/>
      <c r="L295" s="12"/>
      <c r="M295" s="11"/>
      <c r="Q295" s="1" t="s">
        <v>506</v>
      </c>
    </row>
    <row r="296" spans="1:48" ht="30" customHeight="1">
      <c r="A296" s="11"/>
      <c r="B296" s="11"/>
      <c r="C296" s="11"/>
      <c r="D296" s="11"/>
      <c r="E296" s="12"/>
      <c r="F296" s="12"/>
      <c r="G296" s="12"/>
      <c r="H296" s="12"/>
      <c r="I296" s="12"/>
      <c r="J296" s="12"/>
      <c r="K296" s="12"/>
      <c r="L296" s="12"/>
      <c r="M296" s="11"/>
      <c r="Q296" s="1" t="s">
        <v>506</v>
      </c>
    </row>
    <row r="297" spans="1:48" ht="30" customHeight="1">
      <c r="A297" s="11"/>
      <c r="B297" s="11"/>
      <c r="C297" s="11"/>
      <c r="D297" s="11"/>
      <c r="E297" s="12"/>
      <c r="F297" s="12"/>
      <c r="G297" s="12"/>
      <c r="H297" s="12"/>
      <c r="I297" s="12"/>
      <c r="J297" s="12"/>
      <c r="K297" s="12"/>
      <c r="L297" s="12"/>
      <c r="M297" s="11"/>
      <c r="Q297" s="1" t="s">
        <v>506</v>
      </c>
    </row>
    <row r="298" spans="1:48" ht="30" customHeight="1">
      <c r="A298" s="11"/>
      <c r="B298" s="11"/>
      <c r="C298" s="11"/>
      <c r="D298" s="11"/>
      <c r="E298" s="12"/>
      <c r="F298" s="12"/>
      <c r="G298" s="12"/>
      <c r="H298" s="12"/>
      <c r="I298" s="12"/>
      <c r="J298" s="12"/>
      <c r="K298" s="12"/>
      <c r="L298" s="12"/>
      <c r="M298" s="11"/>
      <c r="Q298" s="1" t="s">
        <v>506</v>
      </c>
    </row>
    <row r="299" spans="1:48" ht="30" customHeight="1">
      <c r="A299" s="11"/>
      <c r="B299" s="11"/>
      <c r="C299" s="11"/>
      <c r="D299" s="11"/>
      <c r="E299" s="12"/>
      <c r="F299" s="12"/>
      <c r="G299" s="12"/>
      <c r="H299" s="12"/>
      <c r="I299" s="12"/>
      <c r="J299" s="12"/>
      <c r="K299" s="12"/>
      <c r="L299" s="12"/>
      <c r="M299" s="11"/>
      <c r="Q299" s="1" t="s">
        <v>506</v>
      </c>
    </row>
    <row r="300" spans="1:48" ht="30" customHeight="1">
      <c r="A300" s="11"/>
      <c r="B300" s="11"/>
      <c r="C300" s="11"/>
      <c r="D300" s="11"/>
      <c r="E300" s="12"/>
      <c r="F300" s="12"/>
      <c r="G300" s="12"/>
      <c r="H300" s="12"/>
      <c r="I300" s="12"/>
      <c r="J300" s="12"/>
      <c r="K300" s="12"/>
      <c r="L300" s="12"/>
      <c r="M300" s="11"/>
      <c r="Q300" s="1" t="s">
        <v>506</v>
      </c>
    </row>
    <row r="301" spans="1:48" ht="30" customHeight="1">
      <c r="A301" s="11"/>
      <c r="B301" s="11"/>
      <c r="C301" s="11"/>
      <c r="D301" s="11"/>
      <c r="E301" s="12"/>
      <c r="F301" s="12"/>
      <c r="G301" s="12"/>
      <c r="H301" s="12"/>
      <c r="I301" s="12"/>
      <c r="J301" s="12"/>
      <c r="K301" s="12"/>
      <c r="L301" s="12"/>
      <c r="M301" s="11"/>
      <c r="Q301" s="1" t="s">
        <v>506</v>
      </c>
    </row>
    <row r="302" spans="1:48" ht="30" customHeight="1">
      <c r="A302" s="11"/>
      <c r="B302" s="11"/>
      <c r="C302" s="11"/>
      <c r="D302" s="11"/>
      <c r="E302" s="12"/>
      <c r="F302" s="12"/>
      <c r="G302" s="12"/>
      <c r="H302" s="12"/>
      <c r="I302" s="12"/>
      <c r="J302" s="12"/>
      <c r="K302" s="12"/>
      <c r="L302" s="12"/>
      <c r="M302" s="11"/>
      <c r="Q302" s="1" t="s">
        <v>506</v>
      </c>
    </row>
    <row r="303" spans="1:48" ht="30" customHeight="1">
      <c r="A303" s="11"/>
      <c r="B303" s="11"/>
      <c r="C303" s="11"/>
      <c r="D303" s="11"/>
      <c r="E303" s="12"/>
      <c r="F303" s="12"/>
      <c r="G303" s="12"/>
      <c r="H303" s="12"/>
      <c r="I303" s="12"/>
      <c r="J303" s="12"/>
      <c r="K303" s="12"/>
      <c r="L303" s="12"/>
      <c r="M303" s="11"/>
      <c r="Q303" s="1" t="s">
        <v>506</v>
      </c>
    </row>
    <row r="304" spans="1:48" ht="30" customHeight="1">
      <c r="A304" s="11"/>
      <c r="B304" s="11"/>
      <c r="C304" s="11"/>
      <c r="D304" s="11"/>
      <c r="E304" s="12"/>
      <c r="F304" s="12"/>
      <c r="G304" s="12"/>
      <c r="H304" s="12"/>
      <c r="I304" s="12"/>
      <c r="J304" s="12"/>
      <c r="K304" s="12"/>
      <c r="L304" s="12"/>
      <c r="M304" s="11"/>
      <c r="Q304" s="1" t="s">
        <v>506</v>
      </c>
    </row>
    <row r="305" spans="1:48" ht="30" customHeight="1">
      <c r="A305" s="11"/>
      <c r="B305" s="11"/>
      <c r="C305" s="11"/>
      <c r="D305" s="11"/>
      <c r="E305" s="12"/>
      <c r="F305" s="12"/>
      <c r="G305" s="12"/>
      <c r="H305" s="12"/>
      <c r="I305" s="12"/>
      <c r="J305" s="12"/>
      <c r="K305" s="12"/>
      <c r="L305" s="12"/>
      <c r="M305" s="11"/>
      <c r="Q305" s="1" t="s">
        <v>506</v>
      </c>
    </row>
    <row r="306" spans="1:48" ht="30" customHeight="1">
      <c r="A306" s="11"/>
      <c r="B306" s="11"/>
      <c r="C306" s="11"/>
      <c r="D306" s="11"/>
      <c r="E306" s="12"/>
      <c r="F306" s="12"/>
      <c r="G306" s="12"/>
      <c r="H306" s="12"/>
      <c r="I306" s="12"/>
      <c r="J306" s="12"/>
      <c r="K306" s="12"/>
      <c r="L306" s="12"/>
      <c r="M306" s="11"/>
      <c r="Q306" s="1" t="s">
        <v>506</v>
      </c>
    </row>
    <row r="307" spans="1:48" ht="30" customHeight="1">
      <c r="A307" s="11"/>
      <c r="B307" s="11"/>
      <c r="C307" s="11"/>
      <c r="D307" s="11"/>
      <c r="E307" s="12"/>
      <c r="F307" s="12"/>
      <c r="G307" s="12"/>
      <c r="H307" s="12"/>
      <c r="I307" s="12"/>
      <c r="J307" s="12"/>
      <c r="K307" s="12"/>
      <c r="L307" s="12"/>
      <c r="M307" s="11"/>
      <c r="Q307" s="1" t="s">
        <v>506</v>
      </c>
    </row>
    <row r="308" spans="1:48" ht="30" customHeight="1">
      <c r="A308" s="11"/>
      <c r="B308" s="11"/>
      <c r="C308" s="11"/>
      <c r="D308" s="11"/>
      <c r="E308" s="12"/>
      <c r="F308" s="12"/>
      <c r="G308" s="12"/>
      <c r="H308" s="12"/>
      <c r="I308" s="12"/>
      <c r="J308" s="12"/>
      <c r="K308" s="12"/>
      <c r="L308" s="12"/>
      <c r="M308" s="11"/>
      <c r="Q308" s="1" t="s">
        <v>506</v>
      </c>
    </row>
    <row r="309" spans="1:48" ht="30" customHeight="1">
      <c r="A309" s="11"/>
      <c r="B309" s="11"/>
      <c r="C309" s="11"/>
      <c r="D309" s="11"/>
      <c r="E309" s="12"/>
      <c r="F309" s="12"/>
      <c r="G309" s="12"/>
      <c r="H309" s="12"/>
      <c r="I309" s="12"/>
      <c r="J309" s="12"/>
      <c r="K309" s="12"/>
      <c r="L309" s="12"/>
      <c r="M309" s="11"/>
      <c r="Q309" s="1" t="s">
        <v>506</v>
      </c>
    </row>
    <row r="310" spans="1:48" ht="30" customHeight="1">
      <c r="A310" s="11"/>
      <c r="B310" s="11"/>
      <c r="C310" s="11"/>
      <c r="D310" s="11"/>
      <c r="E310" s="12"/>
      <c r="F310" s="12"/>
      <c r="G310" s="12"/>
      <c r="H310" s="12"/>
      <c r="I310" s="12"/>
      <c r="J310" s="12"/>
      <c r="K310" s="12"/>
      <c r="L310" s="12"/>
      <c r="M310" s="11"/>
      <c r="Q310" s="1" t="s">
        <v>506</v>
      </c>
    </row>
    <row r="311" spans="1:48" ht="30" customHeight="1">
      <c r="A311" s="13" t="s">
        <v>120</v>
      </c>
      <c r="B311" s="11"/>
      <c r="C311" s="11"/>
      <c r="D311" s="11"/>
      <c r="E311" s="12"/>
      <c r="F311" s="12">
        <f>SUMIF(Q289:Q310,"010111",F289:F310)</f>
        <v>0</v>
      </c>
      <c r="G311" s="12"/>
      <c r="H311" s="12">
        <f>SUMIF(Q289:Q310,"010111",H289:H310)</f>
        <v>0</v>
      </c>
      <c r="I311" s="12"/>
      <c r="J311" s="12">
        <f>SUMIF(Q289:Q310,"010111",J289:J310)</f>
        <v>0</v>
      </c>
      <c r="K311" s="12"/>
      <c r="L311" s="12">
        <f>SUMIF(Q289:Q310,"010111",L289:L310)</f>
        <v>0</v>
      </c>
      <c r="M311" s="11"/>
      <c r="N311" t="s">
        <v>121</v>
      </c>
    </row>
    <row r="312" spans="1:48" ht="30" customHeight="1">
      <c r="A312" s="13" t="s">
        <v>632</v>
      </c>
      <c r="B312" s="13" t="s">
        <v>50</v>
      </c>
      <c r="C312" s="11"/>
      <c r="D312" s="11"/>
      <c r="E312" s="12"/>
      <c r="F312" s="12"/>
      <c r="G312" s="12"/>
      <c r="H312" s="12"/>
      <c r="I312" s="12"/>
      <c r="J312" s="12"/>
      <c r="K312" s="12"/>
      <c r="L312" s="12"/>
      <c r="M312" s="11"/>
      <c r="Q312" s="1" t="s">
        <v>522</v>
      </c>
    </row>
    <row r="313" spans="1:48" ht="30" customHeight="1">
      <c r="A313" s="13" t="s">
        <v>524</v>
      </c>
      <c r="B313" s="13" t="s">
        <v>525</v>
      </c>
      <c r="C313" s="13" t="s">
        <v>526</v>
      </c>
      <c r="D313" s="11">
        <v>1.0449999999999999</v>
      </c>
      <c r="E313" s="12"/>
      <c r="F313" s="12"/>
      <c r="G313" s="12"/>
      <c r="H313" s="12"/>
      <c r="I313" s="12"/>
      <c r="J313" s="12"/>
      <c r="K313" s="12"/>
      <c r="L313" s="12"/>
      <c r="M313" s="13" t="s">
        <v>50</v>
      </c>
      <c r="N313" s="1" t="s">
        <v>527</v>
      </c>
      <c r="O313" s="1" t="s">
        <v>50</v>
      </c>
      <c r="P313" s="1" t="s">
        <v>50</v>
      </c>
      <c r="Q313" s="1" t="s">
        <v>522</v>
      </c>
      <c r="R313" s="1" t="s">
        <v>61</v>
      </c>
      <c r="S313" s="1" t="s">
        <v>61</v>
      </c>
      <c r="T313" s="1" t="s">
        <v>60</v>
      </c>
      <c r="AR313" s="1" t="s">
        <v>50</v>
      </c>
      <c r="AS313" s="1" t="s">
        <v>50</v>
      </c>
      <c r="AU313" s="1" t="s">
        <v>528</v>
      </c>
      <c r="AV313">
        <v>76</v>
      </c>
    </row>
    <row r="314" spans="1:48" ht="30" customHeight="1">
      <c r="A314" s="13" t="s">
        <v>529</v>
      </c>
      <c r="B314" s="13" t="s">
        <v>530</v>
      </c>
      <c r="C314" s="13" t="s">
        <v>526</v>
      </c>
      <c r="D314" s="11">
        <v>1.0449999999999999</v>
      </c>
      <c r="E314" s="12"/>
      <c r="F314" s="12"/>
      <c r="G314" s="12"/>
      <c r="H314" s="12"/>
      <c r="I314" s="12"/>
      <c r="J314" s="12"/>
      <c r="K314" s="12"/>
      <c r="L314" s="12"/>
      <c r="M314" s="13" t="s">
        <v>50</v>
      </c>
      <c r="N314" s="1" t="s">
        <v>531</v>
      </c>
      <c r="O314" s="1" t="s">
        <v>50</v>
      </c>
      <c r="P314" s="1" t="s">
        <v>50</v>
      </c>
      <c r="Q314" s="1" t="s">
        <v>522</v>
      </c>
      <c r="R314" s="1" t="s">
        <v>61</v>
      </c>
      <c r="S314" s="1" t="s">
        <v>61</v>
      </c>
      <c r="T314" s="1" t="s">
        <v>60</v>
      </c>
      <c r="AR314" s="1" t="s">
        <v>50</v>
      </c>
      <c r="AS314" s="1" t="s">
        <v>50</v>
      </c>
      <c r="AU314" s="1" t="s">
        <v>532</v>
      </c>
      <c r="AV314">
        <v>77</v>
      </c>
    </row>
    <row r="315" spans="1:48" ht="30" customHeight="1">
      <c r="A315" s="11"/>
      <c r="B315" s="11"/>
      <c r="C315" s="11"/>
      <c r="D315" s="11"/>
      <c r="E315" s="12"/>
      <c r="F315" s="12"/>
      <c r="G315" s="12"/>
      <c r="H315" s="12"/>
      <c r="I315" s="12"/>
      <c r="J315" s="12"/>
      <c r="K315" s="12"/>
      <c r="L315" s="12"/>
      <c r="M315" s="11"/>
      <c r="Q315" s="1" t="s">
        <v>522</v>
      </c>
    </row>
    <row r="316" spans="1:48" ht="30" customHeight="1">
      <c r="A316" s="11"/>
      <c r="B316" s="11"/>
      <c r="C316" s="11"/>
      <c r="D316" s="11"/>
      <c r="E316" s="12"/>
      <c r="F316" s="12"/>
      <c r="G316" s="12"/>
      <c r="H316" s="12"/>
      <c r="I316" s="12"/>
      <c r="J316" s="12"/>
      <c r="K316" s="12"/>
      <c r="L316" s="12"/>
      <c r="M316" s="11"/>
      <c r="Q316" s="1" t="s">
        <v>522</v>
      </c>
    </row>
    <row r="317" spans="1:48" ht="30" customHeight="1">
      <c r="A317" s="11"/>
      <c r="B317" s="11"/>
      <c r="C317" s="11"/>
      <c r="D317" s="11"/>
      <c r="E317" s="12"/>
      <c r="F317" s="12"/>
      <c r="G317" s="12"/>
      <c r="H317" s="12"/>
      <c r="I317" s="12"/>
      <c r="J317" s="12"/>
      <c r="K317" s="12"/>
      <c r="L317" s="12"/>
      <c r="M317" s="11"/>
      <c r="Q317" s="1" t="s">
        <v>522</v>
      </c>
    </row>
    <row r="318" spans="1:48" ht="30" customHeight="1">
      <c r="A318" s="11"/>
      <c r="B318" s="11"/>
      <c r="C318" s="11"/>
      <c r="D318" s="11"/>
      <c r="E318" s="12"/>
      <c r="F318" s="12"/>
      <c r="G318" s="12"/>
      <c r="H318" s="12"/>
      <c r="I318" s="12"/>
      <c r="J318" s="12"/>
      <c r="K318" s="12"/>
      <c r="L318" s="12"/>
      <c r="M318" s="11"/>
      <c r="Q318" s="1" t="s">
        <v>522</v>
      </c>
    </row>
    <row r="319" spans="1:48" ht="30" customHeight="1">
      <c r="A319" s="11"/>
      <c r="B319" s="11"/>
      <c r="C319" s="11"/>
      <c r="D319" s="11"/>
      <c r="E319" s="12"/>
      <c r="F319" s="12"/>
      <c r="G319" s="12"/>
      <c r="H319" s="12"/>
      <c r="I319" s="12"/>
      <c r="J319" s="12"/>
      <c r="K319" s="12"/>
      <c r="L319" s="12"/>
      <c r="M319" s="11"/>
      <c r="Q319" s="1" t="s">
        <v>522</v>
      </c>
    </row>
    <row r="320" spans="1:48" ht="30" customHeight="1">
      <c r="A320" s="11"/>
      <c r="B320" s="11"/>
      <c r="C320" s="11"/>
      <c r="D320" s="11"/>
      <c r="E320" s="12"/>
      <c r="F320" s="12"/>
      <c r="G320" s="12"/>
      <c r="H320" s="12"/>
      <c r="I320" s="12"/>
      <c r="J320" s="12"/>
      <c r="K320" s="12"/>
      <c r="L320" s="12"/>
      <c r="M320" s="11"/>
      <c r="Q320" s="1" t="s">
        <v>522</v>
      </c>
    </row>
    <row r="321" spans="1:17" ht="30" customHeight="1">
      <c r="A321" s="11"/>
      <c r="B321" s="11"/>
      <c r="C321" s="11"/>
      <c r="D321" s="11"/>
      <c r="E321" s="12"/>
      <c r="F321" s="12"/>
      <c r="G321" s="12"/>
      <c r="H321" s="12"/>
      <c r="I321" s="12"/>
      <c r="J321" s="12"/>
      <c r="K321" s="12"/>
      <c r="L321" s="12"/>
      <c r="M321" s="11"/>
      <c r="Q321" s="1" t="s">
        <v>522</v>
      </c>
    </row>
    <row r="322" spans="1:17" ht="30" customHeight="1">
      <c r="A322" s="11"/>
      <c r="B322" s="11"/>
      <c r="C322" s="11"/>
      <c r="D322" s="11"/>
      <c r="E322" s="12"/>
      <c r="F322" s="12"/>
      <c r="G322" s="12"/>
      <c r="H322" s="12"/>
      <c r="I322" s="12"/>
      <c r="J322" s="12"/>
      <c r="K322" s="12"/>
      <c r="L322" s="12"/>
      <c r="M322" s="11"/>
      <c r="Q322" s="1" t="s">
        <v>522</v>
      </c>
    </row>
    <row r="323" spans="1:17" ht="30" customHeight="1">
      <c r="A323" s="11"/>
      <c r="B323" s="11"/>
      <c r="C323" s="11"/>
      <c r="D323" s="11"/>
      <c r="E323" s="12"/>
      <c r="F323" s="12"/>
      <c r="G323" s="12"/>
      <c r="H323" s="12"/>
      <c r="I323" s="12"/>
      <c r="J323" s="12"/>
      <c r="K323" s="12"/>
      <c r="L323" s="12"/>
      <c r="M323" s="11"/>
      <c r="Q323" s="1" t="s">
        <v>522</v>
      </c>
    </row>
    <row r="324" spans="1:17" ht="30" customHeight="1">
      <c r="A324" s="11"/>
      <c r="B324" s="11"/>
      <c r="C324" s="11"/>
      <c r="D324" s="11"/>
      <c r="E324" s="12"/>
      <c r="F324" s="12"/>
      <c r="G324" s="12"/>
      <c r="H324" s="12"/>
      <c r="I324" s="12"/>
      <c r="J324" s="12"/>
      <c r="K324" s="12"/>
      <c r="L324" s="12"/>
      <c r="M324" s="11"/>
      <c r="Q324" s="1" t="s">
        <v>522</v>
      </c>
    </row>
    <row r="325" spans="1:17" ht="30" customHeight="1">
      <c r="A325" s="11"/>
      <c r="B325" s="11"/>
      <c r="C325" s="11"/>
      <c r="D325" s="11"/>
      <c r="E325" s="12"/>
      <c r="F325" s="12"/>
      <c r="G325" s="12"/>
      <c r="H325" s="12"/>
      <c r="I325" s="12"/>
      <c r="J325" s="12"/>
      <c r="K325" s="12"/>
      <c r="L325" s="12"/>
      <c r="M325" s="11"/>
      <c r="Q325" s="1" t="s">
        <v>522</v>
      </c>
    </row>
    <row r="326" spans="1:17" ht="30" customHeight="1">
      <c r="A326" s="11"/>
      <c r="B326" s="11"/>
      <c r="C326" s="11"/>
      <c r="D326" s="11"/>
      <c r="E326" s="12"/>
      <c r="F326" s="12"/>
      <c r="G326" s="12"/>
      <c r="H326" s="12"/>
      <c r="I326" s="12"/>
      <c r="J326" s="12"/>
      <c r="K326" s="12"/>
      <c r="L326" s="12"/>
      <c r="M326" s="11"/>
      <c r="Q326" s="1" t="s">
        <v>522</v>
      </c>
    </row>
    <row r="327" spans="1:17" ht="30" customHeight="1">
      <c r="A327" s="11"/>
      <c r="B327" s="11"/>
      <c r="C327" s="11"/>
      <c r="D327" s="11"/>
      <c r="E327" s="12"/>
      <c r="F327" s="12"/>
      <c r="G327" s="12"/>
      <c r="H327" s="12"/>
      <c r="I327" s="12"/>
      <c r="J327" s="12"/>
      <c r="K327" s="12"/>
      <c r="L327" s="12"/>
      <c r="M327" s="11"/>
      <c r="Q327" s="1" t="s">
        <v>522</v>
      </c>
    </row>
    <row r="328" spans="1:17" ht="30" customHeight="1">
      <c r="A328" s="11"/>
      <c r="B328" s="11"/>
      <c r="C328" s="11"/>
      <c r="D328" s="11"/>
      <c r="E328" s="12"/>
      <c r="F328" s="12"/>
      <c r="G328" s="12"/>
      <c r="H328" s="12"/>
      <c r="I328" s="12"/>
      <c r="J328" s="12"/>
      <c r="K328" s="12"/>
      <c r="L328" s="12"/>
      <c r="M328" s="11"/>
      <c r="Q328" s="1" t="s">
        <v>522</v>
      </c>
    </row>
    <row r="329" spans="1:17" ht="30" customHeight="1">
      <c r="A329" s="11"/>
      <c r="B329" s="11"/>
      <c r="C329" s="11"/>
      <c r="D329" s="11"/>
      <c r="E329" s="12"/>
      <c r="F329" s="12"/>
      <c r="G329" s="12"/>
      <c r="H329" s="12"/>
      <c r="I329" s="12"/>
      <c r="J329" s="12"/>
      <c r="K329" s="12"/>
      <c r="L329" s="12"/>
      <c r="M329" s="11"/>
      <c r="Q329" s="1" t="s">
        <v>522</v>
      </c>
    </row>
    <row r="330" spans="1:17" ht="30" customHeight="1">
      <c r="A330" s="11"/>
      <c r="B330" s="11"/>
      <c r="C330" s="11"/>
      <c r="D330" s="11"/>
      <c r="E330" s="12"/>
      <c r="F330" s="12"/>
      <c r="G330" s="12"/>
      <c r="H330" s="12"/>
      <c r="I330" s="12"/>
      <c r="J330" s="12"/>
      <c r="K330" s="12"/>
      <c r="L330" s="12"/>
      <c r="M330" s="11"/>
      <c r="Q330" s="1" t="s">
        <v>522</v>
      </c>
    </row>
    <row r="331" spans="1:17" ht="30" customHeight="1">
      <c r="A331" s="11"/>
      <c r="B331" s="11"/>
      <c r="C331" s="11"/>
      <c r="D331" s="11"/>
      <c r="E331" s="12"/>
      <c r="F331" s="12"/>
      <c r="G331" s="12"/>
      <c r="H331" s="12"/>
      <c r="I331" s="12"/>
      <c r="J331" s="12"/>
      <c r="K331" s="12"/>
      <c r="L331" s="12"/>
      <c r="M331" s="11"/>
      <c r="Q331" s="1" t="s">
        <v>522</v>
      </c>
    </row>
    <row r="332" spans="1:17" ht="30" customHeight="1">
      <c r="A332" s="11"/>
      <c r="B332" s="11"/>
      <c r="C332" s="11"/>
      <c r="D332" s="11"/>
      <c r="E332" s="12"/>
      <c r="F332" s="12"/>
      <c r="G332" s="12"/>
      <c r="H332" s="12"/>
      <c r="I332" s="12"/>
      <c r="J332" s="12"/>
      <c r="K332" s="12"/>
      <c r="L332" s="12"/>
      <c r="M332" s="11"/>
      <c r="Q332" s="1" t="s">
        <v>522</v>
      </c>
    </row>
    <row r="333" spans="1:17" ht="30" customHeight="1">
      <c r="A333" s="11"/>
      <c r="B333" s="11"/>
      <c r="C333" s="11"/>
      <c r="D333" s="11"/>
      <c r="E333" s="12"/>
      <c r="F333" s="12"/>
      <c r="G333" s="12"/>
      <c r="H333" s="12"/>
      <c r="I333" s="12"/>
      <c r="J333" s="12"/>
      <c r="K333" s="12"/>
      <c r="L333" s="12"/>
      <c r="M333" s="11"/>
      <c r="Q333" s="1" t="s">
        <v>522</v>
      </c>
    </row>
    <row r="334" spans="1:17" ht="30" customHeight="1">
      <c r="A334" s="11"/>
      <c r="B334" s="11"/>
      <c r="C334" s="11"/>
      <c r="D334" s="11"/>
      <c r="E334" s="12"/>
      <c r="F334" s="12"/>
      <c r="G334" s="12"/>
      <c r="H334" s="12"/>
      <c r="I334" s="12"/>
      <c r="J334" s="12"/>
      <c r="K334" s="12"/>
      <c r="L334" s="12"/>
      <c r="M334" s="11"/>
      <c r="Q334" s="1" t="s">
        <v>522</v>
      </c>
    </row>
    <row r="335" spans="1:17" ht="30" customHeight="1">
      <c r="A335" s="13" t="s">
        <v>120</v>
      </c>
      <c r="B335" s="11"/>
      <c r="C335" s="11"/>
      <c r="D335" s="11"/>
      <c r="E335" s="12"/>
      <c r="F335" s="12">
        <f>SUMIF(Q313:Q334,"010112",F313:F334)</f>
        <v>0</v>
      </c>
      <c r="G335" s="12"/>
      <c r="H335" s="12">
        <f>SUMIF(Q313:Q334,"010112",H313:H334)</f>
        <v>0</v>
      </c>
      <c r="I335" s="12"/>
      <c r="J335" s="12">
        <f>SUMIF(Q313:Q334,"010112",J313:J334)</f>
        <v>0</v>
      </c>
      <c r="K335" s="12"/>
      <c r="L335" s="12">
        <f>SUMIF(Q313:Q334,"010112",L313:L334)</f>
        <v>0</v>
      </c>
      <c r="M335" s="11"/>
      <c r="N335" t="s">
        <v>121</v>
      </c>
    </row>
    <row r="336" spans="1:17" ht="30" customHeight="1">
      <c r="A336" s="13" t="s">
        <v>633</v>
      </c>
      <c r="B336" s="13" t="s">
        <v>50</v>
      </c>
      <c r="C336" s="11"/>
      <c r="D336" s="11"/>
      <c r="E336" s="12"/>
      <c r="F336" s="12"/>
      <c r="G336" s="12"/>
      <c r="H336" s="12"/>
      <c r="I336" s="12"/>
      <c r="J336" s="12"/>
      <c r="K336" s="12"/>
      <c r="L336" s="12"/>
      <c r="M336" s="11"/>
      <c r="Q336" s="1" t="s">
        <v>534</v>
      </c>
    </row>
    <row r="337" spans="1:48" ht="30" customHeight="1">
      <c r="A337" s="13" t="s">
        <v>536</v>
      </c>
      <c r="B337" s="13" t="s">
        <v>537</v>
      </c>
      <c r="C337" s="13" t="s">
        <v>538</v>
      </c>
      <c r="D337" s="11">
        <v>-92.885999999999996</v>
      </c>
      <c r="E337" s="12"/>
      <c r="F337" s="12"/>
      <c r="G337" s="12"/>
      <c r="H337" s="12"/>
      <c r="I337" s="12"/>
      <c r="J337" s="12"/>
      <c r="K337" s="12"/>
      <c r="L337" s="12"/>
      <c r="M337" s="13" t="s">
        <v>539</v>
      </c>
      <c r="N337" s="1" t="s">
        <v>540</v>
      </c>
      <c r="O337" s="1" t="s">
        <v>50</v>
      </c>
      <c r="P337" s="1" t="s">
        <v>50</v>
      </c>
      <c r="Q337" s="1" t="s">
        <v>534</v>
      </c>
      <c r="R337" s="1" t="s">
        <v>61</v>
      </c>
      <c r="S337" s="1" t="s">
        <v>61</v>
      </c>
      <c r="T337" s="1" t="s">
        <v>60</v>
      </c>
      <c r="AR337" s="1" t="s">
        <v>50</v>
      </c>
      <c r="AS337" s="1" t="s">
        <v>50</v>
      </c>
      <c r="AU337" s="1" t="s">
        <v>541</v>
      </c>
      <c r="AV337">
        <v>121</v>
      </c>
    </row>
    <row r="338" spans="1:48" ht="30" customHeight="1">
      <c r="A338" s="11"/>
      <c r="B338" s="11"/>
      <c r="C338" s="11"/>
      <c r="D338" s="11"/>
      <c r="E338" s="12"/>
      <c r="F338" s="12"/>
      <c r="G338" s="12"/>
      <c r="H338" s="12"/>
      <c r="I338" s="12"/>
      <c r="J338" s="12"/>
      <c r="K338" s="12"/>
      <c r="L338" s="12"/>
      <c r="M338" s="11"/>
      <c r="Q338" s="1" t="s">
        <v>534</v>
      </c>
    </row>
    <row r="339" spans="1:48" ht="30" customHeight="1">
      <c r="A339" s="11"/>
      <c r="B339" s="11"/>
      <c r="C339" s="11"/>
      <c r="D339" s="11"/>
      <c r="E339" s="12"/>
      <c r="F339" s="12"/>
      <c r="G339" s="12"/>
      <c r="H339" s="12"/>
      <c r="I339" s="12"/>
      <c r="J339" s="12"/>
      <c r="K339" s="12"/>
      <c r="L339" s="12"/>
      <c r="M339" s="11"/>
      <c r="Q339" s="1" t="s">
        <v>534</v>
      </c>
    </row>
    <row r="340" spans="1:48" ht="30" customHeight="1">
      <c r="A340" s="11"/>
      <c r="B340" s="11"/>
      <c r="C340" s="11"/>
      <c r="D340" s="11"/>
      <c r="E340" s="12"/>
      <c r="F340" s="12"/>
      <c r="G340" s="12"/>
      <c r="H340" s="12"/>
      <c r="I340" s="12"/>
      <c r="J340" s="12"/>
      <c r="K340" s="12"/>
      <c r="L340" s="12"/>
      <c r="M340" s="11"/>
      <c r="Q340" s="1" t="s">
        <v>534</v>
      </c>
    </row>
    <row r="341" spans="1:48" ht="30" customHeight="1">
      <c r="A341" s="11"/>
      <c r="B341" s="11"/>
      <c r="C341" s="11"/>
      <c r="D341" s="11"/>
      <c r="E341" s="12"/>
      <c r="F341" s="12"/>
      <c r="G341" s="12"/>
      <c r="H341" s="12"/>
      <c r="I341" s="12"/>
      <c r="J341" s="12"/>
      <c r="K341" s="12"/>
      <c r="L341" s="12"/>
      <c r="M341" s="11"/>
      <c r="Q341" s="1" t="s">
        <v>534</v>
      </c>
    </row>
    <row r="342" spans="1:48" ht="30" customHeight="1">
      <c r="A342" s="11"/>
      <c r="B342" s="11"/>
      <c r="C342" s="11"/>
      <c r="D342" s="11"/>
      <c r="E342" s="12"/>
      <c r="F342" s="12"/>
      <c r="G342" s="12"/>
      <c r="H342" s="12"/>
      <c r="I342" s="12"/>
      <c r="J342" s="12"/>
      <c r="K342" s="12"/>
      <c r="L342" s="12"/>
      <c r="M342" s="11"/>
      <c r="Q342" s="1" t="s">
        <v>534</v>
      </c>
    </row>
    <row r="343" spans="1:48" ht="30" customHeight="1">
      <c r="A343" s="11"/>
      <c r="B343" s="11"/>
      <c r="C343" s="11"/>
      <c r="D343" s="11"/>
      <c r="E343" s="12"/>
      <c r="F343" s="12"/>
      <c r="G343" s="12"/>
      <c r="H343" s="12"/>
      <c r="I343" s="12"/>
      <c r="J343" s="12"/>
      <c r="K343" s="12"/>
      <c r="L343" s="12"/>
      <c r="M343" s="11"/>
      <c r="Q343" s="1" t="s">
        <v>534</v>
      </c>
    </row>
    <row r="344" spans="1:48" ht="30" customHeight="1">
      <c r="A344" s="11"/>
      <c r="B344" s="11"/>
      <c r="C344" s="11"/>
      <c r="D344" s="11"/>
      <c r="E344" s="12"/>
      <c r="F344" s="12"/>
      <c r="G344" s="12"/>
      <c r="H344" s="12"/>
      <c r="I344" s="12"/>
      <c r="J344" s="12"/>
      <c r="K344" s="12"/>
      <c r="L344" s="12"/>
      <c r="M344" s="11"/>
      <c r="Q344" s="1" t="s">
        <v>534</v>
      </c>
    </row>
    <row r="345" spans="1:48" ht="30" customHeight="1">
      <c r="A345" s="11"/>
      <c r="B345" s="11"/>
      <c r="C345" s="11"/>
      <c r="D345" s="11"/>
      <c r="E345" s="12"/>
      <c r="F345" s="12"/>
      <c r="G345" s="12"/>
      <c r="H345" s="12"/>
      <c r="I345" s="12"/>
      <c r="J345" s="12"/>
      <c r="K345" s="12"/>
      <c r="L345" s="12"/>
      <c r="M345" s="11"/>
      <c r="Q345" s="1" t="s">
        <v>534</v>
      </c>
    </row>
    <row r="346" spans="1:48" ht="30" customHeight="1">
      <c r="A346" s="11"/>
      <c r="B346" s="11"/>
      <c r="C346" s="11"/>
      <c r="D346" s="11"/>
      <c r="E346" s="12"/>
      <c r="F346" s="12"/>
      <c r="G346" s="12"/>
      <c r="H346" s="12"/>
      <c r="I346" s="12"/>
      <c r="J346" s="12"/>
      <c r="K346" s="12"/>
      <c r="L346" s="12"/>
      <c r="M346" s="11"/>
      <c r="Q346" s="1" t="s">
        <v>534</v>
      </c>
    </row>
    <row r="347" spans="1:48" ht="30" customHeight="1">
      <c r="A347" s="11"/>
      <c r="B347" s="11"/>
      <c r="C347" s="11"/>
      <c r="D347" s="11"/>
      <c r="E347" s="12"/>
      <c r="F347" s="12"/>
      <c r="G347" s="12"/>
      <c r="H347" s="12"/>
      <c r="I347" s="12"/>
      <c r="J347" s="12"/>
      <c r="K347" s="12"/>
      <c r="L347" s="12"/>
      <c r="M347" s="11"/>
      <c r="Q347" s="1" t="s">
        <v>534</v>
      </c>
    </row>
    <row r="348" spans="1:48" ht="30" customHeight="1">
      <c r="A348" s="11"/>
      <c r="B348" s="11"/>
      <c r="C348" s="11"/>
      <c r="D348" s="11"/>
      <c r="E348" s="12"/>
      <c r="F348" s="12"/>
      <c r="G348" s="12"/>
      <c r="H348" s="12"/>
      <c r="I348" s="12"/>
      <c r="J348" s="12"/>
      <c r="K348" s="12"/>
      <c r="L348" s="12"/>
      <c r="M348" s="11"/>
      <c r="Q348" s="1" t="s">
        <v>534</v>
      </c>
    </row>
    <row r="349" spans="1:48" ht="30" customHeight="1">
      <c r="A349" s="11"/>
      <c r="B349" s="11"/>
      <c r="C349" s="11"/>
      <c r="D349" s="11"/>
      <c r="E349" s="12"/>
      <c r="F349" s="12"/>
      <c r="G349" s="12"/>
      <c r="H349" s="12"/>
      <c r="I349" s="12"/>
      <c r="J349" s="12"/>
      <c r="K349" s="12"/>
      <c r="L349" s="12"/>
      <c r="M349" s="11"/>
      <c r="Q349" s="1" t="s">
        <v>534</v>
      </c>
    </row>
    <row r="350" spans="1:48" ht="30" customHeight="1">
      <c r="A350" s="11"/>
      <c r="B350" s="11"/>
      <c r="C350" s="11"/>
      <c r="D350" s="11"/>
      <c r="E350" s="12"/>
      <c r="F350" s="12"/>
      <c r="G350" s="12"/>
      <c r="H350" s="12"/>
      <c r="I350" s="12"/>
      <c r="J350" s="12"/>
      <c r="K350" s="12"/>
      <c r="L350" s="12"/>
      <c r="M350" s="11"/>
      <c r="Q350" s="1" t="s">
        <v>534</v>
      </c>
    </row>
    <row r="351" spans="1:48" ht="30" customHeight="1">
      <c r="A351" s="11"/>
      <c r="B351" s="11"/>
      <c r="C351" s="11"/>
      <c r="D351" s="11"/>
      <c r="E351" s="12"/>
      <c r="F351" s="12"/>
      <c r="G351" s="12"/>
      <c r="H351" s="12"/>
      <c r="I351" s="12"/>
      <c r="J351" s="12"/>
      <c r="K351" s="12"/>
      <c r="L351" s="12"/>
      <c r="M351" s="11"/>
      <c r="Q351" s="1" t="s">
        <v>534</v>
      </c>
    </row>
    <row r="352" spans="1:48" ht="30" customHeight="1">
      <c r="A352" s="11"/>
      <c r="B352" s="11"/>
      <c r="C352" s="11"/>
      <c r="D352" s="11"/>
      <c r="E352" s="12"/>
      <c r="F352" s="12"/>
      <c r="G352" s="12"/>
      <c r="H352" s="12"/>
      <c r="I352" s="12"/>
      <c r="J352" s="12"/>
      <c r="K352" s="12"/>
      <c r="L352" s="12"/>
      <c r="M352" s="11"/>
      <c r="Q352" s="1" t="s">
        <v>534</v>
      </c>
    </row>
    <row r="353" spans="1:17" ht="30" customHeight="1">
      <c r="A353" s="11"/>
      <c r="B353" s="11"/>
      <c r="C353" s="11"/>
      <c r="D353" s="11"/>
      <c r="E353" s="12"/>
      <c r="F353" s="12"/>
      <c r="G353" s="12"/>
      <c r="H353" s="12"/>
      <c r="I353" s="12"/>
      <c r="J353" s="12"/>
      <c r="K353" s="12"/>
      <c r="L353" s="12"/>
      <c r="M353" s="11"/>
      <c r="Q353" s="1" t="s">
        <v>534</v>
      </c>
    </row>
    <row r="354" spans="1:17" ht="30" customHeight="1">
      <c r="A354" s="11"/>
      <c r="B354" s="11"/>
      <c r="C354" s="11"/>
      <c r="D354" s="11"/>
      <c r="E354" s="12"/>
      <c r="F354" s="12"/>
      <c r="G354" s="12"/>
      <c r="H354" s="12"/>
      <c r="I354" s="12"/>
      <c r="J354" s="12"/>
      <c r="K354" s="12"/>
      <c r="L354" s="12"/>
      <c r="M354" s="11"/>
      <c r="Q354" s="1" t="s">
        <v>534</v>
      </c>
    </row>
    <row r="355" spans="1:17" ht="30" customHeight="1">
      <c r="A355" s="11"/>
      <c r="B355" s="11"/>
      <c r="C355" s="11"/>
      <c r="D355" s="11"/>
      <c r="E355" s="12"/>
      <c r="F355" s="12"/>
      <c r="G355" s="12"/>
      <c r="H355" s="12"/>
      <c r="I355" s="12"/>
      <c r="J355" s="12"/>
      <c r="K355" s="12"/>
      <c r="L355" s="12"/>
      <c r="M355" s="11"/>
      <c r="Q355" s="1" t="s">
        <v>534</v>
      </c>
    </row>
    <row r="356" spans="1:17" ht="30" customHeight="1">
      <c r="A356" s="11"/>
      <c r="B356" s="11"/>
      <c r="C356" s="11"/>
      <c r="D356" s="11"/>
      <c r="E356" s="12"/>
      <c r="F356" s="12"/>
      <c r="G356" s="12"/>
      <c r="H356" s="12"/>
      <c r="I356" s="12"/>
      <c r="J356" s="12"/>
      <c r="K356" s="12"/>
      <c r="L356" s="12"/>
      <c r="M356" s="11"/>
      <c r="Q356" s="1" t="s">
        <v>534</v>
      </c>
    </row>
    <row r="357" spans="1:17" ht="30" customHeight="1">
      <c r="A357" s="11"/>
      <c r="B357" s="11"/>
      <c r="C357" s="11"/>
      <c r="D357" s="11"/>
      <c r="E357" s="12"/>
      <c r="F357" s="12"/>
      <c r="G357" s="12"/>
      <c r="H357" s="12"/>
      <c r="I357" s="12"/>
      <c r="J357" s="12"/>
      <c r="K357" s="12"/>
      <c r="L357" s="12"/>
      <c r="M357" s="11"/>
      <c r="Q357" s="1" t="s">
        <v>534</v>
      </c>
    </row>
    <row r="358" spans="1:17" ht="30" customHeight="1">
      <c r="A358" s="11"/>
      <c r="B358" s="11"/>
      <c r="C358" s="11"/>
      <c r="D358" s="11"/>
      <c r="E358" s="12"/>
      <c r="F358" s="12"/>
      <c r="G358" s="12"/>
      <c r="H358" s="12"/>
      <c r="I358" s="12"/>
      <c r="J358" s="12"/>
      <c r="K358" s="12"/>
      <c r="L358" s="12"/>
      <c r="M358" s="11"/>
      <c r="Q358" s="1" t="s">
        <v>534</v>
      </c>
    </row>
    <row r="359" spans="1:17" ht="30" customHeight="1">
      <c r="A359" s="13" t="s">
        <v>120</v>
      </c>
      <c r="B359" s="11"/>
      <c r="C359" s="11"/>
      <c r="D359" s="11"/>
      <c r="E359" s="12"/>
      <c r="F359" s="12">
        <f>SUMIF(Q337:Q358,"010113",F337:F358)</f>
        <v>0</v>
      </c>
      <c r="G359" s="12"/>
      <c r="H359" s="12">
        <f>SUMIF(Q337:Q358,"010113",H337:H358)</f>
        <v>0</v>
      </c>
      <c r="I359" s="12"/>
      <c r="J359" s="12">
        <f>SUMIF(Q337:Q358,"010113",J337:J358)</f>
        <v>0</v>
      </c>
      <c r="K359" s="12"/>
      <c r="L359" s="12">
        <f>SUMIF(Q337:Q358,"010113",L337:L358)</f>
        <v>0</v>
      </c>
      <c r="M359" s="11"/>
      <c r="N359" t="s">
        <v>121</v>
      </c>
    </row>
  </sheetData>
  <mergeCells count="48">
    <mergeCell ref="A239:A240"/>
    <mergeCell ref="A241:A242"/>
    <mergeCell ref="A243:A244"/>
    <mergeCell ref="A245:A246"/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U2:AU3"/>
    <mergeCell ref="AV2:AV3"/>
    <mergeCell ref="AO2:AO3"/>
    <mergeCell ref="AP2:AP3"/>
    <mergeCell ref="AQ2:AQ3"/>
    <mergeCell ref="AR2:AR3"/>
    <mergeCell ref="AS2:AS3"/>
    <mergeCell ref="AT2:AT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13" manualBreakCount="13">
    <brk id="27" max="16383" man="1"/>
    <brk id="51" max="16383" man="1"/>
    <brk id="85" max="16383" man="1"/>
    <brk id="109" max="16383" man="1"/>
    <brk id="133" max="16383" man="1"/>
    <brk id="157" max="16383" man="1"/>
    <brk id="181" max="16383" man="1"/>
    <brk id="230" max="16383" man="1"/>
    <brk id="263" max="16383" man="1"/>
    <brk id="287" max="16383" man="1"/>
    <brk id="311" max="16383" man="1"/>
    <brk id="335" max="16383" man="1"/>
    <brk id="3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</vt:i4>
      </vt:variant>
    </vt:vector>
  </HeadingPairs>
  <TitlesOfParts>
    <vt:vector size="9" baseType="lpstr">
      <vt:lpstr>갑지</vt:lpstr>
      <vt:lpstr>원가계산서</vt:lpstr>
      <vt:lpstr>공종별집계표</vt:lpstr>
      <vt:lpstr>공종별내역서</vt:lpstr>
      <vt:lpstr>공종별내역서!Print_Area</vt:lpstr>
      <vt:lpstr>공종별집계표!Print_Area</vt:lpstr>
      <vt:lpstr>공종별내역서!Print_Titles</vt:lpstr>
      <vt:lpstr>공종별집계표!Print_Titles</vt:lpstr>
      <vt:lpstr>원가계산서!Print_Titles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내부망</cp:lastModifiedBy>
  <cp:lastPrinted>2026-07-23T07:22:12Z</cp:lastPrinted>
  <dcterms:created xsi:type="dcterms:W3CDTF">2026-05-27T06:51:29Z</dcterms:created>
  <dcterms:modified xsi:type="dcterms:W3CDTF">2026-07-23T07:47:46Z</dcterms:modified>
</cp:coreProperties>
</file>